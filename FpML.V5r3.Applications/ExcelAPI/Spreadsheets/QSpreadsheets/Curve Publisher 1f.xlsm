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9035" windowHeight="12270" tabRatio="354"/>
  </bookViews>
  <sheets>
    <sheet name="Main" sheetId="1" r:id="rId1"/>
    <sheet name="Trader" sheetId="2" r:id="rId2"/>
    <sheet name="LPM" sheetId="18" r:id="rId3"/>
    <sheet name="SuperD" sheetId="23" r:id="rId4"/>
    <sheet name="Errorlogs" sheetId="4" r:id="rId5"/>
  </sheets>
  <externalReferences>
    <externalReference r:id="rId6"/>
  </externalReferences>
  <definedNames>
    <definedName name="CreationTime">Main!$E$6</definedName>
    <definedName name="CurveLifetime">Main!$E$15</definedName>
    <definedName name="LastPublished">Main!$E$5</definedName>
    <definedName name="MarketPrefix">Main!$E$11</definedName>
    <definedName name="Publish_LPM">Main!$C$21</definedName>
    <definedName name="Publish_SuperD">Main!$C$22</definedName>
    <definedName name="Publish_TRADER">Main!$C$20</definedName>
    <definedName name="Published">#REF!</definedName>
    <definedName name="RerunFrequency">Main!$E$13</definedName>
    <definedName name="TimeToPublish">Main!$E$7</definedName>
    <definedName name="ValueDate">Main!$E$27</definedName>
    <definedName name="WebService">Main!$E$17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4" i="4" a="1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B19"/>
  <c r="C19"/>
  <c r="D19"/>
  <c r="B20"/>
  <c r="C20"/>
  <c r="D20"/>
  <c r="B21"/>
  <c r="C21"/>
  <c r="D21"/>
  <c r="B22"/>
  <c r="C22"/>
  <c r="D22"/>
  <c r="B23"/>
  <c r="C23"/>
  <c r="D23"/>
  <c r="P23" i="18"/>
  <c r="P22"/>
  <c r="P21"/>
  <c r="P20"/>
  <c r="P19"/>
  <c r="P18"/>
  <c r="P17"/>
  <c r="P16"/>
  <c r="P15"/>
  <c r="P14"/>
  <c r="P13"/>
  <c r="P12"/>
  <c r="P11"/>
  <c r="P10"/>
  <c r="S12" i="2" a="1"/>
  <c r="S16" s="1"/>
  <c r="J12" a="1"/>
  <c r="J14" s="1"/>
  <c r="D2" i="4"/>
  <c r="G48" i="18"/>
  <c r="T41" i="2"/>
  <c r="K41"/>
  <c r="J30" i="23"/>
  <c r="J25" s="1"/>
  <c r="D2"/>
  <c r="C2" i="18"/>
  <c r="J24" i="23"/>
  <c r="S47" i="18"/>
  <c r="S19" i="2" l="1"/>
  <c r="J23"/>
  <c r="J17"/>
  <c r="S13"/>
  <c r="J29"/>
  <c r="S25"/>
  <c r="S31"/>
  <c r="J27"/>
  <c r="J21"/>
  <c r="J15"/>
  <c r="S29"/>
  <c r="S23"/>
  <c r="S17"/>
  <c r="J28"/>
  <c r="J22"/>
  <c r="J16"/>
  <c r="S30"/>
  <c r="S24"/>
  <c r="S18"/>
  <c r="S12"/>
  <c r="J30"/>
  <c r="J24"/>
  <c r="J18"/>
  <c r="J12"/>
  <c r="S32"/>
  <c r="S26"/>
  <c r="S20"/>
  <c r="S14"/>
  <c r="J31"/>
  <c r="J25"/>
  <c r="J19"/>
  <c r="J13"/>
  <c r="S27"/>
  <c r="S21"/>
  <c r="S15"/>
  <c r="J32"/>
  <c r="J26"/>
  <c r="J20"/>
  <c r="S28"/>
  <c r="S22"/>
  <c r="S39" i="18"/>
  <c r="S38"/>
  <c r="O54"/>
  <c r="O50"/>
  <c r="O47"/>
  <c r="O39"/>
  <c r="O38"/>
  <c r="K38"/>
  <c r="K48"/>
  <c r="G38"/>
  <c r="G39"/>
  <c r="C48"/>
  <c r="D2" i="2"/>
  <c r="E6" i="1"/>
  <c r="C41" i="2"/>
  <c r="O55" i="18" l="1"/>
  <c r="K39"/>
  <c r="K51"/>
  <c r="G51"/>
  <c r="J33" i="23"/>
  <c r="C33"/>
  <c r="S50" i="18"/>
  <c r="C51"/>
  <c r="C24" i="23" l="1"/>
  <c r="C38" i="18"/>
  <c r="C30" i="23" l="1"/>
  <c r="C25" l="1"/>
  <c r="C39" i="18"/>
  <c r="N10" l="1" a="1"/>
  <c r="N13" l="1"/>
  <c r="N11"/>
  <c r="N10"/>
  <c r="N12"/>
  <c r="O14" l="1" a="1"/>
  <c r="N14" a="1"/>
  <c r="B10" i="23" a="1"/>
  <c r="O15" i="18" l="1"/>
  <c r="O20"/>
  <c r="O14"/>
  <c r="O21"/>
  <c r="O17"/>
  <c r="O18"/>
  <c r="O22"/>
  <c r="O19"/>
  <c r="O23"/>
  <c r="O16"/>
  <c r="B15" i="23"/>
  <c r="B14"/>
  <c r="B16"/>
  <c r="B11"/>
  <c r="B20"/>
  <c r="B19"/>
  <c r="B13"/>
  <c r="B10"/>
  <c r="B17"/>
  <c r="B12"/>
  <c r="B18"/>
  <c r="N17" i="18"/>
  <c r="N16"/>
  <c r="N19"/>
  <c r="N22"/>
  <c r="N23"/>
  <c r="N21"/>
  <c r="N14"/>
  <c r="N20"/>
  <c r="N18"/>
  <c r="N15"/>
  <c r="O10" a="1"/>
  <c r="O11" l="1"/>
  <c r="O10"/>
  <c r="O13"/>
  <c r="O12"/>
  <c r="O6" a="1"/>
  <c r="O7" l="1"/>
  <c r="O6"/>
  <c r="B12" i="2" l="1" a="1"/>
  <c r="B15" l="1"/>
  <c r="B37"/>
  <c r="B14"/>
  <c r="B12"/>
  <c r="B23"/>
  <c r="B18"/>
  <c r="B31"/>
  <c r="B13"/>
  <c r="B32"/>
  <c r="B34"/>
  <c r="B21"/>
  <c r="B33"/>
  <c r="B19"/>
  <c r="B20"/>
  <c r="B16"/>
  <c r="B29"/>
  <c r="B35"/>
  <c r="B22"/>
  <c r="B36"/>
  <c r="B25"/>
  <c r="B28"/>
  <c r="B24"/>
  <c r="B30"/>
  <c r="B26"/>
  <c r="B17"/>
  <c r="B27"/>
  <c r="F10" i="23" l="1" a="1"/>
  <c r="F36" l="1"/>
  <c r="F105"/>
  <c r="F114"/>
  <c r="F126"/>
  <c r="F58"/>
  <c r="F83"/>
  <c r="F113"/>
  <c r="F102"/>
  <c r="F110"/>
  <c r="F12"/>
  <c r="F38"/>
  <c r="F44"/>
  <c r="F81"/>
  <c r="F88"/>
  <c r="F98"/>
  <c r="F104"/>
  <c r="F108"/>
  <c r="F48"/>
  <c r="F73"/>
  <c r="F24"/>
  <c r="F43"/>
  <c r="F93"/>
  <c r="F103"/>
  <c r="F67"/>
  <c r="F106"/>
  <c r="F29"/>
  <c r="F62"/>
  <c r="F66"/>
  <c r="F68"/>
  <c r="F55"/>
  <c r="F60"/>
  <c r="F64"/>
  <c r="F18"/>
  <c r="F35"/>
  <c r="F94"/>
  <c r="F42"/>
  <c r="F85"/>
  <c r="F75"/>
  <c r="F111"/>
  <c r="F40"/>
  <c r="F69"/>
  <c r="F52"/>
  <c r="F39"/>
  <c r="F15"/>
  <c r="F59"/>
  <c r="F123"/>
  <c r="F30"/>
  <c r="F125"/>
  <c r="F13"/>
  <c r="F56"/>
  <c r="F20"/>
  <c r="F74"/>
  <c r="F120"/>
  <c r="F31"/>
  <c r="F28"/>
  <c r="F129"/>
  <c r="F80"/>
  <c r="F124"/>
  <c r="F71"/>
  <c r="F19"/>
  <c r="F86"/>
  <c r="F14"/>
  <c r="F82"/>
  <c r="F26"/>
  <c r="F112"/>
  <c r="F115"/>
  <c r="F41"/>
  <c r="F47"/>
  <c r="F121"/>
  <c r="F54"/>
  <c r="F37"/>
  <c r="F10"/>
  <c r="F46"/>
  <c r="F65"/>
  <c r="F11"/>
  <c r="F100"/>
  <c r="F33"/>
  <c r="F23"/>
  <c r="F16"/>
  <c r="F57"/>
  <c r="F96"/>
  <c r="F97"/>
  <c r="F32"/>
  <c r="F25"/>
  <c r="F127"/>
  <c r="F109"/>
  <c r="F99"/>
  <c r="F61"/>
  <c r="F116"/>
  <c r="F84"/>
  <c r="F51"/>
  <c r="F95"/>
  <c r="F50"/>
  <c r="F101"/>
  <c r="F91"/>
  <c r="F27"/>
  <c r="F117"/>
  <c r="F45"/>
  <c r="F128"/>
  <c r="F78"/>
  <c r="F70"/>
  <c r="F119"/>
  <c r="F21"/>
  <c r="F76"/>
  <c r="F63"/>
  <c r="F118"/>
  <c r="F79"/>
  <c r="F49"/>
  <c r="F107"/>
  <c r="F17"/>
  <c r="F122"/>
  <c r="F34"/>
  <c r="F53"/>
  <c r="F87"/>
  <c r="F92"/>
  <c r="F89"/>
  <c r="F22"/>
  <c r="F90"/>
  <c r="F77"/>
  <c r="F72"/>
  <c r="K10" i="18" l="1" a="1"/>
  <c r="K11" l="1"/>
  <c r="K10"/>
  <c r="C10" l="1" a="1"/>
  <c r="C16" l="1"/>
  <c r="C34"/>
  <c r="C24"/>
  <c r="C19"/>
  <c r="C20"/>
  <c r="C32"/>
  <c r="C14"/>
  <c r="C10"/>
  <c r="C11"/>
  <c r="C18"/>
  <c r="C30"/>
  <c r="C12"/>
  <c r="C17"/>
  <c r="C29"/>
  <c r="C21"/>
  <c r="C25"/>
  <c r="C23"/>
  <c r="C31"/>
  <c r="C33"/>
  <c r="C15"/>
  <c r="C27"/>
  <c r="C13"/>
  <c r="C22"/>
  <c r="C28"/>
  <c r="C26"/>
  <c r="J10" l="1" a="1"/>
  <c r="F10" a="1"/>
  <c r="B10" a="1"/>
  <c r="F10" l="1"/>
  <c r="F11"/>
  <c r="J10"/>
  <c r="J11"/>
  <c r="B29"/>
  <c r="B24"/>
  <c r="B31"/>
  <c r="B16"/>
  <c r="B19"/>
  <c r="B28"/>
  <c r="B20"/>
  <c r="B15"/>
  <c r="B30"/>
  <c r="B14"/>
  <c r="B23"/>
  <c r="B13"/>
  <c r="B17"/>
  <c r="B27"/>
  <c r="B33"/>
  <c r="B34"/>
  <c r="B18"/>
  <c r="B12"/>
  <c r="B21"/>
  <c r="B25"/>
  <c r="B11"/>
  <c r="B32"/>
  <c r="B22"/>
  <c r="B10"/>
  <c r="B26"/>
  <c r="C6" a="1"/>
  <c r="K6" a="1"/>
  <c r="K6" l="1"/>
  <c r="K7"/>
  <c r="C6"/>
  <c r="C7"/>
  <c r="K12" i="2" l="1" a="1"/>
  <c r="K15" l="1"/>
  <c r="K22"/>
  <c r="K16"/>
  <c r="K25"/>
  <c r="K17"/>
  <c r="K28"/>
  <c r="K18"/>
  <c r="K31"/>
  <c r="K26"/>
  <c r="K23"/>
  <c r="K14"/>
  <c r="K29"/>
  <c r="K24"/>
  <c r="K32"/>
  <c r="K19"/>
  <c r="K12"/>
  <c r="K21"/>
  <c r="K27"/>
  <c r="K13"/>
  <c r="K20"/>
  <c r="K30"/>
  <c r="T12" l="1" a="1"/>
  <c r="C12" a="1"/>
  <c r="T29" l="1"/>
  <c r="T23"/>
  <c r="T13"/>
  <c r="T24"/>
  <c r="T21"/>
  <c r="T19"/>
  <c r="T27"/>
  <c r="T22"/>
  <c r="T16"/>
  <c r="T31"/>
  <c r="T28"/>
  <c r="T30"/>
  <c r="T15"/>
  <c r="T32"/>
  <c r="T14"/>
  <c r="T25"/>
  <c r="T12"/>
  <c r="T17"/>
  <c r="T18"/>
  <c r="T20"/>
  <c r="T26"/>
  <c r="C25"/>
  <c r="C33"/>
  <c r="C14"/>
  <c r="C26"/>
  <c r="C19"/>
  <c r="C18"/>
  <c r="C12"/>
  <c r="C20"/>
  <c r="C16"/>
  <c r="C24"/>
  <c r="C30"/>
  <c r="C35"/>
  <c r="C29"/>
  <c r="C27"/>
  <c r="C37"/>
  <c r="C28"/>
  <c r="C15"/>
  <c r="C21"/>
  <c r="C23"/>
  <c r="C32"/>
  <c r="C34"/>
  <c r="C13"/>
  <c r="C36"/>
  <c r="C22"/>
  <c r="C17"/>
  <c r="C31"/>
  <c r="G10" i="18" l="1" a="1"/>
  <c r="G11" l="1"/>
  <c r="G10"/>
  <c r="G6" a="1"/>
  <c r="G6" l="1"/>
  <c r="G7"/>
  <c r="C10" i="23" l="1" a="1"/>
  <c r="C12" l="1"/>
  <c r="C18"/>
  <c r="C13"/>
  <c r="C17"/>
  <c r="C11"/>
  <c r="C19"/>
  <c r="C15"/>
  <c r="C14"/>
  <c r="C10"/>
  <c r="C16"/>
  <c r="C20"/>
  <c r="D10" a="1"/>
  <c r="D11" l="1"/>
  <c r="D14"/>
  <c r="D16"/>
  <c r="D18"/>
  <c r="D13"/>
  <c r="D12"/>
  <c r="D10"/>
  <c r="D15"/>
  <c r="D20"/>
  <c r="D19"/>
  <c r="D17"/>
  <c r="G10" l="1" a="1"/>
  <c r="G74" l="1"/>
  <c r="G52"/>
  <c r="G129"/>
  <c r="G94"/>
  <c r="G30"/>
  <c r="G22"/>
  <c r="G93"/>
  <c r="G85"/>
  <c r="G33"/>
  <c r="G118"/>
  <c r="G43"/>
  <c r="G19"/>
  <c r="G65"/>
  <c r="G70"/>
  <c r="G97"/>
  <c r="G42"/>
  <c r="G72"/>
  <c r="G34"/>
  <c r="G25"/>
  <c r="G126"/>
  <c r="G37"/>
  <c r="G98"/>
  <c r="G35"/>
  <c r="G71"/>
  <c r="G56"/>
  <c r="G114"/>
  <c r="G99"/>
  <c r="G20"/>
  <c r="G100"/>
  <c r="G119"/>
  <c r="G128"/>
  <c r="G55"/>
  <c r="G39"/>
  <c r="G62"/>
  <c r="G120"/>
  <c r="G23"/>
  <c r="G18"/>
  <c r="G89"/>
  <c r="G53"/>
  <c r="G108"/>
  <c r="G76"/>
  <c r="G127"/>
  <c r="G16"/>
  <c r="G66"/>
  <c r="G12"/>
  <c r="G82"/>
  <c r="G14"/>
  <c r="G102"/>
  <c r="G116"/>
  <c r="G60"/>
  <c r="G63"/>
  <c r="G78"/>
  <c r="G115"/>
  <c r="G51"/>
  <c r="G86"/>
  <c r="G10"/>
  <c r="G113"/>
  <c r="G27"/>
  <c r="G103"/>
  <c r="G32"/>
  <c r="G87"/>
  <c r="G38"/>
  <c r="G15"/>
  <c r="G92"/>
  <c r="G49"/>
  <c r="G58"/>
  <c r="G112"/>
  <c r="G105"/>
  <c r="G47"/>
  <c r="G80"/>
  <c r="G73"/>
  <c r="G17"/>
  <c r="G41"/>
  <c r="G68"/>
  <c r="G59"/>
  <c r="G77"/>
  <c r="G88"/>
  <c r="G69"/>
  <c r="G31"/>
  <c r="G57"/>
  <c r="G24"/>
  <c r="G61"/>
  <c r="G84"/>
  <c r="G64"/>
  <c r="G110"/>
  <c r="G67"/>
  <c r="G117"/>
  <c r="G123"/>
  <c r="G111"/>
  <c r="G46"/>
  <c r="G45"/>
  <c r="G11"/>
  <c r="G75"/>
  <c r="G36"/>
  <c r="G122"/>
  <c r="G106"/>
  <c r="G40"/>
  <c r="G95"/>
  <c r="G21"/>
  <c r="G13"/>
  <c r="G81"/>
  <c r="G96"/>
  <c r="G91"/>
  <c r="G54"/>
  <c r="G125"/>
  <c r="G104"/>
  <c r="G79"/>
  <c r="G48"/>
  <c r="G90"/>
  <c r="G26"/>
  <c r="G83"/>
  <c r="G44"/>
  <c r="G101"/>
  <c r="G29"/>
  <c r="G28"/>
  <c r="G50"/>
  <c r="G121"/>
  <c r="G109"/>
  <c r="G107"/>
  <c r="G124"/>
  <c r="I9" l="1" a="1"/>
  <c r="R9" i="18" l="1" a="1"/>
  <c r="I13" i="23"/>
  <c r="R18"/>
  <c r="M11"/>
  <c r="P10"/>
  <c r="K18"/>
  <c r="O13"/>
  <c r="L11"/>
  <c r="L19"/>
  <c r="O14"/>
  <c r="J10"/>
  <c r="L18"/>
  <c r="O18"/>
  <c r="Q16"/>
  <c r="K16"/>
  <c r="L16"/>
  <c r="K10"/>
  <c r="K11"/>
  <c r="Q15"/>
  <c r="M15"/>
  <c r="P15"/>
  <c r="O15"/>
  <c r="R10"/>
  <c r="L10"/>
  <c r="M13"/>
  <c r="N11"/>
  <c r="R19"/>
  <c r="J9"/>
  <c r="L12"/>
  <c r="N17"/>
  <c r="R9"/>
  <c r="I15"/>
  <c r="Q11"/>
  <c r="N16"/>
  <c r="R13"/>
  <c r="R15"/>
  <c r="R14"/>
  <c r="M18"/>
  <c r="N15"/>
  <c r="M10"/>
  <c r="Q13"/>
  <c r="L14"/>
  <c r="N14"/>
  <c r="P14"/>
  <c r="J16"/>
  <c r="O11"/>
  <c r="N10"/>
  <c r="P11"/>
  <c r="M12"/>
  <c r="N9"/>
  <c r="K19"/>
  <c r="P18"/>
  <c r="J11"/>
  <c r="O19"/>
  <c r="P12"/>
  <c r="M16"/>
  <c r="J13"/>
  <c r="Q14"/>
  <c r="K15"/>
  <c r="Q9"/>
  <c r="L17"/>
  <c r="P17"/>
  <c r="Q19"/>
  <c r="M9"/>
  <c r="Q18"/>
  <c r="Q12"/>
  <c r="R12"/>
  <c r="R11"/>
  <c r="K17"/>
  <c r="J14"/>
  <c r="L13"/>
  <c r="I11"/>
  <c r="I9"/>
  <c r="J15"/>
  <c r="P16"/>
  <c r="J19"/>
  <c r="L9"/>
  <c r="P13"/>
  <c r="I14"/>
  <c r="M14"/>
  <c r="O12"/>
  <c r="K12"/>
  <c r="K14"/>
  <c r="K13"/>
  <c r="I10"/>
  <c r="N18"/>
  <c r="J12"/>
  <c r="O16"/>
  <c r="I16"/>
  <c r="I19"/>
  <c r="P19"/>
  <c r="J17"/>
  <c r="I18"/>
  <c r="L15"/>
  <c r="N13"/>
  <c r="J18"/>
  <c r="I12"/>
  <c r="O10"/>
  <c r="M17"/>
  <c r="Q17"/>
  <c r="R17"/>
  <c r="M19"/>
  <c r="O17"/>
  <c r="I17"/>
  <c r="K9"/>
  <c r="O9"/>
  <c r="Q10"/>
  <c r="N19"/>
  <c r="N12"/>
  <c r="R16"/>
  <c r="P9"/>
  <c r="J6" a="1"/>
  <c r="J6" l="1"/>
  <c r="J7"/>
  <c r="AA18" i="18"/>
  <c r="Z14"/>
  <c r="Z19"/>
  <c r="R17"/>
  <c r="Z16"/>
  <c r="AA14"/>
  <c r="S19"/>
  <c r="S13"/>
  <c r="S12"/>
  <c r="T11"/>
  <c r="R15"/>
  <c r="X15"/>
  <c r="Y13"/>
  <c r="Z12"/>
  <c r="Y19"/>
  <c r="R14"/>
  <c r="R9"/>
  <c r="W15"/>
  <c r="T9"/>
  <c r="V15"/>
  <c r="W11"/>
  <c r="U10"/>
  <c r="R11"/>
  <c r="U14"/>
  <c r="X17"/>
  <c r="U19"/>
  <c r="W18"/>
  <c r="U15"/>
  <c r="Z13"/>
  <c r="X14"/>
  <c r="S9"/>
  <c r="Y17"/>
  <c r="R12"/>
  <c r="Y16"/>
  <c r="Z15"/>
  <c r="Z18"/>
  <c r="Z17"/>
  <c r="Y18"/>
  <c r="V9"/>
  <c r="T16"/>
  <c r="Z11"/>
  <c r="W12"/>
  <c r="Y14"/>
  <c r="Y11"/>
  <c r="S14"/>
  <c r="T12"/>
  <c r="T10"/>
  <c r="R18"/>
  <c r="W9"/>
  <c r="R10"/>
  <c r="T19"/>
  <c r="AA15"/>
  <c r="X9"/>
  <c r="X10"/>
  <c r="Z9"/>
  <c r="Y15"/>
  <c r="W16"/>
  <c r="AA16"/>
  <c r="R13"/>
  <c r="Y10"/>
  <c r="U17"/>
  <c r="Y9"/>
  <c r="R19"/>
  <c r="X13"/>
  <c r="T17"/>
  <c r="W14"/>
  <c r="U11"/>
  <c r="V14"/>
  <c r="Y12"/>
  <c r="U16"/>
  <c r="X19"/>
  <c r="V11"/>
  <c r="U18"/>
  <c r="S16"/>
  <c r="U12"/>
  <c r="W10"/>
  <c r="W19"/>
  <c r="AA17"/>
  <c r="T18"/>
  <c r="W13"/>
  <c r="S10"/>
  <c r="T14"/>
  <c r="U13"/>
  <c r="V13"/>
  <c r="X12"/>
  <c r="U9"/>
  <c r="V19"/>
  <c r="S18"/>
  <c r="AA12"/>
  <c r="AA9"/>
  <c r="W17"/>
  <c r="V16"/>
  <c r="V17"/>
  <c r="AA19"/>
  <c r="R16"/>
  <c r="V12"/>
  <c r="AA11"/>
  <c r="S17"/>
  <c r="S11"/>
  <c r="V10"/>
  <c r="X16"/>
  <c r="X11"/>
  <c r="T13"/>
  <c r="AA10"/>
  <c r="T15"/>
  <c r="X18"/>
  <c r="S15"/>
  <c r="AA13"/>
  <c r="Z10"/>
  <c r="V18"/>
  <c r="S6" a="1"/>
  <c r="S7" l="1"/>
  <c r="E21" i="1" s="1"/>
  <c r="S6" i="18"/>
  <c r="C6" i="23" a="1"/>
  <c r="C7"/>
  <c r="E22" i="1" s="1"/>
  <c r="C6" i="23"/>
  <c r="C42" i="2"/>
  <c r="D11" a="1"/>
  <c r="D13"/>
  <c r="E24"/>
  <c r="G20"/>
  <c r="H17"/>
  <c r="E36"/>
  <c r="D24"/>
  <c r="F30"/>
  <c r="E13"/>
  <c r="G33"/>
  <c r="D31"/>
  <c r="G30"/>
  <c r="E32"/>
  <c r="H18"/>
  <c r="E25"/>
  <c r="D12"/>
  <c r="E33"/>
  <c r="H34"/>
  <c r="F34"/>
  <c r="F27"/>
  <c r="E31"/>
  <c r="G28"/>
  <c r="H16"/>
  <c r="H33"/>
  <c r="D11"/>
  <c r="D16"/>
  <c r="F17"/>
  <c r="H29"/>
  <c r="H20"/>
  <c r="H24"/>
  <c r="E15"/>
  <c r="F18"/>
  <c r="F11"/>
  <c r="F25"/>
  <c r="G14"/>
  <c r="H11"/>
  <c r="E30"/>
  <c r="E35"/>
  <c r="F24"/>
  <c r="D35"/>
  <c r="H32"/>
  <c r="F21"/>
  <c r="F35"/>
  <c r="E34"/>
  <c r="D17"/>
  <c r="E29"/>
  <c r="E11"/>
  <c r="H23"/>
  <c r="H22"/>
  <c r="F31"/>
  <c r="H28"/>
  <c r="F32"/>
  <c r="H30"/>
  <c r="F38"/>
  <c r="E38"/>
  <c r="G18"/>
  <c r="H36"/>
  <c r="D26"/>
  <c r="D38"/>
  <c r="H14"/>
  <c r="F28"/>
  <c r="E26"/>
  <c r="G19"/>
  <c r="E16"/>
  <c r="F19"/>
  <c r="H31"/>
  <c r="D15"/>
  <c r="E28"/>
  <c r="G11"/>
  <c r="G27"/>
  <c r="D34"/>
  <c r="F15"/>
  <c r="F29"/>
  <c r="H38"/>
  <c r="E20"/>
  <c r="H19"/>
  <c r="H27"/>
  <c r="D25"/>
  <c r="G15"/>
  <c r="G32"/>
  <c r="G37"/>
  <c r="G21"/>
  <c r="D14"/>
  <c r="F26"/>
  <c r="D18"/>
  <c r="E27"/>
  <c r="H13"/>
  <c r="G34"/>
  <c r="G16"/>
  <c r="F14"/>
  <c r="E19"/>
  <c r="F36"/>
  <c r="G13"/>
  <c r="F33"/>
  <c r="F13"/>
  <c r="F16"/>
  <c r="G12"/>
  <c r="E18"/>
  <c r="E23"/>
  <c r="F12"/>
  <c r="D23"/>
  <c r="D28"/>
  <c r="D33"/>
  <c r="G35"/>
  <c r="G25"/>
  <c r="E14"/>
  <c r="H25"/>
  <c r="H21"/>
  <c r="D19"/>
  <c r="F37"/>
  <c r="G26"/>
  <c r="G31"/>
  <c r="H26"/>
  <c r="F23"/>
  <c r="D32"/>
  <c r="H15"/>
  <c r="D29"/>
  <c r="F20"/>
  <c r="H35"/>
  <c r="F22"/>
  <c r="G22"/>
  <c r="G23"/>
  <c r="H12"/>
  <c r="E37"/>
  <c r="G38"/>
  <c r="G24"/>
  <c r="D37"/>
  <c r="D27"/>
  <c r="D20"/>
  <c r="E21"/>
  <c r="E12"/>
  <c r="E17"/>
  <c r="D21"/>
  <c r="G36"/>
  <c r="D22"/>
  <c r="H37"/>
  <c r="G17"/>
  <c r="D30"/>
  <c r="E22"/>
  <c r="D36"/>
  <c r="G29"/>
  <c r="K42"/>
  <c r="L11" a="1"/>
  <c r="M25"/>
  <c r="L25"/>
  <c r="L23"/>
  <c r="N28"/>
  <c r="O14"/>
  <c r="L18"/>
  <c r="P29"/>
  <c r="P33"/>
  <c r="P24"/>
  <c r="N17"/>
  <c r="P14"/>
  <c r="N20"/>
  <c r="N33"/>
  <c r="Q12"/>
  <c r="M14"/>
  <c r="O17"/>
  <c r="P15"/>
  <c r="L21"/>
  <c r="M21"/>
  <c r="O12"/>
  <c r="P32"/>
  <c r="N11"/>
  <c r="O11"/>
  <c r="L26"/>
  <c r="Q20"/>
  <c r="Q11"/>
  <c r="N16"/>
  <c r="M15"/>
  <c r="O23"/>
  <c r="O19"/>
  <c r="L33"/>
  <c r="P25"/>
  <c r="M17"/>
  <c r="P31"/>
  <c r="O26"/>
  <c r="L32"/>
  <c r="L24"/>
  <c r="M33"/>
  <c r="Q15"/>
  <c r="Q22"/>
  <c r="M19"/>
  <c r="O25"/>
  <c r="Q19"/>
  <c r="N12"/>
  <c r="O21"/>
  <c r="O28"/>
  <c r="M30"/>
  <c r="N13"/>
  <c r="L17"/>
  <c r="Q13"/>
  <c r="N21"/>
  <c r="Q27"/>
  <c r="M18"/>
  <c r="Q21"/>
  <c r="Q33"/>
  <c r="Q25"/>
  <c r="Q29"/>
  <c r="N29"/>
  <c r="L11"/>
  <c r="O15"/>
  <c r="M27"/>
  <c r="P16"/>
  <c r="M16"/>
  <c r="Q28"/>
  <c r="P17"/>
  <c r="N19"/>
  <c r="P27"/>
  <c r="Q17"/>
  <c r="M29"/>
  <c r="O30"/>
  <c r="L20"/>
  <c r="O24"/>
  <c r="L19"/>
  <c r="Q30"/>
  <c r="Q24"/>
  <c r="L28"/>
  <c r="P20"/>
  <c r="Q31"/>
  <c r="N31"/>
  <c r="M31"/>
  <c r="M22"/>
  <c r="O13"/>
  <c r="P13"/>
  <c r="M28"/>
  <c r="L13"/>
  <c r="O31"/>
  <c r="L12"/>
  <c r="M12"/>
  <c r="P26"/>
  <c r="P28"/>
  <c r="M11"/>
  <c r="P11"/>
  <c r="Q16"/>
  <c r="N15"/>
  <c r="P12"/>
  <c r="N14"/>
  <c r="Q14"/>
  <c r="L22"/>
  <c r="O22"/>
  <c r="L16"/>
  <c r="P23"/>
  <c r="O18"/>
  <c r="L30"/>
  <c r="O29"/>
  <c r="L14"/>
  <c r="L15"/>
  <c r="P22"/>
  <c r="L29"/>
  <c r="N27"/>
  <c r="Q23"/>
  <c r="O16"/>
  <c r="P19"/>
  <c r="N26"/>
  <c r="P18"/>
  <c r="M32"/>
  <c r="P30"/>
  <c r="N32"/>
  <c r="O27"/>
  <c r="O33"/>
  <c r="M20"/>
  <c r="M23"/>
  <c r="L27"/>
  <c r="N30"/>
  <c r="P21"/>
  <c r="M26"/>
  <c r="N24"/>
  <c r="Q18"/>
  <c r="N18"/>
  <c r="L31"/>
  <c r="Q32"/>
  <c r="N25"/>
  <c r="Q26"/>
  <c r="O32"/>
  <c r="N22"/>
  <c r="O20"/>
  <c r="M13"/>
  <c r="N23"/>
  <c r="M24"/>
  <c r="C6" a="1"/>
  <c r="C6"/>
  <c r="K6" a="1"/>
  <c r="K7"/>
  <c r="C7"/>
  <c r="K6"/>
  <c r="T42"/>
  <c r="U11" a="1"/>
  <c r="U18"/>
  <c r="X20"/>
  <c r="Y13"/>
  <c r="V28"/>
  <c r="U17"/>
  <c r="Y29"/>
  <c r="U19"/>
  <c r="W28"/>
  <c r="V14"/>
  <c r="V23"/>
  <c r="W21"/>
  <c r="W17"/>
  <c r="X33"/>
  <c r="Y26"/>
  <c r="U20"/>
  <c r="Y18"/>
  <c r="X17"/>
  <c r="X32"/>
  <c r="U13"/>
  <c r="U32"/>
  <c r="V25"/>
  <c r="W18"/>
  <c r="X11"/>
  <c r="Y27"/>
  <c r="V32"/>
  <c r="W33"/>
  <c r="X27"/>
  <c r="X23"/>
  <c r="Y16"/>
  <c r="U33"/>
  <c r="V26"/>
  <c r="W19"/>
  <c r="Y25"/>
  <c r="Y23"/>
  <c r="X13"/>
  <c r="U31"/>
  <c r="V15"/>
  <c r="W31"/>
  <c r="X24"/>
  <c r="Y17"/>
  <c r="U11"/>
  <c r="W15"/>
  <c r="W25"/>
  <c r="W11"/>
  <c r="U27"/>
  <c r="U23"/>
  <c r="V16"/>
  <c r="W32"/>
  <c r="X25"/>
  <c r="W24"/>
  <c r="X31"/>
  <c r="Y14"/>
  <c r="X18"/>
  <c r="W27"/>
  <c r="V12"/>
  <c r="X14"/>
  <c r="U24"/>
  <c r="V13"/>
  <c r="U16"/>
  <c r="W20"/>
  <c r="V29"/>
  <c r="W22"/>
  <c r="X15"/>
  <c r="Y31"/>
  <c r="U25"/>
  <c r="W29"/>
  <c r="V19"/>
  <c r="Y24"/>
  <c r="Y20"/>
  <c r="U14"/>
  <c r="V30"/>
  <c r="W23"/>
  <c r="X16"/>
  <c r="U21"/>
  <c r="Y33"/>
  <c r="X22"/>
  <c r="W12"/>
  <c r="X28"/>
  <c r="Y21"/>
  <c r="U15"/>
  <c r="V31"/>
  <c r="X12"/>
  <c r="Y19"/>
  <c r="Y28"/>
  <c r="V24"/>
  <c r="V20"/>
  <c r="W13"/>
  <c r="X29"/>
  <c r="Y22"/>
  <c r="X21"/>
  <c r="V11"/>
  <c r="V18"/>
  <c r="V27"/>
  <c r="Y30"/>
  <c r="V17"/>
  <c r="V33"/>
  <c r="U26"/>
  <c r="U30"/>
  <c r="Y15"/>
  <c r="Y11"/>
  <c r="U28"/>
  <c r="V21"/>
  <c r="W14"/>
  <c r="X30"/>
  <c r="U12"/>
  <c r="Y32"/>
  <c r="W30"/>
  <c r="W26"/>
  <c r="X19"/>
  <c r="Y12"/>
  <c r="U29"/>
  <c r="V22"/>
  <c r="X26"/>
  <c r="W16"/>
  <c r="U22"/>
  <c r="T6" a="1"/>
  <c r="T7"/>
  <c r="E20" i="1" s="1"/>
  <c r="T6" i="2"/>
</calcChain>
</file>

<file path=xl/sharedStrings.xml><?xml version="1.0" encoding="utf-8"?>
<sst xmlns="http://schemas.openxmlformats.org/spreadsheetml/2006/main" count="257" uniqueCount="102">
  <si>
    <t>PricingStructureType</t>
  </si>
  <si>
    <t>RateCurve</t>
  </si>
  <si>
    <t>IndexTenor</t>
  </si>
  <si>
    <t>3M</t>
  </si>
  <si>
    <t>Currency</t>
  </si>
  <si>
    <t>AUD</t>
  </si>
  <si>
    <t>Index</t>
  </si>
  <si>
    <t>LIBOR-BBA</t>
  </si>
  <si>
    <t>Algorithm</t>
  </si>
  <si>
    <t>MarketName</t>
  </si>
  <si>
    <t>ExpiryIntervalInMins</t>
  </si>
  <si>
    <t>Instrument</t>
  </si>
  <si>
    <t>Rate</t>
  </si>
  <si>
    <t>Spread</t>
  </si>
  <si>
    <t>Market Prefix</t>
  </si>
  <si>
    <t>Web Service</t>
  </si>
  <si>
    <t>http://sydwadbrl01:8900/PricingStructures.asmx</t>
  </si>
  <si>
    <t>6M</t>
  </si>
  <si>
    <t>Swap</t>
  </si>
  <si>
    <t>Base algorithm</t>
  </si>
  <si>
    <t>IndexName</t>
  </si>
  <si>
    <t>AUDSwap</t>
  </si>
  <si>
    <t>Validity</t>
  </si>
  <si>
    <t>Official</t>
  </si>
  <si>
    <t>LPMCopy</t>
  </si>
  <si>
    <t>310Y</t>
  </si>
  <si>
    <t>BondFuturesPay</t>
  </si>
  <si>
    <t>BondFuturesRec</t>
  </si>
  <si>
    <t>AUD-BondFuturesRec</t>
  </si>
  <si>
    <t>LpmCapFloorCurve</t>
  </si>
  <si>
    <t>CapFrequency</t>
  </si>
  <si>
    <t>CapFloor</t>
  </si>
  <si>
    <t>CapStartLag</t>
  </si>
  <si>
    <t>Source</t>
  </si>
  <si>
    <t>SydSPU</t>
  </si>
  <si>
    <t>Handle</t>
  </si>
  <si>
    <t>ParVolatilityInterpolation</t>
  </si>
  <si>
    <t>CubicHermiteSpline</t>
  </si>
  <si>
    <t>RollConvention</t>
  </si>
  <si>
    <t>MODFOLLOWING</t>
  </si>
  <si>
    <t>Volatility</t>
  </si>
  <si>
    <t>Calculation Date</t>
  </si>
  <si>
    <t>Expiry</t>
  </si>
  <si>
    <t>PPD</t>
  </si>
  <si>
    <t>Type</t>
  </si>
  <si>
    <t>LPMSwaptionCurve</t>
  </si>
  <si>
    <t>Swaption</t>
  </si>
  <si>
    <t>RateVolatilityMatrix</t>
  </si>
  <si>
    <t>Date</t>
  </si>
  <si>
    <t>Caplet vol</t>
  </si>
  <si>
    <t>Swap Rate</t>
  </si>
  <si>
    <t>Black Vol</t>
  </si>
  <si>
    <t>RateATMVolatilityMatrix</t>
  </si>
  <si>
    <t>ExpiryTrigger</t>
  </si>
  <si>
    <t xml:space="preserve"> </t>
  </si>
  <si>
    <t>AUD 3M "Zero Bank" Curve</t>
  </si>
  <si>
    <t>Build Curve:</t>
  </si>
  <si>
    <t>Publish timestamp:</t>
  </si>
  <si>
    <t>AUD 1M Curve</t>
  </si>
  <si>
    <t>1x3</t>
  </si>
  <si>
    <t>Trader Curves (AUD)</t>
  </si>
  <si>
    <t>Market Name:</t>
  </si>
  <si>
    <t>3x6</t>
  </si>
  <si>
    <t>AUD 6M Curve</t>
  </si>
  <si>
    <t>Value Date</t>
  </si>
  <si>
    <t>Last Publish Attempt</t>
  </si>
  <si>
    <t>LPM</t>
  </si>
  <si>
    <t>LAST PUBLISHED</t>
  </si>
  <si>
    <t>Time taken   (seconds)</t>
  </si>
  <si>
    <t>Now</t>
  </si>
  <si>
    <t>On</t>
  </si>
  <si>
    <t>Super Derivatives</t>
  </si>
  <si>
    <t>Curve Name:</t>
  </si>
  <si>
    <t>STRUCTURE PROPERTIES</t>
  </si>
  <si>
    <t>PUBLISH PROPERTIES</t>
  </si>
  <si>
    <t>6M Interest Rate Curve</t>
  </si>
  <si>
    <t>Bond Futures Pay Side</t>
  </si>
  <si>
    <t>Curve name:</t>
  </si>
  <si>
    <t>Publish Timestamp:</t>
  </si>
  <si>
    <t>Bond Futures Receive Side</t>
  </si>
  <si>
    <t>Caps / Floors Curve</t>
  </si>
  <si>
    <t>Swaption Volatilities</t>
  </si>
  <si>
    <t>Cap Floor Volatilities</t>
  </si>
  <si>
    <t>Swapton Volatilities</t>
  </si>
  <si>
    <t>INTERMEDIATE CALCULATIONS</t>
  </si>
  <si>
    <t>Curve Publisher</t>
  </si>
  <si>
    <t>Publish frequency (minutes)</t>
  </si>
  <si>
    <t>Publish lifetime (minutes)</t>
  </si>
  <si>
    <t>TIMER DETAILS</t>
  </si>
  <si>
    <t>PUBLISHING SETTINGS</t>
  </si>
  <si>
    <t>PRICING SETTINGS</t>
  </si>
  <si>
    <t>COMPONENT CONTROL</t>
  </si>
  <si>
    <t xml:space="preserve">  Trader AUD</t>
  </si>
  <si>
    <t xml:space="preserve">  LPM</t>
  </si>
  <si>
    <t xml:space="preserve">  Super Derivatives</t>
  </si>
  <si>
    <t>Error Log</t>
  </si>
  <si>
    <t>build the curve object)</t>
  </si>
  <si>
    <r>
      <rPr>
        <b/>
        <sz val="11"/>
        <rFont val="Calibri"/>
        <family val="2"/>
      </rPr>
      <t>Curve Inputs</t>
    </r>
    <r>
      <rPr>
        <sz val="11"/>
        <rFont val="Calibri"/>
        <family val="2"/>
        <scheme val="minor"/>
      </rPr>
      <t xml:space="preserve">   (The data below is used to</t>
    </r>
  </si>
  <si>
    <r>
      <rPr>
        <b/>
        <sz val="11"/>
        <rFont val="Calibri"/>
        <family val="2"/>
      </rPr>
      <t xml:space="preserve">   Pillar Points</t>
    </r>
    <r>
      <rPr>
        <sz val="11"/>
        <rFont val="Calibri"/>
        <family val="2"/>
        <scheme val="minor"/>
      </rPr>
      <t xml:space="preserve"> (not necessarily coincide</t>
    </r>
  </si>
  <si>
    <t xml:space="preserve">   with instruments on LHS, esp near expiry)</t>
  </si>
  <si>
    <t>Test</t>
  </si>
  <si>
    <t>AUD-BondFuturesPay</t>
  </si>
</sst>
</file>

<file path=xl/styles.xml><?xml version="1.0" encoding="utf-8"?>
<styleSheet xmlns="http://schemas.openxmlformats.org/spreadsheetml/2006/main">
  <numFmts count="16">
    <numFmt numFmtId="43" formatCode="_-* #,##0.00_-;\-* #,##0.00_-;_-* &quot;-&quot;??_-;_-@_-"/>
    <numFmt numFmtId="164" formatCode="&quot;$&quot;#,##0\ ;\(&quot;$&quot;#,##0\)"/>
    <numFmt numFmtId="165" formatCode="dd\-mmm\-yy"/>
    <numFmt numFmtId="166" formatCode="0.00_)"/>
    <numFmt numFmtId="167" formatCode="0.000%"/>
    <numFmt numFmtId="168" formatCode="#,##0.0;#,##0.0"/>
    <numFmt numFmtId="169" formatCode="\+#,##0.00;\-#,##0.00"/>
    <numFmt numFmtId="170" formatCode="d/mm/yyyy\ h:mm:ss"/>
    <numFmt numFmtId="171" formatCode="0.000"/>
    <numFmt numFmtId="172" formatCode="0.0000%"/>
    <numFmt numFmtId="173" formatCode="#,##0.000000"/>
    <numFmt numFmtId="174" formatCode="hh:mm:ss;@"/>
    <numFmt numFmtId="175" formatCode="d\-mmm\-yy\ \ \ hh:mm:ss"/>
    <numFmt numFmtId="176" formatCode="dd\-mmm\-yy\ hh:mm:ss"/>
    <numFmt numFmtId="177" formatCode="0.0000"/>
    <numFmt numFmtId="178" formatCode="0.000000"/>
  </numFmts>
  <fonts count="56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3399"/>
      <name val="Arial"/>
      <family val="2"/>
    </font>
    <font>
      <sz val="10"/>
      <color theme="1" tint="0.499984740745262"/>
      <name val="Arial"/>
      <family val="2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1BD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</borders>
  <cellStyleXfs count="488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wrapText="1"/>
    </xf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Alignment="0"/>
    <xf numFmtId="0" fontId="7" fillId="4" borderId="0" applyNumberFormat="0" applyBorder="0" applyAlignment="0" applyProtection="0"/>
    <xf numFmtId="0" fontId="38" fillId="22" borderId="1"/>
    <xf numFmtId="0" fontId="8" fillId="23" borderId="1" applyNumberFormat="0" applyAlignment="0" applyProtection="0"/>
    <xf numFmtId="0" fontId="9" fillId="24" borderId="2" applyNumberFormat="0" applyAlignment="0" applyProtection="0"/>
    <xf numFmtId="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0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11" fillId="5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23" fillId="25" borderId="0" applyNumberFormat="0" applyBorder="0">
      <alignment horizontal="right" vertical="center"/>
    </xf>
    <xf numFmtId="19" fontId="23" fillId="25" borderId="6" applyNumberFormat="0" applyBorder="0">
      <alignment horizontal="left" vertical="center"/>
    </xf>
    <xf numFmtId="2" fontId="24" fillId="26" borderId="0">
      <alignment horizontal="center" vertical="center"/>
    </xf>
    <xf numFmtId="2" fontId="24" fillId="26" borderId="7" applyBorder="0">
      <alignment horizontal="left" vertical="center"/>
    </xf>
    <xf numFmtId="0" fontId="23" fillId="25" borderId="0">
      <alignment horizontal="right" vertical="center"/>
    </xf>
    <xf numFmtId="19" fontId="25" fillId="25" borderId="8" applyNumberFormat="0" applyBorder="0">
      <alignment horizontal="left" vertical="center" indent="1"/>
    </xf>
    <xf numFmtId="2" fontId="26" fillId="26" borderId="9" applyBorder="0">
      <alignment horizontal="left" vertical="center" indent="1"/>
    </xf>
    <xf numFmtId="2" fontId="26" fillId="26" borderId="10" applyBorder="0">
      <alignment horizontal="center" vertical="center"/>
    </xf>
    <xf numFmtId="0" fontId="15" fillId="8" borderId="1" applyNumberFormat="0" applyAlignment="0" applyProtection="0"/>
    <xf numFmtId="2" fontId="4" fillId="27" borderId="11" applyBorder="0">
      <alignment horizontal="left" vertical="center" indent="1"/>
    </xf>
    <xf numFmtId="0" fontId="4" fillId="27" borderId="0">
      <alignment horizontal="right" vertical="center"/>
    </xf>
    <xf numFmtId="2" fontId="4" fillId="27" borderId="6" applyNumberFormat="0" applyBorder="0">
      <alignment horizontal="right" vertical="center"/>
    </xf>
    <xf numFmtId="2" fontId="27" fillId="28" borderId="8" applyBorder="0">
      <alignment horizontal="left" vertical="center" indent="1"/>
    </xf>
    <xf numFmtId="2" fontId="27" fillId="28" borderId="0">
      <alignment horizontal="right" vertical="center"/>
    </xf>
    <xf numFmtId="2" fontId="27" fillId="28" borderId="7" applyBorder="0">
      <alignment horizontal="left" vertical="center"/>
    </xf>
    <xf numFmtId="2" fontId="27" fillId="28" borderId="12" applyBorder="0">
      <alignment horizontal="center" vertical="center"/>
    </xf>
    <xf numFmtId="19" fontId="25" fillId="29" borderId="13" applyNumberFormat="0" applyBorder="0">
      <alignment horizontal="left" vertical="center"/>
    </xf>
    <xf numFmtId="165" fontId="25" fillId="29" borderId="10" applyNumberFormat="0" applyBorder="0">
      <alignment horizontal="right" vertical="center"/>
    </xf>
    <xf numFmtId="19" fontId="25" fillId="29" borderId="14" applyNumberFormat="0" applyBorder="0">
      <alignment horizontal="right" vertical="center"/>
    </xf>
    <xf numFmtId="2" fontId="26" fillId="30" borderId="15" applyBorder="0">
      <alignment horizontal="left" vertical="center" indent="1"/>
    </xf>
    <xf numFmtId="2" fontId="26" fillId="30" borderId="7" applyNumberFormat="0">
      <alignment horizontal="center" vertical="center"/>
    </xf>
    <xf numFmtId="2" fontId="26" fillId="30" borderId="7" applyNumberFormat="0" applyBorder="0">
      <alignment horizontal="left" vertical="center"/>
    </xf>
    <xf numFmtId="2" fontId="4" fillId="31" borderId="14" applyNumberFormat="0" applyBorder="0">
      <alignment horizontal="right" vertical="center"/>
    </xf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4" fillId="0" borderId="0" applyNumberFormat="0" applyFont="0" applyFill="0" applyBorder="0" applyAlignment="0"/>
    <xf numFmtId="166" fontId="28" fillId="0" borderId="0"/>
    <xf numFmtId="0" fontId="4" fillId="33" borderId="17" applyNumberFormat="0" applyFont="0" applyAlignment="0" applyProtection="0"/>
    <xf numFmtId="0" fontId="29" fillId="34" borderId="18" applyNumberFormat="0" applyBorder="0">
      <alignment horizontal="left" vertical="center"/>
    </xf>
    <xf numFmtId="2" fontId="29" fillId="34" borderId="7" applyNumberFormat="0" applyBorder="0">
      <alignment horizontal="left" vertical="center"/>
    </xf>
    <xf numFmtId="2" fontId="27" fillId="28" borderId="19" applyNumberFormat="0" applyBorder="0">
      <alignment horizontal="left" vertical="center"/>
    </xf>
    <xf numFmtId="2" fontId="27" fillId="28" borderId="7" applyNumberFormat="0" applyBorder="0">
      <alignment horizontal="left" vertical="center"/>
    </xf>
    <xf numFmtId="0" fontId="18" fillId="23" borderId="20" applyNumberFormat="0" applyAlignment="0" applyProtection="0"/>
    <xf numFmtId="19" fontId="4" fillId="35" borderId="21" applyNumberFormat="0" applyBorder="0">
      <alignment horizontal="left" vertical="center" indent="1"/>
    </xf>
    <xf numFmtId="0" fontId="4" fillId="35" borderId="0">
      <alignment horizontal="right" vertical="center"/>
    </xf>
    <xf numFmtId="19" fontId="4" fillId="35" borderId="14" applyNumberFormat="0" applyBorder="0">
      <alignment horizontal="right" vertical="center"/>
    </xf>
    <xf numFmtId="2" fontId="30" fillId="36" borderId="9" applyBorder="0">
      <alignment horizontal="left" vertical="center" indent="1"/>
    </xf>
    <xf numFmtId="2" fontId="30" fillId="36" borderId="0">
      <alignment horizontal="center" vertical="center"/>
    </xf>
    <xf numFmtId="2" fontId="30" fillId="36" borderId="22">
      <alignment horizontal="left" vertical="center"/>
    </xf>
    <xf numFmtId="0" fontId="31" fillId="37" borderId="12">
      <alignment horizontal="center"/>
    </xf>
    <xf numFmtId="167" fontId="32" fillId="38" borderId="0" applyNumberFormat="0" applyBorder="0">
      <alignment horizontal="right" vertical="center"/>
    </xf>
    <xf numFmtId="167" fontId="32" fillId="38" borderId="0" applyNumberFormat="0" applyBorder="0">
      <alignment horizontal="right" vertical="center"/>
    </xf>
    <xf numFmtId="0" fontId="33" fillId="39" borderId="12" applyNumberFormat="0">
      <alignment horizontal="center" vertical="center"/>
    </xf>
    <xf numFmtId="0" fontId="33" fillId="39" borderId="0" applyNumberFormat="0" applyBorder="0">
      <alignment horizontal="left" vertical="center" indent="1"/>
    </xf>
    <xf numFmtId="168" fontId="34" fillId="40" borderId="0">
      <alignment horizontal="center" vertical="center"/>
    </xf>
    <xf numFmtId="0" fontId="39" fillId="41" borderId="23"/>
    <xf numFmtId="169" fontId="35" fillId="42" borderId="0">
      <alignment horizontal="center" vertical="center"/>
      <protection locked="0"/>
    </xf>
    <xf numFmtId="0" fontId="4" fillId="0" borderId="0">
      <alignment horizontal="left" wrapText="1"/>
    </xf>
    <xf numFmtId="2" fontId="36" fillId="43" borderId="18" applyNumberFormat="0" applyFill="0" applyBorder="0" applyAlignment="0">
      <alignment horizontal="center"/>
      <protection locked="0"/>
    </xf>
    <xf numFmtId="2" fontId="4" fillId="22" borderId="7" applyNumberFormat="0" applyBorder="0">
      <alignment horizontal="right" vertical="center"/>
    </xf>
    <xf numFmtId="2" fontId="4" fillId="22" borderId="0">
      <alignment horizontal="right" vertical="center"/>
    </xf>
    <xf numFmtId="0" fontId="38" fillId="44" borderId="23">
      <alignment vertical="top"/>
    </xf>
    <xf numFmtId="2" fontId="27" fillId="45" borderId="12">
      <alignment horizontal="center" vertical="center"/>
    </xf>
    <xf numFmtId="2" fontId="27" fillId="45" borderId="0" applyNumberFormat="0" applyBorder="0">
      <alignment horizontal="left" vertical="center"/>
    </xf>
    <xf numFmtId="2" fontId="27" fillId="45" borderId="12">
      <alignment horizontal="center" vertical="center"/>
    </xf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38" fontId="37" fillId="0" borderId="0" applyFont="0" applyFill="0" applyBorder="0" applyAlignment="0" applyProtection="0"/>
    <xf numFmtId="0" fontId="37" fillId="0" borderId="0"/>
    <xf numFmtId="0" fontId="13" fillId="0" borderId="4" applyNumberFormat="0" applyFill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20" borderId="0" applyNumberFormat="0" applyBorder="0" applyAlignment="0" applyProtection="0"/>
    <xf numFmtId="0" fontId="11" fillId="5" borderId="0" applyNumberFormat="0" applyBorder="0" applyAlignment="0" applyProtection="0"/>
    <xf numFmtId="0" fontId="7" fillId="4" borderId="0" applyNumberFormat="0" applyBorder="0" applyAlignment="0" applyProtection="0"/>
    <xf numFmtId="0" fontId="12" fillId="0" borderId="3" applyNumberFormat="0" applyFill="0" applyAlignment="0" applyProtection="0"/>
    <xf numFmtId="0" fontId="8" fillId="23" borderId="1" applyNumberFormat="0" applyAlignment="0" applyProtection="0"/>
    <xf numFmtId="0" fontId="9" fillId="24" borderId="2" applyNumberFormat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1" fillId="5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5" fillId="8" borderId="1" applyNumberFormat="0" applyAlignment="0" applyProtection="0"/>
    <xf numFmtId="0" fontId="15" fillId="8" borderId="1" applyNumberFormat="0" applyAlignment="0" applyProtection="0"/>
    <xf numFmtId="0" fontId="14" fillId="0" borderId="5" applyNumberFormat="0" applyFill="0" applyAlignment="0" applyProtection="0"/>
    <xf numFmtId="0" fontId="15" fillId="8" borderId="1" applyNumberFormat="0" applyAlignment="0" applyProtection="0"/>
    <xf numFmtId="0" fontId="14" fillId="0" borderId="0" applyNumberFormat="0" applyFill="0" applyBorder="0" applyAlignment="0" applyProtection="0"/>
    <xf numFmtId="0" fontId="15" fillId="8" borderId="1" applyNumberFormat="0" applyAlignment="0" applyProtection="0"/>
    <xf numFmtId="0" fontId="15" fillId="8" borderId="1" applyNumberFormat="0" applyAlignment="0" applyProtection="0"/>
    <xf numFmtId="0" fontId="15" fillId="8" borderId="1" applyNumberFormat="0" applyAlignment="0" applyProtection="0"/>
    <xf numFmtId="0" fontId="15" fillId="8" borderId="1" applyNumberFormat="0" applyAlignment="0" applyProtection="0"/>
    <xf numFmtId="0" fontId="14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2" fillId="0" borderId="3" applyNumberFormat="0" applyFill="0" applyAlignment="0" applyProtection="0"/>
    <xf numFmtId="0" fontId="11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13" fillId="0" borderId="4" applyNumberFormat="0" applyFill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2" fillId="0" borderId="3" applyNumberFormat="0" applyFill="0" applyAlignment="0" applyProtection="0"/>
    <xf numFmtId="0" fontId="4" fillId="33" borderId="17" applyNumberFormat="0" applyFont="0" applyAlignment="0" applyProtection="0"/>
    <xf numFmtId="0" fontId="7" fillId="4" borderId="0" applyNumberFormat="0" applyBorder="0" applyAlignment="0" applyProtection="0"/>
    <xf numFmtId="0" fontId="11" fillId="5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18" fillId="23" borderId="20" applyNumberFormat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3" fillId="2" borderId="0">
      <alignment vertical="top"/>
    </xf>
    <xf numFmtId="0" fontId="10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11" fillId="5" borderId="0" applyNumberFormat="0" applyBorder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11" fillId="5" borderId="0" applyNumberFormat="0" applyBorder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0" fillId="0" borderId="0" applyNumberFormat="0" applyFill="0" applyBorder="0" applyAlignment="0" applyProtection="0"/>
    <xf numFmtId="0" fontId="4" fillId="33" borderId="17" applyNumberFormat="0" applyFont="0" applyAlignment="0" applyProtection="0"/>
    <xf numFmtId="0" fontId="7" fillId="4" borderId="0" applyNumberFormat="0" applyBorder="0" applyAlignment="0" applyProtection="0"/>
    <xf numFmtId="2" fontId="4" fillId="0" borderId="0" applyFont="0" applyFill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18" fillId="23" borderId="20" applyNumberFormat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14" fillId="0" borderId="0" applyNumberFormat="0" applyFill="0" applyBorder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4" fillId="0" borderId="5" applyNumberFormat="0" applyFill="0" applyAlignment="0" applyProtection="0"/>
    <xf numFmtId="0" fontId="4" fillId="33" borderId="17" applyNumberFormat="0" applyFont="0" applyAlignment="0" applyProtection="0"/>
    <xf numFmtId="0" fontId="7" fillId="4" borderId="0" applyNumberFormat="0" applyBorder="0" applyAlignment="0" applyProtection="0"/>
    <xf numFmtId="0" fontId="13" fillId="0" borderId="4" applyNumberFormat="0" applyFill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18" fillId="23" borderId="20" applyNumberFormat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3" fillId="2" borderId="0">
      <alignment vertical="top"/>
    </xf>
    <xf numFmtId="0" fontId="4" fillId="0" borderId="0" applyFont="0" applyFill="0" applyBorder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164" fontId="4" fillId="0" borderId="0" applyFont="0" applyFill="0" applyBorder="0" applyAlignment="0" applyProtection="0"/>
    <xf numFmtId="0" fontId="7" fillId="4" borderId="0" applyNumberFormat="0" applyBorder="0" applyAlignment="0" applyProtection="0"/>
    <xf numFmtId="3" fontId="4" fillId="0" borderId="0" applyFont="0" applyFill="0" applyBorder="0" applyAlignment="0" applyProtection="0"/>
    <xf numFmtId="0" fontId="6" fillId="20" borderId="0" applyNumberFormat="0" applyBorder="0" applyAlignment="0" applyProtection="0"/>
    <xf numFmtId="0" fontId="4" fillId="33" borderId="17" applyNumberFormat="0" applyFont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18" fillId="23" borderId="20" applyNumberFormat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9" fontId="4" fillId="0" borderId="0" applyFont="0" applyFill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9" fillId="24" borderId="2" applyNumberFormat="0" applyAlignment="0" applyProtection="0"/>
    <xf numFmtId="0" fontId="3" fillId="2" borderId="0">
      <alignment vertical="top"/>
    </xf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11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5" fillId="8" borderId="1" applyNumberFormat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4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4" fillId="33" borderId="17" applyNumberFormat="0" applyFont="0" applyAlignment="0" applyProtection="0"/>
    <xf numFmtId="0" fontId="14" fillId="0" borderId="5" applyNumberFormat="0" applyFill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18" fillId="23" borderId="20" applyNumberFormat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13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3" fillId="2" borderId="0">
      <alignment vertical="top"/>
    </xf>
    <xf numFmtId="0" fontId="8" fillId="23" borderId="1" applyNumberFormat="0" applyAlignment="0" applyProtection="0"/>
    <xf numFmtId="0" fontId="7" fillId="4" borderId="0" applyNumberFormat="0" applyBorder="0" applyAlignment="0" applyProtection="0"/>
    <xf numFmtId="0" fontId="22" fillId="21" borderId="0" applyAlignment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4" fillId="33" borderId="17" applyNumberFormat="0" applyFont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18" fillId="23" borderId="20" applyNumberFormat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4" fillId="0" borderId="0" applyNumberFormat="0" applyFill="0" applyBorder="0" applyAlignment="0" applyProtection="0">
      <alignment horizontal="left" wrapText="1"/>
    </xf>
    <xf numFmtId="0" fontId="3" fillId="2" borderId="0">
      <alignment vertical="top"/>
    </xf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12" fillId="0" borderId="3" applyNumberFormat="0" applyFill="0" applyAlignment="0" applyProtection="0"/>
    <xf numFmtId="0" fontId="11" fillId="5" borderId="0" applyNumberFormat="0" applyBorder="0" applyAlignment="0" applyProtection="0"/>
    <xf numFmtId="2" fontId="4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9" fillId="24" borderId="2" applyNumberFormat="0" applyAlignment="0" applyProtection="0"/>
    <xf numFmtId="0" fontId="8" fillId="23" borderId="1" applyNumberFormat="0" applyAlignment="0" applyProtection="0"/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4" fillId="0" borderId="0" applyNumberFormat="0" applyFont="0" applyFill="0" applyBorder="0" applyAlignment="0"/>
    <xf numFmtId="0" fontId="7" fillId="4" borderId="0" applyNumberFormat="0" applyBorder="0" applyAlignment="0" applyProtection="0"/>
    <xf numFmtId="0" fontId="4" fillId="33" borderId="17" applyNumberFormat="0" applyFont="0" applyAlignment="0" applyProtection="0"/>
    <xf numFmtId="0" fontId="22" fillId="21" borderId="0" applyAlignment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18" fillId="23" borderId="20" applyNumberFormat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7" borderId="0" applyNumberFormat="0" applyBorder="0" applyAlignment="0" applyProtection="0"/>
    <xf numFmtId="0" fontId="6" fillId="16" borderId="0" applyNumberFormat="0" applyBorder="0" applyAlignment="0" applyProtection="0"/>
    <xf numFmtId="0" fontId="6" fillId="15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6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4" fillId="0" borderId="0">
      <alignment horizontal="left" wrapText="1"/>
    </xf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5" borderId="0" applyNumberFormat="0" applyBorder="0" applyAlignment="0" applyProtection="0"/>
    <xf numFmtId="0" fontId="5" fillId="4" borderId="0" applyNumberFormat="0" applyBorder="0" applyAlignment="0" applyProtection="0"/>
    <xf numFmtId="0" fontId="5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horizontal="left" wrapText="1"/>
    </xf>
    <xf numFmtId="0" fontId="3" fillId="2" borderId="0">
      <alignment vertical="top"/>
    </xf>
    <xf numFmtId="0" fontId="16" fillId="0" borderId="16" applyNumberFormat="0" applyFill="0" applyAlignment="0" applyProtection="0"/>
    <xf numFmtId="0" fontId="17" fillId="32" borderId="0" applyNumberFormat="0" applyBorder="0" applyAlignment="0" applyProtection="0"/>
    <xf numFmtId="0" fontId="4" fillId="0" borderId="0" applyNumberFormat="0" applyFont="0" applyFill="0" applyBorder="0" applyAlignment="0"/>
    <xf numFmtId="0" fontId="4" fillId="33" borderId="17" applyNumberFormat="0" applyFont="0" applyAlignment="0" applyProtection="0"/>
    <xf numFmtId="0" fontId="18" fillId="23" borderId="20" applyNumberFormat="0" applyAlignment="0" applyProtection="0"/>
    <xf numFmtId="0" fontId="4" fillId="0" borderId="0">
      <alignment horizontal="left" wrapText="1"/>
    </xf>
    <xf numFmtId="0" fontId="19" fillId="0" borderId="0" applyNumberFormat="0" applyFill="0" applyBorder="0" applyAlignment="0" applyProtection="0"/>
    <xf numFmtId="0" fontId="20" fillId="0" borderId="24" applyNumberFormat="0" applyFill="0" applyAlignment="0" applyProtection="0"/>
    <xf numFmtId="0" fontId="21" fillId="0" borderId="0" applyNumberFormat="0" applyFill="0" applyBorder="0" applyAlignment="0" applyProtection="0"/>
    <xf numFmtId="2" fontId="4" fillId="27" borderId="11" applyBorder="0">
      <alignment horizontal="left" vertical="center" indent="1"/>
    </xf>
    <xf numFmtId="0" fontId="4" fillId="27" borderId="0">
      <alignment horizontal="right" vertical="center"/>
    </xf>
    <xf numFmtId="2" fontId="4" fillId="27" borderId="6" applyNumberFormat="0" applyBorder="0">
      <alignment horizontal="right" vertical="center"/>
    </xf>
    <xf numFmtId="2" fontId="4" fillId="31" borderId="14" applyNumberFormat="0" applyBorder="0">
      <alignment horizontal="right" vertical="center"/>
    </xf>
    <xf numFmtId="19" fontId="4" fillId="35" borderId="21" applyNumberFormat="0" applyBorder="0">
      <alignment horizontal="left" vertical="center" indent="1"/>
    </xf>
    <xf numFmtId="0" fontId="4" fillId="35" borderId="0">
      <alignment horizontal="right" vertical="center"/>
    </xf>
    <xf numFmtId="19" fontId="4" fillId="35" borderId="14" applyNumberFormat="0" applyBorder="0">
      <alignment horizontal="right" vertical="center"/>
    </xf>
    <xf numFmtId="2" fontId="4" fillId="22" borderId="7" applyNumberFormat="0" applyBorder="0">
      <alignment horizontal="right" vertical="center"/>
    </xf>
    <xf numFmtId="2" fontId="4" fillId="22" borderId="0">
      <alignment horizontal="right" vertical="center"/>
    </xf>
    <xf numFmtId="2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22" fillId="21" borderId="0" applyAlignment="0"/>
    <xf numFmtId="0" fontId="4" fillId="0" borderId="0" applyNumberFormat="0" applyFill="0" applyBorder="0" applyAlignment="0" applyProtection="0">
      <alignment horizontal="left" wrapText="1"/>
    </xf>
    <xf numFmtId="0" fontId="3" fillId="2" borderId="0">
      <alignment vertical="top"/>
    </xf>
    <xf numFmtId="2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0" fontId="4" fillId="0" borderId="0" applyNumberFormat="0" applyFont="0" applyFill="0" applyBorder="0" applyAlignment="0"/>
    <xf numFmtId="0" fontId="4" fillId="33" borderId="17" applyNumberFormat="0" applyFont="0" applyAlignment="0" applyProtection="0"/>
    <xf numFmtId="0" fontId="22" fillId="21" borderId="0" applyAlignment="0"/>
    <xf numFmtId="0" fontId="4" fillId="0" borderId="0">
      <alignment horizontal="left" wrapText="1"/>
    </xf>
    <xf numFmtId="0" fontId="4" fillId="0" borderId="0" applyNumberFormat="0" applyFill="0" applyBorder="0" applyAlignment="0" applyProtection="0">
      <alignment horizontal="left" wrapText="1"/>
    </xf>
    <xf numFmtId="0" fontId="3" fillId="2" borderId="0">
      <alignment vertical="top"/>
    </xf>
    <xf numFmtId="0" fontId="4" fillId="0" borderId="0" applyNumberFormat="0" applyFont="0" applyFill="0" applyBorder="0" applyAlignment="0"/>
    <xf numFmtId="0" fontId="4" fillId="33" borderId="17" applyNumberFormat="0" applyFont="0" applyAlignment="0" applyProtection="0"/>
    <xf numFmtId="0" fontId="4" fillId="0" borderId="0">
      <alignment horizontal="left" wrapText="1"/>
    </xf>
    <xf numFmtId="0" fontId="3" fillId="2" borderId="0">
      <alignment vertical="top"/>
    </xf>
    <xf numFmtId="0" fontId="44" fillId="46" borderId="0" applyNumberFormat="0" applyFont="0" applyBorder="0" applyAlignment="0" applyProtection="0"/>
    <xf numFmtId="0" fontId="45" fillId="50" borderId="0" applyNumberFormat="0" applyBorder="0" applyAlignment="0">
      <protection locked="0"/>
    </xf>
    <xf numFmtId="0" fontId="2" fillId="0" borderId="0"/>
    <xf numFmtId="9" fontId="2" fillId="0" borderId="0" applyFont="0" applyFill="0" applyBorder="0" applyAlignment="0" applyProtection="0"/>
    <xf numFmtId="0" fontId="43" fillId="51" borderId="0" applyNumberFormat="0" applyFont="0" applyBorder="0" applyAlignment="0" applyProtection="0">
      <alignment horizontal="center"/>
    </xf>
  </cellStyleXfs>
  <cellXfs count="137">
    <xf numFmtId="0" fontId="0" fillId="0" borderId="0" xfId="0"/>
    <xf numFmtId="0" fontId="0" fillId="0" borderId="0" xfId="0"/>
    <xf numFmtId="0" fontId="40" fillId="0" borderId="0" xfId="280" applyFont="1" applyFill="1" applyBorder="1" applyAlignment="1">
      <alignment horizontal="left" vertical="center"/>
    </xf>
    <xf numFmtId="0" fontId="40" fillId="0" borderId="0" xfId="280" applyFont="1" applyFill="1" applyBorder="1" applyAlignment="1">
      <alignment vertical="center"/>
    </xf>
    <xf numFmtId="0" fontId="40" fillId="0" borderId="0" xfId="280" applyFont="1" applyFill="1" applyBorder="1" applyAlignment="1">
      <alignment horizontal="center" vertical="center"/>
    </xf>
    <xf numFmtId="15" fontId="40" fillId="0" borderId="0" xfId="280" applyNumberFormat="1" applyFont="1" applyFill="1" applyBorder="1" applyAlignment="1">
      <alignment horizontal="center" vertical="center"/>
    </xf>
    <xf numFmtId="173" fontId="40" fillId="0" borderId="0" xfId="280" applyNumberFormat="1" applyFont="1" applyFill="1" applyBorder="1" applyAlignment="1">
      <alignment horizontal="center" vertical="center"/>
    </xf>
    <xf numFmtId="167" fontId="40" fillId="0" borderId="0" xfId="280" applyNumberFormat="1" applyFont="1" applyFill="1" applyBorder="1" applyAlignment="1">
      <alignment horizontal="center" vertical="center"/>
    </xf>
    <xf numFmtId="0" fontId="40" fillId="0" borderId="0" xfId="280" applyFont="1" applyFill="1" applyBorder="1" applyAlignment="1">
      <alignment horizontal="right" vertical="center"/>
    </xf>
    <xf numFmtId="3" fontId="40" fillId="49" borderId="0" xfId="280" applyNumberFormat="1" applyFont="1" applyFill="1" applyBorder="1" applyAlignment="1">
      <alignment horizontal="left" vertical="center"/>
    </xf>
    <xf numFmtId="15" fontId="40" fillId="49" borderId="0" xfId="280" applyNumberFormat="1" applyFont="1" applyFill="1" applyBorder="1" applyAlignment="1">
      <alignment horizontal="center" vertical="center"/>
    </xf>
    <xf numFmtId="173" fontId="40" fillId="49" borderId="0" xfId="280" applyNumberFormat="1" applyFont="1" applyFill="1" applyBorder="1" applyAlignment="1">
      <alignment horizontal="center" vertical="center"/>
    </xf>
    <xf numFmtId="167" fontId="40" fillId="49" borderId="0" xfId="280" applyNumberFormat="1" applyFont="1" applyFill="1" applyBorder="1" applyAlignment="1">
      <alignment horizontal="center" vertical="center"/>
    </xf>
    <xf numFmtId="0" fontId="42" fillId="0" borderId="0" xfId="280" applyFont="1" applyFill="1" applyBorder="1" applyAlignment="1">
      <alignment vertical="center"/>
    </xf>
    <xf numFmtId="172" fontId="40" fillId="49" borderId="0" xfId="1" applyNumberFormat="1" applyFont="1" applyFill="1" applyBorder="1" applyAlignment="1">
      <alignment horizontal="center" vertical="center"/>
    </xf>
    <xf numFmtId="0" fontId="45" fillId="50" borderId="0" xfId="484" applyBorder="1" applyAlignment="1">
      <alignment horizontal="left" vertical="center"/>
      <protection locked="0"/>
    </xf>
    <xf numFmtId="171" fontId="45" fillId="50" borderId="0" xfId="484" applyNumberFormat="1" applyBorder="1" applyAlignment="1">
      <alignment horizontal="left" vertical="center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0" xfId="0" quotePrefix="1" applyFont="1"/>
    <xf numFmtId="0" fontId="0" fillId="0" borderId="0" xfId="0" applyAlignment="1">
      <alignment horizontal="left"/>
    </xf>
    <xf numFmtId="0" fontId="46" fillId="0" borderId="0" xfId="0" applyFont="1" applyAlignment="1">
      <alignment horizontal="left"/>
    </xf>
    <xf numFmtId="174" fontId="40" fillId="0" borderId="0" xfId="280" applyNumberFormat="1" applyFont="1" applyFill="1" applyBorder="1" applyAlignment="1">
      <alignment horizontal="left" vertical="center"/>
    </xf>
    <xf numFmtId="15" fontId="47" fillId="0" borderId="0" xfId="0" applyNumberFormat="1" applyFont="1" applyAlignment="1">
      <alignment horizontal="left"/>
    </xf>
    <xf numFmtId="0" fontId="48" fillId="0" borderId="0" xfId="0" applyFont="1" applyAlignment="1">
      <alignment horizontal="left"/>
    </xf>
    <xf numFmtId="176" fontId="46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left"/>
    </xf>
    <xf numFmtId="176" fontId="4" fillId="0" borderId="0" xfId="0" applyNumberFormat="1" applyFont="1" applyAlignment="1">
      <alignment horizontal="left"/>
    </xf>
    <xf numFmtId="0" fontId="45" fillId="50" borderId="0" xfId="484" applyAlignment="1">
      <alignment horizontal="center"/>
      <protection locked="0"/>
    </xf>
    <xf numFmtId="0" fontId="2" fillId="49" borderId="0" xfId="0" applyFont="1" applyFill="1"/>
    <xf numFmtId="0" fontId="40" fillId="0" borderId="0" xfId="0" applyFont="1" applyFill="1"/>
    <xf numFmtId="0" fontId="40" fillId="0" borderId="0" xfId="0" applyFont="1" applyFill="1" applyAlignment="1">
      <alignment horizontal="center"/>
    </xf>
    <xf numFmtId="15" fontId="40" fillId="0" borderId="0" xfId="0" applyNumberFormat="1" applyFont="1" applyFill="1" applyAlignment="1">
      <alignment horizontal="center"/>
    </xf>
    <xf numFmtId="173" fontId="40" fillId="0" borderId="0" xfId="0" applyNumberFormat="1" applyFont="1" applyFill="1" applyAlignment="1">
      <alignment horizontal="center"/>
    </xf>
    <xf numFmtId="167" fontId="40" fillId="0" borderId="0" xfId="0" applyNumberFormat="1" applyFont="1" applyFill="1" applyAlignment="1">
      <alignment horizontal="right"/>
    </xf>
    <xf numFmtId="0" fontId="40" fillId="0" borderId="0" xfId="0" applyFont="1" applyFill="1" applyAlignment="1">
      <alignment horizontal="left"/>
    </xf>
    <xf numFmtId="9" fontId="40" fillId="0" borderId="0" xfId="0" applyNumberFormat="1" applyFont="1" applyFill="1" applyAlignment="1">
      <alignment horizontal="center"/>
    </xf>
    <xf numFmtId="15" fontId="40" fillId="0" borderId="0" xfId="0" applyNumberFormat="1" applyFont="1" applyFill="1" applyBorder="1" applyAlignment="1">
      <alignment horizontal="center"/>
    </xf>
    <xf numFmtId="173" fontId="40" fillId="0" borderId="0" xfId="0" applyNumberFormat="1" applyFont="1" applyFill="1" applyBorder="1" applyAlignment="1">
      <alignment horizontal="center"/>
    </xf>
    <xf numFmtId="167" fontId="40" fillId="0" borderId="0" xfId="0" applyNumberFormat="1" applyFont="1" applyFill="1" applyBorder="1" applyAlignment="1">
      <alignment horizontal="right"/>
    </xf>
    <xf numFmtId="0" fontId="40" fillId="0" borderId="0" xfId="0" applyFont="1" applyFill="1" applyBorder="1" applyAlignment="1">
      <alignment horizontal="left"/>
    </xf>
    <xf numFmtId="9" fontId="40" fillId="0" borderId="0" xfId="0" applyNumberFormat="1" applyFont="1" applyFill="1" applyBorder="1" applyAlignment="1">
      <alignment horizontal="center"/>
    </xf>
    <xf numFmtId="0" fontId="40" fillId="0" borderId="0" xfId="0" applyFont="1" applyFill="1" applyBorder="1"/>
    <xf numFmtId="0" fontId="40" fillId="0" borderId="0" xfId="0" applyFont="1" applyFill="1" applyBorder="1" applyAlignment="1">
      <alignment horizontal="center"/>
    </xf>
    <xf numFmtId="9" fontId="40" fillId="0" borderId="0" xfId="0" quotePrefix="1" applyNumberFormat="1" applyFont="1" applyFill="1" applyAlignment="1">
      <alignment horizontal="left"/>
    </xf>
    <xf numFmtId="0" fontId="40" fillId="0" borderId="0" xfId="0" quotePrefix="1" applyFont="1" applyFill="1" applyAlignment="1">
      <alignment horizontal="left"/>
    </xf>
    <xf numFmtId="174" fontId="40" fillId="0" borderId="0" xfId="0" applyNumberFormat="1" applyFont="1" applyFill="1" applyAlignment="1">
      <alignment horizontal="center"/>
    </xf>
    <xf numFmtId="0" fontId="40" fillId="0" borderId="0" xfId="0" applyFont="1" applyFill="1" applyAlignment="1">
      <alignment horizontal="right"/>
    </xf>
    <xf numFmtId="0" fontId="40" fillId="0" borderId="0" xfId="0" applyFont="1" applyFill="1" applyBorder="1" applyAlignment="1">
      <alignment horizontal="right"/>
    </xf>
    <xf numFmtId="0" fontId="50" fillId="0" borderId="26" xfId="0" applyFont="1" applyFill="1" applyBorder="1"/>
    <xf numFmtId="0" fontId="50" fillId="0" borderId="26" xfId="0" applyFont="1" applyFill="1" applyBorder="1" applyAlignment="1">
      <alignment horizontal="center"/>
    </xf>
    <xf numFmtId="15" fontId="51" fillId="0" borderId="26" xfId="0" applyNumberFormat="1" applyFont="1" applyFill="1" applyBorder="1" applyAlignment="1">
      <alignment horizontal="left"/>
    </xf>
    <xf numFmtId="173" fontId="50" fillId="0" borderId="26" xfId="0" applyNumberFormat="1" applyFont="1" applyFill="1" applyBorder="1" applyAlignment="1">
      <alignment horizontal="center"/>
    </xf>
    <xf numFmtId="167" fontId="50" fillId="0" borderId="26" xfId="0" applyNumberFormat="1" applyFont="1" applyFill="1" applyBorder="1" applyAlignment="1">
      <alignment horizontal="right"/>
    </xf>
    <xf numFmtId="0" fontId="50" fillId="0" borderId="26" xfId="0" applyFont="1" applyFill="1" applyBorder="1" applyAlignment="1">
      <alignment horizontal="left"/>
    </xf>
    <xf numFmtId="9" fontId="50" fillId="0" borderId="26" xfId="0" applyNumberFormat="1" applyFont="1" applyFill="1" applyBorder="1" applyAlignment="1">
      <alignment horizontal="center"/>
    </xf>
    <xf numFmtId="0" fontId="50" fillId="0" borderId="26" xfId="0" applyFont="1" applyFill="1" applyBorder="1" applyAlignment="1">
      <alignment horizontal="right"/>
    </xf>
    <xf numFmtId="0" fontId="50" fillId="0" borderId="0" xfId="0" applyFont="1" applyFill="1"/>
    <xf numFmtId="0" fontId="52" fillId="0" borderId="0" xfId="0" applyFont="1"/>
    <xf numFmtId="0" fontId="52" fillId="0" borderId="25" xfId="0" applyFont="1" applyBorder="1"/>
    <xf numFmtId="0" fontId="52" fillId="0" borderId="25" xfId="0" applyFont="1" applyBorder="1" applyAlignment="1">
      <alignment horizontal="left"/>
    </xf>
    <xf numFmtId="0" fontId="42" fillId="0" borderId="0" xfId="280" applyFont="1" applyFill="1" applyBorder="1" applyAlignment="1">
      <alignment horizontal="center" vertical="center"/>
    </xf>
    <xf numFmtId="15" fontId="40" fillId="0" borderId="0" xfId="280" applyNumberFormat="1" applyFont="1" applyFill="1" applyBorder="1" applyAlignment="1">
      <alignment horizontal="left" vertical="center" wrapText="1"/>
    </xf>
    <xf numFmtId="170" fontId="40" fillId="0" borderId="0" xfId="280" applyNumberFormat="1" applyFont="1" applyFill="1" applyBorder="1" applyAlignment="1">
      <alignment horizontal="left" vertical="center"/>
    </xf>
    <xf numFmtId="0" fontId="42" fillId="0" borderId="0" xfId="280" applyFont="1" applyFill="1" applyBorder="1" applyAlignment="1">
      <alignment horizontal="left" vertical="center"/>
    </xf>
    <xf numFmtId="0" fontId="53" fillId="0" borderId="0" xfId="0" applyFont="1"/>
    <xf numFmtId="0" fontId="52" fillId="0" borderId="25" xfId="0" applyFont="1" applyBorder="1" applyAlignment="1">
      <alignment horizontal="center"/>
    </xf>
    <xf numFmtId="0" fontId="2" fillId="0" borderId="0" xfId="0" applyFont="1" applyAlignment="1"/>
    <xf numFmtId="0" fontId="2" fillId="49" borderId="0" xfId="0" applyFont="1" applyFill="1" applyAlignment="1">
      <alignment horizontal="left"/>
    </xf>
    <xf numFmtId="175" fontId="40" fillId="0" borderId="0" xfId="280" applyNumberFormat="1" applyFont="1" applyFill="1" applyBorder="1" applyAlignment="1">
      <alignment horizontal="left" vertical="center" wrapText="1"/>
    </xf>
    <xf numFmtId="9" fontId="40" fillId="0" borderId="0" xfId="1" applyFont="1" applyFill="1" applyBorder="1" applyAlignment="1">
      <alignment horizontal="center" vertical="center"/>
    </xf>
    <xf numFmtId="0" fontId="40" fillId="0" borderId="0" xfId="0" applyFont="1" applyFill="1" applyBorder="1" applyAlignment="1"/>
    <xf numFmtId="0" fontId="50" fillId="0" borderId="25" xfId="0" applyFont="1" applyFill="1" applyBorder="1" applyAlignment="1"/>
    <xf numFmtId="0" fontId="50" fillId="0" borderId="0" xfId="0" applyFont="1" applyFill="1" applyBorder="1" applyAlignment="1"/>
    <xf numFmtId="0" fontId="49" fillId="0" borderId="0" xfId="280" applyFont="1" applyFill="1" applyBorder="1" applyAlignment="1">
      <alignment horizontal="left"/>
    </xf>
    <xf numFmtId="0" fontId="40" fillId="0" borderId="0" xfId="280" applyFont="1" applyFill="1" applyBorder="1" applyAlignment="1">
      <alignment horizontal="left"/>
    </xf>
    <xf numFmtId="0" fontId="42" fillId="0" borderId="0" xfId="280" applyFont="1" applyFill="1" applyBorder="1" applyAlignment="1">
      <alignment horizontal="left"/>
    </xf>
    <xf numFmtId="0" fontId="40" fillId="47" borderId="0" xfId="0" applyFont="1" applyFill="1" applyBorder="1" applyAlignment="1"/>
    <xf numFmtId="0" fontId="40" fillId="47" borderId="0" xfId="280" applyFont="1" applyFill="1" applyBorder="1" applyAlignment="1">
      <alignment horizontal="left" vertical="center"/>
    </xf>
    <xf numFmtId="0" fontId="40" fillId="49" borderId="0" xfId="0" applyFont="1" applyFill="1" applyBorder="1" applyAlignment="1"/>
    <xf numFmtId="10" fontId="40" fillId="0" borderId="0" xfId="1" applyNumberFormat="1" applyFont="1" applyFill="1" applyBorder="1" applyAlignment="1">
      <alignment horizontal="right"/>
    </xf>
    <xf numFmtId="0" fontId="40" fillId="47" borderId="0" xfId="0" applyFont="1" applyFill="1" applyBorder="1" applyAlignment="1">
      <alignment horizontal="right"/>
    </xf>
    <xf numFmtId="0" fontId="40" fillId="47" borderId="0" xfId="0" applyFont="1" applyFill="1" applyBorder="1"/>
    <xf numFmtId="15" fontId="40" fillId="47" borderId="0" xfId="0" applyNumberFormat="1" applyFont="1" applyFill="1" applyBorder="1" applyAlignment="1">
      <alignment horizontal="center"/>
    </xf>
    <xf numFmtId="173" fontId="40" fillId="47" borderId="0" xfId="0" applyNumberFormat="1" applyFont="1" applyFill="1" applyBorder="1" applyAlignment="1">
      <alignment horizontal="center"/>
    </xf>
    <xf numFmtId="167" fontId="40" fillId="47" borderId="0" xfId="0" applyNumberFormat="1" applyFont="1" applyFill="1" applyBorder="1" applyAlignment="1">
      <alignment horizontal="right"/>
    </xf>
    <xf numFmtId="0" fontId="40" fillId="47" borderId="0" xfId="0" applyFont="1" applyFill="1"/>
    <xf numFmtId="15" fontId="40" fillId="47" borderId="0" xfId="0" applyNumberFormat="1" applyFont="1" applyFill="1" applyAlignment="1">
      <alignment horizontal="center"/>
    </xf>
    <xf numFmtId="173" fontId="40" fillId="47" borderId="0" xfId="0" applyNumberFormat="1" applyFont="1" applyFill="1" applyAlignment="1">
      <alignment horizontal="center"/>
    </xf>
    <xf numFmtId="167" fontId="40" fillId="47" borderId="0" xfId="0" applyNumberFormat="1" applyFont="1" applyFill="1" applyAlignment="1">
      <alignment horizontal="right"/>
    </xf>
    <xf numFmtId="0" fontId="41" fillId="48" borderId="0" xfId="280" applyFont="1" applyFill="1" applyBorder="1" applyAlignment="1">
      <alignment horizontal="left"/>
    </xf>
    <xf numFmtId="0" fontId="54" fillId="48" borderId="0" xfId="280" applyFont="1" applyFill="1" applyBorder="1" applyAlignment="1">
      <alignment horizontal="left"/>
    </xf>
    <xf numFmtId="0" fontId="54" fillId="48" borderId="0" xfId="280" applyFont="1" applyFill="1" applyBorder="1" applyAlignment="1">
      <alignment horizontal="center" vertical="center"/>
    </xf>
    <xf numFmtId="0" fontId="54" fillId="48" borderId="0" xfId="280" applyFont="1" applyFill="1" applyBorder="1" applyAlignment="1">
      <alignment horizontal="right" vertical="center"/>
    </xf>
    <xf numFmtId="0" fontId="40" fillId="49" borderId="0" xfId="0" applyFont="1" applyFill="1" applyBorder="1" applyAlignment="1">
      <alignment horizontal="center"/>
    </xf>
    <xf numFmtId="0" fontId="40" fillId="49" borderId="0" xfId="280" applyNumberFormat="1" applyFont="1" applyFill="1" applyBorder="1" applyAlignment="1">
      <alignment horizontal="left" vertical="center"/>
    </xf>
    <xf numFmtId="0" fontId="40" fillId="49" borderId="0" xfId="280" applyFont="1" applyFill="1" applyBorder="1" applyAlignment="1">
      <alignment horizontal="center" vertical="center"/>
    </xf>
    <xf numFmtId="0" fontId="41" fillId="48" borderId="0" xfId="280" applyFont="1" applyFill="1" applyBorder="1" applyAlignment="1">
      <alignment vertical="center"/>
    </xf>
    <xf numFmtId="43" fontId="2" fillId="49" borderId="0" xfId="0" applyNumberFormat="1" applyFont="1" applyFill="1" applyAlignment="1">
      <alignment horizontal="left"/>
    </xf>
    <xf numFmtId="4" fontId="2" fillId="49" borderId="0" xfId="0" applyNumberFormat="1" applyFont="1" applyFill="1" applyAlignment="1">
      <alignment horizontal="center"/>
    </xf>
    <xf numFmtId="0" fontId="2" fillId="49" borderId="0" xfId="0" applyNumberFormat="1" applyFont="1" applyFill="1" applyAlignment="1">
      <alignment horizontal="center"/>
    </xf>
    <xf numFmtId="4" fontId="2" fillId="0" borderId="0" xfId="0" applyNumberFormat="1" applyFont="1" applyAlignment="1">
      <alignment horizontal="right"/>
    </xf>
    <xf numFmtId="4" fontId="2" fillId="49" borderId="0" xfId="0" applyNumberFormat="1" applyFont="1" applyFill="1" applyAlignment="1">
      <alignment horizontal="right"/>
    </xf>
    <xf numFmtId="0" fontId="41" fillId="48" borderId="0" xfId="0" applyFont="1" applyFill="1" applyBorder="1" applyAlignment="1"/>
    <xf numFmtId="0" fontId="54" fillId="48" borderId="0" xfId="0" applyFont="1" applyFill="1" applyBorder="1" applyAlignment="1"/>
    <xf numFmtId="10" fontId="40" fillId="49" borderId="0" xfId="1" applyNumberFormat="1" applyFont="1" applyFill="1" applyBorder="1" applyAlignment="1">
      <alignment horizontal="right"/>
    </xf>
    <xf numFmtId="10" fontId="40" fillId="49" borderId="0" xfId="280" applyNumberFormat="1" applyFont="1" applyFill="1" applyBorder="1" applyAlignment="1">
      <alignment horizontal="center" vertical="center"/>
    </xf>
    <xf numFmtId="0" fontId="40" fillId="49" borderId="0" xfId="482" applyNumberFormat="1" applyFont="1" applyFill="1" applyBorder="1" applyAlignment="1">
      <alignment horizontal="left" vertical="center"/>
    </xf>
    <xf numFmtId="0" fontId="40" fillId="47" borderId="0" xfId="0" applyFont="1" applyFill="1" applyBorder="1" applyAlignment="1">
      <alignment horizontal="left" vertical="center"/>
    </xf>
    <xf numFmtId="175" fontId="40" fillId="47" borderId="0" xfId="280" applyNumberFormat="1" applyFont="1" applyFill="1" applyBorder="1" applyAlignment="1">
      <alignment horizontal="left" vertical="center"/>
    </xf>
    <xf numFmtId="0" fontId="40" fillId="47" borderId="0" xfId="0" applyFont="1" applyFill="1" applyBorder="1" applyAlignment="1">
      <alignment horizontal="left"/>
    </xf>
    <xf numFmtId="0" fontId="40" fillId="47" borderId="0" xfId="482" applyFont="1" applyFill="1" applyBorder="1" applyAlignment="1">
      <alignment horizontal="left" vertical="center"/>
    </xf>
    <xf numFmtId="0" fontId="40" fillId="47" borderId="0" xfId="280" applyFont="1" applyFill="1" applyBorder="1" applyAlignment="1">
      <alignment vertical="center"/>
    </xf>
    <xf numFmtId="0" fontId="40" fillId="47" borderId="0" xfId="280" applyFont="1" applyFill="1" applyBorder="1" applyAlignment="1" applyProtection="1">
      <alignment vertical="center"/>
    </xf>
    <xf numFmtId="0" fontId="2" fillId="47" borderId="0" xfId="0" applyFont="1" applyFill="1" applyAlignment="1">
      <alignment horizontal="left"/>
    </xf>
    <xf numFmtId="0" fontId="40" fillId="47" borderId="0" xfId="280" applyFont="1" applyFill="1" applyBorder="1" applyAlignment="1" applyProtection="1">
      <alignment horizontal="left" vertical="center"/>
    </xf>
    <xf numFmtId="0" fontId="2" fillId="47" borderId="0" xfId="0" applyFont="1" applyFill="1"/>
    <xf numFmtId="15" fontId="2" fillId="47" borderId="0" xfId="0" applyNumberFormat="1" applyFont="1" applyFill="1" applyAlignment="1">
      <alignment horizontal="left"/>
    </xf>
    <xf numFmtId="9" fontId="40" fillId="47" borderId="0" xfId="0" applyNumberFormat="1" applyFont="1" applyFill="1" applyAlignment="1">
      <alignment horizontal="left"/>
    </xf>
    <xf numFmtId="0" fontId="40" fillId="47" borderId="0" xfId="0" applyFont="1" applyFill="1" applyAlignment="1">
      <alignment horizontal="right"/>
    </xf>
    <xf numFmtId="15" fontId="4" fillId="0" borderId="0" xfId="0" applyNumberFormat="1" applyFont="1" applyAlignment="1">
      <alignment horizontal="left"/>
    </xf>
    <xf numFmtId="0" fontId="48" fillId="0" borderId="0" xfId="0" applyFont="1" applyBorder="1"/>
    <xf numFmtId="0" fontId="48" fillId="0" borderId="0" xfId="0" applyFont="1" applyBorder="1" applyAlignment="1">
      <alignment horizontal="left"/>
    </xf>
    <xf numFmtId="15" fontId="45" fillId="50" borderId="0" xfId="484" applyNumberFormat="1" applyAlignment="1">
      <alignment horizontal="left"/>
      <protection locked="0"/>
    </xf>
    <xf numFmtId="0" fontId="45" fillId="50" borderId="0" xfId="484">
      <protection locked="0"/>
    </xf>
    <xf numFmtId="0" fontId="0" fillId="49" borderId="0" xfId="0" applyFill="1"/>
    <xf numFmtId="170" fontId="0" fillId="49" borderId="0" xfId="0" applyNumberFormat="1" applyFill="1" applyAlignment="1">
      <alignment horizontal="left"/>
    </xf>
    <xf numFmtId="0" fontId="0" fillId="49" borderId="0" xfId="0" applyFill="1" applyAlignment="1">
      <alignment horizontal="left"/>
    </xf>
    <xf numFmtId="170" fontId="0" fillId="0" borderId="0" xfId="0" applyNumberFormat="1" applyAlignment="1">
      <alignment horizontal="left"/>
    </xf>
    <xf numFmtId="15" fontId="40" fillId="49" borderId="9" xfId="280" applyNumberFormat="1" applyFont="1" applyFill="1" applyBorder="1" applyAlignment="1">
      <alignment horizontal="center" vertical="center"/>
    </xf>
    <xf numFmtId="177" fontId="40" fillId="49" borderId="0" xfId="1" applyNumberFormat="1" applyFont="1" applyFill="1" applyBorder="1" applyAlignment="1">
      <alignment horizontal="center" vertical="center"/>
    </xf>
    <xf numFmtId="171" fontId="40" fillId="49" borderId="0" xfId="280" applyNumberFormat="1" applyFont="1" applyFill="1" applyBorder="1" applyAlignment="1">
      <alignment horizontal="center" vertical="center"/>
    </xf>
    <xf numFmtId="178" fontId="40" fillId="49" borderId="0" xfId="280" applyNumberFormat="1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right"/>
    </xf>
    <xf numFmtId="0" fontId="1" fillId="47" borderId="0" xfId="0" applyFont="1" applyFill="1" applyAlignment="1">
      <alignment horizontal="left"/>
    </xf>
  </cellXfs>
  <cellStyles count="488">
    <cellStyle name="_Copy of Portfolios to Archeus 6-3-04 (2)" xfId="2"/>
    <cellStyle name="_Copy of Portfolios to Archeus 6-3-04 (2) 2" xfId="393"/>
    <cellStyle name="_Copy of Portfolios to Archeus 6-3-04 (2) 2 2" xfId="467"/>
    <cellStyle name="_Copy of Portfolios to Archeus 6-3-04 (2) 3" xfId="442"/>
    <cellStyle name="_Copy of Portfolios to Archeus 6-3-04 (2) 3 2" xfId="477"/>
    <cellStyle name="20% - Accent1 10" xfId="438"/>
    <cellStyle name="20% - Accent1 2" xfId="3"/>
    <cellStyle name="20% - Accent1 3" xfId="103"/>
    <cellStyle name="20% - Accent1 4" xfId="195"/>
    <cellStyle name="20% - Accent1 5" xfId="236"/>
    <cellStyle name="20% - Accent1 6" xfId="275"/>
    <cellStyle name="20% - Accent1 7" xfId="315"/>
    <cellStyle name="20% - Accent1 8" xfId="356"/>
    <cellStyle name="20% - Accent1 9" xfId="392"/>
    <cellStyle name="20% - Accent2 10" xfId="437"/>
    <cellStyle name="20% - Accent2 2" xfId="4"/>
    <cellStyle name="20% - Accent2 3" xfId="104"/>
    <cellStyle name="20% - Accent2 4" xfId="194"/>
    <cellStyle name="20% - Accent2 5" xfId="235"/>
    <cellStyle name="20% - Accent2 6" xfId="274"/>
    <cellStyle name="20% - Accent2 7" xfId="314"/>
    <cellStyle name="20% - Accent2 8" xfId="355"/>
    <cellStyle name="20% - Accent2 9" xfId="391"/>
    <cellStyle name="20% - Accent3 10" xfId="436"/>
    <cellStyle name="20% - Accent3 2" xfId="5"/>
    <cellStyle name="20% - Accent3 3" xfId="105"/>
    <cellStyle name="20% - Accent3 4" xfId="193"/>
    <cellStyle name="20% - Accent3 5" xfId="234"/>
    <cellStyle name="20% - Accent3 6" xfId="273"/>
    <cellStyle name="20% - Accent3 7" xfId="313"/>
    <cellStyle name="20% - Accent3 8" xfId="354"/>
    <cellStyle name="20% - Accent3 9" xfId="390"/>
    <cellStyle name="20% - Accent4 10" xfId="435"/>
    <cellStyle name="20% - Accent4 2" xfId="6"/>
    <cellStyle name="20% - Accent4 3" xfId="106"/>
    <cellStyle name="20% - Accent4 4" xfId="192"/>
    <cellStyle name="20% - Accent4 5" xfId="233"/>
    <cellStyle name="20% - Accent4 6" xfId="272"/>
    <cellStyle name="20% - Accent4 7" xfId="312"/>
    <cellStyle name="20% - Accent4 8" xfId="353"/>
    <cellStyle name="20% - Accent4 9" xfId="389"/>
    <cellStyle name="20% - Accent5 10" xfId="434"/>
    <cellStyle name="20% - Accent5 2" xfId="7"/>
    <cellStyle name="20% - Accent5 3" xfId="107"/>
    <cellStyle name="20% - Accent5 4" xfId="191"/>
    <cellStyle name="20% - Accent5 5" xfId="232"/>
    <cellStyle name="20% - Accent5 6" xfId="271"/>
    <cellStyle name="20% - Accent5 7" xfId="311"/>
    <cellStyle name="20% - Accent5 8" xfId="352"/>
    <cellStyle name="20% - Accent5 9" xfId="388"/>
    <cellStyle name="20% - Accent6 10" xfId="433"/>
    <cellStyle name="20% - Accent6 2" xfId="8"/>
    <cellStyle name="20% - Accent6 3" xfId="108"/>
    <cellStyle name="20% - Accent6 4" xfId="190"/>
    <cellStyle name="20% - Accent6 5" xfId="231"/>
    <cellStyle name="20% - Accent6 6" xfId="270"/>
    <cellStyle name="20% - Accent6 7" xfId="310"/>
    <cellStyle name="20% - Accent6 8" xfId="351"/>
    <cellStyle name="20% - Accent6 9" xfId="387"/>
    <cellStyle name="40% - Accent1 10" xfId="432"/>
    <cellStyle name="40% - Accent1 2" xfId="9"/>
    <cellStyle name="40% - Accent1 3" xfId="109"/>
    <cellStyle name="40% - Accent1 4" xfId="189"/>
    <cellStyle name="40% - Accent1 5" xfId="230"/>
    <cellStyle name="40% - Accent1 6" xfId="269"/>
    <cellStyle name="40% - Accent1 7" xfId="309"/>
    <cellStyle name="40% - Accent1 8" xfId="350"/>
    <cellStyle name="40% - Accent1 9" xfId="386"/>
    <cellStyle name="40% - Accent2 10" xfId="430"/>
    <cellStyle name="40% - Accent2 2" xfId="10"/>
    <cellStyle name="40% - Accent2 3" xfId="110"/>
    <cellStyle name="40% - Accent2 4" xfId="188"/>
    <cellStyle name="40% - Accent2 5" xfId="229"/>
    <cellStyle name="40% - Accent2 6" xfId="268"/>
    <cellStyle name="40% - Accent2 7" xfId="308"/>
    <cellStyle name="40% - Accent2 8" xfId="349"/>
    <cellStyle name="40% - Accent2 9" xfId="385"/>
    <cellStyle name="40% - Accent3 10" xfId="429"/>
    <cellStyle name="40% - Accent3 2" xfId="11"/>
    <cellStyle name="40% - Accent3 3" xfId="111"/>
    <cellStyle name="40% - Accent3 4" xfId="187"/>
    <cellStyle name="40% - Accent3 5" xfId="228"/>
    <cellStyle name="40% - Accent3 6" xfId="267"/>
    <cellStyle name="40% - Accent3 7" xfId="307"/>
    <cellStyle name="40% - Accent3 8" xfId="348"/>
    <cellStyle name="40% - Accent3 9" xfId="384"/>
    <cellStyle name="40% - Accent4 10" xfId="428"/>
    <cellStyle name="40% - Accent4 2" xfId="12"/>
    <cellStyle name="40% - Accent4 3" xfId="112"/>
    <cellStyle name="40% - Accent4 4" xfId="186"/>
    <cellStyle name="40% - Accent4 5" xfId="227"/>
    <cellStyle name="40% - Accent4 6" xfId="266"/>
    <cellStyle name="40% - Accent4 7" xfId="306"/>
    <cellStyle name="40% - Accent4 8" xfId="347"/>
    <cellStyle name="40% - Accent4 9" xfId="383"/>
    <cellStyle name="40% - Accent5 10" xfId="427"/>
    <cellStyle name="40% - Accent5 2" xfId="13"/>
    <cellStyle name="40% - Accent5 3" xfId="113"/>
    <cellStyle name="40% - Accent5 4" xfId="185"/>
    <cellStyle name="40% - Accent5 5" xfId="226"/>
    <cellStyle name="40% - Accent5 6" xfId="265"/>
    <cellStyle name="40% - Accent5 7" xfId="305"/>
    <cellStyle name="40% - Accent5 8" xfId="346"/>
    <cellStyle name="40% - Accent5 9" xfId="382"/>
    <cellStyle name="40% - Accent6 10" xfId="426"/>
    <cellStyle name="40% - Accent6 2" xfId="14"/>
    <cellStyle name="40% - Accent6 3" xfId="114"/>
    <cellStyle name="40% - Accent6 4" xfId="184"/>
    <cellStyle name="40% - Accent6 5" xfId="225"/>
    <cellStyle name="40% - Accent6 6" xfId="264"/>
    <cellStyle name="40% - Accent6 7" xfId="304"/>
    <cellStyle name="40% - Accent6 8" xfId="345"/>
    <cellStyle name="40% - Accent6 9" xfId="381"/>
    <cellStyle name="60% - Accent1 10" xfId="425"/>
    <cellStyle name="60% - Accent1 2" xfId="15"/>
    <cellStyle name="60% - Accent1 3" xfId="115"/>
    <cellStyle name="60% - Accent1 4" xfId="183"/>
    <cellStyle name="60% - Accent1 5" xfId="224"/>
    <cellStyle name="60% - Accent1 6" xfId="263"/>
    <cellStyle name="60% - Accent1 7" xfId="302"/>
    <cellStyle name="60% - Accent1 8" xfId="344"/>
    <cellStyle name="60% - Accent1 9" xfId="380"/>
    <cellStyle name="60% - Accent2 10" xfId="424"/>
    <cellStyle name="60% - Accent2 2" xfId="16"/>
    <cellStyle name="60% - Accent2 3" xfId="116"/>
    <cellStyle name="60% - Accent2 4" xfId="182"/>
    <cellStyle name="60% - Accent2 5" xfId="223"/>
    <cellStyle name="60% - Accent2 6" xfId="262"/>
    <cellStyle name="60% - Accent2 7" xfId="301"/>
    <cellStyle name="60% - Accent2 8" xfId="343"/>
    <cellStyle name="60% - Accent2 9" xfId="379"/>
    <cellStyle name="60% - Accent3 10" xfId="423"/>
    <cellStyle name="60% - Accent3 2" xfId="17"/>
    <cellStyle name="60% - Accent3 3" xfId="117"/>
    <cellStyle name="60% - Accent3 4" xfId="181"/>
    <cellStyle name="60% - Accent3 5" xfId="222"/>
    <cellStyle name="60% - Accent3 6" xfId="261"/>
    <cellStyle name="60% - Accent3 7" xfId="300"/>
    <cellStyle name="60% - Accent3 8" xfId="342"/>
    <cellStyle name="60% - Accent3 9" xfId="378"/>
    <cellStyle name="60% - Accent4 10" xfId="422"/>
    <cellStyle name="60% - Accent4 2" xfId="18"/>
    <cellStyle name="60% - Accent4 3" xfId="118"/>
    <cellStyle name="60% - Accent4 4" xfId="180"/>
    <cellStyle name="60% - Accent4 5" xfId="221"/>
    <cellStyle name="60% - Accent4 6" xfId="260"/>
    <cellStyle name="60% - Accent4 7" xfId="299"/>
    <cellStyle name="60% - Accent4 8" xfId="341"/>
    <cellStyle name="60% - Accent4 9" xfId="377"/>
    <cellStyle name="60% - Accent5 10" xfId="421"/>
    <cellStyle name="60% - Accent5 2" xfId="19"/>
    <cellStyle name="60% - Accent5 3" xfId="119"/>
    <cellStyle name="60% - Accent5 4" xfId="179"/>
    <cellStyle name="60% - Accent5 5" xfId="220"/>
    <cellStyle name="60% - Accent5 6" xfId="259"/>
    <cellStyle name="60% - Accent5 7" xfId="298"/>
    <cellStyle name="60% - Accent5 8" xfId="340"/>
    <cellStyle name="60% - Accent5 9" xfId="375"/>
    <cellStyle name="60% - Accent6 10" xfId="420"/>
    <cellStyle name="60% - Accent6 2" xfId="20"/>
    <cellStyle name="60% - Accent6 3" xfId="120"/>
    <cellStyle name="60% - Accent6 4" xfId="178"/>
    <cellStyle name="60% - Accent6 5" xfId="219"/>
    <cellStyle name="60% - Accent6 6" xfId="258"/>
    <cellStyle name="60% - Accent6 7" xfId="297"/>
    <cellStyle name="60% - Accent6 8" xfId="339"/>
    <cellStyle name="60% - Accent6 9" xfId="374"/>
    <cellStyle name="Accent1 10" xfId="419"/>
    <cellStyle name="Accent1 2" xfId="21"/>
    <cellStyle name="Accent1 3" xfId="121"/>
    <cellStyle name="Accent1 4" xfId="177"/>
    <cellStyle name="Accent1 5" xfId="218"/>
    <cellStyle name="Accent1 6" xfId="257"/>
    <cellStyle name="Accent1 7" xfId="296"/>
    <cellStyle name="Accent1 8" xfId="338"/>
    <cellStyle name="Accent1 9" xfId="373"/>
    <cellStyle name="Accent2 10" xfId="418"/>
    <cellStyle name="Accent2 2" xfId="22"/>
    <cellStyle name="Accent2 3" xfId="122"/>
    <cellStyle name="Accent2 4" xfId="176"/>
    <cellStyle name="Accent2 5" xfId="217"/>
    <cellStyle name="Accent2 6" xfId="256"/>
    <cellStyle name="Accent2 7" xfId="294"/>
    <cellStyle name="Accent2 8" xfId="337"/>
    <cellStyle name="Accent2 9" xfId="372"/>
    <cellStyle name="Accent3 10" xfId="417"/>
    <cellStyle name="Accent3 2" xfId="23"/>
    <cellStyle name="Accent3 3" xfId="123"/>
    <cellStyle name="Accent3 4" xfId="175"/>
    <cellStyle name="Accent3 5" xfId="216"/>
    <cellStyle name="Accent3 6" xfId="255"/>
    <cellStyle name="Accent3 7" xfId="293"/>
    <cellStyle name="Accent3 8" xfId="336"/>
    <cellStyle name="Accent3 9" xfId="370"/>
    <cellStyle name="Accent4 10" xfId="415"/>
    <cellStyle name="Accent4 2" xfId="24"/>
    <cellStyle name="Accent4 3" xfId="124"/>
    <cellStyle name="Accent4 4" xfId="174"/>
    <cellStyle name="Accent4 5" xfId="215"/>
    <cellStyle name="Accent4 6" xfId="254"/>
    <cellStyle name="Accent4 7" xfId="292"/>
    <cellStyle name="Accent4 8" xfId="334"/>
    <cellStyle name="Accent4 9" xfId="369"/>
    <cellStyle name="Accent5 10" xfId="414"/>
    <cellStyle name="Accent5 2" xfId="25"/>
    <cellStyle name="Accent5 3" xfId="125"/>
    <cellStyle name="Accent5 4" xfId="172"/>
    <cellStyle name="Accent5 5" xfId="213"/>
    <cellStyle name="Accent5 6" xfId="252"/>
    <cellStyle name="Accent5 7" xfId="291"/>
    <cellStyle name="Accent5 8" xfId="333"/>
    <cellStyle name="Accent5 9" xfId="368"/>
    <cellStyle name="Accent6 10" xfId="413"/>
    <cellStyle name="Accent6 2" xfId="26"/>
    <cellStyle name="Accent6 3" xfId="126"/>
    <cellStyle name="Accent6 4" xfId="171"/>
    <cellStyle name="Accent6 5" xfId="212"/>
    <cellStyle name="Accent6 6" xfId="251"/>
    <cellStyle name="Accent6 7" xfId="289"/>
    <cellStyle name="Accent6 8" xfId="332"/>
    <cellStyle name="Accent6 9" xfId="367"/>
    <cellStyle name="back" xfId="27"/>
    <cellStyle name="back 2" xfId="364"/>
    <cellStyle name="back 2 2" xfId="466"/>
    <cellStyle name="back 3" xfId="412"/>
    <cellStyle name="back 3 2" xfId="475"/>
    <cellStyle name="Bad 10" xfId="410"/>
    <cellStyle name="Bad 2" xfId="28"/>
    <cellStyle name="Bad 3" xfId="128"/>
    <cellStyle name="Bad 4" xfId="169"/>
    <cellStyle name="Bad 5" xfId="210"/>
    <cellStyle name="Bad 6" xfId="249"/>
    <cellStyle name="Bad 7" xfId="287"/>
    <cellStyle name="Bad 8" xfId="329"/>
    <cellStyle name="Bad 9" xfId="363"/>
    <cellStyle name="Button" xfId="29"/>
    <cellStyle name="Calculation 10" xfId="406"/>
    <cellStyle name="Calculation 2" xfId="30"/>
    <cellStyle name="Calculation 3" xfId="130"/>
    <cellStyle name="Calculation 4" xfId="166"/>
    <cellStyle name="Calculation 5" xfId="207"/>
    <cellStyle name="Calculation 6" xfId="246"/>
    <cellStyle name="Calculation 7" xfId="283"/>
    <cellStyle name="Calculation 8" xfId="327"/>
    <cellStyle name="Calculation 9" xfId="362"/>
    <cellStyle name="Check Cell 10" xfId="405"/>
    <cellStyle name="Check Cell 2" xfId="31"/>
    <cellStyle name="Check Cell 3" xfId="131"/>
    <cellStyle name="Check Cell 4" xfId="165"/>
    <cellStyle name="Check Cell 5" xfId="206"/>
    <cellStyle name="Check Cell 6" xfId="245"/>
    <cellStyle name="Check Cell 7" xfId="282"/>
    <cellStyle name="Check Cell 8" xfId="326"/>
    <cellStyle name="Check Cell 9" xfId="316"/>
    <cellStyle name="Comma0" xfId="32"/>
    <cellStyle name="Comma0 2" xfId="288"/>
    <cellStyle name="Comma0 2 2" xfId="465"/>
    <cellStyle name="Comma0 3" xfId="404"/>
    <cellStyle name="Comma0 3 2" xfId="472"/>
    <cellStyle name="Currency0" xfId="33"/>
    <cellStyle name="Currency0 2" xfId="286"/>
    <cellStyle name="Currency0 2 2" xfId="464"/>
    <cellStyle name="Currency0 3" xfId="403"/>
    <cellStyle name="Currency0 3 2" xfId="471"/>
    <cellStyle name="Date" xfId="34"/>
    <cellStyle name="Date 2" xfId="281"/>
    <cellStyle name="Date 2 2" xfId="463"/>
    <cellStyle name="Date 3" xfId="402"/>
    <cellStyle name="Date 3 2" xfId="470"/>
    <cellStyle name="Explanatory Text 10" xfId="401"/>
    <cellStyle name="Explanatory Text 2" xfId="35"/>
    <cellStyle name="Explanatory Text 3" xfId="135"/>
    <cellStyle name="Explanatory Text 4" xfId="159"/>
    <cellStyle name="Explanatory Text 5" xfId="200"/>
    <cellStyle name="Explanatory Text 6" xfId="241"/>
    <cellStyle name="Explanatory Text 7" xfId="208"/>
    <cellStyle name="Explanatory Text 8" xfId="322"/>
    <cellStyle name="Explanatory Text 9" xfId="240"/>
    <cellStyle name="Fixed" xfId="36"/>
    <cellStyle name="Fixed 2" xfId="211"/>
    <cellStyle name="Fixed 2 2" xfId="462"/>
    <cellStyle name="Fixed 3" xfId="400"/>
    <cellStyle name="Fixed 3 2" xfId="469"/>
    <cellStyle name="Good" xfId="483" builtinId="26" customBuiltin="1"/>
    <cellStyle name="Good 10" xfId="399"/>
    <cellStyle name="Good 2" xfId="37"/>
    <cellStyle name="Good 3" xfId="137"/>
    <cellStyle name="Good 4" xfId="158"/>
    <cellStyle name="Good 5" xfId="127"/>
    <cellStyle name="Good 6" xfId="170"/>
    <cellStyle name="Good 7" xfId="202"/>
    <cellStyle name="Good 8" xfId="321"/>
    <cellStyle name="Good 9" xfId="205"/>
    <cellStyle name="Heading 1 10" xfId="398"/>
    <cellStyle name="Heading 1 2" xfId="38"/>
    <cellStyle name="Heading 1 3" xfId="138"/>
    <cellStyle name="Heading 1 4" xfId="157"/>
    <cellStyle name="Heading 1 5" xfId="129"/>
    <cellStyle name="Heading 1 6" xfId="167"/>
    <cellStyle name="Heading 1 7" xfId="201"/>
    <cellStyle name="Heading 1 8" xfId="279"/>
    <cellStyle name="Heading 1 9" xfId="143"/>
    <cellStyle name="Heading 2 10" xfId="357"/>
    <cellStyle name="Heading 2 2" xfId="39"/>
    <cellStyle name="Heading 2 3" xfId="139"/>
    <cellStyle name="Heading 2 4" xfId="156"/>
    <cellStyle name="Heading 2 5" xfId="132"/>
    <cellStyle name="Heading 2 6" xfId="164"/>
    <cellStyle name="Heading 2 7" xfId="102"/>
    <cellStyle name="Heading 2 8" xfId="250"/>
    <cellStyle name="Heading 2 9" xfId="144"/>
    <cellStyle name="Heading 3 10" xfId="331"/>
    <cellStyle name="Heading 3 2" xfId="40"/>
    <cellStyle name="Heading 3 3" xfId="140"/>
    <cellStyle name="Heading 3 4" xfId="155"/>
    <cellStyle name="Heading 3 5" xfId="133"/>
    <cellStyle name="Heading 3 6" xfId="161"/>
    <cellStyle name="Heading 3 7" xfId="136"/>
    <cellStyle name="Heading 3 8" xfId="247"/>
    <cellStyle name="Heading 3 9" xfId="147"/>
    <cellStyle name="Heading 4 10" xfId="328"/>
    <cellStyle name="Heading 4 2" xfId="41"/>
    <cellStyle name="Heading 4 3" xfId="141"/>
    <cellStyle name="Heading 4 4" xfId="154"/>
    <cellStyle name="Heading 4 5" xfId="134"/>
    <cellStyle name="Heading 4 6" xfId="160"/>
    <cellStyle name="Heading 4 7" xfId="142"/>
    <cellStyle name="Heading 4 8" xfId="244"/>
    <cellStyle name="Heading 4 9" xfId="149"/>
    <cellStyle name="InfoDataColumn" xfId="42"/>
    <cellStyle name="InfoDataRow" xfId="43"/>
    <cellStyle name="InfoLabelColumn" xfId="44"/>
    <cellStyle name="InfoLabelRow" xfId="45"/>
    <cellStyle name="InfolDataColumn" xfId="46"/>
    <cellStyle name="InformationalData" xfId="47"/>
    <cellStyle name="InformationalLabel" xfId="48"/>
    <cellStyle name="InformationalLabelTop" xfId="49"/>
    <cellStyle name="Input" xfId="484" builtinId="20" customBuiltin="1"/>
    <cellStyle name="Input 10" xfId="152"/>
    <cellStyle name="Input 2" xfId="50"/>
    <cellStyle name="Input 3" xfId="150"/>
    <cellStyle name="Input 4" xfId="146"/>
    <cellStyle name="Input 5" xfId="151"/>
    <cellStyle name="Input 6" xfId="145"/>
    <cellStyle name="Input 7" xfId="153"/>
    <cellStyle name="Input 8" xfId="148"/>
    <cellStyle name="Input 9" xfId="323"/>
    <cellStyle name="InputData" xfId="51"/>
    <cellStyle name="InputData 2" xfId="453"/>
    <cellStyle name="InputDataColumn" xfId="52"/>
    <cellStyle name="InputDataColumn 2" xfId="454"/>
    <cellStyle name="InputDataRow" xfId="53"/>
    <cellStyle name="InputDataRow 2" xfId="455"/>
    <cellStyle name="InputLabel" xfId="54"/>
    <cellStyle name="InputLabelColumn" xfId="55"/>
    <cellStyle name="InputLabelRow" xfId="56"/>
    <cellStyle name="InputLabelTop" xfId="57"/>
    <cellStyle name="IntermediateData" xfId="58"/>
    <cellStyle name="IntermediateDataColumn" xfId="59"/>
    <cellStyle name="IntermediateDataRow" xfId="60"/>
    <cellStyle name="IntermediateLabel" xfId="61"/>
    <cellStyle name="IntermediateLabelColumn" xfId="62"/>
    <cellStyle name="IntermediateLabelRow" xfId="63"/>
    <cellStyle name="InvalidCell" xfId="64"/>
    <cellStyle name="InvalidCell 2" xfId="456"/>
    <cellStyle name="Linked Cell 10" xfId="444"/>
    <cellStyle name="Linked Cell 2" xfId="65"/>
    <cellStyle name="Linked Cell 3" xfId="162"/>
    <cellStyle name="Linked Cell 4" xfId="203"/>
    <cellStyle name="Linked Cell 5" xfId="242"/>
    <cellStyle name="Linked Cell 6" xfId="284"/>
    <cellStyle name="Linked Cell 7" xfId="324"/>
    <cellStyle name="Linked Cell 8" xfId="365"/>
    <cellStyle name="Linked Cell 9" xfId="407"/>
    <cellStyle name="Neutral 10" xfId="445"/>
    <cellStyle name="Neutral 2" xfId="66"/>
    <cellStyle name="Neutral 3" xfId="163"/>
    <cellStyle name="Neutral 4" xfId="204"/>
    <cellStyle name="Neutral 5" xfId="243"/>
    <cellStyle name="Neutral 6" xfId="285"/>
    <cellStyle name="Neutral 7" xfId="325"/>
    <cellStyle name="Neutral 8" xfId="366"/>
    <cellStyle name="Neutral 9" xfId="408"/>
    <cellStyle name="NewSheet" xfId="67"/>
    <cellStyle name="NewSheet 2" xfId="409"/>
    <cellStyle name="NewSheet 2 2" xfId="473"/>
    <cellStyle name="NewSheet 3" xfId="446"/>
    <cellStyle name="NewSheet 3 2" xfId="479"/>
    <cellStyle name="Normal" xfId="0" builtinId="0" customBuiltin="1"/>
    <cellStyle name="Normal - Style1" xfId="68"/>
    <cellStyle name="Normal 10" xfId="443"/>
    <cellStyle name="Normal 10 2" xfId="478"/>
    <cellStyle name="Normal 2" xfId="485"/>
    <cellStyle name="Normal 4" xfId="199"/>
    <cellStyle name="Normal 6" xfId="280"/>
    <cellStyle name="Normal 7" xfId="317"/>
    <cellStyle name="Normal 8" xfId="361"/>
    <cellStyle name="Normal 9" xfId="394"/>
    <cellStyle name="Normal 9 2" xfId="482"/>
    <cellStyle name="Normal 9 3" xfId="468"/>
    <cellStyle name="Note 10" xfId="447"/>
    <cellStyle name="Note 10 2" xfId="480"/>
    <cellStyle name="Note 2" xfId="69"/>
    <cellStyle name="Note 3" xfId="168"/>
    <cellStyle name="Note 4" xfId="209"/>
    <cellStyle name="Note 5" xfId="248"/>
    <cellStyle name="Note 6" xfId="290"/>
    <cellStyle name="Note 7" xfId="330"/>
    <cellStyle name="Note 8" xfId="371"/>
    <cellStyle name="Note 9" xfId="411"/>
    <cellStyle name="Note 9 2" xfId="474"/>
    <cellStyle name="ObjectDataColumn" xfId="70"/>
    <cellStyle name="ObjectDataRow" xfId="71"/>
    <cellStyle name="ObjectLabelColumn" xfId="72"/>
    <cellStyle name="ObjectLabelRow" xfId="73"/>
    <cellStyle name="Output 10" xfId="448"/>
    <cellStyle name="Output 2" xfId="74"/>
    <cellStyle name="Output 3" xfId="173"/>
    <cellStyle name="Output 4" xfId="214"/>
    <cellStyle name="Output 5" xfId="253"/>
    <cellStyle name="Output 6" xfId="295"/>
    <cellStyle name="Output 7" xfId="335"/>
    <cellStyle name="Output 8" xfId="376"/>
    <cellStyle name="Output 9" xfId="416"/>
    <cellStyle name="OutputData" xfId="75"/>
    <cellStyle name="OutputData 2" xfId="457"/>
    <cellStyle name="OutputDataColumn" xfId="76"/>
    <cellStyle name="OutputDataColumn 2" xfId="458"/>
    <cellStyle name="OutputDataRow" xfId="77"/>
    <cellStyle name="OutputDataRow 2" xfId="459"/>
    <cellStyle name="OutputLabel" xfId="78"/>
    <cellStyle name="OutputLabelColumn" xfId="79"/>
    <cellStyle name="OutputLabelRow" xfId="80"/>
    <cellStyle name="PanelLabel" xfId="81"/>
    <cellStyle name="Percent" xfId="1" builtinId="5"/>
    <cellStyle name="Percent 2" xfId="486"/>
    <cellStyle name="Percent 6" xfId="303"/>
    <cellStyle name="PersonalDataColumn" xfId="82"/>
    <cellStyle name="PersonalDataRow" xfId="83"/>
    <cellStyle name="PersonalLabelColumn" xfId="84"/>
    <cellStyle name="PersonalLabelRow" xfId="85"/>
    <cellStyle name="result" xfId="86"/>
    <cellStyle name="RowHead" xfId="87"/>
    <cellStyle name="spreads" xfId="88"/>
    <cellStyle name="Style 1" xfId="89"/>
    <cellStyle name="Style 1 2" xfId="431"/>
    <cellStyle name="Style 1 2 2" xfId="476"/>
    <cellStyle name="Style 1 3" xfId="449"/>
    <cellStyle name="Style 1 3 2" xfId="481"/>
    <cellStyle name="swaptn" xfId="90"/>
    <cellStyle name="TableDataColumn" xfId="91"/>
    <cellStyle name="TableDataColumn 2" xfId="460"/>
    <cellStyle name="TableDataRow" xfId="92"/>
    <cellStyle name="TableDataRow 2" xfId="461"/>
    <cellStyle name="TableHead" xfId="93"/>
    <cellStyle name="TableLabelColumn" xfId="94"/>
    <cellStyle name="TableLabelRow" xfId="95"/>
    <cellStyle name="TableLabelTop" xfId="96"/>
    <cellStyle name="Title 10" xfId="450"/>
    <cellStyle name="Title 2" xfId="97"/>
    <cellStyle name="Title 3" xfId="196"/>
    <cellStyle name="Title 4" xfId="237"/>
    <cellStyle name="Title 5" xfId="276"/>
    <cellStyle name="Title 6" xfId="318"/>
    <cellStyle name="Title 7" xfId="358"/>
    <cellStyle name="Title 8" xfId="395"/>
    <cellStyle name="Title 9" xfId="439"/>
    <cellStyle name="Total 10" xfId="451"/>
    <cellStyle name="Total 2" xfId="98"/>
    <cellStyle name="Total 3" xfId="197"/>
    <cellStyle name="Total 4" xfId="238"/>
    <cellStyle name="Total 5" xfId="277"/>
    <cellStyle name="Total 6" xfId="319"/>
    <cellStyle name="Total 7" xfId="359"/>
    <cellStyle name="Total 8" xfId="396"/>
    <cellStyle name="Total 9" xfId="440"/>
    <cellStyle name="Warning Text 10" xfId="452"/>
    <cellStyle name="Warning Text 2" xfId="99"/>
    <cellStyle name="Warning Text 3" xfId="198"/>
    <cellStyle name="Warning Text 4" xfId="239"/>
    <cellStyle name="Warning Text 5" xfId="278"/>
    <cellStyle name="Warning Text 6" xfId="320"/>
    <cellStyle name="Warning Text 7" xfId="360"/>
    <cellStyle name="Warning Text 8" xfId="397"/>
    <cellStyle name="Warning Text 9" xfId="441"/>
    <cellStyle name="Working" xfId="487"/>
    <cellStyle name="桁区切り_NewDemo" xfId="100"/>
    <cellStyle name="標準_NewDemo" xfId="101"/>
  </cellStyles>
  <dxfs count="1">
    <dxf>
      <font>
        <b/>
        <i val="0"/>
        <color rgb="FFFF0000"/>
      </font>
    </dxf>
  </dxfs>
  <tableStyles count="0" defaultTableStyle="TableStyleMedium9" defaultPivotStyle="PivotStyleLight16"/>
  <colors>
    <mruColors>
      <color rgb="FFEAEAEA"/>
      <color rgb="FFFF0000"/>
      <color rgb="FF003399"/>
      <color rgb="FF006699"/>
      <color rgb="FFEBF3A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838199</xdr:colOff>
      <xdr:row>3</xdr:row>
      <xdr:rowOff>133350</xdr:rowOff>
    </xdr:from>
    <xdr:to>
      <xdr:col>6</xdr:col>
      <xdr:colOff>104775</xdr:colOff>
      <xdr:row>6</xdr:row>
      <xdr:rowOff>142875</xdr:rowOff>
    </xdr:to>
    <xdr:sp macro="[0]!Button_Start_Timer" textlink="">
      <xdr:nvSpPr>
        <xdr:cNvPr id="2" name="Rounded Rectangle 1"/>
        <xdr:cNvSpPr/>
      </xdr:nvSpPr>
      <xdr:spPr>
        <a:xfrm>
          <a:off x="6019799" y="619125"/>
          <a:ext cx="771526" cy="4953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000"/>
            <a:t>Start</a:t>
          </a:r>
        </a:p>
        <a:p>
          <a:pPr algn="ctr"/>
          <a:r>
            <a:rPr lang="en-AU" sz="1000"/>
            <a:t>Timer</a:t>
          </a:r>
        </a:p>
      </xdr:txBody>
    </xdr:sp>
    <xdr:clientData/>
  </xdr:twoCellAnchor>
  <xdr:twoCellAnchor editAs="oneCell">
    <xdr:from>
      <xdr:col>6</xdr:col>
      <xdr:colOff>447675</xdr:colOff>
      <xdr:row>3</xdr:row>
      <xdr:rowOff>133350</xdr:rowOff>
    </xdr:from>
    <xdr:to>
      <xdr:col>8</xdr:col>
      <xdr:colOff>1</xdr:colOff>
      <xdr:row>6</xdr:row>
      <xdr:rowOff>142875</xdr:rowOff>
    </xdr:to>
    <xdr:sp macro="[0]!Button_Stop_Timer" textlink="">
      <xdr:nvSpPr>
        <xdr:cNvPr id="3" name="Rounded Rectangle 2"/>
        <xdr:cNvSpPr/>
      </xdr:nvSpPr>
      <xdr:spPr>
        <a:xfrm>
          <a:off x="7010400" y="619125"/>
          <a:ext cx="771526" cy="4953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000"/>
            <a:t>Stop</a:t>
          </a:r>
        </a:p>
        <a:p>
          <a:pPr algn="ctr"/>
          <a:r>
            <a:rPr lang="en-AU" sz="1000"/>
            <a:t>Timer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DeskCurv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preads"/>
      <sheetName val="TraderMids"/>
      <sheetName val="SuperDerivatives"/>
      <sheetName val="Corporates"/>
      <sheetName val="Retail"/>
      <sheetName val="LPM"/>
      <sheetName val="3Y+10Y BF"/>
      <sheetName val="Swaption"/>
      <sheetName val="ICAP Swaption"/>
      <sheetName val="CapFloor"/>
      <sheetName val="MarketDataAUD"/>
    </sheetNames>
    <definedNames>
      <definedName name="AUD1v3names" refersTo="='TraderMids'!$R$39:$R$59"/>
      <definedName name="AUD1v3rates" refersTo="='TraderMids'!$S$39:$S$59"/>
      <definedName name="AUD3v6names" refersTo="='TraderMids'!$N$39:$N$59"/>
      <definedName name="AUD3v6rates" refersTo="='TraderMids'!$O$39:$O$59"/>
      <definedName name="AUDcurveNames" refersTo="='TraderMids'!$N$8:$N$33"/>
      <definedName name="AUDcurveRates" refersTo="='TraderMids'!$P$8:$P$33"/>
      <definedName name="BlackVols1" refersTo="='CapFloor'!$H$13:$H$23"/>
      <definedName name="BlackVolSurface" refersTo="='Swaption'!$B$52:$K$62"/>
      <definedName name="Expiries" refersTo="='CapFloor'!$D$9:$D$12"/>
      <definedName name="Expiries1" refersTo="='CapFloor'!$B$13:$B$23"/>
      <definedName name="Expiries2" refersTo="='CapFloor'!$D$14:$D$23"/>
      <definedName name="FuturesNames" refersTo="='LPM'!$J$10:$J$11"/>
      <definedName name="Names" refersTo="='LPM'!$J$6:$J$30"/>
      <definedName name="PPDs" refersTo="='CapFloor'!$E$9:$E$12"/>
      <definedName name="PPDs2" refersTo="='CapFloor'!$E$14:$E$23"/>
      <definedName name="PPDsurface" refersTo="='Swaption'!$B$66:$K$76"/>
      <definedName name="QtlyCapletVols" refersTo="='CapFloor'!$S$15:$S$134"/>
      <definedName name="QtlyDates" refersTo="='CapFloor'!$N$15:$N$134"/>
      <definedName name="Rates" refersTo="='LPM'!$L$6:$L$30"/>
      <definedName name="SwapRates1" refersTo="='CapFloor'!$G$13:$G$23"/>
      <definedName name="YTTpay" refersTo="='3Y+10Y BF'!$C$6:$C$7"/>
      <definedName name="YTTrec" refersTo="='3Y+10Y BF'!$F$6:$F$7"/>
    </definedNames>
    <sheetDataSet>
      <sheetData sheetId="0">
        <row r="6">
          <cell r="J6" t="str">
            <v>3m1m</v>
          </cell>
          <cell r="L6">
            <v>3</v>
          </cell>
        </row>
        <row r="7">
          <cell r="J7" t="str">
            <v>6m3m</v>
          </cell>
          <cell r="L7">
            <v>0</v>
          </cell>
        </row>
        <row r="8">
          <cell r="J8" t="str">
            <v>Retail</v>
          </cell>
          <cell r="L8" t="str">
            <v>OFFER</v>
          </cell>
        </row>
        <row r="9">
          <cell r="E9" t="str">
            <v>AUD-IRFuture-IR-U1</v>
          </cell>
          <cell r="J9" t="str">
            <v>3m1m</v>
          </cell>
          <cell r="L9">
            <v>7</v>
          </cell>
        </row>
        <row r="10">
          <cell r="E10" t="str">
            <v>AUD-IRFuture-IR-Z1</v>
          </cell>
          <cell r="J10" t="str">
            <v>6m3m</v>
          </cell>
          <cell r="L10">
            <v>0</v>
          </cell>
        </row>
        <row r="11">
          <cell r="E11" t="str">
            <v>AUD-IRFuture-IR-H2</v>
          </cell>
        </row>
        <row r="12">
          <cell r="E12" t="str">
            <v>AUD-IRFuture-IR-M2</v>
          </cell>
          <cell r="J12" t="str">
            <v>EFP Adjustments</v>
          </cell>
          <cell r="N12" t="str">
            <v>Curve Check</v>
          </cell>
        </row>
        <row r="13">
          <cell r="B13" t="str">
            <v>AUD-IRFuture-IR-U2</v>
          </cell>
          <cell r="L13" t="str">
            <v>Overide</v>
          </cell>
          <cell r="P13" t="str">
            <v>Market</v>
          </cell>
        </row>
        <row r="14">
          <cell r="B14" t="str">
            <v>AUD-IRFuture-IR-Z2</v>
          </cell>
          <cell r="E14" t="str">
            <v>AUD-IRFuture-IR-Z2</v>
          </cell>
          <cell r="J14" t="str">
            <v>3y</v>
          </cell>
          <cell r="N14" t="str">
            <v>3y</v>
          </cell>
          <cell r="P14">
            <v>5.1262500000000044E-2</v>
          </cell>
        </row>
        <row r="15">
          <cell r="B15" t="str">
            <v>AUD-IRFuture-IR-H3</v>
          </cell>
          <cell r="E15" t="str">
            <v>AUD-IRFuture-IR-H3</v>
          </cell>
          <cell r="J15" t="str">
            <v>4y</v>
          </cell>
          <cell r="N15" t="str">
            <v>4y</v>
          </cell>
          <cell r="P15">
            <v>5.3300000000000042E-2</v>
          </cell>
          <cell r="S15">
            <v>533.00000000000045</v>
          </cell>
        </row>
        <row r="16">
          <cell r="B16" t="str">
            <v>AUD-IRFuture-IR-M3</v>
          </cell>
          <cell r="E16" t="str">
            <v>AUD-IRFuture-IR-M3</v>
          </cell>
          <cell r="J16" t="str">
            <v>5y</v>
          </cell>
          <cell r="N16" t="str">
            <v>5y</v>
          </cell>
          <cell r="P16">
            <v>5.4287500000000044E-2</v>
          </cell>
          <cell r="S16">
            <v>542.87500000000045</v>
          </cell>
        </row>
        <row r="17">
          <cell r="B17" t="str">
            <v>AUD-IRSwap-3Y</v>
          </cell>
          <cell r="E17" t="str">
            <v>AUD-IRSwap-3Y</v>
          </cell>
          <cell r="J17" t="str">
            <v>6y</v>
          </cell>
          <cell r="N17" t="str">
            <v>6y</v>
          </cell>
          <cell r="P17">
            <v>5.5187500000000042E-2</v>
          </cell>
          <cell r="S17">
            <v>551.87500000000045</v>
          </cell>
        </row>
        <row r="18">
          <cell r="B18" t="str">
            <v>AUD-IRSwap-4Y</v>
          </cell>
          <cell r="E18" t="str">
            <v>AUD-IRSwap-4Y</v>
          </cell>
          <cell r="J18" t="str">
            <v>7y</v>
          </cell>
          <cell r="N18" t="str">
            <v>7y</v>
          </cell>
          <cell r="P18">
            <v>5.5962500000000047E-2</v>
          </cell>
          <cell r="S18">
            <v>559.62500000000045</v>
          </cell>
        </row>
        <row r="19">
          <cell r="B19" t="str">
            <v>AUD-IRSwap-5Y</v>
          </cell>
          <cell r="E19" t="str">
            <v>AUD-IRSwap-5Y</v>
          </cell>
          <cell r="J19" t="str">
            <v>8y</v>
          </cell>
          <cell r="N19" t="str">
            <v>8y</v>
          </cell>
          <cell r="P19">
            <v>5.6475000000000046E-2</v>
          </cell>
          <cell r="S19">
            <v>564.75000000000045</v>
          </cell>
        </row>
        <row r="20">
          <cell r="B20" t="str">
            <v>AUD-IRSwap-6Y</v>
          </cell>
          <cell r="E20" t="str">
            <v>AUD-IRSwap-6Y</v>
          </cell>
          <cell r="J20" t="str">
            <v>9y</v>
          </cell>
          <cell r="N20" t="str">
            <v>9y</v>
          </cell>
          <cell r="P20">
            <v>5.681250000000005E-2</v>
          </cell>
          <cell r="S20">
            <v>568.12500000000045</v>
          </cell>
        </row>
        <row r="21">
          <cell r="B21" t="str">
            <v>AUD-IRSwap-7Y</v>
          </cell>
          <cell r="E21" t="str">
            <v>AUD-IRSwap-7Y</v>
          </cell>
          <cell r="J21" t="str">
            <v>10y</v>
          </cell>
          <cell r="N21" t="str">
            <v>10y</v>
          </cell>
          <cell r="P21">
            <v>5.7075000000000049E-2</v>
          </cell>
          <cell r="S21">
            <v>570.75000000000045</v>
          </cell>
        </row>
        <row r="22">
          <cell r="B22" t="str">
            <v>AUD-IRSwap-8Y</v>
          </cell>
          <cell r="E22" t="str">
            <v>AUD-IRSwap-8Y</v>
          </cell>
          <cell r="J22" t="str">
            <v>12y</v>
          </cell>
          <cell r="N22" t="str">
            <v>12y</v>
          </cell>
          <cell r="P22">
            <v>5.7687500000000044E-2</v>
          </cell>
          <cell r="S22">
            <v>576.87500000000045</v>
          </cell>
        </row>
        <row r="23">
          <cell r="B23" t="str">
            <v>AUD-IRSwap-9Y</v>
          </cell>
          <cell r="E23" t="str">
            <v>AUD-IRSwap-9Y</v>
          </cell>
          <cell r="J23" t="str">
            <v>15y</v>
          </cell>
          <cell r="N23" t="str">
            <v>15y</v>
          </cell>
          <cell r="P23">
            <v>5.8125000000000052E-2</v>
          </cell>
          <cell r="S23">
            <v>581.25000000000057</v>
          </cell>
        </row>
        <row r="24">
          <cell r="J24" t="str">
            <v>20y</v>
          </cell>
          <cell r="N24" t="str">
            <v>20y</v>
          </cell>
          <cell r="P24">
            <v>5.716250000000004E-2</v>
          </cell>
          <cell r="S24">
            <v>571.62500000000034</v>
          </cell>
        </row>
        <row r="25">
          <cell r="J25" t="str">
            <v>25y</v>
          </cell>
          <cell r="N25" t="str">
            <v>25y</v>
          </cell>
          <cell r="P25">
            <v>5.5712500000000047E-2</v>
          </cell>
          <cell r="S25">
            <v>557.12500000000045</v>
          </cell>
        </row>
        <row r="26">
          <cell r="J26" t="str">
            <v>30y</v>
          </cell>
          <cell r="N26" t="str">
            <v>30y</v>
          </cell>
          <cell r="P26">
            <v>5.4237500000000043E-2</v>
          </cell>
          <cell r="S26">
            <v>542.37500000000045</v>
          </cell>
        </row>
        <row r="28">
          <cell r="J28" t="str">
            <v>Futures</v>
          </cell>
        </row>
        <row r="29">
          <cell r="L29" t="str">
            <v>Overide</v>
          </cell>
        </row>
        <row r="30">
          <cell r="J30" t="str">
            <v>3yr</v>
          </cell>
          <cell r="L30">
            <v>0</v>
          </cell>
        </row>
      </sheetData>
      <sheetData sheetId="1">
        <row r="8">
          <cell r="J8" t="str">
            <v>Volatility</v>
          </cell>
          <cell r="N8" t="str">
            <v>AUD-Deposit-1D</v>
          </cell>
          <cell r="P8">
            <v>4.7500000000000001E-2</v>
          </cell>
        </row>
        <row r="9">
          <cell r="D9">
            <v>4.7500000000000001E-2</v>
          </cell>
          <cell r="E9">
            <v>0</v>
          </cell>
          <cell r="J9" t="str">
            <v>Adjusted</v>
          </cell>
          <cell r="N9" t="str">
            <v>AUD-Deposit-1M</v>
          </cell>
          <cell r="P9">
            <v>4.8000000000000001E-2</v>
          </cell>
        </row>
        <row r="10">
          <cell r="D10">
            <v>4.8000000000000001E-2</v>
          </cell>
          <cell r="E10">
            <v>0</v>
          </cell>
          <cell r="J10">
            <v>4.9549999999999983E-2</v>
          </cell>
          <cell r="N10" t="str">
            <v>AUD-Deposit-2M</v>
          </cell>
          <cell r="P10">
            <v>4.9000000000000002E-2</v>
          </cell>
        </row>
        <row r="11">
          <cell r="D11">
            <v>4.9000000000000002E-2</v>
          </cell>
          <cell r="E11">
            <v>0</v>
          </cell>
          <cell r="J11">
            <v>4.9849999999999992E-2</v>
          </cell>
          <cell r="N11" t="str">
            <v>AUD-Deposit-3M</v>
          </cell>
          <cell r="P11">
            <v>4.99E-2</v>
          </cell>
        </row>
        <row r="12">
          <cell r="D12">
            <v>4.99E-2</v>
          </cell>
          <cell r="E12">
            <v>0</v>
          </cell>
          <cell r="J12">
            <v>5.0240078835000056E-2</v>
          </cell>
          <cell r="N12" t="str">
            <v>AUD-IRFuture-IR-U1</v>
          </cell>
          <cell r="P12">
            <v>4.9549999999999983E-2</v>
          </cell>
        </row>
        <row r="13">
          <cell r="B13" t="str">
            <v>6M</v>
          </cell>
          <cell r="H13">
            <v>4</v>
          </cell>
          <cell r="J13">
            <v>5.0627598542999981E-2</v>
          </cell>
          <cell r="N13" t="str">
            <v>AUD-IRFuture-IR-Z1</v>
          </cell>
          <cell r="P13">
            <v>4.9849999999999992E-2</v>
          </cell>
        </row>
        <row r="14">
          <cell r="H14">
            <v>5</v>
          </cell>
          <cell r="J14">
            <v>5.1059968945999991E-2</v>
          </cell>
          <cell r="N14" t="str">
            <v>AUD-IRFuture-IR-H2</v>
          </cell>
          <cell r="P14">
            <v>5.0240078835000056E-2</v>
          </cell>
        </row>
        <row r="15">
          <cell r="B15" t="str">
            <v>Short Swaps</v>
          </cell>
          <cell r="H15">
            <v>6</v>
          </cell>
          <cell r="J15">
            <v>5.1485253534000013E-2</v>
          </cell>
          <cell r="N15" t="str">
            <v>AUD-IRFuture-IR-M2</v>
          </cell>
          <cell r="P15">
            <v>5.0627598542999981E-2</v>
          </cell>
        </row>
        <row r="16">
          <cell r="H16">
            <v>7</v>
          </cell>
          <cell r="J16">
            <v>5.1807136445999977E-2</v>
          </cell>
          <cell r="N16" t="str">
            <v>AUD-IRFuture-IR-U2</v>
          </cell>
          <cell r="P16">
            <v>5.1059968945999991E-2</v>
          </cell>
        </row>
        <row r="17">
          <cell r="B17" t="str">
            <v>Maturity</v>
          </cell>
          <cell r="D17" t="str">
            <v>Adjusted</v>
          </cell>
          <cell r="E17" t="str">
            <v>Spread</v>
          </cell>
          <cell r="H17">
            <v>8</v>
          </cell>
          <cell r="J17">
            <v>5.2176326038999896E-2</v>
          </cell>
          <cell r="N17" t="str">
            <v>AUD-IRFuture-IR-Z2</v>
          </cell>
          <cell r="P17">
            <v>5.1485253534000013E-2</v>
          </cell>
        </row>
        <row r="18">
          <cell r="B18" t="str">
            <v>2x1s</v>
          </cell>
          <cell r="D18">
            <v>4.8300000000000003E-2</v>
          </cell>
          <cell r="E18">
            <v>0</v>
          </cell>
          <cell r="N18" t="str">
            <v>AUD-IRFuture-IR-H3</v>
          </cell>
          <cell r="P18">
            <v>5.1807136445999977E-2</v>
          </cell>
        </row>
        <row r="19">
          <cell r="B19" t="str">
            <v>3x1s</v>
          </cell>
          <cell r="D19">
            <v>4.8450000000000007E-2</v>
          </cell>
          <cell r="E19">
            <v>0</v>
          </cell>
          <cell r="N19" t="str">
            <v>AUD-IRFuture-IR-M3</v>
          </cell>
          <cell r="P19">
            <v>5.2176326038999896E-2</v>
          </cell>
        </row>
        <row r="20">
          <cell r="B20" t="str">
            <v>6x1s</v>
          </cell>
          <cell r="D20">
            <v>4.8750000000000002E-2</v>
          </cell>
          <cell r="E20">
            <v>0</v>
          </cell>
          <cell r="N20" t="str">
            <v>AUD-IRSwap-3Y</v>
          </cell>
          <cell r="P20">
            <v>5.1241666666666734E-2</v>
          </cell>
        </row>
        <row r="21">
          <cell r="N21" t="str">
            <v>AUD-IRSwap-4Y</v>
          </cell>
          <cell r="P21">
            <v>5.2475000000000063E-2</v>
          </cell>
          <cell r="S21">
            <v>-8</v>
          </cell>
        </row>
        <row r="22">
          <cell r="B22" t="str">
            <v>Swaps</v>
          </cell>
          <cell r="N22" t="str">
            <v>AUD-IRSwap-5Y</v>
          </cell>
          <cell r="P22">
            <v>5.3466666666666725E-2</v>
          </cell>
          <cell r="S22">
            <v>-8</v>
          </cell>
        </row>
        <row r="23">
          <cell r="N23" t="str">
            <v>AUD-IRSwap-6Y</v>
          </cell>
          <cell r="P23">
            <v>5.43958333333334E-2</v>
          </cell>
          <cell r="S23">
            <v>-7.6249999999999991</v>
          </cell>
        </row>
        <row r="24">
          <cell r="N24" t="str">
            <v>AUD-IRSwap-7Y</v>
          </cell>
          <cell r="P24">
            <v>5.5207500000000062E-2</v>
          </cell>
          <cell r="S24">
            <v>-7.2499999999999991</v>
          </cell>
        </row>
        <row r="25">
          <cell r="J25" t="str">
            <v>Adjusted</v>
          </cell>
          <cell r="N25" t="str">
            <v>AUD-IRSwap-8Y</v>
          </cell>
          <cell r="P25">
            <v>5.5724166666666741E-2</v>
          </cell>
          <cell r="S25">
            <v>-7</v>
          </cell>
        </row>
        <row r="26">
          <cell r="J26">
            <v>1.075E-3</v>
          </cell>
          <cell r="N26" t="str">
            <v>AUD-IRSwap-9Y</v>
          </cell>
          <cell r="P26">
            <v>5.610000000000006E-2</v>
          </cell>
          <cell r="S26">
            <v>-6.7499999999999991</v>
          </cell>
        </row>
        <row r="27">
          <cell r="J27">
            <v>1.1749999999999998E-3</v>
          </cell>
          <cell r="N27" t="str">
            <v>AUD-IRSwap-10Y</v>
          </cell>
          <cell r="P27">
            <v>5.6407500000000076E-2</v>
          </cell>
          <cell r="S27">
            <v>-6.5</v>
          </cell>
        </row>
        <row r="28">
          <cell r="J28">
            <v>1.1999999999999999E-3</v>
          </cell>
          <cell r="N28" t="str">
            <v>AUD-IRSwap-12Y</v>
          </cell>
          <cell r="P28">
            <v>5.7075833333333402E-2</v>
          </cell>
          <cell r="S28">
            <v>-5.9</v>
          </cell>
        </row>
        <row r="29">
          <cell r="J29">
            <v>1.1999999999999999E-3</v>
          </cell>
          <cell r="N29" t="str">
            <v>AUD-IRSwap-15Y</v>
          </cell>
          <cell r="P29">
            <v>5.7607500000000068E-2</v>
          </cell>
          <cell r="S29">
            <v>-5</v>
          </cell>
        </row>
        <row r="30">
          <cell r="J30">
            <v>1.1749999999999998E-3</v>
          </cell>
          <cell r="N30" t="str">
            <v>AUD-IRSwap-20Y</v>
          </cell>
          <cell r="P30">
            <v>5.6732500000000068E-2</v>
          </cell>
          <cell r="S30">
            <v>-4</v>
          </cell>
        </row>
        <row r="31">
          <cell r="N31" t="str">
            <v>AUD-IRSwap-25Y</v>
          </cell>
          <cell r="P31">
            <v>5.5332500000000069E-2</v>
          </cell>
          <cell r="S31">
            <v>-3.5000000000000004</v>
          </cell>
        </row>
        <row r="32">
          <cell r="N32" t="str">
            <v>AUD-IRSwap-30Y</v>
          </cell>
          <cell r="P32">
            <v>5.3895833333333407E-2</v>
          </cell>
          <cell r="S32">
            <v>-3.25</v>
          </cell>
        </row>
        <row r="33">
          <cell r="N33" t="str">
            <v>AUD-IRSwap-40Y</v>
          </cell>
          <cell r="P33">
            <v>5.182427137617962E-2</v>
          </cell>
          <cell r="S33">
            <v>-3.0430984249716171</v>
          </cell>
        </row>
        <row r="36">
          <cell r="N36" t="str">
            <v>Basis Curves</v>
          </cell>
        </row>
        <row r="38">
          <cell r="N38" t="str">
            <v>Instrument</v>
          </cell>
          <cell r="S38" t="str">
            <v>QR</v>
          </cell>
        </row>
        <row r="39">
          <cell r="N39" t="str">
            <v>AUD-SpreadDeposit-1D-6M</v>
          </cell>
          <cell r="O39">
            <v>1.2933025461893122E-3</v>
          </cell>
          <cell r="R39" t="str">
            <v>AUD-SpreadDeposit-1D-1M</v>
          </cell>
          <cell r="S39">
            <v>0</v>
          </cell>
        </row>
        <row r="40">
          <cell r="N40" t="str">
            <v>AUD-SpreadDeposit-1M-6M</v>
          </cell>
          <cell r="O40">
            <v>1.2933025461893122E-3</v>
          </cell>
          <cell r="R40" t="str">
            <v>AUD-SpreadDeposit-1M-1M</v>
          </cell>
          <cell r="S40">
            <v>0</v>
          </cell>
        </row>
        <row r="41">
          <cell r="N41" t="str">
            <v>AUD-SpreadDeposit-2M-6M</v>
          </cell>
          <cell r="O41">
            <v>1.2933025461893122E-3</v>
          </cell>
          <cell r="R41" t="str">
            <v>AUD-SpreadDeposit-2M-1M</v>
          </cell>
          <cell r="S41">
            <v>6.9999999999999923E-4</v>
          </cell>
        </row>
        <row r="42">
          <cell r="N42" t="str">
            <v>AUD-SpreadDeposit-3M-6M</v>
          </cell>
          <cell r="O42">
            <v>1.2933025461893122E-3</v>
          </cell>
          <cell r="R42" t="str">
            <v>AUD-SpreadDeposit-3M-1M</v>
          </cell>
          <cell r="S42">
            <v>1.449999999999993E-3</v>
          </cell>
        </row>
        <row r="43">
          <cell r="N43" t="str">
            <v>AUD-SpreadDeposit-6M-6M</v>
          </cell>
          <cell r="O43">
            <v>1.2933025461893122E-3</v>
          </cell>
          <cell r="R43" t="str">
            <v>AUD-SpreadDeposit-6M-1M</v>
          </cell>
          <cell r="S43">
            <v>1.2566974538106845E-3</v>
          </cell>
        </row>
        <row r="44">
          <cell r="N44" t="str">
            <v>AUD-BasisSwap-1Y-6M</v>
          </cell>
          <cell r="O44">
            <v>8.25E-4</v>
          </cell>
          <cell r="R44" t="str">
            <v>AUD-BasisSwap-1Y-1M</v>
          </cell>
          <cell r="S44">
            <v>1.075E-3</v>
          </cell>
        </row>
        <row r="45">
          <cell r="N45" t="str">
            <v>AUD-BasisSwap-2Y-6M</v>
          </cell>
          <cell r="O45">
            <v>8.5000000000000006E-4</v>
          </cell>
          <cell r="R45" t="str">
            <v>AUD-BasisSwap-2Y-1M</v>
          </cell>
          <cell r="S45">
            <v>1.1749999999999998E-3</v>
          </cell>
        </row>
        <row r="46">
          <cell r="N46" t="str">
            <v>AUD-BasisSwap-3Y-6M</v>
          </cell>
          <cell r="O46">
            <v>8.25E-4</v>
          </cell>
          <cell r="R46" t="str">
            <v>AUD-BasisSwap-3Y-1M</v>
          </cell>
          <cell r="S46">
            <v>1.1999999999999999E-3</v>
          </cell>
        </row>
        <row r="47">
          <cell r="N47" t="str">
            <v>AUD-BasisSwap-4Y-6M</v>
          </cell>
          <cell r="O47">
            <v>8.0000000000000004E-4</v>
          </cell>
          <cell r="R47" t="str">
            <v>AUD-BasisSwap-4Y-1M</v>
          </cell>
          <cell r="S47">
            <v>1.1999999999999999E-3</v>
          </cell>
        </row>
        <row r="48">
          <cell r="N48" t="str">
            <v>AUD-BasisSwap-5Y-6M</v>
          </cell>
          <cell r="O48">
            <v>8.0000000000000004E-4</v>
          </cell>
          <cell r="R48" t="str">
            <v>AUD-BasisSwap-5Y-1M</v>
          </cell>
          <cell r="S48">
            <v>1.1749999999999998E-3</v>
          </cell>
        </row>
        <row r="49">
          <cell r="N49" t="str">
            <v>AUD-BasisSwap-6Y-6M</v>
          </cell>
          <cell r="O49">
            <v>7.6249999999999994E-4</v>
          </cell>
          <cell r="R49" t="str">
            <v>AUD-BasisSwap-6Y-1M</v>
          </cell>
          <cell r="S49">
            <v>1.1249999999999999E-3</v>
          </cell>
        </row>
        <row r="50">
          <cell r="N50" t="str">
            <v>AUD-BasisSwap-7Y-6M</v>
          </cell>
          <cell r="O50">
            <v>7.2499999999999995E-4</v>
          </cell>
          <cell r="R50" t="str">
            <v>AUD-BasisSwap-7Y-1M</v>
          </cell>
          <cell r="S50">
            <v>1.075E-3</v>
          </cell>
        </row>
        <row r="51">
          <cell r="N51" t="str">
            <v>AUD-BasisSwap-8Y-6M</v>
          </cell>
          <cell r="O51">
            <v>6.9999999999999999E-4</v>
          </cell>
          <cell r="R51" t="str">
            <v>AUD-BasisSwap-8Y-1M</v>
          </cell>
          <cell r="S51">
            <v>1.0333333333333334E-3</v>
          </cell>
        </row>
        <row r="52">
          <cell r="N52" t="str">
            <v>AUD-BasisSwap-9Y-6M</v>
          </cell>
          <cell r="O52">
            <v>6.7499999999999993E-4</v>
          </cell>
          <cell r="R52" t="str">
            <v>AUD-BasisSwap-9Y-1M</v>
          </cell>
          <cell r="S52">
            <v>9.9166666666666674E-4</v>
          </cell>
        </row>
        <row r="53">
          <cell r="N53" t="str">
            <v>AUD-BasisSwap-10Y-6M</v>
          </cell>
          <cell r="O53">
            <v>6.4999999999999997E-4</v>
          </cell>
          <cell r="R53" t="str">
            <v>AUD-BasisSwap-10Y-1M</v>
          </cell>
          <cell r="S53">
            <v>9.5E-4</v>
          </cell>
        </row>
        <row r="54">
          <cell r="N54" t="str">
            <v>AUD-BasisSwap-12Y-6M</v>
          </cell>
          <cell r="O54">
            <v>5.9000000000000003E-4</v>
          </cell>
          <cell r="R54" t="str">
            <v>AUD-BasisSwap-12Y-1M</v>
          </cell>
          <cell r="S54">
            <v>8.3425168470721437E-4</v>
          </cell>
        </row>
        <row r="55">
          <cell r="N55" t="str">
            <v>AUD-BasisSwap-15Y-6M</v>
          </cell>
          <cell r="O55">
            <v>5.0000000000000001E-4</v>
          </cell>
          <cell r="R55" t="str">
            <v>AUD-BasisSwap-15Y-1M</v>
          </cell>
          <cell r="S55">
            <v>7.2148499334921342E-4</v>
          </cell>
        </row>
        <row r="56">
          <cell r="N56" t="str">
            <v>AUD-BasisSwap-20Y-6M</v>
          </cell>
          <cell r="O56">
            <v>4.0000000000000002E-4</v>
          </cell>
          <cell r="R56" t="str">
            <v>AUD-BasisSwap-20Y-1M</v>
          </cell>
          <cell r="S56">
            <v>6.1056279064230416E-4</v>
          </cell>
        </row>
        <row r="57">
          <cell r="N57" t="str">
            <v>AUD-BasisSwap-25Y-6M</v>
          </cell>
          <cell r="O57">
            <v>3.5000000000000005E-4</v>
          </cell>
          <cell r="R57" t="str">
            <v>AUD-BasisSwap-25Y-1M</v>
          </cell>
          <cell r="S57">
            <v>5.4447848008670069E-4</v>
          </cell>
        </row>
        <row r="58">
          <cell r="N58" t="str">
            <v>AUD-BasisSwap-30Y-6M</v>
          </cell>
          <cell r="O58">
            <v>3.2499999999999999E-4</v>
          </cell>
          <cell r="R58" t="str">
            <v>AUD-BasisSwap-30Y-1M</v>
          </cell>
          <cell r="S58">
            <v>5.0023276630726859E-4</v>
          </cell>
        </row>
        <row r="59">
          <cell r="N59" t="str">
            <v>AUD-BasisSwap-40Y-6M</v>
          </cell>
          <cell r="O59">
            <v>3.0430984249716172E-4</v>
          </cell>
          <cell r="R59" t="str">
            <v>AUD-BasisSwap-40Y-1M</v>
          </cell>
          <cell r="S59">
            <v>4.4494182870854891E-4</v>
          </cell>
        </row>
      </sheetData>
      <sheetData sheetId="2">
        <row r="6">
          <cell r="C6">
            <v>5.1193302546189312E-2</v>
          </cell>
          <cell r="F6" t="str">
            <v>AUD-Deposit-3M</v>
          </cell>
        </row>
        <row r="7">
          <cell r="C7">
            <v>5.1299999999999998E-2</v>
          </cell>
          <cell r="F7" t="str">
            <v>AUD-Deposit-6M</v>
          </cell>
        </row>
        <row r="9">
          <cell r="D9">
            <v>8.5000000000000006E-2</v>
          </cell>
        </row>
        <row r="10">
          <cell r="D10">
            <v>8.2500000000000004E-2</v>
          </cell>
        </row>
        <row r="11">
          <cell r="D11">
            <v>0.08</v>
          </cell>
        </row>
        <row r="12">
          <cell r="D12">
            <v>0.08</v>
          </cell>
        </row>
        <row r="13">
          <cell r="B13" t="str">
            <v>AUD-BasisSwap-6Y-6M</v>
          </cell>
          <cell r="G13">
            <v>1.1249999999999999E-3</v>
          </cell>
          <cell r="H13">
            <v>0.11249999999999999</v>
          </cell>
        </row>
        <row r="14">
          <cell r="B14" t="str">
            <v>AUD-BasisSwap-7Y-6M</v>
          </cell>
          <cell r="D14">
            <v>7.2499999999999995E-2</v>
          </cell>
          <cell r="G14">
            <v>1.075E-3</v>
          </cell>
          <cell r="H14">
            <v>0.1075</v>
          </cell>
        </row>
        <row r="15">
          <cell r="B15" t="str">
            <v>AUD-BasisSwap-8Y-6M</v>
          </cell>
          <cell r="D15">
            <v>6.9999999999999993E-2</v>
          </cell>
          <cell r="G15">
            <v>1.0333333333333334E-3</v>
          </cell>
          <cell r="H15">
            <v>0.10333333333333333</v>
          </cell>
        </row>
        <row r="16">
          <cell r="B16" t="str">
            <v>AUD-BasisSwap-9Y-6M</v>
          </cell>
          <cell r="D16">
            <v>6.7499999999999991E-2</v>
          </cell>
          <cell r="G16">
            <v>9.9166666666666674E-4</v>
          </cell>
          <cell r="H16">
            <v>9.9166666666666681E-2</v>
          </cell>
        </row>
        <row r="17">
          <cell r="B17" t="str">
            <v>AUD-BasisSwap-10Y-6M</v>
          </cell>
          <cell r="D17">
            <v>6.5000000000000002E-2</v>
          </cell>
          <cell r="G17">
            <v>9.5E-4</v>
          </cell>
          <cell r="H17">
            <v>9.5000000000000001E-2</v>
          </cell>
        </row>
        <row r="18">
          <cell r="B18" t="str">
            <v>AUD-BasisSwap-12Y-6M</v>
          </cell>
          <cell r="D18">
            <v>5.9000000000000004E-2</v>
          </cell>
          <cell r="G18">
            <v>8.3425168470721437E-4</v>
          </cell>
          <cell r="H18">
            <v>8.3425168470721442E-2</v>
          </cell>
        </row>
        <row r="19">
          <cell r="B19" t="str">
            <v>AUD-BasisSwap-15Y-6M</v>
          </cell>
          <cell r="D19">
            <v>0.05</v>
          </cell>
          <cell r="G19">
            <v>7.2148499334921342E-4</v>
          </cell>
          <cell r="H19">
            <v>7.2148499334921345E-2</v>
          </cell>
        </row>
        <row r="20">
          <cell r="B20" t="str">
            <v>AUD-BasisSwap-20Y-6M</v>
          </cell>
          <cell r="D20">
            <v>0.04</v>
          </cell>
          <cell r="G20">
            <v>6.1056279064230416E-4</v>
          </cell>
          <cell r="H20">
            <v>6.1056279064230418E-2</v>
          </cell>
        </row>
        <row r="21">
          <cell r="B21" t="str">
            <v>AUD-BasisSwap-25Y-6M</v>
          </cell>
          <cell r="D21">
            <v>3.5000000000000003E-2</v>
          </cell>
          <cell r="G21">
            <v>5.4447848008670069E-4</v>
          </cell>
          <cell r="H21">
            <v>5.4447848008670072E-2</v>
          </cell>
        </row>
        <row r="22">
          <cell r="B22" t="str">
            <v>AUD-BasisSwap-30Y-6M</v>
          </cell>
          <cell r="D22">
            <v>3.2500000000000001E-2</v>
          </cell>
          <cell r="G22">
            <v>5.0023276630726859E-4</v>
          </cell>
          <cell r="H22">
            <v>5.0023276630726858E-2</v>
          </cell>
        </row>
        <row r="23">
          <cell r="B23" t="str">
            <v>AUD-BasisSwap-40Y-6M</v>
          </cell>
          <cell r="D23">
            <v>3.0430984249716173E-2</v>
          </cell>
          <cell r="G23">
            <v>4.4494182870854891E-4</v>
          </cell>
          <cell r="H23">
            <v>4.4494182870854888E-2</v>
          </cell>
        </row>
      </sheetData>
      <sheetData sheetId="3">
        <row r="6">
          <cell r="C6">
            <v>2</v>
          </cell>
          <cell r="F6">
            <v>-5</v>
          </cell>
          <cell r="J6">
            <v>4.7699999999999999E-2</v>
          </cell>
          <cell r="L6">
            <v>-2</v>
          </cell>
        </row>
        <row r="7">
          <cell r="C7">
            <v>2</v>
          </cell>
          <cell r="F7">
            <v>-5</v>
          </cell>
          <cell r="J7">
            <v>4.82E-2</v>
          </cell>
          <cell r="L7">
            <v>-2</v>
          </cell>
        </row>
        <row r="8">
          <cell r="J8">
            <v>4.9200000000000001E-2</v>
          </cell>
          <cell r="L8">
            <v>-2</v>
          </cell>
          <cell r="N8" t="str">
            <v>AUD-SpreadDeposit-2M-6M</v>
          </cell>
          <cell r="P8">
            <v>1.4933025461893123E-3</v>
          </cell>
        </row>
        <row r="9">
          <cell r="D9">
            <v>1.6499999999999931E-3</v>
          </cell>
          <cell r="E9">
            <v>9.4999999999999295E-4</v>
          </cell>
          <cell r="J9">
            <v>5.0099999999999999E-2</v>
          </cell>
          <cell r="L9">
            <v>-2</v>
          </cell>
          <cell r="N9" t="str">
            <v>AUD-SpreadDeposit-3M-6M</v>
          </cell>
          <cell r="P9">
            <v>1.4933025461893123E-3</v>
          </cell>
        </row>
        <row r="10">
          <cell r="D10">
            <v>1.4566974538106846E-3</v>
          </cell>
          <cell r="E10">
            <v>7.5669745381068453E-4</v>
          </cell>
          <cell r="J10">
            <v>4.9749999999999982E-2</v>
          </cell>
          <cell r="L10">
            <v>-2</v>
          </cell>
          <cell r="N10" t="str">
            <v>AUD-SpreadDeposit-6M-6M</v>
          </cell>
          <cell r="P10">
            <v>1.4933025461893123E-3</v>
          </cell>
        </row>
        <row r="11">
          <cell r="D11">
            <v>1.075E-3</v>
          </cell>
          <cell r="E11">
            <v>1.3749999999999999E-3</v>
          </cell>
          <cell r="J11">
            <v>5.004999999999999E-2</v>
          </cell>
          <cell r="L11">
            <v>-2</v>
          </cell>
          <cell r="N11" t="str">
            <v>AUD-BasisSwap-1Y-6M</v>
          </cell>
          <cell r="P11">
            <v>8.25E-4</v>
          </cell>
        </row>
        <row r="12">
          <cell r="D12">
            <v>1.1749999999999998E-3</v>
          </cell>
          <cell r="E12">
            <v>1.4749999999999997E-3</v>
          </cell>
          <cell r="J12">
            <v>5.0440078835000055E-2</v>
          </cell>
          <cell r="L12">
            <v>-2</v>
          </cell>
          <cell r="N12" t="str">
            <v>AUD-BasisSwap-2Y-6M</v>
          </cell>
          <cell r="P12">
            <v>8.5000000000000006E-4</v>
          </cell>
        </row>
        <row r="13">
          <cell r="B13" t="str">
            <v>AUD-BasisSwap-3Y-1M</v>
          </cell>
          <cell r="H13" t="str">
            <v>AUD-IRFuture-IR-M2</v>
          </cell>
          <cell r="J13">
            <v>5.082759854299998E-2</v>
          </cell>
          <cell r="L13">
            <v>-2</v>
          </cell>
          <cell r="N13" t="str">
            <v>AUD-BasisSwap-3Y-6M</v>
          </cell>
          <cell r="P13">
            <v>8.25E-4</v>
          </cell>
        </row>
        <row r="14">
          <cell r="B14" t="str">
            <v>AUD-BasisSwap-4Y-1M</v>
          </cell>
          <cell r="D14">
            <v>1.1999999999999999E-3</v>
          </cell>
          <cell r="E14">
            <v>1.4999999999999998E-3</v>
          </cell>
          <cell r="H14" t="str">
            <v>AUD-IRFuture-IR-U2</v>
          </cell>
          <cell r="J14">
            <v>5.125996894599999E-2</v>
          </cell>
          <cell r="L14">
            <v>-2</v>
          </cell>
          <cell r="N14" t="str">
            <v>AUD-BasisSwap-4Y-6M</v>
          </cell>
          <cell r="P14">
            <v>5.0000000000000001E-4</v>
          </cell>
        </row>
        <row r="15">
          <cell r="B15" t="str">
            <v>AUD-BasisSwap-5Y-1M</v>
          </cell>
          <cell r="D15">
            <v>1.1749999999999998E-3</v>
          </cell>
          <cell r="E15">
            <v>1.4749999999999997E-3</v>
          </cell>
          <cell r="H15" t="str">
            <v>AUD-IRFuture-IR-Z2</v>
          </cell>
          <cell r="J15">
            <v>5.1685253534000011E-2</v>
          </cell>
          <cell r="L15">
            <v>-2</v>
          </cell>
          <cell r="N15" t="str">
            <v>AUD-BasisSwap-5Y-6M</v>
          </cell>
          <cell r="P15">
            <v>5.0000000000000001E-4</v>
          </cell>
          <cell r="S15">
            <v>0</v>
          </cell>
        </row>
        <row r="16">
          <cell r="B16" t="str">
            <v>AUD-BasisSwap-6Y-1M</v>
          </cell>
          <cell r="D16">
            <v>1.1249999999999999E-3</v>
          </cell>
          <cell r="E16">
            <v>1.4249999999999998E-3</v>
          </cell>
          <cell r="H16" t="str">
            <v>AUD-IRFuture-IR-H3</v>
          </cell>
          <cell r="J16">
            <v>5.2007136445999975E-2</v>
          </cell>
          <cell r="L16">
            <v>-2</v>
          </cell>
          <cell r="N16" t="str">
            <v>AUD-BasisSwap-6Y-6M</v>
          </cell>
          <cell r="P16">
            <v>4.6249999999999997E-4</v>
          </cell>
          <cell r="S16">
            <v>0</v>
          </cell>
        </row>
        <row r="17">
          <cell r="B17" t="str">
            <v>AUD-BasisSwap-7Y-1M</v>
          </cell>
          <cell r="D17">
            <v>1.075E-3</v>
          </cell>
          <cell r="E17">
            <v>1.3749999999999999E-3</v>
          </cell>
          <cell r="H17" t="str">
            <v>AUD-IRFuture-IR-M3</v>
          </cell>
          <cell r="J17">
            <v>5.2376326038999894E-2</v>
          </cell>
          <cell r="L17">
            <v>-2</v>
          </cell>
          <cell r="N17" t="str">
            <v>AUD-BasisSwap-7Y-6M</v>
          </cell>
          <cell r="P17">
            <v>4.2499999999999998E-4</v>
          </cell>
          <cell r="S17">
            <v>0</v>
          </cell>
        </row>
        <row r="18">
          <cell r="B18" t="str">
            <v>AUD-BasisSwap-8Y-1M</v>
          </cell>
          <cell r="D18">
            <v>1.0333333333333334E-3</v>
          </cell>
          <cell r="E18">
            <v>1.3333333333333333E-3</v>
          </cell>
          <cell r="H18" t="str">
            <v>AUD-IRSwap-3Y</v>
          </cell>
          <cell r="J18">
            <v>5.1441666666666733E-2</v>
          </cell>
          <cell r="L18">
            <v>-2</v>
          </cell>
          <cell r="N18" t="str">
            <v>AUD-BasisSwap-8Y-6M</v>
          </cell>
          <cell r="P18">
            <v>4.0000000000000002E-4</v>
          </cell>
          <cell r="S18">
            <v>0</v>
          </cell>
        </row>
        <row r="19">
          <cell r="B19" t="str">
            <v>AUD-BasisSwap-9Y-1M</v>
          </cell>
          <cell r="D19">
            <v>9.9166666666666674E-4</v>
          </cell>
          <cell r="E19">
            <v>1.2916666666666667E-3</v>
          </cell>
          <cell r="H19" t="str">
            <v>AUD-IRSwap-4Y</v>
          </cell>
          <cell r="J19">
            <v>5.3125000000000061E-2</v>
          </cell>
          <cell r="L19">
            <v>-3.5</v>
          </cell>
          <cell r="N19" t="str">
            <v>AUD-BasisSwap-9Y-6M</v>
          </cell>
          <cell r="P19">
            <v>3.7499999999999995E-4</v>
          </cell>
          <cell r="S19">
            <v>0</v>
          </cell>
        </row>
        <row r="20">
          <cell r="B20" t="str">
            <v>AUD-BasisSwap-10Y-1M</v>
          </cell>
          <cell r="D20">
            <v>9.5E-4</v>
          </cell>
          <cell r="E20">
            <v>1.25E-3</v>
          </cell>
          <cell r="H20" t="str">
            <v>AUD-IRSwap-5Y</v>
          </cell>
          <cell r="J20">
            <v>5.4116666666666723E-2</v>
          </cell>
          <cell r="L20">
            <v>-3.5</v>
          </cell>
          <cell r="N20" t="str">
            <v>AUD-BasisSwap-10Y-6M</v>
          </cell>
          <cell r="P20">
            <v>3.5E-4</v>
          </cell>
          <cell r="S20">
            <v>0</v>
          </cell>
        </row>
        <row r="21">
          <cell r="B21" t="str">
            <v>AUD-BasisSwap-12Y-1M</v>
          </cell>
          <cell r="D21">
            <v>8.3425168470721437E-4</v>
          </cell>
          <cell r="E21">
            <v>1.1342516847072143E-3</v>
          </cell>
          <cell r="H21" t="str">
            <v>AUD-IRSwap-6Y</v>
          </cell>
          <cell r="J21">
            <v>5.5045833333333398E-2</v>
          </cell>
          <cell r="L21">
            <v>-3.5</v>
          </cell>
          <cell r="N21" t="str">
            <v>AUD-BasisSwap-12Y-6M</v>
          </cell>
          <cell r="P21">
            <v>2.9000000000000006E-4</v>
          </cell>
          <cell r="S21">
            <v>0</v>
          </cell>
        </row>
        <row r="22">
          <cell r="B22" t="str">
            <v>AUD-BasisSwap-15Y-1M</v>
          </cell>
          <cell r="D22">
            <v>7.2148499334921342E-4</v>
          </cell>
          <cell r="E22">
            <v>1.0214849933492135E-3</v>
          </cell>
          <cell r="H22" t="str">
            <v>AUD-IRSwap-7Y</v>
          </cell>
          <cell r="J22">
            <v>5.585750000000006E-2</v>
          </cell>
          <cell r="L22">
            <v>-3.5</v>
          </cell>
          <cell r="N22" t="str">
            <v>AUD-BasisSwap-15Y-6M</v>
          </cell>
          <cell r="P22">
            <v>2.0000000000000004E-4</v>
          </cell>
          <cell r="S22">
            <v>0</v>
          </cell>
        </row>
        <row r="23">
          <cell r="B23" t="str">
            <v>AUD-BasisSwap-20Y-1M</v>
          </cell>
          <cell r="D23">
            <v>6.1056279064230416E-4</v>
          </cell>
          <cell r="E23">
            <v>9.1056279064230419E-4</v>
          </cell>
          <cell r="H23" t="str">
            <v>AUD-IRSwap-8Y</v>
          </cell>
          <cell r="J23">
            <v>5.6374166666666739E-2</v>
          </cell>
          <cell r="L23">
            <v>-3.5</v>
          </cell>
          <cell r="N23" t="str">
            <v>AUD-BasisSwap-20Y-6M</v>
          </cell>
          <cell r="P23">
            <v>1.0000000000000005E-4</v>
          </cell>
          <cell r="S23">
            <v>0</v>
          </cell>
        </row>
        <row r="24">
          <cell r="J24">
            <v>5.6750000000000057E-2</v>
          </cell>
          <cell r="L24">
            <v>-3.5</v>
          </cell>
          <cell r="N24" t="str">
            <v>AUD-BasisSwap-25Y-6M</v>
          </cell>
          <cell r="P24">
            <v>5.0000000000000077E-5</v>
          </cell>
          <cell r="S24">
            <v>0</v>
          </cell>
        </row>
        <row r="25">
          <cell r="J25">
            <v>5.7107500000000075E-2</v>
          </cell>
          <cell r="L25">
            <v>-4</v>
          </cell>
          <cell r="N25" t="str">
            <v>AUD-BasisSwap-30Y-6M</v>
          </cell>
          <cell r="P25">
            <v>2.5000000000000011E-5</v>
          </cell>
          <cell r="S25">
            <v>0</v>
          </cell>
        </row>
        <row r="26">
          <cell r="J26">
            <v>5.7875833333333404E-2</v>
          </cell>
          <cell r="L26">
            <v>-5</v>
          </cell>
          <cell r="N26" t="str">
            <v>AUD-BasisSwap-40Y-6M</v>
          </cell>
          <cell r="P26">
            <v>4.3098424971617453E-6</v>
          </cell>
          <cell r="S26">
            <v>0</v>
          </cell>
        </row>
        <row r="27">
          <cell r="J27">
            <v>5.840750000000007E-2</v>
          </cell>
          <cell r="L27">
            <v>-5</v>
          </cell>
          <cell r="S27">
            <v>0</v>
          </cell>
        </row>
        <row r="28">
          <cell r="J28">
            <v>5.753250000000007E-2</v>
          </cell>
          <cell r="L28">
            <v>-5</v>
          </cell>
          <cell r="S28">
            <v>0</v>
          </cell>
        </row>
        <row r="29">
          <cell r="J29">
            <v>5.6132500000000071E-2</v>
          </cell>
          <cell r="L29">
            <v>-5</v>
          </cell>
          <cell r="S29">
            <v>0</v>
          </cell>
        </row>
        <row r="30">
          <cell r="J30">
            <v>5.4695833333333409E-2</v>
          </cell>
          <cell r="L30">
            <v>-5</v>
          </cell>
          <cell r="S30">
            <v>0</v>
          </cell>
        </row>
        <row r="31">
          <cell r="S31">
            <v>0</v>
          </cell>
        </row>
        <row r="32">
          <cell r="S32">
            <v>0</v>
          </cell>
        </row>
        <row r="33">
          <cell r="S33">
            <v>0</v>
          </cell>
        </row>
        <row r="34">
          <cell r="S34">
            <v>0</v>
          </cell>
        </row>
        <row r="35">
          <cell r="S35">
            <v>0</v>
          </cell>
        </row>
        <row r="36">
          <cell r="S36">
            <v>0</v>
          </cell>
        </row>
        <row r="37">
          <cell r="S37">
            <v>0</v>
          </cell>
        </row>
        <row r="38">
          <cell r="S38">
            <v>0</v>
          </cell>
        </row>
        <row r="39">
          <cell r="S39">
            <v>0</v>
          </cell>
        </row>
        <row r="40">
          <cell r="S40">
            <v>0</v>
          </cell>
        </row>
        <row r="41">
          <cell r="S41">
            <v>0</v>
          </cell>
        </row>
        <row r="42">
          <cell r="S42">
            <v>0</v>
          </cell>
        </row>
        <row r="43">
          <cell r="S43">
            <v>0</v>
          </cell>
        </row>
        <row r="44">
          <cell r="S44">
            <v>0</v>
          </cell>
        </row>
        <row r="45">
          <cell r="S45">
            <v>0</v>
          </cell>
        </row>
      </sheetData>
      <sheetData sheetId="4">
        <row r="6">
          <cell r="C6">
            <v>2.5</v>
          </cell>
          <cell r="F6">
            <v>-9.5</v>
          </cell>
          <cell r="J6">
            <v>4.7750000000000001E-2</v>
          </cell>
          <cell r="L6">
            <v>-2.5</v>
          </cell>
        </row>
        <row r="7">
          <cell r="C7">
            <v>2.5</v>
          </cell>
          <cell r="F7">
            <v>-9.5</v>
          </cell>
          <cell r="J7">
            <v>4.8250000000000001E-2</v>
          </cell>
          <cell r="L7">
            <v>-2.5</v>
          </cell>
        </row>
        <row r="8">
          <cell r="J8">
            <v>4.9250000000000002E-2</v>
          </cell>
          <cell r="L8">
            <v>-2.5</v>
          </cell>
          <cell r="N8" t="str">
            <v>AUD-SpreadDeposit-2M-6M</v>
          </cell>
          <cell r="P8">
            <v>1.5433025461893122E-3</v>
          </cell>
        </row>
        <row r="9">
          <cell r="D9">
            <v>1.699999999999993E-3</v>
          </cell>
          <cell r="E9">
            <v>4.9999999999999296E-4</v>
          </cell>
          <cell r="J9">
            <v>5.015E-2</v>
          </cell>
          <cell r="L9">
            <v>-2.5</v>
          </cell>
          <cell r="N9" t="str">
            <v>AUD-SpreadDeposit-3M-6M</v>
          </cell>
          <cell r="P9">
            <v>1.5433025461893122E-3</v>
          </cell>
        </row>
        <row r="10">
          <cell r="D10">
            <v>1.5066974538106845E-3</v>
          </cell>
          <cell r="E10">
            <v>3.0669745381068454E-4</v>
          </cell>
          <cell r="J10">
            <v>4.9799999999999983E-2</v>
          </cell>
          <cell r="L10">
            <v>-2.5</v>
          </cell>
          <cell r="N10" t="str">
            <v>AUD-SpreadDeposit-6M-6M</v>
          </cell>
          <cell r="P10">
            <v>1.5433025461893122E-3</v>
          </cell>
        </row>
        <row r="11">
          <cell r="D11">
            <v>1.075E-3</v>
          </cell>
          <cell r="E11">
            <v>1.7750000000000001E-3</v>
          </cell>
          <cell r="J11">
            <v>5.0099999999999992E-2</v>
          </cell>
          <cell r="L11">
            <v>-2.5</v>
          </cell>
          <cell r="N11" t="str">
            <v>AUD-BasisSwap-1Y-6M</v>
          </cell>
          <cell r="P11">
            <v>8.25E-4</v>
          </cell>
        </row>
        <row r="12">
          <cell r="D12">
            <v>1.1749999999999998E-3</v>
          </cell>
          <cell r="E12">
            <v>1.8749999999999999E-3</v>
          </cell>
          <cell r="J12">
            <v>5.0490078835000056E-2</v>
          </cell>
          <cell r="L12">
            <v>-2.5</v>
          </cell>
          <cell r="N12" t="str">
            <v>AUD-BasisSwap-2Y-6M</v>
          </cell>
          <cell r="P12">
            <v>8.5000000000000006E-4</v>
          </cell>
        </row>
        <row r="13">
          <cell r="B13" t="str">
            <v>AUD-BasisSwap-3Y-1M</v>
          </cell>
          <cell r="H13" t="str">
            <v>AUD-IRFuture-IR-M2</v>
          </cell>
          <cell r="J13">
            <v>5.0877598542999981E-2</v>
          </cell>
          <cell r="L13">
            <v>-2.5</v>
          </cell>
          <cell r="N13" t="str">
            <v>AUD-BasisSwap-3Y-6M</v>
          </cell>
          <cell r="P13">
            <v>8.25E-4</v>
          </cell>
        </row>
        <row r="14">
          <cell r="B14" t="str">
            <v>AUD-BasisSwap-4Y-1M</v>
          </cell>
          <cell r="D14">
            <v>1.1999999999999999E-3</v>
          </cell>
          <cell r="E14">
            <v>1.8999999999999998E-3</v>
          </cell>
          <cell r="H14" t="str">
            <v>AUD-IRFuture-IR-U2</v>
          </cell>
          <cell r="J14">
            <v>5.1309968945999991E-2</v>
          </cell>
          <cell r="L14">
            <v>-2.5</v>
          </cell>
          <cell r="N14" t="str">
            <v>AUD-BasisSwap-4Y-6M</v>
          </cell>
          <cell r="P14">
            <v>4.0000000000000002E-4</v>
          </cell>
        </row>
        <row r="15">
          <cell r="B15" t="str">
            <v>AUD-BasisSwap-5Y-1M</v>
          </cell>
          <cell r="D15">
            <v>1.1749999999999998E-3</v>
          </cell>
          <cell r="E15">
            <v>1.8749999999999999E-3</v>
          </cell>
          <cell r="H15" t="str">
            <v>AUD-IRFuture-IR-Z2</v>
          </cell>
          <cell r="J15">
            <v>5.1735253534000013E-2</v>
          </cell>
          <cell r="L15">
            <v>-2.5</v>
          </cell>
          <cell r="N15" t="str">
            <v>AUD-BasisSwap-5Y-6M</v>
          </cell>
          <cell r="P15">
            <v>4.0000000000000002E-4</v>
          </cell>
          <cell r="S15">
            <v>0</v>
          </cell>
        </row>
        <row r="16">
          <cell r="B16" t="str">
            <v>AUD-BasisSwap-6Y-1M</v>
          </cell>
          <cell r="D16">
            <v>1.1249999999999999E-3</v>
          </cell>
          <cell r="E16">
            <v>1.8249999999999998E-3</v>
          </cell>
          <cell r="H16" t="str">
            <v>AUD-IRFuture-IR-H3</v>
          </cell>
          <cell r="J16">
            <v>5.2057136445999977E-2</v>
          </cell>
          <cell r="L16">
            <v>-2.5</v>
          </cell>
          <cell r="N16" t="str">
            <v>AUD-BasisSwap-6Y-6M</v>
          </cell>
          <cell r="P16">
            <v>3.6249999999999992E-4</v>
          </cell>
          <cell r="S16">
            <v>0</v>
          </cell>
        </row>
        <row r="17">
          <cell r="B17" t="str">
            <v>AUD-BasisSwap-7Y-1M</v>
          </cell>
          <cell r="D17">
            <v>1.075E-3</v>
          </cell>
          <cell r="E17">
            <v>1.7750000000000001E-3</v>
          </cell>
          <cell r="H17" t="str">
            <v>AUD-IRFuture-IR-M3</v>
          </cell>
          <cell r="J17">
            <v>5.2426326038999896E-2</v>
          </cell>
          <cell r="L17">
            <v>-2.5</v>
          </cell>
          <cell r="N17" t="str">
            <v>AUD-BasisSwap-7Y-6M</v>
          </cell>
          <cell r="P17">
            <v>3.2499999999999993E-4</v>
          </cell>
          <cell r="S17">
            <v>0</v>
          </cell>
        </row>
        <row r="18">
          <cell r="B18" t="str">
            <v>AUD-BasisSwap-8Y-1M</v>
          </cell>
          <cell r="D18">
            <v>1.0333333333333334E-3</v>
          </cell>
          <cell r="E18">
            <v>1.7333333333333333E-3</v>
          </cell>
          <cell r="H18" t="str">
            <v>AUD-IRSwap-3Y</v>
          </cell>
          <cell r="J18">
            <v>5.1641666666666731E-2</v>
          </cell>
          <cell r="L18">
            <v>-4</v>
          </cell>
          <cell r="N18" t="str">
            <v>AUD-BasisSwap-8Y-6M</v>
          </cell>
          <cell r="P18">
            <v>2.9999999999999997E-4</v>
          </cell>
          <cell r="S18">
            <v>0</v>
          </cell>
        </row>
        <row r="19">
          <cell r="B19" t="str">
            <v>AUD-BasisSwap-9Y-1M</v>
          </cell>
          <cell r="D19">
            <v>9.9166666666666674E-4</v>
          </cell>
          <cell r="E19">
            <v>1.6916666666666668E-3</v>
          </cell>
          <cell r="H19" t="str">
            <v>AUD-IRSwap-4Y</v>
          </cell>
          <cell r="J19">
            <v>5.3275000000000065E-2</v>
          </cell>
          <cell r="L19">
            <v>-4</v>
          </cell>
          <cell r="N19" t="str">
            <v>AUD-BasisSwap-9Y-6M</v>
          </cell>
          <cell r="P19">
            <v>2.7499999999999991E-4</v>
          </cell>
          <cell r="S19">
            <v>0</v>
          </cell>
        </row>
        <row r="20">
          <cell r="B20" t="str">
            <v>AUD-BasisSwap-10Y-1M</v>
          </cell>
          <cell r="D20">
            <v>9.5E-4</v>
          </cell>
          <cell r="E20">
            <v>1.65E-3</v>
          </cell>
          <cell r="H20" t="str">
            <v>AUD-IRSwap-5Y</v>
          </cell>
          <cell r="J20">
            <v>5.4266666666666727E-2</v>
          </cell>
          <cell r="L20">
            <v>-4</v>
          </cell>
          <cell r="N20" t="str">
            <v>AUD-BasisSwap-10Y-6M</v>
          </cell>
          <cell r="P20">
            <v>2.4999999999999995E-4</v>
          </cell>
          <cell r="S20">
            <v>0</v>
          </cell>
        </row>
        <row r="21">
          <cell r="B21" t="str">
            <v>AUD-BasisSwap-12Y-1M</v>
          </cell>
          <cell r="D21">
            <v>8.3425168470721437E-4</v>
          </cell>
          <cell r="E21">
            <v>1.5342516847072145E-3</v>
          </cell>
          <cell r="H21" t="str">
            <v>AUD-IRSwap-6Y</v>
          </cell>
          <cell r="J21">
            <v>5.5195833333333402E-2</v>
          </cell>
          <cell r="L21">
            <v>-4</v>
          </cell>
          <cell r="N21" t="str">
            <v>AUD-BasisSwap-12Y-6M</v>
          </cell>
          <cell r="P21">
            <v>1.9000000000000001E-4</v>
          </cell>
          <cell r="S21">
            <v>0</v>
          </cell>
        </row>
        <row r="22">
          <cell r="B22" t="str">
            <v>AUD-BasisSwap-15Y-1M</v>
          </cell>
          <cell r="D22">
            <v>7.2148499334921342E-4</v>
          </cell>
          <cell r="E22">
            <v>1.4214849933492134E-3</v>
          </cell>
          <cell r="H22" t="str">
            <v>AUD-IRSwap-7Y</v>
          </cell>
          <cell r="J22">
            <v>5.610750000000006E-2</v>
          </cell>
          <cell r="L22">
            <v>-5</v>
          </cell>
          <cell r="N22" t="str">
            <v>AUD-BasisSwap-15Y-6M</v>
          </cell>
          <cell r="P22">
            <v>9.9999999999999991E-5</v>
          </cell>
          <cell r="S22">
            <v>0</v>
          </cell>
        </row>
        <row r="23">
          <cell r="B23" t="str">
            <v>AUD-BasisSwap-20Y-1M</v>
          </cell>
          <cell r="D23">
            <v>6.1056279064230416E-4</v>
          </cell>
          <cell r="E23">
            <v>1.3105627906423042E-3</v>
          </cell>
          <cell r="H23" t="str">
            <v>AUD-IRSwap-8Y</v>
          </cell>
          <cell r="J23">
            <v>5.6624166666666739E-2</v>
          </cell>
          <cell r="L23">
            <v>-5</v>
          </cell>
          <cell r="N23" t="str">
            <v>AUD-BasisSwap-20Y-6M</v>
          </cell>
          <cell r="P23">
            <v>0</v>
          </cell>
          <cell r="S23">
            <v>0</v>
          </cell>
        </row>
        <row r="24">
          <cell r="J24">
            <v>5.7000000000000058E-2</v>
          </cell>
          <cell r="L24">
            <v>-5</v>
          </cell>
          <cell r="N24" t="str">
            <v>AUD-BasisSwap-25Y-6M</v>
          </cell>
          <cell r="P24">
            <v>-4.9999999999999969E-5</v>
          </cell>
          <cell r="S24">
            <v>0</v>
          </cell>
        </row>
        <row r="25">
          <cell r="J25">
            <v>5.7307500000000074E-2</v>
          </cell>
          <cell r="L25">
            <v>-5</v>
          </cell>
          <cell r="N25" t="str">
            <v>AUD-BasisSwap-30Y-6M</v>
          </cell>
          <cell r="P25">
            <v>-7.5000000000000034E-5</v>
          </cell>
          <cell r="S25">
            <v>0</v>
          </cell>
        </row>
        <row r="26">
          <cell r="J26">
            <v>5.8075833333333403E-2</v>
          </cell>
          <cell r="L26">
            <v>-6</v>
          </cell>
          <cell r="N26" t="str">
            <v>AUD-BasisSwap-40Y-6M</v>
          </cell>
          <cell r="P26">
            <v>-9.56901575028383E-5</v>
          </cell>
          <cell r="S26">
            <v>0</v>
          </cell>
        </row>
        <row r="27">
          <cell r="J27">
            <v>5.8707500000000065E-2</v>
          </cell>
          <cell r="L27">
            <v>-7</v>
          </cell>
          <cell r="S27">
            <v>0</v>
          </cell>
        </row>
        <row r="28">
          <cell r="J28">
            <v>5.8132500000000066E-2</v>
          </cell>
          <cell r="L28">
            <v>-10</v>
          </cell>
          <cell r="S28">
            <v>0</v>
          </cell>
        </row>
        <row r="29">
          <cell r="J29">
            <v>5.6732500000000068E-2</v>
          </cell>
          <cell r="L29">
            <v>-10</v>
          </cell>
          <cell r="S29">
            <v>0</v>
          </cell>
        </row>
        <row r="30">
          <cell r="J30">
            <v>5.5295833333333405E-2</v>
          </cell>
          <cell r="L30">
            <v>-10</v>
          </cell>
          <cell r="S30">
            <v>0</v>
          </cell>
        </row>
        <row r="31">
          <cell r="S31">
            <v>0</v>
          </cell>
        </row>
        <row r="32">
          <cell r="S32">
            <v>0</v>
          </cell>
        </row>
        <row r="33">
          <cell r="S33">
            <v>0</v>
          </cell>
        </row>
        <row r="34">
          <cell r="S34">
            <v>0</v>
          </cell>
        </row>
        <row r="35">
          <cell r="S35">
            <v>0</v>
          </cell>
        </row>
        <row r="36">
          <cell r="S36">
            <v>0</v>
          </cell>
        </row>
        <row r="37">
          <cell r="S37">
            <v>0</v>
          </cell>
        </row>
        <row r="38">
          <cell r="S38">
            <v>0</v>
          </cell>
        </row>
        <row r="39">
          <cell r="S39">
            <v>0</v>
          </cell>
        </row>
        <row r="40">
          <cell r="S40">
            <v>0</v>
          </cell>
        </row>
        <row r="41">
          <cell r="S41">
            <v>0</v>
          </cell>
        </row>
        <row r="42">
          <cell r="S42">
            <v>0</v>
          </cell>
        </row>
        <row r="43">
          <cell r="S43">
            <v>0</v>
          </cell>
        </row>
        <row r="44">
          <cell r="S44">
            <v>0</v>
          </cell>
        </row>
        <row r="45">
          <cell r="S45">
            <v>0</v>
          </cell>
        </row>
      </sheetData>
      <sheetData sheetId="5">
        <row r="6">
          <cell r="C6">
            <v>0</v>
          </cell>
          <cell r="F6" t="str">
            <v>AUD-Deposit-1D</v>
          </cell>
          <cell r="J6" t="str">
            <v>AUD-Deposit-1D</v>
          </cell>
          <cell r="L6">
            <v>4.7500000000000001E-2</v>
          </cell>
        </row>
        <row r="7">
          <cell r="C7">
            <v>0</v>
          </cell>
          <cell r="F7" t="str">
            <v>AUD-Deposit-1M</v>
          </cell>
          <cell r="J7" t="str">
            <v>AUD-Deposit-1M</v>
          </cell>
          <cell r="L7">
            <v>4.8000000000000001E-2</v>
          </cell>
        </row>
        <row r="8">
          <cell r="J8" t="str">
            <v>AUD-Deposit-2M</v>
          </cell>
          <cell r="L8">
            <v>4.9000000000000002E-2</v>
          </cell>
        </row>
        <row r="9">
          <cell r="J9" t="str">
            <v>AUD-Deposit-88D</v>
          </cell>
          <cell r="L9">
            <v>4.99E-2</v>
          </cell>
        </row>
        <row r="10">
          <cell r="D10">
            <v>4.9549999999999983E-2</v>
          </cell>
          <cell r="J10" t="str">
            <v>AUD-IRFuture-IR-U1</v>
          </cell>
          <cell r="L10">
            <v>4.9649999999999986E-2</v>
          </cell>
        </row>
        <row r="11">
          <cell r="D11">
            <v>4.9849999999999992E-2</v>
          </cell>
          <cell r="J11" t="str">
            <v>AUD-IRFuture-IR-Z1</v>
          </cell>
          <cell r="L11">
            <v>4.9949999999999994E-2</v>
          </cell>
        </row>
        <row r="12">
          <cell r="D12">
            <v>5.0250000000000059E-2</v>
          </cell>
          <cell r="J12" t="str">
            <v>AUD-IRFuture-IR-H2</v>
          </cell>
          <cell r="L12">
            <v>5.0350000000000061E-2</v>
          </cell>
        </row>
        <row r="13">
          <cell r="B13" t="str">
            <v>AUD-IRFuture-IR-M2</v>
          </cell>
          <cell r="G13">
            <v>0</v>
          </cell>
          <cell r="H13">
            <v>5.064999999999998E-2</v>
          </cell>
          <cell r="J13" t="str">
            <v>AUD-IRFuture-IR-M2</v>
          </cell>
          <cell r="L13">
            <v>5.0749999999999983E-2</v>
          </cell>
        </row>
        <row r="14">
          <cell r="B14" t="str">
            <v>AUD-IRFuture-IR-U2</v>
          </cell>
          <cell r="D14">
            <v>5.1099999999999993E-2</v>
          </cell>
          <cell r="G14">
            <v>0</v>
          </cell>
          <cell r="H14">
            <v>5.1099999999999993E-2</v>
          </cell>
          <cell r="J14" t="str">
            <v>AUD-IRFuture-IR-U2</v>
          </cell>
          <cell r="L14">
            <v>5.1199999999999996E-2</v>
          </cell>
        </row>
        <row r="15">
          <cell r="B15" t="str">
            <v>AUD-IRFuture-IR-Z2</v>
          </cell>
          <cell r="D15">
            <v>5.1550000000000012E-2</v>
          </cell>
          <cell r="G15">
            <v>0</v>
          </cell>
          <cell r="H15">
            <v>5.1550000000000012E-2</v>
          </cell>
          <cell r="J15" t="str">
            <v>AUD-IRFuture-IR-Z2</v>
          </cell>
          <cell r="L15">
            <v>5.170000000000001E-2</v>
          </cell>
        </row>
        <row r="16">
          <cell r="B16" t="str">
            <v>AUD-IRFuture-IR-H3</v>
          </cell>
          <cell r="D16">
            <v>5.1899999999999974E-2</v>
          </cell>
          <cell r="G16">
            <v>0</v>
          </cell>
          <cell r="H16">
            <v>5.1899999999999974E-2</v>
          </cell>
          <cell r="J16" t="str">
            <v>AUD-IRFuture-IR-H3</v>
          </cell>
          <cell r="L16">
            <v>5.2049999999999971E-2</v>
          </cell>
        </row>
        <row r="17">
          <cell r="B17" t="str">
            <v>AUD-IRFuture-IR-M3</v>
          </cell>
          <cell r="D17">
            <v>5.2299999999999895E-2</v>
          </cell>
          <cell r="G17">
            <v>0</v>
          </cell>
          <cell r="H17">
            <v>5.2299999999999895E-2</v>
          </cell>
          <cell r="J17" t="str">
            <v>AUD-IRFuture-IR-M3</v>
          </cell>
          <cell r="L17">
            <v>5.2449999999999997E-2</v>
          </cell>
        </row>
        <row r="18">
          <cell r="B18" t="str">
            <v>AUD-IRSwap-3Y</v>
          </cell>
          <cell r="D18">
            <v>5.1241666666666734E-2</v>
          </cell>
          <cell r="G18">
            <v>0</v>
          </cell>
          <cell r="H18">
            <v>5.1241666666666734E-2</v>
          </cell>
          <cell r="J18" t="str">
            <v>AUD-IRSwap-3Y</v>
          </cell>
          <cell r="L18">
            <v>5.1450000000000051E-2</v>
          </cell>
        </row>
        <row r="19">
          <cell r="B19" t="str">
            <v>AUD-IRSwap-4Y</v>
          </cell>
          <cell r="D19">
            <v>5.3275000000000065E-2</v>
          </cell>
          <cell r="G19">
            <v>0</v>
          </cell>
          <cell r="H19">
            <v>5.3275000000000065E-2</v>
          </cell>
          <cell r="J19" t="str">
            <v>AUD-IRSwap-4Y</v>
          </cell>
          <cell r="L19">
            <v>5.3475000000000043E-2</v>
          </cell>
        </row>
        <row r="20">
          <cell r="B20" t="str">
            <v>AUD-IRSwap-5Y</v>
          </cell>
          <cell r="D20">
            <v>5.4266666666666727E-2</v>
          </cell>
          <cell r="G20">
            <v>0</v>
          </cell>
          <cell r="H20">
            <v>5.4266666666666727E-2</v>
          </cell>
          <cell r="J20" t="str">
            <v>AUD-IRSwap-5Y</v>
          </cell>
          <cell r="L20">
            <v>5.4500000000000048E-2</v>
          </cell>
        </row>
        <row r="21">
          <cell r="B21" t="str">
            <v>AUD-IRSwap-7Y</v>
          </cell>
          <cell r="D21">
            <v>5.5932500000000065E-2</v>
          </cell>
          <cell r="G21">
            <v>0</v>
          </cell>
          <cell r="H21">
            <v>5.5932500000000065E-2</v>
          </cell>
          <cell r="J21" t="str">
            <v>AUD-IRSwap-7Y</v>
          </cell>
          <cell r="L21">
            <v>5.6250000000000043E-2</v>
          </cell>
        </row>
        <row r="22">
          <cell r="B22" t="str">
            <v>AUD-IRSwap-10Y</v>
          </cell>
          <cell r="D22">
            <v>5.7057500000000073E-2</v>
          </cell>
          <cell r="G22">
            <v>0</v>
          </cell>
          <cell r="H22">
            <v>5.7057500000000073E-2</v>
          </cell>
          <cell r="J22" t="str">
            <v>AUD-IRSwap-10Y</v>
          </cell>
          <cell r="L22">
            <v>5.7375000000000044E-2</v>
          </cell>
        </row>
        <row r="23">
          <cell r="B23" t="str">
            <v>AUD-IRSwap-15Y</v>
          </cell>
          <cell r="D23">
            <v>5.8107500000000069E-2</v>
          </cell>
          <cell r="G23">
            <v>0</v>
          </cell>
          <cell r="H23">
            <v>5.8107500000000069E-2</v>
          </cell>
          <cell r="J23" t="str">
            <v>AUD-IRSwap-15Y</v>
          </cell>
          <cell r="L23">
            <v>5.8700000000000044E-2</v>
          </cell>
        </row>
        <row r="24">
          <cell r="J24" t="str">
            <v>AUD-IRSwap-20Y</v>
          </cell>
          <cell r="L24">
            <v>5.7975000000000047E-2</v>
          </cell>
        </row>
        <row r="25">
          <cell r="J25" t="str">
            <v>AUD-IRSwap-25Y</v>
          </cell>
          <cell r="L25">
            <v>5.6575000000000042E-2</v>
          </cell>
        </row>
        <row r="26">
          <cell r="J26" t="str">
            <v>AUD-IRSwap-26Y</v>
          </cell>
          <cell r="L26">
            <v>5.6285000000000043E-2</v>
          </cell>
        </row>
        <row r="27">
          <cell r="J27" t="str">
            <v>AUD-IRSwap-27Y</v>
          </cell>
          <cell r="L27">
            <v>5.5995000000000045E-2</v>
          </cell>
        </row>
        <row r="28">
          <cell r="J28" t="str">
            <v>AUD-IRSwap-28Y</v>
          </cell>
          <cell r="L28">
            <v>5.5705000000000046E-2</v>
          </cell>
        </row>
        <row r="29">
          <cell r="J29" t="str">
            <v>AUD-IRSwap-29Y</v>
          </cell>
          <cell r="L29">
            <v>5.5415000000000048E-2</v>
          </cell>
        </row>
        <row r="30">
          <cell r="J30" t="str">
            <v>AUD-IRSwap-30Y</v>
          </cell>
          <cell r="L30">
            <v>5.5125000000000049E-2</v>
          </cell>
        </row>
      </sheetData>
      <sheetData sheetId="6">
        <row r="6">
          <cell r="C6">
            <v>4.8100000000000025E-2</v>
          </cell>
          <cell r="F6">
            <v>4.8050000000000065E-2</v>
          </cell>
        </row>
        <row r="7">
          <cell r="C7">
            <v>5.1850000000000021E-2</v>
          </cell>
          <cell r="F7">
            <v>5.1800000000000068E-2</v>
          </cell>
        </row>
      </sheetData>
      <sheetData sheetId="7">
        <row r="6">
          <cell r="F6">
            <v>250</v>
          </cell>
        </row>
        <row r="8">
          <cell r="P8" t="str">
            <v>Swap Conv</v>
          </cell>
        </row>
        <row r="9">
          <cell r="D9" t="str">
            <v>2Y</v>
          </cell>
          <cell r="E9" t="str">
            <v>3Y</v>
          </cell>
          <cell r="J9" t="str">
            <v>15Y</v>
          </cell>
          <cell r="N9" t="str">
            <v>Highlander.Market.Curve.RateATMVolatilityMatrix.AUD-IRSwap</v>
          </cell>
          <cell r="P9" t="str">
            <v>DayCount</v>
          </cell>
        </row>
        <row r="10">
          <cell r="D10">
            <v>4.2</v>
          </cell>
          <cell r="E10">
            <v>4.4000000000000004</v>
          </cell>
          <cell r="J10">
            <v>4.3499999999999996</v>
          </cell>
          <cell r="N10" t="str">
            <v>RateATMVolatilityMatrix</v>
          </cell>
        </row>
        <row r="11">
          <cell r="D11">
            <v>4.3</v>
          </cell>
          <cell r="E11">
            <v>4.5</v>
          </cell>
          <cell r="J11">
            <v>4.45</v>
          </cell>
          <cell r="N11">
            <v>40703</v>
          </cell>
        </row>
        <row r="12">
          <cell r="D12">
            <v>4.8</v>
          </cell>
          <cell r="E12">
            <v>4.8</v>
          </cell>
          <cell r="J12">
            <v>4.75</v>
          </cell>
          <cell r="N12">
            <v>40703</v>
          </cell>
          <cell r="P12" t="str">
            <v>Quarterly Schedule</v>
          </cell>
        </row>
        <row r="13">
          <cell r="B13" t="str">
            <v>6M</v>
          </cell>
          <cell r="G13">
            <v>5.0999999999999996</v>
          </cell>
          <cell r="H13">
            <v>5.05</v>
          </cell>
          <cell r="J13">
            <v>4.9000000000000004</v>
          </cell>
          <cell r="N13" t="str">
            <v>Curve</v>
          </cell>
          <cell r="P13" t="str">
            <v>Out of Spot</v>
          </cell>
        </row>
        <row r="14">
          <cell r="B14" t="str">
            <v>1Y</v>
          </cell>
          <cell r="D14">
            <v>5.7</v>
          </cell>
          <cell r="E14">
            <v>5.65</v>
          </cell>
          <cell r="G14">
            <v>5.52</v>
          </cell>
          <cell r="H14">
            <v>5.37</v>
          </cell>
          <cell r="J14">
            <v>5.2</v>
          </cell>
          <cell r="N14" t="str">
            <v>AUD-IRSwap</v>
          </cell>
          <cell r="P14" t="str">
            <v>Quarters</v>
          </cell>
        </row>
        <row r="15">
          <cell r="B15" t="str">
            <v>2Y</v>
          </cell>
          <cell r="D15">
            <v>6</v>
          </cell>
          <cell r="E15">
            <v>5.85</v>
          </cell>
          <cell r="G15">
            <v>5.6</v>
          </cell>
          <cell r="H15">
            <v>5.45</v>
          </cell>
          <cell r="J15">
            <v>5.2</v>
          </cell>
          <cell r="N15" t="str">
            <v>SydneySwapDesk</v>
          </cell>
          <cell r="P15">
            <v>0</v>
          </cell>
        </row>
        <row r="16">
          <cell r="B16" t="str">
            <v>3Y</v>
          </cell>
          <cell r="D16">
            <v>5.75</v>
          </cell>
          <cell r="E16">
            <v>5.6</v>
          </cell>
          <cell r="G16">
            <v>5.4</v>
          </cell>
          <cell r="H16">
            <v>5.3</v>
          </cell>
          <cell r="J16">
            <v>5.15</v>
          </cell>
          <cell r="N16" t="str">
            <v>AUD-IRSwap-SydneySwapDesk</v>
          </cell>
          <cell r="P16">
            <v>1</v>
          </cell>
          <cell r="S16">
            <v>0.25753424657534246</v>
          </cell>
        </row>
        <row r="17">
          <cell r="B17" t="str">
            <v>5Y</v>
          </cell>
          <cell r="D17">
            <v>5.34</v>
          </cell>
          <cell r="E17">
            <v>5.2</v>
          </cell>
          <cell r="G17">
            <v>5.0999999999999996</v>
          </cell>
          <cell r="H17">
            <v>5.09</v>
          </cell>
          <cell r="J17">
            <v>5.07</v>
          </cell>
          <cell r="N17" t="str">
            <v>RateATMVolatilityMatrix.AUD-IRSwap</v>
          </cell>
          <cell r="P17">
            <v>2</v>
          </cell>
          <cell r="S17">
            <v>0.24931506849315069</v>
          </cell>
        </row>
        <row r="18">
          <cell r="B18" t="str">
            <v>7Y</v>
          </cell>
          <cell r="D18">
            <v>5.15</v>
          </cell>
          <cell r="E18">
            <v>5.0999999999999996</v>
          </cell>
          <cell r="G18">
            <v>5.0999999999999996</v>
          </cell>
          <cell r="H18">
            <v>5.08</v>
          </cell>
          <cell r="J18">
            <v>5.05</v>
          </cell>
          <cell r="N18" t="str">
            <v>Linear</v>
          </cell>
          <cell r="P18">
            <v>3</v>
          </cell>
          <cell r="S18">
            <v>0.24931506849315069</v>
          </cell>
        </row>
        <row r="19">
          <cell r="B19" t="str">
            <v>10Y</v>
          </cell>
          <cell r="D19">
            <v>5.0999999999999996</v>
          </cell>
          <cell r="E19">
            <v>5.05</v>
          </cell>
          <cell r="G19">
            <v>5.05</v>
          </cell>
          <cell r="H19">
            <v>5.05</v>
          </cell>
          <cell r="J19">
            <v>5.05</v>
          </cell>
          <cell r="N19" t="str">
            <v>AUD</v>
          </cell>
          <cell r="P19">
            <v>4</v>
          </cell>
          <cell r="S19">
            <v>0.25205479452054796</v>
          </cell>
        </row>
        <row r="20">
          <cell r="N20" t="str">
            <v>LogNormalVolatility</v>
          </cell>
          <cell r="P20">
            <v>5</v>
          </cell>
          <cell r="S20">
            <v>0.24657534246575341</v>
          </cell>
        </row>
        <row r="21">
          <cell r="N21" t="str">
            <v>SwapDesk</v>
          </cell>
          <cell r="P21">
            <v>6</v>
          </cell>
          <cell r="S21">
            <v>0.24931506849315069</v>
          </cell>
        </row>
        <row r="22">
          <cell r="N22" t="str">
            <v>Volatility</v>
          </cell>
          <cell r="P22">
            <v>7</v>
          </cell>
          <cell r="S22">
            <v>0.24931506849315069</v>
          </cell>
        </row>
        <row r="23">
          <cell r="D23" t="str">
            <v>2Y</v>
          </cell>
          <cell r="E23" t="str">
            <v>3Y</v>
          </cell>
          <cell r="G23" t="str">
            <v>5Y</v>
          </cell>
          <cell r="H23" t="str">
            <v>7Y</v>
          </cell>
          <cell r="J23" t="str">
            <v>15Y</v>
          </cell>
          <cell r="N23" t="str">
            <v>Mid</v>
          </cell>
          <cell r="P23">
            <v>8</v>
          </cell>
          <cell r="S23">
            <v>0.25205479452054796</v>
          </cell>
        </row>
        <row r="24">
          <cell r="J24">
            <v>4.6499999999999995</v>
          </cell>
          <cell r="N24" t="str">
            <v>Close</v>
          </cell>
          <cell r="P24">
            <v>9</v>
          </cell>
          <cell r="S24">
            <v>0.24931506849315069</v>
          </cell>
        </row>
        <row r="25">
          <cell r="J25">
            <v>4.75</v>
          </cell>
          <cell r="N25">
            <v>40703</v>
          </cell>
          <cell r="P25">
            <v>10</v>
          </cell>
          <cell r="S25">
            <v>0.24931506849315069</v>
          </cell>
        </row>
        <row r="26">
          <cell r="J26">
            <v>5.05</v>
          </cell>
          <cell r="N26" t="str">
            <v>Sydney</v>
          </cell>
          <cell r="P26">
            <v>11</v>
          </cell>
          <cell r="S26">
            <v>0.24657534246575341</v>
          </cell>
        </row>
        <row r="27">
          <cell r="J27">
            <v>5.2</v>
          </cell>
          <cell r="P27">
            <v>12</v>
          </cell>
          <cell r="S27">
            <v>0.25205479452054796</v>
          </cell>
        </row>
        <row r="28">
          <cell r="J28">
            <v>5.5</v>
          </cell>
          <cell r="P28">
            <v>13</v>
          </cell>
          <cell r="S28">
            <v>0.25205479452054796</v>
          </cell>
        </row>
        <row r="29">
          <cell r="J29">
            <v>5.5</v>
          </cell>
          <cell r="P29">
            <v>14</v>
          </cell>
          <cell r="S29">
            <v>0.24931506849315069</v>
          </cell>
        </row>
        <row r="30">
          <cell r="J30">
            <v>5.45</v>
          </cell>
          <cell r="P30">
            <v>15</v>
          </cell>
          <cell r="S30">
            <v>0.24657534246575341</v>
          </cell>
        </row>
        <row r="31">
          <cell r="P31">
            <v>16</v>
          </cell>
          <cell r="S31">
            <v>0.25205479452054796</v>
          </cell>
        </row>
        <row r="32">
          <cell r="P32">
            <v>17</v>
          </cell>
          <cell r="S32">
            <v>0.25205479452054796</v>
          </cell>
        </row>
        <row r="33">
          <cell r="P33">
            <v>18</v>
          </cell>
          <cell r="S33">
            <v>0.24931506849315069</v>
          </cell>
        </row>
        <row r="34">
          <cell r="S34">
            <v>0.24931506849315069</v>
          </cell>
        </row>
        <row r="35">
          <cell r="S35">
            <v>0.25205479452054796</v>
          </cell>
        </row>
        <row r="36">
          <cell r="S36">
            <v>0.25753424657534246</v>
          </cell>
        </row>
        <row r="37">
          <cell r="S37">
            <v>0.24931506849315069</v>
          </cell>
        </row>
        <row r="38">
          <cell r="S38">
            <v>0.24109589041095891</v>
          </cell>
        </row>
        <row r="39">
          <cell r="R39">
            <v>0.72271350090049469</v>
          </cell>
          <cell r="S39">
            <v>0.26027397260273971</v>
          </cell>
        </row>
        <row r="40">
          <cell r="R40">
            <v>0.71216607446562652</v>
          </cell>
          <cell r="S40">
            <v>0.24657534246575341</v>
          </cell>
        </row>
        <row r="41">
          <cell r="R41">
            <v>0.70157978596041204</v>
          </cell>
          <cell r="S41">
            <v>0.24931506849315069</v>
          </cell>
        </row>
        <row r="42">
          <cell r="R42">
            <v>0.69107344714371644</v>
          </cell>
          <cell r="S42">
            <v>0.24931506849315069</v>
          </cell>
        </row>
        <row r="43">
          <cell r="R43">
            <v>0.68053409463457382</v>
          </cell>
          <cell r="S43">
            <v>0.25205479452054796</v>
          </cell>
        </row>
        <row r="44">
          <cell r="R44">
            <v>0.67070306778442235</v>
          </cell>
          <cell r="S44">
            <v>0.24657534246575341</v>
          </cell>
        </row>
        <row r="45">
          <cell r="R45">
            <v>0.66086064007678313</v>
          </cell>
          <cell r="S45">
            <v>0.24931506849315069</v>
          </cell>
        </row>
        <row r="46">
          <cell r="R46">
            <v>0.65111652870090142</v>
          </cell>
          <cell r="S46">
            <v>0.24931506849315069</v>
          </cell>
        </row>
        <row r="47">
          <cell r="R47">
            <v>0.64136520331172597</v>
          </cell>
          <cell r="S47">
            <v>0.25205479452054796</v>
          </cell>
        </row>
        <row r="48">
          <cell r="R48">
            <v>0.63202360010405445</v>
          </cell>
          <cell r="S48">
            <v>0.24931506849315069</v>
          </cell>
        </row>
        <row r="49">
          <cell r="R49">
            <v>0.62278614038078817</v>
          </cell>
          <cell r="S49">
            <v>0.24931506849315069</v>
          </cell>
        </row>
        <row r="50">
          <cell r="R50">
            <v>0.61365224312463118</v>
          </cell>
          <cell r="S50">
            <v>0.24931506849315069</v>
          </cell>
        </row>
        <row r="51">
          <cell r="R51">
            <v>0.60452264885029439</v>
          </cell>
          <cell r="S51">
            <v>0.25205479452054796</v>
          </cell>
        </row>
        <row r="52">
          <cell r="C52" t="str">
            <v>1Y</v>
          </cell>
          <cell r="D52" t="str">
            <v>2Y</v>
          </cell>
          <cell r="E52" t="str">
            <v>3Y</v>
          </cell>
          <cell r="F52" t="str">
            <v>4Y</v>
          </cell>
          <cell r="G52" t="str">
            <v>5Y</v>
          </cell>
          <cell r="H52" t="str">
            <v>7Y</v>
          </cell>
          <cell r="I52" t="str">
            <v>10Y</v>
          </cell>
          <cell r="J52" t="str">
            <v>15Y</v>
          </cell>
          <cell r="K52" t="str">
            <v>20Y</v>
          </cell>
          <cell r="R52">
            <v>0.5955968939560593</v>
          </cell>
          <cell r="S52">
            <v>0.25205479452054796</v>
          </cell>
        </row>
        <row r="53">
          <cell r="B53" t="str">
            <v>1M</v>
          </cell>
          <cell r="C53">
            <v>0.12645634590280916</v>
          </cell>
          <cell r="D53">
            <v>0.14050779034381788</v>
          </cell>
          <cell r="E53">
            <v>0.14477661010710222</v>
          </cell>
          <cell r="F53">
            <v>0.1392779528235337</v>
          </cell>
          <cell r="G53">
            <v>0.13671611740026129</v>
          </cell>
          <cell r="H53">
            <v>0.13263442668800074</v>
          </cell>
          <cell r="I53">
            <v>0.1286563196244925</v>
          </cell>
          <cell r="J53">
            <v>0.12635756149885244</v>
          </cell>
          <cell r="K53">
            <v>0.12855817399733852</v>
          </cell>
          <cell r="R53">
            <v>0.58687280333787939</v>
          </cell>
          <cell r="S53">
            <v>0.24931506849315069</v>
          </cell>
        </row>
        <row r="54">
          <cell r="B54" t="str">
            <v>2M</v>
          </cell>
          <cell r="C54">
            <v>0.12962286326120429</v>
          </cell>
          <cell r="D54">
            <v>0.14355268331765103</v>
          </cell>
          <cell r="E54">
            <v>0.1477447629893717</v>
          </cell>
          <cell r="F54">
            <v>0.14215800617803567</v>
          </cell>
          <cell r="G54">
            <v>0.13951225386229804</v>
          </cell>
          <cell r="H54">
            <v>0.1353216590977919</v>
          </cell>
          <cell r="I54">
            <v>0.13129987369523505</v>
          </cell>
          <cell r="J54">
            <v>0.12896710103312115</v>
          </cell>
          <cell r="K54">
            <v>0.1312437883412069</v>
          </cell>
          <cell r="R54">
            <v>0.57834616940989481</v>
          </cell>
          <cell r="S54">
            <v>0.24657534246575341</v>
          </cell>
        </row>
        <row r="55">
          <cell r="B55" t="str">
            <v>3M</v>
          </cell>
          <cell r="C55">
            <v>0.14214008069928197</v>
          </cell>
          <cell r="D55">
            <v>0.15866661822193703</v>
          </cell>
          <cell r="E55">
            <v>0.15623169815322197</v>
          </cell>
          <cell r="F55">
            <v>0.15101643876624324</v>
          </cell>
          <cell r="G55">
            <v>0.14815560892452737</v>
          </cell>
          <cell r="H55">
            <v>0.14366160382838869</v>
          </cell>
          <cell r="I55">
            <v>0.13947790438832011</v>
          </cell>
          <cell r="J55">
            <v>0.13700857806619976</v>
          </cell>
          <cell r="K55">
            <v>0.13945978680676024</v>
          </cell>
          <cell r="R55">
            <v>0.56973367377377493</v>
          </cell>
          <cell r="S55">
            <v>0.25205479452054796</v>
          </cell>
        </row>
        <row r="56">
          <cell r="B56" t="str">
            <v>6M</v>
          </cell>
          <cell r="C56">
            <v>0.16297376990781634</v>
          </cell>
          <cell r="D56">
            <v>0.16363595301943218</v>
          </cell>
          <cell r="E56">
            <v>0.1640066185847654</v>
          </cell>
          <cell r="F56">
            <v>0.1577066730532537</v>
          </cell>
          <cell r="G56">
            <v>0.15486720624982414</v>
          </cell>
          <cell r="H56">
            <v>0.14938881636559939</v>
          </cell>
          <cell r="I56">
            <v>0.14268146700585768</v>
          </cell>
          <cell r="J56">
            <v>0.14086794340865502</v>
          </cell>
          <cell r="K56">
            <v>0.14363935689329571</v>
          </cell>
          <cell r="R56">
            <v>0.56114561455046841</v>
          </cell>
          <cell r="S56">
            <v>0.25205479452054796</v>
          </cell>
        </row>
        <row r="57">
          <cell r="B57" t="str">
            <v>1Y</v>
          </cell>
          <cell r="C57">
            <v>0.17987796095276365</v>
          </cell>
          <cell r="D57">
            <v>0.18248844631912509</v>
          </cell>
          <cell r="E57">
            <v>0.177587248896838</v>
          </cell>
          <cell r="F57">
            <v>0.16838226308270571</v>
          </cell>
          <cell r="G57">
            <v>0.16388795912676157</v>
          </cell>
          <cell r="H57">
            <v>0.15617921086409706</v>
          </cell>
          <cell r="I57">
            <v>0.14932221639606469</v>
          </cell>
          <cell r="J57">
            <v>0.1483094083752724</v>
          </cell>
          <cell r="K57">
            <v>0.15162546069560795</v>
          </cell>
          <cell r="R57">
            <v>0.55275092968148254</v>
          </cell>
          <cell r="S57">
            <v>0.24931506849315069</v>
          </cell>
        </row>
        <row r="58">
          <cell r="B58" t="str">
            <v>2Y</v>
          </cell>
          <cell r="C58">
            <v>0.1917800556409438</v>
          </cell>
          <cell r="D58">
            <v>0.18477631550697926</v>
          </cell>
          <cell r="E58">
            <v>0.17656653124805652</v>
          </cell>
          <cell r="F58">
            <v>0.16641245067077118</v>
          </cell>
          <cell r="G58">
            <v>0.16086914574042993</v>
          </cell>
          <cell r="H58">
            <v>0.15503840741382857</v>
          </cell>
          <cell r="I58">
            <v>0.14656839434139232</v>
          </cell>
          <cell r="J58">
            <v>0.14740457673048718</v>
          </cell>
          <cell r="K58">
            <v>0.15145898805038624</v>
          </cell>
          <cell r="R58">
            <v>0.54454568290769378</v>
          </cell>
          <cell r="S58">
            <v>0.24657534246575341</v>
          </cell>
        </row>
        <row r="59">
          <cell r="B59" t="str">
            <v>3Y</v>
          </cell>
          <cell r="C59">
            <v>0.17643568623208858</v>
          </cell>
          <cell r="D59">
            <v>0.16985027724101315</v>
          </cell>
          <cell r="E59">
            <v>0.16280943398938888</v>
          </cell>
          <cell r="F59">
            <v>0.15501440952827597</v>
          </cell>
          <cell r="G59">
            <v>0.15159023197699592</v>
          </cell>
          <cell r="H59">
            <v>0.14829708283619367</v>
          </cell>
          <cell r="I59">
            <v>0.14323260118996037</v>
          </cell>
          <cell r="J59">
            <v>0.14554981342322545</v>
          </cell>
          <cell r="K59">
            <v>0.15032766460430946</v>
          </cell>
          <cell r="R59">
            <v>0.53625731517105191</v>
          </cell>
          <cell r="S59">
            <v>0.25205479452054796</v>
          </cell>
        </row>
        <row r="60">
          <cell r="B60" t="str">
            <v>5Y</v>
          </cell>
          <cell r="C60">
            <v>0.15566586466620674</v>
          </cell>
          <cell r="D60">
            <v>0.14847840083392383</v>
          </cell>
          <cell r="E60">
            <v>0.14492924894356957</v>
          </cell>
          <cell r="F60">
            <v>0.14238697856750873</v>
          </cell>
          <cell r="G60">
            <v>0.14044612708687196</v>
          </cell>
          <cell r="H60">
            <v>0.13947696423102135</v>
          </cell>
          <cell r="I60">
            <v>0.13905171717880865</v>
          </cell>
          <cell r="J60">
            <v>0.14440020845742907</v>
          </cell>
          <cell r="K60">
            <v>0.15061159116947639</v>
          </cell>
          <cell r="S60">
            <v>0.25753424657534246</v>
          </cell>
        </row>
        <row r="61">
          <cell r="B61" t="str">
            <v>7Y</v>
          </cell>
          <cell r="C61">
            <v>0.14919136621478252</v>
          </cell>
          <cell r="D61">
            <v>0.14424190928448596</v>
          </cell>
          <cell r="E61">
            <v>0.14294345949593251</v>
          </cell>
          <cell r="F61">
            <v>0.14030206621564947</v>
          </cell>
          <cell r="G61">
            <v>0.1396554441918913</v>
          </cell>
          <cell r="H61">
            <v>0.13934272592727909</v>
          </cell>
          <cell r="I61">
            <v>0.14152242794199879</v>
          </cell>
          <cell r="J61">
            <v>0.14818729655151644</v>
          </cell>
          <cell r="K61">
            <v>0.15524032129024437</v>
          </cell>
          <cell r="S61">
            <v>0.24931506849315069</v>
          </cell>
        </row>
        <row r="62">
          <cell r="B62" t="str">
            <v>10Y</v>
          </cell>
          <cell r="C62">
            <v>0.14123828863762827</v>
          </cell>
          <cell r="D62">
            <v>0.13904331128317565</v>
          </cell>
          <cell r="E62">
            <v>0.13864890516498951</v>
          </cell>
          <cell r="F62">
            <v>0.13765206302339533</v>
          </cell>
          <cell r="G62">
            <v>0.13771621485142094</v>
          </cell>
          <cell r="H62">
            <v>0.14266577670924768</v>
          </cell>
          <cell r="I62">
            <v>0.14771123057717092</v>
          </cell>
          <cell r="J62">
            <v>0.15711219016001157</v>
          </cell>
          <cell r="K62">
            <v>0.16561922026080284</v>
          </cell>
          <cell r="S62">
            <v>0.24109589041095891</v>
          </cell>
        </row>
        <row r="63">
          <cell r="S63">
            <v>0.26027397260273971</v>
          </cell>
        </row>
        <row r="64">
          <cell r="S64">
            <v>0.24657534246575341</v>
          </cell>
        </row>
        <row r="65">
          <cell r="S65">
            <v>0.24931506849315069</v>
          </cell>
        </row>
        <row r="66">
          <cell r="C66" t="str">
            <v>1Y</v>
          </cell>
          <cell r="D66" t="str">
            <v>2Y</v>
          </cell>
          <cell r="E66" t="str">
            <v>3Y</v>
          </cell>
          <cell r="F66" t="str">
            <v>4Y</v>
          </cell>
          <cell r="G66" t="str">
            <v>5Y</v>
          </cell>
          <cell r="H66" t="str">
            <v>7Y</v>
          </cell>
          <cell r="I66" t="str">
            <v>10Y</v>
          </cell>
          <cell r="J66" t="str">
            <v>15Y</v>
          </cell>
          <cell r="K66" t="str">
            <v>20Y</v>
          </cell>
          <cell r="S66">
            <v>0.24931506849315069</v>
          </cell>
        </row>
        <row r="67">
          <cell r="B67" t="str">
            <v>1M</v>
          </cell>
          <cell r="C67">
            <v>3.9997779109954172</v>
          </cell>
          <cell r="D67">
            <v>4.4996915434188329</v>
          </cell>
          <cell r="E67">
            <v>4.6996579624938839</v>
          </cell>
          <cell r="F67">
            <v>4.6996834489247021</v>
          </cell>
          <cell r="G67">
            <v>4.6996949862371578</v>
          </cell>
          <cell r="H67">
            <v>4.6997129258917862</v>
          </cell>
          <cell r="I67">
            <v>4.649732760747451</v>
          </cell>
          <cell r="J67">
            <v>4.6497422247190832</v>
          </cell>
          <cell r="K67">
            <v>4.6497331682984289</v>
          </cell>
          <cell r="S67">
            <v>0.25205479452054796</v>
          </cell>
        </row>
        <row r="68">
          <cell r="B68" t="str">
            <v>2M</v>
          </cell>
          <cell r="C68">
            <v>4.0995216574875322</v>
          </cell>
          <cell r="D68">
            <v>4.599341793698291</v>
          </cell>
          <cell r="E68">
            <v>4.7992724820904069</v>
          </cell>
          <cell r="F68">
            <v>4.7993264551173738</v>
          </cell>
          <cell r="G68">
            <v>4.7993512899502848</v>
          </cell>
          <cell r="H68">
            <v>4.7993896714728805</v>
          </cell>
          <cell r="I68">
            <v>4.7494313920318678</v>
          </cell>
          <cell r="J68">
            <v>4.7494514151015963</v>
          </cell>
          <cell r="K68">
            <v>4.7494318776429267</v>
          </cell>
          <cell r="S68">
            <v>0.24931506849315069</v>
          </cell>
        </row>
        <row r="69">
          <cell r="B69" t="str">
            <v>3M</v>
          </cell>
          <cell r="C69">
            <v>4.4990531261108861</v>
          </cell>
          <cell r="D69">
            <v>5.0986628886346557</v>
          </cell>
          <cell r="E69">
            <v>5.0987036034172828</v>
          </cell>
          <cell r="F69">
            <v>5.0987886921174121</v>
          </cell>
          <cell r="G69">
            <v>5.0988341416861864</v>
          </cell>
          <cell r="H69">
            <v>5.0989037834905284</v>
          </cell>
          <cell r="I69">
            <v>5.0489768206441408</v>
          </cell>
          <cell r="J69">
            <v>5.0490127225004375</v>
          </cell>
          <cell r="K69">
            <v>5.0489770863916359</v>
          </cell>
          <cell r="S69">
            <v>0.24931506849315069</v>
          </cell>
        </row>
        <row r="70">
          <cell r="B70" t="str">
            <v>6M</v>
          </cell>
          <cell r="C70">
            <v>5.1971240503458862</v>
          </cell>
          <cell r="D70">
            <v>5.2970448870762388</v>
          </cell>
          <cell r="E70">
            <v>5.3969754813158941</v>
          </cell>
          <cell r="F70">
            <v>5.3972032724410193</v>
          </cell>
          <cell r="G70">
            <v>5.3973030296307885</v>
          </cell>
          <cell r="H70">
            <v>5.3475136228176883</v>
          </cell>
          <cell r="I70">
            <v>5.1977953914817014</v>
          </cell>
          <cell r="J70">
            <v>5.1978510570600021</v>
          </cell>
          <cell r="K70">
            <v>5.197765702392835</v>
          </cell>
        </row>
        <row r="71">
          <cell r="B71" t="str">
            <v>1Y</v>
          </cell>
          <cell r="C71">
            <v>5.822149696270456</v>
          </cell>
          <cell r="D71">
            <v>5.9916848785566028</v>
          </cell>
          <cell r="E71">
            <v>5.9421906327929133</v>
          </cell>
          <cell r="F71">
            <v>5.873060995622482</v>
          </cell>
          <cell r="G71">
            <v>5.8134931838593245</v>
          </cell>
          <cell r="H71">
            <v>5.6642426699914203</v>
          </cell>
          <cell r="I71">
            <v>5.4948945119958577</v>
          </cell>
          <cell r="J71">
            <v>5.4949634782144914</v>
          </cell>
          <cell r="K71">
            <v>5.494735933236802</v>
          </cell>
        </row>
        <row r="72">
          <cell r="B72" t="str">
            <v>2Y</v>
          </cell>
          <cell r="C72">
            <v>6.3804382100848933</v>
          </cell>
          <cell r="D72">
            <v>6.2821211055890007</v>
          </cell>
          <cell r="E72">
            <v>6.1340597224858859</v>
          </cell>
          <cell r="F72">
            <v>6.0061361003708269</v>
          </cell>
          <cell r="G72">
            <v>5.8873008741282344</v>
          </cell>
          <cell r="H72">
            <v>5.7385030490667051</v>
          </cell>
          <cell r="I72">
            <v>5.4901697919018968</v>
          </cell>
          <cell r="J72">
            <v>5.4900574911036655</v>
          </cell>
          <cell r="K72">
            <v>5.4895039781885764</v>
          </cell>
        </row>
        <row r="73">
          <cell r="B73" t="str">
            <v>3Y</v>
          </cell>
          <cell r="C73">
            <v>6.1261527325648419</v>
          </cell>
          <cell r="D73">
            <v>6.0282534816076403</v>
          </cell>
          <cell r="E73">
            <v>5.880509310052318</v>
          </cell>
          <cell r="F73">
            <v>5.7826256308768258</v>
          </cell>
          <cell r="G73">
            <v>5.6836692768831707</v>
          </cell>
          <cell r="H73">
            <v>5.5846435953588625</v>
          </cell>
          <cell r="I73">
            <v>5.4360559606506085</v>
          </cell>
          <cell r="J73">
            <v>5.4356022211566852</v>
          </cell>
          <cell r="K73">
            <v>5.43464389600895</v>
          </cell>
        </row>
        <row r="74">
          <cell r="B74" t="str">
            <v>5Y</v>
          </cell>
          <cell r="C74">
            <v>5.8206011169820568</v>
          </cell>
          <cell r="D74">
            <v>5.614202868963833</v>
          </cell>
          <cell r="E74">
            <v>5.4760268494887248</v>
          </cell>
          <cell r="F74">
            <v>5.4569415138559618</v>
          </cell>
          <cell r="G74">
            <v>5.3778910773258035</v>
          </cell>
          <cell r="H74">
            <v>5.3682344289047617</v>
          </cell>
          <cell r="I74">
            <v>5.348446740784965</v>
          </cell>
          <cell r="J74">
            <v>5.3467633936335774</v>
          </cell>
          <cell r="K74">
            <v>5.3447300143018115</v>
          </cell>
        </row>
        <row r="75">
          <cell r="B75" t="str">
            <v>7Y</v>
          </cell>
          <cell r="C75">
            <v>5.6135338842171869</v>
          </cell>
          <cell r="D75">
            <v>5.4171074059938116</v>
          </cell>
          <cell r="E75">
            <v>5.3679901668314027</v>
          </cell>
          <cell r="F75">
            <v>5.3691561916383428</v>
          </cell>
          <cell r="G75">
            <v>5.3694383935782453</v>
          </cell>
          <cell r="H75">
            <v>5.349687100852762</v>
          </cell>
          <cell r="I75">
            <v>5.3189106718321311</v>
          </cell>
          <cell r="J75">
            <v>5.3159306903990862</v>
          </cell>
          <cell r="K75">
            <v>5.3126313559909422</v>
          </cell>
        </row>
        <row r="76">
          <cell r="B76" t="str">
            <v>10Y</v>
          </cell>
          <cell r="C76">
            <v>5.4050377020422591</v>
          </cell>
          <cell r="D76">
            <v>5.3568142139977253</v>
          </cell>
          <cell r="E76">
            <v>5.307454728695884</v>
          </cell>
          <cell r="F76">
            <v>5.3080599903685446</v>
          </cell>
          <cell r="G76">
            <v>5.3080211664661521</v>
          </cell>
          <cell r="H76">
            <v>5.3049728161122589</v>
          </cell>
          <cell r="I76">
            <v>5.3017580660616632</v>
          </cell>
          <cell r="J76">
            <v>5.2954803412764075</v>
          </cell>
          <cell r="K76">
            <v>5.2894784193001634</v>
          </cell>
        </row>
      </sheetData>
      <sheetData sheetId="8">
        <row r="6">
          <cell r="C6">
            <v>7</v>
          </cell>
          <cell r="F6">
            <v>4.2</v>
          </cell>
          <cell r="J6">
            <v>4.4000000000000004</v>
          </cell>
          <cell r="L6">
            <v>4.3499999999999996</v>
          </cell>
        </row>
        <row r="7">
          <cell r="C7">
            <v>8</v>
          </cell>
          <cell r="F7">
            <v>4.3</v>
          </cell>
          <cell r="J7">
            <v>4.5</v>
          </cell>
          <cell r="L7">
            <v>4.45</v>
          </cell>
        </row>
        <row r="8">
          <cell r="J8">
            <v>4.8</v>
          </cell>
          <cell r="L8">
            <v>4.75</v>
          </cell>
        </row>
        <row r="9">
          <cell r="D9" t="str">
            <v>6 MONTH</v>
          </cell>
          <cell r="E9">
            <v>4.9000000000000004</v>
          </cell>
          <cell r="J9">
            <v>5.05</v>
          </cell>
          <cell r="L9">
            <v>4.9000000000000004</v>
          </cell>
        </row>
        <row r="10">
          <cell r="D10" t="str">
            <v>1 YEAR</v>
          </cell>
          <cell r="E10">
            <v>5.53</v>
          </cell>
          <cell r="J10">
            <v>5.37</v>
          </cell>
          <cell r="L10">
            <v>5.2</v>
          </cell>
        </row>
        <row r="11">
          <cell r="D11" t="str">
            <v>2 YEAR</v>
          </cell>
          <cell r="E11">
            <v>6.1</v>
          </cell>
          <cell r="J11">
            <v>5.45</v>
          </cell>
          <cell r="L11">
            <v>5.2</v>
          </cell>
        </row>
        <row r="12">
          <cell r="D12" t="str">
            <v>3 YEAR</v>
          </cell>
          <cell r="E12">
            <v>5.85</v>
          </cell>
          <cell r="J12">
            <v>5.3</v>
          </cell>
          <cell r="L12">
            <v>5.15</v>
          </cell>
        </row>
        <row r="13">
          <cell r="G13">
            <v>5.2</v>
          </cell>
          <cell r="H13">
            <v>5.18</v>
          </cell>
          <cell r="J13">
            <v>5.09</v>
          </cell>
          <cell r="L13">
            <v>5.07</v>
          </cell>
        </row>
        <row r="14">
          <cell r="D14" t="str">
            <v>7 YEAR</v>
          </cell>
          <cell r="E14">
            <v>5.35</v>
          </cell>
          <cell r="G14">
            <v>5.0999999999999996</v>
          </cell>
          <cell r="H14">
            <v>5.0999999999999996</v>
          </cell>
          <cell r="J14">
            <v>5.08</v>
          </cell>
          <cell r="L14">
            <v>5.05</v>
          </cell>
        </row>
        <row r="15">
          <cell r="D15" t="str">
            <v>10 YEAR</v>
          </cell>
          <cell r="E15">
            <v>5.15</v>
          </cell>
          <cell r="G15">
            <v>5.05</v>
          </cell>
          <cell r="H15">
            <v>5.05</v>
          </cell>
          <cell r="J15">
            <v>5.05</v>
          </cell>
          <cell r="L15">
            <v>5.05</v>
          </cell>
        </row>
        <row r="16">
          <cell r="E16">
            <v>5</v>
          </cell>
          <cell r="G16">
            <v>26</v>
          </cell>
          <cell r="H16">
            <v>38</v>
          </cell>
          <cell r="J16">
            <v>59</v>
          </cell>
        </row>
        <row r="17">
          <cell r="E17">
            <v>5</v>
          </cell>
          <cell r="G17">
            <v>5</v>
          </cell>
          <cell r="H17">
            <v>5</v>
          </cell>
          <cell r="J17">
            <v>5</v>
          </cell>
        </row>
      </sheetData>
      <sheetData sheetId="9">
        <row r="6">
          <cell r="J6" t="str">
            <v>BaseDate</v>
          </cell>
        </row>
        <row r="7">
          <cell r="J7" t="str">
            <v>MarketName</v>
          </cell>
        </row>
        <row r="8">
          <cell r="J8" t="str">
            <v>Instrument</v>
          </cell>
        </row>
        <row r="9">
          <cell r="D9" t="str">
            <v>85d</v>
          </cell>
          <cell r="E9">
            <v>4.2</v>
          </cell>
          <cell r="F9" t="str">
            <v>ETO</v>
          </cell>
          <cell r="J9" t="str">
            <v>Source</v>
          </cell>
        </row>
        <row r="10">
          <cell r="D10" t="str">
            <v>176d</v>
          </cell>
          <cell r="E10">
            <v>4.4000000000000004</v>
          </cell>
          <cell r="F10" t="str">
            <v>ETO</v>
          </cell>
          <cell r="J10" t="str">
            <v>CurveName</v>
          </cell>
        </row>
        <row r="11">
          <cell r="D11" t="str">
            <v>267d</v>
          </cell>
          <cell r="E11">
            <v>5.5</v>
          </cell>
          <cell r="F11" t="str">
            <v>ETO</v>
          </cell>
          <cell r="J11" t="str">
            <v>Identifier</v>
          </cell>
        </row>
        <row r="12">
          <cell r="D12" t="str">
            <v>358d</v>
          </cell>
          <cell r="E12">
            <v>5.8100000000000005</v>
          </cell>
          <cell r="F12" t="str">
            <v>ETO</v>
          </cell>
          <cell r="J12" t="str">
            <v>Algorithm</v>
          </cell>
        </row>
        <row r="13">
          <cell r="B13" t="str">
            <v>1Y</v>
          </cell>
          <cell r="G13">
            <v>4.9876958824135093E-2</v>
          </cell>
          <cell r="H13">
            <v>0.1778414130670711</v>
          </cell>
          <cell r="J13" t="str">
            <v>Currency</v>
          </cell>
        </row>
        <row r="14">
          <cell r="B14" t="str">
            <v>2Y</v>
          </cell>
          <cell r="D14" t="str">
            <v>2Y</v>
          </cell>
          <cell r="E14">
            <v>5.94</v>
          </cell>
          <cell r="F14" t="str">
            <v>Cap/Floor</v>
          </cell>
          <cell r="G14">
            <v>5.054053085101072E-2</v>
          </cell>
          <cell r="H14">
            <v>0.17957343802813958</v>
          </cell>
          <cell r="J14" t="str">
            <v>QuoteUnits</v>
          </cell>
          <cell r="N14" t="str">
            <v>Date</v>
          </cell>
          <cell r="P14" t="str">
            <v>Yf</v>
          </cell>
        </row>
        <row r="15">
          <cell r="B15" t="str">
            <v>3Y</v>
          </cell>
          <cell r="D15" t="str">
            <v>3Y</v>
          </cell>
          <cell r="E15">
            <v>6.25</v>
          </cell>
          <cell r="F15" t="str">
            <v>Cap/Floor</v>
          </cell>
          <cell r="G15">
            <v>5.1241666847801723E-2</v>
          </cell>
          <cell r="H15">
            <v>0.18668186478831778</v>
          </cell>
          <cell r="J15" t="str">
            <v>InformationSource</v>
          </cell>
          <cell r="N15">
            <v>40704</v>
          </cell>
          <cell r="S15">
            <v>0.17784141306707099</v>
          </cell>
        </row>
        <row r="16">
          <cell r="B16" t="str">
            <v>4Y</v>
          </cell>
          <cell r="D16" t="str">
            <v>4Y</v>
          </cell>
          <cell r="E16">
            <v>6.2</v>
          </cell>
          <cell r="F16" t="str">
            <v>Cap/Floor</v>
          </cell>
          <cell r="G16">
            <v>5.2134038267461734E-2</v>
          </cell>
          <cell r="H16">
            <v>0.18197003907188458</v>
          </cell>
          <cell r="J16" t="str">
            <v>MeasureType</v>
          </cell>
          <cell r="N16">
            <v>40798</v>
          </cell>
          <cell r="P16">
            <v>0.25753424657534246</v>
          </cell>
          <cell r="S16">
            <v>0.17784141306707099</v>
          </cell>
        </row>
        <row r="17">
          <cell r="B17" t="str">
            <v>5Y</v>
          </cell>
          <cell r="D17" t="str">
            <v>5Y</v>
          </cell>
          <cell r="E17">
            <v>6.15</v>
          </cell>
          <cell r="F17" t="str">
            <v>Cap/Floor</v>
          </cell>
          <cell r="G17">
            <v>5.3112528409805834E-2</v>
          </cell>
          <cell r="H17">
            <v>0.17712913168833494</v>
          </cell>
          <cell r="J17" t="str">
            <v>StrikeQuoteUnits</v>
          </cell>
          <cell r="N17">
            <v>40889</v>
          </cell>
          <cell r="P17">
            <v>0.24931506849315069</v>
          </cell>
          <cell r="S17">
            <v>0.17784141306707099</v>
          </cell>
        </row>
        <row r="18">
          <cell r="B18" t="str">
            <v>7Y</v>
          </cell>
          <cell r="D18" t="str">
            <v>7Y</v>
          </cell>
          <cell r="E18">
            <v>5.98</v>
          </cell>
          <cell r="F18" t="str">
            <v>Cap/Floor</v>
          </cell>
          <cell r="G18">
            <v>5.4829871649203124E-2</v>
          </cell>
          <cell r="H18">
            <v>0.16667889533568583</v>
          </cell>
          <cell r="J18" t="str">
            <v>QuotationSide</v>
          </cell>
          <cell r="N18">
            <v>40980</v>
          </cell>
          <cell r="P18">
            <v>0.24931506849315069</v>
          </cell>
          <cell r="S18">
            <v>0.17784141306707099</v>
          </cell>
        </row>
        <row r="19">
          <cell r="B19" t="str">
            <v>10Y</v>
          </cell>
          <cell r="D19" t="str">
            <v>10Y</v>
          </cell>
          <cell r="E19">
            <v>5.78</v>
          </cell>
          <cell r="F19" t="str">
            <v>Cap/Floor</v>
          </cell>
          <cell r="G19">
            <v>5.6013794003163191E-2</v>
          </cell>
          <cell r="H19">
            <v>0.1575103923753414</v>
          </cell>
          <cell r="J19" t="str">
            <v>Timing</v>
          </cell>
          <cell r="N19">
            <v>41072</v>
          </cell>
          <cell r="P19">
            <v>0.25205479452054796</v>
          </cell>
          <cell r="S19">
            <v>0.17880215350308801</v>
          </cell>
        </row>
        <row r="20">
          <cell r="B20" t="str">
            <v>15Y</v>
          </cell>
          <cell r="D20" t="str">
            <v>15Y</v>
          </cell>
          <cell r="E20">
            <v>5.59</v>
          </cell>
          <cell r="F20" t="str">
            <v>Cap/Floor</v>
          </cell>
          <cell r="G20">
            <v>5.7197205978504528E-2</v>
          </cell>
          <cell r="H20">
            <v>0.1489992063136194</v>
          </cell>
          <cell r="J20" t="str">
            <v>ValuationDate</v>
          </cell>
          <cell r="N20">
            <v>41162</v>
          </cell>
          <cell r="P20">
            <v>0.24657534246575341</v>
          </cell>
          <cell r="S20">
            <v>0.17899606608308699</v>
          </cell>
        </row>
        <row r="21">
          <cell r="B21" t="str">
            <v>20Y</v>
          </cell>
          <cell r="D21" t="str">
            <v>20Y</v>
          </cell>
          <cell r="E21">
            <v>5.59</v>
          </cell>
          <cell r="F21" t="str">
            <v>Cap/Floor</v>
          </cell>
          <cell r="G21">
            <v>5.6334731102773025E-2</v>
          </cell>
          <cell r="H21">
            <v>0.15128035809039794</v>
          </cell>
          <cell r="J21" t="str">
            <v>BusinessCenter</v>
          </cell>
          <cell r="N21">
            <v>41253</v>
          </cell>
          <cell r="P21">
            <v>0.24931506849315069</v>
          </cell>
          <cell r="S21">
            <v>0.18012278784062</v>
          </cell>
        </row>
        <row r="22">
          <cell r="B22" t="str">
            <v>25Y</v>
          </cell>
          <cell r="D22" t="str">
            <v>25Y</v>
          </cell>
          <cell r="E22">
            <v>5.59</v>
          </cell>
          <cell r="F22" t="str">
            <v>Cap/Floor</v>
          </cell>
          <cell r="G22">
            <v>5.495416771364451E-2</v>
          </cell>
          <cell r="H22">
            <v>0.15508083642649328</v>
          </cell>
          <cell r="N22">
            <v>41344</v>
          </cell>
          <cell r="P22">
            <v>0.24931506849315069</v>
          </cell>
          <cell r="S22">
            <v>0.182996433820826</v>
          </cell>
        </row>
        <row r="23">
          <cell r="B23" t="str">
            <v>30Y</v>
          </cell>
          <cell r="D23" t="str">
            <v>30Y</v>
          </cell>
          <cell r="E23">
            <v>5.59</v>
          </cell>
          <cell r="F23" t="str">
            <v>Cap/Floor</v>
          </cell>
          <cell r="G23">
            <v>5.3536900301647011E-2</v>
          </cell>
          <cell r="H23">
            <v>0.15918624810431173</v>
          </cell>
          <cell r="N23">
            <v>41436</v>
          </cell>
          <cell r="P23">
            <v>0.25205479452054796</v>
          </cell>
          <cell r="S23">
            <v>0.189558111634133</v>
          </cell>
        </row>
        <row r="24">
          <cell r="N24">
            <v>41527</v>
          </cell>
          <cell r="P24">
            <v>0.24931506849315069</v>
          </cell>
          <cell r="S24">
            <v>0.19646761120949</v>
          </cell>
        </row>
        <row r="25">
          <cell r="N25">
            <v>41618</v>
          </cell>
          <cell r="P25">
            <v>0.24931506849315069</v>
          </cell>
          <cell r="S25">
            <v>0.198894501077962</v>
          </cell>
        </row>
        <row r="26">
          <cell r="J26" t="str">
            <v>Settings</v>
          </cell>
          <cell r="N26">
            <v>41708</v>
          </cell>
          <cell r="P26">
            <v>0.24657534246575341</v>
          </cell>
          <cell r="S26">
            <v>0.19430132903341901</v>
          </cell>
        </row>
        <row r="27">
          <cell r="J27" t="str">
            <v>Engine</v>
          </cell>
          <cell r="N27">
            <v>41800</v>
          </cell>
          <cell r="P27">
            <v>0.25205479452054796</v>
          </cell>
          <cell r="S27">
            <v>0.18344942289148999</v>
          </cell>
        </row>
        <row r="28">
          <cell r="N28">
            <v>41892</v>
          </cell>
          <cell r="P28">
            <v>0.25205479452054796</v>
          </cell>
          <cell r="S28">
            <v>0.17396967163012</v>
          </cell>
        </row>
        <row r="29">
          <cell r="N29">
            <v>41983</v>
          </cell>
          <cell r="P29">
            <v>0.24931506849315069</v>
          </cell>
          <cell r="S29">
            <v>0.16797021553146901</v>
          </cell>
        </row>
        <row r="30">
          <cell r="J30" t="str">
            <v>Settings</v>
          </cell>
          <cell r="N30">
            <v>42073</v>
          </cell>
          <cell r="P30">
            <v>0.24657534246575341</v>
          </cell>
          <cell r="S30">
            <v>0.16708033586033999</v>
          </cell>
        </row>
        <row r="31">
          <cell r="N31">
            <v>42165</v>
          </cell>
          <cell r="P31">
            <v>0.25205479452054796</v>
          </cell>
          <cell r="S31">
            <v>0.16778533518586899</v>
          </cell>
        </row>
        <row r="32">
          <cell r="N32">
            <v>42257</v>
          </cell>
          <cell r="P32">
            <v>0.25205479452054796</v>
          </cell>
          <cell r="S32">
            <v>0.165687648086141</v>
          </cell>
        </row>
        <row r="33">
          <cell r="N33">
            <v>42348</v>
          </cell>
          <cell r="P33">
            <v>0.24931506849315069</v>
          </cell>
          <cell r="S33">
            <v>0.16341763537134599</v>
          </cell>
        </row>
        <row r="34">
          <cell r="N34">
            <v>42439</v>
          </cell>
          <cell r="S34">
            <v>0.16090775349356201</v>
          </cell>
        </row>
        <row r="35">
          <cell r="N35">
            <v>42531</v>
          </cell>
          <cell r="S35">
            <v>0.157801002346728</v>
          </cell>
        </row>
        <row r="36">
          <cell r="N36">
            <v>42625</v>
          </cell>
          <cell r="S36">
            <v>0.15452785247338999</v>
          </cell>
        </row>
        <row r="37">
          <cell r="N37">
            <v>42716</v>
          </cell>
          <cell r="S37">
            <v>0.15168155971094799</v>
          </cell>
        </row>
        <row r="38">
          <cell r="N38">
            <v>42804</v>
          </cell>
          <cell r="S38">
            <v>0.14915364722527999</v>
          </cell>
        </row>
        <row r="39">
          <cell r="N39">
            <v>42899</v>
          </cell>
          <cell r="O39">
            <v>0.72271350090049469</v>
          </cell>
          <cell r="R39">
            <v>5.4028936447969279E-2</v>
          </cell>
          <cell r="S39">
            <v>0.147182715677696</v>
          </cell>
        </row>
        <row r="40">
          <cell r="N40">
            <v>42989</v>
          </cell>
          <cell r="O40">
            <v>0.71216607446562652</v>
          </cell>
          <cell r="R40">
            <v>5.4228696917838021E-2</v>
          </cell>
          <cell r="S40">
            <v>0.14584987734170701</v>
          </cell>
        </row>
        <row r="41">
          <cell r="N41">
            <v>43080</v>
          </cell>
          <cell r="O41">
            <v>0.70157978596041204</v>
          </cell>
          <cell r="R41">
            <v>5.442958174430778E-2</v>
          </cell>
          <cell r="S41">
            <v>0.14524413318863999</v>
          </cell>
        </row>
        <row r="42">
          <cell r="N42">
            <v>43171</v>
          </cell>
          <cell r="O42">
            <v>0.69107344714371644</v>
          </cell>
          <cell r="R42">
            <v>5.4629205808447656E-2</v>
          </cell>
          <cell r="S42">
            <v>0.14547673945673401</v>
          </cell>
        </row>
        <row r="43">
          <cell r="N43">
            <v>43263</v>
          </cell>
          <cell r="O43">
            <v>0.68053409463457382</v>
          </cell>
          <cell r="R43">
            <v>5.4829871649203124E-2</v>
          </cell>
          <cell r="S43">
            <v>0.14539118404231899</v>
          </cell>
        </row>
        <row r="44">
          <cell r="N44">
            <v>43353</v>
          </cell>
          <cell r="O44">
            <v>0.67070306778442235</v>
          </cell>
          <cell r="R44">
            <v>5.4957315747244356E-2</v>
          </cell>
          <cell r="S44">
            <v>0.14481748691115401</v>
          </cell>
        </row>
        <row r="45">
          <cell r="N45">
            <v>43444</v>
          </cell>
          <cell r="O45">
            <v>0.66086064007678313</v>
          </cell>
          <cell r="R45">
            <v>5.5085279443225173E-2</v>
          </cell>
          <cell r="S45">
            <v>0.14429467057491699</v>
          </cell>
        </row>
        <row r="46">
          <cell r="N46">
            <v>43535</v>
          </cell>
          <cell r="O46">
            <v>0.65111652870090142</v>
          </cell>
          <cell r="R46">
            <v>5.521223768123016E-2</v>
          </cell>
          <cell r="S46">
            <v>0.14380408724565499</v>
          </cell>
        </row>
        <row r="47">
          <cell r="N47">
            <v>43627</v>
          </cell>
          <cell r="O47">
            <v>0.64136520331172597</v>
          </cell>
          <cell r="R47">
            <v>5.5339704215208382E-2</v>
          </cell>
          <cell r="S47">
            <v>0.143136569199562</v>
          </cell>
        </row>
        <row r="48">
          <cell r="N48">
            <v>43718</v>
          </cell>
          <cell r="O48">
            <v>0.63202360010405445</v>
          </cell>
          <cell r="R48">
            <v>5.5433371450841408E-2</v>
          </cell>
          <cell r="S48">
            <v>0.14267253281783601</v>
          </cell>
        </row>
        <row r="49">
          <cell r="N49">
            <v>43809</v>
          </cell>
          <cell r="O49">
            <v>0.62278614038078817</v>
          </cell>
          <cell r="R49">
            <v>5.5526187356360557E-2</v>
          </cell>
          <cell r="S49">
            <v>0.14220392491466699</v>
          </cell>
        </row>
        <row r="50">
          <cell r="N50">
            <v>43900</v>
          </cell>
          <cell r="O50">
            <v>0.61365224312463118</v>
          </cell>
          <cell r="R50">
            <v>5.561817825744108E-2</v>
          </cell>
          <cell r="S50">
            <v>0.14171119574984301</v>
          </cell>
        </row>
        <row r="51">
          <cell r="N51">
            <v>43992</v>
          </cell>
          <cell r="O51">
            <v>0.60452264885029439</v>
          </cell>
          <cell r="R51">
            <v>5.5710462956682687E-2</v>
          </cell>
          <cell r="S51">
            <v>0.14106370778157801</v>
          </cell>
        </row>
        <row r="52">
          <cell r="N52">
            <v>44084</v>
          </cell>
          <cell r="O52">
            <v>0.5955968939560593</v>
          </cell>
          <cell r="R52">
            <v>5.578806227498128E-2</v>
          </cell>
          <cell r="S52">
            <v>0.140486311440462</v>
          </cell>
        </row>
        <row r="53">
          <cell r="N53">
            <v>44175</v>
          </cell>
          <cell r="O53">
            <v>0.58687280333787939</v>
          </cell>
          <cell r="R53">
            <v>5.586399882600486E-2</v>
          </cell>
          <cell r="S53">
            <v>0.13985027021983201</v>
          </cell>
        </row>
        <row r="54">
          <cell r="N54">
            <v>44265</v>
          </cell>
          <cell r="O54">
            <v>0.57834616940989481</v>
          </cell>
          <cell r="R54">
            <v>5.5938326638665076E-2</v>
          </cell>
          <cell r="S54">
            <v>0.13912395748301601</v>
          </cell>
        </row>
        <row r="55">
          <cell r="N55">
            <v>44357</v>
          </cell>
          <cell r="O55">
            <v>0.56973367377377493</v>
          </cell>
          <cell r="R55">
            <v>5.6013794003163191E-2</v>
          </cell>
          <cell r="S55">
            <v>0.13834656132303699</v>
          </cell>
        </row>
        <row r="56">
          <cell r="N56">
            <v>44449</v>
          </cell>
          <cell r="O56">
            <v>0.56114561455046841</v>
          </cell>
          <cell r="R56">
            <v>5.6098890228817387E-2</v>
          </cell>
          <cell r="S56">
            <v>0.13743931955786301</v>
          </cell>
        </row>
        <row r="57">
          <cell r="N57">
            <v>44540</v>
          </cell>
          <cell r="O57">
            <v>0.55275092968148254</v>
          </cell>
          <cell r="R57">
            <v>5.618229249022761E-2</v>
          </cell>
          <cell r="S57">
            <v>0.136612742066132</v>
          </cell>
        </row>
        <row r="58">
          <cell r="N58">
            <v>44630</v>
          </cell>
          <cell r="O58">
            <v>0.54454568290769378</v>
          </cell>
          <cell r="R58">
            <v>5.6264041409087577E-2</v>
          </cell>
          <cell r="S58">
            <v>0.1358532073739</v>
          </cell>
        </row>
        <row r="59">
          <cell r="N59">
            <v>44722</v>
          </cell>
          <cell r="O59">
            <v>0.53625731517105191</v>
          </cell>
          <cell r="R59">
            <v>5.6347097590189549E-2</v>
          </cell>
          <cell r="S59">
            <v>0.13516430174248201</v>
          </cell>
        </row>
        <row r="60">
          <cell r="N60">
            <v>44816</v>
          </cell>
          <cell r="S60">
            <v>0.13458296440176001</v>
          </cell>
        </row>
        <row r="61">
          <cell r="N61">
            <v>44907</v>
          </cell>
          <cell r="S61">
            <v>0.134116552912456</v>
          </cell>
        </row>
        <row r="62">
          <cell r="N62">
            <v>44995</v>
          </cell>
          <cell r="S62">
            <v>0.13372607714724299</v>
          </cell>
        </row>
        <row r="63">
          <cell r="N63">
            <v>45090</v>
          </cell>
          <cell r="S63">
            <v>0.13302921729088699</v>
          </cell>
        </row>
        <row r="64">
          <cell r="N64">
            <v>45180</v>
          </cell>
          <cell r="S64">
            <v>0.13288324656516301</v>
          </cell>
        </row>
        <row r="65">
          <cell r="N65">
            <v>45271</v>
          </cell>
          <cell r="S65">
            <v>0.13286551668174301</v>
          </cell>
        </row>
        <row r="66">
          <cell r="N66">
            <v>45362</v>
          </cell>
          <cell r="S66">
            <v>0.13298300546985301</v>
          </cell>
        </row>
        <row r="67">
          <cell r="N67">
            <v>45454</v>
          </cell>
          <cell r="S67">
            <v>0.133248050076677</v>
          </cell>
        </row>
        <row r="68">
          <cell r="N68">
            <v>45545</v>
          </cell>
          <cell r="S68">
            <v>0.133662137155939</v>
          </cell>
        </row>
        <row r="69">
          <cell r="N69">
            <v>45636</v>
          </cell>
          <cell r="S69">
            <v>0.13423325695007199</v>
          </cell>
        </row>
        <row r="70">
          <cell r="N70">
            <v>45726</v>
          </cell>
          <cell r="S70">
            <v>0.13497228811220499</v>
          </cell>
        </row>
        <row r="71">
          <cell r="N71">
            <v>45818</v>
          </cell>
          <cell r="S71">
            <v>0.13590120093095701</v>
          </cell>
        </row>
        <row r="72">
          <cell r="N72">
            <v>45910</v>
          </cell>
          <cell r="S72">
            <v>0.13701392752996999</v>
          </cell>
        </row>
        <row r="73">
          <cell r="N73">
            <v>46001</v>
          </cell>
          <cell r="S73">
            <v>0.13830804462144</v>
          </cell>
        </row>
        <row r="74">
          <cell r="N74">
            <v>46091</v>
          </cell>
          <cell r="S74">
            <v>0.13981219762575001</v>
          </cell>
        </row>
        <row r="75">
          <cell r="N75">
            <v>46183</v>
          </cell>
          <cell r="S75">
            <v>0.14035067296192999</v>
          </cell>
        </row>
        <row r="76">
          <cell r="N76">
            <v>46275</v>
          </cell>
          <cell r="S76">
            <v>0.14298914791884201</v>
          </cell>
        </row>
        <row r="77">
          <cell r="N77">
            <v>46366</v>
          </cell>
          <cell r="S77">
            <v>0.145558978679034</v>
          </cell>
        </row>
        <row r="78">
          <cell r="N78">
            <v>46456</v>
          </cell>
          <cell r="S78">
            <v>0.14808765607601501</v>
          </cell>
        </row>
        <row r="79">
          <cell r="N79">
            <v>46548</v>
          </cell>
          <cell r="S79">
            <v>0.150569174979477</v>
          </cell>
        </row>
        <row r="80">
          <cell r="N80">
            <v>46640</v>
          </cell>
          <cell r="S80">
            <v>0.15294458289176699</v>
          </cell>
        </row>
        <row r="81">
          <cell r="N81">
            <v>46731</v>
          </cell>
          <cell r="S81">
            <v>0.155198414386675</v>
          </cell>
        </row>
        <row r="82">
          <cell r="N82">
            <v>46822</v>
          </cell>
          <cell r="S82">
            <v>0.15737329193534499</v>
          </cell>
        </row>
        <row r="83">
          <cell r="N83">
            <v>46917</v>
          </cell>
          <cell r="S83">
            <v>0.15937804400616201</v>
          </cell>
        </row>
        <row r="84">
          <cell r="N84">
            <v>47007</v>
          </cell>
          <cell r="S84">
            <v>0.161178318574597</v>
          </cell>
        </row>
        <row r="85">
          <cell r="N85">
            <v>47098</v>
          </cell>
          <cell r="S85">
            <v>0.16280265007486</v>
          </cell>
        </row>
        <row r="86">
          <cell r="N86">
            <v>47189</v>
          </cell>
          <cell r="S86">
            <v>0.164229479232261</v>
          </cell>
        </row>
        <row r="87">
          <cell r="N87">
            <v>47281</v>
          </cell>
          <cell r="S87">
            <v>0.16541861458896201</v>
          </cell>
        </row>
        <row r="88">
          <cell r="N88">
            <v>47371</v>
          </cell>
          <cell r="S88">
            <v>0.16635896064927699</v>
          </cell>
        </row>
        <row r="89">
          <cell r="N89">
            <v>47462</v>
          </cell>
          <cell r="S89">
            <v>0.167035643099747</v>
          </cell>
        </row>
        <row r="90">
          <cell r="N90">
            <v>47553</v>
          </cell>
          <cell r="S90">
            <v>0.167424382459264</v>
          </cell>
        </row>
        <row r="91">
          <cell r="N91">
            <v>47645</v>
          </cell>
          <cell r="S91">
            <v>0.16749543670493899</v>
          </cell>
        </row>
        <row r="92">
          <cell r="N92">
            <v>47736</v>
          </cell>
          <cell r="S92">
            <v>0.16723161320243801</v>
          </cell>
        </row>
        <row r="93">
          <cell r="N93">
            <v>47827</v>
          </cell>
          <cell r="S93">
            <v>0.166614413083958</v>
          </cell>
        </row>
        <row r="94">
          <cell r="N94">
            <v>47917</v>
          </cell>
          <cell r="S94">
            <v>0.165617791745548</v>
          </cell>
        </row>
        <row r="95">
          <cell r="N95">
            <v>48009</v>
          </cell>
          <cell r="S95">
            <v>0.16607154982082001</v>
          </cell>
        </row>
        <row r="96">
          <cell r="N96">
            <v>48101</v>
          </cell>
          <cell r="S96">
            <v>0.167197790232539</v>
          </cell>
        </row>
        <row r="97">
          <cell r="N97">
            <v>48192</v>
          </cell>
          <cell r="S97">
            <v>0.16830700057425499</v>
          </cell>
        </row>
        <row r="98">
          <cell r="N98">
            <v>48283</v>
          </cell>
          <cell r="S98">
            <v>0.16940860859333001</v>
          </cell>
        </row>
        <row r="99">
          <cell r="N99">
            <v>48375</v>
          </cell>
          <cell r="S99">
            <v>0.17049753077954199</v>
          </cell>
        </row>
        <row r="100">
          <cell r="N100">
            <v>48467</v>
          </cell>
          <cell r="S100">
            <v>0.171558899629529</v>
          </cell>
        </row>
        <row r="101">
          <cell r="N101">
            <v>48558</v>
          </cell>
          <cell r="S101">
            <v>0.17258541250772899</v>
          </cell>
        </row>
        <row r="102">
          <cell r="N102">
            <v>48648</v>
          </cell>
          <cell r="S102">
            <v>0.173594361287181</v>
          </cell>
        </row>
        <row r="103">
          <cell r="N103">
            <v>48740</v>
          </cell>
          <cell r="S103">
            <v>0.174594967564839</v>
          </cell>
        </row>
        <row r="104">
          <cell r="N104">
            <v>48834</v>
          </cell>
          <cell r="S104">
            <v>0.17555098737311101</v>
          </cell>
        </row>
        <row r="105">
          <cell r="N105">
            <v>48925</v>
          </cell>
          <cell r="S105">
            <v>0.17644038176740201</v>
          </cell>
        </row>
        <row r="106">
          <cell r="N106">
            <v>49013</v>
          </cell>
          <cell r="S106">
            <v>0.17732110108218799</v>
          </cell>
        </row>
        <row r="107">
          <cell r="N107">
            <v>49108</v>
          </cell>
          <cell r="S107">
            <v>0.17815438791028701</v>
          </cell>
        </row>
        <row r="108">
          <cell r="N108">
            <v>49198</v>
          </cell>
          <cell r="S108">
            <v>0.17892975262273</v>
          </cell>
        </row>
        <row r="109">
          <cell r="N109">
            <v>49289</v>
          </cell>
          <cell r="S109">
            <v>0.17965856136161401</v>
          </cell>
        </row>
        <row r="110">
          <cell r="N110">
            <v>49380</v>
          </cell>
          <cell r="S110">
            <v>0.18033852373762199</v>
          </cell>
        </row>
        <row r="111">
          <cell r="N111">
            <v>49472</v>
          </cell>
          <cell r="S111">
            <v>0.18095410547079099</v>
          </cell>
        </row>
        <row r="112">
          <cell r="N112">
            <v>49562</v>
          </cell>
          <cell r="S112">
            <v>0.181509101724869</v>
          </cell>
        </row>
        <row r="113">
          <cell r="N113">
            <v>49653</v>
          </cell>
          <cell r="S113">
            <v>0.18200139623983699</v>
          </cell>
        </row>
        <row r="114">
          <cell r="N114">
            <v>49744</v>
          </cell>
          <cell r="S114">
            <v>0.18242814630173901</v>
          </cell>
        </row>
        <row r="115">
          <cell r="N115">
            <v>49836</v>
          </cell>
          <cell r="S115">
            <v>0.183476676314971</v>
          </cell>
        </row>
        <row r="116">
          <cell r="N116">
            <v>49928</v>
          </cell>
          <cell r="S116">
            <v>0.18439902125875601</v>
          </cell>
        </row>
        <row r="117">
          <cell r="N117">
            <v>50019</v>
          </cell>
          <cell r="S117">
            <v>0.185308439958627</v>
          </cell>
        </row>
        <row r="118">
          <cell r="N118">
            <v>50109</v>
          </cell>
          <cell r="S118">
            <v>0.18622266214307001</v>
          </cell>
        </row>
        <row r="119">
          <cell r="N119">
            <v>50201</v>
          </cell>
          <cell r="S119">
            <v>0.18714001549923101</v>
          </cell>
        </row>
        <row r="120">
          <cell r="N120">
            <v>50293</v>
          </cell>
          <cell r="S120">
            <v>0.18804572834129701</v>
          </cell>
        </row>
        <row r="121">
          <cell r="N121">
            <v>50384</v>
          </cell>
          <cell r="S121">
            <v>0.18893523595705899</v>
          </cell>
        </row>
        <row r="122">
          <cell r="N122">
            <v>50474</v>
          </cell>
          <cell r="S122">
            <v>0.18982599359256999</v>
          </cell>
        </row>
        <row r="123">
          <cell r="N123">
            <v>50566</v>
          </cell>
          <cell r="S123">
            <v>0.190715846205913</v>
          </cell>
        </row>
        <row r="124">
          <cell r="N124">
            <v>50658</v>
          </cell>
          <cell r="S124">
            <v>0.19159039467019501</v>
          </cell>
        </row>
        <row r="125">
          <cell r="N125">
            <v>50749</v>
          </cell>
          <cell r="S125">
            <v>0.19244528625954299</v>
          </cell>
        </row>
        <row r="126">
          <cell r="N126">
            <v>50839</v>
          </cell>
          <cell r="S126">
            <v>0.193297435253897</v>
          </cell>
        </row>
        <row r="127">
          <cell r="N127">
            <v>50931</v>
          </cell>
          <cell r="S127">
            <v>0.19415570569917301</v>
          </cell>
        </row>
        <row r="128">
          <cell r="N128">
            <v>51025</v>
          </cell>
          <cell r="S128">
            <v>0.19498954838618701</v>
          </cell>
        </row>
        <row r="129">
          <cell r="N129">
            <v>51116</v>
          </cell>
          <cell r="S129">
            <v>0.19579902879797101</v>
          </cell>
        </row>
        <row r="130">
          <cell r="N130">
            <v>51207</v>
          </cell>
          <cell r="S130">
            <v>0.19659862613374601</v>
          </cell>
        </row>
        <row r="131">
          <cell r="N131">
            <v>51299</v>
          </cell>
          <cell r="S131">
            <v>0.19737352958070301</v>
          </cell>
        </row>
        <row r="132">
          <cell r="N132">
            <v>51389</v>
          </cell>
          <cell r="S132">
            <v>0.19813030658813499</v>
          </cell>
        </row>
        <row r="133">
          <cell r="N133">
            <v>51480</v>
          </cell>
          <cell r="S133">
            <v>0.19887116761911999</v>
          </cell>
        </row>
        <row r="134">
          <cell r="N134">
            <v>51571</v>
          </cell>
          <cell r="S134">
            <v>0.19959707872605501</v>
          </cell>
        </row>
      </sheetData>
      <sheetData sheetId="10">
        <row r="6">
          <cell r="J6">
            <v>9</v>
          </cell>
        </row>
        <row r="7">
          <cell r="J7">
            <v>10</v>
          </cell>
        </row>
        <row r="8">
          <cell r="J8">
            <v>11</v>
          </cell>
        </row>
        <row r="9">
          <cell r="J9">
            <v>12</v>
          </cell>
        </row>
        <row r="10">
          <cell r="J10">
            <v>13</v>
          </cell>
        </row>
        <row r="11">
          <cell r="J11">
            <v>14</v>
          </cell>
        </row>
        <row r="12">
          <cell r="J12">
            <v>15</v>
          </cell>
        </row>
        <row r="13">
          <cell r="J13">
            <v>16</v>
          </cell>
        </row>
        <row r="14">
          <cell r="B14">
            <v>4.75</v>
          </cell>
          <cell r="J14">
            <v>17</v>
          </cell>
        </row>
        <row r="16">
          <cell r="L16" t="str">
            <v>3M v 6M</v>
          </cell>
        </row>
        <row r="17">
          <cell r="H17" t="str">
            <v>Term</v>
          </cell>
          <cell r="J17" t="str">
            <v>offer</v>
          </cell>
          <cell r="L17" t="str">
            <v xml:space="preserve">bid </v>
          </cell>
          <cell r="N17" t="str">
            <v>mid</v>
          </cell>
        </row>
        <row r="18">
          <cell r="H18" t="str">
            <v xml:space="preserve"> 1Y</v>
          </cell>
          <cell r="J18" t="str">
            <v xml:space="preserve">9.75 </v>
          </cell>
          <cell r="L18" t="str">
            <v xml:space="preserve"> 9.25</v>
          </cell>
          <cell r="N18">
            <v>8.2500000000000004E-2</v>
          </cell>
        </row>
        <row r="19">
          <cell r="H19" t="str">
            <v xml:space="preserve"> 2Y</v>
          </cell>
          <cell r="J19" t="str">
            <v>10.75</v>
          </cell>
          <cell r="L19" t="str">
            <v xml:space="preserve"> 9.50</v>
          </cell>
          <cell r="N19">
            <v>8.5000000000000006E-2</v>
          </cell>
        </row>
        <row r="20">
          <cell r="H20" t="str">
            <v xml:space="preserve"> 3Y</v>
          </cell>
          <cell r="J20" t="str">
            <v>11.00</v>
          </cell>
          <cell r="L20" t="str">
            <v xml:space="preserve"> 9.25</v>
          </cell>
          <cell r="N20">
            <v>8.2500000000000004E-2</v>
          </cell>
        </row>
        <row r="21">
          <cell r="B21" t="str">
            <v>Bank Bills</v>
          </cell>
          <cell r="H21" t="str">
            <v xml:space="preserve"> 4Y</v>
          </cell>
          <cell r="J21" t="str">
            <v>11.00</v>
          </cell>
          <cell r="L21" t="str">
            <v xml:space="preserve"> 9.00</v>
          </cell>
          <cell r="N21">
            <v>0.08</v>
          </cell>
        </row>
        <row r="22">
          <cell r="B22" t="str">
            <v xml:space="preserve">bid </v>
          </cell>
          <cell r="D22" t="str">
            <v>mid</v>
          </cell>
          <cell r="E22" t="str">
            <v>Early</v>
          </cell>
          <cell r="G22" t="str">
            <v>Today</v>
          </cell>
          <cell r="H22" t="str">
            <v xml:space="preserve"> 5Y</v>
          </cell>
          <cell r="J22" t="str">
            <v>10.75</v>
          </cell>
          <cell r="L22" t="str">
            <v xml:space="preserve"> 9.00</v>
          </cell>
          <cell r="N22">
            <v>0.08</v>
          </cell>
        </row>
        <row r="23">
          <cell r="B23" t="str">
            <v>4.81</v>
          </cell>
          <cell r="D23">
            <v>4.8</v>
          </cell>
          <cell r="E23">
            <v>4.82</v>
          </cell>
          <cell r="G23">
            <v>4.82</v>
          </cell>
          <cell r="H23" t="str">
            <v xml:space="preserve"> 7Y</v>
          </cell>
          <cell r="J23" t="str">
            <v xml:space="preserve">9.75 </v>
          </cell>
          <cell r="L23" t="str">
            <v xml:space="preserve"> 8.25</v>
          </cell>
          <cell r="N23">
            <v>7.2499999999999995E-2</v>
          </cell>
          <cell r="S23">
            <v>92</v>
          </cell>
        </row>
        <row r="24">
          <cell r="J24" t="str">
            <v xml:space="preserve">8.50 </v>
          </cell>
          <cell r="L24" t="str">
            <v xml:space="preserve"> 7.50</v>
          </cell>
          <cell r="N24">
            <v>6.5000000000000002E-2</v>
          </cell>
        </row>
        <row r="25">
          <cell r="L25" t="str">
            <v xml:space="preserve"> 6.50</v>
          </cell>
          <cell r="N25">
            <v>0.05</v>
          </cell>
          <cell r="S25">
            <v>94</v>
          </cell>
        </row>
        <row r="26">
          <cell r="L26" t="str">
            <v xml:space="preserve"> 5.50</v>
          </cell>
          <cell r="N26">
            <v>0.04</v>
          </cell>
        </row>
        <row r="27">
          <cell r="L27" t="str">
            <v xml:space="preserve"> 5.00</v>
          </cell>
          <cell r="N27">
            <v>3.5000000000000003E-2</v>
          </cell>
          <cell r="S27">
            <v>0</v>
          </cell>
        </row>
        <row r="28">
          <cell r="L28" t="str">
            <v xml:space="preserve"> 4.75</v>
          </cell>
          <cell r="N28">
            <v>3.2500000000000001E-2</v>
          </cell>
        </row>
        <row r="29">
          <cell r="S29">
            <v>3</v>
          </cell>
        </row>
        <row r="31">
          <cell r="N31" t="str">
            <v>Mid</v>
          </cell>
        </row>
        <row r="32">
          <cell r="N32">
            <v>4.75</v>
          </cell>
          <cell r="P32">
            <v>0.24931506849315069</v>
          </cell>
          <cell r="S32">
            <v>7</v>
          </cell>
        </row>
        <row r="33">
          <cell r="N33">
            <v>4.758</v>
          </cell>
          <cell r="P33">
            <v>0.49863013698630138</v>
          </cell>
          <cell r="S33">
            <v>7</v>
          </cell>
        </row>
        <row r="34">
          <cell r="N34">
            <v>4.7750000000000004</v>
          </cell>
          <cell r="S34">
            <v>8</v>
          </cell>
        </row>
        <row r="35">
          <cell r="N35">
            <v>4.7930000000000001</v>
          </cell>
          <cell r="S35">
            <v>9</v>
          </cell>
        </row>
        <row r="36">
          <cell r="N36">
            <v>4.8100000000000005</v>
          </cell>
          <cell r="S36">
            <v>9</v>
          </cell>
        </row>
        <row r="37">
          <cell r="N37">
            <v>4.8230000000000004</v>
          </cell>
        </row>
        <row r="38">
          <cell r="N38">
            <v>4.8380000000000001</v>
          </cell>
        </row>
        <row r="39">
          <cell r="N39">
            <v>4.88</v>
          </cell>
        </row>
        <row r="40">
          <cell r="N40">
            <v>4.9249999999999998</v>
          </cell>
        </row>
        <row r="41">
          <cell r="N41">
            <v>5.125</v>
          </cell>
        </row>
        <row r="46">
          <cell r="N46" t="str">
            <v>bid</v>
          </cell>
          <cell r="O46" t="str">
            <v>offer</v>
          </cell>
          <cell r="R46" t="str">
            <v>bid</v>
          </cell>
          <cell r="S46" t="str">
            <v>offer</v>
          </cell>
        </row>
        <row r="47">
          <cell r="N47">
            <v>95.19</v>
          </cell>
          <cell r="O47">
            <v>95.194999999999993</v>
          </cell>
          <cell r="R47" t="str">
            <v>+4.932</v>
          </cell>
          <cell r="S47" t="str">
            <v>+5.032</v>
          </cell>
        </row>
        <row r="48">
          <cell r="N48">
            <v>94.814999999999998</v>
          </cell>
          <cell r="O48">
            <v>94.82</v>
          </cell>
          <cell r="R48" t="str">
            <v>+4.922</v>
          </cell>
          <cell r="S48" t="str">
            <v>+5.022</v>
          </cell>
        </row>
        <row r="49">
          <cell r="R49" t="str">
            <v>+4.905</v>
          </cell>
          <cell r="S49" t="str">
            <v>+5.005</v>
          </cell>
        </row>
        <row r="50">
          <cell r="N50" t="str">
            <v>mid</v>
          </cell>
          <cell r="O50" t="str">
            <v>yield</v>
          </cell>
          <cell r="R50" t="str">
            <v>+4.951</v>
          </cell>
          <cell r="S50" t="str">
            <v>+5.051</v>
          </cell>
        </row>
        <row r="51">
          <cell r="R51" t="str">
            <v>+4.935</v>
          </cell>
          <cell r="S51" t="str">
            <v>+5.035</v>
          </cell>
        </row>
        <row r="52">
          <cell r="B52">
            <v>52.5</v>
          </cell>
          <cell r="C52">
            <v>52.5</v>
          </cell>
          <cell r="D52">
            <v>52.725000000000001</v>
          </cell>
          <cell r="E52">
            <v>0</v>
          </cell>
          <cell r="F52">
            <v>52.574999999999996</v>
          </cell>
          <cell r="G52">
            <v>5.7057500000000072</v>
          </cell>
          <cell r="H52">
            <v>54.75</v>
          </cell>
          <cell r="I52">
            <v>5.7325000000000026</v>
          </cell>
          <cell r="J52">
            <v>50.25</v>
          </cell>
          <cell r="K52">
            <v>5.6825000000000063</v>
          </cell>
          <cell r="N52">
            <v>95.192499999999995</v>
          </cell>
          <cell r="O52">
            <v>4.8075000000000045</v>
          </cell>
          <cell r="R52" t="str">
            <v>+4.935</v>
          </cell>
          <cell r="S52" t="str">
            <v>+5.035</v>
          </cell>
        </row>
        <row r="53">
          <cell r="B53">
            <v>58.75</v>
          </cell>
          <cell r="C53">
            <v>58.5</v>
          </cell>
          <cell r="D53">
            <v>58.725000000000001</v>
          </cell>
          <cell r="E53">
            <v>0</v>
          </cell>
          <cell r="F53">
            <v>58.658333333333331</v>
          </cell>
          <cell r="G53">
            <v>5.7665833333333403</v>
          </cell>
          <cell r="H53">
            <v>61.125</v>
          </cell>
          <cell r="I53">
            <v>5.7962500000000023</v>
          </cell>
          <cell r="J53">
            <v>56.125</v>
          </cell>
          <cell r="K53">
            <v>5.7412500000000071</v>
          </cell>
          <cell r="N53">
            <v>94.817499999999995</v>
          </cell>
          <cell r="O53">
            <v>5.1825000000000045</v>
          </cell>
          <cell r="R53" t="str">
            <v>#N/A The record could not be found</v>
          </cell>
          <cell r="S53" t="str">
            <v>#N/A The record could not be found</v>
          </cell>
        </row>
        <row r="54">
          <cell r="B54">
            <v>63.25</v>
          </cell>
          <cell r="C54">
            <v>62.75</v>
          </cell>
          <cell r="D54">
            <v>63.225000000000001</v>
          </cell>
          <cell r="E54">
            <v>0</v>
          </cell>
          <cell r="F54">
            <v>63.074999999999996</v>
          </cell>
          <cell r="G54">
            <v>5.8107500000000067</v>
          </cell>
          <cell r="H54">
            <v>65.5</v>
          </cell>
          <cell r="I54">
            <v>5.8400000000000025</v>
          </cell>
          <cell r="J54">
            <v>60.5</v>
          </cell>
          <cell r="K54">
            <v>5.7850000000000072</v>
          </cell>
          <cell r="N54" t="str">
            <v>BID</v>
          </cell>
          <cell r="O54" t="str">
            <v>yield</v>
          </cell>
          <cell r="R54" t="str">
            <v>#N/A The record could not be found</v>
          </cell>
          <cell r="S54" t="str">
            <v>#N/A The record could not be found</v>
          </cell>
        </row>
        <row r="55">
          <cell r="B55">
            <v>52.5</v>
          </cell>
          <cell r="C55">
            <v>54.25</v>
          </cell>
          <cell r="D55">
            <v>53.225000000000001</v>
          </cell>
          <cell r="E55">
            <v>0</v>
          </cell>
          <cell r="F55">
            <v>53.324999999999996</v>
          </cell>
          <cell r="G55">
            <v>5.7132500000000066</v>
          </cell>
          <cell r="H55">
            <v>55.875</v>
          </cell>
          <cell r="I55">
            <v>5.7437500000000021</v>
          </cell>
          <cell r="J55">
            <v>50.875</v>
          </cell>
          <cell r="K55">
            <v>5.6887500000000069</v>
          </cell>
          <cell r="N55">
            <v>95.19</v>
          </cell>
          <cell r="O55">
            <v>4.8100000000000023</v>
          </cell>
          <cell r="R55" t="str">
            <v>+4.976</v>
          </cell>
          <cell r="S55" t="str">
            <v>+5.076</v>
          </cell>
        </row>
        <row r="56">
          <cell r="B56">
            <v>38.5</v>
          </cell>
          <cell r="C56">
            <v>39.25</v>
          </cell>
          <cell r="D56">
            <v>38.725000000000001</v>
          </cell>
          <cell r="E56">
            <v>0</v>
          </cell>
          <cell r="F56">
            <v>38.824999999999996</v>
          </cell>
          <cell r="G56">
            <v>5.568250000000007</v>
          </cell>
          <cell r="H56">
            <v>41.375</v>
          </cell>
          <cell r="I56">
            <v>5.5987500000000026</v>
          </cell>
          <cell r="J56">
            <v>36.375</v>
          </cell>
          <cell r="K56">
            <v>5.5437500000000064</v>
          </cell>
          <cell r="N56">
            <v>94.814999999999998</v>
          </cell>
          <cell r="O56">
            <v>5.1850000000000023</v>
          </cell>
        </row>
        <row r="57">
          <cell r="B57">
            <v>24</v>
          </cell>
          <cell r="C57">
            <v>24.25</v>
          </cell>
          <cell r="D57">
            <v>24.375</v>
          </cell>
          <cell r="E57">
            <v>0</v>
          </cell>
          <cell r="F57">
            <v>24.208333333333332</v>
          </cell>
          <cell r="G57">
            <v>5.4220833333333402</v>
          </cell>
          <cell r="H57">
            <v>26.625</v>
          </cell>
          <cell r="I57">
            <v>5.4512500000000026</v>
          </cell>
          <cell r="J57">
            <v>21.625</v>
          </cell>
          <cell r="K57">
            <v>5.3962500000000064</v>
          </cell>
          <cell r="N57" t="str">
            <v>OFFER</v>
          </cell>
          <cell r="O57" t="str">
            <v>yield</v>
          </cell>
        </row>
        <row r="58">
          <cell r="N58">
            <v>95.194999999999993</v>
          </cell>
          <cell r="O58">
            <v>4.8050000000000068</v>
          </cell>
        </row>
        <row r="59">
          <cell r="H59" t="str">
            <v>ur prob looking at a diff co</v>
          </cell>
          <cell r="N59">
            <v>94.82</v>
          </cell>
          <cell r="O59">
            <v>5.1800000000000068</v>
          </cell>
        </row>
        <row r="60">
          <cell r="B60" t="str">
            <v>icapauswaps01</v>
          </cell>
          <cell r="D60" t="str">
            <v>autta5</v>
          </cell>
          <cell r="F60" t="str">
            <v>bgcaud</v>
          </cell>
        </row>
        <row r="61">
          <cell r="B61" t="str">
            <v>OFFER</v>
          </cell>
          <cell r="C61" t="str">
            <v>BID</v>
          </cell>
          <cell r="D61" t="str">
            <v>OFFER</v>
          </cell>
          <cell r="E61" t="str">
            <v>BID</v>
          </cell>
          <cell r="F61" t="str">
            <v>OFFER</v>
          </cell>
          <cell r="G61" t="str">
            <v>BID</v>
          </cell>
          <cell r="I61" t="str">
            <v>FlatForward</v>
          </cell>
          <cell r="K61" t="e">
            <v>#REF!</v>
          </cell>
          <cell r="N61">
            <v>95.194999999999993</v>
          </cell>
        </row>
        <row r="62">
          <cell r="B62">
            <v>5.0149999999999997</v>
          </cell>
          <cell r="C62">
            <v>4.9649999999999999</v>
          </cell>
          <cell r="D62">
            <v>5.01</v>
          </cell>
          <cell r="E62">
            <v>4.97</v>
          </cell>
          <cell r="I62" t="str">
            <v>LinearZero</v>
          </cell>
          <cell r="K62" t="e">
            <v>#REF!</v>
          </cell>
          <cell r="N62">
            <v>94.82</v>
          </cell>
        </row>
        <row r="64">
          <cell r="N64" t="str">
            <v>ImpliedQuote</v>
          </cell>
        </row>
        <row r="65">
          <cell r="N65" t="str">
            <v>AUD-IRSwap-1Y</v>
          </cell>
        </row>
        <row r="66">
          <cell r="B66">
            <v>64.75</v>
          </cell>
          <cell r="C66">
            <v>59.75</v>
          </cell>
          <cell r="D66">
            <v>64</v>
          </cell>
          <cell r="E66">
            <v>60</v>
          </cell>
          <cell r="F66">
            <v>64.25</v>
          </cell>
          <cell r="G66">
            <v>60.25</v>
          </cell>
          <cell r="H66">
            <v>5.3300000000000045</v>
          </cell>
          <cell r="J66">
            <v>5.3475000000000046</v>
          </cell>
          <cell r="K66">
            <v>0</v>
          </cell>
          <cell r="N66" t="str">
            <v>AUD-IRSwap-2Y</v>
          </cell>
        </row>
        <row r="67">
          <cell r="B67">
            <v>36</v>
          </cell>
          <cell r="C67">
            <v>31</v>
          </cell>
          <cell r="D67">
            <v>35.75</v>
          </cell>
          <cell r="E67">
            <v>31.75</v>
          </cell>
          <cell r="F67">
            <v>35.5</v>
          </cell>
          <cell r="G67">
            <v>31.5</v>
          </cell>
          <cell r="H67">
            <v>5.4287500000000044</v>
          </cell>
          <cell r="J67">
            <v>5.4500000000000046</v>
          </cell>
          <cell r="K67">
            <v>0</v>
          </cell>
          <cell r="N67" t="str">
            <v>AUD-IRSwap-3Y</v>
          </cell>
        </row>
        <row r="68">
          <cell r="B68">
            <v>43.75</v>
          </cell>
          <cell r="C68">
            <v>38.75</v>
          </cell>
          <cell r="D68">
            <v>43.5</v>
          </cell>
          <cell r="E68">
            <v>39.5</v>
          </cell>
          <cell r="F68">
            <v>43.2</v>
          </cell>
          <cell r="G68">
            <v>39.25</v>
          </cell>
          <cell r="H68">
            <v>5.5187500000000043</v>
          </cell>
        </row>
        <row r="69">
          <cell r="B69">
            <v>48.75</v>
          </cell>
          <cell r="C69">
            <v>43.75</v>
          </cell>
          <cell r="D69">
            <v>48.75</v>
          </cell>
          <cell r="E69">
            <v>44.75</v>
          </cell>
          <cell r="F69">
            <v>47.75</v>
          </cell>
          <cell r="G69">
            <v>43.7</v>
          </cell>
          <cell r="H69">
            <v>5.5962500000000048</v>
          </cell>
          <cell r="J69">
            <v>5.6250000000000044</v>
          </cell>
          <cell r="K69">
            <v>0</v>
          </cell>
        </row>
        <row r="70">
          <cell r="B70">
            <v>52</v>
          </cell>
          <cell r="C70">
            <v>47</v>
          </cell>
          <cell r="D70">
            <v>52.25</v>
          </cell>
          <cell r="E70">
            <v>48.25</v>
          </cell>
          <cell r="F70">
            <v>51.5</v>
          </cell>
          <cell r="G70">
            <v>47.5</v>
          </cell>
          <cell r="H70">
            <v>5.6475000000000044</v>
          </cell>
        </row>
        <row r="71">
          <cell r="B71">
            <v>55</v>
          </cell>
          <cell r="C71">
            <v>50</v>
          </cell>
          <cell r="D71">
            <v>54.5</v>
          </cell>
          <cell r="E71">
            <v>50.5</v>
          </cell>
          <cell r="F71">
            <v>54.7</v>
          </cell>
          <cell r="G71">
            <v>50.75</v>
          </cell>
          <cell r="H71">
            <v>5.6812500000000048</v>
          </cell>
        </row>
        <row r="72">
          <cell r="B72">
            <v>61.75</v>
          </cell>
          <cell r="C72">
            <v>55.75</v>
          </cell>
          <cell r="D72">
            <v>60.5</v>
          </cell>
          <cell r="E72">
            <v>56.5</v>
          </cell>
          <cell r="F72">
            <v>60.75</v>
          </cell>
          <cell r="G72">
            <v>56.7</v>
          </cell>
          <cell r="H72">
            <v>5.7075000000000049</v>
          </cell>
          <cell r="J72">
            <v>5.7375000000000043</v>
          </cell>
          <cell r="K72">
            <v>0</v>
          </cell>
        </row>
        <row r="73">
          <cell r="B73">
            <v>66.25</v>
          </cell>
          <cell r="C73">
            <v>60.25</v>
          </cell>
          <cell r="D73">
            <v>64.75</v>
          </cell>
          <cell r="E73">
            <v>60.75</v>
          </cell>
          <cell r="F73">
            <v>65.2</v>
          </cell>
          <cell r="G73">
            <v>61.25</v>
          </cell>
          <cell r="H73">
            <v>5.7687500000000043</v>
          </cell>
        </row>
        <row r="74">
          <cell r="B74">
            <v>55.5</v>
          </cell>
          <cell r="C74">
            <v>49.5</v>
          </cell>
          <cell r="D74">
            <v>56.25</v>
          </cell>
          <cell r="E74">
            <v>52.25</v>
          </cell>
          <cell r="F74">
            <v>55.2</v>
          </cell>
          <cell r="G74">
            <v>51.25</v>
          </cell>
          <cell r="H74">
            <v>5.8125000000000053</v>
          </cell>
          <cell r="J74">
            <v>5.8700000000000045</v>
          </cell>
          <cell r="K74">
            <v>0</v>
          </cell>
        </row>
        <row r="75">
          <cell r="B75">
            <v>41.5</v>
          </cell>
          <cell r="C75">
            <v>35.5</v>
          </cell>
          <cell r="D75">
            <v>41.25</v>
          </cell>
          <cell r="E75">
            <v>37.25</v>
          </cell>
          <cell r="F75">
            <v>40.700000000000003</v>
          </cell>
          <cell r="G75">
            <v>36.75</v>
          </cell>
          <cell r="H75">
            <v>5.7162500000000041</v>
          </cell>
          <cell r="J75">
            <v>5.7975000000000048</v>
          </cell>
          <cell r="K75">
            <v>0</v>
          </cell>
        </row>
        <row r="76">
          <cell r="B76">
            <v>27</v>
          </cell>
          <cell r="C76">
            <v>21</v>
          </cell>
          <cell r="D76">
            <v>26.25</v>
          </cell>
          <cell r="E76">
            <v>22.25</v>
          </cell>
          <cell r="F76">
            <v>26</v>
          </cell>
          <cell r="G76">
            <v>22.75</v>
          </cell>
          <cell r="H76">
            <v>5.5712500000000045</v>
          </cell>
          <cell r="J76">
            <v>5.6575000000000042</v>
          </cell>
          <cell r="K7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Main"/>
  <dimension ref="A1:H36"/>
  <sheetViews>
    <sheetView showGridLines="0" showZeros="0" tabSelected="1" zoomScaleNormal="100" workbookViewId="0">
      <selection activeCell="E20" sqref="E20"/>
    </sheetView>
  </sheetViews>
  <sheetFormatPr defaultRowHeight="12.75"/>
  <cols>
    <col min="1" max="1" width="3.7109375" customWidth="1"/>
    <col min="2" max="2" width="25.5703125" customWidth="1"/>
    <col min="3" max="3" width="7" style="22" customWidth="1"/>
    <col min="4" max="4" width="20" style="22" customWidth="1"/>
    <col min="5" max="5" width="20.7109375" customWidth="1"/>
    <col min="6" max="6" width="22.5703125" customWidth="1"/>
  </cols>
  <sheetData>
    <row r="1" spans="2:8" s="1" customFormat="1" ht="0.95" customHeight="1">
      <c r="C1" s="22"/>
      <c r="D1" s="22"/>
    </row>
    <row r="2" spans="2:8" s="60" customFormat="1" ht="24.95" customHeight="1">
      <c r="B2" s="61" t="s">
        <v>85</v>
      </c>
      <c r="C2" s="62"/>
      <c r="D2" s="62"/>
      <c r="E2" s="61"/>
      <c r="F2" s="61"/>
      <c r="G2" s="61"/>
      <c r="H2" s="61"/>
    </row>
    <row r="4" spans="2:8" s="1" customFormat="1">
      <c r="C4" s="22"/>
      <c r="D4" s="22"/>
    </row>
    <row r="5" spans="2:8" s="1" customFormat="1">
      <c r="B5" s="1" t="s">
        <v>88</v>
      </c>
      <c r="C5" s="1" t="s">
        <v>65</v>
      </c>
      <c r="E5" s="27">
        <v>40703.580462962964</v>
      </c>
    </row>
    <row r="6" spans="2:8" s="1" customFormat="1">
      <c r="C6" s="1" t="s">
        <v>69</v>
      </c>
      <c r="E6" s="27">
        <f ca="1">NOW()</f>
        <v>40703.580335995372</v>
      </c>
    </row>
    <row r="7" spans="2:8" s="1" customFormat="1">
      <c r="C7" s="1" t="s">
        <v>68</v>
      </c>
      <c r="E7" s="23">
        <v>11.1484375</v>
      </c>
    </row>
    <row r="8" spans="2:8" s="1" customFormat="1">
      <c r="E8" s="25"/>
    </row>
    <row r="9" spans="2:8" s="1" customFormat="1">
      <c r="E9" s="25"/>
    </row>
    <row r="10" spans="2:8" s="1" customFormat="1">
      <c r="E10" s="25"/>
    </row>
    <row r="11" spans="2:8">
      <c r="B11" s="1" t="s">
        <v>89</v>
      </c>
      <c r="C11" s="22" t="s">
        <v>14</v>
      </c>
      <c r="E11" s="16" t="s">
        <v>100</v>
      </c>
    </row>
    <row r="12" spans="2:8" s="1" customFormat="1">
      <c r="C12" s="22"/>
      <c r="D12" s="22"/>
    </row>
    <row r="13" spans="2:8">
      <c r="C13" s="1" t="s">
        <v>86</v>
      </c>
      <c r="D13" s="1"/>
      <c r="E13" s="15">
        <v>2</v>
      </c>
    </row>
    <row r="14" spans="2:8" s="1" customFormat="1"/>
    <row r="15" spans="2:8" s="1" customFormat="1">
      <c r="C15" s="22" t="s">
        <v>87</v>
      </c>
      <c r="D15" s="22"/>
      <c r="E15" s="15">
        <v>1440</v>
      </c>
    </row>
    <row r="16" spans="2:8" s="1" customFormat="1">
      <c r="C16" s="22"/>
      <c r="D16" s="22"/>
    </row>
    <row r="17" spans="1:6">
      <c r="C17" s="22" t="s">
        <v>15</v>
      </c>
      <c r="E17" s="125" t="s">
        <v>16</v>
      </c>
      <c r="F17" s="126"/>
    </row>
    <row r="18" spans="1:6" s="1" customFormat="1">
      <c r="C18" s="22"/>
      <c r="D18" s="22"/>
    </row>
    <row r="19" spans="1:6" s="1" customFormat="1">
      <c r="C19" s="26" t="s">
        <v>91</v>
      </c>
      <c r="D19" s="123"/>
      <c r="E19" s="124" t="s">
        <v>67</v>
      </c>
    </row>
    <row r="20" spans="1:6" s="1" customFormat="1">
      <c r="C20" s="30" t="s">
        <v>70</v>
      </c>
      <c r="D20" s="1" t="s">
        <v>92</v>
      </c>
      <c r="E20" s="29">
        <f ca="1">MIN(Trader!C7,Trader!K7,Trader!T7)</f>
        <v>40703.580464328705</v>
      </c>
    </row>
    <row r="21" spans="1:6" s="1" customFormat="1">
      <c r="C21" s="30" t="s">
        <v>70</v>
      </c>
      <c r="D21" s="1" t="s">
        <v>93</v>
      </c>
      <c r="E21" s="29" t="e">
        <f ca="1">MIN(LPM!C7,LPM!G7,LPM!K7,LPM!O7,LPM!S7)</f>
        <v>#VALUE!</v>
      </c>
    </row>
    <row r="22" spans="1:6">
      <c r="A22" s="1"/>
      <c r="B22" s="1"/>
      <c r="C22" s="30" t="s">
        <v>70</v>
      </c>
      <c r="D22" s="1" t="s">
        <v>94</v>
      </c>
      <c r="E22" s="29">
        <f ca="1">MIN(SuperD!C7,SuperD!J7)</f>
        <v>40703.58045872685</v>
      </c>
    </row>
    <row r="23" spans="1:6" s="1" customFormat="1"/>
    <row r="24" spans="1:6" s="1" customFormat="1"/>
    <row r="25" spans="1:6" s="1" customFormat="1"/>
    <row r="26" spans="1:6" s="1" customFormat="1">
      <c r="C26" s="22"/>
      <c r="D26" s="22"/>
    </row>
    <row r="27" spans="1:6">
      <c r="B27" s="1" t="s">
        <v>90</v>
      </c>
      <c r="C27" s="1" t="s">
        <v>64</v>
      </c>
      <c r="D27" s="1"/>
      <c r="E27" s="25">
        <v>40703</v>
      </c>
    </row>
    <row r="28" spans="1:6" s="1" customFormat="1">
      <c r="E28" s="122"/>
    </row>
    <row r="29" spans="1:6" s="1" customFormat="1"/>
    <row r="30" spans="1:6">
      <c r="B30" s="1"/>
      <c r="E30" s="1"/>
      <c r="F30" s="1"/>
    </row>
    <row r="31" spans="1:6">
      <c r="B31" s="1"/>
      <c r="E31" s="1"/>
      <c r="F31" s="1"/>
    </row>
    <row r="32" spans="1:6">
      <c r="B32" s="1"/>
      <c r="E32" s="1"/>
      <c r="F32" s="1"/>
    </row>
    <row r="33" spans="2:6">
      <c r="B33" s="1"/>
      <c r="E33" s="1"/>
      <c r="F33" s="1"/>
    </row>
    <row r="34" spans="2:6">
      <c r="B34" s="1"/>
      <c r="E34" s="1"/>
      <c r="F34" s="1"/>
    </row>
    <row r="35" spans="2:6" s="1" customFormat="1">
      <c r="C35" s="22"/>
      <c r="D35" s="22"/>
    </row>
    <row r="36" spans="2:6" s="1" customFormat="1">
      <c r="C36" s="22"/>
      <c r="D36" s="22"/>
    </row>
  </sheetData>
  <conditionalFormatting sqref="C20:C22">
    <cfRule type="cellIs" dxfId="0" priority="1" operator="equal">
      <formula>"Off"</formula>
    </cfRule>
  </conditionalFormatting>
  <dataValidations count="1">
    <dataValidation type="list" allowBlank="1" showInputMessage="1" showErrorMessage="1" sqref="C20:C22">
      <formula1>"On,Off"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Trader"/>
  <dimension ref="B1:Z73"/>
  <sheetViews>
    <sheetView showGridLines="0" topLeftCell="A4" workbookViewId="0">
      <selection activeCell="C6" sqref="C6:C7"/>
    </sheetView>
  </sheetViews>
  <sheetFormatPr defaultRowHeight="15"/>
  <cols>
    <col min="1" max="1" width="3.7109375" style="32" customWidth="1"/>
    <col min="2" max="2" width="20.7109375" style="32" customWidth="1"/>
    <col min="3" max="3" width="20.7109375" style="33" customWidth="1"/>
    <col min="4" max="4" width="12.7109375" style="34" customWidth="1"/>
    <col min="5" max="5" width="12.7109375" style="35" hidden="1" customWidth="1"/>
    <col min="6" max="6" width="12.7109375" style="36" customWidth="1"/>
    <col min="7" max="7" width="12.7109375" style="36" hidden="1" customWidth="1"/>
    <col min="8" max="8" width="12.7109375" style="36" customWidth="1"/>
    <col min="9" max="9" width="7.7109375" style="32" customWidth="1"/>
    <col min="10" max="10" width="26" style="37" customWidth="1"/>
    <col min="11" max="11" width="20.7109375" style="38" customWidth="1"/>
    <col min="12" max="12" width="12.7109375" style="32" customWidth="1"/>
    <col min="13" max="13" width="12.7109375" style="32" hidden="1" customWidth="1"/>
    <col min="14" max="14" width="12.7109375" style="49" customWidth="1"/>
    <col min="15" max="15" width="12.7109375" style="49" hidden="1" customWidth="1"/>
    <col min="16" max="16" width="12.7109375" style="49" customWidth="1"/>
    <col min="17" max="17" width="12.7109375" style="49" hidden="1" customWidth="1"/>
    <col min="18" max="18" width="7.7109375" style="32" customWidth="1"/>
    <col min="19" max="19" width="26" style="32" customWidth="1"/>
    <col min="20" max="20" width="20.7109375" style="32" customWidth="1"/>
    <col min="21" max="21" width="12.7109375" style="32" customWidth="1"/>
    <col min="22" max="22" width="12.7109375" style="32" hidden="1" customWidth="1"/>
    <col min="23" max="23" width="12.7109375" style="49" customWidth="1"/>
    <col min="24" max="24" width="12.7109375" style="49" hidden="1" customWidth="1"/>
    <col min="25" max="25" width="12.7109375" style="49" customWidth="1"/>
    <col min="26" max="16384" width="9.140625" style="32"/>
  </cols>
  <sheetData>
    <row r="1" spans="2:25" ht="0.95" customHeight="1"/>
    <row r="2" spans="2:25" s="59" customFormat="1" ht="24.95" customHeight="1">
      <c r="B2" s="51" t="s">
        <v>60</v>
      </c>
      <c r="C2" s="52"/>
      <c r="D2" s="53" t="str">
        <f>IF(Publish_TRADER="Off","Publishing is OFF","")</f>
        <v/>
      </c>
      <c r="E2" s="54"/>
      <c r="F2" s="55"/>
      <c r="G2" s="55"/>
      <c r="H2" s="55"/>
      <c r="I2" s="51"/>
      <c r="J2" s="56"/>
      <c r="K2" s="57"/>
      <c r="L2" s="51"/>
      <c r="M2" s="51"/>
      <c r="N2" s="58"/>
      <c r="O2" s="58"/>
      <c r="P2" s="58"/>
      <c r="Q2" s="58"/>
      <c r="R2" s="51"/>
      <c r="S2" s="51"/>
      <c r="T2" s="51"/>
      <c r="U2" s="51"/>
      <c r="V2" s="51"/>
      <c r="W2" s="58"/>
      <c r="X2" s="135"/>
      <c r="Y2" s="135"/>
    </row>
    <row r="4" spans="2:25" ht="15" customHeight="1">
      <c r="B4" s="77"/>
      <c r="C4" s="77"/>
      <c r="D4" s="39"/>
      <c r="E4" s="40"/>
      <c r="F4" s="41"/>
      <c r="G4" s="41"/>
      <c r="H4" s="41"/>
      <c r="J4" s="77"/>
      <c r="K4" s="77"/>
    </row>
    <row r="5" spans="2:25" ht="15" customHeight="1">
      <c r="B5" s="92" t="s">
        <v>55</v>
      </c>
      <c r="C5" s="93"/>
      <c r="D5" s="94"/>
      <c r="E5" s="94"/>
      <c r="F5" s="95"/>
      <c r="G5" s="95"/>
      <c r="H5" s="95"/>
      <c r="J5" s="92" t="s">
        <v>58</v>
      </c>
      <c r="K5" s="93"/>
      <c r="L5" s="94"/>
      <c r="M5" s="94"/>
      <c r="N5" s="95"/>
      <c r="O5" s="95"/>
      <c r="P5" s="95"/>
      <c r="Q5" s="95"/>
      <c r="S5" s="92" t="s">
        <v>63</v>
      </c>
      <c r="T5" s="93"/>
      <c r="U5" s="94"/>
      <c r="V5" s="94"/>
      <c r="W5" s="95"/>
      <c r="X5" s="95"/>
      <c r="Y5" s="95"/>
    </row>
    <row r="6" spans="2:25" ht="15" customHeight="1">
      <c r="B6" s="77" t="s">
        <v>72</v>
      </c>
      <c r="C6" s="2" t="str">
        <f t="array" aca="1" ref="C6:C7" ca="1">IF(Publish_TRADER="On",_xll.qComRuntimePubZero(ValueDate,B12:B37,D13:D38,C12:C37,H13:H38,F13:F38,"AUD","LIBOR-BBA","3M",C41,,CreationTime+CurveLifetime/1440),"Publishing is OFF")</f>
        <v>Highlander.Market.TestTraderMid.RateCurve.AUD-LIBOR-BBA-3M</v>
      </c>
      <c r="D6" s="4"/>
      <c r="E6" s="4"/>
      <c r="F6" s="8"/>
      <c r="G6" s="8"/>
      <c r="H6" s="8"/>
      <c r="I6" s="32" t="s">
        <v>54</v>
      </c>
      <c r="J6" s="77" t="s">
        <v>72</v>
      </c>
      <c r="K6" s="46" t="str">
        <f t="array" aca="1" ref="K6:K7" ca="1">IF(Publish_TRADER="On",_xll.qComRuntimePubBasis(ValueDate,J12:J32,L13:L33,K12:K32,P13:P33,N13:N33,"AUD","LIBOR-BBA","1M",K41,,C6,CreationTime+CurveLifetime/1440),"Publishing is OFF")</f>
        <v>Highlander.Market.TestTraderMid.RateCurve.AUD-LIBOR-BBA-1M</v>
      </c>
      <c r="N6" s="8"/>
      <c r="O6" s="8"/>
      <c r="P6" s="8"/>
      <c r="Q6" s="8"/>
      <c r="R6" s="32" t="s">
        <v>54</v>
      </c>
      <c r="S6" s="77" t="s">
        <v>72</v>
      </c>
      <c r="T6" s="47" t="str">
        <f t="array" aca="1" ref="T6:T7" ca="1">IF(Publish_TRADER="On",_xll.qComRuntimePubBasis(ValueDate,S12:S32,U13:U33,T12:T32,Y13:Y33,W13:W33,"AUD","LIBOR-BBA","6M",T41,,C6,CreationTime+(CurveLifetime/1440)),"Publishing is OFF")</f>
        <v>Highlander.Market.TestTraderMid.RateCurve.AUD-LIBOR-BBA-6M</v>
      </c>
      <c r="W6" s="8"/>
      <c r="X6" s="8"/>
      <c r="Y6" s="8"/>
    </row>
    <row r="7" spans="2:25" ht="15" customHeight="1">
      <c r="B7" s="77" t="s">
        <v>78</v>
      </c>
      <c r="C7" s="71">
        <f ca="1"/>
        <v>40703.580464328705</v>
      </c>
      <c r="D7" s="4"/>
      <c r="E7" s="4"/>
      <c r="F7" s="8"/>
      <c r="G7" s="8"/>
      <c r="H7" s="8"/>
      <c r="J7" s="77" t="s">
        <v>78</v>
      </c>
      <c r="K7" s="71">
        <f ca="1"/>
        <v>40703.580464513892</v>
      </c>
      <c r="N7" s="8"/>
      <c r="O7" s="8"/>
      <c r="P7" s="8"/>
      <c r="Q7" s="8"/>
      <c r="S7" s="77" t="s">
        <v>78</v>
      </c>
      <c r="T7" s="71">
        <f ca="1"/>
        <v>40703.580464699073</v>
      </c>
      <c r="W7" s="8"/>
      <c r="X7" s="8"/>
      <c r="Y7" s="8"/>
    </row>
    <row r="8" spans="2:25" ht="15" customHeight="1">
      <c r="B8" s="78"/>
      <c r="C8" s="77"/>
      <c r="D8" s="4"/>
      <c r="E8" s="4"/>
      <c r="F8" s="8"/>
      <c r="G8" s="8"/>
      <c r="H8" s="8"/>
      <c r="J8" s="76"/>
      <c r="K8" s="76"/>
      <c r="N8" s="8"/>
      <c r="O8" s="8"/>
      <c r="P8" s="8"/>
      <c r="Q8" s="8"/>
      <c r="S8" s="76"/>
      <c r="T8" s="76"/>
      <c r="W8" s="8"/>
      <c r="X8" s="8"/>
      <c r="Y8" s="8"/>
    </row>
    <row r="9" spans="2:25" ht="15" customHeight="1">
      <c r="B9" s="77" t="s">
        <v>97</v>
      </c>
      <c r="C9" s="77"/>
      <c r="D9" s="2" t="s">
        <v>98</v>
      </c>
      <c r="E9" s="2"/>
      <c r="F9" s="2"/>
      <c r="G9" s="2"/>
      <c r="H9" s="2"/>
      <c r="J9" s="76"/>
      <c r="K9" s="76"/>
      <c r="N9" s="8"/>
      <c r="O9" s="8"/>
      <c r="P9" s="8"/>
      <c r="Q9" s="8"/>
      <c r="S9" s="76"/>
      <c r="T9" s="76"/>
      <c r="W9" s="8"/>
      <c r="X9" s="8"/>
      <c r="Y9" s="8"/>
    </row>
    <row r="10" spans="2:25" ht="15" customHeight="1">
      <c r="B10" s="77" t="s">
        <v>96</v>
      </c>
      <c r="C10" s="77"/>
      <c r="D10" s="2" t="s">
        <v>99</v>
      </c>
      <c r="E10" s="2"/>
      <c r="F10" s="2"/>
      <c r="G10" s="2"/>
      <c r="H10" s="2"/>
      <c r="J10" s="76"/>
      <c r="K10" s="76"/>
      <c r="N10" s="8"/>
      <c r="O10" s="8"/>
      <c r="P10" s="8"/>
      <c r="Q10" s="8"/>
      <c r="S10" s="76"/>
      <c r="T10" s="76"/>
      <c r="W10" s="8"/>
      <c r="X10" s="8"/>
      <c r="Y10" s="8"/>
    </row>
    <row r="11" spans="2:25" s="44" customFormat="1">
      <c r="B11" s="3" t="s">
        <v>11</v>
      </c>
      <c r="C11" s="4" t="s">
        <v>12</v>
      </c>
      <c r="D11" s="5" t="str">
        <f t="array" aca="1" ref="D11:H38" ca="1">_xll.qArrayPad(_xll.qObjectGet(C42,"PillarPoints"),"")</f>
        <v>Date</v>
      </c>
      <c r="E11" s="6" t="str">
        <f ca="1"/>
        <v>Offset</v>
      </c>
      <c r="F11" s="7" t="str">
        <f ca="1"/>
        <v>DF</v>
      </c>
      <c r="G11" s="7" t="str">
        <f ca="1"/>
        <v>C,ACT/365</v>
      </c>
      <c r="H11" s="7" t="str">
        <f ca="1"/>
        <v>Q,ACT/365</v>
      </c>
      <c r="J11" s="3" t="s">
        <v>11</v>
      </c>
      <c r="K11" s="4" t="s">
        <v>59</v>
      </c>
      <c r="L11" s="5" t="str">
        <f t="array" aca="1" ref="L11:Q33" ca="1">_xll.qObjectGet(K42,"PillarPoints")</f>
        <v>Date</v>
      </c>
      <c r="M11" s="6" t="str">
        <f ca="1"/>
        <v>Offset</v>
      </c>
      <c r="N11" s="7" t="str">
        <f ca="1"/>
        <v>DF</v>
      </c>
      <c r="O11" s="7" t="str">
        <f ca="1"/>
        <v>C,ACT/365</v>
      </c>
      <c r="P11" s="7" t="str">
        <f ca="1"/>
        <v>Q,ACT/365</v>
      </c>
      <c r="Q11" s="7" t="str">
        <f ca="1"/>
        <v>Base Curve</v>
      </c>
      <c r="S11" s="3" t="s">
        <v>11</v>
      </c>
      <c r="T11" s="4" t="s">
        <v>62</v>
      </c>
      <c r="U11" s="5" t="str">
        <f t="array" aca="1" ref="U11:Y33" ca="1">_xll.qObjectGet(T42,"PillarPoints")</f>
        <v>Date</v>
      </c>
      <c r="V11" s="6" t="str">
        <f ca="1"/>
        <v>Offset</v>
      </c>
      <c r="W11" s="7" t="str">
        <f ca="1"/>
        <v>DF</v>
      </c>
      <c r="X11" s="7" t="str">
        <f ca="1"/>
        <v>C,ACT/365</v>
      </c>
      <c r="Y11" s="7" t="str">
        <f ca="1"/>
        <v>Q,ACT/365</v>
      </c>
    </row>
    <row r="12" spans="2:25">
      <c r="B12" s="9" t="str">
        <f t="array" ref="B12:B37">[1]!AUDcurveNames</f>
        <v>AUD-Deposit-1D</v>
      </c>
      <c r="C12" s="132">
        <f t="array" ref="C12:C37" ca="1">[1]!AUDcurveRates*100</f>
        <v>4.75</v>
      </c>
      <c r="D12" s="131">
        <f ca="1"/>
        <v>40703</v>
      </c>
      <c r="E12" s="11">
        <f ca="1"/>
        <v>0</v>
      </c>
      <c r="F12" s="134">
        <f ca="1"/>
        <v>1</v>
      </c>
      <c r="G12" s="12">
        <f ca="1"/>
        <v>4.7496909514796437</v>
      </c>
      <c r="H12" s="133">
        <f ca="1"/>
        <v>4.778002354344224</v>
      </c>
      <c r="J12" s="9" t="str">
        <f t="array" ref="J12:J32">[1]!AUD1v3names</f>
        <v>AUD-SpreadDeposit-1D-1M</v>
      </c>
      <c r="K12" s="132">
        <f t="array" ref="K12:K32">[1]!AUD1v3rates*10000</f>
        <v>0</v>
      </c>
      <c r="L12" s="10">
        <f ca="1"/>
        <v>40703</v>
      </c>
      <c r="M12" s="11">
        <f ca="1"/>
        <v>0</v>
      </c>
      <c r="N12" s="134">
        <f ca="1"/>
        <v>1</v>
      </c>
      <c r="O12" s="12">
        <f ca="1"/>
        <v>4.7496909514796437</v>
      </c>
      <c r="P12" s="133">
        <f ca="1"/>
        <v>4.7780023543543493</v>
      </c>
      <c r="Q12" s="12">
        <f ca="1"/>
        <v>4.7780023543543493</v>
      </c>
      <c r="S12" s="9" t="str">
        <f t="array" ref="S12:S32">[1]!AUD3v6names</f>
        <v>AUD-SpreadDeposit-1D-6M</v>
      </c>
      <c r="T12" s="132">
        <f t="array" ref="T12:T32" ca="1">[1]!AUD3v6rates*10000</f>
        <v>12.933025461893122</v>
      </c>
      <c r="U12" s="10">
        <f ca="1"/>
        <v>40703</v>
      </c>
      <c r="V12" s="11">
        <f ca="1"/>
        <v>0</v>
      </c>
      <c r="W12" s="134">
        <f ca="1"/>
        <v>1</v>
      </c>
      <c r="X12" s="12">
        <f ca="1"/>
        <v>4.8790041485627169</v>
      </c>
      <c r="Y12" s="133">
        <f ca="1"/>
        <v>4.9088813526803499</v>
      </c>
    </row>
    <row r="13" spans="2:25">
      <c r="B13" s="9" t="str">
        <v>AUD-Deposit-1M</v>
      </c>
      <c r="C13" s="132">
        <f ca="1"/>
        <v>4.8</v>
      </c>
      <c r="D13" s="131">
        <f ca="1"/>
        <v>40704</v>
      </c>
      <c r="E13" s="11">
        <f ca="1"/>
        <v>1</v>
      </c>
      <c r="F13" s="134">
        <f ca="1"/>
        <v>0.99986987994713017</v>
      </c>
      <c r="G13" s="12">
        <f ca="1"/>
        <v>4.7496909514696348</v>
      </c>
      <c r="H13" s="133">
        <f ca="1"/>
        <v>4.778002354344224</v>
      </c>
      <c r="J13" s="9" t="str">
        <v>AUD-SpreadDeposit-1M-1M</v>
      </c>
      <c r="K13" s="132">
        <v>0</v>
      </c>
      <c r="L13" s="10">
        <f ca="1"/>
        <v>40704</v>
      </c>
      <c r="M13" s="11">
        <f ca="1"/>
        <v>1</v>
      </c>
      <c r="N13" s="134">
        <f ca="1"/>
        <v>0.99986987994713017</v>
      </c>
      <c r="O13" s="12">
        <f ca="1"/>
        <v>4.7496909514696348</v>
      </c>
      <c r="P13" s="133">
        <f ca="1"/>
        <v>4.778002354344224</v>
      </c>
      <c r="Q13" s="12">
        <f ca="1"/>
        <v>4.778002354344224</v>
      </c>
      <c r="S13" s="9" t="str">
        <v>AUD-SpreadDeposit-1M-6M</v>
      </c>
      <c r="T13" s="132">
        <f ca="1"/>
        <v>12.933025461893122</v>
      </c>
      <c r="U13" s="10">
        <f ca="1"/>
        <v>40704</v>
      </c>
      <c r="V13" s="11">
        <f ca="1"/>
        <v>1</v>
      </c>
      <c r="W13" s="134">
        <f ca="1"/>
        <v>0.99986633758708054</v>
      </c>
      <c r="X13" s="12">
        <f ca="1"/>
        <v>4.8790041485580495</v>
      </c>
      <c r="Y13" s="133">
        <f ca="1"/>
        <v>4.9088813526702246</v>
      </c>
    </row>
    <row r="14" spans="2:25">
      <c r="B14" s="9" t="str">
        <v>AUD-Deposit-2M</v>
      </c>
      <c r="C14" s="132">
        <f ca="1"/>
        <v>4.9000000000000004</v>
      </c>
      <c r="D14" s="131">
        <f ca="1"/>
        <v>40735</v>
      </c>
      <c r="E14" s="11">
        <f ca="1"/>
        <v>32</v>
      </c>
      <c r="F14" s="134">
        <f ca="1"/>
        <v>0.99581024803186602</v>
      </c>
      <c r="G14" s="12">
        <f ca="1"/>
        <v>4.7889751679161661</v>
      </c>
      <c r="H14" s="133">
        <f ca="1"/>
        <v>4.8177577731561172</v>
      </c>
      <c r="J14" s="9" t="str">
        <v>AUD-SpreadDeposit-2M-1M</v>
      </c>
      <c r="K14" s="132">
        <v>6.999999999999992</v>
      </c>
      <c r="L14" s="10">
        <f ca="1"/>
        <v>40735</v>
      </c>
      <c r="M14" s="11">
        <f ca="1"/>
        <v>32</v>
      </c>
      <c r="N14" s="134">
        <f ca="1"/>
        <v>0.99581024803186602</v>
      </c>
      <c r="O14" s="12">
        <f ca="1"/>
        <v>4.7889751679161661</v>
      </c>
      <c r="P14" s="133">
        <f ca="1"/>
        <v>4.8177577731561172</v>
      </c>
      <c r="Q14" s="12">
        <f ca="1"/>
        <v>4.8177577731561172</v>
      </c>
      <c r="S14" s="9" t="str">
        <v>AUD-SpreadDeposit-2M-6M</v>
      </c>
      <c r="T14" s="132">
        <f ca="1"/>
        <v>12.933025461893122</v>
      </c>
      <c r="U14" s="10">
        <f ca="1"/>
        <v>40735</v>
      </c>
      <c r="V14" s="11">
        <f ca="1"/>
        <v>32</v>
      </c>
      <c r="W14" s="134">
        <f ca="1"/>
        <v>0.99569779454171492</v>
      </c>
      <c r="X14" s="12">
        <f ca="1"/>
        <v>4.9177893726272499</v>
      </c>
      <c r="Y14" s="133">
        <f ca="1"/>
        <v>4.9481444604022151</v>
      </c>
    </row>
    <row r="15" spans="2:25">
      <c r="B15" s="9" t="str">
        <v>AUD-Deposit-3M</v>
      </c>
      <c r="C15" s="132">
        <f ca="1"/>
        <v>4.99</v>
      </c>
      <c r="D15" s="131">
        <f ca="1"/>
        <v>40765</v>
      </c>
      <c r="E15" s="11">
        <f ca="1"/>
        <v>62</v>
      </c>
      <c r="F15" s="134">
        <f ca="1"/>
        <v>0.99174841144899029</v>
      </c>
      <c r="G15" s="12">
        <f ca="1"/>
        <v>4.8779432167951082</v>
      </c>
      <c r="H15" s="133">
        <f ca="1"/>
        <v>4.9078074023611862</v>
      </c>
      <c r="J15" s="9" t="str">
        <v>AUD-SpreadDeposit-3M-1M</v>
      </c>
      <c r="K15" s="132">
        <v>14.499999999999929</v>
      </c>
      <c r="L15" s="10">
        <f ca="1"/>
        <v>40765</v>
      </c>
      <c r="M15" s="11">
        <f ca="1"/>
        <v>62</v>
      </c>
      <c r="N15" s="134">
        <f ca="1"/>
        <v>0.9918635033990082</v>
      </c>
      <c r="O15" s="12">
        <f ca="1"/>
        <v>4.8096276916286511</v>
      </c>
      <c r="P15" s="133">
        <f ca="1"/>
        <v>4.8386595835994584</v>
      </c>
      <c r="Q15" s="12">
        <f ca="1"/>
        <v>4.9078074023611862</v>
      </c>
      <c r="S15" s="9" t="str">
        <v>AUD-SpreadDeposit-3M-6M</v>
      </c>
      <c r="T15" s="132">
        <f ca="1"/>
        <v>12.933025461893122</v>
      </c>
      <c r="U15" s="10">
        <f ca="1"/>
        <v>40765</v>
      </c>
      <c r="V15" s="11">
        <f ca="1"/>
        <v>62</v>
      </c>
      <c r="W15" s="134">
        <f ca="1"/>
        <v>0.99153232784389334</v>
      </c>
      <c r="X15" s="12">
        <f ca="1"/>
        <v>5.006226124439288</v>
      </c>
      <c r="Y15" s="133">
        <f ca="1"/>
        <v>5.0376851047631455</v>
      </c>
    </row>
    <row r="16" spans="2:25">
      <c r="B16" s="9" t="str">
        <v>AUD-IRFuture-IR-U1</v>
      </c>
      <c r="C16" s="132">
        <f ca="1"/>
        <v>4.9549999999999983</v>
      </c>
      <c r="D16" s="131">
        <f ca="1"/>
        <v>40798</v>
      </c>
      <c r="E16" s="11">
        <f ca="1"/>
        <v>95</v>
      </c>
      <c r="F16" s="134">
        <f ca="1"/>
        <v>0.98718362376728663</v>
      </c>
      <c r="G16" s="12">
        <f ca="1"/>
        <v>4.956014005540446</v>
      </c>
      <c r="H16" s="133">
        <f ca="1"/>
        <v>4.9868437948847877</v>
      </c>
      <c r="J16" s="9" t="str">
        <v>AUD-SpreadDeposit-6M-1M</v>
      </c>
      <c r="K16" s="132">
        <f ca="1"/>
        <v>12.566974538106845</v>
      </c>
      <c r="L16" s="10">
        <f ca="1"/>
        <v>40798</v>
      </c>
      <c r="M16" s="11">
        <f ca="1"/>
        <v>95</v>
      </c>
      <c r="N16" s="134">
        <f ca="1"/>
        <v>0.98754771945747211</v>
      </c>
      <c r="O16" s="12">
        <f ca="1"/>
        <v>4.8143345828477262</v>
      </c>
      <c r="P16" s="133">
        <f ca="1"/>
        <v>4.8434234404579612</v>
      </c>
      <c r="Q16" s="12">
        <f ca="1"/>
        <v>4.9868437948847877</v>
      </c>
      <c r="S16" s="9" t="str">
        <v>AUD-SpreadDeposit-6M-6M</v>
      </c>
      <c r="T16" s="132">
        <f ca="1"/>
        <v>12.933025461893122</v>
      </c>
      <c r="U16" s="10">
        <f ca="1"/>
        <v>40798</v>
      </c>
      <c r="V16" s="11">
        <f ca="1"/>
        <v>95</v>
      </c>
      <c r="W16" s="134">
        <f ca="1"/>
        <v>0.98685560506490999</v>
      </c>
      <c r="X16" s="12">
        <f ca="1"/>
        <v>5.0836996539315766</v>
      </c>
      <c r="Y16" s="133">
        <f ca="1"/>
        <v>5.1161419500348693</v>
      </c>
    </row>
    <row r="17" spans="2:25">
      <c r="B17" s="9" t="str">
        <v>AUD-IRFuture-IR-Z1</v>
      </c>
      <c r="C17" s="132">
        <f ca="1"/>
        <v>4.9849999999999994</v>
      </c>
      <c r="D17" s="131">
        <f ca="1"/>
        <v>40885</v>
      </c>
      <c r="E17" s="11">
        <f ca="1"/>
        <v>182</v>
      </c>
      <c r="F17" s="134">
        <f ca="1"/>
        <v>0.97568278913503348</v>
      </c>
      <c r="G17" s="12">
        <f ca="1"/>
        <v>4.937077545600375</v>
      </c>
      <c r="H17" s="133">
        <f ca="1"/>
        <v>4.9676717058432907</v>
      </c>
      <c r="J17" s="9" t="str">
        <v>AUD-BasisSwap-1Y-1M</v>
      </c>
      <c r="K17" s="132">
        <v>10.75</v>
      </c>
      <c r="L17" s="10">
        <f ca="1"/>
        <v>40889</v>
      </c>
      <c r="M17" s="11">
        <f ca="1"/>
        <v>186</v>
      </c>
      <c r="N17" s="134">
        <f ca="1"/>
        <v>0.97575992004958234</v>
      </c>
      <c r="O17" s="12">
        <f ca="1"/>
        <v>4.8153913064821872</v>
      </c>
      <c r="P17" s="133">
        <f ca="1"/>
        <v>4.844492960905189</v>
      </c>
      <c r="Q17" s="12">
        <f ca="1"/>
        <v>4.9679308568538083</v>
      </c>
      <c r="S17" s="9" t="str">
        <v>AUD-BasisSwap-1Y-6M</v>
      </c>
      <c r="T17" s="132">
        <v>8.25</v>
      </c>
      <c r="U17" s="10">
        <f ca="1"/>
        <v>40889</v>
      </c>
      <c r="V17" s="11">
        <f ca="1"/>
        <v>186</v>
      </c>
      <c r="W17" s="134">
        <f ca="1"/>
        <v>0.97452729144361194</v>
      </c>
      <c r="X17" s="12">
        <f ca="1"/>
        <v>5.0634438262495749</v>
      </c>
      <c r="Y17" s="133">
        <f ca="1"/>
        <v>5.0956275625527958</v>
      </c>
    </row>
    <row r="18" spans="2:25">
      <c r="B18" s="9" t="str">
        <v>AUD-IRFuture-IR-H2</v>
      </c>
      <c r="C18" s="132">
        <f ca="1"/>
        <v>5.0240078835000057</v>
      </c>
      <c r="D18" s="131">
        <f ca="1"/>
        <v>40976</v>
      </c>
      <c r="E18" s="11">
        <f ca="1"/>
        <v>273</v>
      </c>
      <c r="F18" s="134">
        <f ca="1"/>
        <v>0.9637048629160343</v>
      </c>
      <c r="G18" s="12">
        <f ca="1"/>
        <v>4.9429008672982251</v>
      </c>
      <c r="H18" s="133">
        <f ca="1"/>
        <v>4.9735673913326943</v>
      </c>
      <c r="J18" s="9" t="str">
        <v>AUD-BasisSwap-2Y-1M</v>
      </c>
      <c r="K18" s="132">
        <v>11.749999999999998</v>
      </c>
      <c r="L18" s="10">
        <f ca="1"/>
        <v>41072</v>
      </c>
      <c r="M18" s="11">
        <f ca="1"/>
        <v>369</v>
      </c>
      <c r="N18" s="134">
        <f ca="1"/>
        <v>0.9521540699944131</v>
      </c>
      <c r="O18" s="12">
        <f ca="1"/>
        <v>4.8496945678441712</v>
      </c>
      <c r="P18" s="133">
        <f ca="1"/>
        <v>4.8792131657867461</v>
      </c>
      <c r="Q18" s="12">
        <f ca="1"/>
        <v>4.987093344791127</v>
      </c>
      <c r="S18" s="9" t="str">
        <v>AUD-BasisSwap-2Y-6M</v>
      </c>
      <c r="T18" s="132">
        <v>8.5</v>
      </c>
      <c r="U18" s="10">
        <f ca="1"/>
        <v>41072</v>
      </c>
      <c r="V18" s="11">
        <f ca="1"/>
        <v>369</v>
      </c>
      <c r="W18" s="134">
        <f ca="1"/>
        <v>0.95035504775956869</v>
      </c>
      <c r="X18" s="12">
        <f ca="1"/>
        <v>5.0367655419166839</v>
      </c>
      <c r="Y18" s="133">
        <f ca="1"/>
        <v>5.068610322694509</v>
      </c>
    </row>
    <row r="19" spans="2:25">
      <c r="B19" s="9" t="str">
        <v>AUD-IRFuture-IR-M2</v>
      </c>
      <c r="C19" s="132">
        <f ca="1"/>
        <v>5.0627598542999985</v>
      </c>
      <c r="D19" s="131">
        <f ca="1"/>
        <v>41067</v>
      </c>
      <c r="E19" s="11">
        <f ca="1"/>
        <v>364</v>
      </c>
      <c r="F19" s="134">
        <f ca="1"/>
        <v>0.95178271859022534</v>
      </c>
      <c r="G19" s="12">
        <f ca="1"/>
        <v>4.9554272144885694</v>
      </c>
      <c r="H19" s="133">
        <f ca="1"/>
        <v>4.9862496886804104</v>
      </c>
      <c r="J19" s="9" t="str">
        <v>AUD-BasisSwap-3Y-1M</v>
      </c>
      <c r="K19" s="132">
        <v>11.999999999999998</v>
      </c>
      <c r="L19" s="10">
        <f ca="1"/>
        <v>41436</v>
      </c>
      <c r="M19" s="11">
        <f ca="1"/>
        <v>733</v>
      </c>
      <c r="N19" s="134">
        <f ca="1"/>
        <v>0.90615654340969198</v>
      </c>
      <c r="O19" s="12">
        <f ca="1"/>
        <v>4.9069944018013425</v>
      </c>
      <c r="P19" s="133">
        <f ca="1"/>
        <v>4.9372160993533738</v>
      </c>
      <c r="Q19" s="12">
        <f ca="1"/>
        <v>5.0557312338540328</v>
      </c>
      <c r="S19" s="9" t="str">
        <v>AUD-BasisSwap-3Y-6M</v>
      </c>
      <c r="T19" s="132">
        <v>8.25</v>
      </c>
      <c r="U19" s="10">
        <f ca="1"/>
        <v>41436</v>
      </c>
      <c r="V19" s="11">
        <f ca="1"/>
        <v>733</v>
      </c>
      <c r="W19" s="134">
        <f ca="1"/>
        <v>0.90251905993105352</v>
      </c>
      <c r="X19" s="12">
        <f ca="1"/>
        <v>5.1072846569901946</v>
      </c>
      <c r="Y19" s="133">
        <f ca="1"/>
        <v>5.1400293178750118</v>
      </c>
    </row>
    <row r="20" spans="2:25">
      <c r="B20" s="9" t="str">
        <v>AUD-IRFuture-IR-U2</v>
      </c>
      <c r="C20" s="132">
        <f ca="1"/>
        <v>5.1059968945999987</v>
      </c>
      <c r="D20" s="131">
        <f ca="1"/>
        <v>41158</v>
      </c>
      <c r="E20" s="11">
        <f ca="1"/>
        <v>455</v>
      </c>
      <c r="F20" s="134">
        <f ca="1"/>
        <v>0.93991843431051825</v>
      </c>
      <c r="G20" s="12">
        <f ca="1"/>
        <v>4.9705924208736993</v>
      </c>
      <c r="H20" s="133">
        <f ca="1"/>
        <v>5.0016042298961958</v>
      </c>
      <c r="J20" s="9" t="str">
        <v>AUD-BasisSwap-4Y-1M</v>
      </c>
      <c r="K20" s="132">
        <v>11.999999999999998</v>
      </c>
      <c r="L20" s="10">
        <f ca="1"/>
        <v>41800</v>
      </c>
      <c r="M20" s="11">
        <f ca="1"/>
        <v>1097</v>
      </c>
      <c r="N20" s="134">
        <f ca="1"/>
        <v>0.86106857316367247</v>
      </c>
      <c r="O20" s="12">
        <f ca="1"/>
        <v>4.9769474882141287</v>
      </c>
      <c r="P20" s="133">
        <f ca="1"/>
        <v>5.0080388121809811</v>
      </c>
      <c r="Q20" s="12">
        <f ca="1"/>
        <v>5.1292163562012938</v>
      </c>
      <c r="S20" s="9" t="str">
        <v>AUD-BasisSwap-4Y-6M</v>
      </c>
      <c r="T20" s="132">
        <v>8</v>
      </c>
      <c r="U20" s="10">
        <f ca="1"/>
        <v>41800</v>
      </c>
      <c r="V20" s="11">
        <f ca="1"/>
        <v>1097</v>
      </c>
      <c r="W20" s="134">
        <f ca="1"/>
        <v>0.85589935050664889</v>
      </c>
      <c r="X20" s="12">
        <f ca="1"/>
        <v>5.1772934541622933</v>
      </c>
      <c r="Y20" s="133">
        <f ca="1"/>
        <v>5.2109439388501073</v>
      </c>
    </row>
    <row r="21" spans="2:25">
      <c r="B21" s="9" t="str">
        <v>AUD-IRFuture-IR-Z2</v>
      </c>
      <c r="C21" s="132">
        <f ca="1"/>
        <v>5.1485253534000011</v>
      </c>
      <c r="D21" s="131">
        <f ca="1"/>
        <v>41256</v>
      </c>
      <c r="E21" s="11">
        <f ca="1"/>
        <v>553</v>
      </c>
      <c r="F21" s="134">
        <f ca="1"/>
        <v>0.9272038034194342</v>
      </c>
      <c r="G21" s="12">
        <f ca="1"/>
        <v>4.9886777566907785</v>
      </c>
      <c r="H21" s="133">
        <f ca="1"/>
        <v>5.0199161189112527</v>
      </c>
      <c r="J21" s="9" t="str">
        <v>AUD-BasisSwap-5Y-1M</v>
      </c>
      <c r="K21" s="132">
        <v>11.749999999999998</v>
      </c>
      <c r="L21" s="10">
        <f ca="1"/>
        <v>42165</v>
      </c>
      <c r="M21" s="11">
        <f ca="1"/>
        <v>1462</v>
      </c>
      <c r="N21" s="134">
        <f ca="1"/>
        <v>0.81617055455463638</v>
      </c>
      <c r="O21" s="12">
        <f ca="1"/>
        <v>5.0713512665601366</v>
      </c>
      <c r="P21" s="133">
        <f ca="1"/>
        <v>5.1036358154460508</v>
      </c>
      <c r="Q21" s="12">
        <f ca="1"/>
        <v>5.2247906650911169</v>
      </c>
      <c r="S21" s="9" t="str">
        <v>AUD-BasisSwap-5Y-6M</v>
      </c>
      <c r="T21" s="132">
        <v>8</v>
      </c>
      <c r="U21" s="10">
        <f ca="1"/>
        <v>42165</v>
      </c>
      <c r="V21" s="11">
        <f ca="1"/>
        <v>1462</v>
      </c>
      <c r="W21" s="134">
        <f ca="1"/>
        <v>0.80973392100652297</v>
      </c>
      <c r="X21" s="12">
        <f ca="1"/>
        <v>5.2690216088221877</v>
      </c>
      <c r="Y21" s="133">
        <f ca="1"/>
        <v>5.3038777245874691</v>
      </c>
    </row>
    <row r="22" spans="2:25">
      <c r="B22" s="9" t="str">
        <v>AUD-IRFuture-IR-H3</v>
      </c>
      <c r="C22" s="132">
        <f ca="1"/>
        <v>5.1807136445999973</v>
      </c>
      <c r="D22" s="131">
        <f ca="1"/>
        <v>41347</v>
      </c>
      <c r="E22" s="11">
        <f ca="1"/>
        <v>644</v>
      </c>
      <c r="F22" s="134">
        <f ca="1"/>
        <v>0.91545263935363419</v>
      </c>
      <c r="G22" s="12">
        <f ca="1"/>
        <v>5.0066578564026107</v>
      </c>
      <c r="H22" s="133">
        <f ca="1"/>
        <v>5.0381222742866152</v>
      </c>
      <c r="J22" s="9" t="str">
        <v>AUD-BasisSwap-6Y-1M</v>
      </c>
      <c r="K22" s="132">
        <v>11.25</v>
      </c>
      <c r="L22" s="10">
        <f ca="1"/>
        <v>42531</v>
      </c>
      <c r="M22" s="11">
        <f ca="1"/>
        <v>1828</v>
      </c>
      <c r="N22" s="134">
        <f ca="1"/>
        <v>0.77149894386382012</v>
      </c>
      <c r="O22" s="12">
        <f ca="1"/>
        <v>5.1798846435044306</v>
      </c>
      <c r="P22" s="133">
        <f ca="1"/>
        <v>5.2135688930504278</v>
      </c>
      <c r="Q22" s="12">
        <f ca="1"/>
        <v>5.3319003084492778</v>
      </c>
      <c r="S22" s="9" t="str">
        <v>AUD-BasisSwap-6Y-6M</v>
      </c>
      <c r="T22" s="132">
        <v>7.6249999999999991</v>
      </c>
      <c r="U22" s="10">
        <f ca="1"/>
        <v>42531</v>
      </c>
      <c r="V22" s="11">
        <f ca="1"/>
        <v>1828</v>
      </c>
      <c r="W22" s="134">
        <f ca="1"/>
        <v>0.76400506625527698</v>
      </c>
      <c r="X22" s="12">
        <f ca="1"/>
        <v>5.374781914327011</v>
      </c>
      <c r="Y22" s="133">
        <f ca="1"/>
        <v>5.4110545476061143</v>
      </c>
    </row>
    <row r="23" spans="2:25">
      <c r="B23" s="9" t="str">
        <v>AUD-IRFuture-IR-M3</v>
      </c>
      <c r="C23" s="132">
        <f ca="1"/>
        <v>5.2176326038999896</v>
      </c>
      <c r="D23" s="131">
        <f ca="1"/>
        <v>41431</v>
      </c>
      <c r="E23" s="11">
        <f ca="1"/>
        <v>728</v>
      </c>
      <c r="F23" s="134">
        <f ca="1"/>
        <v>0.90466879649105203</v>
      </c>
      <c r="G23" s="12">
        <f ca="1"/>
        <v>5.0230805141202648</v>
      </c>
      <c r="H23" s="133">
        <f ca="1"/>
        <v>5.0547521217788827</v>
      </c>
      <c r="J23" s="9" t="str">
        <v>AUD-BasisSwap-7Y-1M</v>
      </c>
      <c r="K23" s="132">
        <v>10.75</v>
      </c>
      <c r="L23" s="10">
        <f ca="1"/>
        <v>42899</v>
      </c>
      <c r="M23" s="11">
        <f ca="1"/>
        <v>2196</v>
      </c>
      <c r="N23" s="134">
        <f ca="1"/>
        <v>0.72755911113924876</v>
      </c>
      <c r="O23" s="12">
        <f ca="1"/>
        <v>5.2865169055762626</v>
      </c>
      <c r="P23" s="133">
        <f ca="1"/>
        <v>5.3216053913140948</v>
      </c>
      <c r="Q23" s="12">
        <f ca="1"/>
        <v>5.4341669798124492</v>
      </c>
      <c r="S23" s="9" t="str">
        <v>AUD-BasisSwap-7Y-6M</v>
      </c>
      <c r="T23" s="132">
        <v>7.2499999999999991</v>
      </c>
      <c r="U23" s="10">
        <f ca="1"/>
        <v>42899</v>
      </c>
      <c r="V23" s="11">
        <f ca="1"/>
        <v>2196</v>
      </c>
      <c r="W23" s="134">
        <f ca="1"/>
        <v>0.71950772325792489</v>
      </c>
      <c r="X23" s="12">
        <f ca="1"/>
        <v>5.4714766282549609</v>
      </c>
      <c r="Y23" s="133">
        <f ca="1"/>
        <v>5.509069158854099</v>
      </c>
    </row>
    <row r="24" spans="2:25">
      <c r="B24" s="9" t="str">
        <v>AUD-IRSwap-3Y</v>
      </c>
      <c r="C24" s="132">
        <f ca="1"/>
        <v>5.1241666666666736</v>
      </c>
      <c r="D24" s="131">
        <f ca="1"/>
        <v>41529</v>
      </c>
      <c r="E24" s="11">
        <f ca="1"/>
        <v>826</v>
      </c>
      <c r="F24" s="134">
        <f ca="1"/>
        <v>0.89216707844505416</v>
      </c>
      <c r="G24" s="12">
        <f ca="1"/>
        <v>5.0420311789213299</v>
      </c>
      <c r="H24" s="133">
        <f ca="1"/>
        <v>5.0739427184523027</v>
      </c>
      <c r="J24" s="9" t="str">
        <v>AUD-BasisSwap-8Y-1M</v>
      </c>
      <c r="K24" s="132">
        <v>10.333333333333334</v>
      </c>
      <c r="L24" s="10">
        <f ca="1"/>
        <v>43263</v>
      </c>
      <c r="M24" s="11">
        <f ca="1"/>
        <v>2560</v>
      </c>
      <c r="N24" s="134">
        <f ca="1"/>
        <v>0.68557648960446183</v>
      </c>
      <c r="O24" s="12">
        <f ca="1"/>
        <v>5.38225583821451</v>
      </c>
      <c r="P24" s="133">
        <f ca="1"/>
        <v>5.4186296467876724</v>
      </c>
      <c r="Q24" s="12">
        <f ca="1"/>
        <v>5.5253225914942306</v>
      </c>
      <c r="S24" s="9" t="str">
        <v>AUD-BasisSwap-8Y-6M</v>
      </c>
      <c r="T24" s="132">
        <v>7</v>
      </c>
      <c r="U24" s="10">
        <f ca="1"/>
        <v>43263</v>
      </c>
      <c r="V24" s="11">
        <f ca="1"/>
        <v>2560</v>
      </c>
      <c r="W24" s="134">
        <f ca="1"/>
        <v>0.67721979737390048</v>
      </c>
      <c r="X24" s="12">
        <f ca="1"/>
        <v>5.5571163738717528</v>
      </c>
      <c r="Y24" s="133">
        <f ca="1"/>
        <v>5.5958976873089448</v>
      </c>
    </row>
    <row r="25" spans="2:25">
      <c r="B25" s="9" t="str">
        <v>AUD-IRSwap-4Y</v>
      </c>
      <c r="C25" s="132">
        <f ca="1"/>
        <v>5.2475000000000067</v>
      </c>
      <c r="D25" s="131">
        <f ca="1"/>
        <v>41800</v>
      </c>
      <c r="E25" s="11">
        <f ca="1"/>
        <v>1097</v>
      </c>
      <c r="F25" s="134">
        <f ca="1"/>
        <v>0.85797739297678111</v>
      </c>
      <c r="G25" s="12">
        <f ca="1"/>
        <v>5.0966087373676174</v>
      </c>
      <c r="H25" s="133">
        <f ca="1"/>
        <v>5.1292163562013275</v>
      </c>
      <c r="J25" s="9" t="str">
        <v>AUD-BasisSwap-9Y-1M</v>
      </c>
      <c r="K25" s="132">
        <v>9.9166666666666679</v>
      </c>
      <c r="L25" s="10">
        <f ca="1"/>
        <v>43627</v>
      </c>
      <c r="M25" s="11">
        <f ca="1"/>
        <v>2924</v>
      </c>
      <c r="N25" s="134">
        <f ca="1"/>
        <v>0.6465419892686074</v>
      </c>
      <c r="O25" s="12">
        <f ca="1"/>
        <v>5.4440066351803003</v>
      </c>
      <c r="P25" s="133">
        <f ca="1"/>
        <v>5.48122178677019</v>
      </c>
      <c r="Q25" s="12">
        <f ca="1"/>
        <v>5.5829608285304921</v>
      </c>
      <c r="S25" s="9" t="str">
        <v>AUD-BasisSwap-9Y-6M</v>
      </c>
      <c r="T25" s="132">
        <v>6.7499999999999991</v>
      </c>
      <c r="U25" s="10">
        <f ca="1"/>
        <v>43627</v>
      </c>
      <c r="V25" s="11">
        <f ca="1"/>
        <v>2924</v>
      </c>
      <c r="W25" s="134">
        <f ca="1"/>
        <v>0.6379446999744931</v>
      </c>
      <c r="X25" s="12">
        <f ca="1"/>
        <v>5.6111095054975539</v>
      </c>
      <c r="Y25" s="133">
        <f ca="1"/>
        <v>5.6506498642545004</v>
      </c>
    </row>
    <row r="26" spans="2:25">
      <c r="B26" s="9" t="str">
        <v>AUD-IRSwap-5Y</v>
      </c>
      <c r="C26" s="132">
        <f ca="1"/>
        <v>5.3466666666666729</v>
      </c>
      <c r="D26" s="131">
        <f ca="1"/>
        <v>42165</v>
      </c>
      <c r="E26" s="11">
        <f ca="1"/>
        <v>1462</v>
      </c>
      <c r="F26" s="134">
        <f ca="1"/>
        <v>0.81226965096355275</v>
      </c>
      <c r="G26" s="12">
        <f ca="1"/>
        <v>5.190961880319831</v>
      </c>
      <c r="H26" s="133">
        <f ca="1"/>
        <v>5.224790665091148</v>
      </c>
      <c r="J26" s="9" t="str">
        <v>AUD-BasisSwap-10Y-1M</v>
      </c>
      <c r="K26" s="132">
        <v>9.5</v>
      </c>
      <c r="L26" s="10">
        <f ca="1"/>
        <v>43992</v>
      </c>
      <c r="M26" s="11">
        <f ca="1"/>
        <v>3289</v>
      </c>
      <c r="N26" s="134">
        <f ca="1"/>
        <v>0.60973852138021156</v>
      </c>
      <c r="O26" s="12">
        <f ca="1"/>
        <v>5.4902599429499057</v>
      </c>
      <c r="P26" s="133">
        <f ca="1"/>
        <v>5.5281116170953322</v>
      </c>
      <c r="Q26" s="12">
        <f ca="1"/>
        <v>5.6247808304064506</v>
      </c>
      <c r="S26" s="9" t="str">
        <v>AUD-BasisSwap-10Y-6M</v>
      </c>
      <c r="T26" s="132">
        <v>6.5</v>
      </c>
      <c r="U26" s="10">
        <f ca="1"/>
        <v>43992</v>
      </c>
      <c r="V26" s="11">
        <f ca="1"/>
        <v>3289</v>
      </c>
      <c r="W26" s="134">
        <f ca="1"/>
        <v>0.60105592498073657</v>
      </c>
      <c r="X26" s="12">
        <f ca="1"/>
        <v>5.6494242286623111</v>
      </c>
      <c r="Y26" s="133">
        <f ca="1"/>
        <v>5.6895077061369648</v>
      </c>
    </row>
    <row r="27" spans="2:25">
      <c r="B27" s="9" t="str">
        <v>AUD-IRSwap-6Y</v>
      </c>
      <c r="C27" s="132">
        <f ca="1"/>
        <v>5.4395833333333403</v>
      </c>
      <c r="D27" s="131">
        <f ca="1"/>
        <v>42531</v>
      </c>
      <c r="E27" s="11">
        <f ca="1"/>
        <v>1828</v>
      </c>
      <c r="F27" s="134">
        <f ca="1"/>
        <v>0.76699946918083906</v>
      </c>
      <c r="G27" s="12">
        <f ca="1"/>
        <v>5.2966765282149293</v>
      </c>
      <c r="H27" s="133">
        <f ca="1"/>
        <v>5.3319003084492982</v>
      </c>
      <c r="J27" s="9" t="str">
        <v>AUD-BasisSwap-12Y-1M</v>
      </c>
      <c r="K27" s="132">
        <f ca="1"/>
        <v>8.3425168470721438</v>
      </c>
      <c r="L27" s="10">
        <f ca="1"/>
        <v>44357</v>
      </c>
      <c r="M27" s="11">
        <f ca="1"/>
        <v>3654</v>
      </c>
      <c r="N27" s="134">
        <f ca="1"/>
        <v>0.57490228328143711</v>
      </c>
      <c r="O27" s="12">
        <f ca="1"/>
        <v>5.5294922299459763</v>
      </c>
      <c r="P27" s="133">
        <f ca="1"/>
        <v>5.5678880558641701</v>
      </c>
      <c r="Q27" s="12">
        <f ca="1"/>
        <v>5.6593657226256866</v>
      </c>
      <c r="S27" s="9" t="str">
        <v>AUD-BasisSwap-12Y-6M</v>
      </c>
      <c r="T27" s="132">
        <v>5.9</v>
      </c>
      <c r="U27" s="10">
        <f ca="1"/>
        <v>44357</v>
      </c>
      <c r="V27" s="11">
        <f ca="1"/>
        <v>3654</v>
      </c>
      <c r="W27" s="134">
        <f ca="1"/>
        <v>0.56627520315276936</v>
      </c>
      <c r="X27" s="12">
        <f ca="1"/>
        <v>5.6805257093091734</v>
      </c>
      <c r="Y27" s="133">
        <f ca="1"/>
        <v>5.7210527934261624</v>
      </c>
    </row>
    <row r="28" spans="2:25">
      <c r="B28" s="9" t="str">
        <v>AUD-IRSwap-7Y</v>
      </c>
      <c r="C28" s="132">
        <f ca="1"/>
        <v>5.5207500000000058</v>
      </c>
      <c r="D28" s="131">
        <f ca="1"/>
        <v>42899</v>
      </c>
      <c r="E28" s="11">
        <f ca="1"/>
        <v>2196</v>
      </c>
      <c r="F28" s="134">
        <f ca="1"/>
        <v>0.72271351001351958</v>
      </c>
      <c r="G28" s="12">
        <f ca="1"/>
        <v>5.3975852130074085</v>
      </c>
      <c r="H28" s="133">
        <f ca="1"/>
        <v>5.4341669798124244</v>
      </c>
      <c r="J28" s="9" t="str">
        <v>AUD-BasisSwap-15Y-1M</v>
      </c>
      <c r="K28" s="132">
        <f ca="1"/>
        <v>7.2148499334921343</v>
      </c>
      <c r="L28" s="10">
        <f ca="1"/>
        <v>45090</v>
      </c>
      <c r="M28" s="11">
        <f ca="1"/>
        <v>4387</v>
      </c>
      <c r="N28" s="134">
        <f ca="1"/>
        <v>0.50866610666678103</v>
      </c>
      <c r="O28" s="12">
        <f ca="1"/>
        <v>5.62404061326954</v>
      </c>
      <c r="P28" s="133">
        <f ca="1"/>
        <v>5.6637638569043443</v>
      </c>
      <c r="Q28" s="12">
        <f ca="1"/>
        <v>5.7399743923270741</v>
      </c>
      <c r="S28" s="9" t="str">
        <v>AUD-BasisSwap-15Y-6M</v>
      </c>
      <c r="T28" s="132">
        <v>5</v>
      </c>
      <c r="U28" s="10">
        <f ca="1"/>
        <v>45090</v>
      </c>
      <c r="V28" s="11">
        <f ca="1"/>
        <v>4387</v>
      </c>
      <c r="W28" s="134">
        <f ca="1"/>
        <v>0.50087807793058547</v>
      </c>
      <c r="X28" s="12">
        <f ca="1"/>
        <v>5.7524113563295831</v>
      </c>
      <c r="Y28" s="133">
        <f ca="1"/>
        <v>5.7939731466129629</v>
      </c>
    </row>
    <row r="29" spans="2:25">
      <c r="B29" s="9" t="str">
        <v>AUD-IRSwap-8Y</v>
      </c>
      <c r="C29" s="132">
        <f ca="1"/>
        <v>5.5724166666666743</v>
      </c>
      <c r="D29" s="131">
        <f ca="1"/>
        <v>43263</v>
      </c>
      <c r="E29" s="11">
        <f ca="1"/>
        <v>2560</v>
      </c>
      <c r="F29" s="134">
        <f ca="1"/>
        <v>0.68053410643255174</v>
      </c>
      <c r="G29" s="12">
        <f ca="1"/>
        <v>5.4875089275583067</v>
      </c>
      <c r="H29" s="133">
        <f ca="1"/>
        <v>5.5253225914942279</v>
      </c>
      <c r="J29" s="9" t="str">
        <v>AUD-BasisSwap-20Y-1M</v>
      </c>
      <c r="K29" s="132">
        <f ca="1"/>
        <v>6.1056279064230417</v>
      </c>
      <c r="L29" s="10">
        <f ca="1"/>
        <v>46183</v>
      </c>
      <c r="M29" s="11">
        <f ca="1"/>
        <v>5480</v>
      </c>
      <c r="N29" s="134">
        <f ca="1"/>
        <v>0.42487314504147827</v>
      </c>
      <c r="O29" s="12">
        <f ca="1"/>
        <v>5.7012243149038762</v>
      </c>
      <c r="P29" s="133">
        <f ca="1"/>
        <v>5.7420479867685597</v>
      </c>
      <c r="Q29" s="12">
        <f ca="1"/>
        <v>5.8030270331213885</v>
      </c>
      <c r="S29" s="9" t="str">
        <v>AUD-BasisSwap-20Y-6M</v>
      </c>
      <c r="T29" s="132">
        <v>4</v>
      </c>
      <c r="U29" s="10">
        <f ca="1"/>
        <v>46183</v>
      </c>
      <c r="V29" s="11">
        <f ca="1"/>
        <v>5480</v>
      </c>
      <c r="W29" s="134">
        <f ca="1"/>
        <v>0.41846575921389428</v>
      </c>
      <c r="X29" s="12">
        <f ca="1"/>
        <v>5.8024357072090185</v>
      </c>
      <c r="Y29" s="133">
        <f ca="1"/>
        <v>5.8447252703429857</v>
      </c>
    </row>
    <row r="30" spans="2:25">
      <c r="B30" s="9" t="str">
        <v>AUD-IRSwap-9Y</v>
      </c>
      <c r="C30" s="132">
        <f ca="1"/>
        <v>5.6100000000000056</v>
      </c>
      <c r="D30" s="131">
        <f ca="1"/>
        <v>43627</v>
      </c>
      <c r="E30" s="11">
        <f ca="1"/>
        <v>2924</v>
      </c>
      <c r="F30" s="134">
        <f ca="1"/>
        <v>0.64136521591605655</v>
      </c>
      <c r="G30" s="12">
        <f ca="1"/>
        <v>5.5443577979855698</v>
      </c>
      <c r="H30" s="133">
        <f ca="1"/>
        <v>5.5829608285304966</v>
      </c>
      <c r="J30" s="9" t="str">
        <v>AUD-BasisSwap-25Y-1M</v>
      </c>
      <c r="K30" s="132">
        <f ca="1"/>
        <v>5.4447848008670068</v>
      </c>
      <c r="L30" s="10">
        <f ca="1"/>
        <v>48009</v>
      </c>
      <c r="M30" s="11">
        <f ca="1"/>
        <v>7306</v>
      </c>
      <c r="N30" s="134">
        <f ca="1"/>
        <v>0.32885318388879647</v>
      </c>
      <c r="O30" s="12">
        <f ca="1"/>
        <v>5.5561526861314148</v>
      </c>
      <c r="P30" s="133">
        <f ca="1"/>
        <v>5.5949205190007412</v>
      </c>
      <c r="Q30" s="12">
        <f ca="1"/>
        <v>5.6405159569642649</v>
      </c>
      <c r="S30" s="9" t="str">
        <v>AUD-BasisSwap-25Y-6M</v>
      </c>
      <c r="T30" s="132">
        <v>3.5000000000000004</v>
      </c>
      <c r="U30" s="10">
        <f ca="1"/>
        <v>48009</v>
      </c>
      <c r="V30" s="11">
        <f ca="1"/>
        <v>7306</v>
      </c>
      <c r="W30" s="134">
        <f ca="1"/>
        <v>0.32414819200345829</v>
      </c>
      <c r="X30" s="12">
        <f ca="1"/>
        <v>5.6281465512756403</v>
      </c>
      <c r="Y30" s="133">
        <f ca="1"/>
        <v>5.6679279539405218</v>
      </c>
    </row>
    <row r="31" spans="2:25">
      <c r="B31" s="9" t="str">
        <v>AUD-IRSwap-10Y</v>
      </c>
      <c r="C31" s="132">
        <f ca="1"/>
        <v>5.6407500000000077</v>
      </c>
      <c r="D31" s="131">
        <f ca="1"/>
        <v>43992</v>
      </c>
      <c r="E31" s="11">
        <f ca="1"/>
        <v>3289</v>
      </c>
      <c r="F31" s="134">
        <f ca="1"/>
        <v>0.60452266161468504</v>
      </c>
      <c r="G31" s="12">
        <f ca="1"/>
        <v>5.5856000098288483</v>
      </c>
      <c r="H31" s="133">
        <f ca="1"/>
        <v>5.6247808304064844</v>
      </c>
      <c r="J31" s="9" t="str">
        <v>AUD-BasisSwap-30Y-1M</v>
      </c>
      <c r="K31" s="132">
        <f ca="1"/>
        <v>5.0023276630726858</v>
      </c>
      <c r="L31" s="10">
        <f ca="1"/>
        <v>49836</v>
      </c>
      <c r="M31" s="11">
        <f ca="1"/>
        <v>9133</v>
      </c>
      <c r="N31" s="134">
        <f ca="1"/>
        <v>0.26479708855233758</v>
      </c>
      <c r="O31" s="12">
        <f ca="1"/>
        <v>5.3105100098931377</v>
      </c>
      <c r="P31" s="133">
        <f ca="1"/>
        <v>5.3459184293884414</v>
      </c>
      <c r="Q31" s="12">
        <f ca="1"/>
        <v>5.3823194190088408</v>
      </c>
      <c r="S31" s="9" t="str">
        <v>AUD-BasisSwap-30Y-6M</v>
      </c>
      <c r="T31" s="132">
        <v>3.25</v>
      </c>
      <c r="U31" s="10">
        <f ca="1"/>
        <v>49836</v>
      </c>
      <c r="V31" s="11">
        <f ca="1"/>
        <v>9133</v>
      </c>
      <c r="W31" s="134">
        <f ca="1"/>
        <v>0.26109328781717617</v>
      </c>
      <c r="X31" s="12">
        <f ca="1"/>
        <v>5.3668048997123856</v>
      </c>
      <c r="Y31" s="133">
        <f ca="1"/>
        <v>5.402969703454894</v>
      </c>
    </row>
    <row r="32" spans="2:25">
      <c r="B32" s="9" t="str">
        <v>AUD-IRSwap-12Y</v>
      </c>
      <c r="C32" s="132">
        <f ca="1"/>
        <v>5.7075833333333401</v>
      </c>
      <c r="D32" s="131">
        <f ca="1"/>
        <v>44357</v>
      </c>
      <c r="E32" s="11">
        <f ca="1"/>
        <v>3654</v>
      </c>
      <c r="F32" s="134">
        <f ca="1"/>
        <v>0.56973368646722922</v>
      </c>
      <c r="G32" s="12">
        <f ca="1"/>
        <v>5.6197038610007262</v>
      </c>
      <c r="H32" s="133">
        <f ca="1"/>
        <v>5.6593657226257248</v>
      </c>
      <c r="J32" s="9" t="str">
        <v>AUD-BasisSwap-40Y-1M</v>
      </c>
      <c r="K32" s="132">
        <f ca="1"/>
        <v>4.4494182870854893</v>
      </c>
      <c r="L32" s="10">
        <f ca="1"/>
        <v>51663</v>
      </c>
      <c r="M32" s="11">
        <f ca="1"/>
        <v>10960</v>
      </c>
      <c r="N32" s="134">
        <f ca="1"/>
        <v>0.21970307496673791</v>
      </c>
      <c r="O32" s="12">
        <f ca="1"/>
        <v>5.0469852260129526</v>
      </c>
      <c r="P32" s="133">
        <f ca="1"/>
        <v>5.0789596379893709</v>
      </c>
      <c r="Q32" s="12">
        <f ca="1"/>
        <v>5.1092501833711168</v>
      </c>
      <c r="S32" s="9" t="str">
        <v>AUD-BasisSwap-40Y-6M</v>
      </c>
      <c r="T32" s="132">
        <f ca="1"/>
        <v>3.0430984249716171</v>
      </c>
      <c r="U32" s="10">
        <f ca="1"/>
        <v>51663</v>
      </c>
      <c r="V32" s="11">
        <f ca="1"/>
        <v>10960</v>
      </c>
      <c r="W32" s="134">
        <f ca="1"/>
        <v>0.21658630722660085</v>
      </c>
      <c r="X32" s="12">
        <f ca="1"/>
        <v>5.0945679707792015</v>
      </c>
      <c r="Y32" s="133">
        <f ca="1"/>
        <v>5.127149426052088</v>
      </c>
    </row>
    <row r="33" spans="2:26">
      <c r="B33" s="9" t="str">
        <v>AUD-IRSwap-15Y</v>
      </c>
      <c r="C33" s="132">
        <f ca="1"/>
        <v>5.7607500000000069</v>
      </c>
      <c r="D33" s="131">
        <f ca="1"/>
        <v>45090</v>
      </c>
      <c r="E33" s="11">
        <f ca="1"/>
        <v>4387</v>
      </c>
      <c r="F33" s="134">
        <f ca="1"/>
        <v>0.50409295130762966</v>
      </c>
      <c r="G33" s="12">
        <f ca="1"/>
        <v>5.6991800606783416</v>
      </c>
      <c r="H33" s="133">
        <f ca="1"/>
        <v>5.7399743923271167</v>
      </c>
      <c r="J33" s="9"/>
      <c r="K33" s="14"/>
      <c r="L33" s="10">
        <f ca="1"/>
        <v>55317</v>
      </c>
      <c r="M33" s="11">
        <f ca="1"/>
        <v>14614</v>
      </c>
      <c r="N33" s="134">
        <f ca="1"/>
        <v>0.15521499834732549</v>
      </c>
      <c r="O33" s="12">
        <f ca="1"/>
        <v>4.6528984092598353</v>
      </c>
      <c r="P33" s="133">
        <f ca="1"/>
        <v>4.6800654745753993</v>
      </c>
      <c r="Q33" s="12">
        <f ca="1"/>
        <v>4.7026664332900481</v>
      </c>
      <c r="S33" s="9"/>
      <c r="T33" s="14"/>
      <c r="U33" s="10">
        <f ca="1"/>
        <v>55317</v>
      </c>
      <c r="V33" s="11">
        <f ca="1"/>
        <v>14614</v>
      </c>
      <c r="W33" s="134">
        <f ca="1"/>
        <v>0.15281064164714769</v>
      </c>
      <c r="X33" s="12">
        <f ca="1"/>
        <v>4.6918903280505706</v>
      </c>
      <c r="Y33" s="133">
        <f ca="1"/>
        <v>4.7195155279587615</v>
      </c>
    </row>
    <row r="34" spans="2:26">
      <c r="B34" s="9" t="str">
        <v>AUD-IRSwap-20Y</v>
      </c>
      <c r="C34" s="132">
        <f ca="1"/>
        <v>5.6732500000000066</v>
      </c>
      <c r="D34" s="131">
        <f ca="1"/>
        <v>46183</v>
      </c>
      <c r="E34" s="11">
        <f ca="1"/>
        <v>5480</v>
      </c>
      <c r="F34" s="134">
        <f ca="1"/>
        <v>0.42105592959955984</v>
      </c>
      <c r="G34" s="12">
        <f ca="1"/>
        <v>5.7613358708428652</v>
      </c>
      <c r="H34" s="133">
        <f ca="1"/>
        <v>5.8030270331213458</v>
      </c>
      <c r="J34" s="9"/>
      <c r="K34" s="14"/>
      <c r="L34" s="10"/>
      <c r="M34" s="11"/>
      <c r="N34" s="134"/>
      <c r="O34" s="12"/>
      <c r="P34" s="133"/>
      <c r="Q34" s="12"/>
      <c r="R34" s="32" t="s">
        <v>54</v>
      </c>
      <c r="S34" s="9"/>
      <c r="T34" s="14"/>
      <c r="U34" s="10"/>
      <c r="V34" s="11"/>
      <c r="W34" s="134"/>
      <c r="X34" s="12"/>
      <c r="Y34" s="133"/>
    </row>
    <row r="35" spans="2:26">
      <c r="B35" s="9" t="str">
        <v>AUD-IRSwap-25Y</v>
      </c>
      <c r="C35" s="132">
        <f ca="1"/>
        <v>5.5332500000000069</v>
      </c>
      <c r="D35" s="131">
        <f ca="1"/>
        <v>48009</v>
      </c>
      <c r="E35" s="11">
        <f ca="1"/>
        <v>7306</v>
      </c>
      <c r="F35" s="134">
        <f ca="1"/>
        <v>0.32590672475900745</v>
      </c>
      <c r="G35" s="12">
        <f ca="1"/>
        <v>5.6011166371241101</v>
      </c>
      <c r="H35" s="133">
        <f ca="1"/>
        <v>5.6405159569642729</v>
      </c>
      <c r="J35" s="9"/>
      <c r="K35" s="14"/>
      <c r="L35" s="10"/>
      <c r="M35" s="11"/>
      <c r="N35" s="134"/>
      <c r="O35" s="12"/>
      <c r="P35" s="133"/>
      <c r="Q35" s="12"/>
      <c r="R35" s="32" t="s">
        <v>54</v>
      </c>
      <c r="S35" s="9"/>
      <c r="T35" s="14"/>
      <c r="U35" s="10"/>
      <c r="V35" s="11"/>
      <c r="W35" s="134"/>
      <c r="X35" s="12"/>
      <c r="Y35" s="133"/>
    </row>
    <row r="36" spans="2:26">
      <c r="B36" s="9" t="str">
        <v>AUD-IRSwap-30Y</v>
      </c>
      <c r="C36" s="132">
        <f ca="1"/>
        <v>5.3895833333333405</v>
      </c>
      <c r="D36" s="131">
        <f ca="1"/>
        <v>49836</v>
      </c>
      <c r="E36" s="11">
        <f ca="1"/>
        <v>9133</v>
      </c>
      <c r="F36" s="134">
        <f ca="1"/>
        <v>0.26242783530216568</v>
      </c>
      <c r="G36" s="12">
        <f ca="1"/>
        <v>5.3464293110305716</v>
      </c>
      <c r="H36" s="133">
        <f ca="1"/>
        <v>5.3823194190088071</v>
      </c>
      <c r="J36" s="9"/>
      <c r="K36" s="14"/>
      <c r="L36" s="10"/>
      <c r="M36" s="11"/>
      <c r="N36" s="134"/>
      <c r="O36" s="12"/>
      <c r="P36" s="133"/>
      <c r="Q36" s="12"/>
      <c r="S36" s="9"/>
      <c r="T36" s="14"/>
      <c r="U36" s="10"/>
      <c r="V36" s="11"/>
      <c r="W36" s="134"/>
      <c r="X36" s="12"/>
      <c r="Y36" s="133"/>
    </row>
    <row r="37" spans="2:26">
      <c r="B37" s="9" t="str">
        <v>AUD-IRSwap-40Y</v>
      </c>
      <c r="C37" s="132">
        <f ca="1"/>
        <v>5.182427137617962</v>
      </c>
      <c r="D37" s="131">
        <f ca="1"/>
        <v>51663</v>
      </c>
      <c r="E37" s="11">
        <f ca="1"/>
        <v>10960</v>
      </c>
      <c r="F37" s="134">
        <f ca="1"/>
        <v>0.21773873692292317</v>
      </c>
      <c r="G37" s="12">
        <f ca="1"/>
        <v>5.076894864320348</v>
      </c>
      <c r="H37" s="133">
        <f ca="1"/>
        <v>5.1092501833711026</v>
      </c>
      <c r="J37" s="9"/>
      <c r="K37" s="14"/>
      <c r="L37" s="10"/>
      <c r="M37" s="11"/>
      <c r="N37" s="134"/>
      <c r="O37" s="12"/>
      <c r="P37" s="133"/>
      <c r="Q37" s="12"/>
      <c r="S37" s="9"/>
      <c r="T37" s="14"/>
      <c r="U37" s="10"/>
      <c r="V37" s="11"/>
      <c r="W37" s="134"/>
      <c r="X37" s="12"/>
      <c r="Y37" s="133"/>
    </row>
    <row r="38" spans="2:26">
      <c r="B38" s="9"/>
      <c r="C38" s="132"/>
      <c r="D38" s="131">
        <f ca="1"/>
        <v>55317</v>
      </c>
      <c r="E38" s="11">
        <f ca="1"/>
        <v>14614</v>
      </c>
      <c r="F38" s="134">
        <f ca="1"/>
        <v>0.1538329218317076</v>
      </c>
      <c r="G38" s="12">
        <f ca="1"/>
        <v>4.6752373674110848</v>
      </c>
      <c r="H38" s="133">
        <f ca="1"/>
        <v>4.7026664332900872</v>
      </c>
      <c r="J38" s="9"/>
      <c r="K38" s="14"/>
      <c r="L38" s="10"/>
      <c r="M38" s="11"/>
      <c r="N38" s="134"/>
      <c r="O38" s="12"/>
      <c r="P38" s="133"/>
      <c r="Q38" s="12"/>
      <c r="S38" s="9"/>
      <c r="T38" s="14"/>
      <c r="U38" s="10"/>
      <c r="V38" s="11"/>
      <c r="W38" s="134"/>
      <c r="X38" s="12"/>
      <c r="Y38" s="133"/>
    </row>
    <row r="39" spans="2:26">
      <c r="B39" s="44"/>
      <c r="C39" s="45"/>
      <c r="D39" s="39"/>
      <c r="E39" s="40"/>
      <c r="F39" s="41"/>
      <c r="G39" s="41"/>
      <c r="H39" s="41"/>
      <c r="J39" s="42"/>
      <c r="K39" s="43"/>
      <c r="L39" s="44"/>
      <c r="M39" s="44"/>
      <c r="N39" s="50"/>
      <c r="O39" s="50"/>
      <c r="P39" s="50"/>
      <c r="Q39" s="50"/>
    </row>
    <row r="40" spans="2:26">
      <c r="B40" s="32" t="s">
        <v>84</v>
      </c>
      <c r="J40" s="32" t="s">
        <v>84</v>
      </c>
      <c r="S40" s="32" t="s">
        <v>84</v>
      </c>
    </row>
    <row r="41" spans="2:26">
      <c r="B41" s="84" t="s">
        <v>61</v>
      </c>
      <c r="C41" s="80" t="str">
        <f>MarketPrefix&amp;"TraderMid"</f>
        <v>TestTraderMid</v>
      </c>
      <c r="D41" s="85"/>
      <c r="E41" s="86"/>
      <c r="F41" s="87"/>
      <c r="G41" s="87"/>
      <c r="H41" s="87"/>
      <c r="I41" s="32" t="s">
        <v>54</v>
      </c>
      <c r="J41" s="112" t="s">
        <v>61</v>
      </c>
      <c r="K41" s="114" t="str">
        <f>MarketPrefix&amp;"TraderMid"</f>
        <v>TestTraderMid</v>
      </c>
      <c r="L41" s="84"/>
      <c r="M41" s="84"/>
      <c r="N41" s="83"/>
      <c r="O41" s="83"/>
      <c r="P41" s="83"/>
      <c r="Q41" s="83"/>
      <c r="S41" s="88" t="s">
        <v>61</v>
      </c>
      <c r="T41" s="114" t="str">
        <f>MarketPrefix&amp;"TraderMid"</f>
        <v>TestTraderMid</v>
      </c>
      <c r="U41" s="88"/>
      <c r="V41" s="88"/>
      <c r="W41" s="121"/>
      <c r="X41" s="121"/>
      <c r="Y41" s="121"/>
      <c r="Z41" s="32" t="s">
        <v>54</v>
      </c>
    </row>
    <row r="42" spans="2:26">
      <c r="B42" s="88" t="s">
        <v>56</v>
      </c>
      <c r="C42" s="80" t="str">
        <f ca="1">_xll.qIRcurveZeroBankReval(C41&amp;".3M.AUD","AUD",ValueDate,C12:C15,C16:C23,RIGHT(B16:B23,2),C24:C37)</f>
        <v>TestTraderMid.3M.AUD|[Curve Publisher 1f.xlsm]Trader!$C$42#12</v>
      </c>
      <c r="D42" s="89"/>
      <c r="E42" s="90"/>
      <c r="F42" s="91"/>
      <c r="G42" s="91"/>
      <c r="H42" s="91"/>
      <c r="I42" s="32" t="s">
        <v>54</v>
      </c>
      <c r="J42" s="88" t="s">
        <v>56</v>
      </c>
      <c r="K42" s="120" t="str">
        <f ca="1">_xll.qIRcurveSCBasisReval(Main!E11&amp;"TraderMid"&amp;".1M.AUD","AUD",$C$42,"1v3","Synthetic",K12:K32)</f>
        <v>TestTraderMid.1M.AUD|[Curve Publisher 1f.xlsm]Trader!$K$42#13</v>
      </c>
      <c r="L42" s="88"/>
      <c r="M42" s="88"/>
      <c r="N42" s="121"/>
      <c r="O42" s="121"/>
      <c r="P42" s="121"/>
      <c r="Q42" s="121"/>
      <c r="R42" s="32" t="s">
        <v>54</v>
      </c>
      <c r="S42" s="88" t="s">
        <v>56</v>
      </c>
      <c r="T42" s="88" t="str">
        <f ca="1">_xll.qIRcurveSCBasisReval(C41&amp;".6M.AUD","AUD",$C$42,"3v6","Synthetic",T12:T32)</f>
        <v>TestTraderMid.6M.AUD|[Curve Publisher 1f.xlsm]Trader!$T$42#14</v>
      </c>
      <c r="U42" s="88"/>
      <c r="V42" s="88"/>
      <c r="W42" s="121"/>
      <c r="X42" s="121"/>
      <c r="Y42" s="121"/>
      <c r="Z42" s="32" t="s">
        <v>54</v>
      </c>
    </row>
    <row r="46" spans="2:26">
      <c r="B46" s="44"/>
      <c r="C46" s="24"/>
      <c r="K46" s="48"/>
    </row>
    <row r="72" ht="22.5" customHeight="1"/>
    <row r="73" ht="22.5" customHeight="1"/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/>
  <dimension ref="B1:AA62"/>
  <sheetViews>
    <sheetView showGridLines="0" topLeftCell="K22" workbookViewId="0">
      <selection activeCell="A10" sqref="A10"/>
    </sheetView>
  </sheetViews>
  <sheetFormatPr defaultRowHeight="15"/>
  <cols>
    <col min="1" max="1" width="3.7109375" style="17" customWidth="1"/>
    <col min="2" max="4" width="20.7109375" style="17" customWidth="1"/>
    <col min="5" max="5" width="7.7109375" style="17" customWidth="1"/>
    <col min="6" max="6" width="20.7109375" style="17" customWidth="1"/>
    <col min="7" max="8" width="20.7109375" style="18" customWidth="1"/>
    <col min="9" max="9" width="7.7109375" style="17" customWidth="1"/>
    <col min="10" max="12" width="20.7109375" style="17" customWidth="1"/>
    <col min="13" max="13" width="7.7109375" style="17" customWidth="1"/>
    <col min="14" max="16" width="20.7109375" style="17" customWidth="1"/>
    <col min="17" max="17" width="7.7109375" style="17" customWidth="1"/>
    <col min="18" max="19" width="20.7109375" style="17" customWidth="1"/>
    <col min="20" max="16384" width="9.140625" style="17"/>
  </cols>
  <sheetData>
    <row r="1" spans="2:27" ht="0.95" customHeight="1"/>
    <row r="2" spans="2:27" s="60" customFormat="1" ht="24.95" customHeight="1">
      <c r="B2" s="61" t="s">
        <v>66</v>
      </c>
      <c r="C2" s="53" t="str">
        <f>IF(Publish_LPM="Off","Publishing is OFF","")</f>
        <v/>
      </c>
      <c r="D2" s="61"/>
      <c r="E2" s="61"/>
      <c r="F2" s="61"/>
      <c r="G2" s="68"/>
      <c r="H2" s="68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</row>
    <row r="5" spans="2:27">
      <c r="B5" s="99" t="s">
        <v>75</v>
      </c>
      <c r="C5" s="99"/>
      <c r="D5" s="99"/>
      <c r="F5" s="99" t="s">
        <v>76</v>
      </c>
      <c r="G5" s="99"/>
      <c r="H5" s="99"/>
      <c r="J5" s="99" t="s">
        <v>79</v>
      </c>
      <c r="K5" s="99"/>
      <c r="L5" s="99"/>
      <c r="N5" s="99" t="s">
        <v>80</v>
      </c>
      <c r="O5" s="99"/>
      <c r="P5" s="99"/>
      <c r="R5" s="99" t="s">
        <v>81</v>
      </c>
      <c r="S5" s="99"/>
      <c r="T5" s="99"/>
      <c r="U5" s="99"/>
      <c r="V5" s="99"/>
      <c r="W5" s="99"/>
      <c r="X5" s="99"/>
      <c r="Y5" s="99"/>
      <c r="Z5" s="99"/>
      <c r="AA5" s="99"/>
    </row>
    <row r="6" spans="2:27">
      <c r="B6" s="17" t="s">
        <v>77</v>
      </c>
      <c r="C6" s="2" t="str">
        <f t="array" aca="1" ref="C6:C7" ca="1">IF(Publish_LPM="Off","Publishing is OFF",_xll.qComWebPublishCurve(C48&amp;"."&amp;C45&amp;C46&amp;"."&amp;C44&amp;"."&amp;C50&amp;".SydSwapDesk",B43:C51,B38:C40,B10:D34,WebService))</f>
        <v>TestLive.AUDSwap.6M.Official.SydSwapDesk</v>
      </c>
      <c r="D6" s="13"/>
      <c r="F6" s="17" t="s">
        <v>77</v>
      </c>
      <c r="G6" s="2" t="str">
        <f t="array" aca="1" ref="G6:G7" ca="1">IF(Publish_LPM="Off","Publishing is OFF",_xll.qComWebPublishCurve(G48&amp;"."&amp;G43&amp;"."&amp;G45&amp;"-"&amp;G46&amp;"-"&amp;G44,F43:G51,F38:G40,F10:H34,WebService))</f>
        <v>TestLive.RateCurve.AUD-BondFuturesPay-310Y</v>
      </c>
      <c r="H6" s="20"/>
      <c r="J6" s="17" t="s">
        <v>77</v>
      </c>
      <c r="K6" s="2" t="str">
        <f t="array" aca="1" ref="K6:K7" ca="1">IF(Publish_LPM="Off","Publishing is OFF",_xll.qComWebPublishCurve(K48&amp;"."&amp;K43&amp;"."&amp;K45&amp;"-"&amp;K46&amp;"-"&amp;K44,J43:K51,J38:K40,J10:L34,WebService))</f>
        <v>TestLive.RateCurve.AUD-BondFuturesRec-310Y</v>
      </c>
      <c r="N6" s="17" t="s">
        <v>77</v>
      </c>
      <c r="O6" s="28" t="e">
        <f t="array" aca="1" ref="O6:O7" ca="1">IF(Publish_LPM="Off","Publishing is OFF",_xll.qComWebPublishLPMCapsFloors(O47&amp;"."&amp;O43&amp;"."&amp;O45&amp;"-"&amp;O46&amp;"-"&amp;O44,N43:O55,N38:O40,N9:P34,B43:C50,WebService))</f>
        <v>#VALUE!</v>
      </c>
      <c r="R6" s="17" t="s">
        <v>77</v>
      </c>
      <c r="S6" s="21" t="str">
        <f t="array" aca="1" ref="S6:S7" ca="1">IF(Publish_LPM="Off","Publishing is OFF",_xll.qComWebPublishLPMSwaptions(S47&amp;"."&amp;S43&amp;"."&amp;S45&amp;"-"&amp;S46&amp;"-"&amp;S44,R43:S50,R38:S40,R9:AA34,B43:C50,WebService))</f>
        <v>TestLPM.LPMSwaptionCurve.Swaption-SydSPU-AUD</v>
      </c>
    </row>
    <row r="7" spans="2:27">
      <c r="B7" s="17" t="s">
        <v>57</v>
      </c>
      <c r="C7" s="71">
        <f ca="1"/>
        <v>40703.580400347222</v>
      </c>
      <c r="D7" s="13"/>
      <c r="F7" s="17" t="s">
        <v>57</v>
      </c>
      <c r="G7" s="71">
        <f ca="1"/>
        <v>40703.580422754632</v>
      </c>
      <c r="J7" s="17" t="s">
        <v>57</v>
      </c>
      <c r="K7" s="71">
        <f ca="1"/>
        <v>40703.580401423613</v>
      </c>
      <c r="N7" s="17" t="s">
        <v>57</v>
      </c>
      <c r="O7" s="71" t="e">
        <f ca="1"/>
        <v>#VALUE!</v>
      </c>
      <c r="R7" s="17" t="s">
        <v>57</v>
      </c>
      <c r="S7" s="71">
        <f ca="1"/>
        <v>40703.58045908565</v>
      </c>
    </row>
    <row r="8" spans="2:27">
      <c r="B8" s="3"/>
      <c r="C8" s="64"/>
      <c r="D8" s="13"/>
      <c r="F8" s="67"/>
    </row>
    <row r="9" spans="2:27">
      <c r="B9" s="2" t="s">
        <v>11</v>
      </c>
      <c r="C9" s="4" t="s">
        <v>12</v>
      </c>
      <c r="D9" s="4" t="s">
        <v>13</v>
      </c>
      <c r="F9" s="2" t="s">
        <v>11</v>
      </c>
      <c r="G9" s="4" t="s">
        <v>12</v>
      </c>
      <c r="H9" s="4" t="s">
        <v>13</v>
      </c>
      <c r="J9" s="2" t="s">
        <v>11</v>
      </c>
      <c r="K9" s="4" t="s">
        <v>12</v>
      </c>
      <c r="L9" s="4" t="s">
        <v>13</v>
      </c>
      <c r="N9" s="19" t="s">
        <v>42</v>
      </c>
      <c r="O9" s="18" t="s">
        <v>43</v>
      </c>
      <c r="P9" s="18" t="s">
        <v>44</v>
      </c>
      <c r="R9" s="17">
        <f t="array" ref="R9:AA19">[1]!PPDsurface</f>
        <v>0</v>
      </c>
      <c r="S9" s="103" t="str">
        <v>1Y</v>
      </c>
      <c r="T9" s="103" t="str">
        <v>2Y</v>
      </c>
      <c r="U9" s="103" t="str">
        <v>3Y</v>
      </c>
      <c r="V9" s="103" t="str">
        <v>4Y</v>
      </c>
      <c r="W9" s="103" t="str">
        <v>5Y</v>
      </c>
      <c r="X9" s="103" t="str">
        <v>7Y</v>
      </c>
      <c r="Y9" s="103" t="str">
        <v>10Y</v>
      </c>
      <c r="Z9" s="103" t="str">
        <v>15Y</v>
      </c>
      <c r="AA9" s="103" t="str">
        <v>20Y</v>
      </c>
    </row>
    <row r="10" spans="2:27">
      <c r="B10" s="97" t="str">
        <f t="array" ref="B10:B34">[1]!Names</f>
        <v>AUD-Deposit-1D</v>
      </c>
      <c r="C10" s="14">
        <f t="array" ref="C10:C34" ca="1">ROUND([1]!Rates,8)</f>
        <v>4.7500000000000001E-2</v>
      </c>
      <c r="D10" s="98">
        <v>0</v>
      </c>
      <c r="F10" s="97" t="str">
        <f t="array" ref="F10:F11">[1]!FuturesNames</f>
        <v>AUD-IRFuture-IR-U1</v>
      </c>
      <c r="G10" s="14">
        <f t="array" ref="G10:G11" ca="1">[1]!YTTpay</f>
        <v>4.8100000000000025E-2</v>
      </c>
      <c r="H10" s="98">
        <v>0</v>
      </c>
      <c r="J10" s="97" t="str">
        <f t="array" ref="J10:J11">[1]!FuturesNames</f>
        <v>AUD-IRFuture-IR-U1</v>
      </c>
      <c r="K10" s="14">
        <f t="array" ref="K10:K11" ca="1">[1]!YTTrec</f>
        <v>4.8050000000000065E-2</v>
      </c>
      <c r="L10" s="98">
        <v>0</v>
      </c>
      <c r="N10" s="100" t="str">
        <f t="array" ref="N10:N13" ca="1">[1]!Expiries</f>
        <v>85d</v>
      </c>
      <c r="O10" s="101">
        <f t="array" ref="O10:O13">[1]!PPDs</f>
        <v>4.2</v>
      </c>
      <c r="P10" s="102" t="str">
        <f>[1]CapFloor!F9</f>
        <v>ETO</v>
      </c>
      <c r="R10" s="31" t="str">
        <v>1M</v>
      </c>
      <c r="S10" s="104">
        <f ca="1"/>
        <v>3.9997779109954172</v>
      </c>
      <c r="T10" s="104">
        <f ca="1"/>
        <v>4.4996915434188329</v>
      </c>
      <c r="U10" s="104">
        <f ca="1"/>
        <v>4.6996579624938839</v>
      </c>
      <c r="V10" s="104">
        <f ca="1"/>
        <v>4.6996834489247021</v>
      </c>
      <c r="W10" s="104">
        <f ca="1"/>
        <v>4.6996949862371578</v>
      </c>
      <c r="X10" s="104">
        <f ca="1"/>
        <v>4.6997129258917862</v>
      </c>
      <c r="Y10" s="104">
        <f ca="1"/>
        <v>4.649732760747451</v>
      </c>
      <c r="Z10" s="104">
        <f ca="1"/>
        <v>4.6497422247190832</v>
      </c>
      <c r="AA10" s="104">
        <f ca="1"/>
        <v>4.6497331682984289</v>
      </c>
    </row>
    <row r="11" spans="2:27">
      <c r="B11" s="97" t="str">
        <v>AUD-Deposit-1M</v>
      </c>
      <c r="C11" s="14">
        <f ca="1"/>
        <v>4.8000000000000001E-2</v>
      </c>
      <c r="D11" s="98">
        <v>0</v>
      </c>
      <c r="F11" s="97" t="str">
        <v>AUD-IRFuture-IR-Z1</v>
      </c>
      <c r="G11" s="14">
        <f ca="1"/>
        <v>5.1850000000000021E-2</v>
      </c>
      <c r="H11" s="98">
        <v>0</v>
      </c>
      <c r="J11" s="97" t="str">
        <v>AUD-IRFuture-IR-Z1</v>
      </c>
      <c r="K11" s="14">
        <f ca="1"/>
        <v>5.1800000000000068E-2</v>
      </c>
      <c r="L11" s="98">
        <v>0</v>
      </c>
      <c r="N11" s="100" t="str">
        <f ca="1"/>
        <v>176d</v>
      </c>
      <c r="O11" s="101">
        <v>4.4000000000000004</v>
      </c>
      <c r="P11" s="102" t="str">
        <f>[1]CapFloor!F10</f>
        <v>ETO</v>
      </c>
      <c r="R11" s="31" t="str">
        <v>2M</v>
      </c>
      <c r="S11" s="104">
        <f ca="1"/>
        <v>4.0995216574875322</v>
      </c>
      <c r="T11" s="104">
        <f ca="1"/>
        <v>4.599341793698291</v>
      </c>
      <c r="U11" s="104">
        <f ca="1"/>
        <v>4.7992724820904069</v>
      </c>
      <c r="V11" s="104">
        <f ca="1"/>
        <v>4.7993264551173738</v>
      </c>
      <c r="W11" s="104">
        <f ca="1"/>
        <v>4.7993512899502848</v>
      </c>
      <c r="X11" s="104">
        <f ca="1"/>
        <v>4.7993896714728805</v>
      </c>
      <c r="Y11" s="104">
        <f ca="1"/>
        <v>4.7494313920318678</v>
      </c>
      <c r="Z11" s="104">
        <f ca="1"/>
        <v>4.7494514151015963</v>
      </c>
      <c r="AA11" s="104">
        <f ca="1"/>
        <v>4.7494318776429267</v>
      </c>
    </row>
    <row r="12" spans="2:27">
      <c r="B12" s="97" t="str">
        <v>AUD-Deposit-2M</v>
      </c>
      <c r="C12" s="14">
        <f ca="1"/>
        <v>4.9000000000000002E-2</v>
      </c>
      <c r="D12" s="98">
        <v>0</v>
      </c>
      <c r="F12" s="97"/>
      <c r="G12" s="14"/>
      <c r="H12" s="98"/>
      <c r="J12" s="97"/>
      <c r="K12" s="14"/>
      <c r="L12" s="98"/>
      <c r="N12" s="100" t="str">
        <f ca="1"/>
        <v>267d</v>
      </c>
      <c r="O12" s="101">
        <v>5.5</v>
      </c>
      <c r="P12" s="102" t="str">
        <f>[1]CapFloor!F11</f>
        <v>ETO</v>
      </c>
      <c r="R12" s="31" t="str">
        <v>3M</v>
      </c>
      <c r="S12" s="104">
        <f ca="1"/>
        <v>4.4990531261108861</v>
      </c>
      <c r="T12" s="104">
        <f ca="1"/>
        <v>5.0986628886346557</v>
      </c>
      <c r="U12" s="104">
        <f ca="1"/>
        <v>5.0987036034172828</v>
      </c>
      <c r="V12" s="104">
        <f ca="1"/>
        <v>5.0987886921174121</v>
      </c>
      <c r="W12" s="104">
        <f ca="1"/>
        <v>5.0988341416861864</v>
      </c>
      <c r="X12" s="104">
        <f ca="1"/>
        <v>5.0989037834905284</v>
      </c>
      <c r="Y12" s="104">
        <f ca="1"/>
        <v>5.0489768206441408</v>
      </c>
      <c r="Z12" s="104">
        <f ca="1"/>
        <v>5.0490127225004375</v>
      </c>
      <c r="AA12" s="104">
        <f ca="1"/>
        <v>5.0489770863916359</v>
      </c>
    </row>
    <row r="13" spans="2:27">
      <c r="B13" s="97" t="str">
        <v>AUD-Deposit-88D</v>
      </c>
      <c r="C13" s="14">
        <f ca="1"/>
        <v>4.99E-2</v>
      </c>
      <c r="D13" s="98">
        <v>0</v>
      </c>
      <c r="F13" s="97"/>
      <c r="G13" s="14"/>
      <c r="H13" s="98"/>
      <c r="J13" s="97"/>
      <c r="K13" s="14"/>
      <c r="L13" s="98"/>
      <c r="N13" s="100" t="str">
        <f ca="1"/>
        <v>358d</v>
      </c>
      <c r="O13" s="101">
        <v>5.8100000000000005</v>
      </c>
      <c r="P13" s="102" t="str">
        <f>[1]CapFloor!F12</f>
        <v>ETO</v>
      </c>
      <c r="R13" s="31" t="str">
        <v>6M</v>
      </c>
      <c r="S13" s="104">
        <f ca="1"/>
        <v>5.1971240503458862</v>
      </c>
      <c r="T13" s="104">
        <f ca="1"/>
        <v>5.2970448870762388</v>
      </c>
      <c r="U13" s="104">
        <f ca="1"/>
        <v>5.3969754813158941</v>
      </c>
      <c r="V13" s="104">
        <f ca="1"/>
        <v>5.3972032724410193</v>
      </c>
      <c r="W13" s="104">
        <f ca="1"/>
        <v>5.3973030296307885</v>
      </c>
      <c r="X13" s="104">
        <f ca="1"/>
        <v>5.3475136228176883</v>
      </c>
      <c r="Y13" s="104">
        <f ca="1"/>
        <v>5.1977953914817014</v>
      </c>
      <c r="Z13" s="104">
        <f ca="1"/>
        <v>5.1978510570600021</v>
      </c>
      <c r="AA13" s="104">
        <f ca="1"/>
        <v>5.197765702392835</v>
      </c>
    </row>
    <row r="14" spans="2:27">
      <c r="B14" s="97" t="str">
        <v>AUD-IRFuture-IR-U1</v>
      </c>
      <c r="C14" s="14">
        <f ca="1"/>
        <v>4.965E-2</v>
      </c>
      <c r="D14" s="98">
        <v>0</v>
      </c>
      <c r="F14" s="97"/>
      <c r="G14" s="14"/>
      <c r="H14" s="98"/>
      <c r="J14" s="97"/>
      <c r="K14" s="14"/>
      <c r="L14" s="98"/>
      <c r="N14" s="100" t="str">
        <f t="array" ref="N14:N23">[1]!Expiries2</f>
        <v>2Y</v>
      </c>
      <c r="O14" s="101">
        <f t="array" ref="O14:O23">[1]!PPDs2</f>
        <v>5.94</v>
      </c>
      <c r="P14" s="102" t="str">
        <f>[1]CapFloor!F14</f>
        <v>Cap/Floor</v>
      </c>
      <c r="R14" s="31" t="str">
        <v>1Y</v>
      </c>
      <c r="S14" s="104">
        <f ca="1"/>
        <v>5.822149696270456</v>
      </c>
      <c r="T14" s="104">
        <f ca="1"/>
        <v>5.9916848785566028</v>
      </c>
      <c r="U14" s="104">
        <f ca="1"/>
        <v>5.9421906327929133</v>
      </c>
      <c r="V14" s="104">
        <f ca="1"/>
        <v>5.873060995622482</v>
      </c>
      <c r="W14" s="104">
        <f ca="1"/>
        <v>5.8134931838593245</v>
      </c>
      <c r="X14" s="104">
        <f ca="1"/>
        <v>5.6642426699914203</v>
      </c>
      <c r="Y14" s="104">
        <f ca="1"/>
        <v>5.4948945119958577</v>
      </c>
      <c r="Z14" s="104">
        <f ca="1"/>
        <v>5.4949634782144914</v>
      </c>
      <c r="AA14" s="104">
        <f ca="1"/>
        <v>5.494735933236802</v>
      </c>
    </row>
    <row r="15" spans="2:27">
      <c r="B15" s="97" t="str">
        <v>AUD-IRFuture-IR-Z1</v>
      </c>
      <c r="C15" s="14">
        <f ca="1"/>
        <v>4.9950000000000001E-2</v>
      </c>
      <c r="D15" s="98">
        <v>0</v>
      </c>
      <c r="F15" s="97"/>
      <c r="G15" s="14"/>
      <c r="H15" s="98"/>
      <c r="J15" s="97"/>
      <c r="K15" s="14"/>
      <c r="L15" s="98"/>
      <c r="N15" s="100" t="str">
        <v>3Y</v>
      </c>
      <c r="O15" s="101">
        <v>6.25</v>
      </c>
      <c r="P15" s="102" t="str">
        <f>[1]CapFloor!F15</f>
        <v>Cap/Floor</v>
      </c>
      <c r="R15" s="31" t="str">
        <v>2Y</v>
      </c>
      <c r="S15" s="104">
        <f ca="1"/>
        <v>6.3804382100848933</v>
      </c>
      <c r="T15" s="104">
        <f ca="1"/>
        <v>6.2821211055890007</v>
      </c>
      <c r="U15" s="104">
        <f ca="1"/>
        <v>6.1340597224858859</v>
      </c>
      <c r="V15" s="104">
        <f ca="1"/>
        <v>6.0061361003708269</v>
      </c>
      <c r="W15" s="104">
        <f ca="1"/>
        <v>5.8873008741282344</v>
      </c>
      <c r="X15" s="104">
        <f ca="1"/>
        <v>5.7385030490667051</v>
      </c>
      <c r="Y15" s="104">
        <f ca="1"/>
        <v>5.4901697919018968</v>
      </c>
      <c r="Z15" s="104">
        <f ca="1"/>
        <v>5.4900574911036655</v>
      </c>
      <c r="AA15" s="104">
        <f ca="1"/>
        <v>5.4895039781885764</v>
      </c>
    </row>
    <row r="16" spans="2:27">
      <c r="B16" s="97" t="str">
        <v>AUD-IRFuture-IR-H2</v>
      </c>
      <c r="C16" s="14">
        <f ca="1"/>
        <v>5.0349999999999999E-2</v>
      </c>
      <c r="D16" s="98">
        <v>0</v>
      </c>
      <c r="F16" s="97"/>
      <c r="G16" s="14"/>
      <c r="H16" s="98"/>
      <c r="J16" s="97"/>
      <c r="K16" s="14"/>
      <c r="L16" s="98"/>
      <c r="N16" s="100" t="str">
        <v>4Y</v>
      </c>
      <c r="O16" s="101">
        <v>6.2</v>
      </c>
      <c r="P16" s="102" t="str">
        <f>[1]CapFloor!F16</f>
        <v>Cap/Floor</v>
      </c>
      <c r="R16" s="31" t="str">
        <v>3Y</v>
      </c>
      <c r="S16" s="104">
        <f ca="1"/>
        <v>6.1261527325648419</v>
      </c>
      <c r="T16" s="104">
        <f ca="1"/>
        <v>6.0282534816076403</v>
      </c>
      <c r="U16" s="104">
        <f ca="1"/>
        <v>5.880509310052318</v>
      </c>
      <c r="V16" s="104">
        <f ca="1"/>
        <v>5.7826256308768258</v>
      </c>
      <c r="W16" s="104">
        <f ca="1"/>
        <v>5.6836692768831707</v>
      </c>
      <c r="X16" s="104">
        <f ca="1"/>
        <v>5.5846435953588625</v>
      </c>
      <c r="Y16" s="104">
        <f ca="1"/>
        <v>5.4360559606506085</v>
      </c>
      <c r="Z16" s="104">
        <f ca="1"/>
        <v>5.4356022211566852</v>
      </c>
      <c r="AA16" s="104">
        <f ca="1"/>
        <v>5.43464389600895</v>
      </c>
    </row>
    <row r="17" spans="2:27">
      <c r="B17" s="97" t="str">
        <v>AUD-IRFuture-IR-M2</v>
      </c>
      <c r="C17" s="14">
        <f ca="1"/>
        <v>5.0750000000000003E-2</v>
      </c>
      <c r="D17" s="98">
        <v>0</v>
      </c>
      <c r="F17" s="97"/>
      <c r="G17" s="14"/>
      <c r="H17" s="98"/>
      <c r="J17" s="97"/>
      <c r="K17" s="14"/>
      <c r="L17" s="98"/>
      <c r="N17" s="100" t="str">
        <v>5Y</v>
      </c>
      <c r="O17" s="101">
        <v>6.15</v>
      </c>
      <c r="P17" s="102" t="str">
        <f>[1]CapFloor!F17</f>
        <v>Cap/Floor</v>
      </c>
      <c r="R17" s="31" t="str">
        <v>5Y</v>
      </c>
      <c r="S17" s="104">
        <f ca="1"/>
        <v>5.8206011169820568</v>
      </c>
      <c r="T17" s="104">
        <f ca="1"/>
        <v>5.614202868963833</v>
      </c>
      <c r="U17" s="104">
        <f ca="1"/>
        <v>5.4760268494887248</v>
      </c>
      <c r="V17" s="104">
        <f ca="1"/>
        <v>5.4569415138559618</v>
      </c>
      <c r="W17" s="104">
        <f ca="1"/>
        <v>5.3778910773258035</v>
      </c>
      <c r="X17" s="104">
        <f ca="1"/>
        <v>5.3682344289047617</v>
      </c>
      <c r="Y17" s="104">
        <f ca="1"/>
        <v>5.348446740784965</v>
      </c>
      <c r="Z17" s="104">
        <f ca="1"/>
        <v>5.3467633936335774</v>
      </c>
      <c r="AA17" s="104">
        <f ca="1"/>
        <v>5.3447300143018115</v>
      </c>
    </row>
    <row r="18" spans="2:27">
      <c r="B18" s="97" t="str">
        <v>AUD-IRFuture-IR-U2</v>
      </c>
      <c r="C18" s="14">
        <f ca="1"/>
        <v>5.1200000000000002E-2</v>
      </c>
      <c r="D18" s="98">
        <v>0</v>
      </c>
      <c r="F18" s="97"/>
      <c r="G18" s="14"/>
      <c r="H18" s="98"/>
      <c r="J18" s="97"/>
      <c r="K18" s="14"/>
      <c r="L18" s="98"/>
      <c r="N18" s="100" t="str">
        <v>7Y</v>
      </c>
      <c r="O18" s="101">
        <v>5.98</v>
      </c>
      <c r="P18" s="102" t="str">
        <f>[1]CapFloor!F18</f>
        <v>Cap/Floor</v>
      </c>
      <c r="R18" s="31" t="str">
        <v>7Y</v>
      </c>
      <c r="S18" s="104">
        <f ca="1"/>
        <v>5.6135338842171869</v>
      </c>
      <c r="T18" s="104">
        <f ca="1"/>
        <v>5.4171074059938116</v>
      </c>
      <c r="U18" s="104">
        <f ca="1"/>
        <v>5.3679901668314027</v>
      </c>
      <c r="V18" s="104">
        <f ca="1"/>
        <v>5.3691561916383428</v>
      </c>
      <c r="W18" s="104">
        <f ca="1"/>
        <v>5.3694383935782453</v>
      </c>
      <c r="X18" s="104">
        <f ca="1"/>
        <v>5.349687100852762</v>
      </c>
      <c r="Y18" s="104">
        <f ca="1"/>
        <v>5.3189106718321311</v>
      </c>
      <c r="Z18" s="104">
        <f ca="1"/>
        <v>5.3159306903990862</v>
      </c>
      <c r="AA18" s="104">
        <f ca="1"/>
        <v>5.3126313559909422</v>
      </c>
    </row>
    <row r="19" spans="2:27">
      <c r="B19" s="97" t="str">
        <v>AUD-IRFuture-IR-Z2</v>
      </c>
      <c r="C19" s="14">
        <f ca="1"/>
        <v>5.1700000000000003E-2</v>
      </c>
      <c r="D19" s="98">
        <v>0</v>
      </c>
      <c r="F19" s="97"/>
      <c r="G19" s="14"/>
      <c r="H19" s="98"/>
      <c r="J19" s="97"/>
      <c r="K19" s="14"/>
      <c r="L19" s="98"/>
      <c r="N19" s="100" t="str">
        <v>10Y</v>
      </c>
      <c r="O19" s="101">
        <v>5.78</v>
      </c>
      <c r="P19" s="102" t="str">
        <f>[1]CapFloor!F19</f>
        <v>Cap/Floor</v>
      </c>
      <c r="R19" s="31" t="str">
        <v>10Y</v>
      </c>
      <c r="S19" s="104">
        <f ca="1"/>
        <v>5.4050377020422591</v>
      </c>
      <c r="T19" s="104">
        <f ca="1"/>
        <v>5.3568142139977253</v>
      </c>
      <c r="U19" s="104">
        <f ca="1"/>
        <v>5.307454728695884</v>
      </c>
      <c r="V19" s="104">
        <f ca="1"/>
        <v>5.3080599903685446</v>
      </c>
      <c r="W19" s="104">
        <f ca="1"/>
        <v>5.3080211664661521</v>
      </c>
      <c r="X19" s="104">
        <f ca="1"/>
        <v>5.3049728161122589</v>
      </c>
      <c r="Y19" s="104">
        <f ca="1"/>
        <v>5.3017580660616632</v>
      </c>
      <c r="Z19" s="104">
        <f ca="1"/>
        <v>5.2954803412764075</v>
      </c>
      <c r="AA19" s="104">
        <f ca="1"/>
        <v>5.2894784193001634</v>
      </c>
    </row>
    <row r="20" spans="2:27">
      <c r="B20" s="97" t="str">
        <v>AUD-IRFuture-IR-H3</v>
      </c>
      <c r="C20" s="14">
        <f ca="1"/>
        <v>5.2049999999999999E-2</v>
      </c>
      <c r="D20" s="98">
        <v>0</v>
      </c>
      <c r="F20" s="97"/>
      <c r="G20" s="14"/>
      <c r="H20" s="98"/>
      <c r="J20" s="97"/>
      <c r="K20" s="14"/>
      <c r="L20" s="98"/>
      <c r="N20" s="100" t="str">
        <v>15Y</v>
      </c>
      <c r="O20" s="101">
        <v>5.59</v>
      </c>
      <c r="P20" s="102" t="str">
        <f>[1]CapFloor!F20</f>
        <v>Cap/Floor</v>
      </c>
      <c r="R20" s="31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2:27">
      <c r="B21" s="97" t="str">
        <v>AUD-IRFuture-IR-M3</v>
      </c>
      <c r="C21" s="14">
        <f ca="1"/>
        <v>5.2449999999999997E-2</v>
      </c>
      <c r="D21" s="98">
        <v>0</v>
      </c>
      <c r="F21" s="97"/>
      <c r="G21" s="14"/>
      <c r="H21" s="98"/>
      <c r="J21" s="97"/>
      <c r="K21" s="14"/>
      <c r="L21" s="98"/>
      <c r="N21" s="100" t="str">
        <v>20Y</v>
      </c>
      <c r="O21" s="101">
        <v>5.59</v>
      </c>
      <c r="P21" s="102" t="str">
        <f>[1]CapFloor!F21</f>
        <v>Cap/Floor</v>
      </c>
      <c r="R21" s="31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2:27">
      <c r="B22" s="97" t="str">
        <v>AUD-IRSwap-3Y</v>
      </c>
      <c r="C22" s="14">
        <f ca="1"/>
        <v>5.1450000000000003E-2</v>
      </c>
      <c r="D22" s="98">
        <v>0</v>
      </c>
      <c r="F22" s="97"/>
      <c r="G22" s="14"/>
      <c r="H22" s="98"/>
      <c r="J22" s="97"/>
      <c r="K22" s="14"/>
      <c r="L22" s="98"/>
      <c r="N22" s="100" t="str">
        <v>25Y</v>
      </c>
      <c r="O22" s="101">
        <v>5.59</v>
      </c>
      <c r="P22" s="102" t="str">
        <f>[1]CapFloor!F22</f>
        <v>Cap/Floor</v>
      </c>
      <c r="R22" s="31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2:27">
      <c r="B23" s="97" t="str">
        <v>AUD-IRSwap-4Y</v>
      </c>
      <c r="C23" s="14">
        <f ca="1"/>
        <v>5.3475000000000002E-2</v>
      </c>
      <c r="D23" s="98">
        <v>0</v>
      </c>
      <c r="F23" s="97"/>
      <c r="G23" s="14"/>
      <c r="H23" s="98"/>
      <c r="J23" s="97"/>
      <c r="K23" s="14"/>
      <c r="L23" s="98"/>
      <c r="N23" s="100" t="str">
        <v>30Y</v>
      </c>
      <c r="O23" s="101">
        <v>5.59</v>
      </c>
      <c r="P23" s="102" t="str">
        <f>[1]CapFloor!F23</f>
        <v>Cap/Floor</v>
      </c>
      <c r="R23" s="31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2:27">
      <c r="B24" s="97" t="str">
        <v>AUD-IRSwap-5Y</v>
      </c>
      <c r="C24" s="14">
        <f ca="1"/>
        <v>5.45E-2</v>
      </c>
      <c r="D24" s="98">
        <v>0</v>
      </c>
      <c r="F24" s="97"/>
      <c r="G24" s="14"/>
      <c r="H24" s="98"/>
      <c r="J24" s="97"/>
      <c r="K24" s="14"/>
      <c r="L24" s="98"/>
      <c r="N24" s="100"/>
      <c r="O24" s="101"/>
      <c r="P24" s="102"/>
      <c r="R24" s="31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2:27">
      <c r="B25" s="97" t="str">
        <v>AUD-IRSwap-7Y</v>
      </c>
      <c r="C25" s="14">
        <f ca="1"/>
        <v>5.6250000000000001E-2</v>
      </c>
      <c r="D25" s="98">
        <v>0</v>
      </c>
      <c r="F25" s="97"/>
      <c r="G25" s="14"/>
      <c r="H25" s="98"/>
      <c r="J25" s="97"/>
      <c r="K25" s="14"/>
      <c r="L25" s="98"/>
      <c r="N25" s="100"/>
      <c r="O25" s="101"/>
      <c r="P25" s="102"/>
      <c r="R25" s="31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2:27">
      <c r="B26" s="97" t="str">
        <v>AUD-IRSwap-10Y</v>
      </c>
      <c r="C26" s="14">
        <f ca="1"/>
        <v>5.7375000000000002E-2</v>
      </c>
      <c r="D26" s="98">
        <v>0</v>
      </c>
      <c r="F26" s="97"/>
      <c r="G26" s="14"/>
      <c r="H26" s="98"/>
      <c r="J26" s="97"/>
      <c r="K26" s="14"/>
      <c r="L26" s="98"/>
      <c r="N26" s="100"/>
      <c r="O26" s="101"/>
      <c r="P26" s="102"/>
      <c r="R26" s="31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2:27">
      <c r="B27" s="97" t="str">
        <v>AUD-IRSwap-15Y</v>
      </c>
      <c r="C27" s="14">
        <f ca="1"/>
        <v>5.8700000000000002E-2</v>
      </c>
      <c r="D27" s="98">
        <v>0</v>
      </c>
      <c r="F27" s="97"/>
      <c r="G27" s="14"/>
      <c r="H27" s="98"/>
      <c r="J27" s="97"/>
      <c r="K27" s="14"/>
      <c r="L27" s="98"/>
      <c r="N27" s="100"/>
      <c r="O27" s="101"/>
      <c r="P27" s="102"/>
      <c r="R27" s="31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2:27">
      <c r="B28" s="97" t="str">
        <v>AUD-IRSwap-20Y</v>
      </c>
      <c r="C28" s="14">
        <f ca="1"/>
        <v>5.7974999999999999E-2</v>
      </c>
      <c r="D28" s="98">
        <v>0</v>
      </c>
      <c r="F28" s="97"/>
      <c r="G28" s="14"/>
      <c r="H28" s="98"/>
      <c r="J28" s="97"/>
      <c r="K28" s="14"/>
      <c r="L28" s="98"/>
      <c r="N28" s="100"/>
      <c r="O28" s="101"/>
      <c r="P28" s="102"/>
      <c r="R28" s="31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2:27">
      <c r="B29" s="97" t="str">
        <v>AUD-IRSwap-25Y</v>
      </c>
      <c r="C29" s="14">
        <f ca="1"/>
        <v>5.6575E-2</v>
      </c>
      <c r="D29" s="98">
        <v>0</v>
      </c>
      <c r="F29" s="97"/>
      <c r="G29" s="14"/>
      <c r="H29" s="98"/>
      <c r="J29" s="97"/>
      <c r="K29" s="14"/>
      <c r="L29" s="98"/>
      <c r="N29" s="100"/>
      <c r="O29" s="101"/>
      <c r="P29" s="102"/>
      <c r="R29" s="31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2:27">
      <c r="B30" s="97" t="str">
        <v>AUD-IRSwap-26Y</v>
      </c>
      <c r="C30" s="14">
        <f ca="1"/>
        <v>5.6285000000000002E-2</v>
      </c>
      <c r="D30" s="98">
        <v>0</v>
      </c>
      <c r="F30" s="97"/>
      <c r="G30" s="14"/>
      <c r="H30" s="98"/>
      <c r="J30" s="97"/>
      <c r="K30" s="14"/>
      <c r="L30" s="98"/>
      <c r="N30" s="100"/>
      <c r="O30" s="101"/>
      <c r="P30" s="102"/>
      <c r="R30" s="31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2:27">
      <c r="B31" s="97" t="str">
        <v>AUD-IRSwap-27Y</v>
      </c>
      <c r="C31" s="14">
        <f ca="1"/>
        <v>5.5995000000000003E-2</v>
      </c>
      <c r="D31" s="98">
        <v>0</v>
      </c>
      <c r="F31" s="97"/>
      <c r="G31" s="14"/>
      <c r="H31" s="98"/>
      <c r="J31" s="97"/>
      <c r="K31" s="14"/>
      <c r="L31" s="98"/>
      <c r="N31" s="100"/>
      <c r="O31" s="101"/>
      <c r="P31" s="102"/>
      <c r="R31" s="31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2:27">
      <c r="B32" s="97" t="str">
        <v>AUD-IRSwap-28Y</v>
      </c>
      <c r="C32" s="14">
        <f ca="1"/>
        <v>5.5704999999999998E-2</v>
      </c>
      <c r="D32" s="98">
        <v>0</v>
      </c>
      <c r="F32" s="97"/>
      <c r="G32" s="14"/>
      <c r="H32" s="98"/>
      <c r="J32" s="97"/>
      <c r="K32" s="14"/>
      <c r="L32" s="98"/>
      <c r="N32" s="70"/>
      <c r="O32" s="101"/>
      <c r="P32" s="102"/>
      <c r="R32" s="31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2:27">
      <c r="B33" s="97" t="str">
        <v>AUD-IRSwap-29Y</v>
      </c>
      <c r="C33" s="14">
        <f ca="1"/>
        <v>5.5414999999999999E-2</v>
      </c>
      <c r="D33" s="98">
        <v>0</v>
      </c>
      <c r="F33" s="97"/>
      <c r="G33" s="14"/>
      <c r="H33" s="98"/>
      <c r="J33" s="97"/>
      <c r="K33" s="14"/>
      <c r="L33" s="98"/>
      <c r="N33" s="70"/>
      <c r="O33" s="101"/>
      <c r="P33" s="102"/>
      <c r="R33" s="31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2:27">
      <c r="B34" s="97" t="str">
        <v>AUD-IRSwap-30Y</v>
      </c>
      <c r="C34" s="14">
        <f ca="1"/>
        <v>5.5125E-2</v>
      </c>
      <c r="D34" s="98">
        <v>0</v>
      </c>
      <c r="F34" s="97"/>
      <c r="G34" s="14"/>
      <c r="H34" s="98"/>
      <c r="J34" s="97"/>
      <c r="K34" s="14"/>
      <c r="L34" s="98"/>
      <c r="N34" s="70"/>
      <c r="O34" s="101"/>
      <c r="P34" s="102"/>
      <c r="R34" s="31"/>
      <c r="S34" s="104"/>
      <c r="T34" s="104"/>
      <c r="U34" s="104"/>
      <c r="V34" s="104"/>
      <c r="W34" s="104"/>
      <c r="X34" s="104"/>
      <c r="Y34" s="104"/>
      <c r="Z34" s="104"/>
      <c r="AA34" s="104"/>
    </row>
    <row r="37" spans="2:27">
      <c r="B37" s="17" t="s">
        <v>74</v>
      </c>
      <c r="C37" s="2"/>
      <c r="D37" s="65"/>
      <c r="F37" s="17" t="s">
        <v>74</v>
      </c>
      <c r="J37" s="17" t="s">
        <v>74</v>
      </c>
      <c r="N37" s="17" t="s">
        <v>74</v>
      </c>
      <c r="R37" s="17" t="s">
        <v>74</v>
      </c>
    </row>
    <row r="38" spans="2:27">
      <c r="B38" s="80" t="s">
        <v>10</v>
      </c>
      <c r="C38" s="80">
        <f>CurveLifetime</f>
        <v>1440</v>
      </c>
      <c r="E38" s="17" t="s">
        <v>54</v>
      </c>
      <c r="F38" s="80" t="s">
        <v>10</v>
      </c>
      <c r="G38" s="80">
        <f>CurveLifetime</f>
        <v>1440</v>
      </c>
      <c r="J38" s="80" t="s">
        <v>10</v>
      </c>
      <c r="K38" s="80">
        <f>CurveLifetime</f>
        <v>1440</v>
      </c>
      <c r="N38" s="116" t="s">
        <v>10</v>
      </c>
      <c r="O38" s="116">
        <f>CurveLifetime</f>
        <v>1440</v>
      </c>
      <c r="P38" s="118"/>
      <c r="R38" s="116" t="s">
        <v>10</v>
      </c>
      <c r="S38" s="116">
        <f>CurveLifetime</f>
        <v>1440</v>
      </c>
      <c r="T38" s="118"/>
    </row>
    <row r="39" spans="2:27">
      <c r="B39" s="80" t="s">
        <v>9</v>
      </c>
      <c r="C39" s="80" t="str">
        <f>C48</f>
        <v>TestLive</v>
      </c>
      <c r="E39" s="17" t="s">
        <v>54</v>
      </c>
      <c r="F39" s="80" t="s">
        <v>9</v>
      </c>
      <c r="G39" s="80" t="str">
        <f>G48</f>
        <v>TestLive</v>
      </c>
      <c r="J39" s="80" t="s">
        <v>9</v>
      </c>
      <c r="K39" s="80" t="str">
        <f>K48</f>
        <v>TestLive</v>
      </c>
      <c r="N39" s="116" t="s">
        <v>9</v>
      </c>
      <c r="O39" s="116" t="str">
        <f>MarketPrefix&amp;"LPM"</f>
        <v>TestLPM</v>
      </c>
      <c r="P39" s="118"/>
      <c r="R39" s="116" t="s">
        <v>9</v>
      </c>
      <c r="S39" s="116" t="str">
        <f>MarketPrefix&amp;"LPM"</f>
        <v>TestLPM</v>
      </c>
      <c r="T39" s="118"/>
    </row>
    <row r="40" spans="2:27">
      <c r="B40" s="80" t="s">
        <v>24</v>
      </c>
      <c r="C40" s="80" t="b">
        <v>1</v>
      </c>
      <c r="E40" s="17" t="s">
        <v>54</v>
      </c>
      <c r="F40" s="80" t="s">
        <v>24</v>
      </c>
      <c r="G40" s="80" t="b">
        <v>1</v>
      </c>
      <c r="J40" s="80" t="s">
        <v>24</v>
      </c>
      <c r="K40" s="80" t="b">
        <v>1</v>
      </c>
      <c r="N40" s="116" t="s">
        <v>24</v>
      </c>
      <c r="O40" s="116" t="b">
        <v>1</v>
      </c>
      <c r="P40" s="118"/>
      <c r="R40" s="116" t="s">
        <v>24</v>
      </c>
      <c r="S40" s="116" t="b">
        <v>1</v>
      </c>
      <c r="T40" s="118"/>
    </row>
    <row r="41" spans="2:27">
      <c r="C41" s="2"/>
      <c r="D41" s="2"/>
      <c r="E41" s="17" t="s">
        <v>54</v>
      </c>
    </row>
    <row r="42" spans="2:27">
      <c r="B42" s="17" t="s">
        <v>73</v>
      </c>
      <c r="F42" s="17" t="s">
        <v>73</v>
      </c>
      <c r="J42" s="17" t="s">
        <v>73</v>
      </c>
      <c r="N42" s="17" t="s">
        <v>73</v>
      </c>
      <c r="R42" s="17" t="s">
        <v>73</v>
      </c>
    </row>
    <row r="43" spans="2:27">
      <c r="B43" s="80" t="s">
        <v>0</v>
      </c>
      <c r="C43" s="113" t="s">
        <v>1</v>
      </c>
      <c r="E43" s="17" t="s">
        <v>54</v>
      </c>
      <c r="F43" s="116" t="s">
        <v>0</v>
      </c>
      <c r="G43" s="116" t="s">
        <v>1</v>
      </c>
      <c r="J43" s="116" t="s">
        <v>0</v>
      </c>
      <c r="K43" s="116" t="s">
        <v>1</v>
      </c>
      <c r="N43" s="116" t="s">
        <v>0</v>
      </c>
      <c r="O43" s="116" t="s">
        <v>29</v>
      </c>
      <c r="P43" s="118"/>
      <c r="R43" s="118" t="s">
        <v>0</v>
      </c>
      <c r="S43" s="118" t="s">
        <v>45</v>
      </c>
      <c r="T43" s="118"/>
    </row>
    <row r="44" spans="2:27">
      <c r="B44" s="80" t="s">
        <v>2</v>
      </c>
      <c r="C44" s="114" t="s">
        <v>17</v>
      </c>
      <c r="E44" s="17" t="s">
        <v>54</v>
      </c>
      <c r="F44" s="116" t="s">
        <v>2</v>
      </c>
      <c r="G44" s="116" t="s">
        <v>25</v>
      </c>
      <c r="J44" s="116" t="s">
        <v>2</v>
      </c>
      <c r="K44" s="116" t="s">
        <v>25</v>
      </c>
      <c r="N44" s="116" t="s">
        <v>30</v>
      </c>
      <c r="O44" s="116" t="s">
        <v>3</v>
      </c>
      <c r="P44" s="118"/>
      <c r="R44" s="118" t="s">
        <v>4</v>
      </c>
      <c r="S44" s="118" t="s">
        <v>5</v>
      </c>
      <c r="T44" s="118"/>
    </row>
    <row r="45" spans="2:27">
      <c r="B45" s="80" t="s">
        <v>4</v>
      </c>
      <c r="C45" s="114" t="s">
        <v>5</v>
      </c>
      <c r="E45" s="17" t="s">
        <v>54</v>
      </c>
      <c r="F45" s="116" t="s">
        <v>4</v>
      </c>
      <c r="G45" s="116" t="s">
        <v>5</v>
      </c>
      <c r="J45" s="116" t="s">
        <v>4</v>
      </c>
      <c r="K45" s="116" t="s">
        <v>5</v>
      </c>
      <c r="N45" s="116" t="s">
        <v>4</v>
      </c>
      <c r="O45" s="116" t="s">
        <v>5</v>
      </c>
      <c r="P45" s="118"/>
      <c r="R45" s="118" t="s">
        <v>11</v>
      </c>
      <c r="S45" s="118" t="s">
        <v>46</v>
      </c>
      <c r="T45" s="118"/>
    </row>
    <row r="46" spans="2:27">
      <c r="B46" s="80" t="s">
        <v>6</v>
      </c>
      <c r="C46" s="114" t="s">
        <v>18</v>
      </c>
      <c r="E46" s="17" t="s">
        <v>54</v>
      </c>
      <c r="F46" s="116" t="s">
        <v>6</v>
      </c>
      <c r="G46" s="116" t="s">
        <v>26</v>
      </c>
      <c r="J46" s="116" t="s">
        <v>6</v>
      </c>
      <c r="K46" s="116" t="s">
        <v>27</v>
      </c>
      <c r="N46" s="116" t="s">
        <v>11</v>
      </c>
      <c r="O46" s="116" t="s">
        <v>31</v>
      </c>
      <c r="P46" s="118"/>
      <c r="R46" s="118" t="s">
        <v>33</v>
      </c>
      <c r="S46" s="118" t="s">
        <v>34</v>
      </c>
      <c r="T46" s="118"/>
    </row>
    <row r="47" spans="2:27">
      <c r="B47" s="80" t="s">
        <v>8</v>
      </c>
      <c r="C47" s="114" t="s">
        <v>19</v>
      </c>
      <c r="E47" s="17" t="s">
        <v>54</v>
      </c>
      <c r="F47" s="116" t="s">
        <v>8</v>
      </c>
      <c r="G47" s="116" t="s">
        <v>19</v>
      </c>
      <c r="J47" s="116" t="s">
        <v>8</v>
      </c>
      <c r="K47" s="116" t="s">
        <v>19</v>
      </c>
      <c r="N47" s="116" t="s">
        <v>9</v>
      </c>
      <c r="O47" s="116" t="str">
        <f>MarketPrefix&amp;"LPM"</f>
        <v>TestLPM</v>
      </c>
      <c r="P47" s="118"/>
      <c r="R47" s="118" t="s">
        <v>9</v>
      </c>
      <c r="S47" s="116" t="str">
        <f>MarketPrefix&amp;"LPM"</f>
        <v>TestLPM</v>
      </c>
      <c r="T47" s="118"/>
    </row>
    <row r="48" spans="2:27">
      <c r="B48" s="80" t="s">
        <v>9</v>
      </c>
      <c r="C48" s="115" t="str">
        <f>MarketPrefix&amp;"Live"</f>
        <v>TestLive</v>
      </c>
      <c r="E48" s="17" t="s">
        <v>54</v>
      </c>
      <c r="F48" s="116" t="s">
        <v>9</v>
      </c>
      <c r="G48" s="117" t="str">
        <f>MarketPrefix&amp;"Live"</f>
        <v>TestLive</v>
      </c>
      <c r="J48" s="116" t="s">
        <v>9</v>
      </c>
      <c r="K48" s="116" t="str">
        <f>MarketPrefix&amp;"Live"</f>
        <v>TestLive</v>
      </c>
      <c r="N48" s="116" t="s">
        <v>32</v>
      </c>
      <c r="O48" s="116">
        <v>1</v>
      </c>
      <c r="P48" s="118"/>
      <c r="R48" s="118" t="s">
        <v>20</v>
      </c>
      <c r="S48" s="118" t="s">
        <v>40</v>
      </c>
      <c r="T48" s="118"/>
    </row>
    <row r="49" spans="2:20">
      <c r="B49" s="80" t="s">
        <v>20</v>
      </c>
      <c r="C49" s="80" t="s">
        <v>21</v>
      </c>
      <c r="E49" s="17" t="s">
        <v>54</v>
      </c>
      <c r="F49" s="116" t="s">
        <v>20</v>
      </c>
      <c r="G49" s="136" t="s">
        <v>101</v>
      </c>
      <c r="J49" s="116" t="s">
        <v>20</v>
      </c>
      <c r="K49" s="136" t="s">
        <v>28</v>
      </c>
      <c r="N49" s="116" t="s">
        <v>33</v>
      </c>
      <c r="O49" s="116" t="s">
        <v>34</v>
      </c>
      <c r="P49" s="118"/>
      <c r="R49" s="118" t="s">
        <v>6</v>
      </c>
      <c r="S49" s="118" t="s">
        <v>7</v>
      </c>
      <c r="T49" s="118"/>
    </row>
    <row r="50" spans="2:20">
      <c r="B50" s="80" t="s">
        <v>22</v>
      </c>
      <c r="C50" s="80" t="s">
        <v>23</v>
      </c>
      <c r="E50" s="17" t="s">
        <v>54</v>
      </c>
      <c r="F50" s="116" t="s">
        <v>22</v>
      </c>
      <c r="G50" s="116" t="s">
        <v>23</v>
      </c>
      <c r="J50" s="116" t="s">
        <v>22</v>
      </c>
      <c r="K50" s="116" t="s">
        <v>23</v>
      </c>
      <c r="N50" s="116" t="s">
        <v>35</v>
      </c>
      <c r="O50" s="116" t="str">
        <f>O45&amp;" "&amp;O49&amp;" ATM Bootstrap Settings"</f>
        <v>AUD SydSPU ATM Bootstrap Settings</v>
      </c>
      <c r="P50" s="118"/>
      <c r="R50" s="118" t="s">
        <v>53</v>
      </c>
      <c r="S50" s="111">
        <f ca="1">CreationTime+CurveLifetime/1440</f>
        <v>40704.580335995372</v>
      </c>
      <c r="T50" s="111"/>
    </row>
    <row r="51" spans="2:20">
      <c r="B51" s="80" t="s">
        <v>53</v>
      </c>
      <c r="C51" s="111">
        <f ca="1">CreationTime+CurveLifetime/1440</f>
        <v>40704.580335995372</v>
      </c>
      <c r="E51" s="17" t="s">
        <v>54</v>
      </c>
      <c r="F51" s="116" t="s">
        <v>53</v>
      </c>
      <c r="G51" s="111">
        <f ca="1">CreationTime+CurveLifetime/1440</f>
        <v>40704.580335995372</v>
      </c>
      <c r="J51" s="116" t="s">
        <v>53</v>
      </c>
      <c r="K51" s="111">
        <f ca="1">CreationTime+CurveLifetime/1440</f>
        <v>40704.580335995372</v>
      </c>
      <c r="N51" s="116" t="s">
        <v>36</v>
      </c>
      <c r="O51" s="116" t="s">
        <v>37</v>
      </c>
      <c r="P51" s="118"/>
    </row>
    <row r="52" spans="2:20">
      <c r="C52" s="2"/>
      <c r="D52" s="65"/>
      <c r="E52" s="17" t="s">
        <v>54</v>
      </c>
      <c r="N52" s="116" t="s">
        <v>38</v>
      </c>
      <c r="O52" s="116" t="s">
        <v>39</v>
      </c>
      <c r="P52" s="118"/>
    </row>
    <row r="53" spans="2:20">
      <c r="C53" s="2"/>
      <c r="D53" s="65"/>
      <c r="N53" s="116" t="s">
        <v>20</v>
      </c>
      <c r="O53" s="116" t="s">
        <v>40</v>
      </c>
      <c r="P53" s="118"/>
    </row>
    <row r="54" spans="2:20">
      <c r="C54" s="2"/>
      <c r="D54" s="65"/>
      <c r="N54" s="116" t="s">
        <v>41</v>
      </c>
      <c r="O54" s="119">
        <f>ValueDate</f>
        <v>40703</v>
      </c>
      <c r="P54" s="118"/>
    </row>
    <row r="55" spans="2:20">
      <c r="C55" s="2"/>
      <c r="D55" s="65"/>
      <c r="N55" s="116" t="s">
        <v>53</v>
      </c>
      <c r="O55" s="111">
        <f ca="1">CreationTime+CurveLifetime/1440</f>
        <v>40704.580335995372</v>
      </c>
      <c r="P55" s="118"/>
    </row>
    <row r="56" spans="2:20">
      <c r="C56" s="2"/>
      <c r="D56" s="65"/>
    </row>
    <row r="57" spans="2:20">
      <c r="E57" s="17" t="s">
        <v>54</v>
      </c>
    </row>
    <row r="58" spans="2:20">
      <c r="E58" s="17" t="s">
        <v>54</v>
      </c>
    </row>
    <row r="59" spans="2:20">
      <c r="E59" s="17" t="s">
        <v>54</v>
      </c>
    </row>
    <row r="60" spans="2:20">
      <c r="E60" s="17" t="s">
        <v>54</v>
      </c>
    </row>
    <row r="61" spans="2:20">
      <c r="E61" s="17" t="s">
        <v>54</v>
      </c>
    </row>
    <row r="62" spans="2:20">
      <c r="E62" s="17" t="s">
        <v>54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SuperD"/>
  <dimension ref="B1:R129"/>
  <sheetViews>
    <sheetView showGridLines="0" workbookViewId="0">
      <selection activeCell="A6" sqref="A6"/>
    </sheetView>
  </sheetViews>
  <sheetFormatPr defaultRowHeight="15"/>
  <cols>
    <col min="1" max="1" width="3.7109375" style="73" customWidth="1"/>
    <col min="2" max="2" width="20.7109375" style="42" customWidth="1"/>
    <col min="3" max="3" width="20.7109375" style="73" customWidth="1"/>
    <col min="4" max="4" width="12.7109375" style="73" customWidth="1"/>
    <col min="5" max="5" width="0.85546875" style="73" customWidth="1"/>
    <col min="6" max="8" width="10.7109375" style="73" customWidth="1"/>
    <col min="9" max="10" width="20.7109375" style="73" customWidth="1"/>
    <col min="11" max="16384" width="9.140625" style="73"/>
  </cols>
  <sheetData>
    <row r="1" spans="2:18" ht="0.95" customHeight="1"/>
    <row r="2" spans="2:18" s="75" customFormat="1" ht="24.95" customHeight="1">
      <c r="B2" s="74" t="s">
        <v>71</v>
      </c>
      <c r="C2" s="74"/>
      <c r="D2" s="53" t="str">
        <f>IF(Publish_SuperD="Off","Publishing is OFF","")</f>
        <v/>
      </c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5" spans="2:18">
      <c r="B5" s="105" t="s">
        <v>82</v>
      </c>
      <c r="C5" s="106"/>
      <c r="D5" s="106"/>
      <c r="E5" s="106"/>
      <c r="F5" s="106"/>
      <c r="G5" s="106"/>
      <c r="I5" s="105" t="s">
        <v>83</v>
      </c>
      <c r="J5" s="106"/>
      <c r="K5" s="106"/>
      <c r="L5" s="106"/>
      <c r="M5" s="106"/>
      <c r="N5" s="106"/>
      <c r="O5" s="106"/>
      <c r="P5" s="106"/>
      <c r="Q5" s="106"/>
      <c r="R5" s="106"/>
    </row>
    <row r="6" spans="2:18">
      <c r="B6" s="69" t="s">
        <v>77</v>
      </c>
      <c r="C6" s="2" t="str">
        <f t="array" aca="1" ref="C6:C7" ca="1">IF(Publish_SuperD="Off","Publishing is OFF",_xll.qComWebPublishCapletATMVols(C32&amp;"."&amp;C28&amp;"."&amp;C30&amp;"-"&amp;C31&amp;"-"&amp;C29,B28:C33,B24:C25,F10:G129,B10:D20,WebService))</f>
        <v>CapFloor.RateVolatilityMatrix.TestLive-LIBOR-BBA-AUD</v>
      </c>
      <c r="I6" s="69" t="s">
        <v>77</v>
      </c>
      <c r="J6" s="42" t="str">
        <f t="array" aca="1" ref="J6:J7" ca="1">IF(Publish_SuperD="Off","Publishing is OFF",_xll.qComWebPublishCurve(J32&amp;"."&amp;J28&amp;"."&amp;J30&amp;"-"&amp;J31&amp;"-"&amp;J29,I28:J33,I24:J25,I9:R20,WebService))</f>
        <v>Swaption.RateATMVolatilityMatrix.TestLive-LIBOR-BBA-AUD</v>
      </c>
    </row>
    <row r="7" spans="2:18">
      <c r="B7" s="69" t="s">
        <v>57</v>
      </c>
      <c r="C7" s="71">
        <f ca="1"/>
        <v>40703.580463611113</v>
      </c>
      <c r="I7" s="69" t="s">
        <v>57</v>
      </c>
      <c r="J7" s="71">
        <f ca="1"/>
        <v>40703.58045872685</v>
      </c>
    </row>
    <row r="8" spans="2:18">
      <c r="B8" s="66"/>
      <c r="C8" s="63"/>
      <c r="D8" s="63"/>
    </row>
    <row r="9" spans="2:18">
      <c r="B9" s="2" t="s">
        <v>11</v>
      </c>
      <c r="C9" s="4" t="s">
        <v>50</v>
      </c>
      <c r="D9" s="72" t="s">
        <v>51</v>
      </c>
      <c r="F9" s="4" t="s">
        <v>48</v>
      </c>
      <c r="G9" s="4" t="s">
        <v>49</v>
      </c>
      <c r="I9" s="45">
        <f t="array" ref="I9:R19">[1]!BlackVolSurface</f>
        <v>0</v>
      </c>
      <c r="J9" s="82" t="str">
        <v>1Y</v>
      </c>
      <c r="K9" s="82" t="str">
        <v>2Y</v>
      </c>
      <c r="L9" s="82" t="str">
        <v>3Y</v>
      </c>
      <c r="M9" s="82" t="str">
        <v>4Y</v>
      </c>
      <c r="N9" s="82" t="str">
        <v>5Y</v>
      </c>
      <c r="O9" s="82" t="str">
        <v>7Y</v>
      </c>
      <c r="P9" s="82" t="str">
        <v>10Y</v>
      </c>
      <c r="Q9" s="82" t="str">
        <v>15Y</v>
      </c>
      <c r="R9" s="82" t="str">
        <v>20Y</v>
      </c>
    </row>
    <row r="10" spans="2:18">
      <c r="B10" s="109" t="str">
        <f t="array" ref="B10:B20">$C$29&amp;"-Caplet-"&amp;[1]!Expiries1</f>
        <v>AUD-Caplet-1Y</v>
      </c>
      <c r="C10" s="108">
        <f t="array" ref="C10:C20" ca="1">[1]!SwapRates1</f>
        <v>4.9876958824135093E-2</v>
      </c>
      <c r="D10" s="108">
        <f t="array" ref="D10:D20" ca="1">[1]!BlackVols1</f>
        <v>0.1778414130670711</v>
      </c>
      <c r="F10" s="10">
        <f t="array" ref="F10:F129" ca="1">[1]!QtlyDates</f>
        <v>40704</v>
      </c>
      <c r="G10" s="108">
        <f t="array" ref="G10:G129" ca="1">[1]!QtlyCapletVols</f>
        <v>0.17784141306707099</v>
      </c>
      <c r="I10" s="96" t="str">
        <v>1M</v>
      </c>
      <c r="J10" s="107">
        <f ca="1"/>
        <v>0.12645634590280916</v>
      </c>
      <c r="K10" s="107">
        <f ca="1"/>
        <v>0.14050779034381788</v>
      </c>
      <c r="L10" s="107">
        <f ca="1"/>
        <v>0.14477661010710222</v>
      </c>
      <c r="M10" s="107">
        <f ca="1"/>
        <v>0.1392779528235337</v>
      </c>
      <c r="N10" s="107">
        <f ca="1"/>
        <v>0.13671611740026129</v>
      </c>
      <c r="O10" s="107">
        <f ca="1"/>
        <v>0.13263442668800074</v>
      </c>
      <c r="P10" s="107">
        <f ca="1"/>
        <v>0.1286563196244925</v>
      </c>
      <c r="Q10" s="107">
        <f ca="1"/>
        <v>0.12635756149885244</v>
      </c>
      <c r="R10" s="107">
        <f ca="1"/>
        <v>0.12855817399733852</v>
      </c>
    </row>
    <row r="11" spans="2:18">
      <c r="B11" s="109" t="str">
        <v>AUD-Caplet-2Y</v>
      </c>
      <c r="C11" s="108">
        <f ca="1"/>
        <v>5.054053085101072E-2</v>
      </c>
      <c r="D11" s="108">
        <f ca="1"/>
        <v>0.17957343802813958</v>
      </c>
      <c r="F11" s="10">
        <f ca="1"/>
        <v>40798</v>
      </c>
      <c r="G11" s="108">
        <f ca="1"/>
        <v>0.17784141306707099</v>
      </c>
      <c r="I11" s="96" t="str">
        <v>2M</v>
      </c>
      <c r="J11" s="107">
        <f ca="1"/>
        <v>0.12962286326120429</v>
      </c>
      <c r="K11" s="107">
        <f ca="1"/>
        <v>0.14355268331765103</v>
      </c>
      <c r="L11" s="107">
        <f ca="1"/>
        <v>0.1477447629893717</v>
      </c>
      <c r="M11" s="107">
        <f ca="1"/>
        <v>0.14215800617803567</v>
      </c>
      <c r="N11" s="107">
        <f ca="1"/>
        <v>0.13951225386229804</v>
      </c>
      <c r="O11" s="107">
        <f ca="1"/>
        <v>0.1353216590977919</v>
      </c>
      <c r="P11" s="107">
        <f ca="1"/>
        <v>0.13129987369523505</v>
      </c>
      <c r="Q11" s="107">
        <f ca="1"/>
        <v>0.12896710103312115</v>
      </c>
      <c r="R11" s="107">
        <f ca="1"/>
        <v>0.1312437883412069</v>
      </c>
    </row>
    <row r="12" spans="2:18">
      <c r="B12" s="109" t="str">
        <v>AUD-Caplet-3Y</v>
      </c>
      <c r="C12" s="108">
        <f ca="1"/>
        <v>5.1241666847801723E-2</v>
      </c>
      <c r="D12" s="108">
        <f ca="1"/>
        <v>0.18668186478831778</v>
      </c>
      <c r="F12" s="10">
        <f ca="1"/>
        <v>40889</v>
      </c>
      <c r="G12" s="108">
        <f ca="1"/>
        <v>0.17784141306707099</v>
      </c>
      <c r="I12" s="96" t="str">
        <v>3M</v>
      </c>
      <c r="J12" s="107">
        <f ca="1"/>
        <v>0.14214008069928197</v>
      </c>
      <c r="K12" s="107">
        <f ca="1"/>
        <v>0.15866661822193703</v>
      </c>
      <c r="L12" s="107">
        <f ca="1"/>
        <v>0.15623169815322197</v>
      </c>
      <c r="M12" s="107">
        <f ca="1"/>
        <v>0.15101643876624324</v>
      </c>
      <c r="N12" s="107">
        <f ca="1"/>
        <v>0.14815560892452737</v>
      </c>
      <c r="O12" s="107">
        <f ca="1"/>
        <v>0.14366160382838869</v>
      </c>
      <c r="P12" s="107">
        <f ca="1"/>
        <v>0.13947790438832011</v>
      </c>
      <c r="Q12" s="107">
        <f ca="1"/>
        <v>0.13700857806619976</v>
      </c>
      <c r="R12" s="107">
        <f ca="1"/>
        <v>0.13945978680676024</v>
      </c>
    </row>
    <row r="13" spans="2:18">
      <c r="B13" s="109" t="str">
        <v>AUD-Caplet-4Y</v>
      </c>
      <c r="C13" s="108">
        <f ca="1"/>
        <v>5.2134038267461734E-2</v>
      </c>
      <c r="D13" s="108">
        <f ca="1"/>
        <v>0.18197003907188458</v>
      </c>
      <c r="F13" s="10">
        <f ca="1"/>
        <v>40980</v>
      </c>
      <c r="G13" s="108">
        <f ca="1"/>
        <v>0.17784141306707099</v>
      </c>
      <c r="I13" s="96" t="str">
        <v>6M</v>
      </c>
      <c r="J13" s="107">
        <f ca="1"/>
        <v>0.16297376990781634</v>
      </c>
      <c r="K13" s="107">
        <f ca="1"/>
        <v>0.16363595301943218</v>
      </c>
      <c r="L13" s="107">
        <f ca="1"/>
        <v>0.1640066185847654</v>
      </c>
      <c r="M13" s="107">
        <f ca="1"/>
        <v>0.1577066730532537</v>
      </c>
      <c r="N13" s="107">
        <f ca="1"/>
        <v>0.15486720624982414</v>
      </c>
      <c r="O13" s="107">
        <f ca="1"/>
        <v>0.14938881636559939</v>
      </c>
      <c r="P13" s="107">
        <f ca="1"/>
        <v>0.14268146700585768</v>
      </c>
      <c r="Q13" s="107">
        <f ca="1"/>
        <v>0.14086794340865502</v>
      </c>
      <c r="R13" s="107">
        <f ca="1"/>
        <v>0.14363935689329571</v>
      </c>
    </row>
    <row r="14" spans="2:18">
      <c r="B14" s="109" t="str">
        <v>AUD-Caplet-5Y</v>
      </c>
      <c r="C14" s="108">
        <f ca="1"/>
        <v>5.3112528409805834E-2</v>
      </c>
      <c r="D14" s="108">
        <f ca="1"/>
        <v>0.17712913168833494</v>
      </c>
      <c r="F14" s="10">
        <f ca="1"/>
        <v>41072</v>
      </c>
      <c r="G14" s="108">
        <f ca="1"/>
        <v>0.17880215350308801</v>
      </c>
      <c r="I14" s="96" t="str">
        <v>1Y</v>
      </c>
      <c r="J14" s="107">
        <f ca="1"/>
        <v>0.17987796095276365</v>
      </c>
      <c r="K14" s="107">
        <f ca="1"/>
        <v>0.18248844631912509</v>
      </c>
      <c r="L14" s="107">
        <f ca="1"/>
        <v>0.177587248896838</v>
      </c>
      <c r="M14" s="107">
        <f ca="1"/>
        <v>0.16838226308270571</v>
      </c>
      <c r="N14" s="107">
        <f ca="1"/>
        <v>0.16388795912676157</v>
      </c>
      <c r="O14" s="107">
        <f ca="1"/>
        <v>0.15617921086409706</v>
      </c>
      <c r="P14" s="107">
        <f ca="1"/>
        <v>0.14932221639606469</v>
      </c>
      <c r="Q14" s="107">
        <f ca="1"/>
        <v>0.1483094083752724</v>
      </c>
      <c r="R14" s="107">
        <f ca="1"/>
        <v>0.15162546069560795</v>
      </c>
    </row>
    <row r="15" spans="2:18">
      <c r="B15" s="109" t="str">
        <v>AUD-Caplet-7Y</v>
      </c>
      <c r="C15" s="108">
        <f ca="1"/>
        <v>5.4829871649203124E-2</v>
      </c>
      <c r="D15" s="108">
        <f ca="1"/>
        <v>0.16667889533568583</v>
      </c>
      <c r="F15" s="10">
        <f ca="1"/>
        <v>41162</v>
      </c>
      <c r="G15" s="108">
        <f ca="1"/>
        <v>0.17899606608308699</v>
      </c>
      <c r="I15" s="96" t="str">
        <v>2Y</v>
      </c>
      <c r="J15" s="107">
        <f ca="1"/>
        <v>0.1917800556409438</v>
      </c>
      <c r="K15" s="107">
        <f ca="1"/>
        <v>0.18477631550697926</v>
      </c>
      <c r="L15" s="107">
        <f ca="1"/>
        <v>0.17656653124805652</v>
      </c>
      <c r="M15" s="107">
        <f ca="1"/>
        <v>0.16641245067077118</v>
      </c>
      <c r="N15" s="107">
        <f ca="1"/>
        <v>0.16086914574042993</v>
      </c>
      <c r="O15" s="107">
        <f ca="1"/>
        <v>0.15503840741382857</v>
      </c>
      <c r="P15" s="107">
        <f ca="1"/>
        <v>0.14656839434139232</v>
      </c>
      <c r="Q15" s="107">
        <f ca="1"/>
        <v>0.14740457673048718</v>
      </c>
      <c r="R15" s="107">
        <f ca="1"/>
        <v>0.15145898805038624</v>
      </c>
    </row>
    <row r="16" spans="2:18">
      <c r="B16" s="109" t="str">
        <v>AUD-Caplet-10Y</v>
      </c>
      <c r="C16" s="108">
        <f ca="1"/>
        <v>5.6013794003163191E-2</v>
      </c>
      <c r="D16" s="108">
        <f ca="1"/>
        <v>0.1575103923753414</v>
      </c>
      <c r="F16" s="10">
        <f ca="1"/>
        <v>41253</v>
      </c>
      <c r="G16" s="108">
        <f ca="1"/>
        <v>0.18012278784062</v>
      </c>
      <c r="I16" s="96" t="str">
        <v>3Y</v>
      </c>
      <c r="J16" s="107">
        <f ca="1"/>
        <v>0.17643568623208858</v>
      </c>
      <c r="K16" s="107">
        <f ca="1"/>
        <v>0.16985027724101315</v>
      </c>
      <c r="L16" s="107">
        <f ca="1"/>
        <v>0.16280943398938888</v>
      </c>
      <c r="M16" s="107">
        <f ca="1"/>
        <v>0.15501440952827597</v>
      </c>
      <c r="N16" s="107">
        <f ca="1"/>
        <v>0.15159023197699592</v>
      </c>
      <c r="O16" s="107">
        <f ca="1"/>
        <v>0.14829708283619367</v>
      </c>
      <c r="P16" s="107">
        <f ca="1"/>
        <v>0.14323260118996037</v>
      </c>
      <c r="Q16" s="107">
        <f ca="1"/>
        <v>0.14554981342322545</v>
      </c>
      <c r="R16" s="107">
        <f ca="1"/>
        <v>0.15032766460430946</v>
      </c>
    </row>
    <row r="17" spans="2:18">
      <c r="B17" s="109" t="str">
        <v>AUD-Caplet-15Y</v>
      </c>
      <c r="C17" s="108">
        <f ca="1"/>
        <v>5.7197205978504528E-2</v>
      </c>
      <c r="D17" s="108">
        <f ca="1"/>
        <v>0.1489992063136194</v>
      </c>
      <c r="F17" s="10">
        <f ca="1"/>
        <v>41344</v>
      </c>
      <c r="G17" s="108">
        <f ca="1"/>
        <v>0.182996433820826</v>
      </c>
      <c r="I17" s="96" t="str">
        <v>5Y</v>
      </c>
      <c r="J17" s="107">
        <f ca="1"/>
        <v>0.15566586466620674</v>
      </c>
      <c r="K17" s="107">
        <f ca="1"/>
        <v>0.14847840083392383</v>
      </c>
      <c r="L17" s="107">
        <f ca="1"/>
        <v>0.14492924894356957</v>
      </c>
      <c r="M17" s="107">
        <f ca="1"/>
        <v>0.14238697856750873</v>
      </c>
      <c r="N17" s="107">
        <f ca="1"/>
        <v>0.14044612708687196</v>
      </c>
      <c r="O17" s="107">
        <f ca="1"/>
        <v>0.13947696423102135</v>
      </c>
      <c r="P17" s="107">
        <f ca="1"/>
        <v>0.13905171717880865</v>
      </c>
      <c r="Q17" s="107">
        <f ca="1"/>
        <v>0.14440020845742907</v>
      </c>
      <c r="R17" s="107">
        <f ca="1"/>
        <v>0.15061159116947639</v>
      </c>
    </row>
    <row r="18" spans="2:18">
      <c r="B18" s="109" t="str">
        <v>AUD-Caplet-20Y</v>
      </c>
      <c r="C18" s="108">
        <f ca="1"/>
        <v>5.6334731102773025E-2</v>
      </c>
      <c r="D18" s="108">
        <f ca="1"/>
        <v>0.15128035809039794</v>
      </c>
      <c r="F18" s="10">
        <f ca="1"/>
        <v>41436</v>
      </c>
      <c r="G18" s="108">
        <f ca="1"/>
        <v>0.189558111634133</v>
      </c>
      <c r="I18" s="96" t="str">
        <v>7Y</v>
      </c>
      <c r="J18" s="107">
        <f ca="1"/>
        <v>0.14919136621478252</v>
      </c>
      <c r="K18" s="107">
        <f ca="1"/>
        <v>0.14424190928448596</v>
      </c>
      <c r="L18" s="107">
        <f ca="1"/>
        <v>0.14294345949593251</v>
      </c>
      <c r="M18" s="107">
        <f ca="1"/>
        <v>0.14030206621564947</v>
      </c>
      <c r="N18" s="107">
        <f ca="1"/>
        <v>0.1396554441918913</v>
      </c>
      <c r="O18" s="107">
        <f ca="1"/>
        <v>0.13934272592727909</v>
      </c>
      <c r="P18" s="107">
        <f ca="1"/>
        <v>0.14152242794199879</v>
      </c>
      <c r="Q18" s="107">
        <f ca="1"/>
        <v>0.14818729655151644</v>
      </c>
      <c r="R18" s="107">
        <f ca="1"/>
        <v>0.15524032129024437</v>
      </c>
    </row>
    <row r="19" spans="2:18">
      <c r="B19" s="109" t="str">
        <v>AUD-Caplet-25Y</v>
      </c>
      <c r="C19" s="108">
        <f ca="1"/>
        <v>5.495416771364451E-2</v>
      </c>
      <c r="D19" s="108">
        <f ca="1"/>
        <v>0.15508083642649328</v>
      </c>
      <c r="F19" s="10">
        <f ca="1"/>
        <v>41527</v>
      </c>
      <c r="G19" s="108">
        <f ca="1"/>
        <v>0.19646761120949</v>
      </c>
      <c r="I19" s="96" t="str">
        <v>10Y</v>
      </c>
      <c r="J19" s="107">
        <f ca="1"/>
        <v>0.14123828863762827</v>
      </c>
      <c r="K19" s="107">
        <f ca="1"/>
        <v>0.13904331128317565</v>
      </c>
      <c r="L19" s="107">
        <f ca="1"/>
        <v>0.13864890516498951</v>
      </c>
      <c r="M19" s="107">
        <f ca="1"/>
        <v>0.13765206302339533</v>
      </c>
      <c r="N19" s="107">
        <f ca="1"/>
        <v>0.13771621485142094</v>
      </c>
      <c r="O19" s="107">
        <f ca="1"/>
        <v>0.14266577670924768</v>
      </c>
      <c r="P19" s="107">
        <f ca="1"/>
        <v>0.14771123057717092</v>
      </c>
      <c r="Q19" s="107">
        <f ca="1"/>
        <v>0.15711219016001157</v>
      </c>
      <c r="R19" s="107">
        <f ca="1"/>
        <v>0.16561922026080284</v>
      </c>
    </row>
    <row r="20" spans="2:18">
      <c r="B20" s="109" t="str">
        <v>AUD-Caplet-30Y</v>
      </c>
      <c r="C20" s="108">
        <f ca="1"/>
        <v>5.3536900301647011E-2</v>
      </c>
      <c r="D20" s="108">
        <f ca="1"/>
        <v>0.15918624810431173</v>
      </c>
      <c r="F20" s="10">
        <f ca="1"/>
        <v>41618</v>
      </c>
      <c r="G20" s="108">
        <f ca="1"/>
        <v>0.198894501077962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</row>
    <row r="21" spans="2:18">
      <c r="F21" s="10">
        <f ca="1"/>
        <v>41708</v>
      </c>
      <c r="G21" s="108">
        <f ca="1"/>
        <v>0.19430132903341901</v>
      </c>
    </row>
    <row r="22" spans="2:18">
      <c r="F22" s="10">
        <f ca="1"/>
        <v>41800</v>
      </c>
      <c r="G22" s="108">
        <f ca="1"/>
        <v>0.18344942289148999</v>
      </c>
    </row>
    <row r="23" spans="2:18">
      <c r="B23" s="42" t="s">
        <v>74</v>
      </c>
      <c r="F23" s="10">
        <f ca="1"/>
        <v>41892</v>
      </c>
      <c r="G23" s="108">
        <f ca="1"/>
        <v>0.17396967163012</v>
      </c>
      <c r="I23" s="42" t="s">
        <v>74</v>
      </c>
    </row>
    <row r="24" spans="2:18">
      <c r="B24" s="80" t="s">
        <v>10</v>
      </c>
      <c r="C24" s="80">
        <f>CurveLifetime</f>
        <v>1440</v>
      </c>
      <c r="F24" s="10">
        <f ca="1"/>
        <v>41983</v>
      </c>
      <c r="G24" s="108">
        <f ca="1"/>
        <v>0.16797021553146901</v>
      </c>
      <c r="I24" s="80" t="s">
        <v>10</v>
      </c>
      <c r="J24" s="80">
        <f>CurveLifetime</f>
        <v>1440</v>
      </c>
    </row>
    <row r="25" spans="2:18">
      <c r="B25" s="80" t="s">
        <v>9</v>
      </c>
      <c r="C25" s="80" t="str">
        <f>C30</f>
        <v>TestLive</v>
      </c>
      <c r="F25" s="10">
        <f ca="1"/>
        <v>42073</v>
      </c>
      <c r="G25" s="108">
        <f ca="1"/>
        <v>0.16708033586033999</v>
      </c>
      <c r="I25" s="80" t="s">
        <v>9</v>
      </c>
      <c r="J25" s="80" t="str">
        <f>J30</f>
        <v>TestLive</v>
      </c>
    </row>
    <row r="26" spans="2:18">
      <c r="F26" s="10">
        <f ca="1"/>
        <v>42165</v>
      </c>
      <c r="G26" s="108">
        <f ca="1"/>
        <v>0.16778533518586899</v>
      </c>
    </row>
    <row r="27" spans="2:18">
      <c r="B27" s="42" t="s">
        <v>73</v>
      </c>
      <c r="F27" s="10">
        <f ca="1"/>
        <v>42257</v>
      </c>
      <c r="G27" s="108">
        <f ca="1"/>
        <v>0.165687648086141</v>
      </c>
      <c r="I27" s="42" t="s">
        <v>73</v>
      </c>
    </row>
    <row r="28" spans="2:18">
      <c r="B28" s="110" t="s">
        <v>0</v>
      </c>
      <c r="C28" s="110" t="s">
        <v>47</v>
      </c>
      <c r="F28" s="10">
        <f ca="1"/>
        <v>42348</v>
      </c>
      <c r="G28" s="108">
        <f ca="1"/>
        <v>0.16341763537134599</v>
      </c>
      <c r="I28" s="112" t="s">
        <v>0</v>
      </c>
      <c r="J28" s="112" t="s">
        <v>52</v>
      </c>
      <c r="K28" s="79"/>
      <c r="L28" s="79"/>
    </row>
    <row r="29" spans="2:18">
      <c r="B29" s="110" t="s">
        <v>4</v>
      </c>
      <c r="C29" s="110" t="s">
        <v>5</v>
      </c>
      <c r="F29" s="10">
        <f ca="1"/>
        <v>42439</v>
      </c>
      <c r="G29" s="108">
        <f ca="1"/>
        <v>0.16090775349356201</v>
      </c>
      <c r="I29" s="112" t="s">
        <v>4</v>
      </c>
      <c r="J29" s="112" t="s">
        <v>5</v>
      </c>
      <c r="K29" s="79"/>
      <c r="L29" s="79"/>
    </row>
    <row r="30" spans="2:18">
      <c r="B30" s="110" t="s">
        <v>9</v>
      </c>
      <c r="C30" s="80" t="str">
        <f>Main!E11&amp;"Live"</f>
        <v>TestLive</v>
      </c>
      <c r="F30" s="10">
        <f ca="1"/>
        <v>42531</v>
      </c>
      <c r="G30" s="108">
        <f ca="1"/>
        <v>0.157801002346728</v>
      </c>
      <c r="I30" s="112" t="s">
        <v>9</v>
      </c>
      <c r="J30" s="80" t="str">
        <f>Main!E11&amp;"Live"</f>
        <v>TestLive</v>
      </c>
      <c r="K30" s="79"/>
      <c r="L30" s="79"/>
    </row>
    <row r="31" spans="2:18">
      <c r="B31" s="110" t="s">
        <v>6</v>
      </c>
      <c r="C31" s="80" t="s">
        <v>7</v>
      </c>
      <c r="F31" s="10">
        <f ca="1"/>
        <v>42625</v>
      </c>
      <c r="G31" s="108">
        <f ca="1"/>
        <v>0.15452785247338999</v>
      </c>
      <c r="I31" s="112" t="s">
        <v>6</v>
      </c>
      <c r="J31" s="112" t="s">
        <v>7</v>
      </c>
      <c r="K31" s="79"/>
      <c r="L31" s="79"/>
    </row>
    <row r="32" spans="2:18">
      <c r="B32" s="110" t="s">
        <v>11</v>
      </c>
      <c r="C32" s="110" t="s">
        <v>31</v>
      </c>
      <c r="F32" s="10">
        <f ca="1"/>
        <v>42716</v>
      </c>
      <c r="G32" s="108">
        <f ca="1"/>
        <v>0.15168155971094799</v>
      </c>
      <c r="I32" s="112" t="s">
        <v>11</v>
      </c>
      <c r="J32" s="112" t="s">
        <v>46</v>
      </c>
      <c r="K32" s="79"/>
      <c r="L32" s="79"/>
    </row>
    <row r="33" spans="2:12">
      <c r="B33" s="80" t="s">
        <v>53</v>
      </c>
      <c r="C33" s="111">
        <f ca="1">CreationTime+CurveLifetime/1440</f>
        <v>40704.580335995372</v>
      </c>
      <c r="F33" s="10">
        <f ca="1"/>
        <v>42804</v>
      </c>
      <c r="G33" s="108">
        <f ca="1"/>
        <v>0.14915364722527999</v>
      </c>
      <c r="I33" s="112" t="s">
        <v>53</v>
      </c>
      <c r="J33" s="111">
        <f ca="1">CreationTime+CurveLifetime/1440</f>
        <v>40704.580335995372</v>
      </c>
      <c r="K33" s="79"/>
      <c r="L33" s="79"/>
    </row>
    <row r="34" spans="2:12">
      <c r="F34" s="10">
        <f ca="1"/>
        <v>42899</v>
      </c>
      <c r="G34" s="108">
        <f ca="1"/>
        <v>0.147182715677696</v>
      </c>
    </row>
    <row r="35" spans="2:12">
      <c r="F35" s="10">
        <f ca="1"/>
        <v>42989</v>
      </c>
      <c r="G35" s="108">
        <f ca="1"/>
        <v>0.14584987734170701</v>
      </c>
    </row>
    <row r="36" spans="2:12">
      <c r="F36" s="10">
        <f ca="1"/>
        <v>43080</v>
      </c>
      <c r="G36" s="108">
        <f ca="1"/>
        <v>0.14524413318863999</v>
      </c>
    </row>
    <row r="37" spans="2:12">
      <c r="F37" s="10">
        <f ca="1"/>
        <v>43171</v>
      </c>
      <c r="G37" s="108">
        <f ca="1"/>
        <v>0.14547673945673401</v>
      </c>
    </row>
    <row r="38" spans="2:12">
      <c r="F38" s="10">
        <f ca="1"/>
        <v>43263</v>
      </c>
      <c r="G38" s="108">
        <f ca="1"/>
        <v>0.14539118404231899</v>
      </c>
    </row>
    <row r="39" spans="2:12">
      <c r="F39" s="10">
        <f ca="1"/>
        <v>43353</v>
      </c>
      <c r="G39" s="108">
        <f ca="1"/>
        <v>0.14481748691115401</v>
      </c>
    </row>
    <row r="40" spans="2:12">
      <c r="F40" s="10">
        <f ca="1"/>
        <v>43444</v>
      </c>
      <c r="G40" s="108">
        <f ca="1"/>
        <v>0.14429467057491699</v>
      </c>
    </row>
    <row r="41" spans="2:12">
      <c r="F41" s="10">
        <f ca="1"/>
        <v>43535</v>
      </c>
      <c r="G41" s="108">
        <f ca="1"/>
        <v>0.14380408724565499</v>
      </c>
    </row>
    <row r="42" spans="2:12">
      <c r="F42" s="10">
        <f ca="1"/>
        <v>43627</v>
      </c>
      <c r="G42" s="108">
        <f ca="1"/>
        <v>0.143136569199562</v>
      </c>
    </row>
    <row r="43" spans="2:12">
      <c r="F43" s="10">
        <f ca="1"/>
        <v>43718</v>
      </c>
      <c r="G43" s="108">
        <f ca="1"/>
        <v>0.14267253281783601</v>
      </c>
    </row>
    <row r="44" spans="2:12">
      <c r="F44" s="10">
        <f ca="1"/>
        <v>43809</v>
      </c>
      <c r="G44" s="108">
        <f ca="1"/>
        <v>0.14220392491466699</v>
      </c>
    </row>
    <row r="45" spans="2:12">
      <c r="F45" s="10">
        <f ca="1"/>
        <v>43900</v>
      </c>
      <c r="G45" s="108">
        <f ca="1"/>
        <v>0.14171119574984301</v>
      </c>
    </row>
    <row r="46" spans="2:12">
      <c r="F46" s="10">
        <f ca="1"/>
        <v>43992</v>
      </c>
      <c r="G46" s="108">
        <f ca="1"/>
        <v>0.14106370778157801</v>
      </c>
    </row>
    <row r="47" spans="2:12">
      <c r="F47" s="10">
        <f ca="1"/>
        <v>44084</v>
      </c>
      <c r="G47" s="108">
        <f ca="1"/>
        <v>0.140486311440462</v>
      </c>
    </row>
    <row r="48" spans="2:12">
      <c r="F48" s="10">
        <f ca="1"/>
        <v>44175</v>
      </c>
      <c r="G48" s="108">
        <f ca="1"/>
        <v>0.13985027021983201</v>
      </c>
    </row>
    <row r="49" spans="6:7">
      <c r="F49" s="10">
        <f ca="1"/>
        <v>44265</v>
      </c>
      <c r="G49" s="108">
        <f ca="1"/>
        <v>0.13912395748301601</v>
      </c>
    </row>
    <row r="50" spans="6:7">
      <c r="F50" s="10">
        <f ca="1"/>
        <v>44357</v>
      </c>
      <c r="G50" s="108">
        <f ca="1"/>
        <v>0.13834656132303699</v>
      </c>
    </row>
    <row r="51" spans="6:7">
      <c r="F51" s="10">
        <f ca="1"/>
        <v>44449</v>
      </c>
      <c r="G51" s="108">
        <f ca="1"/>
        <v>0.13743931955786301</v>
      </c>
    </row>
    <row r="52" spans="6:7">
      <c r="F52" s="10">
        <f ca="1"/>
        <v>44540</v>
      </c>
      <c r="G52" s="108">
        <f ca="1"/>
        <v>0.136612742066132</v>
      </c>
    </row>
    <row r="53" spans="6:7">
      <c r="F53" s="10">
        <f ca="1"/>
        <v>44630</v>
      </c>
      <c r="G53" s="108">
        <f ca="1"/>
        <v>0.1358532073739</v>
      </c>
    </row>
    <row r="54" spans="6:7">
      <c r="F54" s="10">
        <f ca="1"/>
        <v>44722</v>
      </c>
      <c r="G54" s="108">
        <f ca="1"/>
        <v>0.13516430174248201</v>
      </c>
    </row>
    <row r="55" spans="6:7">
      <c r="F55" s="10">
        <f ca="1"/>
        <v>44816</v>
      </c>
      <c r="G55" s="108">
        <f ca="1"/>
        <v>0.13458296440176001</v>
      </c>
    </row>
    <row r="56" spans="6:7">
      <c r="F56" s="10">
        <f ca="1"/>
        <v>44907</v>
      </c>
      <c r="G56" s="108">
        <f ca="1"/>
        <v>0.134116552912456</v>
      </c>
    </row>
    <row r="57" spans="6:7">
      <c r="F57" s="10">
        <f ca="1"/>
        <v>44995</v>
      </c>
      <c r="G57" s="108">
        <f ca="1"/>
        <v>0.13372607714724299</v>
      </c>
    </row>
    <row r="58" spans="6:7">
      <c r="F58" s="10">
        <f ca="1"/>
        <v>45090</v>
      </c>
      <c r="G58" s="108">
        <f ca="1"/>
        <v>0.13302921729088699</v>
      </c>
    </row>
    <row r="59" spans="6:7">
      <c r="F59" s="10">
        <f ca="1"/>
        <v>45180</v>
      </c>
      <c r="G59" s="108">
        <f ca="1"/>
        <v>0.13288324656516301</v>
      </c>
    </row>
    <row r="60" spans="6:7">
      <c r="F60" s="10">
        <f ca="1"/>
        <v>45271</v>
      </c>
      <c r="G60" s="108">
        <f ca="1"/>
        <v>0.13286551668174301</v>
      </c>
    </row>
    <row r="61" spans="6:7">
      <c r="F61" s="10">
        <f ca="1"/>
        <v>45362</v>
      </c>
      <c r="G61" s="108">
        <f ca="1"/>
        <v>0.13298300546985301</v>
      </c>
    </row>
    <row r="62" spans="6:7">
      <c r="F62" s="10">
        <f ca="1"/>
        <v>45454</v>
      </c>
      <c r="G62" s="108">
        <f ca="1"/>
        <v>0.133248050076677</v>
      </c>
    </row>
    <row r="63" spans="6:7">
      <c r="F63" s="10">
        <f ca="1"/>
        <v>45545</v>
      </c>
      <c r="G63" s="108">
        <f ca="1"/>
        <v>0.133662137155939</v>
      </c>
    </row>
    <row r="64" spans="6:7">
      <c r="F64" s="10">
        <f ca="1"/>
        <v>45636</v>
      </c>
      <c r="G64" s="108">
        <f ca="1"/>
        <v>0.13423325695007199</v>
      </c>
    </row>
    <row r="65" spans="6:7">
      <c r="F65" s="10">
        <f ca="1"/>
        <v>45726</v>
      </c>
      <c r="G65" s="108">
        <f ca="1"/>
        <v>0.13497228811220499</v>
      </c>
    </row>
    <row r="66" spans="6:7">
      <c r="F66" s="10">
        <f ca="1"/>
        <v>45818</v>
      </c>
      <c r="G66" s="108">
        <f ca="1"/>
        <v>0.13590120093095701</v>
      </c>
    </row>
    <row r="67" spans="6:7">
      <c r="F67" s="10">
        <f ca="1"/>
        <v>45910</v>
      </c>
      <c r="G67" s="108">
        <f ca="1"/>
        <v>0.13701392752996999</v>
      </c>
    </row>
    <row r="68" spans="6:7">
      <c r="F68" s="10">
        <f ca="1"/>
        <v>46001</v>
      </c>
      <c r="G68" s="108">
        <f ca="1"/>
        <v>0.13830804462144</v>
      </c>
    </row>
    <row r="69" spans="6:7">
      <c r="F69" s="10">
        <f ca="1"/>
        <v>46091</v>
      </c>
      <c r="G69" s="108">
        <f ca="1"/>
        <v>0.13981219762575001</v>
      </c>
    </row>
    <row r="70" spans="6:7">
      <c r="F70" s="10">
        <f ca="1"/>
        <v>46183</v>
      </c>
      <c r="G70" s="108">
        <f ca="1"/>
        <v>0.14035067296192999</v>
      </c>
    </row>
    <row r="71" spans="6:7">
      <c r="F71" s="10">
        <f ca="1"/>
        <v>46275</v>
      </c>
      <c r="G71" s="108">
        <f ca="1"/>
        <v>0.14298914791884201</v>
      </c>
    </row>
    <row r="72" spans="6:7">
      <c r="F72" s="10">
        <f ca="1"/>
        <v>46366</v>
      </c>
      <c r="G72" s="108">
        <f ca="1"/>
        <v>0.145558978679034</v>
      </c>
    </row>
    <row r="73" spans="6:7">
      <c r="F73" s="10">
        <f ca="1"/>
        <v>46456</v>
      </c>
      <c r="G73" s="108">
        <f ca="1"/>
        <v>0.14808765607601501</v>
      </c>
    </row>
    <row r="74" spans="6:7">
      <c r="F74" s="10">
        <f ca="1"/>
        <v>46548</v>
      </c>
      <c r="G74" s="108">
        <f ca="1"/>
        <v>0.150569174979477</v>
      </c>
    </row>
    <row r="75" spans="6:7">
      <c r="F75" s="10">
        <f ca="1"/>
        <v>46640</v>
      </c>
      <c r="G75" s="108">
        <f ca="1"/>
        <v>0.15294458289176699</v>
      </c>
    </row>
    <row r="76" spans="6:7">
      <c r="F76" s="10">
        <f ca="1"/>
        <v>46731</v>
      </c>
      <c r="G76" s="108">
        <f ca="1"/>
        <v>0.155198414386675</v>
      </c>
    </row>
    <row r="77" spans="6:7">
      <c r="F77" s="10">
        <f ca="1"/>
        <v>46822</v>
      </c>
      <c r="G77" s="108">
        <f ca="1"/>
        <v>0.15737329193534499</v>
      </c>
    </row>
    <row r="78" spans="6:7">
      <c r="F78" s="10">
        <f ca="1"/>
        <v>46917</v>
      </c>
      <c r="G78" s="108">
        <f ca="1"/>
        <v>0.15937804400616201</v>
      </c>
    </row>
    <row r="79" spans="6:7">
      <c r="F79" s="10">
        <f ca="1"/>
        <v>47007</v>
      </c>
      <c r="G79" s="108">
        <f ca="1"/>
        <v>0.161178318574597</v>
      </c>
    </row>
    <row r="80" spans="6:7">
      <c r="F80" s="10">
        <f ca="1"/>
        <v>47098</v>
      </c>
      <c r="G80" s="108">
        <f ca="1"/>
        <v>0.16280265007486</v>
      </c>
    </row>
    <row r="81" spans="6:7">
      <c r="F81" s="10">
        <f ca="1"/>
        <v>47189</v>
      </c>
      <c r="G81" s="108">
        <f ca="1"/>
        <v>0.164229479232261</v>
      </c>
    </row>
    <row r="82" spans="6:7">
      <c r="F82" s="10">
        <f ca="1"/>
        <v>47281</v>
      </c>
      <c r="G82" s="108">
        <f ca="1"/>
        <v>0.16541861458896201</v>
      </c>
    </row>
    <row r="83" spans="6:7">
      <c r="F83" s="10">
        <f ca="1"/>
        <v>47371</v>
      </c>
      <c r="G83" s="108">
        <f ca="1"/>
        <v>0.16635896064927699</v>
      </c>
    </row>
    <row r="84" spans="6:7">
      <c r="F84" s="10">
        <f ca="1"/>
        <v>47462</v>
      </c>
      <c r="G84" s="108">
        <f ca="1"/>
        <v>0.167035643099747</v>
      </c>
    </row>
    <row r="85" spans="6:7">
      <c r="F85" s="10">
        <f ca="1"/>
        <v>47553</v>
      </c>
      <c r="G85" s="108">
        <f ca="1"/>
        <v>0.167424382459264</v>
      </c>
    </row>
    <row r="86" spans="6:7">
      <c r="F86" s="10">
        <f ca="1"/>
        <v>47645</v>
      </c>
      <c r="G86" s="108">
        <f ca="1"/>
        <v>0.16749543670493899</v>
      </c>
    </row>
    <row r="87" spans="6:7">
      <c r="F87" s="10">
        <f ca="1"/>
        <v>47736</v>
      </c>
      <c r="G87" s="108">
        <f ca="1"/>
        <v>0.16723161320243801</v>
      </c>
    </row>
    <row r="88" spans="6:7">
      <c r="F88" s="10">
        <f ca="1"/>
        <v>47827</v>
      </c>
      <c r="G88" s="108">
        <f ca="1"/>
        <v>0.166614413083958</v>
      </c>
    </row>
    <row r="89" spans="6:7">
      <c r="F89" s="10">
        <f ca="1"/>
        <v>47917</v>
      </c>
      <c r="G89" s="108">
        <f ca="1"/>
        <v>0.165617791745548</v>
      </c>
    </row>
    <row r="90" spans="6:7">
      <c r="F90" s="10">
        <f ca="1"/>
        <v>48009</v>
      </c>
      <c r="G90" s="108">
        <f ca="1"/>
        <v>0.16607154982082001</v>
      </c>
    </row>
    <row r="91" spans="6:7">
      <c r="F91" s="10">
        <f ca="1"/>
        <v>48101</v>
      </c>
      <c r="G91" s="108">
        <f ca="1"/>
        <v>0.167197790232539</v>
      </c>
    </row>
    <row r="92" spans="6:7">
      <c r="F92" s="10">
        <f ca="1"/>
        <v>48192</v>
      </c>
      <c r="G92" s="108">
        <f ca="1"/>
        <v>0.16830700057425499</v>
      </c>
    </row>
    <row r="93" spans="6:7">
      <c r="F93" s="10">
        <f ca="1"/>
        <v>48283</v>
      </c>
      <c r="G93" s="108">
        <f ca="1"/>
        <v>0.16940860859333001</v>
      </c>
    </row>
    <row r="94" spans="6:7">
      <c r="F94" s="10">
        <f ca="1"/>
        <v>48375</v>
      </c>
      <c r="G94" s="108">
        <f ca="1"/>
        <v>0.17049753077954199</v>
      </c>
    </row>
    <row r="95" spans="6:7">
      <c r="F95" s="10">
        <f ca="1"/>
        <v>48467</v>
      </c>
      <c r="G95" s="108">
        <f ca="1"/>
        <v>0.171558899629529</v>
      </c>
    </row>
    <row r="96" spans="6:7">
      <c r="F96" s="10">
        <f ca="1"/>
        <v>48558</v>
      </c>
      <c r="G96" s="108">
        <f ca="1"/>
        <v>0.17258541250772899</v>
      </c>
    </row>
    <row r="97" spans="6:7">
      <c r="F97" s="10">
        <f ca="1"/>
        <v>48648</v>
      </c>
      <c r="G97" s="108">
        <f ca="1"/>
        <v>0.173594361287181</v>
      </c>
    </row>
    <row r="98" spans="6:7">
      <c r="F98" s="10">
        <f ca="1"/>
        <v>48740</v>
      </c>
      <c r="G98" s="108">
        <f ca="1"/>
        <v>0.174594967564839</v>
      </c>
    </row>
    <row r="99" spans="6:7">
      <c r="F99" s="10">
        <f ca="1"/>
        <v>48834</v>
      </c>
      <c r="G99" s="108">
        <f ca="1"/>
        <v>0.17555098737311101</v>
      </c>
    </row>
    <row r="100" spans="6:7">
      <c r="F100" s="10">
        <f ca="1"/>
        <v>48925</v>
      </c>
      <c r="G100" s="108">
        <f ca="1"/>
        <v>0.17644038176740201</v>
      </c>
    </row>
    <row r="101" spans="6:7">
      <c r="F101" s="10">
        <f ca="1"/>
        <v>49013</v>
      </c>
      <c r="G101" s="108">
        <f ca="1"/>
        <v>0.17732110108218799</v>
      </c>
    </row>
    <row r="102" spans="6:7">
      <c r="F102" s="10">
        <f ca="1"/>
        <v>49108</v>
      </c>
      <c r="G102" s="108">
        <f ca="1"/>
        <v>0.17815438791028701</v>
      </c>
    </row>
    <row r="103" spans="6:7">
      <c r="F103" s="10">
        <f ca="1"/>
        <v>49198</v>
      </c>
      <c r="G103" s="108">
        <f ca="1"/>
        <v>0.17892975262273</v>
      </c>
    </row>
    <row r="104" spans="6:7">
      <c r="F104" s="10">
        <f ca="1"/>
        <v>49289</v>
      </c>
      <c r="G104" s="108">
        <f ca="1"/>
        <v>0.17965856136161401</v>
      </c>
    </row>
    <row r="105" spans="6:7">
      <c r="F105" s="10">
        <f ca="1"/>
        <v>49380</v>
      </c>
      <c r="G105" s="108">
        <f ca="1"/>
        <v>0.18033852373762199</v>
      </c>
    </row>
    <row r="106" spans="6:7">
      <c r="F106" s="10">
        <f ca="1"/>
        <v>49472</v>
      </c>
      <c r="G106" s="108">
        <f ca="1"/>
        <v>0.18095410547079099</v>
      </c>
    </row>
    <row r="107" spans="6:7">
      <c r="F107" s="10">
        <f ca="1"/>
        <v>49562</v>
      </c>
      <c r="G107" s="108">
        <f ca="1"/>
        <v>0.181509101724869</v>
      </c>
    </row>
    <row r="108" spans="6:7">
      <c r="F108" s="10">
        <f ca="1"/>
        <v>49653</v>
      </c>
      <c r="G108" s="108">
        <f ca="1"/>
        <v>0.18200139623983699</v>
      </c>
    </row>
    <row r="109" spans="6:7">
      <c r="F109" s="10">
        <f ca="1"/>
        <v>49744</v>
      </c>
      <c r="G109" s="108">
        <f ca="1"/>
        <v>0.18242814630173901</v>
      </c>
    </row>
    <row r="110" spans="6:7">
      <c r="F110" s="10">
        <f ca="1"/>
        <v>49836</v>
      </c>
      <c r="G110" s="108">
        <f ca="1"/>
        <v>0.183476676314971</v>
      </c>
    </row>
    <row r="111" spans="6:7">
      <c r="F111" s="10">
        <f ca="1"/>
        <v>49928</v>
      </c>
      <c r="G111" s="108">
        <f ca="1"/>
        <v>0.18439902125875601</v>
      </c>
    </row>
    <row r="112" spans="6:7">
      <c r="F112" s="10">
        <f ca="1"/>
        <v>50019</v>
      </c>
      <c r="G112" s="108">
        <f ca="1"/>
        <v>0.185308439958627</v>
      </c>
    </row>
    <row r="113" spans="6:7">
      <c r="F113" s="10">
        <f ca="1"/>
        <v>50109</v>
      </c>
      <c r="G113" s="108">
        <f ca="1"/>
        <v>0.18622266214307001</v>
      </c>
    </row>
    <row r="114" spans="6:7">
      <c r="F114" s="10">
        <f ca="1"/>
        <v>50201</v>
      </c>
      <c r="G114" s="108">
        <f ca="1"/>
        <v>0.18714001549923101</v>
      </c>
    </row>
    <row r="115" spans="6:7">
      <c r="F115" s="10">
        <f ca="1"/>
        <v>50293</v>
      </c>
      <c r="G115" s="108">
        <f ca="1"/>
        <v>0.18804572834129701</v>
      </c>
    </row>
    <row r="116" spans="6:7">
      <c r="F116" s="10">
        <f ca="1"/>
        <v>50384</v>
      </c>
      <c r="G116" s="108">
        <f ca="1"/>
        <v>0.18893523595705899</v>
      </c>
    </row>
    <row r="117" spans="6:7">
      <c r="F117" s="10">
        <f ca="1"/>
        <v>50474</v>
      </c>
      <c r="G117" s="108">
        <f ca="1"/>
        <v>0.18982599359256999</v>
      </c>
    </row>
    <row r="118" spans="6:7">
      <c r="F118" s="10">
        <f ca="1"/>
        <v>50566</v>
      </c>
      <c r="G118" s="108">
        <f ca="1"/>
        <v>0.190715846205913</v>
      </c>
    </row>
    <row r="119" spans="6:7">
      <c r="F119" s="10">
        <f ca="1"/>
        <v>50658</v>
      </c>
      <c r="G119" s="108">
        <f ca="1"/>
        <v>0.19159039467019501</v>
      </c>
    </row>
    <row r="120" spans="6:7">
      <c r="F120" s="10">
        <f ca="1"/>
        <v>50749</v>
      </c>
      <c r="G120" s="108">
        <f ca="1"/>
        <v>0.19244528625954299</v>
      </c>
    </row>
    <row r="121" spans="6:7">
      <c r="F121" s="10">
        <f ca="1"/>
        <v>50839</v>
      </c>
      <c r="G121" s="108">
        <f ca="1"/>
        <v>0.193297435253897</v>
      </c>
    </row>
    <row r="122" spans="6:7">
      <c r="F122" s="10">
        <f ca="1"/>
        <v>50931</v>
      </c>
      <c r="G122" s="108">
        <f ca="1"/>
        <v>0.19415570569917301</v>
      </c>
    </row>
    <row r="123" spans="6:7">
      <c r="F123" s="10">
        <f ca="1"/>
        <v>51025</v>
      </c>
      <c r="G123" s="108">
        <f ca="1"/>
        <v>0.19498954838618701</v>
      </c>
    </row>
    <row r="124" spans="6:7">
      <c r="F124" s="10">
        <f ca="1"/>
        <v>51116</v>
      </c>
      <c r="G124" s="108">
        <f ca="1"/>
        <v>0.19579902879797101</v>
      </c>
    </row>
    <row r="125" spans="6:7">
      <c r="F125" s="10">
        <f ca="1"/>
        <v>51207</v>
      </c>
      <c r="G125" s="108">
        <f ca="1"/>
        <v>0.19659862613374601</v>
      </c>
    </row>
    <row r="126" spans="6:7">
      <c r="F126" s="10">
        <f ca="1"/>
        <v>51299</v>
      </c>
      <c r="G126" s="108">
        <f ca="1"/>
        <v>0.19737352958070301</v>
      </c>
    </row>
    <row r="127" spans="6:7">
      <c r="F127" s="10">
        <f ca="1"/>
        <v>51389</v>
      </c>
      <c r="G127" s="108">
        <f ca="1"/>
        <v>0.19813030658813499</v>
      </c>
    </row>
    <row r="128" spans="6:7">
      <c r="F128" s="10">
        <f ca="1"/>
        <v>51480</v>
      </c>
      <c r="G128" s="108">
        <f ca="1"/>
        <v>0.19887116761911999</v>
      </c>
    </row>
    <row r="129" spans="6:7">
      <c r="F129" s="10">
        <f ca="1"/>
        <v>51571</v>
      </c>
      <c r="G129" s="108">
        <f ca="1"/>
        <v>0.19959707872605501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ErrorLogs"/>
  <dimension ref="B1:J23"/>
  <sheetViews>
    <sheetView showGridLines="0" workbookViewId="0">
      <selection activeCell="D4" sqref="D4"/>
    </sheetView>
  </sheetViews>
  <sheetFormatPr defaultRowHeight="12.75"/>
  <cols>
    <col min="1" max="1" width="3.7109375" customWidth="1"/>
    <col min="2" max="2" width="59.7109375" style="22" customWidth="1"/>
    <col min="3" max="3" width="18.140625" style="130" bestFit="1" customWidth="1"/>
    <col min="4" max="4" width="71.140625" style="22" customWidth="1"/>
    <col min="5" max="10" width="34.28515625" customWidth="1"/>
  </cols>
  <sheetData>
    <row r="1" spans="2:10" s="1" customFormat="1" ht="0.95" customHeight="1">
      <c r="B1" s="22"/>
      <c r="C1" s="130"/>
      <c r="D1" s="22"/>
    </row>
    <row r="2" spans="2:10" s="1" customFormat="1" ht="24.95" customHeight="1">
      <c r="B2" s="74" t="s">
        <v>95</v>
      </c>
      <c r="C2" s="74"/>
      <c r="D2" s="53" t="str">
        <f>IF(Publish_SuperD="Off","Publishing is OFF","")</f>
        <v/>
      </c>
      <c r="E2" s="74"/>
      <c r="F2" s="74"/>
      <c r="G2" s="74"/>
      <c r="H2" s="74"/>
      <c r="I2" s="74"/>
      <c r="J2" s="74"/>
    </row>
    <row r="4" spans="2:10">
      <c r="B4" s="129" t="str">
        <f t="array" aca="1" ref="B4:D23" ca="1">_xll.qArrayPad(_xll.qLogRead(),"",50)</f>
        <v>The operation has timed out</v>
      </c>
      <c r="C4" s="128">
        <f ca="1"/>
        <v>40703.580394201388</v>
      </c>
      <c r="D4" s="129" t="str">
        <f ca="1"/>
        <v>System.Net.WebException: The operation has timed out_x000D_
   at System.Web.Services.Protocols.WebClientProtocol.GetWebResponse(WebRequest request)_x000D_
   at System.Web.Services.Protocols.HttpWebClientProtocol.GetWebResponse(WebRequest request)_x000D_
   at System.Web.Services.Protocols.SoapHttpClientProtocol.Invoke(String methodName, Object[] parameters)_x000D_
   at National.QR.Communication.PricingStructures.PricingStructures.PublishLpmCapFloorVolMatrix(Object[][] structurePropertiesRange, Object[][] publishPropertiesRange, Object[][] valuesRange, Object[][] rateCurveFiltersRange) in C:\ccviews\QR\Q\Main\Source\Communication\Communication\Web References\PricingStructures\Reference.cs:line 202_x000D_
   at National.QR.Communication.WebServiceClient.WebServiceConnection.PublishLpmCapFloors(Object[][] volProperties, Object[][] publishProperties, Object[][] volData, Object[][] extendedData, String publsherContext) in C:\ccviews\QR\Q\Main\Source\Communication\Communication\WebServiceClient\WebServiceConnection.cs:line 104_x000D_
   at National.QR.Cxl.WebServiceClient.WebService.ComWebPublishLpmCapsFloors(String curveName, Object[,] curveProperties, Object[,] publishProperties, Object[,] curveData, Object[,] extendedData, String webService, Int32 throttleSeconds)_x000D_
   at Wrapped_f6_ComWebPublishLpmCapsFloors(String , Object[,] , Object[,] , Object[,] , Object[,] , String , Int32 )</v>
      </c>
      <c r="E4" s="127"/>
      <c r="F4" s="127"/>
      <c r="G4" s="127"/>
      <c r="H4" s="127"/>
      <c r="I4" s="127"/>
      <c r="J4" s="127"/>
    </row>
    <row r="5" spans="2:10">
      <c r="B5" s="129" t="str">
        <f ca="1"/>
        <v>The operation has timed out</v>
      </c>
      <c r="C5" s="128">
        <f ca="1"/>
        <v>40703.579005231484</v>
      </c>
      <c r="D5" s="129" t="str">
        <f ca="1"/>
        <v>System.Net.WebException: The operation has timed out_x000D_
   at System.Web.Services.Protocols.WebClientProtocol.GetWebResponse(WebRequest request)_x000D_
   at System.Web.Services.Protocols.HttpWebClientProtocol.GetWebResponse(WebRequest request)_x000D_
   at System.Web.Services.Protocols.SoapHttpClientProtocol.Invoke(String methodName, Object[] parameters)_x000D_
   at National.QR.Communication.PricingStructures.PricingStructures.PublishLpmCapFloorVolMatrix(Object[][] structurePropertiesRange, Object[][] publishPropertiesRange, Object[][] valuesRange, Object[][] rateCurveFiltersRange) in C:\ccviews\QR\Q\Main\Source\Communication\Communication\Web References\PricingStructures\Reference.cs:line 202_x000D_
   at National.QR.Communication.WebServiceClient.WebServiceConnection.PublishLpmCapFloors(Object[][] volProperties, Object[][] publishProperties, Object[][] volData, Object[][] extendedData, String publsherContext) in C:\ccviews\QR\Q\Main\Source\Communication\Communication\WebServiceClient\WebServiceConnection.cs:line 104_x000D_
   at National.QR.Cxl.WebServiceClient.WebService.ComWebPublishLpmCapsFloors(String curveName, Object[,] curveProperties, Object[,] publishProperties, Object[,] curveData, Object[,] extendedData, String webService, Int32 throttleSeconds)_x000D_
   at Wrapped_f6_ComWebPublishLpmCapsFloors(String , Object[,] , Object[,] , Object[,] , Object[,] , String , Int32 )</v>
      </c>
      <c r="E5" s="127"/>
      <c r="F5" s="127"/>
      <c r="G5" s="127"/>
      <c r="H5" s="127"/>
      <c r="I5" s="127"/>
      <c r="J5" s="127"/>
    </row>
    <row r="6" spans="2:10">
      <c r="B6" s="129" t="str">
        <f ca="1"/>
        <v>The operation has timed out</v>
      </c>
      <c r="C6" s="128">
        <f ca="1"/>
        <v>40703.577617187497</v>
      </c>
      <c r="D6" s="129" t="str">
        <f ca="1"/>
        <v>System.Net.WebException: The operation has timed out_x000D_
   at System.Web.Services.Protocols.WebClientProtocol.GetWebResponse(WebRequest request)_x000D_
   at System.Web.Services.Protocols.HttpWebClientProtocol.GetWebResponse(WebRequest request)_x000D_
   at System.Web.Services.Protocols.SoapHttpClientProtocol.Invoke(String methodName, Object[] parameters)_x000D_
   at National.QR.Communication.PricingStructures.PricingStructures.PublishLpmCapFloorVolMatrix(Object[][] structurePropertiesRange, Object[][] publishPropertiesRange, Object[][] valuesRange, Object[][] rateCurveFiltersRange) in C:\ccviews\QR\Q\Main\Source\Communication\Communication\Web References\PricingStructures\Reference.cs:line 202_x000D_
   at National.QR.Communication.WebServiceClient.WebServiceConnection.PublishLpmCapFloors(Object[][] volProperties, Object[][] publishProperties, Object[][] volData, Object[][] extendedData, String publsherContext) in C:\ccviews\QR\Q\Main\Source\Communication\Communication\WebServiceClient\WebServiceConnection.cs:line 104_x000D_
   at National.QR.Cxl.WebServiceClient.WebService.ComWebPublishLpmCapsFloors(String curveName, Object[,] curveProperties, Object[,] publishProperties, Object[,] curveData, Object[,] extendedData, String webService, Int32 throttleSeconds)_x000D_
   at Wrapped_f6_ComWebPublishLpmCapsFloors(String , Object[,] , Object[,] , Object[,] , Object[,] , String , Int32 )</v>
      </c>
      <c r="E6" s="127"/>
      <c r="F6" s="127"/>
      <c r="G6" s="127"/>
      <c r="H6" s="127"/>
      <c r="I6" s="127"/>
      <c r="J6" s="127"/>
    </row>
    <row r="7" spans="2:10">
      <c r="B7" s="129" t="str">
        <f ca="1"/>
        <v/>
      </c>
      <c r="C7" s="128" t="str">
        <f ca="1"/>
        <v/>
      </c>
      <c r="D7" s="129" t="str">
        <f ca="1"/>
        <v/>
      </c>
      <c r="E7" s="127"/>
      <c r="F7" s="127"/>
      <c r="G7" s="127"/>
      <c r="H7" s="127"/>
      <c r="I7" s="127"/>
      <c r="J7" s="127"/>
    </row>
    <row r="8" spans="2:10">
      <c r="B8" s="129" t="str">
        <f ca="1"/>
        <v/>
      </c>
      <c r="C8" s="128" t="str">
        <f ca="1"/>
        <v/>
      </c>
      <c r="D8" s="129" t="str">
        <f ca="1"/>
        <v/>
      </c>
      <c r="E8" s="127"/>
      <c r="F8" s="127"/>
      <c r="G8" s="127"/>
      <c r="H8" s="127"/>
      <c r="I8" s="127"/>
      <c r="J8" s="127"/>
    </row>
    <row r="9" spans="2:10">
      <c r="B9" s="129" t="str">
        <f ca="1"/>
        <v/>
      </c>
      <c r="C9" s="128" t="str">
        <f ca="1"/>
        <v/>
      </c>
      <c r="D9" s="129" t="str">
        <f ca="1"/>
        <v/>
      </c>
      <c r="E9" s="127"/>
      <c r="F9" s="127"/>
      <c r="G9" s="127"/>
      <c r="H9" s="127"/>
      <c r="I9" s="127"/>
      <c r="J9" s="127"/>
    </row>
    <row r="10" spans="2:10">
      <c r="B10" s="129" t="str">
        <f ca="1"/>
        <v/>
      </c>
      <c r="C10" s="128" t="str">
        <f ca="1"/>
        <v/>
      </c>
      <c r="D10" s="129" t="str">
        <f ca="1"/>
        <v/>
      </c>
      <c r="E10" s="127"/>
      <c r="F10" s="127"/>
      <c r="G10" s="127"/>
      <c r="H10" s="127"/>
      <c r="I10" s="127"/>
      <c r="J10" s="127"/>
    </row>
    <row r="11" spans="2:10">
      <c r="B11" s="129" t="str">
        <f ca="1"/>
        <v/>
      </c>
      <c r="C11" s="128" t="str">
        <f ca="1"/>
        <v/>
      </c>
      <c r="D11" s="129" t="str">
        <f ca="1"/>
        <v/>
      </c>
      <c r="E11" s="127"/>
      <c r="F11" s="127"/>
      <c r="G11" s="127"/>
      <c r="H11" s="127"/>
      <c r="I11" s="127"/>
      <c r="J11" s="127"/>
    </row>
    <row r="12" spans="2:10">
      <c r="B12" s="129" t="str">
        <f ca="1"/>
        <v/>
      </c>
      <c r="C12" s="128" t="str">
        <f ca="1"/>
        <v/>
      </c>
      <c r="D12" s="129" t="str">
        <f ca="1"/>
        <v/>
      </c>
      <c r="E12" s="127"/>
      <c r="F12" s="127"/>
      <c r="G12" s="127"/>
      <c r="H12" s="127"/>
      <c r="I12" s="127"/>
      <c r="J12" s="127"/>
    </row>
    <row r="13" spans="2:10">
      <c r="B13" s="129" t="str">
        <f ca="1"/>
        <v/>
      </c>
      <c r="C13" s="128" t="str">
        <f ca="1"/>
        <v/>
      </c>
      <c r="D13" s="129" t="str">
        <f ca="1"/>
        <v/>
      </c>
      <c r="E13" s="127"/>
      <c r="F13" s="127"/>
      <c r="G13" s="127"/>
      <c r="H13" s="127"/>
      <c r="I13" s="127"/>
      <c r="J13" s="127"/>
    </row>
    <row r="14" spans="2:10">
      <c r="B14" s="129" t="str">
        <f ca="1"/>
        <v/>
      </c>
      <c r="C14" s="128" t="str">
        <f ca="1"/>
        <v/>
      </c>
      <c r="D14" s="129" t="str">
        <f ca="1"/>
        <v/>
      </c>
      <c r="E14" s="127"/>
      <c r="F14" s="127"/>
      <c r="G14" s="127"/>
      <c r="H14" s="127"/>
      <c r="I14" s="127"/>
      <c r="J14" s="127"/>
    </row>
    <row r="15" spans="2:10">
      <c r="B15" s="129" t="str">
        <f ca="1"/>
        <v/>
      </c>
      <c r="C15" s="128" t="str">
        <f ca="1"/>
        <v/>
      </c>
      <c r="D15" s="129" t="str">
        <f ca="1"/>
        <v/>
      </c>
      <c r="E15" s="127"/>
      <c r="F15" s="127"/>
      <c r="G15" s="127"/>
      <c r="H15" s="127"/>
      <c r="I15" s="127"/>
      <c r="J15" s="127"/>
    </row>
    <row r="16" spans="2:10">
      <c r="B16" s="129" t="str">
        <f ca="1"/>
        <v/>
      </c>
      <c r="C16" s="128" t="str">
        <f ca="1"/>
        <v/>
      </c>
      <c r="D16" s="129" t="str">
        <f ca="1"/>
        <v/>
      </c>
      <c r="E16" s="127"/>
      <c r="F16" s="127"/>
      <c r="G16" s="127"/>
      <c r="H16" s="127"/>
      <c r="I16" s="127"/>
      <c r="J16" s="127"/>
    </row>
    <row r="17" spans="2:10">
      <c r="B17" s="129" t="str">
        <f ca="1"/>
        <v/>
      </c>
      <c r="C17" s="128" t="str">
        <f ca="1"/>
        <v/>
      </c>
      <c r="D17" s="129" t="str">
        <f ca="1"/>
        <v/>
      </c>
      <c r="E17" s="127"/>
      <c r="F17" s="127"/>
      <c r="G17" s="127"/>
      <c r="H17" s="127"/>
      <c r="I17" s="127"/>
      <c r="J17" s="127"/>
    </row>
    <row r="18" spans="2:10">
      <c r="B18" s="129" t="str">
        <f ca="1"/>
        <v/>
      </c>
      <c r="C18" s="128" t="str">
        <f ca="1"/>
        <v/>
      </c>
      <c r="D18" s="129" t="str">
        <f ca="1"/>
        <v/>
      </c>
      <c r="E18" s="127"/>
      <c r="F18" s="127"/>
      <c r="G18" s="127"/>
      <c r="H18" s="127"/>
      <c r="I18" s="127"/>
      <c r="J18" s="127"/>
    </row>
    <row r="19" spans="2:10">
      <c r="B19" s="129" t="str">
        <f ca="1"/>
        <v/>
      </c>
      <c r="C19" s="128" t="str">
        <f ca="1"/>
        <v/>
      </c>
      <c r="D19" s="129" t="str">
        <f ca="1"/>
        <v/>
      </c>
      <c r="E19" s="127"/>
      <c r="F19" s="127"/>
      <c r="G19" s="127"/>
      <c r="H19" s="127"/>
      <c r="I19" s="127"/>
      <c r="J19" s="127"/>
    </row>
    <row r="20" spans="2:10">
      <c r="B20" s="129" t="str">
        <f ca="1"/>
        <v/>
      </c>
      <c r="C20" s="128" t="str">
        <f ca="1"/>
        <v/>
      </c>
      <c r="D20" s="129" t="str">
        <f ca="1"/>
        <v/>
      </c>
      <c r="E20" s="127"/>
      <c r="F20" s="127"/>
      <c r="G20" s="127"/>
      <c r="H20" s="127"/>
      <c r="I20" s="127"/>
      <c r="J20" s="127"/>
    </row>
    <row r="21" spans="2:10">
      <c r="B21" s="129" t="str">
        <f ca="1"/>
        <v/>
      </c>
      <c r="C21" s="128" t="str">
        <f ca="1"/>
        <v/>
      </c>
      <c r="D21" s="129" t="str">
        <f ca="1"/>
        <v/>
      </c>
      <c r="E21" s="127"/>
      <c r="F21" s="127"/>
      <c r="G21" s="127"/>
      <c r="H21" s="127"/>
      <c r="I21" s="127"/>
      <c r="J21" s="127"/>
    </row>
    <row r="22" spans="2:10">
      <c r="B22" s="129" t="str">
        <f ca="1"/>
        <v/>
      </c>
      <c r="C22" s="128" t="str">
        <f ca="1"/>
        <v/>
      </c>
      <c r="D22" s="129" t="str">
        <f ca="1"/>
        <v/>
      </c>
      <c r="E22" s="127"/>
      <c r="F22" s="127"/>
      <c r="G22" s="127"/>
      <c r="H22" s="127"/>
      <c r="I22" s="127"/>
      <c r="J22" s="127"/>
    </row>
    <row r="23" spans="2:10">
      <c r="B23" s="129" t="str">
        <f ca="1"/>
        <v/>
      </c>
      <c r="C23" s="128" t="str">
        <f ca="1"/>
        <v/>
      </c>
      <c r="D23" s="129" t="str">
        <f ca="1"/>
        <v/>
      </c>
      <c r="E23" s="127"/>
      <c r="F23" s="127"/>
      <c r="G23" s="127"/>
      <c r="H23" s="127"/>
      <c r="I23" s="127"/>
      <c r="J23" s="127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Main</vt:lpstr>
      <vt:lpstr>Trader</vt:lpstr>
      <vt:lpstr>LPM</vt:lpstr>
      <vt:lpstr>SuperD</vt:lpstr>
      <vt:lpstr>Errorlogs</vt:lpstr>
      <vt:lpstr>CreationTime</vt:lpstr>
      <vt:lpstr>CurveLifetime</vt:lpstr>
      <vt:lpstr>LastPublished</vt:lpstr>
      <vt:lpstr>MarketPrefix</vt:lpstr>
      <vt:lpstr>Publish_LPM</vt:lpstr>
      <vt:lpstr>Publish_SuperD</vt:lpstr>
      <vt:lpstr>Publish_TRADER</vt:lpstr>
      <vt:lpstr>RerunFrequency</vt:lpstr>
      <vt:lpstr>TimeToPublish</vt:lpstr>
      <vt:lpstr>ValueDate</vt:lpstr>
      <vt:lpstr>WebService</vt:lpstr>
    </vt:vector>
  </TitlesOfParts>
  <Company>nabCapital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awhitake</dc:creator>
  <cp:lastModifiedBy>awhitake</cp:lastModifiedBy>
  <dcterms:created xsi:type="dcterms:W3CDTF">2011-01-19T22:31:53Z</dcterms:created>
  <dcterms:modified xsi:type="dcterms:W3CDTF">2011-06-09T03:57:44Z</dcterms:modified>
</cp:coreProperties>
</file>