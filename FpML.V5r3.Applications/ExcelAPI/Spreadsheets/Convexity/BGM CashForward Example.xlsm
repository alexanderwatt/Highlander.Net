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Convexity\"/>
    </mc:Choice>
  </mc:AlternateContent>
  <xr:revisionPtr revIDLastSave="0" documentId="13_ncr:1_{A9729884-B73C-4B58-9EB5-4BE110006473}" xr6:coauthVersionLast="31" xr6:coauthVersionMax="31" xr10:uidLastSave="{00000000-0000-0000-0000-000000000000}"/>
  <bookViews>
    <workbookView xWindow="120" yWindow="30" windowWidth="12315" windowHeight="5130" activeTab="2" xr2:uid="{00000000-000D-0000-FFFF-FFFF00000000}"/>
  </bookViews>
  <sheets>
    <sheet name="Notes" sheetId="5" r:id="rId1"/>
    <sheet name="Data" sheetId="1" r:id="rId2"/>
    <sheet name="Adjusted CashForward" sheetId="2" r:id="rId3"/>
    <sheet name="Data 2" sheetId="3" r:id="rId4"/>
    <sheet name="Adjusted Cash Forward 2" sheetId="4" r:id="rId5"/>
  </sheets>
  <calcPr calcId="179017" refMode="R1C1"/>
</workbook>
</file>

<file path=xl/calcChain.xml><?xml version="1.0" encoding="utf-8"?>
<calcChain xmlns="http://schemas.openxmlformats.org/spreadsheetml/2006/main">
  <c r="D9" i="1" l="1"/>
  <c r="G9" i="3"/>
  <c r="G10" i="3" s="1"/>
  <c r="G11" i="3" s="1"/>
  <c r="G12" i="3" s="1"/>
  <c r="G13" i="3" s="1"/>
  <c r="G14" i="3" s="1"/>
  <c r="G15" i="3" s="1"/>
  <c r="G16" i="3" s="1"/>
  <c r="G17" i="3" s="1"/>
  <c r="G18" i="3" s="1"/>
  <c r="D9" i="3"/>
  <c r="G9" i="1"/>
  <c r="G10" i="1" s="1"/>
  <c r="G11" i="1" s="1"/>
  <c r="G12" i="1" s="1"/>
  <c r="G13" i="1" s="1"/>
  <c r="G14" i="1" s="1"/>
  <c r="G15" i="1" s="1"/>
  <c r="G16" i="1" s="1"/>
  <c r="G17" i="1" s="1"/>
  <c r="G18" i="1" s="1"/>
  <c r="D7" i="4" a="1"/>
  <c r="D7" i="2" a="1"/>
  <c r="H11" i="2" l="1"/>
  <c r="G15" i="2"/>
  <c r="H12" i="2"/>
  <c r="H9" i="2"/>
  <c r="E9" i="2"/>
  <c r="H10" i="2"/>
  <c r="D16" i="2"/>
  <c r="H15" i="2"/>
  <c r="H16" i="2"/>
  <c r="G12" i="2"/>
  <c r="E7" i="2"/>
  <c r="G13" i="2"/>
  <c r="G10" i="2"/>
  <c r="D10" i="2"/>
  <c r="F12" i="2"/>
  <c r="D15" i="2"/>
  <c r="F7" i="2"/>
  <c r="F10" i="2"/>
  <c r="F11" i="2"/>
  <c r="E11" i="2"/>
  <c r="G14" i="2"/>
  <c r="E13" i="2"/>
  <c r="D9" i="2"/>
  <c r="F8" i="2"/>
  <c r="D7" i="2"/>
  <c r="F13" i="2"/>
  <c r="D8" i="2"/>
  <c r="F14" i="2"/>
  <c r="E12" i="2"/>
  <c r="G11" i="2"/>
  <c r="H14" i="2"/>
  <c r="G9" i="2"/>
  <c r="H7" i="2"/>
  <c r="E14" i="2"/>
  <c r="H8" i="2"/>
  <c r="E15" i="2"/>
  <c r="D13" i="2"/>
  <c r="D14" i="2"/>
  <c r="F16" i="2"/>
  <c r="G8" i="2"/>
  <c r="H13" i="2"/>
  <c r="F9" i="2"/>
  <c r="F15" i="2"/>
  <c r="G16" i="2"/>
  <c r="E8" i="2"/>
  <c r="E10" i="2"/>
  <c r="E16" i="2"/>
  <c r="D11" i="2"/>
  <c r="D12" i="2"/>
  <c r="G7" i="2"/>
  <c r="D7" i="4"/>
  <c r="F13" i="4"/>
  <c r="G9" i="4"/>
  <c r="D16" i="4"/>
  <c r="F12" i="4"/>
  <c r="D9" i="4"/>
  <c r="F15" i="4"/>
  <c r="G16" i="4"/>
  <c r="E12" i="4"/>
  <c r="D11" i="4"/>
  <c r="F16" i="4"/>
  <c r="H7" i="4"/>
  <c r="E14" i="4"/>
  <c r="F10" i="4"/>
  <c r="H16" i="4"/>
  <c r="E13" i="4"/>
  <c r="H9" i="4"/>
  <c r="E16" i="4"/>
  <c r="H12" i="4"/>
  <c r="G13" i="4"/>
  <c r="D13" i="4"/>
  <c r="G12" i="4"/>
  <c r="E15" i="4"/>
  <c r="G11" i="4"/>
  <c r="G14" i="4"/>
  <c r="G8" i="4"/>
  <c r="D15" i="4"/>
  <c r="E11" i="4"/>
  <c r="G7" i="4"/>
  <c r="D14" i="4"/>
  <c r="G10" i="4"/>
  <c r="E9" i="4"/>
  <c r="F9" i="4"/>
  <c r="H15" i="4"/>
  <c r="D12" i="4"/>
  <c r="F8" i="4"/>
  <c r="H14" i="4"/>
  <c r="F11" i="4"/>
  <c r="E10" i="4"/>
  <c r="G15" i="4"/>
  <c r="E7" i="4"/>
  <c r="D10" i="4"/>
  <c r="H11" i="4"/>
  <c r="D8" i="4"/>
  <c r="F14" i="4"/>
  <c r="H10" i="4"/>
  <c r="F7" i="4"/>
  <c r="H13" i="4"/>
  <c r="H8" i="4"/>
  <c r="E8" i="4"/>
</calcChain>
</file>

<file path=xl/sharedStrings.xml><?xml version="1.0" encoding="utf-8"?>
<sst xmlns="http://schemas.openxmlformats.org/spreadsheetml/2006/main" count="154" uniqueCount="29">
  <si>
    <t>Volatility</t>
  </si>
  <si>
    <t>Eurodollar Futures Rate</t>
  </si>
  <si>
    <t>Maturity</t>
  </si>
  <si>
    <t>3m</t>
  </si>
  <si>
    <t>6m</t>
  </si>
  <si>
    <t>9m</t>
  </si>
  <si>
    <t>1yr</t>
  </si>
  <si>
    <t>1.25yr</t>
  </si>
  <si>
    <t>1.5yr</t>
  </si>
  <si>
    <t>1.75yr</t>
  </si>
  <si>
    <t>2yr</t>
  </si>
  <si>
    <t>2.25yr</t>
  </si>
  <si>
    <t>2.5yr</t>
  </si>
  <si>
    <t>Coverage</t>
  </si>
  <si>
    <t>Time Nodes</t>
  </si>
  <si>
    <t>Correlation</t>
  </si>
  <si>
    <t>DATA</t>
  </si>
  <si>
    <t>Shift</t>
  </si>
  <si>
    <t>Adjusted Cash Forward</t>
  </si>
  <si>
    <t>Error</t>
  </si>
  <si>
    <t>Number of Iterations</t>
  </si>
  <si>
    <t>For interval ending</t>
  </si>
  <si>
    <t>Futures Rates</t>
  </si>
  <si>
    <t>UPDATE SHEET COMMAND: SHIFT + F9</t>
  </si>
  <si>
    <t>Sample correlation in Data 2 is from the formula:</t>
  </si>
  <si>
    <t>Version</t>
  </si>
  <si>
    <t>Time Elapsed (s)</t>
  </si>
  <si>
    <t>corr(T_i,T_j) = exp(-0.2*|T_j - T_i|)</t>
  </si>
  <si>
    <t>The error in the adjusted cash forward is measured as the difference between the futures rate implied by the adjusted cash forward and the market futures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</si>
</sst>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\ ;\(&quot;$&quot;#,##0\)"/>
    <numFmt numFmtId="165" formatCode="0.00_)"/>
    <numFmt numFmtId="166" formatCode="0.000%"/>
    <numFmt numFmtId="167" formatCode="#,##0.0;#,##0.0"/>
    <numFmt numFmtId="168" formatCode="\+#,##0.00;\-#,##0.00"/>
    <numFmt numFmtId="169" formatCode="0.000000000000000"/>
    <numFmt numFmtId="170" formatCode="0.0000"/>
    <numFmt numFmtId="171" formatCode="0.0000000000000%"/>
    <numFmt numFmtId="172" formatCode="0.0"/>
  </numFmts>
  <fonts count="41">
    <font>
      <sz val="10"/>
      <name val="Arial"/>
    </font>
    <font>
      <sz val="10"/>
      <name val="Arial"/>
    </font>
    <font>
      <sz val="8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b/>
      <sz val="10"/>
      <color indexed="12"/>
      <name val="Arial"/>
      <family val="2"/>
    </font>
    <font>
      <sz val="10"/>
      <color indexed="12"/>
      <name val="Arial"/>
    </font>
    <font>
      <sz val="10"/>
      <color indexed="10"/>
      <name val="Arial"/>
    </font>
    <font>
      <sz val="10"/>
      <color indexed="9"/>
      <name val="Arial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8">
    <xf numFmtId="0" fontId="0" fillId="0" borderId="0"/>
    <xf numFmtId="0" fontId="1" fillId="0" borderId="0" applyNumberFormat="0" applyFill="0" applyBorder="0" applyAlignment="0" applyProtection="0">
      <alignment horizontal="left" wrapText="1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20" borderId="0" applyAlignment="0"/>
    <xf numFmtId="0" fontId="6" fillId="3" borderId="0" applyNumberFormat="0" applyBorder="0" applyAlignment="0" applyProtection="0"/>
    <xf numFmtId="0" fontId="7" fillId="21" borderId="1" applyNumberFormat="0" applyAlignment="0" applyProtection="0"/>
    <xf numFmtId="0" fontId="8" fillId="22" borderId="2" applyNumberFormat="0" applyAlignment="0" applyProtection="0"/>
    <xf numFmtId="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23" borderId="0" applyNumberFormat="0" applyBorder="0">
      <alignment horizontal="right" vertical="center"/>
    </xf>
    <xf numFmtId="19" fontId="14" fillId="23" borderId="6" applyNumberFormat="0" applyBorder="0">
      <alignment horizontal="left" vertical="center"/>
    </xf>
    <xf numFmtId="2" fontId="15" fillId="24" borderId="0">
      <alignment horizontal="center" vertical="center"/>
    </xf>
    <xf numFmtId="2" fontId="15" fillId="24" borderId="7" applyBorder="0">
      <alignment horizontal="left" vertical="center"/>
    </xf>
    <xf numFmtId="0" fontId="14" fillId="23" borderId="0">
      <alignment horizontal="right" vertical="center"/>
    </xf>
    <xf numFmtId="19" fontId="16" fillId="23" borderId="8" applyNumberFormat="0" applyBorder="0">
      <alignment horizontal="left" vertical="center" indent="1"/>
    </xf>
    <xf numFmtId="2" fontId="17" fillId="24" borderId="9" applyBorder="0">
      <alignment horizontal="left" vertical="center" indent="1"/>
    </xf>
    <xf numFmtId="2" fontId="17" fillId="24" borderId="10" applyBorder="0">
      <alignment horizontal="center" vertical="center"/>
    </xf>
    <xf numFmtId="0" fontId="18" fillId="7" borderId="1" applyNumberFormat="0" applyAlignment="0" applyProtection="0"/>
    <xf numFmtId="2" fontId="19" fillId="25" borderId="11" applyBorder="0">
      <alignment horizontal="left" vertical="center" indent="1"/>
    </xf>
    <xf numFmtId="0" fontId="19" fillId="25" borderId="0">
      <alignment horizontal="right" vertical="center"/>
    </xf>
    <xf numFmtId="2" fontId="19" fillId="25" borderId="6" applyNumberFormat="0" applyBorder="0">
      <alignment horizontal="right" vertical="center"/>
    </xf>
    <xf numFmtId="2" fontId="20" fillId="26" borderId="8" applyBorder="0">
      <alignment horizontal="left" vertical="center" indent="1"/>
    </xf>
    <xf numFmtId="2" fontId="20" fillId="26" borderId="0">
      <alignment horizontal="right" vertical="center"/>
    </xf>
    <xf numFmtId="2" fontId="20" fillId="26" borderId="7" applyBorder="0">
      <alignment horizontal="left" vertical="center"/>
    </xf>
    <xf numFmtId="2" fontId="20" fillId="26" borderId="12" applyBorder="0">
      <alignment horizontal="center" vertical="center"/>
    </xf>
    <xf numFmtId="19" fontId="16" fillId="27" borderId="13" applyNumberFormat="0" applyBorder="0">
      <alignment horizontal="left" vertical="center"/>
    </xf>
    <xf numFmtId="15" fontId="16" fillId="27" borderId="10" applyNumberFormat="0" applyBorder="0">
      <alignment horizontal="right" vertical="center"/>
    </xf>
    <xf numFmtId="19" fontId="16" fillId="27" borderId="14" applyNumberFormat="0" applyBorder="0">
      <alignment horizontal="right" vertical="center"/>
    </xf>
    <xf numFmtId="2" fontId="17" fillId="28" borderId="15" applyBorder="0">
      <alignment horizontal="left" vertical="center" indent="1"/>
    </xf>
    <xf numFmtId="2" fontId="17" fillId="28" borderId="7" applyNumberFormat="0">
      <alignment horizontal="center" vertical="center"/>
    </xf>
    <xf numFmtId="2" fontId="17" fillId="28" borderId="7" applyNumberFormat="0" applyBorder="0">
      <alignment horizontal="left" vertical="center"/>
    </xf>
    <xf numFmtId="2" fontId="19" fillId="29" borderId="14" applyNumberFormat="0" applyBorder="0">
      <alignment horizontal="right" vertical="center"/>
    </xf>
    <xf numFmtId="0" fontId="21" fillId="0" borderId="16" applyNumberFormat="0" applyFill="0" applyAlignment="0" applyProtection="0"/>
    <xf numFmtId="0" fontId="22" fillId="30" borderId="0" applyNumberFormat="0" applyBorder="0" applyAlignment="0" applyProtection="0"/>
    <xf numFmtId="0" fontId="1" fillId="0" borderId="0" applyNumberFormat="0" applyFont="0" applyFill="0" applyBorder="0" applyAlignment="0"/>
    <xf numFmtId="165" fontId="23" fillId="0" borderId="0"/>
    <xf numFmtId="0" fontId="1" fillId="31" borderId="17" applyNumberFormat="0" applyFont="0" applyAlignment="0" applyProtection="0"/>
    <xf numFmtId="0" fontId="24" fillId="32" borderId="18" applyNumberFormat="0" applyBorder="0">
      <alignment horizontal="left" vertical="center"/>
    </xf>
    <xf numFmtId="2" fontId="24" fillId="32" borderId="7" applyNumberFormat="0" applyBorder="0">
      <alignment horizontal="left" vertical="center"/>
    </xf>
    <xf numFmtId="2" fontId="20" fillId="26" borderId="19" applyNumberFormat="0" applyBorder="0">
      <alignment horizontal="left" vertical="center"/>
    </xf>
    <xf numFmtId="2" fontId="20" fillId="26" borderId="7" applyNumberFormat="0" applyBorder="0">
      <alignment horizontal="left" vertical="center"/>
    </xf>
    <xf numFmtId="0" fontId="25" fillId="21" borderId="20" applyNumberFormat="0" applyAlignment="0" applyProtection="0"/>
    <xf numFmtId="19" fontId="19" fillId="33" borderId="21" applyNumberFormat="0" applyBorder="0">
      <alignment horizontal="left" vertical="center" indent="1"/>
    </xf>
    <xf numFmtId="0" fontId="19" fillId="33" borderId="0">
      <alignment horizontal="right" vertical="center"/>
    </xf>
    <xf numFmtId="19" fontId="19" fillId="33" borderId="14" applyNumberFormat="0" applyBorder="0">
      <alignment horizontal="right" vertical="center"/>
    </xf>
    <xf numFmtId="2" fontId="26" fillId="34" borderId="9" applyBorder="0">
      <alignment horizontal="left" vertical="center" indent="1"/>
    </xf>
    <xf numFmtId="2" fontId="26" fillId="34" borderId="0">
      <alignment horizontal="center" vertical="center"/>
    </xf>
    <xf numFmtId="2" fontId="26" fillId="34" borderId="22">
      <alignment horizontal="left" vertical="center"/>
    </xf>
    <xf numFmtId="0" fontId="27" fillId="35" borderId="12">
      <alignment horizontal="center"/>
    </xf>
    <xf numFmtId="166" fontId="28" fillId="36" borderId="0" applyNumberFormat="0" applyBorder="0">
      <alignment horizontal="right" vertical="center"/>
    </xf>
    <xf numFmtId="166" fontId="28" fillId="36" borderId="0" applyNumberFormat="0" applyBorder="0">
      <alignment horizontal="right" vertical="center"/>
    </xf>
    <xf numFmtId="0" fontId="29" fillId="37" borderId="12" applyNumberFormat="0">
      <alignment horizontal="center" vertical="center"/>
    </xf>
    <xf numFmtId="0" fontId="29" fillId="37" borderId="0" applyNumberFormat="0" applyBorder="0">
      <alignment horizontal="left" vertical="center" indent="1"/>
    </xf>
    <xf numFmtId="167" fontId="30" fillId="38" borderId="0">
      <alignment horizontal="center" vertical="center"/>
    </xf>
    <xf numFmtId="168" fontId="31" fillId="39" borderId="0">
      <alignment horizontal="center" vertical="center"/>
      <protection locked="0"/>
    </xf>
    <xf numFmtId="0" fontId="1" fillId="0" borderId="0">
      <alignment horizontal="left" wrapText="1"/>
    </xf>
    <xf numFmtId="2" fontId="32" fillId="40" borderId="18" applyNumberFormat="0" applyFill="0" applyBorder="0" applyAlignment="0">
      <alignment horizontal="center"/>
      <protection locked="0"/>
    </xf>
    <xf numFmtId="2" fontId="19" fillId="41" borderId="7" applyNumberFormat="0" applyBorder="0">
      <alignment horizontal="right" vertical="center"/>
    </xf>
    <xf numFmtId="2" fontId="19" fillId="41" borderId="0">
      <alignment horizontal="right" vertical="center"/>
    </xf>
    <xf numFmtId="2" fontId="20" fillId="42" borderId="12">
      <alignment horizontal="center" vertical="center"/>
    </xf>
    <xf numFmtId="2" fontId="20" fillId="42" borderId="0" applyNumberFormat="0" applyBorder="0">
      <alignment horizontal="left" vertical="center"/>
    </xf>
    <xf numFmtId="2" fontId="20" fillId="42" borderId="12">
      <alignment horizontal="center" vertical="center"/>
    </xf>
    <xf numFmtId="0" fontId="33" fillId="0" borderId="0" applyNumberFormat="0" applyFill="0" applyBorder="0" applyAlignment="0" applyProtection="0"/>
    <xf numFmtId="0" fontId="34" fillId="0" borderId="23" applyNumberFormat="0" applyFill="0" applyAlignment="0" applyProtection="0"/>
    <xf numFmtId="0" fontId="35" fillId="0" borderId="0" applyNumberFormat="0" applyFill="0" applyBorder="0" applyAlignment="0" applyProtection="0"/>
    <xf numFmtId="38" fontId="36" fillId="0" borderId="0" applyFont="0" applyFill="0" applyBorder="0" applyAlignment="0" applyProtection="0"/>
    <xf numFmtId="0" fontId="36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0" fontId="24" fillId="0" borderId="0" xfId="0" applyFont="1" applyAlignment="1">
      <alignment horizontal="left"/>
    </xf>
    <xf numFmtId="169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0" fontId="0" fillId="43" borderId="21" xfId="0" applyFill="1" applyBorder="1" applyAlignment="1">
      <alignment horizontal="center"/>
    </xf>
    <xf numFmtId="0" fontId="0" fillId="43" borderId="28" xfId="0" applyFill="1" applyBorder="1" applyAlignment="1">
      <alignment horizontal="center"/>
    </xf>
    <xf numFmtId="0" fontId="37" fillId="0" borderId="0" xfId="0" applyFont="1" applyAlignment="1">
      <alignment horizontal="center"/>
    </xf>
    <xf numFmtId="0" fontId="0" fillId="43" borderId="31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19" fillId="43" borderId="32" xfId="0" applyFont="1" applyFill="1" applyBorder="1" applyAlignment="1">
      <alignment horizontal="center"/>
    </xf>
    <xf numFmtId="0" fontId="19" fillId="43" borderId="30" xfId="0" applyFont="1" applyFill="1" applyBorder="1" applyAlignment="1">
      <alignment horizontal="center"/>
    </xf>
    <xf numFmtId="0" fontId="19" fillId="43" borderId="31" xfId="0" applyFont="1" applyFill="1" applyBorder="1" applyAlignment="1">
      <alignment horizontal="left"/>
    </xf>
    <xf numFmtId="0" fontId="37" fillId="0" borderId="12" xfId="0" applyFont="1" applyBorder="1" applyAlignment="1">
      <alignment horizontal="center"/>
    </xf>
    <xf numFmtId="0" fontId="19" fillId="43" borderId="3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169" fontId="19" fillId="43" borderId="30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24" fillId="44" borderId="30" xfId="0" applyFont="1" applyFill="1" applyBorder="1" applyAlignment="1">
      <alignment horizontal="center"/>
    </xf>
    <xf numFmtId="0" fontId="24" fillId="44" borderId="31" xfId="0" applyFont="1" applyFill="1" applyBorder="1" applyAlignment="1">
      <alignment horizontal="center"/>
    </xf>
    <xf numFmtId="0" fontId="0" fillId="44" borderId="8" xfId="0" applyFill="1" applyBorder="1" applyAlignment="1">
      <alignment horizontal="center"/>
    </xf>
    <xf numFmtId="0" fontId="0" fillId="44" borderId="21" xfId="0" applyFill="1" applyBorder="1" applyAlignment="1">
      <alignment horizontal="center"/>
    </xf>
    <xf numFmtId="0" fontId="0" fillId="44" borderId="28" xfId="0" applyFill="1" applyBorder="1" applyAlignment="1">
      <alignment horizontal="center"/>
    </xf>
    <xf numFmtId="0" fontId="24" fillId="44" borderId="32" xfId="0" applyFont="1" applyFill="1" applyBorder="1" applyAlignment="1">
      <alignment horizontal="center"/>
    </xf>
    <xf numFmtId="171" fontId="39" fillId="0" borderId="0" xfId="0" applyNumberFormat="1" applyFont="1" applyBorder="1" applyAlignment="1">
      <alignment horizontal="center"/>
    </xf>
    <xf numFmtId="171" fontId="39" fillId="0" borderId="24" xfId="0" applyNumberFormat="1" applyFont="1" applyBorder="1" applyAlignment="1">
      <alignment horizontal="center"/>
    </xf>
    <xf numFmtId="0" fontId="24" fillId="44" borderId="29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40" fillId="0" borderId="9" xfId="0" applyFont="1" applyBorder="1" applyAlignment="1">
      <alignment horizontal="center"/>
    </xf>
    <xf numFmtId="0" fontId="40" fillId="0" borderId="26" xfId="0" applyFont="1" applyBorder="1" applyAlignment="1">
      <alignment horizontal="center"/>
    </xf>
    <xf numFmtId="1" fontId="24" fillId="44" borderId="30" xfId="0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1" fontId="0" fillId="0" borderId="0" xfId="0" applyNumberFormat="1"/>
    <xf numFmtId="1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24" fillId="44" borderId="32" xfId="0" applyNumberFormat="1" applyFont="1" applyFill="1" applyBorder="1" applyAlignment="1">
      <alignment horizontal="center"/>
    </xf>
    <xf numFmtId="0" fontId="40" fillId="0" borderId="0" xfId="0" applyNumberFormat="1" applyFont="1" applyBorder="1" applyAlignment="1">
      <alignment horizontal="center"/>
    </xf>
    <xf numFmtId="0" fontId="40" fillId="0" borderId="24" xfId="0" applyNumberFormat="1" applyFont="1" applyBorder="1" applyAlignment="1">
      <alignment horizontal="center"/>
    </xf>
    <xf numFmtId="172" fontId="24" fillId="44" borderId="32" xfId="0" applyNumberFormat="1" applyFont="1" applyFill="1" applyBorder="1" applyAlignment="1">
      <alignment horizontal="center"/>
    </xf>
    <xf numFmtId="172" fontId="0" fillId="0" borderId="25" xfId="0" applyNumberFormat="1" applyBorder="1" applyAlignment="1">
      <alignment horizontal="center"/>
    </xf>
    <xf numFmtId="172" fontId="40" fillId="0" borderId="25" xfId="0" applyNumberFormat="1" applyFont="1" applyBorder="1" applyAlignment="1">
      <alignment horizontal="center"/>
    </xf>
    <xf numFmtId="172" fontId="40" fillId="0" borderId="27" xfId="0" applyNumberFormat="1" applyFont="1" applyBorder="1" applyAlignment="1">
      <alignment horizontal="center"/>
    </xf>
    <xf numFmtId="172" fontId="0" fillId="0" borderId="0" xfId="0" applyNumberFormat="1"/>
    <xf numFmtId="172" fontId="24" fillId="44" borderId="31" xfId="0" applyNumberFormat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0" fontId="0" fillId="43" borderId="0" xfId="0" applyFill="1"/>
    <xf numFmtId="0" fontId="24" fillId="43" borderId="0" xfId="0" applyFont="1" applyFill="1"/>
    <xf numFmtId="0" fontId="37" fillId="45" borderId="0" xfId="0" applyFont="1" applyFill="1" applyBorder="1" applyAlignment="1">
      <alignment horizontal="center"/>
    </xf>
    <xf numFmtId="0" fontId="0" fillId="45" borderId="0" xfId="0" applyFill="1" applyBorder="1" applyAlignment="1">
      <alignment horizontal="center"/>
    </xf>
    <xf numFmtId="0" fontId="19" fillId="45" borderId="32" xfId="0" applyFont="1" applyFill="1" applyBorder="1" applyAlignment="1">
      <alignment horizontal="center"/>
    </xf>
    <xf numFmtId="0" fontId="19" fillId="45" borderId="0" xfId="0" applyFont="1" applyFill="1" applyBorder="1" applyAlignment="1">
      <alignment horizontal="center"/>
    </xf>
    <xf numFmtId="0" fontId="0" fillId="45" borderId="32" xfId="0" applyFill="1" applyBorder="1" applyAlignment="1">
      <alignment horizontal="center"/>
    </xf>
    <xf numFmtId="10" fontId="0" fillId="45" borderId="32" xfId="0" applyNumberFormat="1" applyFill="1" applyBorder="1" applyAlignment="1">
      <alignment horizontal="center"/>
    </xf>
    <xf numFmtId="0" fontId="38" fillId="45" borderId="0" xfId="0" applyFont="1" applyFill="1" applyBorder="1" applyAlignment="1">
      <alignment horizontal="center"/>
    </xf>
    <xf numFmtId="170" fontId="0" fillId="45" borderId="32" xfId="0" applyNumberFormat="1" applyFill="1" applyBorder="1"/>
    <xf numFmtId="0" fontId="19" fillId="45" borderId="32" xfId="0" applyFont="1" applyFill="1" applyBorder="1" applyAlignment="1">
      <alignment horizontal="center"/>
    </xf>
  </cellXfs>
  <cellStyles count="98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0" xfId="30" xr:uid="{00000000-0005-0000-0000-00001D000000}"/>
    <cellStyle name="Currency0" xfId="31" xr:uid="{00000000-0005-0000-0000-00001E000000}"/>
    <cellStyle name="Date" xfId="32" xr:uid="{00000000-0005-0000-0000-00001F000000}"/>
    <cellStyle name="Explanatory Text" xfId="33" builtinId="53" customBuiltin="1"/>
    <cellStyle name="Fixed" xfId="34" xr:uid="{00000000-0005-0000-0000-000021000000}"/>
    <cellStyle name="Good" xfId="35" builtinId="26" customBuiltin="1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InfoDataColumn" xfId="40" xr:uid="{00000000-0005-0000-0000-000027000000}"/>
    <cellStyle name="InfoDataRow" xfId="41" xr:uid="{00000000-0005-0000-0000-000028000000}"/>
    <cellStyle name="InfoLabelColumn" xfId="42" xr:uid="{00000000-0005-0000-0000-000029000000}"/>
    <cellStyle name="InfoLabelRow" xfId="43" xr:uid="{00000000-0005-0000-0000-00002A000000}"/>
    <cellStyle name="InfolDataColumn" xfId="44" xr:uid="{00000000-0005-0000-0000-00002B000000}"/>
    <cellStyle name="InformationalData" xfId="45" xr:uid="{00000000-0005-0000-0000-00002C000000}"/>
    <cellStyle name="InformationalLabel" xfId="46" xr:uid="{00000000-0005-0000-0000-00002D000000}"/>
    <cellStyle name="InformationalLabelTop" xfId="47" xr:uid="{00000000-0005-0000-0000-00002E000000}"/>
    <cellStyle name="Input" xfId="48" builtinId="20" customBuiltin="1"/>
    <cellStyle name="InputData" xfId="49" xr:uid="{00000000-0005-0000-0000-000030000000}"/>
    <cellStyle name="InputDataColumn" xfId="50" xr:uid="{00000000-0005-0000-0000-000031000000}"/>
    <cellStyle name="InputDataRow" xfId="51" xr:uid="{00000000-0005-0000-0000-000032000000}"/>
    <cellStyle name="InputLabel" xfId="52" xr:uid="{00000000-0005-0000-0000-000033000000}"/>
    <cellStyle name="InputLabelColumn" xfId="53" xr:uid="{00000000-0005-0000-0000-000034000000}"/>
    <cellStyle name="InputLabelRow" xfId="54" xr:uid="{00000000-0005-0000-0000-000035000000}"/>
    <cellStyle name="InputLabelTop" xfId="55" xr:uid="{00000000-0005-0000-0000-000036000000}"/>
    <cellStyle name="IntermediateData" xfId="56" xr:uid="{00000000-0005-0000-0000-000037000000}"/>
    <cellStyle name="IntermediateDataColumn" xfId="57" xr:uid="{00000000-0005-0000-0000-000038000000}"/>
    <cellStyle name="IntermediateDataRow" xfId="58" xr:uid="{00000000-0005-0000-0000-000039000000}"/>
    <cellStyle name="IntermediateLabel" xfId="59" xr:uid="{00000000-0005-0000-0000-00003A000000}"/>
    <cellStyle name="IntermediateLabelColumn" xfId="60" xr:uid="{00000000-0005-0000-0000-00003B000000}"/>
    <cellStyle name="IntermediateLabelRow" xfId="61" xr:uid="{00000000-0005-0000-0000-00003C000000}"/>
    <cellStyle name="InvalidCell" xfId="62" xr:uid="{00000000-0005-0000-0000-00003D000000}"/>
    <cellStyle name="Linked Cell" xfId="63" builtinId="24" customBuiltin="1"/>
    <cellStyle name="Neutral" xfId="64" builtinId="28" customBuiltin="1"/>
    <cellStyle name="NewSheet" xfId="65" xr:uid="{00000000-0005-0000-0000-000040000000}"/>
    <cellStyle name="Normal" xfId="0" builtinId="0"/>
    <cellStyle name="Normal - Style1" xfId="66" xr:uid="{00000000-0005-0000-0000-000042000000}"/>
    <cellStyle name="Note" xfId="67" builtinId="10" customBuiltin="1"/>
    <cellStyle name="ObjectDataColumn" xfId="68" xr:uid="{00000000-0005-0000-0000-000044000000}"/>
    <cellStyle name="ObjectDataRow" xfId="69" xr:uid="{00000000-0005-0000-0000-000045000000}"/>
    <cellStyle name="ObjectLabelColumn" xfId="70" xr:uid="{00000000-0005-0000-0000-000046000000}"/>
    <cellStyle name="ObjectLabelRow" xfId="71" xr:uid="{00000000-0005-0000-0000-000047000000}"/>
    <cellStyle name="Output" xfId="72" builtinId="21" customBuiltin="1"/>
    <cellStyle name="OutputData" xfId="73" xr:uid="{00000000-0005-0000-0000-000049000000}"/>
    <cellStyle name="OutputDataColumn" xfId="74" xr:uid="{00000000-0005-0000-0000-00004A000000}"/>
    <cellStyle name="OutputDataRow" xfId="75" xr:uid="{00000000-0005-0000-0000-00004B000000}"/>
    <cellStyle name="OutputLabel" xfId="76" xr:uid="{00000000-0005-0000-0000-00004C000000}"/>
    <cellStyle name="OutputLabelColumn" xfId="77" xr:uid="{00000000-0005-0000-0000-00004D000000}"/>
    <cellStyle name="OutputLabelRow" xfId="78" xr:uid="{00000000-0005-0000-0000-00004E000000}"/>
    <cellStyle name="PanelLabel" xfId="79" xr:uid="{00000000-0005-0000-0000-00004F000000}"/>
    <cellStyle name="PersonalDataColumn" xfId="80" xr:uid="{00000000-0005-0000-0000-000050000000}"/>
    <cellStyle name="PersonalDataRow" xfId="81" xr:uid="{00000000-0005-0000-0000-000051000000}"/>
    <cellStyle name="PersonalLabelColumn" xfId="82" xr:uid="{00000000-0005-0000-0000-000052000000}"/>
    <cellStyle name="PersonalLabelRow" xfId="83" xr:uid="{00000000-0005-0000-0000-000053000000}"/>
    <cellStyle name="result" xfId="84" xr:uid="{00000000-0005-0000-0000-000054000000}"/>
    <cellStyle name="spreads" xfId="85" xr:uid="{00000000-0005-0000-0000-000055000000}"/>
    <cellStyle name="Style 1" xfId="86" xr:uid="{00000000-0005-0000-0000-000056000000}"/>
    <cellStyle name="swaptn" xfId="87" xr:uid="{00000000-0005-0000-0000-000057000000}"/>
    <cellStyle name="TableDataColumn" xfId="88" xr:uid="{00000000-0005-0000-0000-000058000000}"/>
    <cellStyle name="TableDataRow" xfId="89" xr:uid="{00000000-0005-0000-0000-000059000000}"/>
    <cellStyle name="TableLabelColumn" xfId="90" xr:uid="{00000000-0005-0000-0000-00005A000000}"/>
    <cellStyle name="TableLabelRow" xfId="91" xr:uid="{00000000-0005-0000-0000-00005B000000}"/>
    <cellStyle name="TableLabelTop" xfId="92" xr:uid="{00000000-0005-0000-0000-00005C000000}"/>
    <cellStyle name="Title" xfId="93" builtinId="15" customBuiltin="1"/>
    <cellStyle name="Total" xfId="94" builtinId="25" customBuiltin="1"/>
    <cellStyle name="Warning Text" xfId="95" builtinId="11" customBuiltin="1"/>
    <cellStyle name="桁区切り_NewDemo" xfId="96" xr:uid="{00000000-0005-0000-0000-000060000000}"/>
    <cellStyle name="標準_NewDemo" xfId="97" xr:uid="{00000000-0005-0000-0000-00006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S32"/>
  <sheetViews>
    <sheetView workbookViewId="0"/>
  </sheetViews>
  <sheetFormatPr defaultRowHeight="12.75"/>
  <sheetData>
    <row r="2" spans="2:19"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</row>
    <row r="3" spans="2:19">
      <c r="B3" s="52"/>
      <c r="C3" s="53" t="s">
        <v>24</v>
      </c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</row>
    <row r="4" spans="2:19">
      <c r="B4" s="52"/>
      <c r="C4" s="53" t="s">
        <v>27</v>
      </c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</row>
    <row r="5" spans="2:19">
      <c r="B5" s="52"/>
      <c r="C5" s="53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</row>
    <row r="6" spans="2:19">
      <c r="B6" s="52"/>
      <c r="C6" s="53" t="s">
        <v>28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</row>
    <row r="7" spans="2:19"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</row>
    <row r="8" spans="2:19"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</row>
    <row r="9" spans="2:19"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</row>
    <row r="10" spans="2:19"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</row>
    <row r="11" spans="2:19"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</row>
    <row r="12" spans="2:19"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</row>
    <row r="13" spans="2:19"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</row>
    <row r="14" spans="2:19"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</row>
    <row r="15" spans="2:19"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2:19"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</row>
    <row r="17" spans="2:19"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</row>
    <row r="18" spans="2:19"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</row>
    <row r="19" spans="2:19"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</row>
    <row r="20" spans="2:19"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</row>
    <row r="21" spans="2:19"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</row>
    <row r="22" spans="2:19"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</row>
    <row r="23" spans="2:19"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</row>
    <row r="24" spans="2:19"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</row>
    <row r="25" spans="2:19"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</row>
    <row r="26" spans="2:19"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</row>
    <row r="27" spans="2:19"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</row>
    <row r="28" spans="2:19"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</row>
    <row r="29" spans="2:19"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</row>
    <row r="30" spans="2:19"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</row>
    <row r="31" spans="2:19"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</row>
    <row r="32" spans="2:19"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2:G50"/>
  <sheetViews>
    <sheetView topLeftCell="A4" workbookViewId="0">
      <selection activeCell="G24" sqref="G24"/>
    </sheetView>
  </sheetViews>
  <sheetFormatPr defaultColWidth="9.140625" defaultRowHeight="12.75"/>
  <cols>
    <col min="1" max="2" width="9.140625" style="1"/>
    <col min="3" max="3" width="14.85546875" style="1" customWidth="1"/>
    <col min="4" max="4" width="12" style="1" customWidth="1"/>
    <col min="5" max="5" width="10.140625" style="1" customWidth="1"/>
    <col min="6" max="6" width="9.140625" style="1"/>
    <col min="7" max="7" width="21.28515625" style="1" customWidth="1"/>
    <col min="8" max="8" width="9.85546875" style="1" customWidth="1"/>
    <col min="9" max="16384" width="9.140625" style="1"/>
  </cols>
  <sheetData>
    <row r="2" spans="3:7" ht="13.5" thickBot="1"/>
    <row r="3" spans="3:7" ht="13.5" thickBot="1">
      <c r="C3" s="17" t="s">
        <v>16</v>
      </c>
    </row>
    <row r="6" spans="3:7">
      <c r="C6" s="10" t="s">
        <v>22</v>
      </c>
      <c r="D6" s="3"/>
    </row>
    <row r="7" spans="3:7">
      <c r="C7" s="14" t="s">
        <v>2</v>
      </c>
      <c r="D7" s="20" t="s">
        <v>14</v>
      </c>
      <c r="E7" s="15" t="s">
        <v>13</v>
      </c>
      <c r="F7" s="15"/>
      <c r="G7" s="16" t="s">
        <v>1</v>
      </c>
    </row>
    <row r="8" spans="3:7">
      <c r="C8" s="8">
        <v>0</v>
      </c>
      <c r="D8" s="21">
        <v>0</v>
      </c>
      <c r="E8" s="4">
        <v>0.25</v>
      </c>
      <c r="F8" s="4"/>
      <c r="G8" s="6"/>
    </row>
    <row r="9" spans="3:7">
      <c r="C9" s="8" t="s">
        <v>3</v>
      </c>
      <c r="D9" s="21">
        <f>D8+E8</f>
        <v>0.25</v>
      </c>
      <c r="E9" s="4">
        <v>0.25</v>
      </c>
      <c r="F9" s="4"/>
      <c r="G9" s="6">
        <f>0.05</f>
        <v>0.05</v>
      </c>
    </row>
    <row r="10" spans="3:7">
      <c r="C10" s="8" t="s">
        <v>4</v>
      </c>
      <c r="D10" s="21">
        <v>0.5</v>
      </c>
      <c r="E10" s="4">
        <v>0.25</v>
      </c>
      <c r="F10" s="4"/>
      <c r="G10" s="6">
        <f>G9</f>
        <v>0.05</v>
      </c>
    </row>
    <row r="11" spans="3:7">
      <c r="C11" s="8" t="s">
        <v>5</v>
      </c>
      <c r="D11" s="21">
        <v>0.75</v>
      </c>
      <c r="E11" s="4">
        <v>0.25</v>
      </c>
      <c r="F11" s="4"/>
      <c r="G11" s="6">
        <f t="shared" ref="G11:G18" si="0">G10</f>
        <v>0.05</v>
      </c>
    </row>
    <row r="12" spans="3:7">
      <c r="C12" s="8" t="s">
        <v>6</v>
      </c>
      <c r="D12" s="21">
        <v>1</v>
      </c>
      <c r="E12" s="4">
        <v>0.25</v>
      </c>
      <c r="F12" s="4"/>
      <c r="G12" s="6">
        <f t="shared" si="0"/>
        <v>0.05</v>
      </c>
    </row>
    <row r="13" spans="3:7">
      <c r="C13" s="8" t="s">
        <v>7</v>
      </c>
      <c r="D13" s="21">
        <v>1.25</v>
      </c>
      <c r="E13" s="4">
        <v>0.25</v>
      </c>
      <c r="F13" s="4"/>
      <c r="G13" s="6">
        <f t="shared" si="0"/>
        <v>0.05</v>
      </c>
    </row>
    <row r="14" spans="3:7">
      <c r="C14" s="8" t="s">
        <v>8</v>
      </c>
      <c r="D14" s="21">
        <v>1.5</v>
      </c>
      <c r="E14" s="4">
        <v>0.25</v>
      </c>
      <c r="F14" s="4"/>
      <c r="G14" s="6">
        <f t="shared" si="0"/>
        <v>0.05</v>
      </c>
    </row>
    <row r="15" spans="3:7">
      <c r="C15" s="8" t="s">
        <v>9</v>
      </c>
      <c r="D15" s="21">
        <v>1.75</v>
      </c>
      <c r="E15" s="4">
        <v>0.25</v>
      </c>
      <c r="F15" s="4"/>
      <c r="G15" s="6">
        <f t="shared" si="0"/>
        <v>0.05</v>
      </c>
    </row>
    <row r="16" spans="3:7">
      <c r="C16" s="8" t="s">
        <v>10</v>
      </c>
      <c r="D16" s="21">
        <v>2</v>
      </c>
      <c r="E16" s="4">
        <v>0.25</v>
      </c>
      <c r="F16" s="4"/>
      <c r="G16" s="6">
        <f t="shared" si="0"/>
        <v>0.05</v>
      </c>
    </row>
    <row r="17" spans="3:7">
      <c r="C17" s="8" t="s">
        <v>11</v>
      </c>
      <c r="D17" s="21">
        <v>2.25</v>
      </c>
      <c r="E17" s="4">
        <v>0.25</v>
      </c>
      <c r="F17" s="4"/>
      <c r="G17" s="6">
        <f t="shared" si="0"/>
        <v>0.05</v>
      </c>
    </row>
    <row r="18" spans="3:7">
      <c r="C18" s="9" t="s">
        <v>12</v>
      </c>
      <c r="D18" s="22">
        <v>2.5</v>
      </c>
      <c r="E18" s="5">
        <v>0.25</v>
      </c>
      <c r="F18" s="5"/>
      <c r="G18" s="7">
        <f t="shared" si="0"/>
        <v>0.05</v>
      </c>
    </row>
    <row r="21" spans="3:7">
      <c r="C21" s="10" t="s">
        <v>0</v>
      </c>
    </row>
    <row r="22" spans="3:7">
      <c r="C22" s="14" t="s">
        <v>2</v>
      </c>
      <c r="D22" s="11" t="s">
        <v>0</v>
      </c>
    </row>
    <row r="23" spans="3:7">
      <c r="C23" s="8" t="s">
        <v>3</v>
      </c>
      <c r="D23" s="6">
        <v>0.2</v>
      </c>
    </row>
    <row r="24" spans="3:7">
      <c r="C24" s="8" t="s">
        <v>4</v>
      </c>
      <c r="D24" s="6">
        <v>0.2</v>
      </c>
    </row>
    <row r="25" spans="3:7">
      <c r="C25" s="8" t="s">
        <v>5</v>
      </c>
      <c r="D25" s="6">
        <v>0.2</v>
      </c>
    </row>
    <row r="26" spans="3:7">
      <c r="C26" s="8" t="s">
        <v>6</v>
      </c>
      <c r="D26" s="6">
        <v>0.2</v>
      </c>
    </row>
    <row r="27" spans="3:7">
      <c r="C27" s="8" t="s">
        <v>7</v>
      </c>
      <c r="D27" s="6">
        <v>0.2</v>
      </c>
    </row>
    <row r="28" spans="3:7">
      <c r="C28" s="8" t="s">
        <v>8</v>
      </c>
      <c r="D28" s="6">
        <v>0.2</v>
      </c>
    </row>
    <row r="29" spans="3:7">
      <c r="C29" s="8" t="s">
        <v>9</v>
      </c>
      <c r="D29" s="6">
        <v>0.2</v>
      </c>
    </row>
    <row r="30" spans="3:7">
      <c r="C30" s="8" t="s">
        <v>10</v>
      </c>
      <c r="D30" s="6">
        <v>0.2</v>
      </c>
    </row>
    <row r="31" spans="3:7">
      <c r="C31" s="8" t="s">
        <v>11</v>
      </c>
      <c r="D31" s="6">
        <v>0.2</v>
      </c>
    </row>
    <row r="32" spans="3:7">
      <c r="C32" s="9" t="s">
        <v>12</v>
      </c>
      <c r="D32" s="7">
        <v>0.2</v>
      </c>
    </row>
    <row r="35" spans="3:4">
      <c r="C35" s="10" t="s">
        <v>17</v>
      </c>
    </row>
    <row r="36" spans="3:4">
      <c r="C36" s="14" t="s">
        <v>2</v>
      </c>
      <c r="D36" s="18" t="s">
        <v>17</v>
      </c>
    </row>
    <row r="37" spans="3:4">
      <c r="C37" s="8" t="s">
        <v>3</v>
      </c>
      <c r="D37" s="12">
        <v>0</v>
      </c>
    </row>
    <row r="38" spans="3:4">
      <c r="C38" s="8" t="s">
        <v>4</v>
      </c>
      <c r="D38" s="12">
        <v>0</v>
      </c>
    </row>
    <row r="39" spans="3:4">
      <c r="C39" s="8" t="s">
        <v>5</v>
      </c>
      <c r="D39" s="12">
        <v>0</v>
      </c>
    </row>
    <row r="40" spans="3:4">
      <c r="C40" s="8" t="s">
        <v>6</v>
      </c>
      <c r="D40" s="12">
        <v>0</v>
      </c>
    </row>
    <row r="41" spans="3:4">
      <c r="C41" s="8" t="s">
        <v>7</v>
      </c>
      <c r="D41" s="12">
        <v>0</v>
      </c>
    </row>
    <row r="42" spans="3:4">
      <c r="C42" s="8" t="s">
        <v>8</v>
      </c>
      <c r="D42" s="12">
        <v>0</v>
      </c>
    </row>
    <row r="43" spans="3:4">
      <c r="C43" s="8" t="s">
        <v>9</v>
      </c>
      <c r="D43" s="12">
        <v>0</v>
      </c>
    </row>
    <row r="44" spans="3:4">
      <c r="C44" s="8" t="s">
        <v>10</v>
      </c>
      <c r="D44" s="12">
        <v>0</v>
      </c>
    </row>
    <row r="45" spans="3:4">
      <c r="C45" s="8" t="s">
        <v>11</v>
      </c>
      <c r="D45" s="12">
        <v>0</v>
      </c>
    </row>
    <row r="46" spans="3:4">
      <c r="C46" s="9" t="s">
        <v>12</v>
      </c>
      <c r="D46" s="13">
        <v>0</v>
      </c>
    </row>
    <row r="49" spans="3:3">
      <c r="C49" s="10" t="s">
        <v>15</v>
      </c>
    </row>
    <row r="50" spans="3:3">
      <c r="C50" s="19">
        <v>1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6:H21"/>
  <sheetViews>
    <sheetView tabSelected="1" workbookViewId="0">
      <selection activeCell="F21" sqref="F21"/>
    </sheetView>
  </sheetViews>
  <sheetFormatPr defaultColWidth="9.140625" defaultRowHeight="12.75"/>
  <cols>
    <col min="1" max="2" width="9.140625" style="1"/>
    <col min="3" max="3" width="16.28515625" style="1" customWidth="1"/>
    <col min="4" max="4" width="22" style="1" customWidth="1"/>
    <col min="5" max="5" width="24.85546875" style="1" customWidth="1"/>
    <col min="6" max="6" width="19.85546875" style="41" bestFit="1" customWidth="1"/>
    <col min="7" max="7" width="16.140625" style="1" bestFit="1" customWidth="1"/>
    <col min="8" max="8" width="8.5703125" style="51" bestFit="1" customWidth="1"/>
    <col min="9" max="16384" width="9.140625" style="1"/>
  </cols>
  <sheetData>
    <row r="6" spans="3:8">
      <c r="C6" s="28" t="s">
        <v>2</v>
      </c>
      <c r="D6" s="23" t="s">
        <v>18</v>
      </c>
      <c r="E6" s="23" t="s">
        <v>19</v>
      </c>
      <c r="F6" s="42" t="s">
        <v>20</v>
      </c>
      <c r="G6" s="24" t="s">
        <v>26</v>
      </c>
      <c r="H6" s="50" t="s">
        <v>25</v>
      </c>
    </row>
    <row r="7" spans="3:8">
      <c r="C7" s="25" t="s">
        <v>3</v>
      </c>
      <c r="D7" s="29">
        <f t="array" ref="D7:H16">_xll.HLV5r3.Analytics.Futures.CalculateCashForward(Data!G9:G18, Data!D23:D32, Data!C50,Data!D37:D46, Data!E8:E18, Data!D8:D18)</f>
        <v>4.9993797538873751E-2</v>
      </c>
      <c r="E7" s="4">
        <v>3.8467076746151463E-12</v>
      </c>
      <c r="F7" s="39">
        <v>1</v>
      </c>
      <c r="G7" s="21">
        <v>2.229E-4</v>
      </c>
      <c r="H7" s="46">
        <v>1</v>
      </c>
    </row>
    <row r="8" spans="3:8">
      <c r="C8" s="26" t="s">
        <v>4</v>
      </c>
      <c r="D8" s="29">
        <v>4.9981335363009347E-2</v>
      </c>
      <c r="E8" s="4">
        <v>1.5917614448746065E-11</v>
      </c>
      <c r="F8" s="39">
        <v>1</v>
      </c>
      <c r="G8" s="43">
        <v>0</v>
      </c>
      <c r="H8" s="47">
        <v>0</v>
      </c>
    </row>
    <row r="9" spans="3:8">
      <c r="C9" s="26" t="s">
        <v>5</v>
      </c>
      <c r="D9" s="29">
        <v>4.99625593744078E-2</v>
      </c>
      <c r="E9" s="4">
        <v>3.703241879815522E-11</v>
      </c>
      <c r="F9" s="39">
        <v>1</v>
      </c>
      <c r="G9" s="43">
        <v>0</v>
      </c>
      <c r="H9" s="47">
        <v>0</v>
      </c>
    </row>
    <row r="10" spans="3:8">
      <c r="C10" s="26" t="s">
        <v>6</v>
      </c>
      <c r="D10" s="29">
        <v>4.9937418861983517E-2</v>
      </c>
      <c r="E10" s="4">
        <v>6.8041211553904191E-11</v>
      </c>
      <c r="F10" s="39">
        <v>1</v>
      </c>
      <c r="G10" s="43">
        <v>0</v>
      </c>
      <c r="H10" s="47">
        <v>0</v>
      </c>
    </row>
    <row r="11" spans="3:8">
      <c r="C11" s="26" t="s">
        <v>7</v>
      </c>
      <c r="D11" s="29">
        <v>4.9905866730128208E-2</v>
      </c>
      <c r="E11" s="4">
        <v>1.0982314363472412E-10</v>
      </c>
      <c r="F11" s="39">
        <v>1</v>
      </c>
      <c r="G11" s="43">
        <v>0</v>
      </c>
      <c r="H11" s="47">
        <v>0</v>
      </c>
    </row>
    <row r="12" spans="3:8">
      <c r="C12" s="26" t="s">
        <v>8</v>
      </c>
      <c r="D12" s="29">
        <v>4.9867859727045945E-2</v>
      </c>
      <c r="E12" s="4">
        <v>1.6328470520132754E-10</v>
      </c>
      <c r="F12" s="39">
        <v>1</v>
      </c>
      <c r="G12" s="43">
        <v>0</v>
      </c>
      <c r="H12" s="47">
        <v>0</v>
      </c>
    </row>
    <row r="13" spans="3:8">
      <c r="C13" s="26" t="s">
        <v>9</v>
      </c>
      <c r="D13" s="29">
        <v>4.9823358671727984E-2</v>
      </c>
      <c r="E13" s="4">
        <v>2.2935759541597989E-10</v>
      </c>
      <c r="F13" s="39">
        <v>1</v>
      </c>
      <c r="G13" s="43">
        <v>0</v>
      </c>
      <c r="H13" s="47">
        <v>0</v>
      </c>
    </row>
    <row r="14" spans="3:8">
      <c r="C14" s="26" t="s">
        <v>10</v>
      </c>
      <c r="D14" s="29">
        <v>4.9772328678391993E-2</v>
      </c>
      <c r="E14" s="4">
        <v>3.0899639097414777E-10</v>
      </c>
      <c r="F14" s="39">
        <v>1</v>
      </c>
      <c r="G14" s="43">
        <v>0</v>
      </c>
      <c r="H14" s="47">
        <v>0</v>
      </c>
    </row>
    <row r="15" spans="3:8">
      <c r="C15" s="26" t="s">
        <v>11</v>
      </c>
      <c r="D15" s="29">
        <v>4.9714739377172294E-2</v>
      </c>
      <c r="E15" s="4">
        <v>4.0317565258574106E-10</v>
      </c>
      <c r="F15" s="39">
        <v>1</v>
      </c>
      <c r="G15" s="43">
        <v>0</v>
      </c>
      <c r="H15" s="47">
        <v>0</v>
      </c>
    </row>
    <row r="16" spans="3:8">
      <c r="C16" s="27" t="s">
        <v>12</v>
      </c>
      <c r="D16" s="30">
        <v>4.9650565129818164E-2</v>
      </c>
      <c r="E16" s="5">
        <v>5.1288682328953783E-10</v>
      </c>
      <c r="F16" s="40">
        <v>1</v>
      </c>
      <c r="G16" s="44">
        <v>0</v>
      </c>
      <c r="H16" s="48">
        <v>0</v>
      </c>
    </row>
    <row r="21" spans="3:3">
      <c r="C21" s="2" t="s">
        <v>23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2:N60"/>
  <sheetViews>
    <sheetView topLeftCell="A2" workbookViewId="0">
      <selection activeCell="C6" sqref="C6:N60"/>
    </sheetView>
  </sheetViews>
  <sheetFormatPr defaultColWidth="9.140625" defaultRowHeight="12.75"/>
  <cols>
    <col min="1" max="2" width="9.140625" style="1"/>
    <col min="3" max="3" width="13.140625" style="1" customWidth="1"/>
    <col min="4" max="4" width="16.140625" style="1" bestFit="1" customWidth="1"/>
    <col min="5" max="5" width="11" style="1" customWidth="1"/>
    <col min="6" max="6" width="9.140625" style="1"/>
    <col min="7" max="7" width="12.140625" style="1" customWidth="1"/>
    <col min="8" max="16384" width="9.140625" style="1"/>
  </cols>
  <sheetData>
    <row r="2" spans="3:14" ht="13.5" thickBot="1"/>
    <row r="3" spans="3:14" ht="13.5" thickBot="1">
      <c r="C3" s="17" t="s">
        <v>16</v>
      </c>
    </row>
    <row r="6" spans="3:14">
      <c r="C6" s="54" t="s">
        <v>22</v>
      </c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</row>
    <row r="7" spans="3:14">
      <c r="C7" s="56" t="s">
        <v>2</v>
      </c>
      <c r="D7" s="56" t="s">
        <v>14</v>
      </c>
      <c r="E7" s="56" t="s">
        <v>13</v>
      </c>
      <c r="F7" s="62" t="s">
        <v>1</v>
      </c>
      <c r="G7" s="62"/>
      <c r="H7" s="57"/>
      <c r="I7" s="55"/>
      <c r="J7" s="55"/>
      <c r="K7" s="55"/>
      <c r="L7" s="55"/>
      <c r="M7" s="55"/>
      <c r="N7" s="55"/>
    </row>
    <row r="8" spans="3:14">
      <c r="C8" s="58">
        <v>0</v>
      </c>
      <c r="D8" s="58">
        <v>0</v>
      </c>
      <c r="E8" s="58">
        <v>0.25</v>
      </c>
      <c r="F8" s="58"/>
      <c r="G8" s="59"/>
      <c r="H8" s="55"/>
      <c r="I8" s="55"/>
      <c r="J8" s="55"/>
      <c r="K8" s="55"/>
      <c r="L8" s="55"/>
      <c r="M8" s="55"/>
      <c r="N8" s="55"/>
    </row>
    <row r="9" spans="3:14">
      <c r="C9" s="58" t="s">
        <v>3</v>
      </c>
      <c r="D9" s="58">
        <f>D8+E8</f>
        <v>0.25</v>
      </c>
      <c r="E9" s="58">
        <v>0.25</v>
      </c>
      <c r="F9" s="58"/>
      <c r="G9" s="59">
        <f>0.05</f>
        <v>0.05</v>
      </c>
      <c r="H9" s="55"/>
      <c r="I9" s="55"/>
      <c r="J9" s="55"/>
      <c r="K9" s="55"/>
      <c r="L9" s="55"/>
      <c r="M9" s="55"/>
      <c r="N9" s="55"/>
    </row>
    <row r="10" spans="3:14">
      <c r="C10" s="58" t="s">
        <v>4</v>
      </c>
      <c r="D10" s="58">
        <v>0.5</v>
      </c>
      <c r="E10" s="58">
        <v>0.25</v>
      </c>
      <c r="F10" s="58"/>
      <c r="G10" s="59">
        <f>G9</f>
        <v>0.05</v>
      </c>
      <c r="H10" s="55"/>
      <c r="I10" s="55"/>
      <c r="J10" s="55"/>
      <c r="K10" s="55"/>
      <c r="L10" s="55"/>
      <c r="M10" s="55"/>
      <c r="N10" s="55"/>
    </row>
    <row r="11" spans="3:14">
      <c r="C11" s="58" t="s">
        <v>5</v>
      </c>
      <c r="D11" s="58">
        <v>0.75</v>
      </c>
      <c r="E11" s="58">
        <v>0.25</v>
      </c>
      <c r="F11" s="58"/>
      <c r="G11" s="59">
        <f t="shared" ref="G11:G18" si="0">G10</f>
        <v>0.05</v>
      </c>
      <c r="H11" s="55"/>
      <c r="I11" s="55"/>
      <c r="J11" s="55"/>
      <c r="K11" s="55"/>
      <c r="L11" s="55"/>
      <c r="M11" s="55"/>
      <c r="N11" s="55"/>
    </row>
    <row r="12" spans="3:14">
      <c r="C12" s="58" t="s">
        <v>6</v>
      </c>
      <c r="D12" s="58">
        <v>1</v>
      </c>
      <c r="E12" s="58">
        <v>0.25</v>
      </c>
      <c r="F12" s="58"/>
      <c r="G12" s="59">
        <f t="shared" si="0"/>
        <v>0.05</v>
      </c>
      <c r="H12" s="55"/>
      <c r="I12" s="55"/>
      <c r="J12" s="55"/>
      <c r="K12" s="55"/>
      <c r="L12" s="55"/>
      <c r="M12" s="55"/>
      <c r="N12" s="55"/>
    </row>
    <row r="13" spans="3:14">
      <c r="C13" s="58" t="s">
        <v>7</v>
      </c>
      <c r="D13" s="58">
        <v>1.25</v>
      </c>
      <c r="E13" s="58">
        <v>0.25</v>
      </c>
      <c r="F13" s="58"/>
      <c r="G13" s="59">
        <f t="shared" si="0"/>
        <v>0.05</v>
      </c>
      <c r="H13" s="55"/>
      <c r="I13" s="55"/>
      <c r="J13" s="55"/>
      <c r="K13" s="55"/>
      <c r="L13" s="55"/>
      <c r="M13" s="55"/>
      <c r="N13" s="55"/>
    </row>
    <row r="14" spans="3:14">
      <c r="C14" s="58" t="s">
        <v>8</v>
      </c>
      <c r="D14" s="58">
        <v>1.5</v>
      </c>
      <c r="E14" s="58">
        <v>0.25</v>
      </c>
      <c r="F14" s="58"/>
      <c r="G14" s="59">
        <f t="shared" si="0"/>
        <v>0.05</v>
      </c>
      <c r="H14" s="55"/>
      <c r="I14" s="55"/>
      <c r="J14" s="55"/>
      <c r="K14" s="55"/>
      <c r="L14" s="55"/>
      <c r="M14" s="55"/>
      <c r="N14" s="55"/>
    </row>
    <row r="15" spans="3:14">
      <c r="C15" s="58" t="s">
        <v>9</v>
      </c>
      <c r="D15" s="58">
        <v>1.75</v>
      </c>
      <c r="E15" s="58">
        <v>0.25</v>
      </c>
      <c r="F15" s="58"/>
      <c r="G15" s="59">
        <f t="shared" si="0"/>
        <v>0.05</v>
      </c>
      <c r="H15" s="55"/>
      <c r="I15" s="55"/>
      <c r="J15" s="55"/>
      <c r="K15" s="55"/>
      <c r="L15" s="55"/>
      <c r="M15" s="55"/>
      <c r="N15" s="55"/>
    </row>
    <row r="16" spans="3:14">
      <c r="C16" s="58" t="s">
        <v>10</v>
      </c>
      <c r="D16" s="58">
        <v>2</v>
      </c>
      <c r="E16" s="58">
        <v>0.25</v>
      </c>
      <c r="F16" s="58"/>
      <c r="G16" s="59">
        <f t="shared" si="0"/>
        <v>0.05</v>
      </c>
      <c r="H16" s="55"/>
      <c r="I16" s="55"/>
      <c r="J16" s="55"/>
      <c r="K16" s="55"/>
      <c r="L16" s="55"/>
      <c r="M16" s="55"/>
      <c r="N16" s="55"/>
    </row>
    <row r="17" spans="3:14">
      <c r="C17" s="58" t="s">
        <v>11</v>
      </c>
      <c r="D17" s="58">
        <v>2.25</v>
      </c>
      <c r="E17" s="58">
        <v>0.25</v>
      </c>
      <c r="F17" s="58"/>
      <c r="G17" s="59">
        <f t="shared" si="0"/>
        <v>0.05</v>
      </c>
      <c r="H17" s="55"/>
      <c r="I17" s="55"/>
      <c r="J17" s="55"/>
      <c r="K17" s="55"/>
      <c r="L17" s="55"/>
      <c r="M17" s="55"/>
      <c r="N17" s="55"/>
    </row>
    <row r="18" spans="3:14">
      <c r="C18" s="58" t="s">
        <v>12</v>
      </c>
      <c r="D18" s="58">
        <v>2.5</v>
      </c>
      <c r="E18" s="58">
        <v>0.25</v>
      </c>
      <c r="F18" s="58"/>
      <c r="G18" s="59">
        <f t="shared" si="0"/>
        <v>0.05</v>
      </c>
      <c r="H18" s="55"/>
      <c r="I18" s="55"/>
      <c r="J18" s="55"/>
      <c r="K18" s="55"/>
      <c r="L18" s="55"/>
      <c r="M18" s="55"/>
      <c r="N18" s="55"/>
    </row>
    <row r="19" spans="3:14"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</row>
    <row r="20" spans="3:14"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</row>
    <row r="21" spans="3:14">
      <c r="C21" s="54" t="s">
        <v>0</v>
      </c>
      <c r="D21" s="60"/>
      <c r="E21" s="55"/>
      <c r="F21" s="55"/>
      <c r="G21" s="55"/>
      <c r="H21" s="55"/>
      <c r="I21" s="55"/>
      <c r="J21" s="55"/>
      <c r="K21" s="55"/>
      <c r="L21" s="55"/>
      <c r="M21" s="55"/>
      <c r="N21" s="55"/>
    </row>
    <row r="22" spans="3:14">
      <c r="C22" s="56" t="s">
        <v>2</v>
      </c>
      <c r="D22" s="58" t="s">
        <v>21</v>
      </c>
      <c r="E22" s="58" t="s">
        <v>3</v>
      </c>
      <c r="F22" s="58" t="s">
        <v>5</v>
      </c>
      <c r="G22" s="58" t="s">
        <v>4</v>
      </c>
      <c r="H22" s="58" t="s">
        <v>6</v>
      </c>
      <c r="I22" s="58" t="s">
        <v>7</v>
      </c>
      <c r="J22" s="58" t="s">
        <v>8</v>
      </c>
      <c r="K22" s="58" t="s">
        <v>9</v>
      </c>
      <c r="L22" s="58" t="s">
        <v>10</v>
      </c>
      <c r="M22" s="58" t="s">
        <v>11</v>
      </c>
      <c r="N22" s="58" t="s">
        <v>12</v>
      </c>
    </row>
    <row r="23" spans="3:14">
      <c r="C23" s="56" t="s">
        <v>3</v>
      </c>
      <c r="D23" s="58"/>
      <c r="E23" s="59">
        <v>0.2</v>
      </c>
      <c r="F23" s="59">
        <v>0.2</v>
      </c>
      <c r="G23" s="59">
        <v>0.2</v>
      </c>
      <c r="H23" s="59">
        <v>0.2</v>
      </c>
      <c r="I23" s="59">
        <v>0.2</v>
      </c>
      <c r="J23" s="59">
        <v>0.2</v>
      </c>
      <c r="K23" s="59">
        <v>0.2</v>
      </c>
      <c r="L23" s="59">
        <v>0.2</v>
      </c>
      <c r="M23" s="59">
        <v>0.2</v>
      </c>
      <c r="N23" s="59">
        <v>0.2</v>
      </c>
    </row>
    <row r="24" spans="3:14">
      <c r="C24" s="56" t="s">
        <v>4</v>
      </c>
      <c r="D24" s="58"/>
      <c r="E24" s="59">
        <v>0.2</v>
      </c>
      <c r="F24" s="59">
        <v>0.2</v>
      </c>
      <c r="G24" s="59">
        <v>0.2</v>
      </c>
      <c r="H24" s="59">
        <v>0.2</v>
      </c>
      <c r="I24" s="59">
        <v>0.2</v>
      </c>
      <c r="J24" s="59">
        <v>0.2</v>
      </c>
      <c r="K24" s="59">
        <v>0.2</v>
      </c>
      <c r="L24" s="59">
        <v>0.2</v>
      </c>
      <c r="M24" s="59">
        <v>0.2</v>
      </c>
      <c r="N24" s="59">
        <v>0.2</v>
      </c>
    </row>
    <row r="25" spans="3:14">
      <c r="C25" s="56" t="s">
        <v>5</v>
      </c>
      <c r="D25" s="58"/>
      <c r="E25" s="59">
        <v>0.2</v>
      </c>
      <c r="F25" s="59">
        <v>0.2</v>
      </c>
      <c r="G25" s="59">
        <v>0.2</v>
      </c>
      <c r="H25" s="59">
        <v>0.2</v>
      </c>
      <c r="I25" s="59">
        <v>0.2</v>
      </c>
      <c r="J25" s="59">
        <v>0.2</v>
      </c>
      <c r="K25" s="59">
        <v>0.2</v>
      </c>
      <c r="L25" s="59">
        <v>0.2</v>
      </c>
      <c r="M25" s="59">
        <v>0.2</v>
      </c>
      <c r="N25" s="59">
        <v>0.2</v>
      </c>
    </row>
    <row r="26" spans="3:14">
      <c r="C26" s="56" t="s">
        <v>6</v>
      </c>
      <c r="D26" s="58"/>
      <c r="E26" s="59">
        <v>0.2</v>
      </c>
      <c r="F26" s="59">
        <v>0.2</v>
      </c>
      <c r="G26" s="59">
        <v>0.2</v>
      </c>
      <c r="H26" s="59">
        <v>0.2</v>
      </c>
      <c r="I26" s="59">
        <v>0.2</v>
      </c>
      <c r="J26" s="59">
        <v>0.2</v>
      </c>
      <c r="K26" s="59">
        <v>0.2</v>
      </c>
      <c r="L26" s="59">
        <v>0.2</v>
      </c>
      <c r="M26" s="59">
        <v>0.2</v>
      </c>
      <c r="N26" s="59">
        <v>0.2</v>
      </c>
    </row>
    <row r="27" spans="3:14">
      <c r="C27" s="56" t="s">
        <v>7</v>
      </c>
      <c r="D27" s="58"/>
      <c r="E27" s="59">
        <v>0.2</v>
      </c>
      <c r="F27" s="59">
        <v>0.2</v>
      </c>
      <c r="G27" s="59">
        <v>0.2</v>
      </c>
      <c r="H27" s="59">
        <v>0.2</v>
      </c>
      <c r="I27" s="59">
        <v>0.2</v>
      </c>
      <c r="J27" s="59">
        <v>0.2</v>
      </c>
      <c r="K27" s="59">
        <v>0.2</v>
      </c>
      <c r="L27" s="59">
        <v>0.2</v>
      </c>
      <c r="M27" s="59">
        <v>0.2</v>
      </c>
      <c r="N27" s="59">
        <v>0.2</v>
      </c>
    </row>
    <row r="28" spans="3:14">
      <c r="C28" s="56" t="s">
        <v>8</v>
      </c>
      <c r="D28" s="58"/>
      <c r="E28" s="59">
        <v>0.2</v>
      </c>
      <c r="F28" s="59">
        <v>0.2</v>
      </c>
      <c r="G28" s="59">
        <v>0.2</v>
      </c>
      <c r="H28" s="59">
        <v>0.2</v>
      </c>
      <c r="I28" s="59">
        <v>0.2</v>
      </c>
      <c r="J28" s="59">
        <v>0.2</v>
      </c>
      <c r="K28" s="59">
        <v>0.2</v>
      </c>
      <c r="L28" s="59">
        <v>0.2</v>
      </c>
      <c r="M28" s="59">
        <v>0.2</v>
      </c>
      <c r="N28" s="59">
        <v>0.2</v>
      </c>
    </row>
    <row r="29" spans="3:14">
      <c r="C29" s="56" t="s">
        <v>9</v>
      </c>
      <c r="D29" s="58"/>
      <c r="E29" s="59">
        <v>0.2</v>
      </c>
      <c r="F29" s="59">
        <v>0.2</v>
      </c>
      <c r="G29" s="59">
        <v>0.2</v>
      </c>
      <c r="H29" s="59">
        <v>0.2</v>
      </c>
      <c r="I29" s="59">
        <v>0.2</v>
      </c>
      <c r="J29" s="59">
        <v>0.2</v>
      </c>
      <c r="K29" s="59">
        <v>0.2</v>
      </c>
      <c r="L29" s="59">
        <v>0.2</v>
      </c>
      <c r="M29" s="59">
        <v>0.2</v>
      </c>
      <c r="N29" s="59">
        <v>0.2</v>
      </c>
    </row>
    <row r="30" spans="3:14">
      <c r="C30" s="56" t="s">
        <v>10</v>
      </c>
      <c r="D30" s="58"/>
      <c r="E30" s="59">
        <v>0.2</v>
      </c>
      <c r="F30" s="59">
        <v>0.2</v>
      </c>
      <c r="G30" s="59">
        <v>0.2</v>
      </c>
      <c r="H30" s="59">
        <v>0.2</v>
      </c>
      <c r="I30" s="59">
        <v>0.2</v>
      </c>
      <c r="J30" s="59">
        <v>0.2</v>
      </c>
      <c r="K30" s="59">
        <v>0.2</v>
      </c>
      <c r="L30" s="59">
        <v>0.2</v>
      </c>
      <c r="M30" s="59">
        <v>0.2</v>
      </c>
      <c r="N30" s="59">
        <v>0.2</v>
      </c>
    </row>
    <row r="31" spans="3:14">
      <c r="C31" s="56" t="s">
        <v>11</v>
      </c>
      <c r="D31" s="58"/>
      <c r="E31" s="59">
        <v>0.2</v>
      </c>
      <c r="F31" s="59">
        <v>0.2</v>
      </c>
      <c r="G31" s="59">
        <v>0.2</v>
      </c>
      <c r="H31" s="59">
        <v>0.2</v>
      </c>
      <c r="I31" s="59">
        <v>0.2</v>
      </c>
      <c r="J31" s="59">
        <v>0.2</v>
      </c>
      <c r="K31" s="59">
        <v>0.2</v>
      </c>
      <c r="L31" s="59">
        <v>0.2</v>
      </c>
      <c r="M31" s="59">
        <v>0.2</v>
      </c>
      <c r="N31" s="59">
        <v>0.2</v>
      </c>
    </row>
    <row r="32" spans="3:14">
      <c r="C32" s="56" t="s">
        <v>12</v>
      </c>
      <c r="D32" s="58"/>
      <c r="E32" s="59">
        <v>0.2</v>
      </c>
      <c r="F32" s="59">
        <v>0.2</v>
      </c>
      <c r="G32" s="59">
        <v>0.2</v>
      </c>
      <c r="H32" s="59">
        <v>0.2</v>
      </c>
      <c r="I32" s="59">
        <v>0.2</v>
      </c>
      <c r="J32" s="59">
        <v>0.2</v>
      </c>
      <c r="K32" s="59">
        <v>0.2</v>
      </c>
      <c r="L32" s="59">
        <v>0.2</v>
      </c>
      <c r="M32" s="59">
        <v>0.2</v>
      </c>
      <c r="N32" s="59">
        <v>0.2</v>
      </c>
    </row>
    <row r="33" spans="3:14"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</row>
    <row r="34" spans="3:14"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</row>
    <row r="35" spans="3:14">
      <c r="C35" s="54" t="s">
        <v>17</v>
      </c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</row>
    <row r="36" spans="3:14">
      <c r="C36" s="56" t="s">
        <v>2</v>
      </c>
      <c r="D36" s="56" t="s">
        <v>17</v>
      </c>
      <c r="E36" s="55"/>
      <c r="F36" s="55"/>
      <c r="G36" s="55"/>
      <c r="H36" s="55"/>
      <c r="I36" s="55"/>
      <c r="J36" s="55"/>
      <c r="K36" s="55"/>
      <c r="L36" s="55"/>
      <c r="M36" s="55"/>
      <c r="N36" s="55"/>
    </row>
    <row r="37" spans="3:14">
      <c r="C37" s="58" t="s">
        <v>3</v>
      </c>
      <c r="D37" s="58">
        <v>0</v>
      </c>
      <c r="E37" s="55"/>
      <c r="F37" s="55"/>
      <c r="G37" s="55"/>
      <c r="H37" s="55"/>
      <c r="I37" s="55"/>
      <c r="J37" s="55"/>
      <c r="K37" s="55"/>
      <c r="L37" s="55"/>
      <c r="M37" s="55"/>
      <c r="N37" s="55"/>
    </row>
    <row r="38" spans="3:14">
      <c r="C38" s="58" t="s">
        <v>4</v>
      </c>
      <c r="D38" s="58">
        <v>0</v>
      </c>
      <c r="E38" s="55"/>
      <c r="F38" s="55"/>
      <c r="G38" s="55"/>
      <c r="H38" s="55"/>
      <c r="I38" s="55"/>
      <c r="J38" s="55"/>
      <c r="K38" s="55"/>
      <c r="L38" s="55"/>
      <c r="M38" s="55"/>
      <c r="N38" s="55"/>
    </row>
    <row r="39" spans="3:14">
      <c r="C39" s="58" t="s">
        <v>5</v>
      </c>
      <c r="D39" s="58">
        <v>0</v>
      </c>
      <c r="E39" s="55"/>
      <c r="F39" s="55"/>
      <c r="G39" s="55"/>
      <c r="H39" s="55"/>
      <c r="I39" s="55"/>
      <c r="J39" s="55"/>
      <c r="K39" s="55"/>
      <c r="L39" s="55"/>
      <c r="M39" s="55"/>
      <c r="N39" s="55"/>
    </row>
    <row r="40" spans="3:14">
      <c r="C40" s="58" t="s">
        <v>6</v>
      </c>
      <c r="D40" s="58">
        <v>0</v>
      </c>
      <c r="E40" s="55"/>
      <c r="F40" s="55"/>
      <c r="G40" s="55"/>
      <c r="H40" s="55"/>
      <c r="I40" s="55"/>
      <c r="J40" s="55"/>
      <c r="K40" s="55"/>
      <c r="L40" s="55"/>
      <c r="M40" s="55"/>
      <c r="N40" s="55"/>
    </row>
    <row r="41" spans="3:14">
      <c r="C41" s="58" t="s">
        <v>7</v>
      </c>
      <c r="D41" s="58">
        <v>0</v>
      </c>
      <c r="E41" s="55"/>
      <c r="F41" s="55"/>
      <c r="G41" s="55"/>
      <c r="H41" s="55"/>
      <c r="I41" s="55"/>
      <c r="J41" s="55"/>
      <c r="K41" s="55"/>
      <c r="L41" s="55"/>
      <c r="M41" s="55"/>
      <c r="N41" s="55"/>
    </row>
    <row r="42" spans="3:14">
      <c r="C42" s="58" t="s">
        <v>8</v>
      </c>
      <c r="D42" s="58">
        <v>0</v>
      </c>
      <c r="E42" s="55"/>
      <c r="F42" s="55"/>
      <c r="G42" s="55"/>
      <c r="H42" s="55"/>
      <c r="I42" s="55"/>
      <c r="J42" s="55"/>
      <c r="K42" s="55"/>
      <c r="L42" s="55"/>
      <c r="M42" s="55"/>
      <c r="N42" s="55"/>
    </row>
    <row r="43" spans="3:14">
      <c r="C43" s="58" t="s">
        <v>9</v>
      </c>
      <c r="D43" s="58">
        <v>0</v>
      </c>
      <c r="E43" s="55"/>
      <c r="F43" s="55"/>
      <c r="G43" s="55"/>
      <c r="H43" s="55"/>
      <c r="I43" s="55"/>
      <c r="J43" s="55"/>
      <c r="K43" s="55"/>
      <c r="L43" s="55"/>
      <c r="M43" s="55"/>
      <c r="N43" s="55"/>
    </row>
    <row r="44" spans="3:14">
      <c r="C44" s="58" t="s">
        <v>10</v>
      </c>
      <c r="D44" s="58">
        <v>0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</row>
    <row r="45" spans="3:14">
      <c r="C45" s="58" t="s">
        <v>11</v>
      </c>
      <c r="D45" s="58">
        <v>0</v>
      </c>
      <c r="E45" s="55"/>
      <c r="F45" s="55"/>
      <c r="G45" s="55"/>
      <c r="H45" s="55"/>
      <c r="I45" s="55"/>
      <c r="J45" s="55"/>
      <c r="K45" s="55"/>
      <c r="L45" s="55"/>
      <c r="M45" s="55"/>
      <c r="N45" s="55"/>
    </row>
    <row r="46" spans="3:14">
      <c r="C46" s="58" t="s">
        <v>12</v>
      </c>
      <c r="D46" s="58">
        <v>0</v>
      </c>
      <c r="E46" s="55"/>
      <c r="F46" s="55"/>
      <c r="G46" s="55"/>
      <c r="H46" s="55"/>
      <c r="I46" s="55"/>
      <c r="J46" s="55"/>
      <c r="K46" s="55"/>
      <c r="L46" s="55"/>
      <c r="M46" s="55"/>
      <c r="N46" s="55"/>
    </row>
    <row r="47" spans="3:14"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</row>
    <row r="48" spans="3:14"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</row>
    <row r="49" spans="3:14">
      <c r="C49" s="54" t="s">
        <v>15</v>
      </c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</row>
    <row r="50" spans="3:14">
      <c r="C50" s="56" t="s">
        <v>2</v>
      </c>
      <c r="D50" s="58" t="s">
        <v>3</v>
      </c>
      <c r="E50" s="58" t="s">
        <v>4</v>
      </c>
      <c r="F50" s="58" t="s">
        <v>5</v>
      </c>
      <c r="G50" s="58" t="s">
        <v>6</v>
      </c>
      <c r="H50" s="58" t="s">
        <v>7</v>
      </c>
      <c r="I50" s="58" t="s">
        <v>8</v>
      </c>
      <c r="J50" s="58" t="s">
        <v>9</v>
      </c>
      <c r="K50" s="58" t="s">
        <v>10</v>
      </c>
      <c r="L50" s="58" t="s">
        <v>11</v>
      </c>
      <c r="M50" s="58" t="s">
        <v>12</v>
      </c>
      <c r="N50" s="55"/>
    </row>
    <row r="51" spans="3:14">
      <c r="C51" s="58" t="s">
        <v>3</v>
      </c>
      <c r="D51" s="61">
        <v>1</v>
      </c>
      <c r="E51" s="61">
        <v>0.95122942450071402</v>
      </c>
      <c r="F51" s="61">
        <v>0.90483741803595952</v>
      </c>
      <c r="G51" s="61">
        <v>0.86070797642505781</v>
      </c>
      <c r="H51" s="61">
        <v>0.81873075307798182</v>
      </c>
      <c r="I51" s="61">
        <v>0.77880078307140488</v>
      </c>
      <c r="J51" s="61">
        <v>0.74081822068171788</v>
      </c>
      <c r="K51" s="61">
        <v>0.70468808971871344</v>
      </c>
      <c r="L51" s="61">
        <v>0.67032004603563933</v>
      </c>
      <c r="M51" s="61">
        <v>0.63762815162177333</v>
      </c>
      <c r="N51" s="55"/>
    </row>
    <row r="52" spans="3:14">
      <c r="C52" s="58" t="s">
        <v>4</v>
      </c>
      <c r="D52" s="61">
        <v>0.95122942450071402</v>
      </c>
      <c r="E52" s="61">
        <v>1</v>
      </c>
      <c r="F52" s="61">
        <v>0.95122942450071402</v>
      </c>
      <c r="G52" s="61">
        <v>0.90483741803595952</v>
      </c>
      <c r="H52" s="61">
        <v>0.86070797642505781</v>
      </c>
      <c r="I52" s="61">
        <v>0.81873075307798182</v>
      </c>
      <c r="J52" s="61">
        <v>0.77880078307140488</v>
      </c>
      <c r="K52" s="61">
        <v>0.74081822068171788</v>
      </c>
      <c r="L52" s="61">
        <v>0.70468808971871344</v>
      </c>
      <c r="M52" s="61">
        <v>0.67032004603563933</v>
      </c>
      <c r="N52" s="55"/>
    </row>
    <row r="53" spans="3:14">
      <c r="C53" s="58" t="s">
        <v>5</v>
      </c>
      <c r="D53" s="61">
        <v>0.90483741803595952</v>
      </c>
      <c r="E53" s="61">
        <v>0.95122942450071402</v>
      </c>
      <c r="F53" s="61">
        <v>1</v>
      </c>
      <c r="G53" s="61">
        <v>0.95122942450071402</v>
      </c>
      <c r="H53" s="61">
        <v>0.90483741803595952</v>
      </c>
      <c r="I53" s="61">
        <v>0.86070797642505781</v>
      </c>
      <c r="J53" s="61">
        <v>0.81873075307798182</v>
      </c>
      <c r="K53" s="61">
        <v>0.77880078307140488</v>
      </c>
      <c r="L53" s="61">
        <v>0.74081822068171788</v>
      </c>
      <c r="M53" s="61">
        <v>0.70468808971871344</v>
      </c>
      <c r="N53" s="55"/>
    </row>
    <row r="54" spans="3:14">
      <c r="C54" s="58" t="s">
        <v>6</v>
      </c>
      <c r="D54" s="61">
        <v>0.86070797642505781</v>
      </c>
      <c r="E54" s="61">
        <v>0.90483741803595952</v>
      </c>
      <c r="F54" s="61">
        <v>0.95122942450071402</v>
      </c>
      <c r="G54" s="61">
        <v>1</v>
      </c>
      <c r="H54" s="61">
        <v>0.95122942450071402</v>
      </c>
      <c r="I54" s="61">
        <v>0.90483741803595952</v>
      </c>
      <c r="J54" s="61">
        <v>0.86070797642505781</v>
      </c>
      <c r="K54" s="61">
        <v>0.81873075307798182</v>
      </c>
      <c r="L54" s="61">
        <v>0.77880078307140488</v>
      </c>
      <c r="M54" s="61">
        <v>0.74081822068171788</v>
      </c>
      <c r="N54" s="55"/>
    </row>
    <row r="55" spans="3:14">
      <c r="C55" s="58" t="s">
        <v>7</v>
      </c>
      <c r="D55" s="61">
        <v>0.81873075307798182</v>
      </c>
      <c r="E55" s="61">
        <v>0.86070797642505781</v>
      </c>
      <c r="F55" s="61">
        <v>0.90483741803595952</v>
      </c>
      <c r="G55" s="61">
        <v>0.95122942450071402</v>
      </c>
      <c r="H55" s="61">
        <v>1</v>
      </c>
      <c r="I55" s="61">
        <v>0.95122942450071402</v>
      </c>
      <c r="J55" s="61">
        <v>0.90483741803595952</v>
      </c>
      <c r="K55" s="61">
        <v>0.86070797642505781</v>
      </c>
      <c r="L55" s="61">
        <v>0.81873075307798182</v>
      </c>
      <c r="M55" s="61">
        <v>0.77880078307140488</v>
      </c>
      <c r="N55" s="55"/>
    </row>
    <row r="56" spans="3:14">
      <c r="C56" s="58" t="s">
        <v>8</v>
      </c>
      <c r="D56" s="61">
        <v>0.77880078307140488</v>
      </c>
      <c r="E56" s="61">
        <v>0.81873075307798182</v>
      </c>
      <c r="F56" s="61">
        <v>0.86070797642505781</v>
      </c>
      <c r="G56" s="61">
        <v>0.90483741803595952</v>
      </c>
      <c r="H56" s="61">
        <v>0.95122942450071402</v>
      </c>
      <c r="I56" s="61">
        <v>1</v>
      </c>
      <c r="J56" s="61">
        <v>0.95122942450071402</v>
      </c>
      <c r="K56" s="61">
        <v>0.90483741803595952</v>
      </c>
      <c r="L56" s="61">
        <v>0.86070797642505781</v>
      </c>
      <c r="M56" s="61">
        <v>0.81873075307798182</v>
      </c>
      <c r="N56" s="55"/>
    </row>
    <row r="57" spans="3:14">
      <c r="C57" s="58" t="s">
        <v>9</v>
      </c>
      <c r="D57" s="61">
        <v>0.74081822068171788</v>
      </c>
      <c r="E57" s="61">
        <v>0.77880078307140488</v>
      </c>
      <c r="F57" s="61">
        <v>0.81873075307798182</v>
      </c>
      <c r="G57" s="61">
        <v>0.86070797642505781</v>
      </c>
      <c r="H57" s="61">
        <v>0.90483741803595952</v>
      </c>
      <c r="I57" s="61">
        <v>0.95122942450071402</v>
      </c>
      <c r="J57" s="61">
        <v>1</v>
      </c>
      <c r="K57" s="61">
        <v>0.95122942450071402</v>
      </c>
      <c r="L57" s="61">
        <v>0.90483741803595952</v>
      </c>
      <c r="M57" s="61">
        <v>0.86070797642505781</v>
      </c>
      <c r="N57" s="55"/>
    </row>
    <row r="58" spans="3:14">
      <c r="C58" s="58" t="s">
        <v>10</v>
      </c>
      <c r="D58" s="61">
        <v>0.70468808971871344</v>
      </c>
      <c r="E58" s="61">
        <v>0.74081822068171788</v>
      </c>
      <c r="F58" s="61">
        <v>0.77880078307140488</v>
      </c>
      <c r="G58" s="61">
        <v>0.81873075307798182</v>
      </c>
      <c r="H58" s="61">
        <v>0.86070797642505781</v>
      </c>
      <c r="I58" s="61">
        <v>0.90483741803595952</v>
      </c>
      <c r="J58" s="61">
        <v>0.95122942450071402</v>
      </c>
      <c r="K58" s="61">
        <v>1</v>
      </c>
      <c r="L58" s="61">
        <v>0.95122942450071402</v>
      </c>
      <c r="M58" s="61">
        <v>0.90483741803595952</v>
      </c>
      <c r="N58" s="55"/>
    </row>
    <row r="59" spans="3:14">
      <c r="C59" s="58" t="s">
        <v>11</v>
      </c>
      <c r="D59" s="61">
        <v>0.67032004603563933</v>
      </c>
      <c r="E59" s="61">
        <v>0.70468808971871344</v>
      </c>
      <c r="F59" s="61">
        <v>0.74081822068171788</v>
      </c>
      <c r="G59" s="61">
        <v>0.77880078307140488</v>
      </c>
      <c r="H59" s="61">
        <v>0.81873075307798182</v>
      </c>
      <c r="I59" s="61">
        <v>0.86070797642505781</v>
      </c>
      <c r="J59" s="61">
        <v>0.90483741803595952</v>
      </c>
      <c r="K59" s="61">
        <v>0.95122942450071402</v>
      </c>
      <c r="L59" s="61">
        <v>1</v>
      </c>
      <c r="M59" s="61">
        <v>0.95122942450071402</v>
      </c>
      <c r="N59" s="55"/>
    </row>
    <row r="60" spans="3:14">
      <c r="C60" s="58" t="s">
        <v>12</v>
      </c>
      <c r="D60" s="61">
        <v>0.63762815162177333</v>
      </c>
      <c r="E60" s="61">
        <v>0.67032004603563933</v>
      </c>
      <c r="F60" s="61">
        <v>0.70468808971871344</v>
      </c>
      <c r="G60" s="61">
        <v>0.74081822068171788</v>
      </c>
      <c r="H60" s="61">
        <v>0.77880078307140488</v>
      </c>
      <c r="I60" s="61">
        <v>0.81873075307798182</v>
      </c>
      <c r="J60" s="61">
        <v>0.86070797642505781</v>
      </c>
      <c r="K60" s="61">
        <v>0.90483741803595952</v>
      </c>
      <c r="L60" s="61">
        <v>0.95122942450071402</v>
      </c>
      <c r="M60" s="61">
        <v>1</v>
      </c>
      <c r="N60" s="55"/>
    </row>
  </sheetData>
  <mergeCells count="1">
    <mergeCell ref="F7:G7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C6:H21"/>
  <sheetViews>
    <sheetView workbookViewId="0">
      <selection activeCell="D7" sqref="D7"/>
    </sheetView>
  </sheetViews>
  <sheetFormatPr defaultRowHeight="12.75"/>
  <cols>
    <col min="3" max="3" width="14.42578125" customWidth="1"/>
    <col min="4" max="4" width="27.42578125" customWidth="1"/>
    <col min="5" max="5" width="22.5703125" customWidth="1"/>
    <col min="6" max="6" width="19.85546875" style="38" bestFit="1" customWidth="1"/>
    <col min="7" max="7" width="16.140625" bestFit="1" customWidth="1"/>
    <col min="8" max="8" width="8.5703125" style="49" bestFit="1" customWidth="1"/>
  </cols>
  <sheetData>
    <row r="6" spans="3:8">
      <c r="C6" s="28" t="s">
        <v>2</v>
      </c>
      <c r="D6" s="23" t="s">
        <v>18</v>
      </c>
      <c r="E6" s="28" t="s">
        <v>19</v>
      </c>
      <c r="F6" s="35" t="s">
        <v>20</v>
      </c>
      <c r="G6" s="31" t="s">
        <v>26</v>
      </c>
      <c r="H6" s="45" t="s">
        <v>25</v>
      </c>
    </row>
    <row r="7" spans="3:8">
      <c r="C7" s="25" t="s">
        <v>3</v>
      </c>
      <c r="D7" s="29">
        <f t="array" ref="D7:H16">_xll.HLV5r3.Analytics.Futures.CalculateCashForward('Data 2'!G9:G18,'Data 2'!E23:N32, 'Data 2'!D51:M60,'Data 2'!D37:D46, 'Data 2'!E8:E18,'Data 2'!G9:G18)</f>
        <v>4.9993797538873751E-2</v>
      </c>
      <c r="E7" s="4">
        <v>3.8467076746151463E-12</v>
      </c>
      <c r="F7" s="36">
        <v>1</v>
      </c>
      <c r="G7" s="32">
        <v>1.6477E-3</v>
      </c>
      <c r="H7" s="46">
        <v>1</v>
      </c>
    </row>
    <row r="8" spans="3:8">
      <c r="C8" s="26" t="s">
        <v>4</v>
      </c>
      <c r="D8" s="29">
        <v>4.9981639159047832E-2</v>
      </c>
      <c r="E8" s="4">
        <v>1.5511474049656471E-11</v>
      </c>
      <c r="F8" s="36">
        <v>1</v>
      </c>
      <c r="G8" s="33">
        <v>0</v>
      </c>
      <c r="H8" s="47">
        <v>0</v>
      </c>
    </row>
    <row r="9" spans="3:8">
      <c r="C9" s="26" t="s">
        <v>5</v>
      </c>
      <c r="D9" s="29">
        <v>4.9963764872251112E-2</v>
      </c>
      <c r="E9" s="4">
        <v>3.5134596620967073E-11</v>
      </c>
      <c r="F9" s="36">
        <v>1</v>
      </c>
      <c r="G9" s="33">
        <v>0</v>
      </c>
      <c r="H9" s="47">
        <v>0</v>
      </c>
    </row>
    <row r="10" spans="3:8">
      <c r="C10" s="26" t="s">
        <v>6</v>
      </c>
      <c r="D10" s="29">
        <v>4.9940408194247714E-2</v>
      </c>
      <c r="E10" s="4">
        <v>6.2799140887470628E-11</v>
      </c>
      <c r="F10" s="36">
        <v>1</v>
      </c>
      <c r="G10" s="33">
        <v>0</v>
      </c>
      <c r="H10" s="47">
        <v>0</v>
      </c>
    </row>
    <row r="11" spans="3:8">
      <c r="C11" s="26" t="s">
        <v>7</v>
      </c>
      <c r="D11" s="29">
        <v>4.9911796183646009E-2</v>
      </c>
      <c r="E11" s="4">
        <v>9.8536664938642105E-11</v>
      </c>
      <c r="F11" s="36">
        <v>1</v>
      </c>
      <c r="G11" s="33">
        <v>0</v>
      </c>
      <c r="H11" s="47">
        <v>0</v>
      </c>
    </row>
    <row r="12" spans="3:8">
      <c r="C12" s="26" t="s">
        <v>8</v>
      </c>
      <c r="D12" s="29">
        <v>4.9878149488407277E-2</v>
      </c>
      <c r="E12" s="4">
        <v>1.4233262485285891E-10</v>
      </c>
      <c r="F12" s="36">
        <v>1</v>
      </c>
      <c r="G12" s="33">
        <v>0</v>
      </c>
      <c r="H12" s="47">
        <v>0</v>
      </c>
    </row>
    <row r="13" spans="3:8">
      <c r="C13" s="26" t="s">
        <v>9</v>
      </c>
      <c r="D13" s="29">
        <v>4.9839682399831074E-2</v>
      </c>
      <c r="E13" s="4">
        <v>1.9413134988433001E-10</v>
      </c>
      <c r="F13" s="36">
        <v>1</v>
      </c>
      <c r="G13" s="33">
        <v>0</v>
      </c>
      <c r="H13" s="47">
        <v>0</v>
      </c>
    </row>
    <row r="14" spans="3:8">
      <c r="C14" s="26" t="s">
        <v>10</v>
      </c>
      <c r="D14" s="29">
        <v>4.9796602913730517E-2</v>
      </c>
      <c r="E14" s="4">
        <v>2.5384064988864807E-10</v>
      </c>
      <c r="F14" s="36">
        <v>1</v>
      </c>
      <c r="G14" s="33">
        <v>0</v>
      </c>
      <c r="H14" s="47">
        <v>0</v>
      </c>
    </row>
    <row r="15" spans="3:8">
      <c r="C15" s="26" t="s">
        <v>11</v>
      </c>
      <c r="D15" s="29">
        <v>4.9749112798460185E-2</v>
      </c>
      <c r="E15" s="4">
        <v>3.2133603417028311E-10</v>
      </c>
      <c r="F15" s="36">
        <v>1</v>
      </c>
      <c r="G15" s="33">
        <v>0</v>
      </c>
      <c r="H15" s="47">
        <v>0</v>
      </c>
    </row>
    <row r="16" spans="3:8">
      <c r="C16" s="27" t="s">
        <v>12</v>
      </c>
      <c r="D16" s="30">
        <v>4.9697407669420476E-2</v>
      </c>
      <c r="E16" s="5">
        <v>3.964647221632589E-10</v>
      </c>
      <c r="F16" s="37">
        <v>1</v>
      </c>
      <c r="G16" s="34">
        <v>0</v>
      </c>
      <c r="H16" s="48">
        <v>0</v>
      </c>
    </row>
    <row r="21" spans="3:3">
      <c r="C21" s="2" t="s">
        <v>23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Data</vt:lpstr>
      <vt:lpstr>Adjusted CashForward</vt:lpstr>
      <vt:lpstr>Data 2</vt:lpstr>
      <vt:lpstr>Adjusted Cash Forward 2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Glass</dc:creator>
  <cp:lastModifiedBy>Alex</cp:lastModifiedBy>
  <dcterms:created xsi:type="dcterms:W3CDTF">2009-03-19T00:08:34Z</dcterms:created>
  <dcterms:modified xsi:type="dcterms:W3CDTF">2018-04-25T01:21:20Z</dcterms:modified>
</cp:coreProperties>
</file>