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9\Projects\Highlander\FpML.V5r3.Applications\ExcelAPI\Spreadsheets\Product Pricers\"/>
    </mc:Choice>
  </mc:AlternateContent>
  <xr:revisionPtr revIDLastSave="0" documentId="13_ncr:1_{5E8A32FF-D671-4324-8180-9C3FD31A43E8}" xr6:coauthVersionLast="43" xr6:coauthVersionMax="43" xr10:uidLastSave="{00000000-0000-0000-0000-000000000000}"/>
  <bookViews>
    <workbookView xWindow="2415" yWindow="0" windowWidth="26370" windowHeight="14820" tabRatio="429" xr2:uid="{00000000-000D-0000-FFFF-FFFF00000000}"/>
  </bookViews>
  <sheets>
    <sheet name="AUDCurve" sheetId="2" r:id="rId1"/>
    <sheet name="Swap" sheetId="8" r:id="rId2"/>
    <sheet name="Stream1" sheetId="9" r:id="rId3"/>
    <sheet name="Stream2" sheetId="10" r:id="rId4"/>
  </sheets>
  <definedNames>
    <definedName name="CouponDiganostics">Swap!$F$23:$BR$43</definedName>
    <definedName name="CreateDeal">Swap!$F$3</definedName>
    <definedName name="EffectiveDate">Swap!$B$3</definedName>
    <definedName name="NABPayReceiveInd">Swap!$B$6</definedName>
    <definedName name="NotionalAmount">Swap!$B$9</definedName>
    <definedName name="NotionalCcy">Swap!$B$10</definedName>
    <definedName name="PayerCcy">Swap!$B$19</definedName>
    <definedName name="PayerNotional">Swap!$B$18</definedName>
    <definedName name="PayerStream">Swap!$B$17</definedName>
    <definedName name="_xlnm.Print_Area" localSheetId="0">AUDCurve!$A$1:$G$47</definedName>
    <definedName name="QuotedCcyPair">Swap!$B$8</definedName>
    <definedName name="SpotRate">Swap!$B$11</definedName>
    <definedName name="Sream2Delat0">Stream2!$C$8</definedName>
    <definedName name="Sream2Delta1">Stream2!$C$9</definedName>
    <definedName name="Sream2DV01">Stream2!$C$7</definedName>
    <definedName name="Sream2NPV">Stream2!$C$6</definedName>
    <definedName name="Stream1BDConv">Swap!$B$24</definedName>
    <definedName name="Stream1BER">Stream1!$C$5</definedName>
    <definedName name="Stream1Calendar">Swap!$B$21</definedName>
    <definedName name="Stream1CompoundingPeriod">Stream1!$AB$3</definedName>
    <definedName name="Stream1DiscountCurve">Swap!$B$27</definedName>
    <definedName name="Stream1DV01">Stream1!$C$7</definedName>
    <definedName name="Stream1FixedRate">Swap!$B$28</definedName>
    <definedName name="Stream1ForwardCurve">Swap!$B$30</definedName>
    <definedName name="Stream1NPV">Stream1!$C$6</definedName>
    <definedName name="Stream1Period">Swap!$B$22</definedName>
    <definedName name="Stream1Roll">Swap!$B$23</definedName>
    <definedName name="Stream1Spread">Swap!$B$36</definedName>
    <definedName name="Stream2BDConv">Swap!$G$24</definedName>
    <definedName name="Stream2BER">Stream2!$C$5</definedName>
    <definedName name="Stream2Calendar">Swap!$G$31</definedName>
    <definedName name="Stream2CompoundingPeriod">Stream2!$AB$3</definedName>
    <definedName name="Stream2DiscountCurve">Swap!$G$27</definedName>
    <definedName name="Stream2DV01">Stream2!$C$7</definedName>
    <definedName name="Stream2FixedRate">Swap!$G$28</definedName>
    <definedName name="Stream2ForwardCurve">Swap!$G$30</definedName>
    <definedName name="Stream2Notional">Swap!$G$18</definedName>
    <definedName name="Stream2NPV">Stream2!$C$6</definedName>
    <definedName name="Stream2Period">Swap!$G$22</definedName>
    <definedName name="Stream2Roll">Swap!$G$23</definedName>
    <definedName name="Stream2Spread">Swap!$G$36</definedName>
    <definedName name="Stream2Type">Swap!$G$17</definedName>
    <definedName name="StreamDelat0">Stream1!$C$8</definedName>
    <definedName name="StreamDelta1">Stream1!$C$9</definedName>
    <definedName name="SwapInputTerms">Swap!$B$2:$B$15</definedName>
    <definedName name="TreminationDate">Swap!$B$4</definedName>
    <definedName name="ValuationDate">Swap!$F$4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35" i="9" l="1"/>
  <c r="P130" i="9"/>
  <c r="P129" i="9"/>
  <c r="P113" i="9"/>
  <c r="P111" i="9"/>
  <c r="P106" i="9"/>
  <c r="P90" i="9"/>
  <c r="P89" i="9"/>
  <c r="P87" i="9"/>
  <c r="P71" i="9"/>
  <c r="P66" i="9"/>
  <c r="P65" i="9"/>
  <c r="P49" i="9"/>
  <c r="P47" i="9"/>
  <c r="P42" i="9"/>
  <c r="P26" i="9"/>
  <c r="P25" i="9"/>
  <c r="P23" i="9"/>
  <c r="F4" i="8"/>
  <c r="A39" i="8" s="1"/>
  <c r="A40" i="8" s="1"/>
  <c r="B3" i="2"/>
  <c r="C13" i="9"/>
  <c r="AA8" i="10"/>
  <c r="AA7" i="10"/>
  <c r="AA6" i="10"/>
  <c r="AA5" i="10"/>
  <c r="Z8" i="10"/>
  <c r="Z7" i="10"/>
  <c r="Z6" i="10"/>
  <c r="Z5" i="10"/>
  <c r="Y8" i="10"/>
  <c r="Y7" i="10"/>
  <c r="Y6" i="10"/>
  <c r="Y5" i="10"/>
  <c r="C13" i="10"/>
  <c r="B2" i="10"/>
  <c r="B2" i="9"/>
  <c r="P150" i="9" s="1"/>
  <c r="F3" i="2"/>
  <c r="E13" i="10"/>
  <c r="G13" i="10" s="1"/>
  <c r="N13" i="10" s="1"/>
  <c r="G45" i="8" s="1"/>
  <c r="E12" i="10"/>
  <c r="G12" i="10" s="1"/>
  <c r="N12" i="10" s="1"/>
  <c r="G44" i="8" s="1"/>
  <c r="E13" i="9"/>
  <c r="G13" i="9" s="1"/>
  <c r="N13" i="9" s="1"/>
  <c r="E12" i="9"/>
  <c r="G12" i="9" s="1"/>
  <c r="N12" i="9" s="1"/>
  <c r="F7" i="2"/>
  <c r="J38" i="2"/>
  <c r="J37" i="2"/>
  <c r="J36" i="2"/>
  <c r="J35" i="2"/>
  <c r="J34" i="2"/>
  <c r="J33" i="2"/>
  <c r="J32" i="2"/>
  <c r="J31" i="2"/>
  <c r="J30" i="2"/>
  <c r="J27" i="2"/>
  <c r="J26" i="2"/>
  <c r="J25" i="2"/>
  <c r="J24" i="2"/>
  <c r="J23" i="2"/>
  <c r="J22" i="2"/>
  <c r="J21" i="2"/>
  <c r="J20" i="2"/>
  <c r="J19" i="2"/>
  <c r="K14" i="2"/>
  <c r="K15" i="2"/>
  <c r="J15" i="2" s="1"/>
  <c r="B15" i="2" s="1"/>
  <c r="J14" i="2"/>
  <c r="B14" i="2" s="1"/>
  <c r="J13" i="2"/>
  <c r="B13" i="2" s="1"/>
  <c r="B7" i="2"/>
  <c r="A17" i="8"/>
  <c r="F17" i="8" s="1"/>
  <c r="A2" i="10" s="1"/>
  <c r="G18" i="8"/>
  <c r="B18" i="8"/>
  <c r="B19" i="8"/>
  <c r="B34" i="8" s="1"/>
  <c r="G19" i="8"/>
  <c r="G34" i="8" s="1"/>
  <c r="B45" i="8"/>
  <c r="B44" i="8"/>
  <c r="A2" i="9"/>
  <c r="U13" i="9"/>
  <c r="F1" i="2"/>
  <c r="A45" i="8"/>
  <c r="U13" i="10"/>
  <c r="AB3" i="10"/>
  <c r="AB3" i="9"/>
  <c r="P31" i="9" l="1"/>
  <c r="P50" i="9"/>
  <c r="P73" i="9"/>
  <c r="P95" i="9"/>
  <c r="P114" i="9"/>
  <c r="P137" i="9"/>
  <c r="P33" i="9"/>
  <c r="P55" i="9"/>
  <c r="P74" i="9"/>
  <c r="P97" i="9"/>
  <c r="P119" i="9"/>
  <c r="P138" i="9"/>
  <c r="P34" i="9"/>
  <c r="P57" i="9"/>
  <c r="P79" i="9"/>
  <c r="P98" i="9"/>
  <c r="P121" i="9"/>
  <c r="P143" i="9"/>
  <c r="P17" i="9"/>
  <c r="P39" i="9"/>
  <c r="P58" i="9"/>
  <c r="P81" i="9"/>
  <c r="P103" i="9"/>
  <c r="P122" i="9"/>
  <c r="P145" i="9"/>
  <c r="P18" i="9"/>
  <c r="P41" i="9"/>
  <c r="P63" i="9"/>
  <c r="P82" i="9"/>
  <c r="P105" i="9"/>
  <c r="P127" i="9"/>
  <c r="P146" i="9"/>
  <c r="P16" i="9"/>
  <c r="P24" i="9"/>
  <c r="P32" i="9"/>
  <c r="P40" i="9"/>
  <c r="P48" i="9"/>
  <c r="P56" i="9"/>
  <c r="P64" i="9"/>
  <c r="P72" i="9"/>
  <c r="P80" i="9"/>
  <c r="P88" i="9"/>
  <c r="P96" i="9"/>
  <c r="P104" i="9"/>
  <c r="P112" i="9"/>
  <c r="P120" i="9"/>
  <c r="P128" i="9"/>
  <c r="P136" i="9"/>
  <c r="P144" i="9"/>
  <c r="P19" i="9"/>
  <c r="P27" i="9"/>
  <c r="P35" i="9"/>
  <c r="P43" i="9"/>
  <c r="P51" i="9"/>
  <c r="P59" i="9"/>
  <c r="P67" i="9"/>
  <c r="P75" i="9"/>
  <c r="P83" i="9"/>
  <c r="P91" i="9"/>
  <c r="P99" i="9"/>
  <c r="P107" i="9"/>
  <c r="P115" i="9"/>
  <c r="P123" i="9"/>
  <c r="P131" i="9"/>
  <c r="P139" i="9"/>
  <c r="P147" i="9"/>
  <c r="P20" i="9"/>
  <c r="P28" i="9"/>
  <c r="P36" i="9"/>
  <c r="P44" i="9"/>
  <c r="P52" i="9"/>
  <c r="P60" i="9"/>
  <c r="P68" i="9"/>
  <c r="P76" i="9"/>
  <c r="P84" i="9"/>
  <c r="P92" i="9"/>
  <c r="P100" i="9"/>
  <c r="P108" i="9"/>
  <c r="P116" i="9"/>
  <c r="P124" i="9"/>
  <c r="P132" i="9"/>
  <c r="P140" i="9"/>
  <c r="P148" i="9"/>
  <c r="P21" i="9"/>
  <c r="P29" i="9"/>
  <c r="P37" i="9"/>
  <c r="P45" i="9"/>
  <c r="P53" i="9"/>
  <c r="P61" i="9"/>
  <c r="P69" i="9"/>
  <c r="P77" i="9"/>
  <c r="P85" i="9"/>
  <c r="P93" i="9"/>
  <c r="P101" i="9"/>
  <c r="P109" i="9"/>
  <c r="P117" i="9"/>
  <c r="P125" i="9"/>
  <c r="P133" i="9"/>
  <c r="P141" i="9"/>
  <c r="P149" i="9"/>
  <c r="P22" i="9"/>
  <c r="P30" i="9"/>
  <c r="P38" i="9"/>
  <c r="P46" i="9"/>
  <c r="P54" i="9"/>
  <c r="P62" i="9"/>
  <c r="P70" i="9"/>
  <c r="P78" i="9"/>
  <c r="P86" i="9"/>
  <c r="P94" i="9"/>
  <c r="P102" i="9"/>
  <c r="P110" i="9"/>
  <c r="P118" i="9"/>
  <c r="P126" i="9"/>
  <c r="P134" i="9"/>
  <c r="P142" i="9"/>
  <c r="F45" i="8"/>
  <c r="A6" i="10"/>
  <c r="A7" i="10"/>
  <c r="A7" i="9"/>
  <c r="A9" i="10"/>
  <c r="A8" i="9"/>
  <c r="A5" i="10"/>
  <c r="A6" i="9"/>
  <c r="A9" i="9"/>
  <c r="A5" i="9"/>
  <c r="A8" i="10"/>
  <c r="B3" i="8"/>
  <c r="F39" i="8"/>
  <c r="F40" i="8" s="1"/>
  <c r="K16" i="2"/>
  <c r="A44" i="8"/>
  <c r="F44" i="8" l="1"/>
  <c r="C12" i="10"/>
  <c r="Y2" i="10"/>
  <c r="Y2" i="9"/>
  <c r="C12" i="9"/>
  <c r="B2" i="8"/>
  <c r="A41" i="8"/>
  <c r="F41" i="8"/>
  <c r="K17" i="2"/>
  <c r="J16" i="2"/>
  <c r="B16" i="2" s="1"/>
  <c r="C8" i="9"/>
  <c r="X17" i="10" a="1"/>
  <c r="X17" i="9" a="1"/>
  <c r="U12" i="10"/>
  <c r="U12" i="9"/>
  <c r="X20" i="10" l="1"/>
  <c r="X24" i="10"/>
  <c r="X28" i="10"/>
  <c r="X32" i="10"/>
  <c r="T32" i="10" s="1"/>
  <c r="S32" i="10" s="1"/>
  <c r="X36" i="10"/>
  <c r="X40" i="10"/>
  <c r="X44" i="10"/>
  <c r="T44" i="10" s="1"/>
  <c r="S44" i="10" s="1"/>
  <c r="X48" i="10"/>
  <c r="X52" i="10"/>
  <c r="X56" i="10"/>
  <c r="X60" i="10"/>
  <c r="T60" i="10" s="1"/>
  <c r="S60" i="10" s="1"/>
  <c r="X64" i="10"/>
  <c r="T64" i="10" s="1"/>
  <c r="S64" i="10" s="1"/>
  <c r="X68" i="10"/>
  <c r="X72" i="10"/>
  <c r="X76" i="10"/>
  <c r="X80" i="10"/>
  <c r="T80" i="10" s="1"/>
  <c r="S80" i="10" s="1"/>
  <c r="X84" i="10"/>
  <c r="X88" i="10"/>
  <c r="X92" i="10"/>
  <c r="T92" i="10" s="1"/>
  <c r="S92" i="10" s="1"/>
  <c r="X96" i="10"/>
  <c r="X100" i="10"/>
  <c r="X104" i="10"/>
  <c r="X108" i="10"/>
  <c r="T108" i="10" s="1"/>
  <c r="S108" i="10" s="1"/>
  <c r="X112" i="10"/>
  <c r="T112" i="10" s="1"/>
  <c r="S112" i="10" s="1"/>
  <c r="X116" i="10"/>
  <c r="X120" i="10"/>
  <c r="X124" i="10"/>
  <c r="T124" i="10" s="1"/>
  <c r="S124" i="10" s="1"/>
  <c r="X128" i="10"/>
  <c r="X132" i="10"/>
  <c r="X136" i="10"/>
  <c r="X140" i="10"/>
  <c r="T140" i="10" s="1"/>
  <c r="S140" i="10" s="1"/>
  <c r="A139" i="10" s="1"/>
  <c r="B139" i="10" s="1"/>
  <c r="C139" i="10" s="1"/>
  <c r="X144" i="10"/>
  <c r="X148" i="10"/>
  <c r="X17" i="10"/>
  <c r="X21" i="10"/>
  <c r="T21" i="10" s="1"/>
  <c r="S21" i="10" s="1"/>
  <c r="X25" i="10"/>
  <c r="X29" i="10"/>
  <c r="X33" i="10"/>
  <c r="X37" i="10"/>
  <c r="T37" i="10" s="1"/>
  <c r="S37" i="10" s="1"/>
  <c r="X41" i="10"/>
  <c r="X45" i="10"/>
  <c r="X49" i="10"/>
  <c r="X53" i="10"/>
  <c r="X57" i="10"/>
  <c r="X61" i="10"/>
  <c r="X65" i="10"/>
  <c r="X69" i="10"/>
  <c r="T69" i="10" s="1"/>
  <c r="S69" i="10" s="1"/>
  <c r="X73" i="10"/>
  <c r="X77" i="10"/>
  <c r="X81" i="10"/>
  <c r="X85" i="10"/>
  <c r="X89" i="10"/>
  <c r="T89" i="10" s="1"/>
  <c r="S89" i="10" s="1"/>
  <c r="X93" i="10"/>
  <c r="X97" i="10"/>
  <c r="X101" i="10"/>
  <c r="T101" i="10" s="1"/>
  <c r="S101" i="10" s="1"/>
  <c r="X105" i="10"/>
  <c r="X109" i="10"/>
  <c r="X113" i="10"/>
  <c r="X117" i="10"/>
  <c r="X121" i="10"/>
  <c r="T121" i="10" s="1"/>
  <c r="S121" i="10" s="1"/>
  <c r="X125" i="10"/>
  <c r="X129" i="10"/>
  <c r="X133" i="10"/>
  <c r="T133" i="10" s="1"/>
  <c r="S133" i="10" s="1"/>
  <c r="A132" i="10" s="1"/>
  <c r="B132" i="10" s="1"/>
  <c r="C132" i="10" s="1"/>
  <c r="X137" i="10"/>
  <c r="T137" i="10" s="1"/>
  <c r="S137" i="10" s="1"/>
  <c r="A136" i="10" s="1"/>
  <c r="B136" i="10" s="1"/>
  <c r="C136" i="10" s="1"/>
  <c r="X141" i="10"/>
  <c r="X145" i="10"/>
  <c r="X149" i="10"/>
  <c r="T149" i="10" s="1"/>
  <c r="S149" i="10" s="1"/>
  <c r="A148" i="10" s="1"/>
  <c r="B148" i="10" s="1"/>
  <c r="C148" i="10" s="1"/>
  <c r="X18" i="10"/>
  <c r="T18" i="10" s="1"/>
  <c r="S18" i="10" s="1"/>
  <c r="X22" i="10"/>
  <c r="X26" i="10"/>
  <c r="X30" i="10"/>
  <c r="X34" i="10"/>
  <c r="T34" i="10" s="1"/>
  <c r="S34" i="10" s="1"/>
  <c r="X38" i="10"/>
  <c r="X42" i="10"/>
  <c r="X46" i="10"/>
  <c r="X50" i="10"/>
  <c r="T50" i="10" s="1"/>
  <c r="S50" i="10" s="1"/>
  <c r="X54" i="10"/>
  <c r="X58" i="10"/>
  <c r="X62" i="10"/>
  <c r="X66" i="10"/>
  <c r="X70" i="10"/>
  <c r="X74" i="10"/>
  <c r="X78" i="10"/>
  <c r="X82" i="10"/>
  <c r="T82" i="10" s="1"/>
  <c r="S82" i="10" s="1"/>
  <c r="X86" i="10"/>
  <c r="X90" i="10"/>
  <c r="X94" i="10"/>
  <c r="T94" i="10" s="1"/>
  <c r="S94" i="10" s="1"/>
  <c r="X98" i="10"/>
  <c r="T98" i="10" s="1"/>
  <c r="S98" i="10" s="1"/>
  <c r="X102" i="10"/>
  <c r="X106" i="10"/>
  <c r="X110" i="10"/>
  <c r="T110" i="10" s="1"/>
  <c r="S110" i="10" s="1"/>
  <c r="X114" i="10"/>
  <c r="X118" i="10"/>
  <c r="X122" i="10"/>
  <c r="X126" i="10"/>
  <c r="T126" i="10" s="1"/>
  <c r="S126" i="10" s="1"/>
  <c r="X130" i="10"/>
  <c r="T130" i="10" s="1"/>
  <c r="S130" i="10" s="1"/>
  <c r="X134" i="10"/>
  <c r="X138" i="10"/>
  <c r="X142" i="10"/>
  <c r="T142" i="10" s="1"/>
  <c r="S142" i="10" s="1"/>
  <c r="A141" i="10" s="1"/>
  <c r="B141" i="10" s="1"/>
  <c r="C141" i="10" s="1"/>
  <c r="X146" i="10"/>
  <c r="X150" i="10"/>
  <c r="X19" i="10"/>
  <c r="X23" i="10"/>
  <c r="T23" i="10" s="1"/>
  <c r="S23" i="10" s="1"/>
  <c r="X27" i="10"/>
  <c r="X31" i="10"/>
  <c r="X35" i="10"/>
  <c r="X39" i="10"/>
  <c r="T39" i="10" s="1"/>
  <c r="S39" i="10" s="1"/>
  <c r="X43" i="10"/>
  <c r="X47" i="10"/>
  <c r="X51" i="10"/>
  <c r="X55" i="10"/>
  <c r="T55" i="10" s="1"/>
  <c r="S55" i="10" s="1"/>
  <c r="X59" i="10"/>
  <c r="X63" i="10"/>
  <c r="X67" i="10"/>
  <c r="X71" i="10"/>
  <c r="X75" i="10"/>
  <c r="X79" i="10"/>
  <c r="X83" i="10"/>
  <c r="X87" i="10"/>
  <c r="T87" i="10" s="1"/>
  <c r="S87" i="10" s="1"/>
  <c r="X91" i="10"/>
  <c r="X95" i="10"/>
  <c r="X99" i="10"/>
  <c r="X103" i="10"/>
  <c r="T103" i="10" s="1"/>
  <c r="S103" i="10" s="1"/>
  <c r="X107" i="10"/>
  <c r="T107" i="10" s="1"/>
  <c r="S107" i="10" s="1"/>
  <c r="X111" i="10"/>
  <c r="X115" i="10"/>
  <c r="X119" i="10"/>
  <c r="T119" i="10" s="1"/>
  <c r="S119" i="10" s="1"/>
  <c r="X123" i="10"/>
  <c r="X127" i="10"/>
  <c r="X131" i="10"/>
  <c r="X135" i="10"/>
  <c r="T135" i="10" s="1"/>
  <c r="S135" i="10" s="1"/>
  <c r="A134" i="10" s="1"/>
  <c r="B134" i="10" s="1"/>
  <c r="C134" i="10" s="1"/>
  <c r="X139" i="10"/>
  <c r="X143" i="10"/>
  <c r="X147" i="10"/>
  <c r="X20" i="9"/>
  <c r="T20" i="9" s="1"/>
  <c r="S20" i="9" s="1"/>
  <c r="X24" i="9"/>
  <c r="T24" i="9" s="1"/>
  <c r="S24" i="9" s="1"/>
  <c r="X28" i="9"/>
  <c r="X32" i="9"/>
  <c r="T32" i="9" s="1"/>
  <c r="S32" i="9" s="1"/>
  <c r="X36" i="9"/>
  <c r="T36" i="9" s="1"/>
  <c r="S36" i="9" s="1"/>
  <c r="X40" i="9"/>
  <c r="T40" i="9" s="1"/>
  <c r="S40" i="9" s="1"/>
  <c r="X44" i="9"/>
  <c r="T44" i="9" s="1"/>
  <c r="S44" i="9" s="1"/>
  <c r="X48" i="9"/>
  <c r="T48" i="9" s="1"/>
  <c r="S48" i="9" s="1"/>
  <c r="X52" i="9"/>
  <c r="T52" i="9" s="1"/>
  <c r="S52" i="9" s="1"/>
  <c r="X56" i="9"/>
  <c r="T56" i="9" s="1"/>
  <c r="S56" i="9" s="1"/>
  <c r="X60" i="9"/>
  <c r="T60" i="9" s="1"/>
  <c r="S60" i="9" s="1"/>
  <c r="X64" i="9"/>
  <c r="T64" i="9" s="1"/>
  <c r="S64" i="9" s="1"/>
  <c r="X68" i="9"/>
  <c r="T68" i="9" s="1"/>
  <c r="S68" i="9" s="1"/>
  <c r="X72" i="9"/>
  <c r="T72" i="9" s="1"/>
  <c r="S72" i="9" s="1"/>
  <c r="X76" i="9"/>
  <c r="T76" i="9" s="1"/>
  <c r="S76" i="9" s="1"/>
  <c r="X80" i="9"/>
  <c r="T80" i="9" s="1"/>
  <c r="S80" i="9" s="1"/>
  <c r="X84" i="9"/>
  <c r="T84" i="9" s="1"/>
  <c r="S84" i="9" s="1"/>
  <c r="X88" i="9"/>
  <c r="T88" i="9" s="1"/>
  <c r="S88" i="9" s="1"/>
  <c r="X92" i="9"/>
  <c r="T92" i="9" s="1"/>
  <c r="S92" i="9" s="1"/>
  <c r="X96" i="9"/>
  <c r="T96" i="9" s="1"/>
  <c r="S96" i="9" s="1"/>
  <c r="X100" i="9"/>
  <c r="T100" i="9" s="1"/>
  <c r="S100" i="9" s="1"/>
  <c r="X104" i="9"/>
  <c r="T104" i="9" s="1"/>
  <c r="S104" i="9" s="1"/>
  <c r="X108" i="9"/>
  <c r="X112" i="9"/>
  <c r="T112" i="9" s="1"/>
  <c r="S112" i="9" s="1"/>
  <c r="X116" i="9"/>
  <c r="T116" i="9" s="1"/>
  <c r="S116" i="9" s="1"/>
  <c r="X120" i="9"/>
  <c r="T120" i="9" s="1"/>
  <c r="S120" i="9" s="1"/>
  <c r="X124" i="9"/>
  <c r="T124" i="9" s="1"/>
  <c r="S124" i="9" s="1"/>
  <c r="X136" i="9"/>
  <c r="T136" i="9" s="1"/>
  <c r="S136" i="9" s="1"/>
  <c r="A135" i="9" s="1"/>
  <c r="B135" i="9" s="1"/>
  <c r="C135" i="9" s="1"/>
  <c r="X140" i="9"/>
  <c r="T140" i="9" s="1"/>
  <c r="S140" i="9" s="1"/>
  <c r="A139" i="9" s="1"/>
  <c r="B139" i="9" s="1"/>
  <c r="C139" i="9" s="1"/>
  <c r="X144" i="9"/>
  <c r="T144" i="9" s="1"/>
  <c r="S144" i="9" s="1"/>
  <c r="A143" i="9" s="1"/>
  <c r="B143" i="9" s="1"/>
  <c r="C143" i="9" s="1"/>
  <c r="X17" i="9"/>
  <c r="T17" i="9" s="1"/>
  <c r="S17" i="9" s="1"/>
  <c r="X21" i="9"/>
  <c r="T21" i="9" s="1"/>
  <c r="S21" i="9" s="1"/>
  <c r="X25" i="9"/>
  <c r="T25" i="9" s="1"/>
  <c r="S25" i="9" s="1"/>
  <c r="X29" i="9"/>
  <c r="T29" i="9" s="1"/>
  <c r="S29" i="9" s="1"/>
  <c r="X33" i="9"/>
  <c r="T33" i="9" s="1"/>
  <c r="S33" i="9" s="1"/>
  <c r="X37" i="9"/>
  <c r="T37" i="9" s="1"/>
  <c r="S37" i="9" s="1"/>
  <c r="X41" i="9"/>
  <c r="T41" i="9" s="1"/>
  <c r="S41" i="9" s="1"/>
  <c r="X45" i="9"/>
  <c r="T45" i="9" s="1"/>
  <c r="S45" i="9" s="1"/>
  <c r="X49" i="9"/>
  <c r="T49" i="9" s="1"/>
  <c r="S49" i="9" s="1"/>
  <c r="X53" i="9"/>
  <c r="T53" i="9" s="1"/>
  <c r="S53" i="9" s="1"/>
  <c r="X57" i="9"/>
  <c r="T57" i="9" s="1"/>
  <c r="S57" i="9" s="1"/>
  <c r="X61" i="9"/>
  <c r="T61" i="9" s="1"/>
  <c r="S61" i="9" s="1"/>
  <c r="X65" i="9"/>
  <c r="T65" i="9" s="1"/>
  <c r="S65" i="9" s="1"/>
  <c r="X69" i="9"/>
  <c r="T69" i="9" s="1"/>
  <c r="S69" i="9" s="1"/>
  <c r="X73" i="9"/>
  <c r="T73" i="9" s="1"/>
  <c r="S73" i="9" s="1"/>
  <c r="X77" i="9"/>
  <c r="T77" i="9" s="1"/>
  <c r="S77" i="9" s="1"/>
  <c r="X81" i="9"/>
  <c r="T81" i="9" s="1"/>
  <c r="S81" i="9" s="1"/>
  <c r="X85" i="9"/>
  <c r="T85" i="9" s="1"/>
  <c r="S85" i="9" s="1"/>
  <c r="X89" i="9"/>
  <c r="T89" i="9" s="1"/>
  <c r="S89" i="9" s="1"/>
  <c r="X93" i="9"/>
  <c r="T93" i="9" s="1"/>
  <c r="S93" i="9" s="1"/>
  <c r="X97" i="9"/>
  <c r="T97" i="9" s="1"/>
  <c r="S97" i="9" s="1"/>
  <c r="X101" i="9"/>
  <c r="T101" i="9" s="1"/>
  <c r="S101" i="9" s="1"/>
  <c r="X105" i="9"/>
  <c r="T105" i="9" s="1"/>
  <c r="S105" i="9" s="1"/>
  <c r="X109" i="9"/>
  <c r="T109" i="9" s="1"/>
  <c r="S109" i="9" s="1"/>
  <c r="X113" i="9"/>
  <c r="T113" i="9" s="1"/>
  <c r="S113" i="9" s="1"/>
  <c r="X117" i="9"/>
  <c r="T117" i="9" s="1"/>
  <c r="S117" i="9" s="1"/>
  <c r="X121" i="9"/>
  <c r="T121" i="9" s="1"/>
  <c r="S121" i="9" s="1"/>
  <c r="X125" i="9"/>
  <c r="T125" i="9" s="1"/>
  <c r="S125" i="9" s="1"/>
  <c r="X129" i="9"/>
  <c r="T129" i="9" s="1"/>
  <c r="S129" i="9" s="1"/>
  <c r="X133" i="9"/>
  <c r="T133" i="9" s="1"/>
  <c r="S133" i="9" s="1"/>
  <c r="A132" i="9" s="1"/>
  <c r="B132" i="9" s="1"/>
  <c r="C132" i="9" s="1"/>
  <c r="X137" i="9"/>
  <c r="T137" i="9" s="1"/>
  <c r="S137" i="9" s="1"/>
  <c r="A136" i="9" s="1"/>
  <c r="B136" i="9" s="1"/>
  <c r="C136" i="9" s="1"/>
  <c r="X141" i="9"/>
  <c r="T141" i="9" s="1"/>
  <c r="S141" i="9" s="1"/>
  <c r="A140" i="9" s="1"/>
  <c r="B140" i="9" s="1"/>
  <c r="C140" i="9" s="1"/>
  <c r="X145" i="9"/>
  <c r="T145" i="9" s="1"/>
  <c r="S145" i="9" s="1"/>
  <c r="A144" i="9" s="1"/>
  <c r="B144" i="9" s="1"/>
  <c r="C144" i="9" s="1"/>
  <c r="X149" i="9"/>
  <c r="T149" i="9" s="1"/>
  <c r="S149" i="9" s="1"/>
  <c r="A148" i="9" s="1"/>
  <c r="B148" i="9" s="1"/>
  <c r="C148" i="9" s="1"/>
  <c r="X128" i="9"/>
  <c r="T128" i="9" s="1"/>
  <c r="S128" i="9" s="1"/>
  <c r="X18" i="9"/>
  <c r="T18" i="9" s="1"/>
  <c r="S18" i="9" s="1"/>
  <c r="X22" i="9"/>
  <c r="T22" i="9" s="1"/>
  <c r="S22" i="9" s="1"/>
  <c r="X26" i="9"/>
  <c r="T26" i="9" s="1"/>
  <c r="S26" i="9" s="1"/>
  <c r="X30" i="9"/>
  <c r="T30" i="9" s="1"/>
  <c r="S30" i="9" s="1"/>
  <c r="X34" i="9"/>
  <c r="T34" i="9" s="1"/>
  <c r="S34" i="9" s="1"/>
  <c r="X38" i="9"/>
  <c r="T38" i="9" s="1"/>
  <c r="S38" i="9" s="1"/>
  <c r="X42" i="9"/>
  <c r="T42" i="9" s="1"/>
  <c r="S42" i="9" s="1"/>
  <c r="X46" i="9"/>
  <c r="T46" i="9" s="1"/>
  <c r="S46" i="9" s="1"/>
  <c r="X50" i="9"/>
  <c r="T50" i="9" s="1"/>
  <c r="S50" i="9" s="1"/>
  <c r="X54" i="9"/>
  <c r="T54" i="9" s="1"/>
  <c r="S54" i="9" s="1"/>
  <c r="X58" i="9"/>
  <c r="T58" i="9" s="1"/>
  <c r="S58" i="9" s="1"/>
  <c r="X62" i="9"/>
  <c r="T62" i="9" s="1"/>
  <c r="S62" i="9" s="1"/>
  <c r="X66" i="9"/>
  <c r="T66" i="9" s="1"/>
  <c r="S66" i="9" s="1"/>
  <c r="X70" i="9"/>
  <c r="T70" i="9" s="1"/>
  <c r="S70" i="9" s="1"/>
  <c r="X74" i="9"/>
  <c r="T74" i="9" s="1"/>
  <c r="S74" i="9" s="1"/>
  <c r="X78" i="9"/>
  <c r="T78" i="9" s="1"/>
  <c r="S78" i="9" s="1"/>
  <c r="X82" i="9"/>
  <c r="T82" i="9" s="1"/>
  <c r="S82" i="9" s="1"/>
  <c r="X86" i="9"/>
  <c r="T86" i="9" s="1"/>
  <c r="S86" i="9" s="1"/>
  <c r="X90" i="9"/>
  <c r="T90" i="9" s="1"/>
  <c r="S90" i="9" s="1"/>
  <c r="X94" i="9"/>
  <c r="T94" i="9" s="1"/>
  <c r="S94" i="9" s="1"/>
  <c r="X98" i="9"/>
  <c r="T98" i="9" s="1"/>
  <c r="S98" i="9" s="1"/>
  <c r="X102" i="9"/>
  <c r="T102" i="9" s="1"/>
  <c r="S102" i="9" s="1"/>
  <c r="X106" i="9"/>
  <c r="T106" i="9" s="1"/>
  <c r="S106" i="9" s="1"/>
  <c r="X110" i="9"/>
  <c r="T110" i="9" s="1"/>
  <c r="S110" i="9" s="1"/>
  <c r="X114" i="9"/>
  <c r="T114" i="9" s="1"/>
  <c r="S114" i="9" s="1"/>
  <c r="X118" i="9"/>
  <c r="T118" i="9" s="1"/>
  <c r="S118" i="9" s="1"/>
  <c r="X122" i="9"/>
  <c r="T122" i="9" s="1"/>
  <c r="S122" i="9" s="1"/>
  <c r="X126" i="9"/>
  <c r="T126" i="9" s="1"/>
  <c r="S126" i="9" s="1"/>
  <c r="X130" i="9"/>
  <c r="T130" i="9" s="1"/>
  <c r="S130" i="9" s="1"/>
  <c r="X134" i="9"/>
  <c r="T134" i="9" s="1"/>
  <c r="S134" i="9" s="1"/>
  <c r="A133" i="9" s="1"/>
  <c r="B133" i="9" s="1"/>
  <c r="C133" i="9" s="1"/>
  <c r="X138" i="9"/>
  <c r="T138" i="9" s="1"/>
  <c r="S138" i="9" s="1"/>
  <c r="A137" i="9" s="1"/>
  <c r="B137" i="9" s="1"/>
  <c r="C137" i="9" s="1"/>
  <c r="X142" i="9"/>
  <c r="T142" i="9" s="1"/>
  <c r="S142" i="9" s="1"/>
  <c r="A141" i="9" s="1"/>
  <c r="B141" i="9" s="1"/>
  <c r="C141" i="9" s="1"/>
  <c r="X146" i="9"/>
  <c r="T146" i="9" s="1"/>
  <c r="S146" i="9" s="1"/>
  <c r="A145" i="9" s="1"/>
  <c r="B145" i="9" s="1"/>
  <c r="C145" i="9" s="1"/>
  <c r="X150" i="9"/>
  <c r="T150" i="9" s="1"/>
  <c r="S150" i="9" s="1"/>
  <c r="X19" i="9"/>
  <c r="T19" i="9" s="1"/>
  <c r="S19" i="9" s="1"/>
  <c r="X23" i="9"/>
  <c r="T23" i="9" s="1"/>
  <c r="S23" i="9" s="1"/>
  <c r="X27" i="9"/>
  <c r="T27" i="9" s="1"/>
  <c r="S27" i="9" s="1"/>
  <c r="X31" i="9"/>
  <c r="T31" i="9" s="1"/>
  <c r="S31" i="9" s="1"/>
  <c r="X35" i="9"/>
  <c r="T35" i="9" s="1"/>
  <c r="S35" i="9" s="1"/>
  <c r="X39" i="9"/>
  <c r="T39" i="9" s="1"/>
  <c r="S39" i="9" s="1"/>
  <c r="X43" i="9"/>
  <c r="T43" i="9" s="1"/>
  <c r="S43" i="9" s="1"/>
  <c r="X47" i="9"/>
  <c r="T47" i="9" s="1"/>
  <c r="S47" i="9" s="1"/>
  <c r="X51" i="9"/>
  <c r="T51" i="9" s="1"/>
  <c r="S51" i="9" s="1"/>
  <c r="X55" i="9"/>
  <c r="T55" i="9" s="1"/>
  <c r="S55" i="9" s="1"/>
  <c r="X59" i="9"/>
  <c r="T59" i="9" s="1"/>
  <c r="S59" i="9" s="1"/>
  <c r="X63" i="9"/>
  <c r="T63" i="9" s="1"/>
  <c r="S63" i="9" s="1"/>
  <c r="X67" i="9"/>
  <c r="T67" i="9" s="1"/>
  <c r="S67" i="9" s="1"/>
  <c r="X71" i="9"/>
  <c r="T71" i="9" s="1"/>
  <c r="S71" i="9" s="1"/>
  <c r="X75" i="9"/>
  <c r="T75" i="9" s="1"/>
  <c r="S75" i="9" s="1"/>
  <c r="X79" i="9"/>
  <c r="T79" i="9" s="1"/>
  <c r="S79" i="9" s="1"/>
  <c r="X83" i="9"/>
  <c r="T83" i="9" s="1"/>
  <c r="S83" i="9" s="1"/>
  <c r="X87" i="9"/>
  <c r="T87" i="9" s="1"/>
  <c r="S87" i="9" s="1"/>
  <c r="X91" i="9"/>
  <c r="T91" i="9" s="1"/>
  <c r="S91" i="9" s="1"/>
  <c r="X95" i="9"/>
  <c r="T95" i="9" s="1"/>
  <c r="S95" i="9" s="1"/>
  <c r="X99" i="9"/>
  <c r="T99" i="9" s="1"/>
  <c r="S99" i="9" s="1"/>
  <c r="X103" i="9"/>
  <c r="T103" i="9" s="1"/>
  <c r="S103" i="9" s="1"/>
  <c r="X107" i="9"/>
  <c r="T107" i="9" s="1"/>
  <c r="S107" i="9" s="1"/>
  <c r="X111" i="9"/>
  <c r="T111" i="9" s="1"/>
  <c r="S111" i="9" s="1"/>
  <c r="X115" i="9"/>
  <c r="T115" i="9" s="1"/>
  <c r="S115" i="9" s="1"/>
  <c r="X119" i="9"/>
  <c r="T119" i="9" s="1"/>
  <c r="S119" i="9" s="1"/>
  <c r="X123" i="9"/>
  <c r="T123" i="9" s="1"/>
  <c r="S123" i="9" s="1"/>
  <c r="X127" i="9"/>
  <c r="T127" i="9" s="1"/>
  <c r="S127" i="9" s="1"/>
  <c r="X131" i="9"/>
  <c r="T131" i="9" s="1"/>
  <c r="S131" i="9" s="1"/>
  <c r="X135" i="9"/>
  <c r="T135" i="9" s="1"/>
  <c r="S135" i="9" s="1"/>
  <c r="A134" i="9" s="1"/>
  <c r="B134" i="9" s="1"/>
  <c r="C134" i="9" s="1"/>
  <c r="X139" i="9"/>
  <c r="T139" i="9" s="1"/>
  <c r="S139" i="9" s="1"/>
  <c r="A138" i="9" s="1"/>
  <c r="B138" i="9" s="1"/>
  <c r="C138" i="9" s="1"/>
  <c r="X143" i="9"/>
  <c r="T143" i="9" s="1"/>
  <c r="S143" i="9" s="1"/>
  <c r="A142" i="9" s="1"/>
  <c r="B142" i="9" s="1"/>
  <c r="C142" i="9" s="1"/>
  <c r="X147" i="9"/>
  <c r="T147" i="9" s="1"/>
  <c r="S147" i="9" s="1"/>
  <c r="A146" i="9" s="1"/>
  <c r="B146" i="9" s="1"/>
  <c r="C146" i="9" s="1"/>
  <c r="X132" i="9"/>
  <c r="T132" i="9" s="1"/>
  <c r="S132" i="9" s="1"/>
  <c r="X148" i="9"/>
  <c r="T148" i="9" s="1"/>
  <c r="S148" i="9" s="1"/>
  <c r="A147" i="9" s="1"/>
  <c r="B147" i="9" s="1"/>
  <c r="C147" i="9" s="1"/>
  <c r="T28" i="9"/>
  <c r="S28" i="9" s="1"/>
  <c r="T108" i="9"/>
  <c r="S108" i="9" s="1"/>
  <c r="T51" i="10"/>
  <c r="S51" i="10" s="1"/>
  <c r="T115" i="10"/>
  <c r="S115" i="10" s="1"/>
  <c r="T42" i="10"/>
  <c r="S42" i="10" s="1"/>
  <c r="T106" i="10"/>
  <c r="S106" i="10" s="1"/>
  <c r="T33" i="10"/>
  <c r="S33" i="10" s="1"/>
  <c r="T97" i="10"/>
  <c r="S97" i="10" s="1"/>
  <c r="T96" i="10"/>
  <c r="S96" i="10" s="1"/>
  <c r="T38" i="10"/>
  <c r="S38" i="10" s="1"/>
  <c r="T143" i="10"/>
  <c r="S143" i="10" s="1"/>
  <c r="A142" i="10" s="1"/>
  <c r="B142" i="10" s="1"/>
  <c r="C142" i="10" s="1"/>
  <c r="T109" i="10"/>
  <c r="S109" i="10" s="1"/>
  <c r="T100" i="10"/>
  <c r="S100" i="10" s="1"/>
  <c r="T36" i="10"/>
  <c r="S36" i="10" s="1"/>
  <c r="T129" i="10"/>
  <c r="S129" i="10" s="1"/>
  <c r="T102" i="10"/>
  <c r="S102" i="10" s="1"/>
  <c r="T125" i="10"/>
  <c r="S125" i="10" s="1"/>
  <c r="T95" i="10"/>
  <c r="S95" i="10" s="1"/>
  <c r="T53" i="10"/>
  <c r="S53" i="10" s="1"/>
  <c r="T105" i="10"/>
  <c r="S105" i="10" s="1"/>
  <c r="T54" i="10"/>
  <c r="S54" i="10" s="1"/>
  <c r="T31" i="10"/>
  <c r="S31" i="10" s="1"/>
  <c r="T132" i="10"/>
  <c r="S132" i="10" s="1"/>
  <c r="T43" i="10"/>
  <c r="S43" i="10" s="1"/>
  <c r="T25" i="10"/>
  <c r="S25" i="10" s="1"/>
  <c r="T24" i="10"/>
  <c r="S24" i="10" s="1"/>
  <c r="T88" i="10"/>
  <c r="S88" i="10" s="1"/>
  <c r="T22" i="10"/>
  <c r="S22" i="10" s="1"/>
  <c r="T150" i="10"/>
  <c r="S150" i="10" s="1"/>
  <c r="T111" i="10"/>
  <c r="S111" i="10" s="1"/>
  <c r="T28" i="10"/>
  <c r="S28" i="10" s="1"/>
  <c r="T77" i="10"/>
  <c r="S77" i="10" s="1"/>
  <c r="T68" i="10"/>
  <c r="S68" i="10" s="1"/>
  <c r="T99" i="10"/>
  <c r="S99" i="10" s="1"/>
  <c r="T26" i="10"/>
  <c r="S26" i="10" s="1"/>
  <c r="T90" i="10"/>
  <c r="S90" i="10" s="1"/>
  <c r="T17" i="10"/>
  <c r="S17" i="10" s="1"/>
  <c r="T81" i="10"/>
  <c r="S81" i="10" s="1"/>
  <c r="T145" i="10"/>
  <c r="S145" i="10" s="1"/>
  <c r="A144" i="10" s="1"/>
  <c r="B144" i="10" s="1"/>
  <c r="C144" i="10" s="1"/>
  <c r="T144" i="10"/>
  <c r="S144" i="10" s="1"/>
  <c r="A143" i="10" s="1"/>
  <c r="B143" i="10" s="1"/>
  <c r="C143" i="10" s="1"/>
  <c r="T134" i="10"/>
  <c r="S134" i="10" s="1"/>
  <c r="A133" i="10" s="1"/>
  <c r="B133" i="10" s="1"/>
  <c r="C133" i="10" s="1"/>
  <c r="T117" i="10"/>
  <c r="S117" i="10" s="1"/>
  <c r="T47" i="10"/>
  <c r="S47" i="10" s="1"/>
  <c r="T79" i="10"/>
  <c r="S79" i="10" s="1"/>
  <c r="T45" i="10"/>
  <c r="S45" i="10" s="1"/>
  <c r="T147" i="10"/>
  <c r="S147" i="10" s="1"/>
  <c r="A146" i="10" s="1"/>
  <c r="B146" i="10" s="1"/>
  <c r="C146" i="10" s="1"/>
  <c r="T66" i="10"/>
  <c r="S66" i="10" s="1"/>
  <c r="T86" i="10"/>
  <c r="S86" i="10" s="1"/>
  <c r="T52" i="10"/>
  <c r="S52" i="10" s="1"/>
  <c r="T67" i="10"/>
  <c r="S67" i="10" s="1"/>
  <c r="T61" i="10"/>
  <c r="S61" i="10" s="1"/>
  <c r="T40" i="10"/>
  <c r="S40" i="10" s="1"/>
  <c r="T29" i="10"/>
  <c r="S29" i="10" s="1"/>
  <c r="T35" i="10"/>
  <c r="S35" i="10" s="1"/>
  <c r="T83" i="10"/>
  <c r="S83" i="10" s="1"/>
  <c r="T65" i="10"/>
  <c r="S65" i="10" s="1"/>
  <c r="T128" i="10"/>
  <c r="S128" i="10" s="1"/>
  <c r="T78" i="10"/>
  <c r="S78" i="10" s="1"/>
  <c r="T75" i="10"/>
  <c r="S75" i="10" s="1"/>
  <c r="T56" i="10"/>
  <c r="S56" i="10" s="1"/>
  <c r="T62" i="10"/>
  <c r="S62" i="10" s="1"/>
  <c r="T131" i="10"/>
  <c r="S131" i="10" s="1"/>
  <c r="T122" i="10"/>
  <c r="S122" i="10" s="1"/>
  <c r="T113" i="10"/>
  <c r="S113" i="10" s="1"/>
  <c r="T71" i="10"/>
  <c r="S71" i="10" s="1"/>
  <c r="T63" i="10"/>
  <c r="S63" i="10" s="1"/>
  <c r="T123" i="10"/>
  <c r="S123" i="10" s="1"/>
  <c r="T27" i="10"/>
  <c r="S27" i="10" s="1"/>
  <c r="T91" i="10"/>
  <c r="S91" i="10" s="1"/>
  <c r="T146" i="10"/>
  <c r="S146" i="10" s="1"/>
  <c r="A145" i="10" s="1"/>
  <c r="B145" i="10" s="1"/>
  <c r="C145" i="10" s="1"/>
  <c r="T73" i="10"/>
  <c r="S73" i="10" s="1"/>
  <c r="T72" i="10"/>
  <c r="S72" i="10" s="1"/>
  <c r="T136" i="10"/>
  <c r="S136" i="10" s="1"/>
  <c r="A135" i="10" s="1"/>
  <c r="B135" i="10" s="1"/>
  <c r="C135" i="10" s="1"/>
  <c r="T118" i="10"/>
  <c r="S118" i="10" s="1"/>
  <c r="T20" i="10"/>
  <c r="S20" i="10" s="1"/>
  <c r="T116" i="10"/>
  <c r="S116" i="10" s="1"/>
  <c r="T148" i="10"/>
  <c r="S148" i="10" s="1"/>
  <c r="A147" i="10" s="1"/>
  <c r="B147" i="10" s="1"/>
  <c r="C147" i="10" s="1"/>
  <c r="T19" i="10"/>
  <c r="S19" i="10" s="1"/>
  <c r="T74" i="10"/>
  <c r="S74" i="10" s="1"/>
  <c r="T138" i="10"/>
  <c r="S138" i="10" s="1"/>
  <c r="A137" i="10" s="1"/>
  <c r="B137" i="10" s="1"/>
  <c r="C137" i="10" s="1"/>
  <c r="T85" i="10"/>
  <c r="S85" i="10" s="1"/>
  <c r="T127" i="10"/>
  <c r="S127" i="10" s="1"/>
  <c r="T84" i="10"/>
  <c r="S84" i="10" s="1"/>
  <c r="T139" i="10"/>
  <c r="S139" i="10" s="1"/>
  <c r="A138" i="10" s="1"/>
  <c r="B138" i="10" s="1"/>
  <c r="C138" i="10" s="1"/>
  <c r="T57" i="10"/>
  <c r="S57" i="10" s="1"/>
  <c r="T120" i="10"/>
  <c r="S120" i="10" s="1"/>
  <c r="T93" i="10"/>
  <c r="S93" i="10" s="1"/>
  <c r="T76" i="10"/>
  <c r="S76" i="10" s="1"/>
  <c r="T58" i="10"/>
  <c r="S58" i="10" s="1"/>
  <c r="T49" i="10"/>
  <c r="S49" i="10" s="1"/>
  <c r="T48" i="10"/>
  <c r="S48" i="10" s="1"/>
  <c r="T70" i="10"/>
  <c r="S70" i="10" s="1"/>
  <c r="T46" i="10"/>
  <c r="S46" i="10" s="1"/>
  <c r="T59" i="10"/>
  <c r="S59" i="10" s="1"/>
  <c r="T114" i="10"/>
  <c r="S114" i="10" s="1"/>
  <c r="T41" i="10"/>
  <c r="S41" i="10" s="1"/>
  <c r="T104" i="10"/>
  <c r="S104" i="10" s="1"/>
  <c r="T30" i="10"/>
  <c r="S30" i="10" s="1"/>
  <c r="T141" i="10"/>
  <c r="S141" i="10" s="1"/>
  <c r="A140" i="10" s="1"/>
  <c r="B140" i="10" s="1"/>
  <c r="C140" i="10" s="1"/>
  <c r="A16" i="9"/>
  <c r="A16" i="10"/>
  <c r="X16" i="9"/>
  <c r="T16" i="9" s="1"/>
  <c r="S16" i="9" s="1"/>
  <c r="X16" i="10"/>
  <c r="T16" i="10" s="1"/>
  <c r="S16" i="10" s="1"/>
  <c r="J17" i="2"/>
  <c r="B17" i="2" s="1"/>
  <c r="K18" i="2"/>
  <c r="J18" i="2" s="1"/>
  <c r="B18" i="2" s="1"/>
  <c r="I2" i="2"/>
  <c r="B1" i="2"/>
  <c r="I4" i="2"/>
  <c r="A83" i="10" l="1"/>
  <c r="A45" i="10"/>
  <c r="A115" i="10"/>
  <c r="A36" i="10"/>
  <c r="A60" i="10"/>
  <c r="U146" i="10"/>
  <c r="Q146" i="10" s="1"/>
  <c r="I146" i="10"/>
  <c r="K146" i="10"/>
  <c r="J146" i="10"/>
  <c r="M146" i="10" s="1"/>
  <c r="U143" i="10"/>
  <c r="Q143" i="10" s="1"/>
  <c r="K143" i="10"/>
  <c r="J143" i="10"/>
  <c r="M143" i="10" s="1"/>
  <c r="I143" i="10"/>
  <c r="U132" i="10"/>
  <c r="Q132" i="10" s="1"/>
  <c r="K132" i="10"/>
  <c r="J132" i="10"/>
  <c r="M132" i="10" s="1"/>
  <c r="I132" i="10"/>
  <c r="U141" i="10"/>
  <c r="Q141" i="10" s="1"/>
  <c r="J141" i="10"/>
  <c r="M141" i="10" s="1"/>
  <c r="I141" i="10"/>
  <c r="K141" i="10"/>
  <c r="U136" i="10"/>
  <c r="Q136" i="10" s="1"/>
  <c r="K136" i="10"/>
  <c r="J136" i="10"/>
  <c r="M136" i="10" s="1"/>
  <c r="I136" i="10"/>
  <c r="U140" i="10"/>
  <c r="Q140" i="10" s="1"/>
  <c r="K140" i="10"/>
  <c r="J140" i="10"/>
  <c r="M140" i="10" s="1"/>
  <c r="I140" i="10"/>
  <c r="U145" i="10"/>
  <c r="Q145" i="10" s="1"/>
  <c r="J145" i="10"/>
  <c r="M145" i="10" s="1"/>
  <c r="I145" i="10"/>
  <c r="K145" i="10"/>
  <c r="U135" i="10"/>
  <c r="Q135" i="10" s="1"/>
  <c r="K135" i="10"/>
  <c r="J135" i="10"/>
  <c r="M135" i="10" s="1"/>
  <c r="I135" i="10"/>
  <c r="U144" i="10"/>
  <c r="Q144" i="10" s="1"/>
  <c r="K144" i="10"/>
  <c r="J144" i="10"/>
  <c r="M144" i="10" s="1"/>
  <c r="I144" i="10"/>
  <c r="U148" i="10"/>
  <c r="Q148" i="10" s="1"/>
  <c r="K148" i="10"/>
  <c r="J148" i="10"/>
  <c r="M148" i="10" s="1"/>
  <c r="I148" i="10"/>
  <c r="U138" i="10"/>
  <c r="Q138" i="10" s="1"/>
  <c r="I138" i="10"/>
  <c r="K138" i="10"/>
  <c r="J138" i="10"/>
  <c r="M138" i="10" s="1"/>
  <c r="U139" i="10"/>
  <c r="Q139" i="10" s="1"/>
  <c r="K139" i="10"/>
  <c r="J139" i="10"/>
  <c r="M139" i="10" s="1"/>
  <c r="I139" i="10"/>
  <c r="U133" i="10"/>
  <c r="Q133" i="10" s="1"/>
  <c r="J133" i="10"/>
  <c r="M133" i="10" s="1"/>
  <c r="I133" i="10"/>
  <c r="K133" i="10"/>
  <c r="U137" i="10"/>
  <c r="Q137" i="10" s="1"/>
  <c r="J137" i="10"/>
  <c r="M137" i="10" s="1"/>
  <c r="I137" i="10"/>
  <c r="K137" i="10"/>
  <c r="U147" i="10"/>
  <c r="Q147" i="10" s="1"/>
  <c r="K147" i="10"/>
  <c r="J147" i="10"/>
  <c r="M147" i="10" s="1"/>
  <c r="I147" i="10"/>
  <c r="U134" i="10"/>
  <c r="Q134" i="10" s="1"/>
  <c r="I134" i="10"/>
  <c r="K134" i="10"/>
  <c r="J134" i="10"/>
  <c r="M134" i="10" s="1"/>
  <c r="U142" i="10"/>
  <c r="Q142" i="10" s="1"/>
  <c r="I142" i="10"/>
  <c r="K142" i="10"/>
  <c r="J142" i="10"/>
  <c r="M142" i="10" s="1"/>
  <c r="A88" i="10"/>
  <c r="A63" i="10"/>
  <c r="A43" i="10"/>
  <c r="A103" i="10"/>
  <c r="A130" i="10"/>
  <c r="A34" i="10"/>
  <c r="A77" i="10"/>
  <c r="A39" i="10"/>
  <c r="A51" i="10"/>
  <c r="A58" i="10"/>
  <c r="A26" i="10"/>
  <c r="A121" i="10"/>
  <c r="A64" i="10"/>
  <c r="A85" i="10"/>
  <c r="A116" i="10"/>
  <c r="B115" i="10" s="1"/>
  <c r="C115" i="10" s="1"/>
  <c r="A41" i="10"/>
  <c r="A124" i="10"/>
  <c r="A69" i="10"/>
  <c r="A80" i="10"/>
  <c r="A53" i="10"/>
  <c r="A32" i="10"/>
  <c r="A20" i="9"/>
  <c r="A107" i="9"/>
  <c r="A117" i="9"/>
  <c r="A53" i="9"/>
  <c r="A45" i="9"/>
  <c r="A126" i="9"/>
  <c r="U144" i="9"/>
  <c r="Q144" i="9" s="1"/>
  <c r="K144" i="9"/>
  <c r="J144" i="9"/>
  <c r="I144" i="9"/>
  <c r="M144" i="9" s="1"/>
  <c r="U145" i="9"/>
  <c r="Q145" i="9" s="1"/>
  <c r="J145" i="9"/>
  <c r="I145" i="9"/>
  <c r="M145" i="9" s="1"/>
  <c r="K145" i="9"/>
  <c r="U134" i="9"/>
  <c r="Q134" i="9" s="1"/>
  <c r="I134" i="9"/>
  <c r="M134" i="9" s="1"/>
  <c r="J134" i="9"/>
  <c r="K134" i="9"/>
  <c r="U133" i="9"/>
  <c r="Q133" i="9" s="1"/>
  <c r="J133" i="9"/>
  <c r="I133" i="9"/>
  <c r="M133" i="9" s="1"/>
  <c r="K133" i="9"/>
  <c r="U146" i="9"/>
  <c r="Q146" i="9" s="1"/>
  <c r="I146" i="9"/>
  <c r="M146" i="9" s="1"/>
  <c r="J146" i="9"/>
  <c r="K146" i="9"/>
  <c r="U137" i="9"/>
  <c r="Q137" i="9" s="1"/>
  <c r="J137" i="9"/>
  <c r="I137" i="9"/>
  <c r="M137" i="9" s="1"/>
  <c r="K137" i="9"/>
  <c r="A41" i="9"/>
  <c r="U148" i="9"/>
  <c r="Q148" i="9" s="1"/>
  <c r="K148" i="9"/>
  <c r="J148" i="9"/>
  <c r="I148" i="9"/>
  <c r="M148" i="9" s="1"/>
  <c r="U138" i="9"/>
  <c r="Q138" i="9" s="1"/>
  <c r="I138" i="9"/>
  <c r="M138" i="9" s="1"/>
  <c r="J138" i="9"/>
  <c r="K138" i="9"/>
  <c r="U147" i="9"/>
  <c r="Q147" i="9" s="1"/>
  <c r="K147" i="9"/>
  <c r="J147" i="9"/>
  <c r="I147" i="9"/>
  <c r="M147" i="9" s="1"/>
  <c r="U136" i="9"/>
  <c r="Q136" i="9" s="1"/>
  <c r="K136" i="9"/>
  <c r="J136" i="9"/>
  <c r="I136" i="9"/>
  <c r="M136" i="9" s="1"/>
  <c r="U143" i="9"/>
  <c r="Q143" i="9" s="1"/>
  <c r="K143" i="9"/>
  <c r="J143" i="9"/>
  <c r="I143" i="9"/>
  <c r="M143" i="9" s="1"/>
  <c r="U142" i="9"/>
  <c r="Q142" i="9" s="1"/>
  <c r="I142" i="9"/>
  <c r="M142" i="9" s="1"/>
  <c r="J142" i="9"/>
  <c r="K142" i="9"/>
  <c r="A93" i="9"/>
  <c r="U141" i="9"/>
  <c r="Q141" i="9" s="1"/>
  <c r="J141" i="9"/>
  <c r="I141" i="9"/>
  <c r="M141" i="9" s="1"/>
  <c r="K141" i="9"/>
  <c r="U135" i="9"/>
  <c r="Q135" i="9" s="1"/>
  <c r="K135" i="9"/>
  <c r="J135" i="9"/>
  <c r="I135" i="9"/>
  <c r="M135" i="9" s="1"/>
  <c r="A39" i="9"/>
  <c r="A123" i="9"/>
  <c r="A61" i="9"/>
  <c r="U139" i="9"/>
  <c r="Q139" i="9" s="1"/>
  <c r="K139" i="9"/>
  <c r="J139" i="9"/>
  <c r="I139" i="9"/>
  <c r="M139" i="9" s="1"/>
  <c r="U132" i="9"/>
  <c r="Q132" i="9" s="1"/>
  <c r="K132" i="9"/>
  <c r="J132" i="9"/>
  <c r="I132" i="9"/>
  <c r="M132" i="9" s="1"/>
  <c r="A71" i="9"/>
  <c r="U140" i="9"/>
  <c r="Q140" i="9" s="1"/>
  <c r="K140" i="9"/>
  <c r="J140" i="9"/>
  <c r="I140" i="9"/>
  <c r="M140" i="9" s="1"/>
  <c r="A98" i="9"/>
  <c r="A57" i="9"/>
  <c r="A84" i="9"/>
  <c r="A68" i="9"/>
  <c r="A110" i="9"/>
  <c r="A78" i="9"/>
  <c r="A48" i="9"/>
  <c r="A27" i="9"/>
  <c r="A30" i="9"/>
  <c r="A88" i="9"/>
  <c r="A79" i="9"/>
  <c r="A63" i="9"/>
  <c r="A47" i="9"/>
  <c r="A23" i="9"/>
  <c r="A131" i="9"/>
  <c r="B131" i="9" s="1"/>
  <c r="C131" i="9" s="1"/>
  <c r="A55" i="9"/>
  <c r="A106" i="9"/>
  <c r="A42" i="9"/>
  <c r="A101" i="9"/>
  <c r="A22" i="9"/>
  <c r="A33" i="9"/>
  <c r="A90" i="9"/>
  <c r="A97" i="9"/>
  <c r="A113" i="9"/>
  <c r="A115" i="9"/>
  <c r="A125" i="9"/>
  <c r="B125" i="9" s="1"/>
  <c r="C125" i="9" s="1"/>
  <c r="A122" i="9"/>
  <c r="A60" i="9"/>
  <c r="A67" i="9"/>
  <c r="A37" i="9"/>
  <c r="A83" i="9"/>
  <c r="A74" i="9"/>
  <c r="A92" i="9"/>
  <c r="A120" i="9"/>
  <c r="A70" i="9"/>
  <c r="A81" i="9"/>
  <c r="A118" i="9"/>
  <c r="A103" i="9"/>
  <c r="A25" i="9"/>
  <c r="A35" i="9"/>
  <c r="A47" i="10"/>
  <c r="A18" i="10"/>
  <c r="A125" i="10"/>
  <c r="A24" i="10"/>
  <c r="A128" i="10"/>
  <c r="A109" i="10"/>
  <c r="A29" i="10"/>
  <c r="A56" i="10"/>
  <c r="A73" i="10"/>
  <c r="A118" i="10"/>
  <c r="A112" i="10"/>
  <c r="A127" i="10"/>
  <c r="A66" i="10"/>
  <c r="A46" i="10"/>
  <c r="B45" i="10" s="1"/>
  <c r="C45" i="10" s="1"/>
  <c r="A101" i="10"/>
  <c r="A23" i="10"/>
  <c r="A96" i="10"/>
  <c r="A123" i="10"/>
  <c r="A68" i="10"/>
  <c r="A100" i="10"/>
  <c r="A62" i="10"/>
  <c r="B62" i="10" s="1"/>
  <c r="C62" i="10" s="1"/>
  <c r="A107" i="10"/>
  <c r="A111" i="9"/>
  <c r="A58" i="9"/>
  <c r="A65" i="9"/>
  <c r="A48" i="10"/>
  <c r="A71" i="10"/>
  <c r="A91" i="10"/>
  <c r="A82" i="10"/>
  <c r="B82" i="10" s="1"/>
  <c r="C82" i="10" s="1"/>
  <c r="A89" i="10"/>
  <c r="B88" i="10" s="1"/>
  <c r="C88" i="10" s="1"/>
  <c r="A97" i="10"/>
  <c r="A93" i="10"/>
  <c r="A20" i="10"/>
  <c r="A56" i="9"/>
  <c r="A86" i="9"/>
  <c r="A55" i="10"/>
  <c r="A38" i="10"/>
  <c r="A73" i="9"/>
  <c r="A52" i="9"/>
  <c r="A76" i="10"/>
  <c r="A50" i="9"/>
  <c r="A22" i="10"/>
  <c r="A95" i="10"/>
  <c r="A54" i="9"/>
  <c r="G27" i="8"/>
  <c r="G30" i="8"/>
  <c r="B30" i="8"/>
  <c r="B27" i="8"/>
  <c r="E135" i="10"/>
  <c r="H135" i="10"/>
  <c r="H145" i="9"/>
  <c r="E145" i="9"/>
  <c r="F145" i="9" s="1"/>
  <c r="F145" i="10" s="1"/>
  <c r="G145" i="10" s="1"/>
  <c r="L145" i="10" s="1"/>
  <c r="E144" i="9"/>
  <c r="F144" i="9" s="1"/>
  <c r="F144" i="10" s="1"/>
  <c r="G144" i="10" s="1"/>
  <c r="L144" i="10" s="1"/>
  <c r="H144" i="9"/>
  <c r="E147" i="9"/>
  <c r="F147" i="9" s="1"/>
  <c r="F147" i="10" s="1"/>
  <c r="G147" i="10" s="1"/>
  <c r="L147" i="10" s="1"/>
  <c r="H147" i="9"/>
  <c r="E144" i="10"/>
  <c r="H144" i="10"/>
  <c r="E142" i="9"/>
  <c r="F142" i="9" s="1"/>
  <c r="F142" i="10" s="1"/>
  <c r="G142" i="10" s="1"/>
  <c r="L142" i="10" s="1"/>
  <c r="N142" i="10" s="1"/>
  <c r="H142" i="9"/>
  <c r="E133" i="9"/>
  <c r="F133" i="9" s="1"/>
  <c r="F133" i="10" s="1"/>
  <c r="G133" i="10" s="1"/>
  <c r="L133" i="10" s="1"/>
  <c r="H133" i="9"/>
  <c r="A49" i="10"/>
  <c r="A26" i="9"/>
  <c r="A119" i="10"/>
  <c r="A30" i="10"/>
  <c r="A99" i="9"/>
  <c r="A128" i="9"/>
  <c r="A81" i="10"/>
  <c r="A44" i="10"/>
  <c r="A79" i="10"/>
  <c r="A87" i="10"/>
  <c r="B87" i="10" s="1"/>
  <c r="C87" i="10" s="1"/>
  <c r="A131" i="10"/>
  <c r="B131" i="10" s="1"/>
  <c r="C131" i="10" s="1"/>
  <c r="A129" i="10"/>
  <c r="A59" i="10"/>
  <c r="B59" i="10" s="1"/>
  <c r="C59" i="10" s="1"/>
  <c r="A31" i="10"/>
  <c r="A59" i="9"/>
  <c r="A95" i="9"/>
  <c r="A34" i="9"/>
  <c r="A75" i="9"/>
  <c r="A38" i="9"/>
  <c r="A124" i="9"/>
  <c r="A85" i="9"/>
  <c r="A104" i="9"/>
  <c r="A121" i="9"/>
  <c r="A119" i="9"/>
  <c r="A43" i="9"/>
  <c r="A76" i="9"/>
  <c r="E138" i="10"/>
  <c r="H138" i="10"/>
  <c r="H143" i="9"/>
  <c r="E143" i="9"/>
  <c r="F143" i="9" s="1"/>
  <c r="F143" i="10" s="1"/>
  <c r="G143" i="10" s="1"/>
  <c r="L143" i="10" s="1"/>
  <c r="E141" i="10"/>
  <c r="H141" i="10"/>
  <c r="E140" i="10"/>
  <c r="H140" i="10"/>
  <c r="E142" i="10"/>
  <c r="H142" i="10"/>
  <c r="E136" i="9"/>
  <c r="F136" i="9" s="1"/>
  <c r="F136" i="10" s="1"/>
  <c r="G136" i="10" s="1"/>
  <c r="L136" i="10" s="1"/>
  <c r="H136" i="9"/>
  <c r="E145" i="10"/>
  <c r="H145" i="10"/>
  <c r="E146" i="10"/>
  <c r="H146" i="10"/>
  <c r="E143" i="10"/>
  <c r="H143" i="10"/>
  <c r="H135" i="9"/>
  <c r="E135" i="9"/>
  <c r="F135" i="9" s="1"/>
  <c r="F135" i="10" s="1"/>
  <c r="G135" i="10" s="1"/>
  <c r="L135" i="10" s="1"/>
  <c r="H140" i="9"/>
  <c r="E140" i="9"/>
  <c r="F140" i="9" s="1"/>
  <c r="F140" i="10" s="1"/>
  <c r="G140" i="10" s="1"/>
  <c r="L140" i="10" s="1"/>
  <c r="A104" i="10"/>
  <c r="A105" i="10"/>
  <c r="A102" i="9"/>
  <c r="A94" i="9"/>
  <c r="A62" i="9"/>
  <c r="A117" i="10"/>
  <c r="A64" i="9"/>
  <c r="A92" i="10"/>
  <c r="A102" i="10"/>
  <c r="A19" i="10"/>
  <c r="A74" i="10"/>
  <c r="A67" i="10"/>
  <c r="A42" i="10"/>
  <c r="A86" i="10"/>
  <c r="A108" i="10"/>
  <c r="A89" i="9"/>
  <c r="A28" i="9"/>
  <c r="A19" i="9"/>
  <c r="A100" i="9"/>
  <c r="A80" i="9"/>
  <c r="A36" i="9"/>
  <c r="A114" i="9"/>
  <c r="H138" i="9"/>
  <c r="E138" i="9"/>
  <c r="F138" i="9" s="1"/>
  <c r="F138" i="10" s="1"/>
  <c r="G138" i="10" s="1"/>
  <c r="L138" i="10" s="1"/>
  <c r="E148" i="9"/>
  <c r="F148" i="9" s="1"/>
  <c r="F148" i="10" s="1"/>
  <c r="G148" i="10" s="1"/>
  <c r="L148" i="10" s="1"/>
  <c r="H148" i="9"/>
  <c r="E134" i="10"/>
  <c r="H134" i="10"/>
  <c r="H146" i="9"/>
  <c r="E146" i="9"/>
  <c r="F146" i="9" s="1"/>
  <c r="F146" i="10" s="1"/>
  <c r="G146" i="10" s="1"/>
  <c r="L146" i="10" s="1"/>
  <c r="E139" i="9"/>
  <c r="F139" i="9" s="1"/>
  <c r="F139" i="10" s="1"/>
  <c r="G139" i="10" s="1"/>
  <c r="L139" i="10" s="1"/>
  <c r="H139" i="9"/>
  <c r="A150" i="9"/>
  <c r="B150" i="9" s="1"/>
  <c r="C150" i="9" s="1"/>
  <c r="A149" i="9"/>
  <c r="B149" i="9" s="1"/>
  <c r="C149" i="9" s="1"/>
  <c r="A17" i="9"/>
  <c r="A17" i="10"/>
  <c r="A111" i="10"/>
  <c r="A27" i="10"/>
  <c r="A108" i="9"/>
  <c r="A18" i="9"/>
  <c r="A113" i="10"/>
  <c r="A75" i="10"/>
  <c r="A84" i="10"/>
  <c r="A72" i="10"/>
  <c r="A122" i="10"/>
  <c r="A28" i="10"/>
  <c r="A65" i="10"/>
  <c r="A98" i="10"/>
  <c r="A21" i="10"/>
  <c r="A106" i="10"/>
  <c r="A94" i="10"/>
  <c r="A99" i="10"/>
  <c r="A50" i="10"/>
  <c r="B50" i="10" s="1"/>
  <c r="C50" i="10" s="1"/>
  <c r="A82" i="9"/>
  <c r="A129" i="9"/>
  <c r="A21" i="9"/>
  <c r="A49" i="9"/>
  <c r="A46" i="9"/>
  <c r="A69" i="9"/>
  <c r="A40" i="9"/>
  <c r="A66" i="9"/>
  <c r="E139" i="10"/>
  <c r="H139" i="10"/>
  <c r="E132" i="10"/>
  <c r="H132" i="10"/>
  <c r="E148" i="10"/>
  <c r="H148" i="10"/>
  <c r="E132" i="9"/>
  <c r="F132" i="9" s="1"/>
  <c r="F132" i="10" s="1"/>
  <c r="G132" i="10" s="1"/>
  <c r="L132" i="10" s="1"/>
  <c r="H132" i="9"/>
  <c r="H137" i="9"/>
  <c r="E137" i="9"/>
  <c r="F137" i="9" s="1"/>
  <c r="F137" i="10" s="1"/>
  <c r="G137" i="10" s="1"/>
  <c r="L137" i="10" s="1"/>
  <c r="N137" i="10" s="1"/>
  <c r="E137" i="10"/>
  <c r="H137" i="10"/>
  <c r="E147" i="10"/>
  <c r="H147" i="10"/>
  <c r="E136" i="10"/>
  <c r="H136" i="10"/>
  <c r="E133" i="10"/>
  <c r="H133" i="10"/>
  <c r="A150" i="10"/>
  <c r="B150" i="10" s="1"/>
  <c r="C150" i="10" s="1"/>
  <c r="A149" i="10"/>
  <c r="B149" i="10" s="1"/>
  <c r="C149" i="10" s="1"/>
  <c r="E141" i="9"/>
  <c r="F141" i="9" s="1"/>
  <c r="F141" i="10" s="1"/>
  <c r="G141" i="10" s="1"/>
  <c r="L141" i="10" s="1"/>
  <c r="N141" i="10" s="1"/>
  <c r="H141" i="9"/>
  <c r="E134" i="9"/>
  <c r="F134" i="9" s="1"/>
  <c r="F134" i="10" s="1"/>
  <c r="G134" i="10" s="1"/>
  <c r="L134" i="10" s="1"/>
  <c r="N134" i="10" s="1"/>
  <c r="O134" i="10" s="1"/>
  <c r="H134" i="9"/>
  <c r="A31" i="9"/>
  <c r="A127" i="9"/>
  <c r="A90" i="10"/>
  <c r="A110" i="10"/>
  <c r="A24" i="9"/>
  <c r="A70" i="10"/>
  <c r="A78" i="10"/>
  <c r="A112" i="9"/>
  <c r="A40" i="10"/>
  <c r="A57" i="10"/>
  <c r="A126" i="10"/>
  <c r="B126" i="10" s="1"/>
  <c r="C126" i="10" s="1"/>
  <c r="A54" i="10"/>
  <c r="A61" i="10"/>
  <c r="A120" i="10"/>
  <c r="A25" i="10"/>
  <c r="A33" i="10"/>
  <c r="A52" i="10"/>
  <c r="A35" i="10"/>
  <c r="B35" i="10" s="1"/>
  <c r="C35" i="10" s="1"/>
  <c r="A37" i="10"/>
  <c r="A114" i="10"/>
  <c r="B114" i="10" s="1"/>
  <c r="C114" i="10" s="1"/>
  <c r="A72" i="9"/>
  <c r="A29" i="9"/>
  <c r="A105" i="9"/>
  <c r="A109" i="9"/>
  <c r="A96" i="9"/>
  <c r="A32" i="9"/>
  <c r="A87" i="9"/>
  <c r="A91" i="9"/>
  <c r="A44" i="9"/>
  <c r="A116" i="9"/>
  <c r="A51" i="9"/>
  <c r="A77" i="9"/>
  <c r="A130" i="9"/>
  <c r="P138" i="10"/>
  <c r="P146" i="10"/>
  <c r="U126" i="10"/>
  <c r="P142" i="10"/>
  <c r="U35" i="10"/>
  <c r="P140" i="10"/>
  <c r="P147" i="10"/>
  <c r="P133" i="10"/>
  <c r="U62" i="10"/>
  <c r="P132" i="10"/>
  <c r="P148" i="10"/>
  <c r="P134" i="10"/>
  <c r="P141" i="10"/>
  <c r="I13" i="9"/>
  <c r="P139" i="10"/>
  <c r="U125" i="9"/>
  <c r="P136" i="10"/>
  <c r="P135" i="10"/>
  <c r="P143" i="10"/>
  <c r="U131" i="9"/>
  <c r="P137" i="10"/>
  <c r="P145" i="10"/>
  <c r="U59" i="10"/>
  <c r="I12" i="10"/>
  <c r="I12" i="9"/>
  <c r="I13" i="10"/>
  <c r="P144" i="10"/>
  <c r="U87" i="10"/>
  <c r="U131" i="10"/>
  <c r="U50" i="10"/>
  <c r="N133" i="10" l="1"/>
  <c r="N145" i="10"/>
  <c r="B33" i="10"/>
  <c r="C33" i="10" s="1"/>
  <c r="O142" i="10"/>
  <c r="B63" i="10"/>
  <c r="C63" i="10" s="1"/>
  <c r="F95" i="8" s="1"/>
  <c r="H95" i="8" s="1"/>
  <c r="B83" i="9"/>
  <c r="C83" i="9" s="1"/>
  <c r="N138" i="10"/>
  <c r="O138" i="10" s="1"/>
  <c r="N146" i="10"/>
  <c r="O146" i="10" s="1"/>
  <c r="B129" i="10"/>
  <c r="C129" i="10" s="1"/>
  <c r="B31" i="10"/>
  <c r="C31" i="10" s="1"/>
  <c r="H31" i="10" s="1"/>
  <c r="O137" i="10"/>
  <c r="B107" i="9"/>
  <c r="C107" i="9" s="1"/>
  <c r="N139" i="10"/>
  <c r="O139" i="10" s="1"/>
  <c r="O141" i="10"/>
  <c r="B26" i="10"/>
  <c r="C26" i="10" s="1"/>
  <c r="B117" i="10"/>
  <c r="C117" i="10" s="1"/>
  <c r="E117" i="10" s="1"/>
  <c r="N135" i="10"/>
  <c r="O135" i="10" s="1"/>
  <c r="N143" i="10"/>
  <c r="O143" i="10" s="1"/>
  <c r="O133" i="10"/>
  <c r="N144" i="10"/>
  <c r="O144" i="10" s="1"/>
  <c r="B106" i="9"/>
  <c r="C106" i="9" s="1"/>
  <c r="N148" i="10"/>
  <c r="O148" i="10" s="1"/>
  <c r="B42" i="10"/>
  <c r="C42" i="10" s="1"/>
  <c r="H42" i="10" s="1"/>
  <c r="N136" i="10"/>
  <c r="O136" i="10" s="1"/>
  <c r="B79" i="10"/>
  <c r="C79" i="10" s="1"/>
  <c r="F111" i="8" s="1"/>
  <c r="H111" i="8" s="1"/>
  <c r="O145" i="10"/>
  <c r="B76" i="10"/>
  <c r="C76" i="10" s="1"/>
  <c r="B57" i="9"/>
  <c r="C57" i="9" s="1"/>
  <c r="B22" i="9"/>
  <c r="C22" i="9" s="1"/>
  <c r="A54" i="8" s="1"/>
  <c r="C54" i="8" s="1"/>
  <c r="B77" i="9"/>
  <c r="C77" i="9" s="1"/>
  <c r="B25" i="10"/>
  <c r="C25" i="10" s="1"/>
  <c r="F57" i="8" s="1"/>
  <c r="H57" i="8" s="1"/>
  <c r="N132" i="10"/>
  <c r="O132" i="10" s="1"/>
  <c r="N140" i="10"/>
  <c r="O140" i="10" s="1"/>
  <c r="N147" i="10"/>
  <c r="O147" i="10" s="1"/>
  <c r="B122" i="9"/>
  <c r="C122" i="9" s="1"/>
  <c r="B78" i="9"/>
  <c r="C78" i="9" s="1"/>
  <c r="A110" i="8" s="1"/>
  <c r="C110" i="8" s="1"/>
  <c r="U149" i="10"/>
  <c r="Q149" i="10" s="1"/>
  <c r="J149" i="10"/>
  <c r="M149" i="10" s="1"/>
  <c r="I149" i="10"/>
  <c r="K149" i="10"/>
  <c r="U150" i="10"/>
  <c r="Q150" i="10" s="1"/>
  <c r="I150" i="10"/>
  <c r="K150" i="10"/>
  <c r="J150" i="10"/>
  <c r="M150" i="10" s="1"/>
  <c r="B120" i="10"/>
  <c r="C120" i="10" s="1"/>
  <c r="B52" i="10"/>
  <c r="C52" i="10" s="1"/>
  <c r="E52" i="10" s="1"/>
  <c r="B28" i="10"/>
  <c r="C28" i="10" s="1"/>
  <c r="B38" i="10"/>
  <c r="C38" i="10" s="1"/>
  <c r="H38" i="10" s="1"/>
  <c r="B102" i="10"/>
  <c r="C102" i="10" s="1"/>
  <c r="B103" i="10"/>
  <c r="C103" i="10" s="1"/>
  <c r="E114" i="10"/>
  <c r="E115" i="10"/>
  <c r="F120" i="8"/>
  <c r="H120" i="8" s="1"/>
  <c r="H82" i="10"/>
  <c r="E45" i="10"/>
  <c r="B66" i="9"/>
  <c r="C66" i="9" s="1"/>
  <c r="B98" i="9"/>
  <c r="C98" i="9" s="1"/>
  <c r="B91" i="9"/>
  <c r="C91" i="9" s="1"/>
  <c r="A123" i="8" s="1"/>
  <c r="C123" i="8" s="1"/>
  <c r="B109" i="9"/>
  <c r="C109" i="9" s="1"/>
  <c r="H109" i="9" s="1"/>
  <c r="B105" i="9"/>
  <c r="C105" i="9" s="1"/>
  <c r="A137" i="8" s="1"/>
  <c r="C137" i="8" s="1"/>
  <c r="B124" i="10"/>
  <c r="C124" i="10" s="1"/>
  <c r="B32" i="9"/>
  <c r="C32" i="9" s="1"/>
  <c r="B29" i="9"/>
  <c r="C29" i="9" s="1"/>
  <c r="B84" i="10"/>
  <c r="C84" i="10" s="1"/>
  <c r="H84" i="10" s="1"/>
  <c r="B110" i="9"/>
  <c r="C110" i="9" s="1"/>
  <c r="B68" i="10"/>
  <c r="C68" i="10" s="1"/>
  <c r="B97" i="9"/>
  <c r="C97" i="9" s="1"/>
  <c r="E97" i="9" s="1"/>
  <c r="F97" i="9" s="1"/>
  <c r="F97" i="10" s="1"/>
  <c r="G97" i="10" s="1"/>
  <c r="B44" i="9"/>
  <c r="C44" i="9" s="1"/>
  <c r="B114" i="9"/>
  <c r="C114" i="9" s="1"/>
  <c r="B19" i="9"/>
  <c r="C19" i="9" s="1"/>
  <c r="A51" i="8" s="1"/>
  <c r="C51" i="8" s="1"/>
  <c r="B111" i="10"/>
  <c r="C111" i="10" s="1"/>
  <c r="B123" i="10"/>
  <c r="C123" i="10" s="1"/>
  <c r="E123" i="10" s="1"/>
  <c r="B102" i="9"/>
  <c r="C102" i="9" s="1"/>
  <c r="H102" i="9" s="1"/>
  <c r="B47" i="9"/>
  <c r="C47" i="9" s="1"/>
  <c r="B60" i="9"/>
  <c r="C60" i="9" s="1"/>
  <c r="B69" i="9"/>
  <c r="C69" i="9" s="1"/>
  <c r="A101" i="8" s="1"/>
  <c r="C101" i="8" s="1"/>
  <c r="B100" i="9"/>
  <c r="C100" i="9" s="1"/>
  <c r="A132" i="8" s="1"/>
  <c r="C132" i="8" s="1"/>
  <c r="B41" i="9"/>
  <c r="C41" i="9" s="1"/>
  <c r="B130" i="9"/>
  <c r="C130" i="9" s="1"/>
  <c r="H130" i="9" s="1"/>
  <c r="B96" i="9"/>
  <c r="C96" i="9" s="1"/>
  <c r="E96" i="9" s="1"/>
  <c r="F96" i="9" s="1"/>
  <c r="F96" i="10" s="1"/>
  <c r="G96" i="10" s="1"/>
  <c r="B117" i="9"/>
  <c r="C117" i="9" s="1"/>
  <c r="E117" i="9" s="1"/>
  <c r="F117" i="9" s="1"/>
  <c r="F117" i="10" s="1"/>
  <c r="G117" i="10" s="1"/>
  <c r="B67" i="9"/>
  <c r="C67" i="9" s="1"/>
  <c r="E67" i="9" s="1"/>
  <c r="F67" i="9" s="1"/>
  <c r="F67" i="10" s="1"/>
  <c r="G67" i="10" s="1"/>
  <c r="B92" i="9"/>
  <c r="C92" i="9" s="1"/>
  <c r="H92" i="9" s="1"/>
  <c r="B70" i="9"/>
  <c r="C70" i="9" s="1"/>
  <c r="A102" i="8" s="1"/>
  <c r="C102" i="8" s="1"/>
  <c r="B52" i="9"/>
  <c r="C52" i="9" s="1"/>
  <c r="U149" i="9"/>
  <c r="Q149" i="9" s="1"/>
  <c r="J149" i="9"/>
  <c r="I149" i="9"/>
  <c r="M149" i="9" s="1"/>
  <c r="K149" i="9"/>
  <c r="U150" i="9"/>
  <c r="Q150" i="9" s="1"/>
  <c r="I150" i="9"/>
  <c r="M150" i="9" s="1"/>
  <c r="J150" i="9"/>
  <c r="K150" i="9"/>
  <c r="B112" i="9"/>
  <c r="C112" i="9" s="1"/>
  <c r="E112" i="9" s="1"/>
  <c r="F112" i="9" s="1"/>
  <c r="F112" i="10" s="1"/>
  <c r="G112" i="10" s="1"/>
  <c r="B62" i="9"/>
  <c r="C62" i="9" s="1"/>
  <c r="H62" i="9" s="1"/>
  <c r="B74" i="9"/>
  <c r="C74" i="9" s="1"/>
  <c r="B59" i="9"/>
  <c r="C59" i="9" s="1"/>
  <c r="A91" i="8" s="1"/>
  <c r="C91" i="8" s="1"/>
  <c r="B21" i="9"/>
  <c r="C21" i="9" s="1"/>
  <c r="A53" i="8" s="1"/>
  <c r="C53" i="8" s="1"/>
  <c r="B80" i="9"/>
  <c r="C80" i="9" s="1"/>
  <c r="E80" i="9" s="1"/>
  <c r="F80" i="9" s="1"/>
  <c r="F80" i="10" s="1"/>
  <c r="G80" i="10" s="1"/>
  <c r="B73" i="9"/>
  <c r="C73" i="9" s="1"/>
  <c r="E73" i="9" s="1"/>
  <c r="F73" i="9" s="1"/>
  <c r="F73" i="10" s="1"/>
  <c r="G73" i="10" s="1"/>
  <c r="B55" i="9"/>
  <c r="C55" i="9" s="1"/>
  <c r="B36" i="9"/>
  <c r="C36" i="9" s="1"/>
  <c r="A68" i="8" s="1"/>
  <c r="C68" i="8" s="1"/>
  <c r="B89" i="9"/>
  <c r="C89" i="9" s="1"/>
  <c r="A121" i="8" s="1"/>
  <c r="C121" i="8" s="1"/>
  <c r="H63" i="10"/>
  <c r="E63" i="10"/>
  <c r="H97" i="9"/>
  <c r="H44" i="9"/>
  <c r="H131" i="9"/>
  <c r="H106" i="9"/>
  <c r="H57" i="9"/>
  <c r="B127" i="10"/>
  <c r="C127" i="10" s="1"/>
  <c r="B22" i="10"/>
  <c r="C22" i="10" s="1"/>
  <c r="B97" i="10"/>
  <c r="C97" i="10" s="1"/>
  <c r="B29" i="10"/>
  <c r="C29" i="10" s="1"/>
  <c r="B92" i="10"/>
  <c r="C92" i="10" s="1"/>
  <c r="B17" i="10"/>
  <c r="C17" i="10" s="1"/>
  <c r="B24" i="9"/>
  <c r="C24" i="9" s="1"/>
  <c r="B64" i="9"/>
  <c r="C64" i="9" s="1"/>
  <c r="B47" i="10"/>
  <c r="C47" i="10" s="1"/>
  <c r="B86" i="10"/>
  <c r="C86" i="10" s="1"/>
  <c r="B46" i="10"/>
  <c r="C46" i="10" s="1"/>
  <c r="B48" i="10"/>
  <c r="C48" i="10" s="1"/>
  <c r="B100" i="10"/>
  <c r="C100" i="10" s="1"/>
  <c r="B106" i="10"/>
  <c r="C106" i="10" s="1"/>
  <c r="B23" i="10"/>
  <c r="C23" i="10" s="1"/>
  <c r="B51" i="9"/>
  <c r="C51" i="9" s="1"/>
  <c r="B122" i="10"/>
  <c r="C122" i="10" s="1"/>
  <c r="B67" i="10"/>
  <c r="C67" i="10" s="1"/>
  <c r="B96" i="10"/>
  <c r="C96" i="10" s="1"/>
  <c r="B95" i="10"/>
  <c r="C95" i="10" s="1"/>
  <c r="B19" i="10"/>
  <c r="C19" i="10" s="1"/>
  <c r="B55" i="10"/>
  <c r="C55" i="10" s="1"/>
  <c r="B56" i="9"/>
  <c r="C56" i="9" s="1"/>
  <c r="B18" i="9"/>
  <c r="C18" i="9" s="1"/>
  <c r="E106" i="9"/>
  <c r="F106" i="9" s="1"/>
  <c r="F106" i="10" s="1"/>
  <c r="G106" i="10" s="1"/>
  <c r="E126" i="10"/>
  <c r="E124" i="10"/>
  <c r="B130" i="10"/>
  <c r="C130" i="10" s="1"/>
  <c r="B81" i="10"/>
  <c r="C81" i="10" s="1"/>
  <c r="H88" i="10"/>
  <c r="E88" i="10"/>
  <c r="B125" i="10"/>
  <c r="C125" i="10" s="1"/>
  <c r="B34" i="10"/>
  <c r="C34" i="10" s="1"/>
  <c r="B70" i="10"/>
  <c r="C70" i="10" s="1"/>
  <c r="F102" i="8" s="1"/>
  <c r="H102" i="8" s="1"/>
  <c r="B94" i="10"/>
  <c r="C94" i="10" s="1"/>
  <c r="H122" i="9"/>
  <c r="B85" i="9"/>
  <c r="C85" i="9" s="1"/>
  <c r="E57" i="9"/>
  <c r="F57" i="9" s="1"/>
  <c r="F57" i="10" s="1"/>
  <c r="G57" i="10" s="1"/>
  <c r="B104" i="9"/>
  <c r="C104" i="9" s="1"/>
  <c r="A89" i="8"/>
  <c r="C89" i="8" s="1"/>
  <c r="F77" i="8"/>
  <c r="H77" i="8" s="1"/>
  <c r="E131" i="9"/>
  <c r="F131" i="9" s="1"/>
  <c r="F131" i="10" s="1"/>
  <c r="G131" i="10" s="1"/>
  <c r="B129" i="9"/>
  <c r="C129" i="9" s="1"/>
  <c r="B58" i="10"/>
  <c r="C58" i="10" s="1"/>
  <c r="B88" i="9"/>
  <c r="C88" i="9" s="1"/>
  <c r="B84" i="9"/>
  <c r="C84" i="9" s="1"/>
  <c r="B50" i="9"/>
  <c r="C50" i="9" s="1"/>
  <c r="B37" i="10"/>
  <c r="C37" i="10" s="1"/>
  <c r="B111" i="9"/>
  <c r="C111" i="9" s="1"/>
  <c r="B75" i="10"/>
  <c r="C75" i="10" s="1"/>
  <c r="B53" i="9"/>
  <c r="C53" i="9" s="1"/>
  <c r="B54" i="9"/>
  <c r="C54" i="9" s="1"/>
  <c r="H22" i="9"/>
  <c r="B91" i="10"/>
  <c r="C91" i="10" s="1"/>
  <c r="B79" i="9"/>
  <c r="C79" i="9" s="1"/>
  <c r="B31" i="9"/>
  <c r="C31" i="9" s="1"/>
  <c r="B108" i="9"/>
  <c r="C108" i="9" s="1"/>
  <c r="B105" i="10"/>
  <c r="C105" i="10" s="1"/>
  <c r="B16" i="10"/>
  <c r="C16" i="10" s="1"/>
  <c r="B18" i="10"/>
  <c r="C18" i="10" s="1"/>
  <c r="H45" i="10"/>
  <c r="E22" i="9"/>
  <c r="F22" i="9" s="1"/>
  <c r="F22" i="10" s="1"/>
  <c r="G22" i="10" s="1"/>
  <c r="B80" i="10"/>
  <c r="C80" i="10" s="1"/>
  <c r="B76" i="9"/>
  <c r="C76" i="9" s="1"/>
  <c r="B21" i="10"/>
  <c r="C21" i="10" s="1"/>
  <c r="B116" i="10"/>
  <c r="C116" i="10" s="1"/>
  <c r="O13" i="10"/>
  <c r="I45" i="8" s="1"/>
  <c r="O12" i="10"/>
  <c r="I44" i="8" s="1"/>
  <c r="O13" i="9"/>
  <c r="D45" i="8" s="1"/>
  <c r="O12" i="9"/>
  <c r="D44" i="8" s="1"/>
  <c r="A141" i="8"/>
  <c r="C141" i="8" s="1"/>
  <c r="E114" i="9"/>
  <c r="F114" i="9" s="1"/>
  <c r="F114" i="10" s="1"/>
  <c r="G114" i="10" s="1"/>
  <c r="E107" i="9"/>
  <c r="F107" i="9" s="1"/>
  <c r="F107" i="10" s="1"/>
  <c r="G107" i="10" s="1"/>
  <c r="A139" i="8"/>
  <c r="C139" i="8" s="1"/>
  <c r="E120" i="10"/>
  <c r="E103" i="10"/>
  <c r="F135" i="8"/>
  <c r="H135" i="8" s="1"/>
  <c r="H103" i="10"/>
  <c r="F119" i="8"/>
  <c r="H119" i="8" s="1"/>
  <c r="F91" i="8"/>
  <c r="H91" i="8" s="1"/>
  <c r="H59" i="10"/>
  <c r="F82" i="8"/>
  <c r="H82" i="8" s="1"/>
  <c r="E50" i="10"/>
  <c r="H50" i="10"/>
  <c r="F58" i="8"/>
  <c r="H58" i="8" s="1"/>
  <c r="B71" i="10"/>
  <c r="C71" i="10" s="1"/>
  <c r="B72" i="10"/>
  <c r="C72" i="10" s="1"/>
  <c r="E47" i="9"/>
  <c r="F47" i="9" s="1"/>
  <c r="F47" i="10" s="1"/>
  <c r="G47" i="10" s="1"/>
  <c r="A79" i="8"/>
  <c r="C79" i="8" s="1"/>
  <c r="E35" i="10"/>
  <c r="F67" i="8"/>
  <c r="H67" i="8" s="1"/>
  <c r="B115" i="9"/>
  <c r="C115" i="9" s="1"/>
  <c r="B116" i="9"/>
  <c r="C116" i="9" s="1"/>
  <c r="B16" i="9"/>
  <c r="C16" i="9" s="1"/>
  <c r="B17" i="9"/>
  <c r="C17" i="9" s="1"/>
  <c r="H150" i="9"/>
  <c r="E150" i="9"/>
  <c r="F150" i="9" s="1"/>
  <c r="F150" i="10" s="1"/>
  <c r="G150" i="10" s="1"/>
  <c r="L150" i="10" s="1"/>
  <c r="N150" i="10" s="1"/>
  <c r="O150" i="10" s="1"/>
  <c r="B107" i="10"/>
  <c r="C107" i="10" s="1"/>
  <c r="B108" i="10"/>
  <c r="C108" i="10" s="1"/>
  <c r="B123" i="9"/>
  <c r="C123" i="9" s="1"/>
  <c r="B124" i="9"/>
  <c r="C124" i="9" s="1"/>
  <c r="E83" i="9"/>
  <c r="F83" i="9" s="1"/>
  <c r="F83" i="10" s="1"/>
  <c r="G83" i="10" s="1"/>
  <c r="A115" i="8"/>
  <c r="C115" i="8" s="1"/>
  <c r="B39" i="9"/>
  <c r="C39" i="9" s="1"/>
  <c r="B40" i="9"/>
  <c r="C40" i="9" s="1"/>
  <c r="B82" i="9"/>
  <c r="C82" i="9" s="1"/>
  <c r="B81" i="9"/>
  <c r="C81" i="9" s="1"/>
  <c r="H149" i="9"/>
  <c r="E149" i="9"/>
  <c r="F149" i="9" s="1"/>
  <c r="F149" i="10" s="1"/>
  <c r="G149" i="10" s="1"/>
  <c r="L149" i="10" s="1"/>
  <c r="B32" i="10"/>
  <c r="C32" i="10" s="1"/>
  <c r="B128" i="10"/>
  <c r="C128" i="10" s="1"/>
  <c r="B85" i="10"/>
  <c r="C85" i="10" s="1"/>
  <c r="B51" i="10"/>
  <c r="C51" i="10" s="1"/>
  <c r="B36" i="10"/>
  <c r="C36" i="10" s="1"/>
  <c r="B49" i="10"/>
  <c r="C49" i="10" s="1"/>
  <c r="B58" i="9"/>
  <c r="C58" i="9" s="1"/>
  <c r="B20" i="9"/>
  <c r="C20" i="9" s="1"/>
  <c r="B41" i="10"/>
  <c r="C41" i="10" s="1"/>
  <c r="B24" i="10"/>
  <c r="C24" i="10" s="1"/>
  <c r="B93" i="10"/>
  <c r="C93" i="10" s="1"/>
  <c r="B83" i="10"/>
  <c r="C83" i="10" s="1"/>
  <c r="B71" i="9"/>
  <c r="C71" i="9" s="1"/>
  <c r="B72" i="9"/>
  <c r="C72" i="9" s="1"/>
  <c r="E52" i="9"/>
  <c r="F52" i="9" s="1"/>
  <c r="F52" i="10" s="1"/>
  <c r="G52" i="10" s="1"/>
  <c r="A84" i="8"/>
  <c r="C84" i="8" s="1"/>
  <c r="E129" i="10"/>
  <c r="E102" i="10"/>
  <c r="F134" i="8"/>
  <c r="H134" i="8" s="1"/>
  <c r="B93" i="9"/>
  <c r="C93" i="9" s="1"/>
  <c r="B94" i="9"/>
  <c r="C94" i="9" s="1"/>
  <c r="B119" i="10"/>
  <c r="C119" i="10" s="1"/>
  <c r="B118" i="10"/>
  <c r="C118" i="10" s="1"/>
  <c r="B57" i="10"/>
  <c r="C57" i="10" s="1"/>
  <c r="B56" i="10"/>
  <c r="C56" i="10" s="1"/>
  <c r="B77" i="10"/>
  <c r="C77" i="10" s="1"/>
  <c r="B78" i="10"/>
  <c r="C78" i="10" s="1"/>
  <c r="E150" i="10"/>
  <c r="H150" i="10"/>
  <c r="B120" i="9"/>
  <c r="C120" i="9" s="1"/>
  <c r="B121" i="9"/>
  <c r="C121" i="9" s="1"/>
  <c r="B43" i="10"/>
  <c r="C43" i="10" s="1"/>
  <c r="B44" i="10"/>
  <c r="C44" i="10" s="1"/>
  <c r="B101" i="10"/>
  <c r="C101" i="10" s="1"/>
  <c r="H129" i="10"/>
  <c r="B127" i="9"/>
  <c r="C127" i="9" s="1"/>
  <c r="B27" i="10"/>
  <c r="C27" i="10" s="1"/>
  <c r="B30" i="10"/>
  <c r="C30" i="10" s="1"/>
  <c r="B68" i="9"/>
  <c r="C68" i="9" s="1"/>
  <c r="B30" i="9"/>
  <c r="C30" i="9" s="1"/>
  <c r="B63" i="9"/>
  <c r="C63" i="9" s="1"/>
  <c r="B65" i="9"/>
  <c r="C65" i="9" s="1"/>
  <c r="B126" i="9"/>
  <c r="C126" i="9" s="1"/>
  <c r="H41" i="9"/>
  <c r="A73" i="8"/>
  <c r="C73" i="8" s="1"/>
  <c r="E32" i="9"/>
  <c r="F32" i="9" s="1"/>
  <c r="F32" i="10" s="1"/>
  <c r="G32" i="10" s="1"/>
  <c r="A64" i="8"/>
  <c r="C64" i="8" s="1"/>
  <c r="E29" i="9"/>
  <c r="F29" i="9" s="1"/>
  <c r="F29" i="10" s="1"/>
  <c r="G29" i="10" s="1"/>
  <c r="A61" i="8"/>
  <c r="C61" i="8" s="1"/>
  <c r="E44" i="9"/>
  <c r="F44" i="9" s="1"/>
  <c r="F44" i="10" s="1"/>
  <c r="G44" i="10" s="1"/>
  <c r="A76" i="8"/>
  <c r="C76" i="8" s="1"/>
  <c r="B98" i="10"/>
  <c r="C98" i="10" s="1"/>
  <c r="B99" i="10"/>
  <c r="C99" i="10" s="1"/>
  <c r="B38" i="9"/>
  <c r="C38" i="9" s="1"/>
  <c r="B37" i="9"/>
  <c r="C37" i="9" s="1"/>
  <c r="E68" i="10"/>
  <c r="F100" i="8"/>
  <c r="H100" i="8" s="1"/>
  <c r="E33" i="10"/>
  <c r="F65" i="8"/>
  <c r="H65" i="8" s="1"/>
  <c r="B40" i="10"/>
  <c r="C40" i="10" s="1"/>
  <c r="B39" i="10"/>
  <c r="C39" i="10" s="1"/>
  <c r="B65" i="10"/>
  <c r="C65" i="10" s="1"/>
  <c r="B64" i="10"/>
  <c r="C64" i="10" s="1"/>
  <c r="E111" i="10"/>
  <c r="E62" i="10"/>
  <c r="F94" i="8"/>
  <c r="H94" i="8" s="1"/>
  <c r="E149" i="10"/>
  <c r="H149" i="10"/>
  <c r="B48" i="9"/>
  <c r="C48" i="9" s="1"/>
  <c r="B49" i="9"/>
  <c r="C49" i="9" s="1"/>
  <c r="B74" i="10"/>
  <c r="C74" i="10" s="1"/>
  <c r="B73" i="10"/>
  <c r="C73" i="10" s="1"/>
  <c r="E82" i="10"/>
  <c r="F114" i="8"/>
  <c r="H114" i="8" s="1"/>
  <c r="B119" i="9"/>
  <c r="C119" i="9" s="1"/>
  <c r="B118" i="9"/>
  <c r="C118" i="9" s="1"/>
  <c r="B28" i="9"/>
  <c r="C28" i="9" s="1"/>
  <c r="B113" i="9"/>
  <c r="C113" i="9" s="1"/>
  <c r="B103" i="9"/>
  <c r="C103" i="9" s="1"/>
  <c r="B27" i="9"/>
  <c r="C27" i="9" s="1"/>
  <c r="B23" i="9"/>
  <c r="C23" i="9" s="1"/>
  <c r="H52" i="9"/>
  <c r="H33" i="10"/>
  <c r="H111" i="10"/>
  <c r="B113" i="10"/>
  <c r="C113" i="10" s="1"/>
  <c r="B90" i="9"/>
  <c r="C90" i="9" s="1"/>
  <c r="B95" i="9"/>
  <c r="C95" i="9" s="1"/>
  <c r="B99" i="9"/>
  <c r="C99" i="9" s="1"/>
  <c r="B112" i="10"/>
  <c r="B35" i="9"/>
  <c r="C35" i="9" s="1"/>
  <c r="B101" i="9"/>
  <c r="C101" i="9" s="1"/>
  <c r="B61" i="9"/>
  <c r="C61" i="9" s="1"/>
  <c r="E76" i="10"/>
  <c r="F108" i="8"/>
  <c r="H108" i="8" s="1"/>
  <c r="B87" i="9"/>
  <c r="C87" i="9" s="1"/>
  <c r="B86" i="9"/>
  <c r="C86" i="9" s="1"/>
  <c r="B53" i="10"/>
  <c r="B54" i="10"/>
  <c r="C54" i="10" s="1"/>
  <c r="B89" i="10"/>
  <c r="C89" i="10" s="1"/>
  <c r="B90" i="10"/>
  <c r="C90" i="10" s="1"/>
  <c r="H73" i="9"/>
  <c r="A105" i="8"/>
  <c r="C105" i="8" s="1"/>
  <c r="B33" i="9"/>
  <c r="C33" i="9" s="1"/>
  <c r="B34" i="9"/>
  <c r="C34" i="9" s="1"/>
  <c r="E31" i="10"/>
  <c r="F63" i="8"/>
  <c r="H63" i="8" s="1"/>
  <c r="E60" i="9"/>
  <c r="F60" i="9" s="1"/>
  <c r="F60" i="10" s="1"/>
  <c r="G60" i="10" s="1"/>
  <c r="A92" i="8"/>
  <c r="C92" i="8" s="1"/>
  <c r="B60" i="10"/>
  <c r="C60" i="10" s="1"/>
  <c r="B61" i="10"/>
  <c r="C61" i="10" s="1"/>
  <c r="B45" i="9"/>
  <c r="C45" i="9" s="1"/>
  <c r="B46" i="9"/>
  <c r="C46" i="9" s="1"/>
  <c r="E42" i="10"/>
  <c r="F74" i="8"/>
  <c r="H74" i="8" s="1"/>
  <c r="E131" i="10"/>
  <c r="H131" i="10"/>
  <c r="B26" i="9"/>
  <c r="C26" i="9" s="1"/>
  <c r="B25" i="9"/>
  <c r="C25" i="9" s="1"/>
  <c r="B121" i="10"/>
  <c r="C121" i="10" s="1"/>
  <c r="B128" i="9"/>
  <c r="C128" i="9" s="1"/>
  <c r="B69" i="10"/>
  <c r="C69" i="10" s="1"/>
  <c r="B110" i="10"/>
  <c r="C110" i="10" s="1"/>
  <c r="B104" i="10"/>
  <c r="C104" i="10" s="1"/>
  <c r="B43" i="9"/>
  <c r="C43" i="9" s="1"/>
  <c r="B75" i="9"/>
  <c r="C75" i="9" s="1"/>
  <c r="B66" i="10"/>
  <c r="C66" i="10" s="1"/>
  <c r="B109" i="10"/>
  <c r="C109" i="10" s="1"/>
  <c r="B42" i="9"/>
  <c r="C42" i="9" s="1"/>
  <c r="B20" i="10"/>
  <c r="C20" i="10" s="1"/>
  <c r="E59" i="10"/>
  <c r="H47" i="9"/>
  <c r="H26" i="10"/>
  <c r="E26" i="10"/>
  <c r="H79" i="10"/>
  <c r="E79" i="10"/>
  <c r="H28" i="10"/>
  <c r="E28" i="10"/>
  <c r="H87" i="10"/>
  <c r="E87" i="10"/>
  <c r="E84" i="10"/>
  <c r="H25" i="10"/>
  <c r="E25" i="10"/>
  <c r="H114" i="10"/>
  <c r="H120" i="10"/>
  <c r="H126" i="10"/>
  <c r="H68" i="10"/>
  <c r="H115" i="10"/>
  <c r="H62" i="10"/>
  <c r="H124" i="10"/>
  <c r="H76" i="10"/>
  <c r="H35" i="10"/>
  <c r="H21" i="9"/>
  <c r="E21" i="9"/>
  <c r="F21" i="9" s="1"/>
  <c r="E74" i="9"/>
  <c r="F74" i="9" s="1"/>
  <c r="F74" i="10" s="1"/>
  <c r="G74" i="10" s="1"/>
  <c r="H60" i="9"/>
  <c r="H56" i="9"/>
  <c r="H112" i="9"/>
  <c r="E109" i="9"/>
  <c r="F109" i="9" s="1"/>
  <c r="F109" i="10" s="1"/>
  <c r="G109" i="10" s="1"/>
  <c r="H29" i="9"/>
  <c r="H83" i="9"/>
  <c r="H114" i="9"/>
  <c r="H96" i="9"/>
  <c r="E41" i="9"/>
  <c r="F41" i="9" s="1"/>
  <c r="F41" i="10" s="1"/>
  <c r="G41" i="10" s="1"/>
  <c r="E36" i="9"/>
  <c r="F36" i="9" s="1"/>
  <c r="F36" i="10" s="1"/>
  <c r="G36" i="10" s="1"/>
  <c r="H69" i="9"/>
  <c r="E69" i="9"/>
  <c r="F69" i="9" s="1"/>
  <c r="F69" i="10" s="1"/>
  <c r="G69" i="10" s="1"/>
  <c r="H78" i="9"/>
  <c r="E100" i="9"/>
  <c r="F100" i="9" s="1"/>
  <c r="F100" i="10" s="1"/>
  <c r="G100" i="10" s="1"/>
  <c r="H100" i="9"/>
  <c r="H125" i="9"/>
  <c r="E125" i="9"/>
  <c r="F125" i="9" s="1"/>
  <c r="F125" i="10" s="1"/>
  <c r="G125" i="10" s="1"/>
  <c r="E78" i="9"/>
  <c r="F78" i="9" s="1"/>
  <c r="F78" i="10" s="1"/>
  <c r="G78" i="10" s="1"/>
  <c r="H107" i="9"/>
  <c r="H32" i="9"/>
  <c r="H91" i="9"/>
  <c r="E19" i="9"/>
  <c r="F19" i="9" s="1"/>
  <c r="E70" i="9"/>
  <c r="F70" i="9" s="1"/>
  <c r="F70" i="10" s="1"/>
  <c r="G70" i="10" s="1"/>
  <c r="E91" i="9"/>
  <c r="F91" i="9" s="1"/>
  <c r="F91" i="10" s="1"/>
  <c r="G91" i="10" s="1"/>
  <c r="E122" i="9"/>
  <c r="F122" i="9" s="1"/>
  <c r="F122" i="10" s="1"/>
  <c r="G122" i="10" s="1"/>
  <c r="H89" i="9"/>
  <c r="H19" i="9"/>
  <c r="H70" i="9"/>
  <c r="E89" i="9"/>
  <c r="F89" i="9" s="1"/>
  <c r="F89" i="10" s="1"/>
  <c r="G89" i="10" s="1"/>
  <c r="E105" i="9"/>
  <c r="F105" i="9" s="1"/>
  <c r="F105" i="10" s="1"/>
  <c r="G105" i="10" s="1"/>
  <c r="H105" i="9"/>
  <c r="L44" i="10"/>
  <c r="U57" i="10"/>
  <c r="J19" i="9"/>
  <c r="I106" i="9"/>
  <c r="I115" i="10"/>
  <c r="U120" i="9"/>
  <c r="Q13" i="9"/>
  <c r="L36" i="10"/>
  <c r="K87" i="10"/>
  <c r="U68" i="10"/>
  <c r="K45" i="10"/>
  <c r="K29" i="9"/>
  <c r="J31" i="10"/>
  <c r="U40" i="9"/>
  <c r="K78" i="9"/>
  <c r="U129" i="10"/>
  <c r="U122" i="9"/>
  <c r="U27" i="10"/>
  <c r="I122" i="9"/>
  <c r="U41" i="9"/>
  <c r="K130" i="9"/>
  <c r="U109" i="9"/>
  <c r="K62" i="10"/>
  <c r="U116" i="9"/>
  <c r="U84" i="9"/>
  <c r="I78" i="9"/>
  <c r="I87" i="10"/>
  <c r="U111" i="10"/>
  <c r="J42" i="10"/>
  <c r="U45" i="10"/>
  <c r="L109" i="10"/>
  <c r="U69" i="9"/>
  <c r="K129" i="10"/>
  <c r="U27" i="9"/>
  <c r="K110" i="9"/>
  <c r="U30" i="10"/>
  <c r="U76" i="9"/>
  <c r="J131" i="10"/>
  <c r="U89" i="10"/>
  <c r="U26" i="10"/>
  <c r="U115" i="9"/>
  <c r="I66" i="9"/>
  <c r="U60" i="10"/>
  <c r="K83" i="9"/>
  <c r="U34" i="9"/>
  <c r="U37" i="9"/>
  <c r="K57" i="9"/>
  <c r="I62" i="10"/>
  <c r="K79" i="10"/>
  <c r="I105" i="9"/>
  <c r="J122" i="9"/>
  <c r="U129" i="9"/>
  <c r="U70" i="9"/>
  <c r="L107" i="10"/>
  <c r="U47" i="9"/>
  <c r="U119" i="10"/>
  <c r="U110" i="10"/>
  <c r="K26" i="10"/>
  <c r="Q12" i="10"/>
  <c r="I92" i="9"/>
  <c r="U118" i="9"/>
  <c r="U126" i="9"/>
  <c r="U20" i="9"/>
  <c r="U51" i="9"/>
  <c r="I44" i="9"/>
  <c r="I91" i="9"/>
  <c r="J91" i="9"/>
  <c r="K126" i="10"/>
  <c r="U46" i="10"/>
  <c r="I70" i="9"/>
  <c r="J29" i="9"/>
  <c r="U123" i="9"/>
  <c r="U97" i="9"/>
  <c r="I42" i="10"/>
  <c r="U82" i="9"/>
  <c r="L29" i="10"/>
  <c r="J126" i="10"/>
  <c r="J88" i="10"/>
  <c r="U77" i="9"/>
  <c r="J109" i="9"/>
  <c r="J52" i="9"/>
  <c r="I52" i="9"/>
  <c r="K33" i="10"/>
  <c r="U74" i="9"/>
  <c r="L106" i="10"/>
  <c r="U91" i="9"/>
  <c r="I130" i="9"/>
  <c r="K115" i="10"/>
  <c r="I131" i="9"/>
  <c r="U92" i="9"/>
  <c r="U16" i="9"/>
  <c r="J78" i="9"/>
  <c r="U68" i="9"/>
  <c r="U39" i="9"/>
  <c r="U95" i="9"/>
  <c r="U71" i="9"/>
  <c r="J105" i="9"/>
  <c r="J79" i="10"/>
  <c r="J100" i="9"/>
  <c r="I67" i="9"/>
  <c r="J22" i="9"/>
  <c r="U32" i="9"/>
  <c r="U108" i="9"/>
  <c r="I82" i="10"/>
  <c r="I126" i="10"/>
  <c r="K82" i="10"/>
  <c r="L97" i="10"/>
  <c r="U58" i="9"/>
  <c r="U105" i="10"/>
  <c r="U74" i="10"/>
  <c r="J44" i="9"/>
  <c r="Q13" i="10"/>
  <c r="U103" i="10"/>
  <c r="K88" i="10"/>
  <c r="J125" i="9"/>
  <c r="U89" i="9"/>
  <c r="U42" i="10"/>
  <c r="K114" i="10"/>
  <c r="U102" i="10"/>
  <c r="L122" i="10"/>
  <c r="U105" i="9"/>
  <c r="P150" i="10"/>
  <c r="U42" i="9"/>
  <c r="L112" i="10"/>
  <c r="U55" i="9"/>
  <c r="U66" i="10"/>
  <c r="U87" i="9"/>
  <c r="U63" i="9"/>
  <c r="J107" i="9"/>
  <c r="I69" i="9"/>
  <c r="K47" i="9"/>
  <c r="U107" i="9"/>
  <c r="K59" i="10"/>
  <c r="L114" i="10"/>
  <c r="I45" i="10"/>
  <c r="I79" i="10"/>
  <c r="K31" i="10"/>
  <c r="U103" i="9"/>
  <c r="I114" i="10"/>
  <c r="U106" i="9"/>
  <c r="K44" i="9"/>
  <c r="U88" i="10"/>
  <c r="L105" i="10"/>
  <c r="I88" i="10"/>
  <c r="U20" i="10"/>
  <c r="J25" i="10"/>
  <c r="U67" i="9"/>
  <c r="J106" i="9"/>
  <c r="U118" i="10"/>
  <c r="U93" i="9"/>
  <c r="U22" i="9"/>
  <c r="U111" i="9"/>
  <c r="U25" i="9"/>
  <c r="U46" i="9"/>
  <c r="U114" i="10"/>
  <c r="U76" i="10"/>
  <c r="J63" i="10"/>
  <c r="J82" i="10"/>
  <c r="U110" i="9"/>
  <c r="U53" i="9"/>
  <c r="K19" i="9"/>
  <c r="J97" i="9"/>
  <c r="U107" i="10"/>
  <c r="U86" i="9"/>
  <c r="U19" i="9"/>
  <c r="U101" i="10"/>
  <c r="L67" i="10"/>
  <c r="I41" i="9"/>
  <c r="J76" i="10"/>
  <c r="U33" i="9"/>
  <c r="U75" i="9"/>
  <c r="J26" i="10"/>
  <c r="U104" i="9"/>
  <c r="K16" i="9"/>
  <c r="U120" i="10"/>
  <c r="U30" i="9"/>
  <c r="U124" i="10"/>
  <c r="K76" i="10"/>
  <c r="U36" i="10"/>
  <c r="U19" i="10"/>
  <c r="U130" i="9"/>
  <c r="U100" i="9"/>
  <c r="J32" i="9"/>
  <c r="J129" i="10"/>
  <c r="U16" i="10"/>
  <c r="I32" i="9"/>
  <c r="U112" i="9"/>
  <c r="U70" i="10"/>
  <c r="J87" i="10"/>
  <c r="U35" i="9"/>
  <c r="K52" i="9"/>
  <c r="I83" i="9"/>
  <c r="U54" i="9"/>
  <c r="U80" i="9"/>
  <c r="U48" i="9"/>
  <c r="I31" i="10"/>
  <c r="U78" i="10"/>
  <c r="I33" i="10"/>
  <c r="J50" i="10"/>
  <c r="J67" i="9"/>
  <c r="K125" i="9"/>
  <c r="I19" i="9"/>
  <c r="U18" i="9"/>
  <c r="I97" i="9"/>
  <c r="J115" i="10"/>
  <c r="I125" i="9"/>
  <c r="U45" i="9"/>
  <c r="K41" i="9"/>
  <c r="L22" i="10"/>
  <c r="U99" i="9"/>
  <c r="I60" i="9"/>
  <c r="U31" i="9"/>
  <c r="K91" i="9"/>
  <c r="J59" i="10"/>
  <c r="L96" i="10"/>
  <c r="L100" i="10"/>
  <c r="K92" i="9"/>
  <c r="L131" i="10"/>
  <c r="I50" i="10"/>
  <c r="U81" i="9"/>
  <c r="K67" i="9"/>
  <c r="J57" i="9"/>
  <c r="J130" i="9"/>
  <c r="L60" i="10"/>
  <c r="U21" i="9"/>
  <c r="I107" i="9"/>
  <c r="U29" i="9"/>
  <c r="U28" i="9"/>
  <c r="Q12" i="9"/>
  <c r="J102" i="9"/>
  <c r="K32" i="9"/>
  <c r="I100" i="9"/>
  <c r="K50" i="10"/>
  <c r="J60" i="9"/>
  <c r="J62" i="10"/>
  <c r="I114" i="9"/>
  <c r="U57" i="9"/>
  <c r="J41" i="9"/>
  <c r="K122" i="9"/>
  <c r="J33" i="10"/>
  <c r="K100" i="9"/>
  <c r="U93" i="10"/>
  <c r="U64" i="9"/>
  <c r="K42" i="10"/>
  <c r="U113" i="10"/>
  <c r="U113" i="9"/>
  <c r="L32" i="10"/>
  <c r="J70" i="9"/>
  <c r="U38" i="9"/>
  <c r="K63" i="10"/>
  <c r="J114" i="10"/>
  <c r="K22" i="9"/>
  <c r="L91" i="10"/>
  <c r="U65" i="9"/>
  <c r="K60" i="9"/>
  <c r="U40" i="10"/>
  <c r="L69" i="10"/>
  <c r="K131" i="10"/>
  <c r="U79" i="9"/>
  <c r="U61" i="9"/>
  <c r="K114" i="9"/>
  <c r="U33" i="10"/>
  <c r="I129" i="10"/>
  <c r="U98" i="10"/>
  <c r="U72" i="9"/>
  <c r="J92" i="9"/>
  <c r="I29" i="9"/>
  <c r="U78" i="9"/>
  <c r="J16" i="9"/>
  <c r="U88" i="9"/>
  <c r="J131" i="9"/>
  <c r="K25" i="10"/>
  <c r="L70" i="10"/>
  <c r="U128" i="9"/>
  <c r="U24" i="9"/>
  <c r="U121" i="10"/>
  <c r="J47" i="9"/>
  <c r="U52" i="9"/>
  <c r="K69" i="9"/>
  <c r="U31" i="10"/>
  <c r="U124" i="9"/>
  <c r="U36" i="9"/>
  <c r="L117" i="10"/>
  <c r="U44" i="9"/>
  <c r="K106" i="9"/>
  <c r="L80" i="10"/>
  <c r="L83" i="10"/>
  <c r="U62" i="9"/>
  <c r="U28" i="10"/>
  <c r="K131" i="9"/>
  <c r="U127" i="9"/>
  <c r="L52" i="10"/>
  <c r="U79" i="10"/>
  <c r="I26" i="10"/>
  <c r="I63" i="10"/>
  <c r="U25" i="10"/>
  <c r="U64" i="10"/>
  <c r="I76" i="10"/>
  <c r="U101" i="9"/>
  <c r="K109" i="9"/>
  <c r="U94" i="9"/>
  <c r="L74" i="10"/>
  <c r="U72" i="10"/>
  <c r="I59" i="10"/>
  <c r="U59" i="9"/>
  <c r="U73" i="10"/>
  <c r="L73" i="10"/>
  <c r="U98" i="9"/>
  <c r="U104" i="10"/>
  <c r="J45" i="10"/>
  <c r="I16" i="9"/>
  <c r="U115" i="10"/>
  <c r="L47" i="10"/>
  <c r="L41" i="10"/>
  <c r="U73" i="9"/>
  <c r="U90" i="9"/>
  <c r="U114" i="9"/>
  <c r="P149" i="10"/>
  <c r="K105" i="9"/>
  <c r="U82" i="10"/>
  <c r="K35" i="10"/>
  <c r="I131" i="10"/>
  <c r="I25" i="10"/>
  <c r="I47" i="9"/>
  <c r="I35" i="10"/>
  <c r="U65" i="10"/>
  <c r="U43" i="9"/>
  <c r="U49" i="9"/>
  <c r="U119" i="9"/>
  <c r="K107" i="9"/>
  <c r="U83" i="9"/>
  <c r="I57" i="9"/>
  <c r="J35" i="10"/>
  <c r="J83" i="9"/>
  <c r="L125" i="10"/>
  <c r="U49" i="10"/>
  <c r="K97" i="9"/>
  <c r="U121" i="9"/>
  <c r="I109" i="9"/>
  <c r="J114" i="9"/>
  <c r="I22" i="9"/>
  <c r="U63" i="10"/>
  <c r="U60" i="9"/>
  <c r="J69" i="9"/>
  <c r="L89" i="10"/>
  <c r="U26" i="9"/>
  <c r="U17" i="9"/>
  <c r="U23" i="9"/>
  <c r="U41" i="10"/>
  <c r="U44" i="10"/>
  <c r="L78" i="10"/>
  <c r="H66" i="9" l="1"/>
  <c r="E66" i="9"/>
  <c r="F66" i="9" s="1"/>
  <c r="F66" i="10" s="1"/>
  <c r="G66" i="10" s="1"/>
  <c r="F70" i="8"/>
  <c r="H70" i="8" s="1"/>
  <c r="E38" i="10"/>
  <c r="H117" i="10"/>
  <c r="A106" i="8"/>
  <c r="C106" i="8" s="1"/>
  <c r="H74" i="9"/>
  <c r="A98" i="8"/>
  <c r="C98" i="8" s="1"/>
  <c r="A128" i="8"/>
  <c r="C128" i="8" s="1"/>
  <c r="H80" i="9"/>
  <c r="A99" i="8"/>
  <c r="C99" i="8" s="1"/>
  <c r="H67" i="9"/>
  <c r="A129" i="8"/>
  <c r="C129" i="8" s="1"/>
  <c r="A94" i="8"/>
  <c r="C94" i="8" s="1"/>
  <c r="H98" i="9"/>
  <c r="E110" i="9"/>
  <c r="F110" i="9" s="1"/>
  <c r="F110" i="10" s="1"/>
  <c r="G110" i="10" s="1"/>
  <c r="A130" i="8"/>
  <c r="C130" i="8" s="1"/>
  <c r="H52" i="10"/>
  <c r="E98" i="9"/>
  <c r="F98" i="9" s="1"/>
  <c r="F98" i="10" s="1"/>
  <c r="G98" i="10" s="1"/>
  <c r="F84" i="8"/>
  <c r="H84" i="8" s="1"/>
  <c r="A134" i="8"/>
  <c r="C134" i="8" s="1"/>
  <c r="H117" i="9"/>
  <c r="H110" i="9"/>
  <c r="E102" i="9"/>
  <c r="F102" i="9" s="1"/>
  <c r="F102" i="10" s="1"/>
  <c r="G102" i="10" s="1"/>
  <c r="N149" i="10"/>
  <c r="O149" i="10" s="1"/>
  <c r="A109" i="8"/>
  <c r="C109" i="8" s="1"/>
  <c r="H77" i="9"/>
  <c r="E77" i="9"/>
  <c r="F77" i="9" s="1"/>
  <c r="F77" i="10" s="1"/>
  <c r="G77" i="10" s="1"/>
  <c r="E59" i="9"/>
  <c r="F59" i="9" s="1"/>
  <c r="F59" i="10" s="1"/>
  <c r="G59" i="10" s="1"/>
  <c r="A138" i="8"/>
  <c r="C138" i="8" s="1"/>
  <c r="I98" i="9"/>
  <c r="I117" i="10"/>
  <c r="I102" i="9"/>
  <c r="M114" i="10"/>
  <c r="U117" i="10"/>
  <c r="U96" i="9"/>
  <c r="J110" i="9"/>
  <c r="J117" i="10"/>
  <c r="L98" i="10"/>
  <c r="U52" i="10"/>
  <c r="J66" i="9"/>
  <c r="J96" i="9"/>
  <c r="K117" i="10"/>
  <c r="M131" i="10"/>
  <c r="L66" i="10"/>
  <c r="U117" i="9"/>
  <c r="J117" i="9"/>
  <c r="I77" i="9"/>
  <c r="I117" i="9"/>
  <c r="K96" i="9"/>
  <c r="K102" i="9"/>
  <c r="U38" i="10"/>
  <c r="L110" i="10"/>
  <c r="U102" i="9"/>
  <c r="K77" i="9"/>
  <c r="J77" i="9"/>
  <c r="K66" i="9"/>
  <c r="L77" i="10"/>
  <c r="J98" i="9"/>
  <c r="L59" i="10"/>
  <c r="I110" i="9"/>
  <c r="I96" i="9"/>
  <c r="K98" i="9"/>
  <c r="U66" i="9"/>
  <c r="L102" i="10"/>
  <c r="K117" i="9"/>
  <c r="N114" i="10" l="1"/>
  <c r="N131" i="10"/>
  <c r="G89" i="8"/>
  <c r="H102" i="10"/>
  <c r="F60" i="8"/>
  <c r="H60" i="8" s="1"/>
  <c r="H109" i="10"/>
  <c r="H69" i="10"/>
  <c r="H61" i="10"/>
  <c r="H90" i="10"/>
  <c r="H54" i="10"/>
  <c r="H39" i="10"/>
  <c r="H99" i="10"/>
  <c r="E43" i="10"/>
  <c r="H77" i="10"/>
  <c r="H56" i="10"/>
  <c r="H83" i="10"/>
  <c r="H24" i="10"/>
  <c r="E51" i="10"/>
  <c r="H85" i="10"/>
  <c r="H128" i="10"/>
  <c r="E32" i="10"/>
  <c r="E108" i="10"/>
  <c r="E71" i="10"/>
  <c r="H116" i="10"/>
  <c r="H21" i="10"/>
  <c r="F112" i="8"/>
  <c r="H112" i="8" s="1"/>
  <c r="E18" i="10"/>
  <c r="E91" i="10"/>
  <c r="E75" i="10"/>
  <c r="H37" i="10"/>
  <c r="H58" i="10"/>
  <c r="E94" i="10"/>
  <c r="F66" i="8"/>
  <c r="H66" i="8" s="1"/>
  <c r="E125" i="10"/>
  <c r="H81" i="10"/>
  <c r="H130" i="10"/>
  <c r="H55" i="10"/>
  <c r="F127" i="8"/>
  <c r="H127" i="8" s="1"/>
  <c r="H96" i="10"/>
  <c r="H67" i="10"/>
  <c r="E122" i="10"/>
  <c r="E23" i="10"/>
  <c r="H106" i="10"/>
  <c r="F132" i="8"/>
  <c r="H132" i="8" s="1"/>
  <c r="H48" i="10"/>
  <c r="H86" i="10"/>
  <c r="E47" i="10"/>
  <c r="E17" i="10"/>
  <c r="H92" i="10"/>
  <c r="H29" i="10"/>
  <c r="E97" i="10"/>
  <c r="H22" i="10"/>
  <c r="E127" i="10"/>
  <c r="H123" i="10"/>
  <c r="F116" i="8"/>
  <c r="H116" i="8" s="1"/>
  <c r="F48" i="8"/>
  <c r="H48" i="8" s="1"/>
  <c r="M41" i="9"/>
  <c r="M110" i="9"/>
  <c r="M83" i="9"/>
  <c r="M131" i="9"/>
  <c r="M92" i="9"/>
  <c r="M29" i="9"/>
  <c r="M70" i="9"/>
  <c r="M97" i="9"/>
  <c r="M122" i="9"/>
  <c r="M98" i="9"/>
  <c r="M44" i="9"/>
  <c r="M77" i="9"/>
  <c r="M130" i="9"/>
  <c r="M52" i="9"/>
  <c r="M57" i="9"/>
  <c r="M19" i="9"/>
  <c r="M100" i="9"/>
  <c r="M69" i="9"/>
  <c r="M66" i="9"/>
  <c r="M109" i="9"/>
  <c r="M96" i="9"/>
  <c r="M125" i="9"/>
  <c r="M102" i="9"/>
  <c r="M107" i="9"/>
  <c r="A124" i="8"/>
  <c r="C124" i="8" s="1"/>
  <c r="E130" i="9"/>
  <c r="F130" i="9" s="1"/>
  <c r="F130" i="10" s="1"/>
  <c r="G130" i="10" s="1"/>
  <c r="E62" i="9"/>
  <c r="F62" i="9" s="1"/>
  <c r="F62" i="10" s="1"/>
  <c r="G62" i="10" s="1"/>
  <c r="H36" i="9"/>
  <c r="A112" i="8"/>
  <c r="C112" i="8" s="1"/>
  <c r="E92" i="9"/>
  <c r="F92" i="9" s="1"/>
  <c r="F92" i="10" s="1"/>
  <c r="G92" i="10" s="1"/>
  <c r="M67" i="9"/>
  <c r="M60" i="9"/>
  <c r="M78" i="9"/>
  <c r="M117" i="9"/>
  <c r="M47" i="9"/>
  <c r="M22" i="9"/>
  <c r="M114" i="9"/>
  <c r="M106" i="9"/>
  <c r="M105" i="9"/>
  <c r="M32" i="9"/>
  <c r="M91" i="9"/>
  <c r="F123" i="8"/>
  <c r="H123" i="8" s="1"/>
  <c r="H59" i="9"/>
  <c r="A87" i="8"/>
  <c r="C87" i="8" s="1"/>
  <c r="E55" i="9"/>
  <c r="F55" i="9" s="1"/>
  <c r="F55" i="10" s="1"/>
  <c r="G55" i="10" s="1"/>
  <c r="H55" i="9"/>
  <c r="A82" i="8"/>
  <c r="C82" i="8" s="1"/>
  <c r="A117" i="8"/>
  <c r="C117" i="8" s="1"/>
  <c r="E56" i="9"/>
  <c r="F56" i="9" s="1"/>
  <c r="F56" i="10" s="1"/>
  <c r="G56" i="10" s="1"/>
  <c r="E85" i="9"/>
  <c r="F85" i="9" s="1"/>
  <c r="F85" i="10" s="1"/>
  <c r="G85" i="10" s="1"/>
  <c r="A88" i="8"/>
  <c r="C88" i="8" s="1"/>
  <c r="F80" i="8"/>
  <c r="H80" i="8" s="1"/>
  <c r="F124" i="8"/>
  <c r="H124" i="8" s="1"/>
  <c r="F79" i="8"/>
  <c r="H79" i="8" s="1"/>
  <c r="E92" i="10"/>
  <c r="H127" i="10"/>
  <c r="G129" i="8"/>
  <c r="E34" i="10"/>
  <c r="F138" i="8"/>
  <c r="H138" i="8" s="1"/>
  <c r="M16" i="9"/>
  <c r="H97" i="10"/>
  <c r="F51" i="8"/>
  <c r="H51" i="8" s="1"/>
  <c r="A56" i="8"/>
  <c r="C56" i="8" s="1"/>
  <c r="F129" i="8"/>
  <c r="H129" i="8" s="1"/>
  <c r="G138" i="8"/>
  <c r="F128" i="8"/>
  <c r="H128" i="8" s="1"/>
  <c r="F53" i="8"/>
  <c r="H53" i="8" s="1"/>
  <c r="E96" i="10"/>
  <c r="F99" i="8"/>
  <c r="H99" i="8" s="1"/>
  <c r="F137" i="8"/>
  <c r="H137" i="8" s="1"/>
  <c r="H17" i="10"/>
  <c r="G54" i="8"/>
  <c r="G105" i="8"/>
  <c r="H75" i="9"/>
  <c r="E128" i="9"/>
  <c r="F128" i="9" s="1"/>
  <c r="F128" i="10" s="1"/>
  <c r="G128" i="10" s="1"/>
  <c r="H34" i="9"/>
  <c r="H86" i="9"/>
  <c r="H61" i="9"/>
  <c r="E101" i="9"/>
  <c r="F101" i="9" s="1"/>
  <c r="F101" i="10" s="1"/>
  <c r="G101" i="10" s="1"/>
  <c r="G133" i="8" s="1"/>
  <c r="E35" i="9"/>
  <c r="F35" i="9" s="1"/>
  <c r="F35" i="10" s="1"/>
  <c r="G35" i="10" s="1"/>
  <c r="G67" i="8" s="1"/>
  <c r="E99" i="9"/>
  <c r="F99" i="9" s="1"/>
  <c r="F99" i="10" s="1"/>
  <c r="G99" i="10" s="1"/>
  <c r="H95" i="9"/>
  <c r="E23" i="9"/>
  <c r="F23" i="9" s="1"/>
  <c r="F23" i="10" s="1"/>
  <c r="G23" i="10" s="1"/>
  <c r="E27" i="9"/>
  <c r="F27" i="9" s="1"/>
  <c r="F27" i="10" s="1"/>
  <c r="G27" i="10" s="1"/>
  <c r="H113" i="9"/>
  <c r="E28" i="9"/>
  <c r="F28" i="9" s="1"/>
  <c r="F28" i="10" s="1"/>
  <c r="G28" i="10" s="1"/>
  <c r="E49" i="9"/>
  <c r="F49" i="9" s="1"/>
  <c r="F49" i="10" s="1"/>
  <c r="G49" i="10" s="1"/>
  <c r="G81" i="8" s="1"/>
  <c r="H48" i="9"/>
  <c r="E37" i="9"/>
  <c r="F37" i="9" s="1"/>
  <c r="F37" i="10" s="1"/>
  <c r="G37" i="10" s="1"/>
  <c r="H38" i="9"/>
  <c r="E65" i="9"/>
  <c r="F65" i="9" s="1"/>
  <c r="F65" i="10" s="1"/>
  <c r="G65" i="10" s="1"/>
  <c r="H63" i="9"/>
  <c r="H30" i="9"/>
  <c r="E68" i="9"/>
  <c r="F68" i="9" s="1"/>
  <c r="F68" i="10" s="1"/>
  <c r="G68" i="10" s="1"/>
  <c r="G100" i="8" s="1"/>
  <c r="H127" i="9"/>
  <c r="E94" i="9"/>
  <c r="F94" i="9" s="1"/>
  <c r="F94" i="10" s="1"/>
  <c r="G94" i="10" s="1"/>
  <c r="H72" i="9"/>
  <c r="H71" i="9"/>
  <c r="H20" i="9"/>
  <c r="E81" i="9"/>
  <c r="F81" i="9" s="1"/>
  <c r="F81" i="10" s="1"/>
  <c r="G81" i="10" s="1"/>
  <c r="G113" i="8" s="1"/>
  <c r="H39" i="9"/>
  <c r="E124" i="9"/>
  <c r="F124" i="9" s="1"/>
  <c r="F124" i="10" s="1"/>
  <c r="G124" i="10" s="1"/>
  <c r="H17" i="9"/>
  <c r="H116" i="9"/>
  <c r="A140" i="8"/>
  <c r="C140" i="8" s="1"/>
  <c r="E31" i="9"/>
  <c r="F31" i="9" s="1"/>
  <c r="F31" i="10" s="1"/>
  <c r="G31" i="10" s="1"/>
  <c r="E79" i="9"/>
  <c r="F79" i="9" s="1"/>
  <c r="F79" i="10" s="1"/>
  <c r="G79" i="10" s="1"/>
  <c r="A116" i="8"/>
  <c r="C116" i="8" s="1"/>
  <c r="A120" i="8"/>
  <c r="C120" i="8" s="1"/>
  <c r="E104" i="9"/>
  <c r="F104" i="9" s="1"/>
  <c r="F104" i="10" s="1"/>
  <c r="G104" i="10" s="1"/>
  <c r="H85" i="9"/>
  <c r="A50" i="8"/>
  <c r="C50" i="8" s="1"/>
  <c r="H51" i="9"/>
  <c r="E64" i="9"/>
  <c r="F64" i="9" s="1"/>
  <c r="F64" i="10" s="1"/>
  <c r="G64" i="10" s="1"/>
  <c r="E24" i="9"/>
  <c r="F24" i="9" s="1"/>
  <c r="F24" i="10" s="1"/>
  <c r="G24" i="10" s="1"/>
  <c r="E67" i="10"/>
  <c r="F54" i="8"/>
  <c r="H54" i="8" s="1"/>
  <c r="F49" i="8"/>
  <c r="H49" i="8" s="1"/>
  <c r="F118" i="8"/>
  <c r="H118" i="8" s="1"/>
  <c r="F69" i="8"/>
  <c r="H69" i="8" s="1"/>
  <c r="F55" i="8"/>
  <c r="H55" i="8" s="1"/>
  <c r="H76" i="9"/>
  <c r="A108" i="8"/>
  <c r="C108" i="8" s="1"/>
  <c r="F87" i="8"/>
  <c r="H87" i="8" s="1"/>
  <c r="G99" i="8"/>
  <c r="E106" i="10"/>
  <c r="F61" i="8"/>
  <c r="H61" i="8" s="1"/>
  <c r="A83" i="8"/>
  <c r="C83" i="8" s="1"/>
  <c r="E46" i="10"/>
  <c r="F78" i="8"/>
  <c r="H78" i="8" s="1"/>
  <c r="E29" i="10"/>
  <c r="A96" i="8"/>
  <c r="C96" i="8" s="1"/>
  <c r="A111" i="8"/>
  <c r="C111" i="8" s="1"/>
  <c r="H34" i="10"/>
  <c r="F113" i="8"/>
  <c r="H113" i="8" s="1"/>
  <c r="E22" i="10"/>
  <c r="H46" i="10"/>
  <c r="E21" i="10"/>
  <c r="H94" i="10"/>
  <c r="H95" i="10"/>
  <c r="E86" i="10"/>
  <c r="H24" i="9"/>
  <c r="E51" i="9"/>
  <c r="F51" i="9" s="1"/>
  <c r="F51" i="10" s="1"/>
  <c r="G51" i="10" s="1"/>
  <c r="G83" i="8" s="1"/>
  <c r="H88" i="9"/>
  <c r="E72" i="9"/>
  <c r="F72" i="9" s="1"/>
  <c r="F72" i="10" s="1"/>
  <c r="G72" i="10" s="1"/>
  <c r="H64" i="9"/>
  <c r="H84" i="9"/>
  <c r="E84" i="9"/>
  <c r="F84" i="9" s="1"/>
  <c r="F84" i="10" s="1"/>
  <c r="G84" i="10" s="1"/>
  <c r="E100" i="10"/>
  <c r="H100" i="10"/>
  <c r="H122" i="10"/>
  <c r="E48" i="10"/>
  <c r="E130" i="10"/>
  <c r="H47" i="10"/>
  <c r="E16" i="10"/>
  <c r="G16" i="10" s="1"/>
  <c r="H23" i="10"/>
  <c r="E55" i="10"/>
  <c r="H125" i="10"/>
  <c r="H18" i="9"/>
  <c r="H19" i="10"/>
  <c r="E19" i="10"/>
  <c r="E70" i="10"/>
  <c r="E105" i="10"/>
  <c r="E81" i="10"/>
  <c r="E61" i="10"/>
  <c r="E95" i="10"/>
  <c r="E25" i="9"/>
  <c r="F25" i="9" s="1"/>
  <c r="F25" i="10" s="1"/>
  <c r="G25" i="10" s="1"/>
  <c r="G57" i="8" s="1"/>
  <c r="H50" i="9"/>
  <c r="E18" i="9"/>
  <c r="F18" i="9" s="1"/>
  <c r="G18" i="9" s="1"/>
  <c r="H104" i="9"/>
  <c r="E88" i="9"/>
  <c r="F88" i="9" s="1"/>
  <c r="F88" i="10" s="1"/>
  <c r="G88" i="10" s="1"/>
  <c r="H105" i="10"/>
  <c r="F126" i="8"/>
  <c r="H126" i="8" s="1"/>
  <c r="H70" i="10"/>
  <c r="H16" i="10"/>
  <c r="H91" i="10"/>
  <c r="H51" i="10"/>
  <c r="E37" i="10"/>
  <c r="E111" i="9"/>
  <c r="F111" i="9" s="1"/>
  <c r="F111" i="10" s="1"/>
  <c r="G111" i="10" s="1"/>
  <c r="H111" i="9"/>
  <c r="E50" i="9"/>
  <c r="F50" i="9" s="1"/>
  <c r="F50" i="10" s="1"/>
  <c r="G50" i="10" s="1"/>
  <c r="A136" i="8"/>
  <c r="C136" i="8" s="1"/>
  <c r="H71" i="10"/>
  <c r="F107" i="8"/>
  <c r="H107" i="8" s="1"/>
  <c r="H65" i="9"/>
  <c r="E20" i="9"/>
  <c r="F20" i="9" s="1"/>
  <c r="G20" i="9" s="1"/>
  <c r="E95" i="9"/>
  <c r="F95" i="9" s="1"/>
  <c r="F95" i="10" s="1"/>
  <c r="G95" i="10" s="1"/>
  <c r="E108" i="9"/>
  <c r="F108" i="9" s="1"/>
  <c r="F108" i="10" s="1"/>
  <c r="G108" i="10" s="1"/>
  <c r="H75" i="10"/>
  <c r="H108" i="9"/>
  <c r="E85" i="10"/>
  <c r="H43" i="10"/>
  <c r="E58" i="10"/>
  <c r="H129" i="9"/>
  <c r="E129" i="9"/>
  <c r="F129" i="9" s="1"/>
  <c r="F129" i="10" s="1"/>
  <c r="G129" i="10" s="1"/>
  <c r="H79" i="9"/>
  <c r="H18" i="10"/>
  <c r="F90" i="8"/>
  <c r="H90" i="8" s="1"/>
  <c r="A63" i="8"/>
  <c r="C63" i="8" s="1"/>
  <c r="E48" i="9"/>
  <c r="F48" i="9" s="1"/>
  <c r="F48" i="10" s="1"/>
  <c r="G48" i="10" s="1"/>
  <c r="H37" i="9"/>
  <c r="E54" i="9"/>
  <c r="F54" i="9" s="1"/>
  <c r="F54" i="10" s="1"/>
  <c r="G54" i="10" s="1"/>
  <c r="G22" i="9"/>
  <c r="A86" i="8"/>
  <c r="C86" i="8" s="1"/>
  <c r="H54" i="9"/>
  <c r="H80" i="10"/>
  <c r="E80" i="10"/>
  <c r="E53" i="9"/>
  <c r="F53" i="9" s="1"/>
  <c r="F53" i="10" s="1"/>
  <c r="G53" i="10" s="1"/>
  <c r="H53" i="9"/>
  <c r="A85" i="8"/>
  <c r="C85" i="8" s="1"/>
  <c r="E116" i="10"/>
  <c r="H31" i="9"/>
  <c r="F50" i="8"/>
  <c r="H50" i="8" s="1"/>
  <c r="E76" i="9"/>
  <c r="F76" i="9" s="1"/>
  <c r="F76" i="10" s="1"/>
  <c r="G76" i="10" s="1"/>
  <c r="G131" i="8"/>
  <c r="A135" i="8"/>
  <c r="C135" i="8" s="1"/>
  <c r="E126" i="9"/>
  <c r="F126" i="9" s="1"/>
  <c r="F126" i="10" s="1"/>
  <c r="G126" i="10" s="1"/>
  <c r="E120" i="9"/>
  <c r="F120" i="9" s="1"/>
  <c r="F120" i="10" s="1"/>
  <c r="G120" i="10" s="1"/>
  <c r="H120" i="9"/>
  <c r="E72" i="10"/>
  <c r="F104" i="8"/>
  <c r="H104" i="8" s="1"/>
  <c r="H72" i="10"/>
  <c r="G111" i="8"/>
  <c r="A59" i="8"/>
  <c r="C59" i="8" s="1"/>
  <c r="E27" i="10"/>
  <c r="F59" i="8"/>
  <c r="H59" i="8" s="1"/>
  <c r="H27" i="10"/>
  <c r="E83" i="10"/>
  <c r="F115" i="8"/>
  <c r="H115" i="8" s="1"/>
  <c r="G115" i="8"/>
  <c r="G106" i="8"/>
  <c r="H23" i="9"/>
  <c r="A55" i="8"/>
  <c r="C55" i="8" s="1"/>
  <c r="F62" i="8"/>
  <c r="H62" i="8" s="1"/>
  <c r="H30" i="10"/>
  <c r="E30" i="10"/>
  <c r="E56" i="10"/>
  <c r="F88" i="8"/>
  <c r="H88" i="8" s="1"/>
  <c r="A48" i="8"/>
  <c r="C48" i="8" s="1"/>
  <c r="H16" i="9"/>
  <c r="E16" i="9"/>
  <c r="G16" i="9" s="1"/>
  <c r="G109" i="8"/>
  <c r="G117" i="8"/>
  <c r="H93" i="9"/>
  <c r="A125" i="8"/>
  <c r="C125" i="8" s="1"/>
  <c r="E93" i="9"/>
  <c r="F93" i="9" s="1"/>
  <c r="F93" i="10" s="1"/>
  <c r="G93" i="10" s="1"/>
  <c r="F140" i="8"/>
  <c r="H140" i="8" s="1"/>
  <c r="G139" i="8"/>
  <c r="G60" i="8"/>
  <c r="G101" i="8"/>
  <c r="G91" i="8"/>
  <c r="A74" i="8"/>
  <c r="C74" i="8" s="1"/>
  <c r="E42" i="9"/>
  <c r="F42" i="9" s="1"/>
  <c r="F42" i="10" s="1"/>
  <c r="G42" i="10" s="1"/>
  <c r="H42" i="9"/>
  <c r="F121" i="8"/>
  <c r="H121" i="8" s="1"/>
  <c r="E89" i="10"/>
  <c r="H89" i="10"/>
  <c r="E86" i="9"/>
  <c r="F86" i="9" s="1"/>
  <c r="F86" i="10" s="1"/>
  <c r="G86" i="10" s="1"/>
  <c r="A118" i="8"/>
  <c r="C118" i="8" s="1"/>
  <c r="H101" i="9"/>
  <c r="A133" i="8"/>
  <c r="C133" i="8" s="1"/>
  <c r="E113" i="10"/>
  <c r="H113" i="10"/>
  <c r="F72" i="8"/>
  <c r="H72" i="8" s="1"/>
  <c r="E40" i="10"/>
  <c r="H40" i="10"/>
  <c r="F130" i="8"/>
  <c r="H130" i="8" s="1"/>
  <c r="E98" i="10"/>
  <c r="H98" i="10"/>
  <c r="E78" i="10"/>
  <c r="F110" i="8"/>
  <c r="H110" i="8" s="1"/>
  <c r="H78" i="10"/>
  <c r="H94" i="9"/>
  <c r="A126" i="8"/>
  <c r="C126" i="8" s="1"/>
  <c r="A90" i="8"/>
  <c r="C90" i="8" s="1"/>
  <c r="E58" i="9"/>
  <c r="F58" i="9" s="1"/>
  <c r="F58" i="10" s="1"/>
  <c r="G58" i="10" s="1"/>
  <c r="H58" i="9"/>
  <c r="E128" i="10"/>
  <c r="H115" i="9"/>
  <c r="E115" i="9"/>
  <c r="F115" i="9" s="1"/>
  <c r="F115" i="10" s="1"/>
  <c r="G115" i="10" s="1"/>
  <c r="H103" i="9"/>
  <c r="G73" i="8"/>
  <c r="H99" i="9"/>
  <c r="A131" i="8"/>
  <c r="C131" i="8" s="1"/>
  <c r="E101" i="10"/>
  <c r="F133" i="8"/>
  <c r="H133" i="8" s="1"/>
  <c r="H40" i="9"/>
  <c r="A72" i="8"/>
  <c r="C72" i="8" s="1"/>
  <c r="G136" i="8"/>
  <c r="G55" i="8"/>
  <c r="G88" i="8"/>
  <c r="C112" i="10"/>
  <c r="A114" i="8"/>
  <c r="C114" i="8" s="1"/>
  <c r="G121" i="8"/>
  <c r="G141" i="8"/>
  <c r="F98" i="8"/>
  <c r="H98" i="8" s="1"/>
  <c r="E66" i="10"/>
  <c r="H66" i="10"/>
  <c r="G86" i="8"/>
  <c r="F64" i="8"/>
  <c r="H64" i="8" s="1"/>
  <c r="H123" i="9"/>
  <c r="G63" i="8"/>
  <c r="G94" i="8"/>
  <c r="G98" i="8"/>
  <c r="A67" i="8"/>
  <c r="C67" i="8" s="1"/>
  <c r="G102" i="8"/>
  <c r="G132" i="8"/>
  <c r="G120" i="8"/>
  <c r="E20" i="10"/>
  <c r="F52" i="8"/>
  <c r="H52" i="8" s="1"/>
  <c r="H121" i="10"/>
  <c r="E121" i="10"/>
  <c r="H26" i="9"/>
  <c r="A58" i="8"/>
  <c r="C58" i="8" s="1"/>
  <c r="E60" i="10"/>
  <c r="F92" i="8"/>
  <c r="H92" i="8" s="1"/>
  <c r="E90" i="10"/>
  <c r="F122" i="8"/>
  <c r="H122" i="8" s="1"/>
  <c r="E61" i="9"/>
  <c r="F61" i="9" s="1"/>
  <c r="F61" i="10" s="1"/>
  <c r="G61" i="10" s="1"/>
  <c r="A93" i="8"/>
  <c r="C93" i="8" s="1"/>
  <c r="H90" i="9"/>
  <c r="A122" i="8"/>
  <c r="C122" i="8" s="1"/>
  <c r="E90" i="9"/>
  <c r="F90" i="9" s="1"/>
  <c r="F90" i="10" s="1"/>
  <c r="G90" i="10" s="1"/>
  <c r="E39" i="10"/>
  <c r="F71" i="8"/>
  <c r="H71" i="8" s="1"/>
  <c r="E99" i="10"/>
  <c r="F131" i="8"/>
  <c r="H131" i="8" s="1"/>
  <c r="G61" i="8"/>
  <c r="E30" i="9"/>
  <c r="F30" i="9" s="1"/>
  <c r="F30" i="10" s="1"/>
  <c r="G30" i="10" s="1"/>
  <c r="A62" i="8"/>
  <c r="C62" i="8" s="1"/>
  <c r="F75" i="8"/>
  <c r="H75" i="8" s="1"/>
  <c r="E119" i="10"/>
  <c r="H119" i="10"/>
  <c r="A52" i="8"/>
  <c r="C52" i="8" s="1"/>
  <c r="F117" i="8"/>
  <c r="H117" i="8" s="1"/>
  <c r="E116" i="9"/>
  <c r="F116" i="9" s="1"/>
  <c r="F116" i="10" s="1"/>
  <c r="G116" i="10" s="1"/>
  <c r="H27" i="9"/>
  <c r="E33" i="9"/>
  <c r="F33" i="9" s="1"/>
  <c r="F33" i="10" s="1"/>
  <c r="G33" i="10" s="1"/>
  <c r="E103" i="9"/>
  <c r="F103" i="9" s="1"/>
  <c r="F103" i="10" s="1"/>
  <c r="G103" i="10" s="1"/>
  <c r="H126" i="9"/>
  <c r="G21" i="9"/>
  <c r="F21" i="10"/>
  <c r="G21" i="10" s="1"/>
  <c r="A75" i="8"/>
  <c r="C75" i="8" s="1"/>
  <c r="E43" i="9"/>
  <c r="F43" i="9" s="1"/>
  <c r="F43" i="10" s="1"/>
  <c r="G43" i="10" s="1"/>
  <c r="H43" i="9"/>
  <c r="H46" i="9"/>
  <c r="A78" i="8"/>
  <c r="C78" i="8" s="1"/>
  <c r="A81" i="8"/>
  <c r="C81" i="8" s="1"/>
  <c r="E93" i="10"/>
  <c r="F125" i="8"/>
  <c r="H125" i="8" s="1"/>
  <c r="H93" i="10"/>
  <c r="G97" i="8"/>
  <c r="G59" i="8"/>
  <c r="H33" i="9"/>
  <c r="A65" i="8"/>
  <c r="C65" i="8" s="1"/>
  <c r="H121" i="9"/>
  <c r="G127" i="8"/>
  <c r="F81" i="8"/>
  <c r="H81" i="8" s="1"/>
  <c r="E49" i="10"/>
  <c r="H49" i="10"/>
  <c r="E107" i="10"/>
  <c r="F139" i="8"/>
  <c r="H139" i="8" s="1"/>
  <c r="H107" i="10"/>
  <c r="G137" i="8"/>
  <c r="G110" i="8"/>
  <c r="H87" i="9"/>
  <c r="A119" i="8"/>
  <c r="C119" i="8" s="1"/>
  <c r="H68" i="9"/>
  <c r="A100" i="8"/>
  <c r="C100" i="8" s="1"/>
  <c r="A49" i="8"/>
  <c r="C49" i="8" s="1"/>
  <c r="G126" i="8"/>
  <c r="G123" i="8"/>
  <c r="G104" i="8"/>
  <c r="G56" i="8"/>
  <c r="G134" i="8"/>
  <c r="E110" i="10"/>
  <c r="H110" i="10"/>
  <c r="H128" i="9"/>
  <c r="H25" i="9"/>
  <c r="A57" i="8"/>
  <c r="C57" i="8" s="1"/>
  <c r="F93" i="8"/>
  <c r="H93" i="8" s="1"/>
  <c r="H28" i="9"/>
  <c r="A60" i="8"/>
  <c r="C60" i="8" s="1"/>
  <c r="E65" i="10"/>
  <c r="F97" i="8"/>
  <c r="H97" i="8" s="1"/>
  <c r="H65" i="10"/>
  <c r="E38" i="9"/>
  <c r="F38" i="9" s="1"/>
  <c r="F38" i="10" s="1"/>
  <c r="G38" i="10" s="1"/>
  <c r="A70" i="8"/>
  <c r="C70" i="8" s="1"/>
  <c r="E63" i="9"/>
  <c r="F63" i="9" s="1"/>
  <c r="F63" i="10" s="1"/>
  <c r="G63" i="10" s="1"/>
  <c r="A95" i="8"/>
  <c r="C95" i="8" s="1"/>
  <c r="E44" i="10"/>
  <c r="F76" i="8"/>
  <c r="H76" i="8" s="1"/>
  <c r="H44" i="10"/>
  <c r="E118" i="10"/>
  <c r="H118" i="10"/>
  <c r="E71" i="9"/>
  <c r="F71" i="9" s="1"/>
  <c r="F71" i="10" s="1"/>
  <c r="G71" i="10" s="1"/>
  <c r="A103" i="8"/>
  <c r="C103" i="8" s="1"/>
  <c r="E41" i="10"/>
  <c r="F73" i="8"/>
  <c r="H73" i="8" s="1"/>
  <c r="H41" i="10"/>
  <c r="F83" i="8"/>
  <c r="H83" i="8" s="1"/>
  <c r="E46" i="9"/>
  <c r="F46" i="9" s="1"/>
  <c r="F46" i="10" s="1"/>
  <c r="G46" i="10" s="1"/>
  <c r="E82" i="9"/>
  <c r="F82" i="9" s="1"/>
  <c r="F82" i="10" s="1"/>
  <c r="G82" i="10" s="1"/>
  <c r="H118" i="9"/>
  <c r="E123" i="9"/>
  <c r="F123" i="9" s="1"/>
  <c r="F123" i="10" s="1"/>
  <c r="G123" i="10" s="1"/>
  <c r="G69" i="8"/>
  <c r="E73" i="10"/>
  <c r="F105" i="8"/>
  <c r="H105" i="8" s="1"/>
  <c r="H73" i="10"/>
  <c r="G84" i="8"/>
  <c r="G79" i="8"/>
  <c r="G96" i="8"/>
  <c r="F20" i="10"/>
  <c r="G20" i="10" s="1"/>
  <c r="E75" i="9"/>
  <c r="F75" i="9" s="1"/>
  <c r="F75" i="10" s="1"/>
  <c r="G75" i="10" s="1"/>
  <c r="A107" i="8"/>
  <c r="C107" i="8" s="1"/>
  <c r="G112" i="8"/>
  <c r="F89" i="8"/>
  <c r="H89" i="8" s="1"/>
  <c r="E57" i="10"/>
  <c r="H57" i="10"/>
  <c r="E34" i="9"/>
  <c r="F34" i="9" s="1"/>
  <c r="F34" i="10" s="1"/>
  <c r="G34" i="10" s="1"/>
  <c r="A66" i="8"/>
  <c r="C66" i="8" s="1"/>
  <c r="C53" i="10"/>
  <c r="H81" i="9"/>
  <c r="A113" i="8"/>
  <c r="C113" i="8" s="1"/>
  <c r="E109" i="10"/>
  <c r="F141" i="8"/>
  <c r="H141" i="8" s="1"/>
  <c r="G92" i="8"/>
  <c r="E54" i="10"/>
  <c r="F86" i="8"/>
  <c r="H86" i="8" s="1"/>
  <c r="G64" i="8"/>
  <c r="E77" i="10"/>
  <c r="F109" i="8"/>
  <c r="H109" i="8" s="1"/>
  <c r="H124" i="9"/>
  <c r="G19" i="9"/>
  <c r="F19" i="10"/>
  <c r="G19" i="10" s="1"/>
  <c r="G68" i="8"/>
  <c r="G128" i="8"/>
  <c r="E104" i="10"/>
  <c r="F136" i="8"/>
  <c r="H136" i="8" s="1"/>
  <c r="H104" i="10"/>
  <c r="E69" i="10"/>
  <c r="F101" i="8"/>
  <c r="H101" i="8" s="1"/>
  <c r="E45" i="9"/>
  <c r="F45" i="9" s="1"/>
  <c r="F45" i="10" s="1"/>
  <c r="G45" i="10" s="1"/>
  <c r="A77" i="8"/>
  <c r="C77" i="8" s="1"/>
  <c r="H45" i="9"/>
  <c r="G130" i="8"/>
  <c r="A127" i="8"/>
  <c r="C127" i="8" s="1"/>
  <c r="E113" i="9"/>
  <c r="F113" i="9" s="1"/>
  <c r="F113" i="10" s="1"/>
  <c r="G113" i="10" s="1"/>
  <c r="H119" i="9"/>
  <c r="E119" i="9"/>
  <c r="F119" i="9" s="1"/>
  <c r="F119" i="10" s="1"/>
  <c r="G119" i="10" s="1"/>
  <c r="F106" i="8"/>
  <c r="H106" i="8" s="1"/>
  <c r="E74" i="10"/>
  <c r="H74" i="10"/>
  <c r="A80" i="8"/>
  <c r="C80" i="8" s="1"/>
  <c r="F96" i="8"/>
  <c r="H96" i="8" s="1"/>
  <c r="E64" i="10"/>
  <c r="H64" i="10"/>
  <c r="A69" i="8"/>
  <c r="C69" i="8" s="1"/>
  <c r="G76" i="8"/>
  <c r="A97" i="8"/>
  <c r="C97" i="8" s="1"/>
  <c r="G48" i="8"/>
  <c r="A104" i="8"/>
  <c r="C104" i="8" s="1"/>
  <c r="E24" i="10"/>
  <c r="F56" i="8"/>
  <c r="H56" i="8" s="1"/>
  <c r="E36" i="10"/>
  <c r="F68" i="8"/>
  <c r="H68" i="8" s="1"/>
  <c r="H36" i="10"/>
  <c r="E39" i="9"/>
  <c r="F39" i="9" s="1"/>
  <c r="F39" i="10" s="1"/>
  <c r="G39" i="10" s="1"/>
  <c r="A71" i="8"/>
  <c r="C71" i="8" s="1"/>
  <c r="F103" i="8"/>
  <c r="H103" i="8" s="1"/>
  <c r="E127" i="9"/>
  <c r="F127" i="9" s="1"/>
  <c r="F127" i="10" s="1"/>
  <c r="G127" i="10" s="1"/>
  <c r="E40" i="9"/>
  <c r="F40" i="9" s="1"/>
  <c r="F40" i="10" s="1"/>
  <c r="G40" i="10" s="1"/>
  <c r="H49" i="9"/>
  <c r="E118" i="9"/>
  <c r="F118" i="9" s="1"/>
  <c r="F118" i="10" s="1"/>
  <c r="G118" i="10" s="1"/>
  <c r="H82" i="9"/>
  <c r="H32" i="10"/>
  <c r="H35" i="9"/>
  <c r="E121" i="9"/>
  <c r="F121" i="9" s="1"/>
  <c r="F121" i="10" s="1"/>
  <c r="G121" i="10" s="1"/>
  <c r="E17" i="9"/>
  <c r="F17" i="9" s="1"/>
  <c r="E26" i="9"/>
  <c r="F26" i="9" s="1"/>
  <c r="F26" i="10" s="1"/>
  <c r="G26" i="10" s="1"/>
  <c r="E87" i="9"/>
  <c r="F87" i="9" s="1"/>
  <c r="F87" i="10" s="1"/>
  <c r="G87" i="10" s="1"/>
  <c r="H60" i="10"/>
  <c r="H20" i="10"/>
  <c r="H101" i="10"/>
  <c r="H108" i="10"/>
  <c r="G23" i="9"/>
  <c r="P131" i="10"/>
  <c r="J101" i="10"/>
  <c r="K120" i="9"/>
  <c r="K122" i="10"/>
  <c r="K29" i="10"/>
  <c r="J121" i="9"/>
  <c r="I21" i="9"/>
  <c r="J77" i="10"/>
  <c r="I63" i="9"/>
  <c r="K40" i="10"/>
  <c r="I56" i="10"/>
  <c r="J104" i="9"/>
  <c r="K121" i="10"/>
  <c r="J91" i="10"/>
  <c r="J76" i="9"/>
  <c r="K97" i="10"/>
  <c r="K102" i="10"/>
  <c r="K93" i="9"/>
  <c r="K65" i="10"/>
  <c r="U80" i="10"/>
  <c r="I58" i="9"/>
  <c r="K48" i="10"/>
  <c r="U69" i="10"/>
  <c r="I99" i="9"/>
  <c r="I122" i="10"/>
  <c r="K91" i="10"/>
  <c r="J115" i="9"/>
  <c r="I93" i="9"/>
  <c r="L116" i="10"/>
  <c r="J51" i="10"/>
  <c r="U61" i="10"/>
  <c r="J33" i="9"/>
  <c r="J57" i="10"/>
  <c r="K99" i="9"/>
  <c r="I110" i="10"/>
  <c r="L104" i="10"/>
  <c r="I115" i="9"/>
  <c r="K71" i="9"/>
  <c r="I29" i="10"/>
  <c r="K43" i="9"/>
  <c r="I82" i="9"/>
  <c r="K57" i="10"/>
  <c r="I119" i="10"/>
  <c r="I49" i="10"/>
  <c r="K70" i="9"/>
  <c r="J46" i="10"/>
  <c r="L87" i="10"/>
  <c r="J74" i="9"/>
  <c r="I56" i="9"/>
  <c r="I20" i="10"/>
  <c r="L71" i="10"/>
  <c r="K42" i="9"/>
  <c r="I104" i="9"/>
  <c r="K80" i="10"/>
  <c r="K90" i="9"/>
  <c r="I70" i="10"/>
  <c r="J109" i="10"/>
  <c r="U123" i="10"/>
  <c r="K20" i="9"/>
  <c r="I39" i="10"/>
  <c r="J83" i="10"/>
  <c r="K107" i="10"/>
  <c r="I101" i="9"/>
  <c r="K83" i="10"/>
  <c r="J107" i="10"/>
  <c r="K82" i="9"/>
  <c r="I66" i="10"/>
  <c r="I69" i="10"/>
  <c r="J73" i="9"/>
  <c r="K62" i="9"/>
  <c r="K36" i="10"/>
  <c r="J118" i="9"/>
  <c r="U48" i="10"/>
  <c r="I67" i="10"/>
  <c r="J119" i="9"/>
  <c r="I111" i="10"/>
  <c r="I44" i="10"/>
  <c r="J113" i="9"/>
  <c r="U90" i="10"/>
  <c r="J97" i="10"/>
  <c r="J105" i="10"/>
  <c r="J18" i="10"/>
  <c r="K40" i="9"/>
  <c r="L123" i="10"/>
  <c r="L24" i="10"/>
  <c r="K79" i="9"/>
  <c r="L26" i="10"/>
  <c r="I99" i="10"/>
  <c r="I124" i="10"/>
  <c r="I109" i="10"/>
  <c r="I23" i="9"/>
  <c r="I30" i="10"/>
  <c r="K101" i="9"/>
  <c r="U32" i="10"/>
  <c r="I121" i="9"/>
  <c r="I96" i="10"/>
  <c r="J40" i="10"/>
  <c r="K23" i="9"/>
  <c r="I124" i="9"/>
  <c r="J54" i="10"/>
  <c r="K64" i="10"/>
  <c r="I42" i="9"/>
  <c r="K74" i="9"/>
  <c r="P114" i="10"/>
  <c r="I36" i="9"/>
  <c r="K44" i="10"/>
  <c r="J39" i="9"/>
  <c r="J92" i="10"/>
  <c r="K56" i="10"/>
  <c r="K21" i="10"/>
  <c r="J18" i="9"/>
  <c r="I21" i="10"/>
  <c r="K60" i="10"/>
  <c r="K36" i="9"/>
  <c r="I25" i="9"/>
  <c r="U94" i="10"/>
  <c r="K123" i="9"/>
  <c r="J73" i="10"/>
  <c r="U95" i="10"/>
  <c r="L68" i="10"/>
  <c r="K106" i="10"/>
  <c r="K27" i="10"/>
  <c r="K34" i="10"/>
  <c r="I104" i="10"/>
  <c r="K128" i="10"/>
  <c r="J108" i="10"/>
  <c r="J108" i="9"/>
  <c r="L120" i="10"/>
  <c r="J116" i="10"/>
  <c r="J96" i="10"/>
  <c r="I61" i="10"/>
  <c r="U91" i="10"/>
  <c r="J78" i="10"/>
  <c r="J86" i="9"/>
  <c r="K110" i="10"/>
  <c r="J90" i="9"/>
  <c r="K52" i="10"/>
  <c r="I106" i="10"/>
  <c r="K108" i="9"/>
  <c r="I40" i="9"/>
  <c r="J90" i="10"/>
  <c r="J43" i="9"/>
  <c r="K17" i="9"/>
  <c r="U122" i="10"/>
  <c r="L130" i="10"/>
  <c r="J87" i="9"/>
  <c r="U39" i="10"/>
  <c r="U125" i="10"/>
  <c r="J93" i="9"/>
  <c r="K64" i="9"/>
  <c r="J86" i="10"/>
  <c r="I55" i="9"/>
  <c r="K51" i="9"/>
  <c r="U85" i="10"/>
  <c r="U81" i="10"/>
  <c r="K127" i="9"/>
  <c r="I108" i="10"/>
  <c r="K125" i="10"/>
  <c r="K37" i="9"/>
  <c r="I51" i="9"/>
  <c r="K89" i="10"/>
  <c r="K23" i="10"/>
  <c r="J116" i="9"/>
  <c r="K69" i="10"/>
  <c r="L92" i="10"/>
  <c r="I71" i="9"/>
  <c r="K61" i="10"/>
  <c r="I45" i="9"/>
  <c r="J80" i="10"/>
  <c r="J28" i="10"/>
  <c r="J120" i="10"/>
  <c r="I80" i="9"/>
  <c r="J48" i="10"/>
  <c r="I113" i="10"/>
  <c r="I89" i="10"/>
  <c r="K37" i="10"/>
  <c r="I71" i="10"/>
  <c r="U108" i="10"/>
  <c r="K129" i="9"/>
  <c r="I127" i="10"/>
  <c r="L88" i="10"/>
  <c r="J129" i="9"/>
  <c r="K38" i="10"/>
  <c r="U127" i="10"/>
  <c r="K128" i="9"/>
  <c r="U86" i="10"/>
  <c r="I39" i="9"/>
  <c r="L90" i="10"/>
  <c r="J66" i="10"/>
  <c r="I47" i="10"/>
  <c r="K22" i="10"/>
  <c r="K98" i="10"/>
  <c r="I97" i="10"/>
  <c r="I84" i="9"/>
  <c r="I72" i="10"/>
  <c r="I27" i="9"/>
  <c r="U71" i="10"/>
  <c r="I55" i="10"/>
  <c r="I53" i="9"/>
  <c r="I28" i="9"/>
  <c r="L34" i="10"/>
  <c r="I17" i="9"/>
  <c r="J110" i="10"/>
  <c r="U47" i="10"/>
  <c r="K99" i="10"/>
  <c r="J27" i="9"/>
  <c r="J128" i="10"/>
  <c r="K48" i="9"/>
  <c r="K73" i="9"/>
  <c r="J34" i="9"/>
  <c r="K123" i="10"/>
  <c r="I116" i="9"/>
  <c r="I52" i="10"/>
  <c r="K24" i="10"/>
  <c r="U116" i="10"/>
  <c r="I113" i="9"/>
  <c r="I64" i="10"/>
  <c r="J48" i="9"/>
  <c r="J29" i="10"/>
  <c r="K126" i="9"/>
  <c r="I73" i="10"/>
  <c r="J54" i="9"/>
  <c r="I77" i="10"/>
  <c r="J119" i="10"/>
  <c r="J52" i="10"/>
  <c r="I16" i="10"/>
  <c r="I46" i="9"/>
  <c r="I116" i="10"/>
  <c r="J47" i="10"/>
  <c r="I86" i="9"/>
  <c r="K38" i="9"/>
  <c r="L56" i="10"/>
  <c r="J85" i="10"/>
  <c r="L33" i="10"/>
  <c r="I95" i="9"/>
  <c r="K100" i="10"/>
  <c r="I100" i="10"/>
  <c r="I74" i="9"/>
  <c r="I103" i="10"/>
  <c r="I37" i="9"/>
  <c r="J51" i="9"/>
  <c r="I41" i="10"/>
  <c r="L31" i="10"/>
  <c r="K116" i="9"/>
  <c r="J75" i="9"/>
  <c r="I61" i="9"/>
  <c r="L54" i="10"/>
  <c r="K119" i="9"/>
  <c r="U18" i="10"/>
  <c r="U29" i="10"/>
  <c r="J84" i="10"/>
  <c r="U24" i="10"/>
  <c r="L118" i="10"/>
  <c r="L40" i="10"/>
  <c r="I89" i="9"/>
  <c r="I80" i="10"/>
  <c r="J127" i="9"/>
  <c r="L27" i="10"/>
  <c r="L63" i="10"/>
  <c r="J126" i="9"/>
  <c r="J24" i="9"/>
  <c r="U54" i="10"/>
  <c r="J63" i="9"/>
  <c r="K76" i="9"/>
  <c r="I120" i="10"/>
  <c r="K68" i="10"/>
  <c r="K55" i="9"/>
  <c r="J118" i="10"/>
  <c r="K77" i="10"/>
  <c r="J100" i="10"/>
  <c r="L49" i="10"/>
  <c r="U99" i="10"/>
  <c r="J103" i="9"/>
  <c r="I19" i="10"/>
  <c r="K19" i="10"/>
  <c r="I112" i="9"/>
  <c r="L42" i="10"/>
  <c r="I83" i="10"/>
  <c r="J60" i="10"/>
  <c r="J61" i="10"/>
  <c r="M117" i="10"/>
  <c r="P117" i="10" s="1"/>
  <c r="J36" i="9"/>
  <c r="I18" i="10"/>
  <c r="K39" i="9"/>
  <c r="U56" i="9"/>
  <c r="J37" i="10"/>
  <c r="K47" i="10"/>
  <c r="K84" i="9"/>
  <c r="U34" i="10"/>
  <c r="I93" i="10"/>
  <c r="K71" i="10"/>
  <c r="J72" i="10"/>
  <c r="K111" i="10"/>
  <c r="K49" i="9"/>
  <c r="K41" i="10"/>
  <c r="K54" i="9"/>
  <c r="K127" i="10"/>
  <c r="I32" i="10"/>
  <c r="L30" i="10"/>
  <c r="K24" i="9"/>
  <c r="I103" i="9"/>
  <c r="L94" i="10"/>
  <c r="J74" i="10"/>
  <c r="I105" i="10"/>
  <c r="U17" i="10"/>
  <c r="J53" i="9"/>
  <c r="I81" i="9"/>
  <c r="L35" i="10"/>
  <c r="K92" i="10"/>
  <c r="J89" i="9"/>
  <c r="J95" i="9"/>
  <c r="I23" i="10"/>
  <c r="K104" i="9"/>
  <c r="L115" i="10"/>
  <c r="I37" i="10"/>
  <c r="I111" i="9"/>
  <c r="K81" i="9"/>
  <c r="K67" i="10"/>
  <c r="J72" i="9"/>
  <c r="K59" i="9"/>
  <c r="U92" i="10"/>
  <c r="J36" i="10"/>
  <c r="J37" i="9"/>
  <c r="U51" i="10"/>
  <c r="I38" i="9"/>
  <c r="J64" i="10"/>
  <c r="K95" i="10"/>
  <c r="L65" i="10"/>
  <c r="K53" i="9"/>
  <c r="K66" i="10"/>
  <c r="U23" i="10"/>
  <c r="I76" i="9"/>
  <c r="J43" i="10"/>
  <c r="K58" i="10"/>
  <c r="J28" i="9"/>
  <c r="J98" i="10"/>
  <c r="J49" i="10"/>
  <c r="L127" i="10"/>
  <c r="K73" i="10"/>
  <c r="K101" i="10"/>
  <c r="I24" i="10"/>
  <c r="K89" i="9"/>
  <c r="L20" i="9"/>
  <c r="J81" i="10"/>
  <c r="J82" i="9"/>
  <c r="J45" i="9"/>
  <c r="L37" i="10"/>
  <c r="K70" i="10"/>
  <c r="J42" i="9"/>
  <c r="U58" i="10"/>
  <c r="I130" i="10"/>
  <c r="I54" i="10"/>
  <c r="I65" i="10"/>
  <c r="K46" i="10"/>
  <c r="J88" i="9"/>
  <c r="I107" i="10"/>
  <c r="J58" i="10"/>
  <c r="J124" i="9"/>
  <c r="K49" i="10"/>
  <c r="L19" i="9"/>
  <c r="L45" i="10"/>
  <c r="K33" i="9"/>
  <c r="J24" i="10"/>
  <c r="L16" i="9"/>
  <c r="K104" i="10"/>
  <c r="J81" i="9"/>
  <c r="I26" i="9"/>
  <c r="U128" i="10"/>
  <c r="K81" i="10"/>
  <c r="L82" i="10"/>
  <c r="L21" i="9"/>
  <c r="J84" i="9"/>
  <c r="U75" i="10"/>
  <c r="J94" i="10"/>
  <c r="J39" i="10"/>
  <c r="L85" i="10"/>
  <c r="J79" i="9"/>
  <c r="K103" i="9"/>
  <c r="I98" i="10"/>
  <c r="I123" i="9"/>
  <c r="K87" i="9"/>
  <c r="J93" i="10"/>
  <c r="L72" i="10"/>
  <c r="I49" i="9"/>
  <c r="I118" i="10"/>
  <c r="I65" i="9"/>
  <c r="J56" i="10"/>
  <c r="K39" i="10"/>
  <c r="K72" i="9"/>
  <c r="J121" i="10"/>
  <c r="L23" i="10"/>
  <c r="I35" i="9"/>
  <c r="K63" i="9"/>
  <c r="U67" i="10"/>
  <c r="I30" i="9"/>
  <c r="U96" i="10"/>
  <c r="I86" i="10"/>
  <c r="I17" i="10"/>
  <c r="K120" i="10"/>
  <c r="J50" i="9"/>
  <c r="L75" i="10"/>
  <c r="J71" i="10"/>
  <c r="J21" i="10"/>
  <c r="I94" i="9"/>
  <c r="I91" i="10"/>
  <c r="I120" i="9"/>
  <c r="K56" i="9"/>
  <c r="K113" i="10"/>
  <c r="I101" i="10"/>
  <c r="K50" i="9"/>
  <c r="K113" i="9"/>
  <c r="K108" i="10"/>
  <c r="I18" i="9"/>
  <c r="K17" i="10"/>
  <c r="K95" i="9"/>
  <c r="I85" i="9"/>
  <c r="J40" i="9"/>
  <c r="I85" i="10"/>
  <c r="I72" i="9"/>
  <c r="J127" i="10"/>
  <c r="I125" i="10"/>
  <c r="U50" i="9"/>
  <c r="K46" i="9"/>
  <c r="U97" i="10"/>
  <c r="J123" i="10"/>
  <c r="I75" i="9"/>
  <c r="K90" i="10"/>
  <c r="I68" i="10"/>
  <c r="I62" i="9"/>
  <c r="I27" i="10"/>
  <c r="J102" i="10"/>
  <c r="I22" i="10"/>
  <c r="J27" i="10"/>
  <c r="I78" i="10"/>
  <c r="K68" i="9"/>
  <c r="K111" i="9"/>
  <c r="L22" i="9"/>
  <c r="L86" i="10"/>
  <c r="J17" i="9"/>
  <c r="K85" i="9"/>
  <c r="L46" i="10"/>
  <c r="K28" i="9"/>
  <c r="J31" i="9"/>
  <c r="I102" i="10"/>
  <c r="I43" i="9"/>
  <c r="L25" i="10"/>
  <c r="K27" i="9"/>
  <c r="L119" i="10"/>
  <c r="L23" i="9"/>
  <c r="K55" i="10"/>
  <c r="L128" i="10"/>
  <c r="I24" i="9"/>
  <c r="J34" i="10"/>
  <c r="I64" i="9"/>
  <c r="J35" i="9"/>
  <c r="J55" i="9"/>
  <c r="I119" i="9"/>
  <c r="L103" i="10"/>
  <c r="K43" i="10"/>
  <c r="I33" i="9"/>
  <c r="I46" i="10"/>
  <c r="K20" i="10"/>
  <c r="I31" i="9"/>
  <c r="K75" i="10"/>
  <c r="L99" i="10"/>
  <c r="K118" i="10"/>
  <c r="J49" i="9"/>
  <c r="J22" i="10"/>
  <c r="L129" i="10"/>
  <c r="K124" i="9"/>
  <c r="K116" i="10"/>
  <c r="K103" i="10"/>
  <c r="I54" i="9"/>
  <c r="L61" i="10"/>
  <c r="J106" i="10"/>
  <c r="I38" i="10"/>
  <c r="I48" i="9"/>
  <c r="I75" i="10"/>
  <c r="K80" i="9"/>
  <c r="J130" i="10"/>
  <c r="L28" i="10"/>
  <c r="I40" i="10"/>
  <c r="J113" i="10"/>
  <c r="I92" i="10"/>
  <c r="K109" i="10"/>
  <c r="K112" i="9"/>
  <c r="L81" i="10"/>
  <c r="I87" i="9"/>
  <c r="I90" i="10"/>
  <c r="K78" i="10"/>
  <c r="K94" i="9"/>
  <c r="J56" i="9"/>
  <c r="L50" i="10"/>
  <c r="L95" i="10"/>
  <c r="K88" i="9"/>
  <c r="I74" i="10"/>
  <c r="J75" i="10"/>
  <c r="L113" i="10"/>
  <c r="I118" i="9"/>
  <c r="K96" i="10"/>
  <c r="K30" i="9"/>
  <c r="I50" i="9"/>
  <c r="J120" i="9"/>
  <c r="L101" i="10"/>
  <c r="J25" i="9"/>
  <c r="K115" i="9"/>
  <c r="M59" i="10"/>
  <c r="K51" i="10"/>
  <c r="I34" i="9"/>
  <c r="I48" i="10"/>
  <c r="L62" i="10"/>
  <c r="J61" i="9"/>
  <c r="K65" i="9"/>
  <c r="Q131" i="10"/>
  <c r="I128" i="9"/>
  <c r="K21" i="9"/>
  <c r="K86" i="10"/>
  <c r="L111" i="10"/>
  <c r="U55" i="10"/>
  <c r="J111" i="10"/>
  <c r="I127" i="9"/>
  <c r="U106" i="10"/>
  <c r="L58" i="10"/>
  <c r="J111" i="9"/>
  <c r="J44" i="10"/>
  <c r="U43" i="10"/>
  <c r="U130" i="10"/>
  <c r="L18" i="9"/>
  <c r="I88" i="9"/>
  <c r="I28" i="10"/>
  <c r="J58" i="9"/>
  <c r="J125" i="10"/>
  <c r="J123" i="9"/>
  <c r="J95" i="10"/>
  <c r="K18" i="10"/>
  <c r="J70" i="10"/>
  <c r="J55" i="10"/>
  <c r="K118" i="9"/>
  <c r="K94" i="10"/>
  <c r="J65" i="9"/>
  <c r="I73" i="9"/>
  <c r="L57" i="10"/>
  <c r="K124" i="10"/>
  <c r="J38" i="9"/>
  <c r="K119" i="10"/>
  <c r="J89" i="10"/>
  <c r="K35" i="9"/>
  <c r="K34" i="9"/>
  <c r="U37" i="10"/>
  <c r="I20" i="9"/>
  <c r="I128" i="10"/>
  <c r="J71" i="9"/>
  <c r="J99" i="9"/>
  <c r="J23" i="10"/>
  <c r="L21" i="10"/>
  <c r="J68" i="9"/>
  <c r="U21" i="10"/>
  <c r="J104" i="10"/>
  <c r="J32" i="10"/>
  <c r="I94" i="10"/>
  <c r="K16" i="10"/>
  <c r="J20" i="9"/>
  <c r="I51" i="10"/>
  <c r="J69" i="10"/>
  <c r="J59" i="9"/>
  <c r="U85" i="9"/>
  <c r="K32" i="10"/>
  <c r="I123" i="10"/>
  <c r="K25" i="9"/>
  <c r="L38" i="10"/>
  <c r="I34" i="10"/>
  <c r="K58" i="9"/>
  <c r="U84" i="10"/>
  <c r="J16" i="10"/>
  <c r="I59" i="9"/>
  <c r="J20" i="10"/>
  <c r="J65" i="10"/>
  <c r="K30" i="10"/>
  <c r="J30" i="9"/>
  <c r="L64" i="10"/>
  <c r="J80" i="9"/>
  <c r="Q114" i="10"/>
  <c r="I95" i="10"/>
  <c r="L16" i="10"/>
  <c r="U56" i="10"/>
  <c r="K105" i="10"/>
  <c r="J103" i="10"/>
  <c r="J112" i="9"/>
  <c r="I108" i="9"/>
  <c r="K28" i="10"/>
  <c r="J46" i="9"/>
  <c r="L53" i="10"/>
  <c r="I121" i="10"/>
  <c r="K86" i="9"/>
  <c r="I126" i="9"/>
  <c r="J122" i="10"/>
  <c r="J128" i="9"/>
  <c r="J21" i="9"/>
  <c r="K75" i="9"/>
  <c r="I84" i="10"/>
  <c r="L39" i="10"/>
  <c r="I36" i="10"/>
  <c r="J17" i="10"/>
  <c r="J38" i="10"/>
  <c r="I129" i="9"/>
  <c r="L121" i="10"/>
  <c r="J99" i="10"/>
  <c r="K61" i="9"/>
  <c r="J30" i="10"/>
  <c r="U22" i="10"/>
  <c r="J101" i="9"/>
  <c r="K72" i="10"/>
  <c r="I79" i="9"/>
  <c r="I90" i="9"/>
  <c r="J68" i="10"/>
  <c r="J124" i="10"/>
  <c r="J26" i="9"/>
  <c r="J62" i="9"/>
  <c r="K54" i="10"/>
  <c r="K45" i="9"/>
  <c r="J23" i="9"/>
  <c r="K74" i="10"/>
  <c r="J41" i="10"/>
  <c r="U83" i="10"/>
  <c r="K18" i="9"/>
  <c r="J67" i="10"/>
  <c r="I68" i="9"/>
  <c r="L124" i="10"/>
  <c r="U100" i="10"/>
  <c r="J85" i="9"/>
  <c r="K130" i="10"/>
  <c r="I58" i="10"/>
  <c r="U109" i="10"/>
  <c r="L126" i="10"/>
  <c r="I43" i="10"/>
  <c r="K31" i="9"/>
  <c r="I60" i="10"/>
  <c r="U77" i="10"/>
  <c r="L79" i="10"/>
  <c r="K85" i="10"/>
  <c r="K121" i="9"/>
  <c r="K26" i="9"/>
  <c r="J94" i="9"/>
  <c r="I57" i="10"/>
  <c r="J64" i="9"/>
  <c r="J19" i="10"/>
  <c r="K93" i="10"/>
  <c r="I81" i="10"/>
  <c r="L43" i="10"/>
  <c r="K84" i="10"/>
  <c r="L19" i="10"/>
  <c r="L20" i="10"/>
  <c r="L93" i="10"/>
  <c r="N117" i="10" l="1"/>
  <c r="N59" i="10"/>
  <c r="O59" i="10" s="1"/>
  <c r="O131" i="10"/>
  <c r="O114" i="10"/>
  <c r="G108" i="8"/>
  <c r="G80" i="8"/>
  <c r="G140" i="8"/>
  <c r="G116" i="8"/>
  <c r="G87" i="8"/>
  <c r="M21" i="9"/>
  <c r="N21" i="9" s="1"/>
  <c r="M24" i="9"/>
  <c r="M85" i="9"/>
  <c r="M104" i="9"/>
  <c r="M50" i="9"/>
  <c r="M40" i="9"/>
  <c r="M20" i="9"/>
  <c r="N20" i="9" s="1"/>
  <c r="M71" i="9"/>
  <c r="M94" i="9"/>
  <c r="M68" i="9"/>
  <c r="M118" i="9"/>
  <c r="M103" i="9"/>
  <c r="M90" i="9"/>
  <c r="M95" i="9"/>
  <c r="M61" i="9"/>
  <c r="M25" i="9"/>
  <c r="M112" i="9"/>
  <c r="M74" i="9"/>
  <c r="M80" i="9"/>
  <c r="M73" i="9"/>
  <c r="M56" i="9"/>
  <c r="M18" i="9"/>
  <c r="N18" i="9" s="1"/>
  <c r="M111" i="9"/>
  <c r="M53" i="9"/>
  <c r="M54" i="9"/>
  <c r="M116" i="9"/>
  <c r="M39" i="9"/>
  <c r="M82" i="9"/>
  <c r="M127" i="9"/>
  <c r="M30" i="9"/>
  <c r="M38" i="9"/>
  <c r="M48" i="9"/>
  <c r="M49" i="9"/>
  <c r="M28" i="9"/>
  <c r="M113" i="9"/>
  <c r="M23" i="9"/>
  <c r="N23" i="9" s="1"/>
  <c r="M101" i="9"/>
  <c r="M33" i="9"/>
  <c r="M34" i="9"/>
  <c r="M43" i="9"/>
  <c r="M75" i="9"/>
  <c r="M42" i="9"/>
  <c r="N22" i="9"/>
  <c r="M62" i="9"/>
  <c r="M59" i="9"/>
  <c r="M36" i="9"/>
  <c r="M89" i="9"/>
  <c r="M51" i="9"/>
  <c r="M129" i="9"/>
  <c r="M88" i="9"/>
  <c r="M31" i="9"/>
  <c r="M108" i="9"/>
  <c r="M115" i="9"/>
  <c r="M17" i="9"/>
  <c r="M124" i="9"/>
  <c r="M72" i="9"/>
  <c r="M93" i="9"/>
  <c r="M63" i="9"/>
  <c r="M65" i="9"/>
  <c r="M126" i="9"/>
  <c r="M35" i="9"/>
  <c r="M26" i="9"/>
  <c r="M128" i="9"/>
  <c r="N19" i="9"/>
  <c r="M55" i="9"/>
  <c r="M64" i="9"/>
  <c r="M84" i="9"/>
  <c r="M79" i="9"/>
  <c r="M76" i="9"/>
  <c r="M123" i="9"/>
  <c r="M81" i="9"/>
  <c r="M58" i="9"/>
  <c r="M120" i="9"/>
  <c r="M121" i="9"/>
  <c r="M37" i="9"/>
  <c r="M119" i="9"/>
  <c r="M27" i="9"/>
  <c r="M99" i="9"/>
  <c r="M87" i="9"/>
  <c r="M86" i="9"/>
  <c r="M45" i="9"/>
  <c r="M46" i="9"/>
  <c r="G124" i="8"/>
  <c r="B55" i="8"/>
  <c r="F18" i="10"/>
  <c r="G18" i="10" s="1"/>
  <c r="G82" i="8"/>
  <c r="G85" i="8"/>
  <c r="B54" i="8"/>
  <c r="G51" i="8"/>
  <c r="G107" i="8"/>
  <c r="G95" i="8"/>
  <c r="G62" i="8"/>
  <c r="B50" i="8"/>
  <c r="G17" i="9"/>
  <c r="F17" i="10"/>
  <c r="G17" i="10" s="1"/>
  <c r="G71" i="8"/>
  <c r="G65" i="8"/>
  <c r="G122" i="8"/>
  <c r="G90" i="8"/>
  <c r="G74" i="8"/>
  <c r="B48" i="8"/>
  <c r="G52" i="8"/>
  <c r="G77" i="8"/>
  <c r="G70" i="8"/>
  <c r="G135" i="8"/>
  <c r="G114" i="8"/>
  <c r="E112" i="10"/>
  <c r="H112" i="10"/>
  <c r="G103" i="8"/>
  <c r="B53" i="8"/>
  <c r="G125" i="8"/>
  <c r="B51" i="8"/>
  <c r="G58" i="8"/>
  <c r="G118" i="8"/>
  <c r="G119" i="8"/>
  <c r="E53" i="10"/>
  <c r="F85" i="8"/>
  <c r="H85" i="8" s="1"/>
  <c r="H53" i="10"/>
  <c r="G78" i="8"/>
  <c r="G75" i="8"/>
  <c r="G72" i="8"/>
  <c r="G66" i="8"/>
  <c r="B52" i="8"/>
  <c r="G53" i="8"/>
  <c r="G93" i="8"/>
  <c r="G24" i="9"/>
  <c r="M62" i="10"/>
  <c r="Q59" i="10"/>
  <c r="M77" i="10"/>
  <c r="M45" i="10"/>
  <c r="L84" i="10"/>
  <c r="P62" i="10"/>
  <c r="L76" i="10"/>
  <c r="L48" i="10"/>
  <c r="M122" i="10"/>
  <c r="M57" i="10"/>
  <c r="M27" i="10"/>
  <c r="M127" i="10"/>
  <c r="M110" i="10"/>
  <c r="M22" i="10"/>
  <c r="M90" i="10"/>
  <c r="P90" i="10" s="1"/>
  <c r="M79" i="10"/>
  <c r="M16" i="10"/>
  <c r="P59" i="10"/>
  <c r="M92" i="10"/>
  <c r="M31" i="10"/>
  <c r="M44" i="10"/>
  <c r="M46" i="10"/>
  <c r="M36" i="10"/>
  <c r="M82" i="10"/>
  <c r="M39" i="10"/>
  <c r="M20" i="10"/>
  <c r="L24" i="9"/>
  <c r="K112" i="10"/>
  <c r="M103" i="10"/>
  <c r="Q21" i="9"/>
  <c r="M19" i="10"/>
  <c r="M125" i="10"/>
  <c r="M64" i="10"/>
  <c r="M61" i="10"/>
  <c r="M97" i="10"/>
  <c r="M81" i="10"/>
  <c r="M95" i="10"/>
  <c r="M93" i="10"/>
  <c r="M73" i="10"/>
  <c r="M69" i="10"/>
  <c r="J53" i="10"/>
  <c r="M116" i="10"/>
  <c r="M37" i="10"/>
  <c r="M101" i="10"/>
  <c r="P101" i="10" s="1"/>
  <c r="M85" i="10"/>
  <c r="M40" i="10"/>
  <c r="Q20" i="9"/>
  <c r="M63" i="10"/>
  <c r="M28" i="10"/>
  <c r="M60" i="10"/>
  <c r="M47" i="10"/>
  <c r="M89" i="10"/>
  <c r="J112" i="10"/>
  <c r="M105" i="10"/>
  <c r="M121" i="10"/>
  <c r="M87" i="10"/>
  <c r="L17" i="9"/>
  <c r="M126" i="10"/>
  <c r="M32" i="10"/>
  <c r="M72" i="10"/>
  <c r="M128" i="10"/>
  <c r="M66" i="10"/>
  <c r="M41" i="10"/>
  <c r="M83" i="10"/>
  <c r="M123" i="10"/>
  <c r="M106" i="10"/>
  <c r="M33" i="10"/>
  <c r="M49" i="10"/>
  <c r="P77" i="10"/>
  <c r="L108" i="10"/>
  <c r="L51" i="10"/>
  <c r="M51" i="10" s="1"/>
  <c r="M71" i="10"/>
  <c r="M67" i="10"/>
  <c r="M113" i="10"/>
  <c r="M24" i="10"/>
  <c r="M120" i="10"/>
  <c r="M50" i="10"/>
  <c r="M54" i="10"/>
  <c r="M99" i="10"/>
  <c r="Q18" i="9"/>
  <c r="M43" i="10"/>
  <c r="M70" i="10"/>
  <c r="M68" i="10"/>
  <c r="M109" i="10"/>
  <c r="M52" i="10"/>
  <c r="M74" i="10"/>
  <c r="M91" i="10"/>
  <c r="M111" i="10"/>
  <c r="M119" i="10"/>
  <c r="P119" i="10" s="1"/>
  <c r="M26" i="10"/>
  <c r="P36" i="10"/>
  <c r="L55" i="10"/>
  <c r="M118" i="10"/>
  <c r="I112" i="10"/>
  <c r="M94" i="10"/>
  <c r="M56" i="10"/>
  <c r="M130" i="10"/>
  <c r="M42" i="10"/>
  <c r="P42" i="10" s="1"/>
  <c r="M58" i="10"/>
  <c r="M75" i="10"/>
  <c r="Q23" i="9"/>
  <c r="M34" i="10"/>
  <c r="K53" i="10"/>
  <c r="P118" i="10"/>
  <c r="U112" i="10"/>
  <c r="P46" i="10"/>
  <c r="M21" i="10"/>
  <c r="M129" i="10"/>
  <c r="M115" i="10"/>
  <c r="P115" i="10" s="1"/>
  <c r="I53" i="10"/>
  <c r="P63" i="10"/>
  <c r="U53" i="10"/>
  <c r="P50" i="10"/>
  <c r="M29" i="10"/>
  <c r="P29" i="10" s="1"/>
  <c r="P33" i="10"/>
  <c r="M80" i="10"/>
  <c r="M25" i="10"/>
  <c r="P25" i="10" s="1"/>
  <c r="M98" i="10"/>
  <c r="P98" i="10" s="1"/>
  <c r="M107" i="10"/>
  <c r="Q22" i="9"/>
  <c r="M88" i="10"/>
  <c r="P88" i="10" s="1"/>
  <c r="L17" i="10"/>
  <c r="M78" i="10"/>
  <c r="M65" i="10"/>
  <c r="M100" i="10"/>
  <c r="M38" i="10"/>
  <c r="M102" i="10"/>
  <c r="M86" i="10"/>
  <c r="P45" i="10"/>
  <c r="P87" i="10"/>
  <c r="P116" i="10"/>
  <c r="Q19" i="9"/>
  <c r="P126" i="10"/>
  <c r="M23" i="10"/>
  <c r="M124" i="10"/>
  <c r="M35" i="10"/>
  <c r="M30" i="10"/>
  <c r="M104" i="10"/>
  <c r="M96" i="10"/>
  <c r="P94" i="10"/>
  <c r="Q117" i="10"/>
  <c r="P89" i="10"/>
  <c r="P82" i="10"/>
  <c r="N63" i="10" l="1"/>
  <c r="N82" i="10"/>
  <c r="N62" i="10"/>
  <c r="N126" i="10"/>
  <c r="N87" i="10"/>
  <c r="N50" i="10"/>
  <c r="O50" i="10" s="1"/>
  <c r="N33" i="10"/>
  <c r="O33" i="10" s="1"/>
  <c r="N45" i="10"/>
  <c r="N25" i="10"/>
  <c r="O117" i="10"/>
  <c r="N115" i="10"/>
  <c r="O115" i="10" s="1"/>
  <c r="N129" i="10"/>
  <c r="N26" i="10"/>
  <c r="N42" i="10"/>
  <c r="N35" i="10"/>
  <c r="O35" i="10" s="1"/>
  <c r="N31" i="10"/>
  <c r="N88" i="10"/>
  <c r="O88" i="10" s="1"/>
  <c r="I120" i="8" s="1"/>
  <c r="N79" i="10"/>
  <c r="O79" i="10" s="1"/>
  <c r="I111" i="8" s="1"/>
  <c r="N20" i="10"/>
  <c r="N113" i="10"/>
  <c r="N44" i="10"/>
  <c r="N93" i="10"/>
  <c r="N127" i="10"/>
  <c r="N73" i="10"/>
  <c r="N75" i="10"/>
  <c r="N95" i="10"/>
  <c r="N54" i="10"/>
  <c r="N119" i="10"/>
  <c r="N122" i="10"/>
  <c r="N47" i="10"/>
  <c r="N61" i="10"/>
  <c r="N99" i="10"/>
  <c r="N41" i="10"/>
  <c r="N32" i="10"/>
  <c r="N21" i="10"/>
  <c r="N94" i="10"/>
  <c r="N111" i="10"/>
  <c r="N52" i="10"/>
  <c r="N109" i="10"/>
  <c r="N39" i="10"/>
  <c r="N43" i="10"/>
  <c r="N72" i="10"/>
  <c r="N125" i="10"/>
  <c r="N46" i="10"/>
  <c r="N68" i="10"/>
  <c r="N64" i="10"/>
  <c r="N37" i="10"/>
  <c r="N22" i="10"/>
  <c r="N65" i="10"/>
  <c r="N83" i="10"/>
  <c r="N34" i="10"/>
  <c r="N106" i="10"/>
  <c r="N90" i="10"/>
  <c r="N27" i="10"/>
  <c r="N36" i="10"/>
  <c r="N105" i="10"/>
  <c r="N70" i="10"/>
  <c r="N120" i="10"/>
  <c r="N110" i="10"/>
  <c r="N98" i="10"/>
  <c r="N56" i="10"/>
  <c r="N71" i="10"/>
  <c r="N130" i="10"/>
  <c r="N92" i="10"/>
  <c r="N28" i="10"/>
  <c r="N57" i="10"/>
  <c r="N81" i="10"/>
  <c r="N102" i="10"/>
  <c r="N104" i="10"/>
  <c r="N40" i="10"/>
  <c r="N24" i="10"/>
  <c r="N100" i="10"/>
  <c r="N97" i="10"/>
  <c r="N89" i="10"/>
  <c r="N78" i="10"/>
  <c r="N51" i="10"/>
  <c r="N107" i="10"/>
  <c r="N91" i="10"/>
  <c r="N96" i="10"/>
  <c r="N124" i="10"/>
  <c r="N60" i="10"/>
  <c r="N30" i="10"/>
  <c r="N118" i="10"/>
  <c r="N80" i="10"/>
  <c r="N23" i="10"/>
  <c r="N29" i="10"/>
  <c r="N69" i="10"/>
  <c r="N128" i="10"/>
  <c r="N19" i="10"/>
  <c r="N38" i="10"/>
  <c r="N121" i="10"/>
  <c r="N101" i="10"/>
  <c r="N49" i="10"/>
  <c r="N67" i="10"/>
  <c r="N86" i="10"/>
  <c r="N66" i="10"/>
  <c r="N74" i="10"/>
  <c r="N77" i="10"/>
  <c r="N85" i="10"/>
  <c r="N116" i="10"/>
  <c r="N58" i="10"/>
  <c r="N123" i="10"/>
  <c r="N103" i="10"/>
  <c r="O82" i="10"/>
  <c r="O126" i="10"/>
  <c r="O87" i="10"/>
  <c r="O63" i="10"/>
  <c r="O45" i="10"/>
  <c r="O31" i="10"/>
  <c r="I63" i="8" s="1"/>
  <c r="O62" i="10"/>
  <c r="I94" i="8" s="1"/>
  <c r="O25" i="10"/>
  <c r="O129" i="10"/>
  <c r="O26" i="10"/>
  <c r="G50" i="8"/>
  <c r="N24" i="9"/>
  <c r="N17" i="9"/>
  <c r="O18" i="9"/>
  <c r="O22" i="9"/>
  <c r="D54" i="8" s="1"/>
  <c r="O20" i="9"/>
  <c r="O23" i="9"/>
  <c r="O21" i="9"/>
  <c r="O19" i="9"/>
  <c r="B56" i="8"/>
  <c r="N16" i="10"/>
  <c r="I91" i="8"/>
  <c r="N16" i="9"/>
  <c r="G49" i="8"/>
  <c r="B49" i="8"/>
  <c r="G25" i="9"/>
  <c r="P35" i="10"/>
  <c r="P49" i="10"/>
  <c r="P127" i="10"/>
  <c r="P41" i="10"/>
  <c r="Q21" i="10"/>
  <c r="Q83" i="10"/>
  <c r="P111" i="10"/>
  <c r="P57" i="10"/>
  <c r="P40" i="10"/>
  <c r="P121" i="10"/>
  <c r="Q54" i="10"/>
  <c r="Q23" i="10"/>
  <c r="Q27" i="10"/>
  <c r="Q65" i="10"/>
  <c r="P60" i="10"/>
  <c r="Q115" i="10"/>
  <c r="P44" i="10"/>
  <c r="Q127" i="10"/>
  <c r="Q19" i="10"/>
  <c r="Q46" i="10"/>
  <c r="Q66" i="10"/>
  <c r="P75" i="10"/>
  <c r="P97" i="10"/>
  <c r="Q28" i="10"/>
  <c r="P100" i="10"/>
  <c r="Q34" i="10"/>
  <c r="M55" i="10"/>
  <c r="Q119" i="10"/>
  <c r="P103" i="10"/>
  <c r="Q130" i="10"/>
  <c r="Q47" i="10"/>
  <c r="Q93" i="10"/>
  <c r="P102" i="10"/>
  <c r="P105" i="10"/>
  <c r="P27" i="10"/>
  <c r="P66" i="10"/>
  <c r="M48" i="10"/>
  <c r="P30" i="10"/>
  <c r="M84" i="10"/>
  <c r="L18" i="10"/>
  <c r="P113" i="10"/>
  <c r="Q36" i="10"/>
  <c r="Q32" i="10"/>
  <c r="P47" i="10"/>
  <c r="Q98" i="10"/>
  <c r="M53" i="10"/>
  <c r="Q121" i="10"/>
  <c r="P120" i="10"/>
  <c r="P67" i="10"/>
  <c r="P52" i="10"/>
  <c r="P124" i="10"/>
  <c r="P43" i="10"/>
  <c r="P96" i="10"/>
  <c r="P125" i="10"/>
  <c r="P48" i="10"/>
  <c r="Q24" i="10"/>
  <c r="Q102" i="10"/>
  <c r="P106" i="10"/>
  <c r="Q44" i="10"/>
  <c r="Q73" i="10"/>
  <c r="Q92" i="10"/>
  <c r="Q89" i="10"/>
  <c r="P92" i="10"/>
  <c r="Q79" i="10"/>
  <c r="P93" i="10"/>
  <c r="Q122" i="10"/>
  <c r="P38" i="10"/>
  <c r="Q63" i="10"/>
  <c r="M76" i="10"/>
  <c r="Q116" i="10"/>
  <c r="P76" i="10"/>
  <c r="Q87" i="10"/>
  <c r="P16" i="10"/>
  <c r="P22" i="10"/>
  <c r="Q16" i="10"/>
  <c r="P21" i="10"/>
  <c r="P56" i="10"/>
  <c r="Q105" i="10"/>
  <c r="Q56" i="10"/>
  <c r="P37" i="10"/>
  <c r="Q125" i="10"/>
  <c r="P80" i="10"/>
  <c r="Q118" i="10"/>
  <c r="P78" i="10"/>
  <c r="P69" i="10"/>
  <c r="Q62" i="10"/>
  <c r="Q22" i="10"/>
  <c r="Q38" i="10"/>
  <c r="P110" i="10"/>
  <c r="Q107" i="10"/>
  <c r="Q96" i="10"/>
  <c r="Q41" i="10"/>
  <c r="Q120" i="10"/>
  <c r="Q97" i="10"/>
  <c r="Q49" i="10"/>
  <c r="P107" i="10"/>
  <c r="Q123" i="10"/>
  <c r="P58" i="10"/>
  <c r="Q69" i="10"/>
  <c r="Q40" i="10"/>
  <c r="P86" i="10"/>
  <c r="Q26" i="10"/>
  <c r="Q20" i="10"/>
  <c r="Q128" i="10"/>
  <c r="Q91" i="10"/>
  <c r="Q16" i="9"/>
  <c r="Q29" i="10"/>
  <c r="Q110" i="10"/>
  <c r="Q80" i="10"/>
  <c r="Q74" i="10"/>
  <c r="Q70" i="10"/>
  <c r="Q88" i="10"/>
  <c r="P84" i="10"/>
  <c r="P23" i="10"/>
  <c r="Q30" i="10"/>
  <c r="P64" i="10"/>
  <c r="M17" i="10"/>
  <c r="P81" i="10"/>
  <c r="Q43" i="10"/>
  <c r="P28" i="10"/>
  <c r="P99" i="10"/>
  <c r="Q99" i="10"/>
  <c r="Q31" i="10"/>
  <c r="P130" i="10"/>
  <c r="P128" i="10"/>
  <c r="Q106" i="10"/>
  <c r="M112" i="10"/>
  <c r="Q124" i="10"/>
  <c r="Q35" i="10"/>
  <c r="Q45" i="10"/>
  <c r="P24" i="10"/>
  <c r="M108" i="10"/>
  <c r="P108" i="10" s="1"/>
  <c r="Q95" i="10"/>
  <c r="P83" i="10"/>
  <c r="Q81" i="10"/>
  <c r="P95" i="10"/>
  <c r="P32" i="10"/>
  <c r="L25" i="9"/>
  <c r="Q60" i="10"/>
  <c r="P19" i="10"/>
  <c r="Q25" i="10"/>
  <c r="P73" i="10"/>
  <c r="P129" i="10"/>
  <c r="Q82" i="10"/>
  <c r="P109" i="10"/>
  <c r="Q90" i="10"/>
  <c r="Q113" i="10"/>
  <c r="Q17" i="9"/>
  <c r="P51" i="10"/>
  <c r="Q100" i="10"/>
  <c r="Q72" i="10"/>
  <c r="Q51" i="10"/>
  <c r="Q77" i="10"/>
  <c r="Q75" i="10"/>
  <c r="P65" i="10"/>
  <c r="P61" i="10"/>
  <c r="P39" i="10"/>
  <c r="P104" i="10"/>
  <c r="Q58" i="10"/>
  <c r="Q61" i="10"/>
  <c r="P123" i="10"/>
  <c r="Q129" i="10"/>
  <c r="P70" i="10"/>
  <c r="P72" i="10"/>
  <c r="P20" i="10"/>
  <c r="Q94" i="10"/>
  <c r="Q86" i="10"/>
  <c r="Q71" i="10"/>
  <c r="Q64" i="10"/>
  <c r="P26" i="10"/>
  <c r="P31" i="10"/>
  <c r="Q126" i="10"/>
  <c r="P122" i="10"/>
  <c r="Q39" i="10"/>
  <c r="P74" i="10"/>
  <c r="Q37" i="10"/>
  <c r="Q52" i="10"/>
  <c r="P91" i="10"/>
  <c r="Q104" i="10"/>
  <c r="Q85" i="10"/>
  <c r="P112" i="10"/>
  <c r="Q103" i="10"/>
  <c r="Q109" i="10"/>
  <c r="Q68" i="10"/>
  <c r="Q57" i="10"/>
  <c r="Q101" i="10"/>
  <c r="Q50" i="10"/>
  <c r="Q67" i="10"/>
  <c r="P85" i="10"/>
  <c r="Q24" i="9"/>
  <c r="Q42" i="10"/>
  <c r="P54" i="10"/>
  <c r="P71" i="10"/>
  <c r="P68" i="10"/>
  <c r="P79" i="10"/>
  <c r="Q33" i="10"/>
  <c r="Q78" i="10"/>
  <c r="P34" i="10"/>
  <c r="Q111" i="10"/>
  <c r="P17" i="10"/>
  <c r="N17" i="10" l="1"/>
  <c r="N76" i="10"/>
  <c r="N84" i="10"/>
  <c r="N55" i="10"/>
  <c r="N108" i="10"/>
  <c r="O108" i="10" s="1"/>
  <c r="I140" i="8" s="1"/>
  <c r="N48" i="10"/>
  <c r="O42" i="10"/>
  <c r="N112" i="10"/>
  <c r="N53" i="10"/>
  <c r="O116" i="10"/>
  <c r="O66" i="10"/>
  <c r="O101" i="10"/>
  <c r="O128" i="10"/>
  <c r="O80" i="10"/>
  <c r="I112" i="8" s="1"/>
  <c r="O91" i="10"/>
  <c r="I123" i="8" s="1"/>
  <c r="O89" i="10"/>
  <c r="I121" i="8" s="1"/>
  <c r="O40" i="10"/>
  <c r="I72" i="8" s="1"/>
  <c r="O57" i="10"/>
  <c r="O71" i="10"/>
  <c r="I103" i="8" s="1"/>
  <c r="O76" i="10"/>
  <c r="I108" i="8" s="1"/>
  <c r="O70" i="10"/>
  <c r="I102" i="8" s="1"/>
  <c r="O90" i="10"/>
  <c r="O65" i="10"/>
  <c r="I97" i="8" s="1"/>
  <c r="O68" i="10"/>
  <c r="I100" i="8" s="1"/>
  <c r="O43" i="10"/>
  <c r="I75" i="8" s="1"/>
  <c r="O111" i="10"/>
  <c r="O41" i="10"/>
  <c r="I73" i="8" s="1"/>
  <c r="O122" i="10"/>
  <c r="O75" i="10"/>
  <c r="I107" i="8" s="1"/>
  <c r="O44" i="10"/>
  <c r="O103" i="10"/>
  <c r="I135" i="8" s="1"/>
  <c r="O85" i="10"/>
  <c r="I117" i="8" s="1"/>
  <c r="O86" i="10"/>
  <c r="O121" i="10"/>
  <c r="O69" i="10"/>
  <c r="I101" i="8" s="1"/>
  <c r="O118" i="10"/>
  <c r="O107" i="10"/>
  <c r="I139" i="8" s="1"/>
  <c r="O97" i="10"/>
  <c r="I129" i="8" s="1"/>
  <c r="O104" i="10"/>
  <c r="I136" i="8" s="1"/>
  <c r="O28" i="10"/>
  <c r="I60" i="8" s="1"/>
  <c r="O56" i="10"/>
  <c r="I88" i="8" s="1"/>
  <c r="O105" i="10"/>
  <c r="O106" i="10"/>
  <c r="I138" i="8" s="1"/>
  <c r="O22" i="10"/>
  <c r="I54" i="8" s="1"/>
  <c r="O46" i="10"/>
  <c r="O39" i="10"/>
  <c r="O94" i="10"/>
  <c r="I126" i="8" s="1"/>
  <c r="O99" i="10"/>
  <c r="I131" i="8" s="1"/>
  <c r="O119" i="10"/>
  <c r="O73" i="10"/>
  <c r="O113" i="10"/>
  <c r="O48" i="10"/>
  <c r="O16" i="10"/>
  <c r="I48" i="8" s="1"/>
  <c r="O123" i="10"/>
  <c r="O77" i="10"/>
  <c r="I109" i="8" s="1"/>
  <c r="O67" i="10"/>
  <c r="I99" i="8" s="1"/>
  <c r="O38" i="10"/>
  <c r="O29" i="10"/>
  <c r="I61" i="8" s="1"/>
  <c r="O30" i="10"/>
  <c r="O124" i="10"/>
  <c r="O51" i="10"/>
  <c r="O100" i="10"/>
  <c r="I132" i="8" s="1"/>
  <c r="O102" i="10"/>
  <c r="I134" i="8" s="1"/>
  <c r="O92" i="10"/>
  <c r="I124" i="8" s="1"/>
  <c r="O98" i="10"/>
  <c r="I130" i="8" s="1"/>
  <c r="O55" i="10"/>
  <c r="I87" i="8" s="1"/>
  <c r="O36" i="10"/>
  <c r="I68" i="8" s="1"/>
  <c r="O34" i="10"/>
  <c r="O37" i="10"/>
  <c r="I69" i="8" s="1"/>
  <c r="O125" i="10"/>
  <c r="O109" i="10"/>
  <c r="I141" i="8" s="1"/>
  <c r="O21" i="10"/>
  <c r="I53" i="8" s="1"/>
  <c r="O61" i="10"/>
  <c r="I93" i="8" s="1"/>
  <c r="O54" i="10"/>
  <c r="I86" i="8" s="1"/>
  <c r="O127" i="10"/>
  <c r="O20" i="10"/>
  <c r="O84" i="10"/>
  <c r="I116" i="8" s="1"/>
  <c r="O58" i="10"/>
  <c r="I90" i="8" s="1"/>
  <c r="O74" i="10"/>
  <c r="I106" i="8" s="1"/>
  <c r="O49" i="10"/>
  <c r="I81" i="8" s="1"/>
  <c r="O19" i="10"/>
  <c r="O23" i="10"/>
  <c r="I55" i="8" s="1"/>
  <c r="O60" i="10"/>
  <c r="I92" i="8" s="1"/>
  <c r="O96" i="10"/>
  <c r="I128" i="8" s="1"/>
  <c r="O78" i="10"/>
  <c r="I110" i="8" s="1"/>
  <c r="O24" i="10"/>
  <c r="I56" i="8" s="1"/>
  <c r="O81" i="10"/>
  <c r="I113" i="8" s="1"/>
  <c r="O130" i="10"/>
  <c r="O110" i="10"/>
  <c r="O120" i="10"/>
  <c r="O27" i="10"/>
  <c r="I59" i="8" s="1"/>
  <c r="O83" i="10"/>
  <c r="I115" i="8" s="1"/>
  <c r="O64" i="10"/>
  <c r="I96" i="8" s="1"/>
  <c r="O72" i="10"/>
  <c r="I104" i="8" s="1"/>
  <c r="O52" i="10"/>
  <c r="I84" i="8" s="1"/>
  <c r="O32" i="10"/>
  <c r="I64" i="8" s="1"/>
  <c r="O47" i="10"/>
  <c r="I79" i="8" s="1"/>
  <c r="O95" i="10"/>
  <c r="I127" i="8" s="1"/>
  <c r="O93" i="10"/>
  <c r="I125" i="8" s="1"/>
  <c r="O17" i="10"/>
  <c r="N25" i="9"/>
  <c r="O17" i="9"/>
  <c r="O24" i="9"/>
  <c r="B57" i="8"/>
  <c r="I70" i="8"/>
  <c r="I82" i="8"/>
  <c r="I67" i="8"/>
  <c r="I58" i="8"/>
  <c r="I74" i="8"/>
  <c r="I122" i="8"/>
  <c r="I77" i="8"/>
  <c r="I57" i="8"/>
  <c r="I137" i="8"/>
  <c r="D55" i="8"/>
  <c r="I83" i="8"/>
  <c r="I105" i="8"/>
  <c r="I98" i="8"/>
  <c r="I133" i="8"/>
  <c r="D50" i="8"/>
  <c r="I114" i="8"/>
  <c r="D53" i="8"/>
  <c r="D52" i="8"/>
  <c r="I89" i="8"/>
  <c r="O16" i="9"/>
  <c r="D48" i="8" s="1"/>
  <c r="I95" i="8"/>
  <c r="I119" i="8"/>
  <c r="I65" i="8"/>
  <c r="I76" i="8"/>
  <c r="D51" i="8"/>
  <c r="G26" i="9"/>
  <c r="Q17" i="10"/>
  <c r="Q48" i="10"/>
  <c r="Q76" i="10"/>
  <c r="Q25" i="9"/>
  <c r="M18" i="10"/>
  <c r="P53" i="10"/>
  <c r="Q84" i="10"/>
  <c r="Q108" i="10"/>
  <c r="P55" i="10"/>
  <c r="Q53" i="10"/>
  <c r="Q55" i="10"/>
  <c r="Q112" i="10"/>
  <c r="L26" i="9"/>
  <c r="C5" i="10"/>
  <c r="P18" i="10"/>
  <c r="I39" i="8" l="1"/>
  <c r="N18" i="10"/>
  <c r="O53" i="10"/>
  <c r="I85" i="8" s="1"/>
  <c r="O18" i="10"/>
  <c r="I50" i="8" s="1"/>
  <c r="O112" i="10"/>
  <c r="N26" i="9"/>
  <c r="O25" i="9"/>
  <c r="D57" i="8" s="1"/>
  <c r="B58" i="8"/>
  <c r="I80" i="8"/>
  <c r="I62" i="8"/>
  <c r="I52" i="8"/>
  <c r="I66" i="8"/>
  <c r="I118" i="8"/>
  <c r="I71" i="8"/>
  <c r="I51" i="8"/>
  <c r="I78" i="8"/>
  <c r="C8" i="10"/>
  <c r="D49" i="8"/>
  <c r="D56" i="8"/>
  <c r="G27" i="9"/>
  <c r="Q18" i="10"/>
  <c r="L27" i="9"/>
  <c r="Q26" i="9"/>
  <c r="C9" i="10" l="1"/>
  <c r="C7" i="10" s="1"/>
  <c r="I40" i="8" s="1"/>
  <c r="N27" i="9"/>
  <c r="O26" i="9"/>
  <c r="B59" i="8"/>
  <c r="I49" i="8"/>
  <c r="C6" i="10"/>
  <c r="I41" i="8" s="1"/>
  <c r="G28" i="9"/>
  <c r="Q27" i="9"/>
  <c r="L28" i="9"/>
  <c r="N28" i="9" l="1"/>
  <c r="O27" i="9"/>
  <c r="B60" i="8"/>
  <c r="D58" i="8"/>
  <c r="G29" i="9"/>
  <c r="L29" i="9"/>
  <c r="Q28" i="9"/>
  <c r="N29" i="9" l="1"/>
  <c r="O28" i="9"/>
  <c r="B61" i="8"/>
  <c r="D59" i="8"/>
  <c r="G30" i="9"/>
  <c r="L30" i="9"/>
  <c r="Q29" i="9"/>
  <c r="N30" i="9" l="1"/>
  <c r="O29" i="9"/>
  <c r="B62" i="8"/>
  <c r="D60" i="8"/>
  <c r="G31" i="9"/>
  <c r="L31" i="9"/>
  <c r="Q30" i="9"/>
  <c r="N31" i="9" l="1"/>
  <c r="O30" i="9"/>
  <c r="B63" i="8"/>
  <c r="D61" i="8"/>
  <c r="G32" i="9"/>
  <c r="L32" i="9"/>
  <c r="Q31" i="9"/>
  <c r="N32" i="9" l="1"/>
  <c r="O31" i="9"/>
  <c r="B64" i="8"/>
  <c r="D62" i="8"/>
  <c r="G33" i="9"/>
  <c r="Q32" i="9"/>
  <c r="L33" i="9"/>
  <c r="N33" i="9" l="1"/>
  <c r="O32" i="9"/>
  <c r="B65" i="8"/>
  <c r="D63" i="8"/>
  <c r="G34" i="9"/>
  <c r="Q33" i="9"/>
  <c r="L34" i="9"/>
  <c r="N34" i="9" l="1"/>
  <c r="O33" i="9"/>
  <c r="B66" i="8"/>
  <c r="D64" i="8"/>
  <c r="G35" i="9"/>
  <c r="L35" i="9"/>
  <c r="Q34" i="9"/>
  <c r="N35" i="9" l="1"/>
  <c r="O34" i="9"/>
  <c r="B67" i="8"/>
  <c r="D65" i="8"/>
  <c r="G36" i="9"/>
  <c r="L36" i="9"/>
  <c r="Q35" i="9"/>
  <c r="N36" i="9" l="1"/>
  <c r="O35" i="9"/>
  <c r="B68" i="8"/>
  <c r="D66" i="8"/>
  <c r="G37" i="9"/>
  <c r="L37" i="9"/>
  <c r="Q36" i="9"/>
  <c r="N37" i="9" l="1"/>
  <c r="O36" i="9"/>
  <c r="B69" i="8"/>
  <c r="D67" i="8"/>
  <c r="G38" i="9"/>
  <c r="Q37" i="9"/>
  <c r="L38" i="9"/>
  <c r="N38" i="9" l="1"/>
  <c r="O37" i="9"/>
  <c r="B70" i="8"/>
  <c r="D68" i="8"/>
  <c r="G39" i="9"/>
  <c r="Q38" i="9"/>
  <c r="L39" i="9"/>
  <c r="N39" i="9" l="1"/>
  <c r="O38" i="9"/>
  <c r="B71" i="8"/>
  <c r="D69" i="8"/>
  <c r="G40" i="9"/>
  <c r="Q39" i="9"/>
  <c r="L40" i="9"/>
  <c r="N40" i="9" l="1"/>
  <c r="O39" i="9"/>
  <c r="B72" i="8"/>
  <c r="D70" i="8"/>
  <c r="G41" i="9"/>
  <c r="Q40" i="9"/>
  <c r="L41" i="9"/>
  <c r="N41" i="9" l="1"/>
  <c r="O40" i="9"/>
  <c r="B73" i="8"/>
  <c r="D71" i="8"/>
  <c r="G42" i="9"/>
  <c r="Q41" i="9"/>
  <c r="L42" i="9"/>
  <c r="N42" i="9" l="1"/>
  <c r="O41" i="9"/>
  <c r="B74" i="8"/>
  <c r="D72" i="8"/>
  <c r="G43" i="9"/>
  <c r="Q42" i="9"/>
  <c r="L43" i="9"/>
  <c r="N43" i="9" l="1"/>
  <c r="O42" i="9"/>
  <c r="B75" i="8"/>
  <c r="D73" i="8"/>
  <c r="G44" i="9"/>
  <c r="Q43" i="9"/>
  <c r="L44" i="9"/>
  <c r="N44" i="9" l="1"/>
  <c r="O43" i="9"/>
  <c r="B76" i="8"/>
  <c r="D74" i="8"/>
  <c r="G45" i="9"/>
  <c r="Q44" i="9"/>
  <c r="L45" i="9"/>
  <c r="N45" i="9" l="1"/>
  <c r="O44" i="9"/>
  <c r="D76" i="8" s="1"/>
  <c r="B77" i="8"/>
  <c r="D75" i="8"/>
  <c r="G46" i="9"/>
  <c r="Q45" i="9"/>
  <c r="L46" i="9"/>
  <c r="N46" i="9" l="1"/>
  <c r="O45" i="9"/>
  <c r="B78" i="8"/>
  <c r="G47" i="9"/>
  <c r="Q46" i="9"/>
  <c r="L47" i="9"/>
  <c r="N47" i="9" l="1"/>
  <c r="O46" i="9"/>
  <c r="B79" i="8"/>
  <c r="D77" i="8"/>
  <c r="G48" i="9"/>
  <c r="Q47" i="9"/>
  <c r="L48" i="9"/>
  <c r="N48" i="9" l="1"/>
  <c r="O47" i="9"/>
  <c r="B80" i="8"/>
  <c r="D78" i="8"/>
  <c r="G49" i="9"/>
  <c r="L49" i="9"/>
  <c r="Q48" i="9"/>
  <c r="N49" i="9" l="1"/>
  <c r="O48" i="9"/>
  <c r="B81" i="8"/>
  <c r="D79" i="8"/>
  <c r="G50" i="9"/>
  <c r="L50" i="9"/>
  <c r="Q49" i="9"/>
  <c r="N50" i="9" l="1"/>
  <c r="O49" i="9"/>
  <c r="B82" i="8"/>
  <c r="D80" i="8"/>
  <c r="G51" i="9"/>
  <c r="L51" i="9"/>
  <c r="Q50" i="9"/>
  <c r="N51" i="9" l="1"/>
  <c r="O50" i="9"/>
  <c r="B83" i="8"/>
  <c r="D81" i="8"/>
  <c r="G52" i="9"/>
  <c r="L52" i="9"/>
  <c r="Q51" i="9"/>
  <c r="N52" i="9" l="1"/>
  <c r="O51" i="9"/>
  <c r="B84" i="8"/>
  <c r="D82" i="8"/>
  <c r="G53" i="9"/>
  <c r="L53" i="9"/>
  <c r="Q52" i="9"/>
  <c r="N53" i="9" l="1"/>
  <c r="O52" i="9"/>
  <c r="B85" i="8"/>
  <c r="D83" i="8"/>
  <c r="G54" i="9"/>
  <c r="L54" i="9"/>
  <c r="Q53" i="9"/>
  <c r="N54" i="9" l="1"/>
  <c r="O53" i="9"/>
  <c r="B86" i="8"/>
  <c r="D84" i="8"/>
  <c r="G55" i="9"/>
  <c r="Q54" i="9"/>
  <c r="L55" i="9"/>
  <c r="N55" i="9" l="1"/>
  <c r="O54" i="9"/>
  <c r="B87" i="8"/>
  <c r="D85" i="8"/>
  <c r="G56" i="9"/>
  <c r="Q55" i="9"/>
  <c r="L56" i="9"/>
  <c r="N56" i="9" l="1"/>
  <c r="O55" i="9"/>
  <c r="B88" i="8"/>
  <c r="D86" i="8"/>
  <c r="G57" i="9"/>
  <c r="Q56" i="9"/>
  <c r="L57" i="9"/>
  <c r="N57" i="9" l="1"/>
  <c r="O56" i="9"/>
  <c r="B89" i="8"/>
  <c r="D87" i="8"/>
  <c r="G58" i="9"/>
  <c r="Q57" i="9"/>
  <c r="L58" i="9"/>
  <c r="N58" i="9" l="1"/>
  <c r="O57" i="9"/>
  <c r="B90" i="8"/>
  <c r="D88" i="8"/>
  <c r="G59" i="9"/>
  <c r="L59" i="9"/>
  <c r="Q58" i="9"/>
  <c r="N59" i="9" l="1"/>
  <c r="O58" i="9"/>
  <c r="B91" i="8"/>
  <c r="D89" i="8"/>
  <c r="G60" i="9"/>
  <c r="L60" i="9"/>
  <c r="Q59" i="9"/>
  <c r="N60" i="9" l="1"/>
  <c r="O59" i="9"/>
  <c r="B92" i="8"/>
  <c r="D90" i="8"/>
  <c r="G61" i="9"/>
  <c r="Q60" i="9"/>
  <c r="L61" i="9"/>
  <c r="N61" i="9" l="1"/>
  <c r="O60" i="9"/>
  <c r="D92" i="8" s="1"/>
  <c r="B93" i="8"/>
  <c r="D91" i="8"/>
  <c r="G62" i="9"/>
  <c r="Q61" i="9"/>
  <c r="L62" i="9"/>
  <c r="N62" i="9" l="1"/>
  <c r="O61" i="9"/>
  <c r="B94" i="8"/>
  <c r="G63" i="9"/>
  <c r="L63" i="9"/>
  <c r="Q62" i="9"/>
  <c r="N63" i="9" l="1"/>
  <c r="O62" i="9"/>
  <c r="D94" i="8" s="1"/>
  <c r="B95" i="8"/>
  <c r="D93" i="8"/>
  <c r="G64" i="9"/>
  <c r="L64" i="9"/>
  <c r="Q63" i="9"/>
  <c r="N64" i="9" l="1"/>
  <c r="O63" i="9"/>
  <c r="B96" i="8"/>
  <c r="G65" i="9"/>
  <c r="Q64" i="9"/>
  <c r="L65" i="9"/>
  <c r="N65" i="9" l="1"/>
  <c r="O64" i="9"/>
  <c r="B97" i="8"/>
  <c r="D95" i="8"/>
  <c r="G66" i="9"/>
  <c r="Q65" i="9"/>
  <c r="L66" i="9"/>
  <c r="N66" i="9" l="1"/>
  <c r="O65" i="9"/>
  <c r="B98" i="8"/>
  <c r="D96" i="8"/>
  <c r="G67" i="9"/>
  <c r="Q66" i="9"/>
  <c r="L67" i="9"/>
  <c r="N67" i="9" l="1"/>
  <c r="O66" i="9"/>
  <c r="B99" i="8"/>
  <c r="D97" i="8"/>
  <c r="G68" i="9"/>
  <c r="L68" i="9"/>
  <c r="Q67" i="9"/>
  <c r="N68" i="9" l="1"/>
  <c r="O67" i="9"/>
  <c r="D99" i="8" s="1"/>
  <c r="B100" i="8"/>
  <c r="D98" i="8"/>
  <c r="G69" i="9"/>
  <c r="Q68" i="9"/>
  <c r="L69" i="9"/>
  <c r="N69" i="9" l="1"/>
  <c r="O68" i="9"/>
  <c r="B101" i="8"/>
  <c r="G70" i="9"/>
  <c r="L70" i="9"/>
  <c r="Q69" i="9"/>
  <c r="N70" i="9" l="1"/>
  <c r="O69" i="9"/>
  <c r="B102" i="8"/>
  <c r="D100" i="8"/>
  <c r="G71" i="9"/>
  <c r="Q70" i="9"/>
  <c r="L71" i="9"/>
  <c r="N71" i="9" l="1"/>
  <c r="O70" i="9"/>
  <c r="D102" i="8" s="1"/>
  <c r="B103" i="8"/>
  <c r="D101" i="8"/>
  <c r="G72" i="9"/>
  <c r="Q71" i="9"/>
  <c r="L72" i="9"/>
  <c r="N72" i="9" l="1"/>
  <c r="O71" i="9"/>
  <c r="B104" i="8"/>
  <c r="G73" i="9"/>
  <c r="Q72" i="9"/>
  <c r="L73" i="9"/>
  <c r="N73" i="9" l="1"/>
  <c r="O72" i="9"/>
  <c r="B105" i="8"/>
  <c r="D103" i="8"/>
  <c r="G74" i="9"/>
  <c r="L74" i="9"/>
  <c r="Q73" i="9"/>
  <c r="N74" i="9" l="1"/>
  <c r="O73" i="9"/>
  <c r="B106" i="8"/>
  <c r="D104" i="8"/>
  <c r="G75" i="9"/>
  <c r="Q74" i="9"/>
  <c r="L75" i="9"/>
  <c r="N75" i="9" l="1"/>
  <c r="O74" i="9"/>
  <c r="B107" i="8"/>
  <c r="D105" i="8"/>
  <c r="G76" i="9"/>
  <c r="L76" i="9"/>
  <c r="Q75" i="9"/>
  <c r="N76" i="9" l="1"/>
  <c r="O75" i="9"/>
  <c r="B108" i="8"/>
  <c r="D106" i="8"/>
  <c r="G77" i="9"/>
  <c r="Q76" i="9"/>
  <c r="L77" i="9"/>
  <c r="N77" i="9" l="1"/>
  <c r="O76" i="9"/>
  <c r="B109" i="8"/>
  <c r="D107" i="8"/>
  <c r="G78" i="9"/>
  <c r="Q77" i="9"/>
  <c r="L78" i="9"/>
  <c r="N78" i="9" l="1"/>
  <c r="O77" i="9"/>
  <c r="B110" i="8"/>
  <c r="D108" i="8"/>
  <c r="G79" i="9"/>
  <c r="Q78" i="9"/>
  <c r="L79" i="9"/>
  <c r="N79" i="9" l="1"/>
  <c r="O78" i="9"/>
  <c r="B111" i="8"/>
  <c r="D109" i="8"/>
  <c r="G80" i="9"/>
  <c r="Q79" i="9"/>
  <c r="L80" i="9"/>
  <c r="N80" i="9" l="1"/>
  <c r="O79" i="9"/>
  <c r="B112" i="8"/>
  <c r="D110" i="8"/>
  <c r="G81" i="9"/>
  <c r="Q80" i="9"/>
  <c r="L81" i="9"/>
  <c r="N81" i="9" l="1"/>
  <c r="O80" i="9"/>
  <c r="B113" i="8"/>
  <c r="D111" i="8"/>
  <c r="G82" i="9"/>
  <c r="Q81" i="9"/>
  <c r="L82" i="9"/>
  <c r="N82" i="9" l="1"/>
  <c r="O81" i="9"/>
  <c r="B114" i="8"/>
  <c r="D112" i="8"/>
  <c r="G83" i="9"/>
  <c r="Q82" i="9"/>
  <c r="L83" i="9"/>
  <c r="N83" i="9" l="1"/>
  <c r="O82" i="9"/>
  <c r="B115" i="8"/>
  <c r="D113" i="8"/>
  <c r="G84" i="9"/>
  <c r="Q83" i="9"/>
  <c r="L84" i="9"/>
  <c r="N84" i="9" l="1"/>
  <c r="O83" i="9"/>
  <c r="B116" i="8"/>
  <c r="D114" i="8"/>
  <c r="G85" i="9"/>
  <c r="L85" i="9"/>
  <c r="Q84" i="9"/>
  <c r="N85" i="9" l="1"/>
  <c r="O84" i="9"/>
  <c r="B117" i="8"/>
  <c r="D115" i="8"/>
  <c r="G86" i="9"/>
  <c r="Q85" i="9"/>
  <c r="L86" i="9"/>
  <c r="N86" i="9" l="1"/>
  <c r="O85" i="9"/>
  <c r="B118" i="8"/>
  <c r="D116" i="8"/>
  <c r="G87" i="9"/>
  <c r="L87" i="9"/>
  <c r="Q86" i="9"/>
  <c r="N87" i="9" l="1"/>
  <c r="O86" i="9"/>
  <c r="B119" i="8"/>
  <c r="D117" i="8"/>
  <c r="G88" i="9"/>
  <c r="L88" i="9"/>
  <c r="Q87" i="9"/>
  <c r="N88" i="9" l="1"/>
  <c r="O87" i="9"/>
  <c r="B120" i="8"/>
  <c r="D118" i="8"/>
  <c r="G89" i="9"/>
  <c r="Q88" i="9"/>
  <c r="L89" i="9"/>
  <c r="N89" i="9" l="1"/>
  <c r="O88" i="9"/>
  <c r="D120" i="8" s="1"/>
  <c r="B121" i="8"/>
  <c r="D119" i="8"/>
  <c r="G90" i="9"/>
  <c r="L90" i="9"/>
  <c r="Q89" i="9"/>
  <c r="N90" i="9" l="1"/>
  <c r="O89" i="9"/>
  <c r="D121" i="8" s="1"/>
  <c r="B122" i="8"/>
  <c r="G91" i="9"/>
  <c r="Q90" i="9"/>
  <c r="L91" i="9"/>
  <c r="N91" i="9" l="1"/>
  <c r="O90" i="9"/>
  <c r="B123" i="8"/>
  <c r="G92" i="9"/>
  <c r="Q91" i="9"/>
  <c r="L92" i="9"/>
  <c r="N92" i="9" l="1"/>
  <c r="O91" i="9"/>
  <c r="D123" i="8" s="1"/>
  <c r="B124" i="8"/>
  <c r="D122" i="8"/>
  <c r="G93" i="9"/>
  <c r="L93" i="9"/>
  <c r="Q92" i="9"/>
  <c r="N93" i="9" l="1"/>
  <c r="O92" i="9"/>
  <c r="D124" i="8" s="1"/>
  <c r="B125" i="8"/>
  <c r="G94" i="9"/>
  <c r="Q93" i="9"/>
  <c r="L94" i="9"/>
  <c r="N94" i="9" l="1"/>
  <c r="O93" i="9"/>
  <c r="B126" i="8"/>
  <c r="G95" i="9"/>
  <c r="Q94" i="9"/>
  <c r="L95" i="9"/>
  <c r="N95" i="9" l="1"/>
  <c r="O94" i="9"/>
  <c r="B127" i="8"/>
  <c r="D125" i="8"/>
  <c r="G96" i="9"/>
  <c r="Q95" i="9"/>
  <c r="L96" i="9"/>
  <c r="N96" i="9" l="1"/>
  <c r="O95" i="9"/>
  <c r="B128" i="8"/>
  <c r="D126" i="8"/>
  <c r="G97" i="9"/>
  <c r="Q96" i="9"/>
  <c r="L97" i="9"/>
  <c r="N97" i="9" l="1"/>
  <c r="O96" i="9"/>
  <c r="B129" i="8"/>
  <c r="D127" i="8"/>
  <c r="G98" i="9"/>
  <c r="Q97" i="9"/>
  <c r="L98" i="9"/>
  <c r="N98" i="9" l="1"/>
  <c r="O97" i="9"/>
  <c r="B130" i="8"/>
  <c r="D128" i="8"/>
  <c r="G99" i="9"/>
  <c r="L99" i="9"/>
  <c r="Q98" i="9"/>
  <c r="N99" i="9" l="1"/>
  <c r="O98" i="9"/>
  <c r="B131" i="8"/>
  <c r="D129" i="8"/>
  <c r="G100" i="9"/>
  <c r="L100" i="9"/>
  <c r="Q99" i="9"/>
  <c r="N100" i="9" l="1"/>
  <c r="O99" i="9"/>
  <c r="B132" i="8"/>
  <c r="D130" i="8"/>
  <c r="G101" i="9"/>
  <c r="L101" i="9"/>
  <c r="Q100" i="9"/>
  <c r="N101" i="9" l="1"/>
  <c r="O100" i="9"/>
  <c r="B133" i="8"/>
  <c r="D131" i="8"/>
  <c r="G102" i="9"/>
  <c r="Q101" i="9"/>
  <c r="L102" i="9"/>
  <c r="N102" i="9" l="1"/>
  <c r="O101" i="9"/>
  <c r="B134" i="8"/>
  <c r="D132" i="8"/>
  <c r="G103" i="9"/>
  <c r="Q102" i="9"/>
  <c r="L103" i="9"/>
  <c r="N103" i="9" l="1"/>
  <c r="O102" i="9"/>
  <c r="B135" i="8"/>
  <c r="D133" i="8"/>
  <c r="G104" i="9"/>
  <c r="L104" i="9"/>
  <c r="Q103" i="9"/>
  <c r="N104" i="9" l="1"/>
  <c r="O103" i="9"/>
  <c r="B136" i="8"/>
  <c r="D134" i="8"/>
  <c r="G105" i="9"/>
  <c r="Q104" i="9"/>
  <c r="L105" i="9"/>
  <c r="N105" i="9" l="1"/>
  <c r="O104" i="9"/>
  <c r="B137" i="8"/>
  <c r="D135" i="8"/>
  <c r="G106" i="9"/>
  <c r="Q105" i="9"/>
  <c r="L106" i="9"/>
  <c r="N106" i="9" l="1"/>
  <c r="O105" i="9"/>
  <c r="B138" i="8"/>
  <c r="D136" i="8"/>
  <c r="G107" i="9"/>
  <c r="Q106" i="9"/>
  <c r="L107" i="9"/>
  <c r="N107" i="9" l="1"/>
  <c r="O106" i="9"/>
  <c r="B139" i="8"/>
  <c r="D137" i="8"/>
  <c r="G108" i="9"/>
  <c r="Q107" i="9"/>
  <c r="L108" i="9"/>
  <c r="N108" i="9" l="1"/>
  <c r="O107" i="9"/>
  <c r="B140" i="8"/>
  <c r="D138" i="8"/>
  <c r="G109" i="9"/>
  <c r="L109" i="9"/>
  <c r="Q108" i="9"/>
  <c r="N109" i="9" l="1"/>
  <c r="O108" i="9"/>
  <c r="B141" i="8"/>
  <c r="D139" i="8"/>
  <c r="G110" i="9"/>
  <c r="L110" i="9"/>
  <c r="Q109" i="9"/>
  <c r="N110" i="9" l="1"/>
  <c r="O109" i="9"/>
  <c r="D140" i="8"/>
  <c r="G111" i="9"/>
  <c r="Q110" i="9"/>
  <c r="L111" i="9"/>
  <c r="N111" i="9" l="1"/>
  <c r="O110" i="9"/>
  <c r="D141" i="8"/>
  <c r="G112" i="9"/>
  <c r="L112" i="9"/>
  <c r="Q111" i="9"/>
  <c r="N112" i="9" l="1"/>
  <c r="O111" i="9"/>
  <c r="G113" i="9"/>
  <c r="L113" i="9"/>
  <c r="Q112" i="9"/>
  <c r="N113" i="9" l="1"/>
  <c r="O112" i="9"/>
  <c r="G114" i="9"/>
  <c r="L114" i="9"/>
  <c r="Q113" i="9"/>
  <c r="N114" i="9" l="1"/>
  <c r="O113" i="9"/>
  <c r="G115" i="9"/>
  <c r="Q114" i="9"/>
  <c r="L115" i="9"/>
  <c r="N115" i="9" l="1"/>
  <c r="O114" i="9"/>
  <c r="G116" i="9"/>
  <c r="L116" i="9"/>
  <c r="Q115" i="9"/>
  <c r="N116" i="9" l="1"/>
  <c r="O115" i="9"/>
  <c r="G117" i="9"/>
  <c r="L117" i="9"/>
  <c r="Q116" i="9"/>
  <c r="N117" i="9" l="1"/>
  <c r="O116" i="9"/>
  <c r="G118" i="9"/>
  <c r="Q117" i="9"/>
  <c r="L118" i="9"/>
  <c r="N118" i="9" l="1"/>
  <c r="O117" i="9"/>
  <c r="G119" i="9"/>
  <c r="Q118" i="9"/>
  <c r="L119" i="9"/>
  <c r="N119" i="9" l="1"/>
  <c r="O118" i="9"/>
  <c r="G120" i="9"/>
  <c r="L120" i="9"/>
  <c r="Q119" i="9"/>
  <c r="N120" i="9" l="1"/>
  <c r="O119" i="9"/>
  <c r="G121" i="9"/>
  <c r="Q120" i="9"/>
  <c r="L121" i="9"/>
  <c r="N121" i="9" l="1"/>
  <c r="O120" i="9"/>
  <c r="G122" i="9"/>
  <c r="L122" i="9"/>
  <c r="Q121" i="9"/>
  <c r="N122" i="9" l="1"/>
  <c r="O121" i="9"/>
  <c r="G123" i="9"/>
  <c r="L123" i="9"/>
  <c r="Q122" i="9"/>
  <c r="N123" i="9" l="1"/>
  <c r="O122" i="9"/>
  <c r="G124" i="9"/>
  <c r="L124" i="9"/>
  <c r="Q123" i="9"/>
  <c r="N124" i="9" l="1"/>
  <c r="O123" i="9"/>
  <c r="G125" i="9"/>
  <c r="L125" i="9"/>
  <c r="Q124" i="9"/>
  <c r="N125" i="9" l="1"/>
  <c r="O124" i="9"/>
  <c r="G126" i="9"/>
  <c r="Q125" i="9"/>
  <c r="L126" i="9"/>
  <c r="N126" i="9" l="1"/>
  <c r="O125" i="9"/>
  <c r="G127" i="9"/>
  <c r="L127" i="9"/>
  <c r="Q126" i="9"/>
  <c r="N127" i="9" l="1"/>
  <c r="O126" i="9"/>
  <c r="G128" i="9"/>
  <c r="L128" i="9"/>
  <c r="Q127" i="9"/>
  <c r="N128" i="9" l="1"/>
  <c r="O127" i="9"/>
  <c r="G129" i="9"/>
  <c r="L129" i="9"/>
  <c r="Q128" i="9"/>
  <c r="N129" i="9" l="1"/>
  <c r="O128" i="9"/>
  <c r="G130" i="9"/>
  <c r="L130" i="9"/>
  <c r="Q129" i="9"/>
  <c r="N130" i="9" l="1"/>
  <c r="O129" i="9"/>
  <c r="G131" i="9"/>
  <c r="Q130" i="9"/>
  <c r="L131" i="9"/>
  <c r="N131" i="9" l="1"/>
  <c r="O130" i="9"/>
  <c r="G132" i="9"/>
  <c r="L132" i="9" s="1"/>
  <c r="N132" i="9" s="1"/>
  <c r="O132" i="9" s="1"/>
  <c r="Q131" i="9"/>
  <c r="O131" i="9" l="1"/>
  <c r="C9" i="9"/>
  <c r="C7" i="9" s="1"/>
  <c r="D40" i="8" s="1"/>
  <c r="G9" i="8" s="1"/>
  <c r="G133" i="9"/>
  <c r="L133" i="9" s="1"/>
  <c r="N133" i="9" s="1"/>
  <c r="O133" i="9" s="1"/>
  <c r="G134" i="9" l="1"/>
  <c r="L134" i="9" s="1"/>
  <c r="N134" i="9" s="1"/>
  <c r="O134" i="9" s="1"/>
  <c r="G135" i="9" l="1"/>
  <c r="L135" i="9" s="1"/>
  <c r="N135" i="9" s="1"/>
  <c r="O135" i="9" s="1"/>
  <c r="G136" i="9" l="1"/>
  <c r="L136" i="9" s="1"/>
  <c r="N136" i="9" s="1"/>
  <c r="O136" i="9" s="1"/>
  <c r="G137" i="9" l="1"/>
  <c r="L137" i="9" s="1"/>
  <c r="N137" i="9" s="1"/>
  <c r="O137" i="9" s="1"/>
  <c r="G138" i="9" l="1"/>
  <c r="L138" i="9" s="1"/>
  <c r="N138" i="9" s="1"/>
  <c r="O138" i="9" s="1"/>
  <c r="G139" i="9" l="1"/>
  <c r="L139" i="9" s="1"/>
  <c r="N139" i="9" s="1"/>
  <c r="O139" i="9" s="1"/>
  <c r="G140" i="9" l="1"/>
  <c r="L140" i="9" s="1"/>
  <c r="N140" i="9" s="1"/>
  <c r="O140" i="9" s="1"/>
  <c r="G141" i="9" l="1"/>
  <c r="L141" i="9" s="1"/>
  <c r="N141" i="9" s="1"/>
  <c r="O141" i="9" s="1"/>
  <c r="G142" i="9" l="1"/>
  <c r="L142" i="9" s="1"/>
  <c r="N142" i="9" s="1"/>
  <c r="O142" i="9" s="1"/>
  <c r="G143" i="9" l="1"/>
  <c r="L143" i="9" s="1"/>
  <c r="N143" i="9" s="1"/>
  <c r="O143" i="9" s="1"/>
  <c r="G144" i="9" l="1"/>
  <c r="L144" i="9" s="1"/>
  <c r="N144" i="9" s="1"/>
  <c r="O144" i="9" s="1"/>
  <c r="G145" i="9" l="1"/>
  <c r="L145" i="9" s="1"/>
  <c r="N145" i="9" s="1"/>
  <c r="O145" i="9" s="1"/>
  <c r="G146" i="9" l="1"/>
  <c r="L146" i="9" s="1"/>
  <c r="N146" i="9" s="1"/>
  <c r="O146" i="9" s="1"/>
  <c r="G147" i="9" l="1"/>
  <c r="L147" i="9" s="1"/>
  <c r="N147" i="9" s="1"/>
  <c r="O147" i="9" s="1"/>
  <c r="G148" i="9" l="1"/>
  <c r="L148" i="9" s="1"/>
  <c r="N148" i="9" s="1"/>
  <c r="O148" i="9" s="1"/>
  <c r="G150" i="9" l="1"/>
  <c r="L150" i="9" s="1"/>
  <c r="N150" i="9" s="1"/>
  <c r="O150" i="9" s="1"/>
  <c r="G149" i="9"/>
  <c r="L149" i="9" s="1"/>
  <c r="N149" i="9" s="1"/>
  <c r="O149" i="9" s="1"/>
  <c r="C6" i="9" l="1"/>
  <c r="D41" i="8" s="1"/>
  <c r="G8" i="8" s="1"/>
  <c r="C5" i="9"/>
  <c r="D39" i="8" l="1"/>
</calcChain>
</file>

<file path=xl/sharedStrings.xml><?xml version="1.0" encoding="utf-8"?>
<sst xmlns="http://schemas.openxmlformats.org/spreadsheetml/2006/main" count="326" uniqueCount="162">
  <si>
    <t>IR Term Structure</t>
  </si>
  <si>
    <t>Instrument</t>
  </si>
  <si>
    <t>AdjRate</t>
  </si>
  <si>
    <t>AUD-Deposit-1D</t>
  </si>
  <si>
    <t>AUD-Deposit-1W</t>
  </si>
  <si>
    <t>AUD-Deposit-2W</t>
  </si>
  <si>
    <t>AUD-Deposit-1M</t>
  </si>
  <si>
    <t>AUD-Deposit-2M</t>
  </si>
  <si>
    <t>AUD-Deposit-3M</t>
  </si>
  <si>
    <t>Additional</t>
  </si>
  <si>
    <t>ReferenceDate</t>
  </si>
  <si>
    <t>Curve Characteristics</t>
  </si>
  <si>
    <t>RateCurve</t>
  </si>
  <si>
    <t>Market</t>
  </si>
  <si>
    <t>IndexName</t>
  </si>
  <si>
    <t>AUD-LIBOR-BBA</t>
  </si>
  <si>
    <t>IndexTenor</t>
  </si>
  <si>
    <t>3M</t>
  </si>
  <si>
    <t>Algorithm</t>
  </si>
  <si>
    <t>SimpleGapStep</t>
  </si>
  <si>
    <t>Spread</t>
  </si>
  <si>
    <t>NPV</t>
  </si>
  <si>
    <t>Continuous</t>
  </si>
  <si>
    <t>FlatForward</t>
  </si>
  <si>
    <t>LinearZero</t>
  </si>
  <si>
    <t>Base algorithm</t>
  </si>
  <si>
    <t>COE</t>
  </si>
  <si>
    <t>AUD-IRSwap-3Y</t>
  </si>
  <si>
    <t>AUD-IRSwap-4Y</t>
  </si>
  <si>
    <t>AUD-IRSwap-5Y</t>
  </si>
  <si>
    <t>AUD-IRSwap-6Y</t>
  </si>
  <si>
    <t>AUD-IRSwap-7Y</t>
  </si>
  <si>
    <t>AUD-IRSwap-8Y</t>
  </si>
  <si>
    <t>AUD-IRSwap-9Y</t>
  </si>
  <si>
    <t>AUD-IRSwap-10Y</t>
  </si>
  <si>
    <t>AUD-IRSwap-15Y</t>
  </si>
  <si>
    <t>AUD-IRSwap-20Y</t>
  </si>
  <si>
    <t>CurveName</t>
  </si>
  <si>
    <t>Swap Terms</t>
  </si>
  <si>
    <t>Swap Reference Identifier</t>
  </si>
  <si>
    <t>Effective Date</t>
  </si>
  <si>
    <t>Termination Date</t>
  </si>
  <si>
    <t>Adjust Calculation Dates</t>
  </si>
  <si>
    <t>Base Party [NAB]</t>
  </si>
  <si>
    <t>Counterparty</t>
  </si>
  <si>
    <t>ANZ</t>
  </si>
  <si>
    <t>Quoted Currency Pair</t>
  </si>
  <si>
    <t>Notional Amount</t>
  </si>
  <si>
    <t>AUD</t>
  </si>
  <si>
    <t>Spot Rate</t>
  </si>
  <si>
    <t>Has Initial Exchange</t>
  </si>
  <si>
    <t>Has Final Exchange</t>
  </si>
  <si>
    <t>Principal Exchange Calendar(s)</t>
  </si>
  <si>
    <t>Sydney</t>
  </si>
  <si>
    <t>MODFOLLOWING</t>
  </si>
  <si>
    <t>Fixed</t>
  </si>
  <si>
    <t>Notional</t>
  </si>
  <si>
    <t>Currency</t>
  </si>
  <si>
    <t>Schedule Generation</t>
  </si>
  <si>
    <t>Forward</t>
  </si>
  <si>
    <t>Business Center(s)</t>
  </si>
  <si>
    <t>Coupon Period</t>
  </si>
  <si>
    <t>Roll Day</t>
  </si>
  <si>
    <t>Coupon Date Adjustment</t>
  </si>
  <si>
    <t>FOLLOWING</t>
  </si>
  <si>
    <t>Day Count Convention</t>
  </si>
  <si>
    <t>ACT/365.FIXED</t>
  </si>
  <si>
    <t>Discounting Type</t>
  </si>
  <si>
    <t>Standard</t>
  </si>
  <si>
    <t>Discount Curve Reference</t>
  </si>
  <si>
    <t>Fixed / Observed Rate</t>
  </si>
  <si>
    <t>Observed Rate Specified</t>
  </si>
  <si>
    <t>Forward Curve Reference</t>
  </si>
  <si>
    <t>Fixing Date Reset Interval</t>
  </si>
  <si>
    <t>0D</t>
  </si>
  <si>
    <t>NONE</t>
  </si>
  <si>
    <t>Rate Index Name</t>
  </si>
  <si>
    <t>Rate Index Tenor</t>
  </si>
  <si>
    <t>Valuation Date</t>
  </si>
  <si>
    <t>Type</t>
  </si>
  <si>
    <t>Amount</t>
  </si>
  <si>
    <t>Break Even Rate</t>
  </si>
  <si>
    <t>Payment Date</t>
  </si>
  <si>
    <t>Initial</t>
  </si>
  <si>
    <t>Final</t>
  </si>
  <si>
    <t>Amortisation</t>
  </si>
  <si>
    <t>AmortisedNotional</t>
  </si>
  <si>
    <t>YearFraction</t>
  </si>
  <si>
    <t>ForwardRate</t>
  </si>
  <si>
    <t>Risk Metrics</t>
  </si>
  <si>
    <t>Accrual Start Date</t>
  </si>
  <si>
    <t>Accrual End Date</t>
  </si>
  <si>
    <t>Raw Dates</t>
  </si>
  <si>
    <t>PE Payment Date</t>
  </si>
  <si>
    <t>PayDF</t>
  </si>
  <si>
    <t>StartDF</t>
  </si>
  <si>
    <t>EndDF</t>
  </si>
  <si>
    <t>ExpectedValue</t>
  </si>
  <si>
    <t>Result Dates</t>
  </si>
  <si>
    <t>Not Adjust</t>
  </si>
  <si>
    <t>Date Adjust</t>
  </si>
  <si>
    <t>Floating</t>
  </si>
  <si>
    <t>Base Currency</t>
  </si>
  <si>
    <t>DV01</t>
  </si>
  <si>
    <t>Delta</t>
  </si>
  <si>
    <t>USD-LIBOR-BBA</t>
  </si>
  <si>
    <t>USD-Deposit-1D</t>
  </si>
  <si>
    <t>USD-Deposit-1W</t>
  </si>
  <si>
    <t>USD-Deposit-2W</t>
  </si>
  <si>
    <t>USD-Deposit-1M</t>
  </si>
  <si>
    <t>USD-Deposit-2M</t>
  </si>
  <si>
    <t>USD-Deposit-3M</t>
  </si>
  <si>
    <t>USD-IRSwap-3Y</t>
  </si>
  <si>
    <t>USD-IRSwap-4Y</t>
  </si>
  <si>
    <t>USD-IRSwap-5Y</t>
  </si>
  <si>
    <t>USD-IRSwap-6Y</t>
  </si>
  <si>
    <t>USD-IRSwap-7Y</t>
  </si>
  <si>
    <t>USD-IRSwap-8Y</t>
  </si>
  <si>
    <t>USD-IRSwap-9Y</t>
  </si>
  <si>
    <t>USD-IRSwap-10Y</t>
  </si>
  <si>
    <t>USD-IRSwap-15Y</t>
  </si>
  <si>
    <t>USD-IRSwap-20Y</t>
  </si>
  <si>
    <t>LIVE</t>
  </si>
  <si>
    <t>Delta0</t>
  </si>
  <si>
    <t>Delta1</t>
  </si>
  <si>
    <t>PaymentTime</t>
  </si>
  <si>
    <t>Delat0</t>
  </si>
  <si>
    <t>Fixing Date AdjustConv.</t>
  </si>
  <si>
    <t>Principal Exchange Roll Conv.</t>
  </si>
  <si>
    <t>Fixing Date Holidays</t>
  </si>
  <si>
    <t>AUD-IRSwap-25Y</t>
  </si>
  <si>
    <t>AUD-IRSwap-30Y</t>
  </si>
  <si>
    <t>USD-IRSwap-25Y</t>
  </si>
  <si>
    <t>USD-IRSwap-30Y</t>
  </si>
  <si>
    <t>EOM</t>
  </si>
  <si>
    <t>Receives</t>
  </si>
  <si>
    <t>Start Date</t>
  </si>
  <si>
    <t>Location</t>
  </si>
  <si>
    <t>Day Convention</t>
  </si>
  <si>
    <t>Meta Schedule Range</t>
  </si>
  <si>
    <t>2Y</t>
  </si>
  <si>
    <t>1M</t>
  </si>
  <si>
    <t>10M</t>
  </si>
  <si>
    <t>20Y</t>
  </si>
  <si>
    <t>6M</t>
  </si>
  <si>
    <t>PricingStructureType</t>
  </si>
  <si>
    <t>AUD-IRFuture-IR-1</t>
  </si>
  <si>
    <t>AUD-IRFuture-IR-2</t>
  </si>
  <si>
    <t>AUD-IRFuture-IR-3</t>
  </si>
  <si>
    <t>AUD-IRFuture-IR-4</t>
  </si>
  <si>
    <t>AUD-IRFuture-IR-5</t>
  </si>
  <si>
    <t>AUD-IRFuture-IR-6</t>
  </si>
  <si>
    <t>AUD-IRFuture-IR-7</t>
  </si>
  <si>
    <t>AUD-IRFuture-IR-8</t>
  </si>
  <si>
    <t>USD-IRFuture-ED-1</t>
  </si>
  <si>
    <t>USD-IRFuture-ED-2</t>
  </si>
  <si>
    <t>USD-IRFuture-ED-3</t>
  </si>
  <si>
    <t>USD-IRFuture-ED-4</t>
  </si>
  <si>
    <t>USD-IRFuture-ED-5</t>
  </si>
  <si>
    <t>USD-IRFuture-ED-6</t>
  </si>
  <si>
    <t>USD-IRFuture-ED-7</t>
  </si>
  <si>
    <t>USD-IRFuture-ED-8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</si>
</sst>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44" formatCode="_-&quot;$&quot;* #,##0.00_-;\-&quot;$&quot;* #,##0.00_-;_-&quot;$&quot;* &quot;-&quot;??_-;_-@_-"/>
    <numFmt numFmtId="43" formatCode="_-* #,##0.00_-;\-* #,##0.00_-;_-* &quot;-&quot;??_-;_-@_-"/>
    <numFmt numFmtId="164" formatCode="dd/mm/yyyy;@"/>
    <numFmt numFmtId="165" formatCode="&quot;$&quot;#,##0\ ;\(&quot;$&quot;#,##0\)"/>
    <numFmt numFmtId="166" formatCode="0.00_)"/>
    <numFmt numFmtId="167" formatCode="0.000%"/>
    <numFmt numFmtId="168" formatCode="#,##0.0;#,##0.0"/>
    <numFmt numFmtId="169" formatCode="\+#,##0.00;\-#,##0.00"/>
    <numFmt numFmtId="170" formatCode="d/m/yyyy;@"/>
    <numFmt numFmtId="171" formatCode="0.000000"/>
    <numFmt numFmtId="172" formatCode="0.00000"/>
    <numFmt numFmtId="173" formatCode="0.0000"/>
    <numFmt numFmtId="174" formatCode="0.0000%"/>
    <numFmt numFmtId="175" formatCode="yyyy\-mm\-dd;@"/>
    <numFmt numFmtId="176" formatCode="#,##0.00_ ;[Red]\-#,##0.00\ "/>
    <numFmt numFmtId="177" formatCode="#,##0.00_ ;\-#,##0.00\ "/>
    <numFmt numFmtId="178" formatCode="[$-C09]dd\-mmmm\-yyyy;@"/>
    <numFmt numFmtId="179" formatCode="[$-C09]dddd\,\ d\ mmmm\ yyyy;@"/>
    <numFmt numFmtId="180" formatCode="#,##0_ ;[Red]\-#,##0\ "/>
    <numFmt numFmtId="181" formatCode="0_ ;[Red]\-0\ "/>
    <numFmt numFmtId="182" formatCode="_(&quot;$&quot;* #,##0_);_(&quot;$&quot;* \(#,##0\);_(&quot;$&quot;* &quot;-&quot;??_);_(@_)"/>
    <numFmt numFmtId="183" formatCode="d/mm/yyyy;@"/>
  </numFmts>
  <fonts count="55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color indexed="9"/>
      <name val="Arial"/>
      <family val="2"/>
    </font>
    <font>
      <b/>
      <sz val="8"/>
      <color indexed="9"/>
      <name val="Verdana"/>
      <family val="2"/>
    </font>
    <font>
      <sz val="8"/>
      <name val="Verdana"/>
      <family val="2"/>
    </font>
    <font>
      <b/>
      <sz val="8"/>
      <color indexed="9"/>
      <name val="Times New Roman"/>
      <family val="1"/>
    </font>
    <font>
      <b/>
      <i/>
      <sz val="8"/>
      <color indexed="9"/>
      <name val="Verdana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MS Sans Serif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sz val="11"/>
      <color indexed="62"/>
      <name val="Calibri"/>
      <family val="2"/>
    </font>
    <font>
      <sz val="10"/>
      <name val="Arial"/>
      <family val="2"/>
    </font>
    <font>
      <b/>
      <sz val="9"/>
      <color indexed="9"/>
      <name val="Verdana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11"/>
      <color indexed="63"/>
      <name val="Calibri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ＭＳ Ｐゴシック"/>
      <charset val="128"/>
    </font>
    <font>
      <sz val="10"/>
      <name val="Times New Roman"/>
      <family val="1"/>
    </font>
    <font>
      <b/>
      <sz val="8"/>
      <color indexed="12"/>
      <name val="Arial"/>
      <family val="2"/>
    </font>
    <font>
      <sz val="10"/>
      <name val="Arial"/>
      <family val="2"/>
    </font>
    <font>
      <b/>
      <sz val="8"/>
      <color indexed="62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0"/>
      <color indexed="12"/>
      <name val="Arial"/>
      <family val="2"/>
    </font>
    <font>
      <sz val="8"/>
      <color indexed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darkGray">
        <bgColor indexed="22"/>
      </patternFill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</fills>
  <borders count="3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5">
    <xf numFmtId="0" fontId="0" fillId="0" borderId="0"/>
    <xf numFmtId="0" fontId="1" fillId="0" borderId="0" applyNumberFormat="0" applyFill="0" applyBorder="0" applyAlignment="0" applyProtection="0">
      <alignment horizontal="left" wrapText="1"/>
    </xf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20" borderId="0" applyAlignment="0"/>
    <xf numFmtId="0" fontId="12" fillId="3" borderId="0" applyNumberFormat="0" applyBorder="0" applyAlignment="0" applyProtection="0"/>
    <xf numFmtId="0" fontId="13" fillId="21" borderId="1" applyNumberFormat="0" applyAlignment="0" applyProtection="0"/>
    <xf numFmtId="0" fontId="14" fillId="22" borderId="2" applyNumberFormat="0" applyAlignment="0" applyProtection="0"/>
    <xf numFmtId="43" fontId="45" fillId="0" borderId="0" applyFont="0" applyFill="0" applyBorder="0" applyAlignment="0" applyProtection="0"/>
    <xf numFmtId="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16" fillId="4" borderId="0" applyNumberFormat="0" applyBorder="0" applyAlignment="0" applyProtection="0"/>
    <xf numFmtId="0" fontId="17" fillId="0" borderId="3" applyNumberFormat="0" applyFill="0" applyAlignment="0" applyProtection="0"/>
    <xf numFmtId="0" fontId="18" fillId="0" borderId="4" applyNumberFormat="0" applyFill="0" applyAlignment="0" applyProtection="0"/>
    <xf numFmtId="0" fontId="19" fillId="0" borderId="5" applyNumberFormat="0" applyFill="0" applyAlignment="0" applyProtection="0"/>
    <xf numFmtId="0" fontId="19" fillId="0" borderId="0" applyNumberFormat="0" applyFill="0" applyBorder="0" applyAlignment="0" applyProtection="0"/>
    <xf numFmtId="0" fontId="20" fillId="23" borderId="0" applyNumberFormat="0" applyBorder="0">
      <alignment horizontal="right" vertical="center"/>
    </xf>
    <xf numFmtId="19" fontId="20" fillId="23" borderId="6" applyNumberFormat="0" applyBorder="0">
      <alignment horizontal="left" vertical="center"/>
    </xf>
    <xf numFmtId="2" fontId="21" fillId="24" borderId="0">
      <alignment horizontal="center" vertical="center"/>
    </xf>
    <xf numFmtId="2" fontId="21" fillId="24" borderId="7" applyBorder="0">
      <alignment horizontal="left" vertical="center"/>
    </xf>
    <xf numFmtId="0" fontId="20" fillId="23" borderId="0">
      <alignment horizontal="right" vertical="center"/>
    </xf>
    <xf numFmtId="19" fontId="22" fillId="23" borderId="8" applyNumberFormat="0" applyBorder="0">
      <alignment horizontal="left" vertical="center" indent="1"/>
    </xf>
    <xf numFmtId="2" fontId="23" fillId="24" borderId="9" applyBorder="0">
      <alignment horizontal="left" vertical="center" indent="1"/>
    </xf>
    <xf numFmtId="2" fontId="23" fillId="24" borderId="10" applyBorder="0">
      <alignment horizontal="center" vertical="center"/>
    </xf>
    <xf numFmtId="0" fontId="24" fillId="7" borderId="1" applyNumberFormat="0" applyAlignment="0" applyProtection="0"/>
    <xf numFmtId="2" fontId="25" fillId="25" borderId="11" applyBorder="0">
      <alignment horizontal="left" vertical="center" indent="1"/>
    </xf>
    <xf numFmtId="0" fontId="25" fillId="25" borderId="0">
      <alignment horizontal="right" vertical="center"/>
    </xf>
    <xf numFmtId="2" fontId="25" fillId="25" borderId="6" applyNumberFormat="0" applyBorder="0">
      <alignment horizontal="right" vertical="center"/>
    </xf>
    <xf numFmtId="2" fontId="26" fillId="26" borderId="8" applyBorder="0">
      <alignment horizontal="left" vertical="center" indent="1"/>
    </xf>
    <xf numFmtId="2" fontId="26" fillId="26" borderId="0">
      <alignment horizontal="right" vertical="center"/>
    </xf>
    <xf numFmtId="2" fontId="26" fillId="26" borderId="7" applyBorder="0">
      <alignment horizontal="left" vertical="center"/>
    </xf>
    <xf numFmtId="2" fontId="26" fillId="26" borderId="12" applyBorder="0">
      <alignment horizontal="center" vertical="center"/>
    </xf>
    <xf numFmtId="19" fontId="22" fillId="27" borderId="13" applyNumberFormat="0" applyBorder="0">
      <alignment horizontal="left" vertical="center"/>
    </xf>
    <xf numFmtId="15" fontId="22" fillId="27" borderId="10" applyNumberFormat="0" applyBorder="0">
      <alignment horizontal="right" vertical="center"/>
    </xf>
    <xf numFmtId="19" fontId="22" fillId="27" borderId="14" applyNumberFormat="0" applyBorder="0">
      <alignment horizontal="right" vertical="center"/>
    </xf>
    <xf numFmtId="2" fontId="23" fillId="28" borderId="15" applyBorder="0">
      <alignment horizontal="left" vertical="center" indent="1"/>
    </xf>
    <xf numFmtId="2" fontId="23" fillId="28" borderId="7" applyNumberFormat="0">
      <alignment horizontal="center" vertical="center"/>
    </xf>
    <xf numFmtId="2" fontId="23" fillId="28" borderId="7" applyNumberFormat="0" applyBorder="0">
      <alignment horizontal="left" vertical="center"/>
    </xf>
    <xf numFmtId="2" fontId="25" fillId="29" borderId="14" applyNumberFormat="0" applyBorder="0">
      <alignment horizontal="right" vertical="center"/>
    </xf>
    <xf numFmtId="0" fontId="27" fillId="0" borderId="16" applyNumberFormat="0" applyFill="0" applyAlignment="0" applyProtection="0"/>
    <xf numFmtId="0" fontId="28" fillId="30" borderId="0" applyNumberFormat="0" applyBorder="0" applyAlignment="0" applyProtection="0"/>
    <xf numFmtId="0" fontId="1" fillId="0" borderId="0" applyNumberFormat="0" applyFont="0" applyFill="0" applyBorder="0" applyAlignment="0"/>
    <xf numFmtId="166" fontId="29" fillId="0" borderId="0"/>
    <xf numFmtId="0" fontId="1" fillId="31" borderId="0"/>
    <xf numFmtId="0" fontId="1" fillId="0" borderId="0"/>
    <xf numFmtId="0" fontId="1" fillId="31" borderId="0"/>
    <xf numFmtId="0" fontId="1" fillId="32" borderId="17" applyNumberFormat="0" applyFont="0" applyAlignment="0" applyProtection="0"/>
    <xf numFmtId="0" fontId="30" fillId="33" borderId="18" applyNumberFormat="0" applyBorder="0">
      <alignment horizontal="left" vertical="center"/>
    </xf>
    <xf numFmtId="2" fontId="30" fillId="33" borderId="7" applyNumberFormat="0" applyBorder="0">
      <alignment horizontal="left" vertical="center"/>
    </xf>
    <xf numFmtId="2" fontId="26" fillId="26" borderId="19" applyNumberFormat="0" applyBorder="0">
      <alignment horizontal="left" vertical="center"/>
    </xf>
    <xf numFmtId="2" fontId="26" fillId="26" borderId="7" applyNumberFormat="0" applyBorder="0">
      <alignment horizontal="left" vertical="center"/>
    </xf>
    <xf numFmtId="0" fontId="31" fillId="21" borderId="20" applyNumberFormat="0" applyAlignment="0" applyProtection="0"/>
    <xf numFmtId="19" fontId="25" fillId="34" borderId="21" applyNumberFormat="0" applyBorder="0">
      <alignment horizontal="left" vertical="center" indent="1"/>
    </xf>
    <xf numFmtId="0" fontId="25" fillId="34" borderId="0">
      <alignment horizontal="right" vertical="center"/>
    </xf>
    <xf numFmtId="19" fontId="25" fillId="34" borderId="14" applyNumberFormat="0" applyBorder="0">
      <alignment horizontal="right" vertical="center"/>
    </xf>
    <xf numFmtId="2" fontId="32" fillId="35" borderId="9" applyBorder="0">
      <alignment horizontal="left" vertical="center" indent="1"/>
    </xf>
    <xf numFmtId="2" fontId="32" fillId="35" borderId="0">
      <alignment horizontal="center" vertical="center"/>
    </xf>
    <xf numFmtId="2" fontId="32" fillId="35" borderId="22">
      <alignment horizontal="left" vertical="center"/>
    </xf>
    <xf numFmtId="0" fontId="33" fillId="36" borderId="12">
      <alignment horizontal="center"/>
    </xf>
    <xf numFmtId="9" fontId="1" fillId="0" borderId="0" applyFont="0" applyFill="0" applyBorder="0" applyAlignment="0" applyProtection="0"/>
    <xf numFmtId="9" fontId="45" fillId="0" borderId="0" applyFont="0" applyFill="0" applyBorder="0" applyAlignment="0" applyProtection="0"/>
    <xf numFmtId="167" fontId="34" fillId="37" borderId="0" applyNumberFormat="0" applyBorder="0">
      <alignment horizontal="right" vertical="center"/>
    </xf>
    <xf numFmtId="167" fontId="34" fillId="37" borderId="0" applyNumberFormat="0" applyBorder="0">
      <alignment horizontal="right" vertical="center"/>
    </xf>
    <xf numFmtId="0" fontId="35" fillId="38" borderId="12" applyNumberFormat="0">
      <alignment horizontal="center" vertical="center"/>
    </xf>
    <xf numFmtId="0" fontId="35" fillId="38" borderId="0" applyNumberFormat="0" applyBorder="0">
      <alignment horizontal="left" vertical="center" indent="1"/>
    </xf>
    <xf numFmtId="168" fontId="36" fillId="39" borderId="0">
      <alignment horizontal="center" vertical="center"/>
    </xf>
    <xf numFmtId="169" fontId="37" fillId="40" borderId="0">
      <alignment horizontal="center" vertical="center"/>
      <protection locked="0"/>
    </xf>
    <xf numFmtId="0" fontId="1" fillId="0" borderId="0">
      <alignment horizontal="left" wrapText="1"/>
    </xf>
    <xf numFmtId="2" fontId="38" fillId="41" borderId="18" applyNumberFormat="0" applyFill="0" applyBorder="0" applyAlignment="0">
      <alignment horizontal="center"/>
      <protection locked="0"/>
    </xf>
    <xf numFmtId="2" fontId="25" fillId="42" borderId="7" applyNumberFormat="0" applyBorder="0">
      <alignment horizontal="right" vertical="center"/>
    </xf>
    <xf numFmtId="2" fontId="25" fillId="42" borderId="0">
      <alignment horizontal="right" vertical="center"/>
    </xf>
    <xf numFmtId="2" fontId="26" fillId="43" borderId="12">
      <alignment horizontal="center" vertical="center"/>
    </xf>
    <xf numFmtId="2" fontId="26" fillId="43" borderId="0" applyNumberFormat="0" applyBorder="0">
      <alignment horizontal="left" vertical="center"/>
    </xf>
    <xf numFmtId="2" fontId="26" fillId="43" borderId="12">
      <alignment horizontal="center" vertical="center"/>
    </xf>
    <xf numFmtId="0" fontId="39" fillId="0" borderId="0" applyNumberFormat="0" applyFill="0" applyBorder="0" applyAlignment="0" applyProtection="0"/>
    <xf numFmtId="0" fontId="40" fillId="0" borderId="23" applyNumberFormat="0" applyFill="0" applyAlignment="0" applyProtection="0"/>
    <xf numFmtId="0" fontId="41" fillId="0" borderId="0" applyNumberFormat="0" applyFill="0" applyBorder="0" applyAlignment="0" applyProtection="0"/>
    <xf numFmtId="38" fontId="42" fillId="0" borderId="0" applyFont="0" applyFill="0" applyBorder="0" applyAlignment="0" applyProtection="0"/>
    <xf numFmtId="0" fontId="42" fillId="0" borderId="0"/>
  </cellStyleXfs>
  <cellXfs count="214">
    <xf numFmtId="0" fontId="0" fillId="0" borderId="0" xfId="0"/>
    <xf numFmtId="0" fontId="2" fillId="0" borderId="0" xfId="0" applyFont="1"/>
    <xf numFmtId="0" fontId="5" fillId="0" borderId="0" xfId="0" applyFont="1"/>
    <xf numFmtId="0" fontId="6" fillId="44" borderId="6" xfId="71" applyFont="1" applyFill="1" applyBorder="1"/>
    <xf numFmtId="0" fontId="6" fillId="44" borderId="24" xfId="71" applyFont="1" applyFill="1" applyBorder="1"/>
    <xf numFmtId="0" fontId="4" fillId="44" borderId="25" xfId="71" applyFont="1" applyFill="1" applyBorder="1" applyAlignment="1">
      <alignment horizontal="center"/>
    </xf>
    <xf numFmtId="0" fontId="7" fillId="44" borderId="26" xfId="71" applyFont="1" applyFill="1" applyBorder="1" applyAlignment="1">
      <alignment horizontal="center"/>
    </xf>
    <xf numFmtId="0" fontId="7" fillId="44" borderId="27" xfId="71" applyFont="1" applyFill="1" applyBorder="1" applyAlignment="1">
      <alignment horizontal="center"/>
    </xf>
    <xf numFmtId="2" fontId="5" fillId="45" borderId="6" xfId="71" applyNumberFormat="1" applyFont="1" applyFill="1" applyBorder="1" applyAlignment="1">
      <alignment horizontal="right"/>
    </xf>
    <xf numFmtId="2" fontId="5" fillId="45" borderId="14" xfId="71" applyNumberFormat="1" applyFont="1" applyFill="1" applyBorder="1" applyAlignment="1">
      <alignment horizontal="right"/>
    </xf>
    <xf numFmtId="2" fontId="5" fillId="45" borderId="24" xfId="71" applyNumberFormat="1" applyFont="1" applyFill="1" applyBorder="1" applyAlignment="1">
      <alignment horizontal="right"/>
    </xf>
    <xf numFmtId="0" fontId="8" fillId="0" borderId="0" xfId="0" applyFont="1"/>
    <xf numFmtId="0" fontId="5" fillId="45" borderId="8" xfId="71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5" fillId="45" borderId="28" xfId="71" applyFont="1" applyFill="1" applyBorder="1" applyAlignment="1">
      <alignment horizontal="center"/>
    </xf>
    <xf numFmtId="0" fontId="5" fillId="45" borderId="21" xfId="71" applyFont="1" applyFill="1" applyBorder="1" applyAlignment="1">
      <alignment horizontal="center"/>
    </xf>
    <xf numFmtId="0" fontId="4" fillId="44" borderId="19" xfId="71" applyFont="1" applyFill="1" applyBorder="1" applyAlignment="1">
      <alignment horizontal="center"/>
    </xf>
    <xf numFmtId="0" fontId="6" fillId="44" borderId="29" xfId="71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4" borderId="18" xfId="71" applyFont="1" applyFill="1" applyBorder="1" applyAlignment="1">
      <alignment horizontal="center"/>
    </xf>
    <xf numFmtId="0" fontId="4" fillId="44" borderId="14" xfId="71" applyFont="1" applyFill="1" applyBorder="1" applyAlignment="1">
      <alignment horizontal="center"/>
    </xf>
    <xf numFmtId="0" fontId="5" fillId="46" borderId="30" xfId="71" applyFont="1" applyFill="1" applyBorder="1" applyAlignment="1">
      <alignment horizontal="center"/>
    </xf>
    <xf numFmtId="164" fontId="5" fillId="45" borderId="14" xfId="71" applyNumberFormat="1" applyFont="1" applyFill="1" applyBorder="1" applyAlignment="1">
      <alignment horizontal="center"/>
    </xf>
    <xf numFmtId="14" fontId="5" fillId="46" borderId="30" xfId="71" applyNumberFormat="1" applyFont="1" applyFill="1" applyBorder="1" applyAlignment="1">
      <alignment horizontal="center"/>
    </xf>
    <xf numFmtId="0" fontId="5" fillId="45" borderId="14" xfId="71" applyFont="1" applyFill="1" applyBorder="1" applyAlignment="1">
      <alignment horizontal="center"/>
    </xf>
    <xf numFmtId="22" fontId="5" fillId="45" borderId="14" xfId="71" applyNumberFormat="1" applyFont="1" applyFill="1" applyBorder="1" applyAlignment="1">
      <alignment horizontal="center"/>
    </xf>
    <xf numFmtId="0" fontId="5" fillId="46" borderId="31" xfId="71" applyFont="1" applyFill="1" applyBorder="1" applyAlignment="1">
      <alignment horizontal="center"/>
    </xf>
    <xf numFmtId="0" fontId="5" fillId="45" borderId="24" xfId="71" applyFont="1" applyFill="1" applyBorder="1" applyAlignment="1">
      <alignment horizontal="center"/>
    </xf>
    <xf numFmtId="0" fontId="4" fillId="44" borderId="10" xfId="71" applyFont="1" applyFill="1" applyBorder="1" applyAlignment="1">
      <alignment horizontal="center"/>
    </xf>
    <xf numFmtId="0" fontId="6" fillId="44" borderId="32" xfId="71" applyFont="1" applyFill="1" applyBorder="1" applyAlignment="1">
      <alignment horizontal="center"/>
    </xf>
    <xf numFmtId="0" fontId="6" fillId="44" borderId="27" xfId="71" applyFont="1" applyFill="1" applyBorder="1" applyAlignment="1">
      <alignment horizontal="center"/>
    </xf>
    <xf numFmtId="0" fontId="5" fillId="45" borderId="33" xfId="71" applyFont="1" applyFill="1" applyBorder="1" applyAlignment="1">
      <alignment horizontal="center"/>
    </xf>
    <xf numFmtId="10" fontId="5" fillId="45" borderId="34" xfId="71" applyNumberFormat="1" applyFont="1" applyFill="1" applyBorder="1" applyAlignment="1">
      <alignment horizontal="center"/>
    </xf>
    <xf numFmtId="0" fontId="5" fillId="45" borderId="30" xfId="71" applyFont="1" applyFill="1" applyBorder="1" applyAlignment="1">
      <alignment horizontal="center"/>
    </xf>
    <xf numFmtId="10" fontId="5" fillId="45" borderId="35" xfId="71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5" borderId="31" xfId="71" applyFont="1" applyFill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2" fillId="0" borderId="0" xfId="0" applyFont="1" applyAlignment="1">
      <alignment horizontal="center"/>
    </xf>
    <xf numFmtId="10" fontId="5" fillId="45" borderId="26" xfId="71" applyNumberFormat="1" applyFont="1" applyFill="1" applyBorder="1" applyAlignment="1">
      <alignment horizontal="center"/>
    </xf>
    <xf numFmtId="10" fontId="43" fillId="45" borderId="7" xfId="69" applyNumberFormat="1" applyFont="1" applyFill="1" applyBorder="1" applyAlignment="1">
      <alignment horizontal="center"/>
    </xf>
    <xf numFmtId="10" fontId="43" fillId="45" borderId="22" xfId="69" applyNumberFormat="1" applyFont="1" applyFill="1" applyBorder="1" applyAlignment="1">
      <alignment horizontal="center"/>
    </xf>
    <xf numFmtId="10" fontId="43" fillId="45" borderId="36" xfId="69" applyNumberFormat="1" applyFont="1" applyFill="1" applyBorder="1" applyAlignment="1">
      <alignment horizontal="center"/>
    </xf>
    <xf numFmtId="0" fontId="8" fillId="47" borderId="32" xfId="0" applyFont="1" applyFill="1" applyBorder="1"/>
    <xf numFmtId="0" fontId="8" fillId="0" borderId="0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2" xfId="0" applyFont="1" applyBorder="1" applyAlignment="1">
      <alignment horizontal="left"/>
    </xf>
    <xf numFmtId="0" fontId="8" fillId="47" borderId="0" xfId="0" applyFont="1" applyFill="1" applyBorder="1"/>
    <xf numFmtId="14" fontId="8" fillId="0" borderId="0" xfId="0" applyNumberFormat="1" applyFont="1" applyAlignment="1">
      <alignment horizontal="left"/>
    </xf>
    <xf numFmtId="0" fontId="8" fillId="0" borderId="27" xfId="0" applyFont="1" applyBorder="1" applyAlignment="1">
      <alignment horizontal="left"/>
    </xf>
    <xf numFmtId="0" fontId="44" fillId="0" borderId="32" xfId="0" applyFont="1" applyBorder="1" applyAlignment="1">
      <alignment horizontal="left"/>
    </xf>
    <xf numFmtId="176" fontId="8" fillId="0" borderId="0" xfId="30" applyNumberFormat="1" applyFont="1" applyBorder="1" applyAlignment="1">
      <alignment horizontal="left"/>
    </xf>
    <xf numFmtId="0" fontId="46" fillId="0" borderId="0" xfId="0" applyFont="1" applyBorder="1" applyAlignment="1">
      <alignment horizontal="left"/>
    </xf>
    <xf numFmtId="0" fontId="8" fillId="47" borderId="18" xfId="0" applyFont="1" applyFill="1" applyBorder="1"/>
    <xf numFmtId="0" fontId="8" fillId="47" borderId="0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177" fontId="8" fillId="0" borderId="32" xfId="30" applyNumberFormat="1" applyFont="1" applyBorder="1" applyAlignment="1">
      <alignment horizontal="left"/>
    </xf>
    <xf numFmtId="0" fontId="2" fillId="0" borderId="0" xfId="0" applyFont="1" applyBorder="1" applyAlignment="1" applyProtection="1">
      <alignment horizontal="left"/>
      <protection locked="0"/>
    </xf>
    <xf numFmtId="14" fontId="8" fillId="0" borderId="0" xfId="0" applyNumberFormat="1" applyFont="1"/>
    <xf numFmtId="0" fontId="2" fillId="0" borderId="0" xfId="0" applyFont="1" applyBorder="1" applyAlignment="1" applyProtection="1">
      <protection locked="0"/>
    </xf>
    <xf numFmtId="0" fontId="8" fillId="0" borderId="0" xfId="0" applyFont="1" applyFill="1" applyBorder="1"/>
    <xf numFmtId="175" fontId="3" fillId="48" borderId="7" xfId="0" applyNumberFormat="1" applyFont="1" applyFill="1" applyBorder="1" applyAlignment="1" applyProtection="1">
      <alignment horizontal="center"/>
    </xf>
    <xf numFmtId="40" fontId="3" fillId="48" borderId="7" xfId="30" applyNumberFormat="1" applyFont="1" applyFill="1" applyBorder="1" applyAlignment="1" applyProtection="1">
      <alignment horizontal="center"/>
    </xf>
    <xf numFmtId="0" fontId="3" fillId="48" borderId="6" xfId="0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left"/>
    </xf>
    <xf numFmtId="40" fontId="48" fillId="0" borderId="6" xfId="30" applyNumberFormat="1" applyFont="1" applyFill="1" applyBorder="1" applyAlignment="1" applyProtection="1">
      <alignment horizontal="center"/>
    </xf>
    <xf numFmtId="40" fontId="48" fillId="0" borderId="24" xfId="30" applyNumberFormat="1" applyFont="1" applyFill="1" applyBorder="1" applyAlignment="1" applyProtection="1">
      <alignment horizontal="center"/>
    </xf>
    <xf numFmtId="40" fontId="48" fillId="0" borderId="7" xfId="30" applyNumberFormat="1" applyFont="1" applyFill="1" applyBorder="1" applyAlignment="1" applyProtection="1">
      <alignment horizontal="center"/>
    </xf>
    <xf numFmtId="40" fontId="48" fillId="0" borderId="36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right"/>
    </xf>
    <xf numFmtId="0" fontId="8" fillId="47" borderId="0" xfId="0" applyFont="1" applyFill="1" applyBorder="1" applyAlignment="1">
      <alignment horizontal="center"/>
    </xf>
    <xf numFmtId="0" fontId="3" fillId="48" borderId="6" xfId="0" applyFont="1" applyFill="1" applyBorder="1" applyAlignment="1" applyProtection="1">
      <alignment horizontal="center"/>
    </xf>
    <xf numFmtId="0" fontId="48" fillId="0" borderId="14" xfId="0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right"/>
    </xf>
    <xf numFmtId="0" fontId="48" fillId="0" borderId="24" xfId="0" applyFont="1" applyFill="1" applyBorder="1" applyAlignment="1" applyProtection="1">
      <alignment horizontal="center"/>
    </xf>
    <xf numFmtId="14" fontId="8" fillId="47" borderId="18" xfId="0" applyNumberFormat="1" applyFont="1" applyFill="1" applyBorder="1"/>
    <xf numFmtId="176" fontId="8" fillId="47" borderId="0" xfId="30" applyNumberFormat="1" applyFont="1" applyFill="1" applyBorder="1"/>
    <xf numFmtId="14" fontId="8" fillId="47" borderId="0" xfId="0" applyNumberFormat="1" applyFont="1" applyFill="1" applyBorder="1"/>
    <xf numFmtId="0" fontId="8" fillId="0" borderId="0" xfId="0" applyFont="1" applyBorder="1"/>
    <xf numFmtId="0" fontId="8" fillId="0" borderId="0" xfId="0" applyFont="1" applyBorder="1" applyAlignment="1">
      <alignment horizontal="right"/>
    </xf>
    <xf numFmtId="0" fontId="8" fillId="0" borderId="0" xfId="0" applyFont="1" applyBorder="1" applyAlignment="1">
      <alignment horizontal="center"/>
    </xf>
    <xf numFmtId="14" fontId="8" fillId="0" borderId="0" xfId="0" applyNumberFormat="1" applyFont="1" applyBorder="1"/>
    <xf numFmtId="14" fontId="8" fillId="0" borderId="0" xfId="0" applyNumberFormat="1" applyFont="1" applyBorder="1" applyAlignment="1">
      <alignment horizontal="right"/>
    </xf>
    <xf numFmtId="14" fontId="8" fillId="0" borderId="0" xfId="0" applyNumberFormat="1" applyFont="1" applyBorder="1" applyAlignment="1">
      <alignment horizontal="center"/>
    </xf>
    <xf numFmtId="2" fontId="8" fillId="0" borderId="0" xfId="0" applyNumberFormat="1" applyFont="1" applyBorder="1" applyAlignment="1">
      <alignment horizontal="center"/>
    </xf>
    <xf numFmtId="14" fontId="8" fillId="0" borderId="0" xfId="0" applyNumberFormat="1" applyFont="1" applyAlignment="1">
      <alignment horizontal="right"/>
    </xf>
    <xf numFmtId="14" fontId="8" fillId="0" borderId="0" xfId="0" applyNumberFormat="1" applyFont="1" applyAlignment="1">
      <alignment horizontal="center"/>
    </xf>
    <xf numFmtId="0" fontId="8" fillId="47" borderId="25" xfId="0" applyFont="1" applyFill="1" applyBorder="1"/>
    <xf numFmtId="0" fontId="8" fillId="47" borderId="27" xfId="0" applyFont="1" applyFill="1" applyBorder="1"/>
    <xf numFmtId="0" fontId="8" fillId="0" borderId="0" xfId="0" applyFont="1" applyFill="1" applyBorder="1" applyAlignment="1">
      <alignment horizontal="right"/>
    </xf>
    <xf numFmtId="0" fontId="3" fillId="49" borderId="7" xfId="0" applyFont="1" applyFill="1" applyBorder="1"/>
    <xf numFmtId="0" fontId="3" fillId="49" borderId="22" xfId="0" applyFont="1" applyFill="1" applyBorder="1"/>
    <xf numFmtId="0" fontId="3" fillId="49" borderId="36" xfId="0" applyFont="1" applyFill="1" applyBorder="1"/>
    <xf numFmtId="0" fontId="3" fillId="49" borderId="7" xfId="0" applyFont="1" applyFill="1" applyBorder="1" applyProtection="1"/>
    <xf numFmtId="0" fontId="3" fillId="49" borderId="36" xfId="0" applyFont="1" applyFill="1" applyBorder="1" applyProtection="1"/>
    <xf numFmtId="0" fontId="47" fillId="49" borderId="22" xfId="0" applyFont="1" applyFill="1" applyBorder="1" applyProtection="1">
      <protection locked="0"/>
    </xf>
    <xf numFmtId="0" fontId="47" fillId="49" borderId="7" xfId="0" applyFont="1" applyFill="1" applyBorder="1" applyProtection="1">
      <protection locked="0"/>
    </xf>
    <xf numFmtId="0" fontId="47" fillId="49" borderId="36" xfId="0" applyFont="1" applyFill="1" applyBorder="1" applyProtection="1">
      <protection locked="0"/>
    </xf>
    <xf numFmtId="179" fontId="48" fillId="0" borderId="7" xfId="0" applyNumberFormat="1" applyFont="1" applyFill="1" applyBorder="1" applyAlignment="1" applyProtection="1">
      <alignment horizontal="center"/>
    </xf>
    <xf numFmtId="179" fontId="48" fillId="0" borderId="22" xfId="0" applyNumberFormat="1" applyFont="1" applyFill="1" applyBorder="1" applyAlignment="1" applyProtection="1">
      <alignment horizontal="center"/>
    </xf>
    <xf numFmtId="179" fontId="48" fillId="0" borderId="36" xfId="0" applyNumberFormat="1" applyFont="1" applyFill="1" applyBorder="1" applyAlignment="1" applyProtection="1">
      <alignment horizontal="center"/>
    </xf>
    <xf numFmtId="40" fontId="3" fillId="48" borderId="6" xfId="30" applyNumberFormat="1" applyFont="1" applyFill="1" applyBorder="1" applyAlignment="1" applyProtection="1">
      <alignment horizontal="center"/>
    </xf>
    <xf numFmtId="14" fontId="8" fillId="0" borderId="32" xfId="0" applyNumberFormat="1" applyFont="1" applyFill="1" applyBorder="1" applyAlignment="1">
      <alignment horizontal="center"/>
    </xf>
    <xf numFmtId="14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38" fontId="48" fillId="0" borderId="14" xfId="32" applyNumberFormat="1" applyFont="1" applyFill="1" applyBorder="1" applyAlignment="1" applyProtection="1">
      <alignment horizontal="center"/>
    </xf>
    <xf numFmtId="38" fontId="48" fillId="0" borderId="24" xfId="32" applyNumberFormat="1" applyFont="1" applyFill="1" applyBorder="1" applyAlignment="1" applyProtection="1">
      <alignment horizontal="center"/>
    </xf>
    <xf numFmtId="38" fontId="8" fillId="47" borderId="0" xfId="0" applyNumberFormat="1" applyFont="1" applyFill="1" applyBorder="1" applyAlignment="1">
      <alignment horizontal="center"/>
    </xf>
    <xf numFmtId="38" fontId="8" fillId="0" borderId="7" xfId="32" applyNumberFormat="1" applyFont="1" applyFill="1" applyBorder="1" applyAlignment="1">
      <alignment horizontal="center"/>
    </xf>
    <xf numFmtId="38" fontId="8" fillId="0" borderId="22" xfId="32" applyNumberFormat="1" applyFont="1" applyFill="1" applyBorder="1" applyAlignment="1">
      <alignment horizontal="center"/>
    </xf>
    <xf numFmtId="38" fontId="8" fillId="0" borderId="36" xfId="32" applyNumberFormat="1" applyFont="1" applyFill="1" applyBorder="1" applyAlignment="1">
      <alignment horizontal="center"/>
    </xf>
    <xf numFmtId="173" fontId="8" fillId="0" borderId="32" xfId="85" applyNumberFormat="1" applyFont="1" applyFill="1" applyBorder="1" applyAlignment="1">
      <alignment horizontal="center"/>
    </xf>
    <xf numFmtId="173" fontId="8" fillId="0" borderId="0" xfId="0" applyNumberFormat="1" applyFont="1" applyFill="1" applyBorder="1" applyAlignment="1">
      <alignment horizontal="center"/>
    </xf>
    <xf numFmtId="172" fontId="8" fillId="0" borderId="32" xfId="0" applyNumberFormat="1" applyFont="1" applyFill="1" applyBorder="1" applyAlignment="1">
      <alignment horizontal="center"/>
    </xf>
    <xf numFmtId="171" fontId="8" fillId="0" borderId="0" xfId="0" applyNumberFormat="1" applyFont="1" applyFill="1" applyBorder="1" applyAlignment="1">
      <alignment horizontal="center"/>
    </xf>
    <xf numFmtId="172" fontId="8" fillId="0" borderId="7" xfId="0" applyNumberFormat="1" applyFont="1" applyFill="1" applyBorder="1" applyAlignment="1">
      <alignment horizontal="center"/>
    </xf>
    <xf numFmtId="171" fontId="8" fillId="0" borderId="36" xfId="0" applyNumberFormat="1" applyFont="1" applyFill="1" applyBorder="1" applyAlignment="1">
      <alignment horizontal="center"/>
    </xf>
    <xf numFmtId="174" fontId="8" fillId="0" borderId="32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0" fillId="0" borderId="0" xfId="0" applyFont="1"/>
    <xf numFmtId="0" fontId="50" fillId="0" borderId="0" xfId="0" applyFont="1" applyAlignment="1">
      <alignment horizontal="right"/>
    </xf>
    <xf numFmtId="0" fontId="50" fillId="0" borderId="0" xfId="0" applyFont="1" applyAlignment="1">
      <alignment horizontal="center"/>
    </xf>
    <xf numFmtId="0" fontId="49" fillId="50" borderId="6" xfId="0" applyFont="1" applyFill="1" applyBorder="1"/>
    <xf numFmtId="0" fontId="51" fillId="50" borderId="10" xfId="0" applyFont="1" applyFill="1" applyBorder="1"/>
    <xf numFmtId="0" fontId="51" fillId="50" borderId="6" xfId="0" applyFont="1" applyFill="1" applyBorder="1" applyAlignment="1" applyProtection="1">
      <alignment horizontal="left"/>
    </xf>
    <xf numFmtId="0" fontId="46" fillId="0" borderId="27" xfId="0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49" fontId="52" fillId="50" borderId="6" xfId="0" applyNumberFormat="1" applyFont="1" applyFill="1" applyBorder="1" applyAlignment="1" applyProtection="1">
      <alignment horizontal="center"/>
    </xf>
    <xf numFmtId="10" fontId="48" fillId="0" borderId="7" xfId="86" applyNumberFormat="1" applyFont="1" applyFill="1" applyBorder="1" applyAlignment="1" applyProtection="1">
      <alignment horizontal="center"/>
    </xf>
    <xf numFmtId="170" fontId="8" fillId="47" borderId="18" xfId="0" applyNumberFormat="1" applyFont="1" applyFill="1" applyBorder="1"/>
    <xf numFmtId="170" fontId="52" fillId="50" borderId="10" xfId="0" applyNumberFormat="1" applyFont="1" applyFill="1" applyBorder="1" applyAlignment="1">
      <alignment horizontal="center"/>
    </xf>
    <xf numFmtId="170" fontId="3" fillId="48" borderId="7" xfId="0" applyNumberFormat="1" applyFont="1" applyFill="1" applyBorder="1" applyAlignment="1" applyProtection="1">
      <alignment horizontal="center"/>
    </xf>
    <xf numFmtId="170" fontId="48" fillId="0" borderId="7" xfId="0" applyNumberFormat="1" applyFont="1" applyFill="1" applyBorder="1" applyAlignment="1" applyProtection="1">
      <alignment horizontal="center"/>
    </xf>
    <xf numFmtId="170" fontId="48" fillId="0" borderId="22" xfId="0" applyNumberFormat="1" applyFont="1" applyFill="1" applyBorder="1" applyAlignment="1" applyProtection="1">
      <alignment horizontal="center"/>
    </xf>
    <xf numFmtId="170" fontId="8" fillId="47" borderId="0" xfId="0" applyNumberFormat="1" applyFont="1" applyFill="1" applyBorder="1"/>
    <xf numFmtId="170" fontId="48" fillId="0" borderId="36" xfId="0" applyNumberFormat="1" applyFont="1" applyFill="1" applyBorder="1" applyAlignment="1" applyProtection="1">
      <alignment horizontal="center"/>
    </xf>
    <xf numFmtId="170" fontId="8" fillId="47" borderId="27" xfId="0" applyNumberFormat="1" applyFont="1" applyFill="1" applyBorder="1"/>
    <xf numFmtId="170" fontId="8" fillId="0" borderId="0" xfId="0" applyNumberFormat="1" applyFont="1"/>
    <xf numFmtId="10" fontId="48" fillId="0" borderId="6" xfId="86" applyNumberFormat="1" applyFont="1" applyFill="1" applyBorder="1" applyAlignment="1" applyProtection="1">
      <alignment horizontal="center"/>
    </xf>
    <xf numFmtId="0" fontId="8" fillId="47" borderId="27" xfId="0" applyFont="1" applyFill="1" applyBorder="1" applyAlignment="1">
      <alignment horizontal="center"/>
    </xf>
    <xf numFmtId="174" fontId="8" fillId="0" borderId="0" xfId="85" applyNumberFormat="1" applyFont="1" applyFill="1" applyBorder="1" applyAlignment="1">
      <alignment horizontal="center"/>
    </xf>
    <xf numFmtId="10" fontId="2" fillId="0" borderId="32" xfId="85" applyNumberFormat="1" applyFont="1" applyBorder="1" applyAlignment="1" applyProtection="1">
      <alignment horizontal="left"/>
      <protection locked="0"/>
    </xf>
    <xf numFmtId="180" fontId="48" fillId="0" borderId="24" xfId="0" applyNumberFormat="1" applyFont="1" applyFill="1" applyBorder="1" applyAlignment="1" applyProtection="1">
      <alignment horizontal="center"/>
    </xf>
    <xf numFmtId="0" fontId="48" fillId="0" borderId="7" xfId="0" applyNumberFormat="1" applyFont="1" applyFill="1" applyBorder="1" applyAlignment="1" applyProtection="1">
      <alignment horizontal="center"/>
    </xf>
    <xf numFmtId="0" fontId="48" fillId="0" borderId="22" xfId="0" applyNumberFormat="1" applyFont="1" applyFill="1" applyBorder="1" applyAlignment="1" applyProtection="1">
      <alignment horizontal="center"/>
    </xf>
    <xf numFmtId="0" fontId="3" fillId="48" borderId="7" xfId="0" applyFont="1" applyFill="1" applyBorder="1" applyAlignment="1" applyProtection="1">
      <alignment horizontal="center"/>
    </xf>
    <xf numFmtId="0" fontId="48" fillId="51" borderId="14" xfId="0" applyFont="1" applyFill="1" applyBorder="1" applyAlignment="1" applyProtection="1">
      <alignment horizontal="center"/>
    </xf>
    <xf numFmtId="0" fontId="48" fillId="51" borderId="24" xfId="0" applyFont="1" applyFill="1" applyBorder="1" applyAlignment="1" applyProtection="1">
      <alignment horizontal="center"/>
    </xf>
    <xf numFmtId="14" fontId="8" fillId="52" borderId="7" xfId="0" applyNumberFormat="1" applyFont="1" applyFill="1" applyBorder="1" applyAlignment="1">
      <alignment horizontal="center"/>
    </xf>
    <xf numFmtId="14" fontId="8" fillId="52" borderId="22" xfId="0" applyNumberFormat="1" applyFont="1" applyFill="1" applyBorder="1" applyAlignment="1">
      <alignment horizontal="center"/>
    </xf>
    <xf numFmtId="0" fontId="8" fillId="52" borderId="22" xfId="0" applyFont="1" applyFill="1" applyBorder="1" applyAlignment="1">
      <alignment horizontal="center"/>
    </xf>
    <xf numFmtId="176" fontId="8" fillId="0" borderId="7" xfId="30" applyNumberFormat="1" applyFont="1" applyFill="1" applyBorder="1" applyAlignment="1">
      <alignment horizontal="center"/>
    </xf>
    <xf numFmtId="176" fontId="8" fillId="0" borderId="22" xfId="30" applyNumberFormat="1" applyFont="1" applyFill="1" applyBorder="1" applyAlignment="1">
      <alignment horizontal="center"/>
    </xf>
    <xf numFmtId="176" fontId="8" fillId="0" borderId="36" xfId="30" applyNumberFormat="1" applyFont="1" applyFill="1" applyBorder="1" applyAlignment="1">
      <alignment horizontal="center"/>
    </xf>
    <xf numFmtId="0" fontId="52" fillId="50" borderId="6" xfId="0" applyNumberFormat="1" applyFont="1" applyFill="1" applyBorder="1" applyAlignment="1" applyProtection="1">
      <alignment horizontal="center"/>
    </xf>
    <xf numFmtId="38" fontId="48" fillId="0" borderId="36" xfId="30" applyNumberFormat="1" applyFont="1" applyFill="1" applyBorder="1" applyAlignment="1" applyProtection="1">
      <alignment horizontal="center"/>
    </xf>
    <xf numFmtId="179" fontId="48" fillId="0" borderId="10" xfId="0" applyNumberFormat="1" applyFont="1" applyFill="1" applyBorder="1" applyAlignment="1" applyProtection="1">
      <alignment horizontal="center"/>
    </xf>
    <xf numFmtId="40" fontId="48" fillId="0" borderId="22" xfId="30" applyNumberFormat="1" applyFont="1" applyFill="1" applyBorder="1" applyAlignment="1" applyProtection="1">
      <alignment horizontal="center"/>
    </xf>
    <xf numFmtId="40" fontId="48" fillId="0" borderId="10" xfId="30" applyNumberFormat="1" applyFont="1" applyFill="1" applyBorder="1" applyAlignment="1" applyProtection="1">
      <alignment horizontal="center"/>
    </xf>
    <xf numFmtId="40" fontId="48" fillId="0" borderId="18" xfId="30" applyNumberFormat="1" applyFont="1" applyFill="1" applyBorder="1" applyAlignment="1" applyProtection="1">
      <alignment horizontal="center"/>
    </xf>
    <xf numFmtId="40" fontId="48" fillId="0" borderId="25" xfId="30" applyNumberFormat="1" applyFont="1" applyFill="1" applyBorder="1" applyAlignment="1" applyProtection="1">
      <alignment horizontal="center"/>
    </xf>
    <xf numFmtId="38" fontId="48" fillId="0" borderId="22" xfId="30" applyNumberFormat="1" applyFont="1" applyFill="1" applyBorder="1" applyAlignment="1" applyProtection="1">
      <alignment horizontal="center"/>
    </xf>
    <xf numFmtId="40" fontId="48" fillId="0" borderId="14" xfId="30" applyNumberFormat="1" applyFont="1" applyFill="1" applyBorder="1" applyAlignment="1" applyProtection="1">
      <alignment horizontal="center"/>
    </xf>
    <xf numFmtId="172" fontId="8" fillId="0" borderId="10" xfId="0" applyNumberFormat="1" applyFont="1" applyFill="1" applyBorder="1" applyAlignment="1">
      <alignment horizontal="center"/>
    </xf>
    <xf numFmtId="172" fontId="8" fillId="0" borderId="6" xfId="0" applyNumberFormat="1" applyFont="1" applyFill="1" applyBorder="1" applyAlignment="1">
      <alignment horizontal="center"/>
    </xf>
    <xf numFmtId="171" fontId="8" fillId="0" borderId="18" xfId="0" applyNumberFormat="1" applyFont="1" applyFill="1" applyBorder="1" applyAlignment="1">
      <alignment horizontal="center"/>
    </xf>
    <xf numFmtId="171" fontId="8" fillId="0" borderId="14" xfId="0" applyNumberFormat="1" applyFont="1" applyFill="1" applyBorder="1" applyAlignment="1">
      <alignment horizontal="center"/>
    </xf>
    <xf numFmtId="10" fontId="2" fillId="0" borderId="27" xfId="85" applyNumberFormat="1" applyFont="1" applyBorder="1" applyAlignment="1" applyProtection="1">
      <alignment horizontal="left"/>
      <protection locked="0"/>
    </xf>
    <xf numFmtId="0" fontId="3" fillId="48" borderId="0" xfId="0" applyFont="1" applyFill="1" applyBorder="1" applyAlignment="1" applyProtection="1">
      <alignment horizontal="center"/>
    </xf>
    <xf numFmtId="175" fontId="3" fillId="48" borderId="0" xfId="0" applyNumberFormat="1" applyFont="1" applyFill="1" applyBorder="1" applyAlignment="1" applyProtection="1">
      <alignment horizontal="center"/>
    </xf>
    <xf numFmtId="2" fontId="48" fillId="0" borderId="0" xfId="0" applyNumberFormat="1" applyFont="1" applyFill="1" applyBorder="1" applyAlignment="1" applyProtection="1">
      <alignment horizontal="center"/>
    </xf>
    <xf numFmtId="2" fontId="48" fillId="0" borderId="22" xfId="0" applyNumberFormat="1" applyFont="1" applyFill="1" applyBorder="1" applyAlignment="1" applyProtection="1">
      <alignment horizontal="center"/>
    </xf>
    <xf numFmtId="2" fontId="48" fillId="0" borderId="36" xfId="0" applyNumberFormat="1" applyFont="1" applyFill="1" applyBorder="1" applyAlignment="1" applyProtection="1">
      <alignment horizontal="center"/>
    </xf>
    <xf numFmtId="0" fontId="3" fillId="48" borderId="10" xfId="0" applyFont="1" applyFill="1" applyBorder="1" applyAlignment="1" applyProtection="1">
      <alignment horizontal="center"/>
    </xf>
    <xf numFmtId="176" fontId="8" fillId="0" borderId="18" xfId="30" applyNumberFormat="1" applyFont="1" applyFill="1" applyBorder="1" applyAlignment="1">
      <alignment horizontal="center"/>
    </xf>
    <xf numFmtId="180" fontId="8" fillId="47" borderId="0" xfId="30" applyNumberFormat="1" applyFont="1" applyFill="1" applyBorder="1"/>
    <xf numFmtId="180" fontId="3" fillId="48" borderId="6" xfId="0" applyNumberFormat="1" applyFont="1" applyFill="1" applyBorder="1" applyAlignment="1" applyProtection="1">
      <alignment horizontal="center"/>
    </xf>
    <xf numFmtId="180" fontId="8" fillId="0" borderId="14" xfId="30" applyNumberFormat="1" applyFont="1" applyFill="1" applyBorder="1" applyAlignment="1">
      <alignment horizontal="center"/>
    </xf>
    <xf numFmtId="180" fontId="48" fillId="0" borderId="14" xfId="0" applyNumberFormat="1" applyFont="1" applyFill="1" applyBorder="1" applyAlignment="1" applyProtection="1">
      <alignment horizontal="center"/>
    </xf>
    <xf numFmtId="180" fontId="8" fillId="0" borderId="14" xfId="0" applyNumberFormat="1" applyFont="1" applyBorder="1" applyAlignment="1">
      <alignment horizontal="center"/>
    </xf>
    <xf numFmtId="0" fontId="8" fillId="0" borderId="25" xfId="0" applyFont="1" applyBorder="1" applyAlignment="1">
      <alignment horizontal="center"/>
    </xf>
    <xf numFmtId="180" fontId="8" fillId="0" borderId="24" xfId="0" applyNumberFormat="1" applyFont="1" applyBorder="1" applyAlignment="1">
      <alignment horizontal="center"/>
    </xf>
    <xf numFmtId="180" fontId="8" fillId="0" borderId="7" xfId="30" applyNumberFormat="1" applyFont="1" applyFill="1" applyBorder="1" applyAlignment="1">
      <alignment horizontal="center"/>
    </xf>
    <xf numFmtId="180" fontId="8" fillId="0" borderId="22" xfId="30" applyNumberFormat="1" applyFont="1" applyFill="1" applyBorder="1" applyAlignment="1">
      <alignment horizontal="center"/>
    </xf>
    <xf numFmtId="180" fontId="48" fillId="0" borderId="14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center"/>
    </xf>
    <xf numFmtId="0" fontId="50" fillId="47" borderId="0" xfId="0" applyFont="1" applyFill="1" applyBorder="1" applyAlignment="1">
      <alignment horizontal="center"/>
    </xf>
    <xf numFmtId="180" fontId="48" fillId="0" borderId="14" xfId="86" applyNumberFormat="1" applyFont="1" applyFill="1" applyBorder="1" applyAlignment="1" applyProtection="1">
      <alignment horizontal="center"/>
    </xf>
    <xf numFmtId="176" fontId="48" fillId="0" borderId="14" xfId="30" applyNumberFormat="1" applyFont="1" applyFill="1" applyBorder="1" applyAlignment="1" applyProtection="1">
      <alignment horizontal="center"/>
    </xf>
    <xf numFmtId="176" fontId="48" fillId="0" borderId="24" xfId="30" applyNumberFormat="1" applyFont="1" applyFill="1" applyBorder="1" applyAlignment="1" applyProtection="1">
      <alignment horizontal="center"/>
    </xf>
    <xf numFmtId="176" fontId="8" fillId="47" borderId="0" xfId="30" applyNumberFormat="1" applyFont="1" applyFill="1" applyBorder="1" applyAlignment="1">
      <alignment horizontal="center"/>
    </xf>
    <xf numFmtId="181" fontId="48" fillId="0" borderId="24" xfId="0" applyNumberFormat="1" applyFont="1" applyFill="1" applyBorder="1" applyAlignment="1" applyProtection="1">
      <alignment horizontal="center"/>
    </xf>
    <xf numFmtId="176" fontId="48" fillId="0" borderId="10" xfId="30" applyNumberFormat="1" applyFont="1" applyFill="1" applyBorder="1" applyAlignment="1" applyProtection="1">
      <alignment horizontal="center"/>
    </xf>
    <xf numFmtId="180" fontId="48" fillId="0" borderId="6" xfId="30" applyNumberFormat="1" applyFont="1" applyFill="1" applyBorder="1" applyAlignment="1" applyProtection="1">
      <alignment horizontal="right"/>
    </xf>
    <xf numFmtId="176" fontId="48" fillId="0" borderId="25" xfId="30" applyNumberFormat="1" applyFont="1" applyFill="1" applyBorder="1" applyAlignment="1" applyProtection="1">
      <alignment horizontal="center"/>
    </xf>
    <xf numFmtId="180" fontId="48" fillId="0" borderId="24" xfId="30" applyNumberFormat="1" applyFont="1" applyFill="1" applyBorder="1" applyAlignment="1" applyProtection="1">
      <alignment horizontal="right"/>
    </xf>
    <xf numFmtId="178" fontId="8" fillId="0" borderId="0" xfId="0" applyNumberFormat="1" applyFont="1" applyBorder="1" applyAlignment="1">
      <alignment horizontal="left"/>
    </xf>
    <xf numFmtId="0" fontId="0" fillId="45" borderId="37" xfId="70" applyFont="1" applyFill="1" applyBorder="1"/>
    <xf numFmtId="14" fontId="2" fillId="45" borderId="37" xfId="32" applyNumberFormat="1" applyFont="1" applyFill="1" applyBorder="1" applyAlignment="1">
      <alignment horizontal="center"/>
    </xf>
    <xf numFmtId="0" fontId="53" fillId="0" borderId="0" xfId="70" applyFont="1" applyBorder="1" applyAlignment="1">
      <alignment horizontal="center"/>
    </xf>
    <xf numFmtId="182" fontId="2" fillId="45" borderId="37" xfId="32" applyNumberFormat="1" applyFont="1" applyFill="1" applyBorder="1" applyAlignment="1">
      <alignment horizontal="center"/>
    </xf>
    <xf numFmtId="0" fontId="0" fillId="0" borderId="37" xfId="0" applyBorder="1"/>
    <xf numFmtId="2" fontId="2" fillId="45" borderId="37" xfId="70" applyNumberFormat="1" applyFont="1" applyFill="1" applyBorder="1" applyAlignment="1">
      <alignment horizontal="center"/>
    </xf>
    <xf numFmtId="1" fontId="2" fillId="45" borderId="37" xfId="70" applyNumberFormat="1" applyFont="1" applyFill="1" applyBorder="1" applyAlignment="1">
      <alignment horizontal="center"/>
    </xf>
    <xf numFmtId="14" fontId="54" fillId="45" borderId="37" xfId="0" applyNumberFormat="1" applyFont="1" applyFill="1" applyBorder="1" applyAlignment="1">
      <alignment horizontal="center"/>
    </xf>
    <xf numFmtId="14" fontId="53" fillId="0" borderId="0" xfId="70" applyNumberFormat="1" applyFont="1" applyBorder="1" applyAlignment="1">
      <alignment horizontal="center"/>
    </xf>
    <xf numFmtId="178" fontId="48" fillId="0" borderId="7" xfId="0" applyNumberFormat="1" applyFont="1" applyFill="1" applyBorder="1" applyAlignment="1" applyProtection="1">
      <alignment horizontal="center"/>
    </xf>
    <xf numFmtId="178" fontId="48" fillId="0" borderId="22" xfId="0" applyNumberFormat="1" applyFont="1" applyFill="1" applyBorder="1" applyAlignment="1" applyProtection="1">
      <alignment horizontal="center"/>
    </xf>
    <xf numFmtId="183" fontId="3" fillId="48" borderId="7" xfId="0" applyNumberFormat="1" applyFont="1" applyFill="1" applyBorder="1" applyAlignment="1" applyProtection="1">
      <alignment horizontal="center"/>
    </xf>
    <xf numFmtId="183" fontId="48" fillId="0" borderId="7" xfId="0" applyNumberFormat="1" applyFont="1" applyFill="1" applyBorder="1" applyAlignment="1" applyProtection="1">
      <alignment horizontal="center"/>
    </xf>
    <xf numFmtId="183" fontId="48" fillId="0" borderId="22" xfId="0" applyNumberFormat="1" applyFont="1" applyFill="1" applyBorder="1" applyAlignment="1" applyProtection="1">
      <alignment horizontal="center"/>
    </xf>
  </cellXfs>
  <cellStyles count="105">
    <cellStyle name="_Copy of Portfolios to Archeus 6-3-04 (2)" xfId="1" xr:uid="{00000000-0005-0000-0000-000000000000}"/>
    <cellStyle name="20% - Accent1" xfId="2" builtinId="30" customBuiltin="1"/>
    <cellStyle name="20% - Accent2" xfId="3" builtinId="34" customBuiltin="1"/>
    <cellStyle name="20% - Accent3" xfId="4" builtinId="38" customBuiltin="1"/>
    <cellStyle name="20% - Accent4" xfId="5" builtinId="42" customBuiltin="1"/>
    <cellStyle name="20% - Accent5" xfId="6" builtinId="46" customBuiltin="1"/>
    <cellStyle name="20% - Accent6" xfId="7" builtinId="50" customBuiltin="1"/>
    <cellStyle name="40% - Accent1" xfId="8" builtinId="31" customBuiltin="1"/>
    <cellStyle name="40% - Accent2" xfId="9" builtinId="35" customBuiltin="1"/>
    <cellStyle name="40% - Accent3" xfId="10" builtinId="39" customBuiltin="1"/>
    <cellStyle name="40% - Accent4" xfId="11" builtinId="43" customBuiltin="1"/>
    <cellStyle name="40% - Accent5" xfId="12" builtinId="47" customBuiltin="1"/>
    <cellStyle name="40% - Accent6" xfId="13" builtinId="51" customBuiltin="1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" xfId="26" xr:uid="{00000000-0005-0000-0000-000019000000}"/>
    <cellStyle name="Bad" xfId="27" builtinId="27" customBuiltin="1"/>
    <cellStyle name="Calculation" xfId="28" builtinId="22" customBuiltin="1"/>
    <cellStyle name="Check Cell" xfId="29" builtinId="23" customBuiltin="1"/>
    <cellStyle name="Comma 2" xfId="30" xr:uid="{00000000-0005-0000-0000-00001D000000}"/>
    <cellStyle name="Comma0" xfId="31" xr:uid="{00000000-0005-0000-0000-00001E000000}"/>
    <cellStyle name="Currency" xfId="32" builtinId="4"/>
    <cellStyle name="Currency0" xfId="33" xr:uid="{00000000-0005-0000-0000-000020000000}"/>
    <cellStyle name="Date" xfId="34" xr:uid="{00000000-0005-0000-0000-000021000000}"/>
    <cellStyle name="Explanatory Text" xfId="35" builtinId="53" customBuiltin="1"/>
    <cellStyle name="Fixed" xfId="36" xr:uid="{00000000-0005-0000-0000-000023000000}"/>
    <cellStyle name="Good" xfId="37" builtinId="26" customBuiltin="1"/>
    <cellStyle name="Heading 1" xfId="38" builtinId="16" customBuiltin="1"/>
    <cellStyle name="Heading 2" xfId="39" builtinId="17" customBuiltin="1"/>
    <cellStyle name="Heading 3" xfId="40" builtinId="18" customBuiltin="1"/>
    <cellStyle name="Heading 4" xfId="41" builtinId="19" customBuiltin="1"/>
    <cellStyle name="InfoDataColumn" xfId="42" xr:uid="{00000000-0005-0000-0000-000029000000}"/>
    <cellStyle name="InfoDataRow" xfId="43" xr:uid="{00000000-0005-0000-0000-00002A000000}"/>
    <cellStyle name="InfoLabelColumn" xfId="44" xr:uid="{00000000-0005-0000-0000-00002B000000}"/>
    <cellStyle name="InfoLabelRow" xfId="45" xr:uid="{00000000-0005-0000-0000-00002C000000}"/>
    <cellStyle name="InfolDataColumn" xfId="46" xr:uid="{00000000-0005-0000-0000-00002D000000}"/>
    <cellStyle name="InformationalData" xfId="47" xr:uid="{00000000-0005-0000-0000-00002E000000}"/>
    <cellStyle name="InformationalLabel" xfId="48" xr:uid="{00000000-0005-0000-0000-00002F000000}"/>
    <cellStyle name="InformationalLabelTop" xfId="49" xr:uid="{00000000-0005-0000-0000-000030000000}"/>
    <cellStyle name="Input" xfId="50" builtinId="20" customBuiltin="1"/>
    <cellStyle name="InputData" xfId="51" xr:uid="{00000000-0005-0000-0000-000032000000}"/>
    <cellStyle name="InputDataColumn" xfId="52" xr:uid="{00000000-0005-0000-0000-000033000000}"/>
    <cellStyle name="InputDataRow" xfId="53" xr:uid="{00000000-0005-0000-0000-000034000000}"/>
    <cellStyle name="InputLabel" xfId="54" xr:uid="{00000000-0005-0000-0000-000035000000}"/>
    <cellStyle name="InputLabelColumn" xfId="55" xr:uid="{00000000-0005-0000-0000-000036000000}"/>
    <cellStyle name="InputLabelRow" xfId="56" xr:uid="{00000000-0005-0000-0000-000037000000}"/>
    <cellStyle name="InputLabelTop" xfId="57" xr:uid="{00000000-0005-0000-0000-000038000000}"/>
    <cellStyle name="IntermediateData" xfId="58" xr:uid="{00000000-0005-0000-0000-000039000000}"/>
    <cellStyle name="IntermediateDataColumn" xfId="59" xr:uid="{00000000-0005-0000-0000-00003A000000}"/>
    <cellStyle name="IntermediateDataRow" xfId="60" xr:uid="{00000000-0005-0000-0000-00003B000000}"/>
    <cellStyle name="IntermediateLabel" xfId="61" xr:uid="{00000000-0005-0000-0000-00003C000000}"/>
    <cellStyle name="IntermediateLabelColumn" xfId="62" xr:uid="{00000000-0005-0000-0000-00003D000000}"/>
    <cellStyle name="IntermediateLabelRow" xfId="63" xr:uid="{00000000-0005-0000-0000-00003E000000}"/>
    <cellStyle name="InvalidCell" xfId="64" xr:uid="{00000000-0005-0000-0000-00003F000000}"/>
    <cellStyle name="Linked Cell" xfId="65" builtinId="24" customBuiltin="1"/>
    <cellStyle name="Neutral" xfId="66" builtinId="28" customBuiltin="1"/>
    <cellStyle name="NewSheet" xfId="67" xr:uid="{00000000-0005-0000-0000-000042000000}"/>
    <cellStyle name="Normal" xfId="0" builtinId="0"/>
    <cellStyle name="Normal - Style1" xfId="68" xr:uid="{00000000-0005-0000-0000-000044000000}"/>
    <cellStyle name="Normal_Curves" xfId="69" xr:uid="{00000000-0005-0000-0000-000045000000}"/>
    <cellStyle name="Normal_Full AUD Swaption Calibration" xfId="70" xr:uid="{00000000-0005-0000-0000-000046000000}"/>
    <cellStyle name="Normal_Sheet1" xfId="71" xr:uid="{00000000-0005-0000-0000-000047000000}"/>
    <cellStyle name="Note" xfId="72" builtinId="10" customBuiltin="1"/>
    <cellStyle name="ObjectDataColumn" xfId="73" xr:uid="{00000000-0005-0000-0000-000049000000}"/>
    <cellStyle name="ObjectDataRow" xfId="74" xr:uid="{00000000-0005-0000-0000-00004A000000}"/>
    <cellStyle name="ObjectLabelColumn" xfId="75" xr:uid="{00000000-0005-0000-0000-00004B000000}"/>
    <cellStyle name="ObjectLabelRow" xfId="76" xr:uid="{00000000-0005-0000-0000-00004C000000}"/>
    <cellStyle name="Output" xfId="77" builtinId="21" customBuiltin="1"/>
    <cellStyle name="OutputData" xfId="78" xr:uid="{00000000-0005-0000-0000-00004E000000}"/>
    <cellStyle name="OutputDataColumn" xfId="79" xr:uid="{00000000-0005-0000-0000-00004F000000}"/>
    <cellStyle name="OutputDataRow" xfId="80" xr:uid="{00000000-0005-0000-0000-000050000000}"/>
    <cellStyle name="OutputLabel" xfId="81" xr:uid="{00000000-0005-0000-0000-000051000000}"/>
    <cellStyle name="OutputLabelColumn" xfId="82" xr:uid="{00000000-0005-0000-0000-000052000000}"/>
    <cellStyle name="OutputLabelRow" xfId="83" xr:uid="{00000000-0005-0000-0000-000053000000}"/>
    <cellStyle name="PanelLabel" xfId="84" xr:uid="{00000000-0005-0000-0000-000054000000}"/>
    <cellStyle name="Percent" xfId="85" builtinId="5"/>
    <cellStyle name="Percent 2" xfId="86" xr:uid="{00000000-0005-0000-0000-000056000000}"/>
    <cellStyle name="PersonalDataColumn" xfId="87" xr:uid="{00000000-0005-0000-0000-000057000000}"/>
    <cellStyle name="PersonalDataRow" xfId="88" xr:uid="{00000000-0005-0000-0000-000058000000}"/>
    <cellStyle name="PersonalLabelColumn" xfId="89" xr:uid="{00000000-0005-0000-0000-000059000000}"/>
    <cellStyle name="PersonalLabelRow" xfId="90" xr:uid="{00000000-0005-0000-0000-00005A000000}"/>
    <cellStyle name="result" xfId="91" xr:uid="{00000000-0005-0000-0000-00005B000000}"/>
    <cellStyle name="spreads" xfId="92" xr:uid="{00000000-0005-0000-0000-00005C000000}"/>
    <cellStyle name="Style 1" xfId="93" xr:uid="{00000000-0005-0000-0000-00005D000000}"/>
    <cellStyle name="swaptn" xfId="94" xr:uid="{00000000-0005-0000-0000-00005E000000}"/>
    <cellStyle name="TableDataColumn" xfId="95" xr:uid="{00000000-0005-0000-0000-00005F000000}"/>
    <cellStyle name="TableDataRow" xfId="96" xr:uid="{00000000-0005-0000-0000-000060000000}"/>
    <cellStyle name="TableLabelColumn" xfId="97" xr:uid="{00000000-0005-0000-0000-000061000000}"/>
    <cellStyle name="TableLabelRow" xfId="98" xr:uid="{00000000-0005-0000-0000-000062000000}"/>
    <cellStyle name="TableLabelTop" xfId="99" xr:uid="{00000000-0005-0000-0000-000063000000}"/>
    <cellStyle name="Title" xfId="100" builtinId="15" customBuiltin="1"/>
    <cellStyle name="Total" xfId="101" builtinId="25" customBuiltin="1"/>
    <cellStyle name="Warning Text" xfId="102" builtinId="11" customBuiltin="1"/>
    <cellStyle name="桁区切り_NewDemo" xfId="103" xr:uid="{00000000-0005-0000-0000-000067000000}"/>
    <cellStyle name="標準_NewDemo" xfId="104" xr:uid="{00000000-0005-0000-0000-00006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6173" name="imgCreate">
          <a:extLst>
            <a:ext uri="{FF2B5EF4-FFF2-40B4-BE49-F238E27FC236}">
              <a16:creationId xmlns:a16="http://schemas.microsoft.com/office/drawing/2014/main" id="{00000000-0008-0000-0100-00001D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19050</xdr:colOff>
      <xdr:row>0</xdr:row>
      <xdr:rowOff>9525</xdr:rowOff>
    </xdr:to>
    <xdr:pic>
      <xdr:nvPicPr>
        <xdr:cNvPr id="7181" name="imgCreate">
          <a:extLst>
            <a:ext uri="{FF2B5EF4-FFF2-40B4-BE49-F238E27FC236}">
              <a16:creationId xmlns:a16="http://schemas.microsoft.com/office/drawing/2014/main" id="{00000000-0008-0000-0200-00000D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19050" cy="9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pic>
      <xdr:nvPicPr>
        <xdr:cNvPr id="8253" name="imgCreate">
          <a:extLst>
            <a:ext uri="{FF2B5EF4-FFF2-40B4-BE49-F238E27FC236}">
              <a16:creationId xmlns:a16="http://schemas.microsoft.com/office/drawing/2014/main" id="{00000000-0008-0000-0300-00003D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lex.watt@nab.com.au" TargetMode="External"/><Relationship Id="rId1" Type="http://schemas.openxmlformats.org/officeDocument/2006/relationships/hyperlink" Target="mailto:alex.watt@nab.com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47"/>
  <sheetViews>
    <sheetView tabSelected="1" workbookViewId="0">
      <selection activeCell="B43" sqref="B43"/>
    </sheetView>
  </sheetViews>
  <sheetFormatPr defaultRowHeight="12.75"/>
  <cols>
    <col min="1" max="1" width="21.42578125" style="18" bestFit="1" customWidth="1"/>
    <col min="2" max="2" width="42.5703125" style="18" customWidth="1"/>
    <col min="3" max="3" width="10.85546875" bestFit="1" customWidth="1"/>
    <col min="4" max="4" width="1.140625" customWidth="1"/>
    <col min="5" max="5" width="21.42578125" style="18" bestFit="1" customWidth="1"/>
    <col min="6" max="6" width="40.28515625" style="18" customWidth="1"/>
    <col min="7" max="7" width="10.85546875" bestFit="1" customWidth="1"/>
  </cols>
  <sheetData>
    <row r="1" spans="1:11" ht="13.5" thickBot="1">
      <c r="A1" s="16" t="s">
        <v>11</v>
      </c>
      <c r="B1" s="17" t="str">
        <f ca="1">_xll.HLV5r3.Financial.Cache.CreateCurve( A2:B8, A13:C38)</f>
        <v>Market.LIVE.RateCurve.AUD-LIBOR-BBA-3M</v>
      </c>
      <c r="C1" s="2"/>
      <c r="E1" s="16" t="s">
        <v>11</v>
      </c>
      <c r="F1" s="17" t="str">
        <f ca="1">_xll.HLV5r3.Financial.Cache.CreateCurve( E2:F8, E13:G38)</f>
        <v>Market.LIVE.RateCurve.USD-LIBOR-BBA-3M</v>
      </c>
      <c r="G1" s="2"/>
    </row>
    <row r="2" spans="1:11">
      <c r="A2" s="19" t="s">
        <v>145</v>
      </c>
      <c r="B2" s="20" t="s">
        <v>12</v>
      </c>
      <c r="C2" s="2"/>
      <c r="E2" s="19" t="s">
        <v>145</v>
      </c>
      <c r="F2" s="20" t="s">
        <v>12</v>
      </c>
      <c r="G2" s="2"/>
      <c r="I2" t="str">
        <f ca="1">_xll.HLV5r3.Financial.Cache.CreatePricingStructure(A2:B8,A13:C38)</f>
        <v>Market.LIVE.RateCurve.AUD-LIBOR-BBA-3M</v>
      </c>
    </row>
    <row r="3" spans="1:11">
      <c r="A3" s="21" t="s">
        <v>10</v>
      </c>
      <c r="B3" s="22">
        <f ca="1">TODAY()</f>
        <v>43642</v>
      </c>
      <c r="C3" s="2"/>
      <c r="E3" s="21" t="s">
        <v>10</v>
      </c>
      <c r="F3" s="22">
        <f ca="1">TODAY()</f>
        <v>43642</v>
      </c>
      <c r="G3" s="2"/>
    </row>
    <row r="4" spans="1:11">
      <c r="A4" s="23" t="s">
        <v>13</v>
      </c>
      <c r="B4" s="24" t="s">
        <v>122</v>
      </c>
      <c r="C4" s="2"/>
      <c r="E4" s="23" t="s">
        <v>13</v>
      </c>
      <c r="F4" s="24" t="s">
        <v>122</v>
      </c>
      <c r="G4" s="2"/>
      <c r="I4" t="str">
        <f ca="1">_xll.HLV5r3.Financial.Cache.CreateCurve(A2:B8,A13:C38)</f>
        <v>Market.LIVE.RateCurve.AUD-LIBOR-BBA-3M</v>
      </c>
    </row>
    <row r="5" spans="1:11">
      <c r="A5" s="21" t="s">
        <v>14</v>
      </c>
      <c r="B5" s="25" t="s">
        <v>15</v>
      </c>
      <c r="C5" s="2"/>
      <c r="E5" s="21" t="s">
        <v>14</v>
      </c>
      <c r="F5" s="25" t="s">
        <v>105</v>
      </c>
      <c r="G5" s="2"/>
    </row>
    <row r="6" spans="1:11">
      <c r="A6" s="21" t="s">
        <v>16</v>
      </c>
      <c r="B6" s="24" t="s">
        <v>17</v>
      </c>
      <c r="C6" s="2"/>
      <c r="E6" s="21" t="s">
        <v>16</v>
      </c>
      <c r="F6" s="24" t="s">
        <v>17</v>
      </c>
      <c r="G6" s="2"/>
    </row>
    <row r="7" spans="1:11">
      <c r="A7" s="21" t="s">
        <v>37</v>
      </c>
      <c r="B7" s="24" t="str">
        <f>B5&amp;"-"&amp;B6</f>
        <v>AUD-LIBOR-BBA-3M</v>
      </c>
      <c r="C7" s="2"/>
      <c r="E7" s="21" t="s">
        <v>37</v>
      </c>
      <c r="F7" s="24" t="str">
        <f>F5&amp;"-"&amp;F6</f>
        <v>USD-LIBOR-BBA-3M</v>
      </c>
      <c r="G7" s="2"/>
    </row>
    <row r="8" spans="1:11" ht="13.5" thickBot="1">
      <c r="A8" s="26" t="s">
        <v>18</v>
      </c>
      <c r="B8" s="27" t="s">
        <v>24</v>
      </c>
      <c r="C8" s="2"/>
      <c r="E8" s="26" t="s">
        <v>18</v>
      </c>
      <c r="F8" s="27" t="s">
        <v>23</v>
      </c>
      <c r="G8" s="2"/>
    </row>
    <row r="9" spans="1:11" ht="13.5" thickBot="1">
      <c r="A9" s="35"/>
      <c r="B9"/>
      <c r="C9" s="2"/>
      <c r="E9" s="35"/>
      <c r="F9"/>
      <c r="G9" s="2"/>
    </row>
    <row r="10" spans="1:11">
      <c r="A10" s="28" t="s">
        <v>0</v>
      </c>
      <c r="B10" s="29"/>
      <c r="C10" s="3"/>
      <c r="E10" s="28" t="s">
        <v>0</v>
      </c>
      <c r="F10" s="29"/>
      <c r="G10" s="3"/>
    </row>
    <row r="11" spans="1:11" ht="13.5" thickBot="1">
      <c r="A11" s="5"/>
      <c r="B11" s="30"/>
      <c r="C11" s="4"/>
      <c r="E11" s="5"/>
      <c r="F11" s="30"/>
      <c r="G11" s="4"/>
    </row>
    <row r="12" spans="1:11" ht="13.5" thickBot="1">
      <c r="A12" s="5" t="s">
        <v>1</v>
      </c>
      <c r="B12" s="6" t="s">
        <v>2</v>
      </c>
      <c r="C12" s="7" t="s">
        <v>9</v>
      </c>
      <c r="E12" s="5" t="s">
        <v>1</v>
      </c>
      <c r="F12" s="6" t="s">
        <v>2</v>
      </c>
      <c r="G12" s="7" t="s">
        <v>9</v>
      </c>
    </row>
    <row r="13" spans="1:11">
      <c r="A13" s="31" t="s">
        <v>3</v>
      </c>
      <c r="B13" s="32">
        <f t="shared" ref="B13:B18" si="0">J13</f>
        <v>0.04</v>
      </c>
      <c r="C13" s="8">
        <v>0</v>
      </c>
      <c r="E13" s="31" t="s">
        <v>106</v>
      </c>
      <c r="F13" s="32">
        <v>7.2499999999999995E-2</v>
      </c>
      <c r="G13" s="8"/>
      <c r="J13">
        <f t="shared" ref="J13:J19" si="1">K13/100</f>
        <v>0.04</v>
      </c>
      <c r="K13">
        <v>4</v>
      </c>
    </row>
    <row r="14" spans="1:11">
      <c r="A14" s="33" t="s">
        <v>4</v>
      </c>
      <c r="B14" s="34">
        <f t="shared" si="0"/>
        <v>0.04</v>
      </c>
      <c r="C14" s="9">
        <v>0</v>
      </c>
      <c r="E14" s="33" t="s">
        <v>107</v>
      </c>
      <c r="F14" s="34">
        <v>7.5199999999999989E-2</v>
      </c>
      <c r="G14" s="9"/>
      <c r="J14">
        <f t="shared" si="1"/>
        <v>0.04</v>
      </c>
      <c r="K14">
        <f>K13</f>
        <v>4</v>
      </c>
    </row>
    <row r="15" spans="1:11">
      <c r="A15" s="33" t="s">
        <v>5</v>
      </c>
      <c r="B15" s="34">
        <f t="shared" si="0"/>
        <v>0.04</v>
      </c>
      <c r="C15" s="9">
        <v>0</v>
      </c>
      <c r="E15" s="33" t="s">
        <v>108</v>
      </c>
      <c r="F15" s="34">
        <v>7.6367000000000004E-2</v>
      </c>
      <c r="G15" s="9"/>
      <c r="J15">
        <f t="shared" si="1"/>
        <v>0.04</v>
      </c>
      <c r="K15">
        <f>K14</f>
        <v>4</v>
      </c>
    </row>
    <row r="16" spans="1:11">
      <c r="A16" s="33" t="s">
        <v>6</v>
      </c>
      <c r="B16" s="34">
        <f t="shared" si="0"/>
        <v>0.04</v>
      </c>
      <c r="C16" s="9">
        <v>0</v>
      </c>
      <c r="E16" s="33" t="s">
        <v>109</v>
      </c>
      <c r="F16" s="34">
        <v>7.7050000000000007E-2</v>
      </c>
      <c r="G16" s="9"/>
      <c r="J16">
        <f t="shared" si="1"/>
        <v>0.04</v>
      </c>
      <c r="K16">
        <f>K15</f>
        <v>4</v>
      </c>
    </row>
    <row r="17" spans="1:11">
      <c r="A17" s="33" t="s">
        <v>7</v>
      </c>
      <c r="B17" s="34">
        <f t="shared" si="0"/>
        <v>0.04</v>
      </c>
      <c r="C17" s="9">
        <v>0</v>
      </c>
      <c r="E17" s="33" t="s">
        <v>110</v>
      </c>
      <c r="F17" s="34">
        <v>7.6724999999999932E-2</v>
      </c>
      <c r="G17" s="9"/>
      <c r="J17">
        <f t="shared" si="1"/>
        <v>0.04</v>
      </c>
      <c r="K17">
        <f>K16</f>
        <v>4</v>
      </c>
    </row>
    <row r="18" spans="1:11">
      <c r="A18" s="33" t="s">
        <v>8</v>
      </c>
      <c r="B18" s="34">
        <f t="shared" si="0"/>
        <v>0.04</v>
      </c>
      <c r="C18" s="9">
        <v>0</v>
      </c>
      <c r="E18" s="33" t="s">
        <v>111</v>
      </c>
      <c r="F18" s="34">
        <v>7.6724999999999932E-2</v>
      </c>
      <c r="G18" s="9"/>
      <c r="J18">
        <f t="shared" si="1"/>
        <v>0.04</v>
      </c>
      <c r="K18">
        <f>K17</f>
        <v>4</v>
      </c>
    </row>
    <row r="19" spans="1:11">
      <c r="A19" s="33" t="s">
        <v>27</v>
      </c>
      <c r="B19" s="34">
        <v>4.1486999999999996E-2</v>
      </c>
      <c r="C19" s="9">
        <v>0</v>
      </c>
      <c r="E19" s="33" t="s">
        <v>112</v>
      </c>
      <c r="F19" s="34">
        <v>7.4349999999999958E-2</v>
      </c>
      <c r="G19" s="9"/>
      <c r="J19">
        <f t="shared" si="1"/>
        <v>3.6499999999999998E-2</v>
      </c>
      <c r="K19">
        <v>3.65</v>
      </c>
    </row>
    <row r="20" spans="1:11">
      <c r="A20" s="33" t="s">
        <v>28</v>
      </c>
      <c r="B20" s="34">
        <v>4.5612000000000007E-2</v>
      </c>
      <c r="C20" s="9">
        <v>0</v>
      </c>
      <c r="E20" s="33" t="s">
        <v>113</v>
      </c>
      <c r="F20" s="34">
        <v>7.5887499999999983E-2</v>
      </c>
      <c r="G20" s="9"/>
      <c r="J20">
        <f t="shared" ref="J20:J30" si="2">K20/100</f>
        <v>3.95E-2</v>
      </c>
      <c r="K20">
        <v>3.95</v>
      </c>
    </row>
    <row r="21" spans="1:11">
      <c r="A21" s="33" t="s">
        <v>29</v>
      </c>
      <c r="B21" s="34">
        <v>4.7800000000000002E-2</v>
      </c>
      <c r="C21" s="9">
        <v>0</v>
      </c>
      <c r="E21" s="33" t="s">
        <v>114</v>
      </c>
      <c r="F21" s="34">
        <v>7.4800000000000019E-2</v>
      </c>
      <c r="G21" s="9"/>
      <c r="J21">
        <f t="shared" si="2"/>
        <v>4.0599999999999997E-2</v>
      </c>
      <c r="K21">
        <v>4.0599999999999996</v>
      </c>
    </row>
    <row r="22" spans="1:11">
      <c r="A22" s="33" t="s">
        <v>30</v>
      </c>
      <c r="B22" s="34">
        <v>4.9699999999999994E-2</v>
      </c>
      <c r="C22" s="9">
        <v>0</v>
      </c>
      <c r="E22" s="33" t="s">
        <v>115</v>
      </c>
      <c r="F22" s="34">
        <v>7.4475000000000027E-2</v>
      </c>
      <c r="G22" s="9"/>
      <c r="J22">
        <f t="shared" si="2"/>
        <v>4.1399999999999999E-2</v>
      </c>
      <c r="K22">
        <v>4.1399999999999997</v>
      </c>
    </row>
    <row r="23" spans="1:11">
      <c r="A23" s="33" t="s">
        <v>31</v>
      </c>
      <c r="B23" s="34">
        <v>5.1124999999999997E-2</v>
      </c>
      <c r="C23" s="9">
        <v>0</v>
      </c>
      <c r="E23" s="33" t="s">
        <v>116</v>
      </c>
      <c r="F23" s="34">
        <v>7.4150000000000035E-2</v>
      </c>
      <c r="G23" s="9"/>
      <c r="J23">
        <f t="shared" si="2"/>
        <v>4.2199999999999994E-2</v>
      </c>
      <c r="K23">
        <v>4.22</v>
      </c>
    </row>
    <row r="24" spans="1:11">
      <c r="A24" s="33" t="s">
        <v>32</v>
      </c>
      <c r="B24" s="34">
        <v>5.2199999999999996E-2</v>
      </c>
      <c r="C24" s="9">
        <v>0</v>
      </c>
      <c r="E24" s="33" t="s">
        <v>117</v>
      </c>
      <c r="F24" s="34">
        <v>7.3825000000000029E-2</v>
      </c>
      <c r="G24" s="9"/>
      <c r="J24">
        <f t="shared" si="2"/>
        <v>4.2500000000000003E-2</v>
      </c>
      <c r="K24">
        <v>4.25</v>
      </c>
    </row>
    <row r="25" spans="1:11">
      <c r="A25" s="33" t="s">
        <v>33</v>
      </c>
      <c r="B25" s="34">
        <v>5.2900000000000003E-2</v>
      </c>
      <c r="C25" s="9">
        <v>0</v>
      </c>
      <c r="E25" s="33" t="s">
        <v>118</v>
      </c>
      <c r="F25" s="34">
        <v>7.2675000000000031E-2</v>
      </c>
      <c r="G25" s="9"/>
      <c r="J25">
        <f t="shared" si="2"/>
        <v>4.2800000000000005E-2</v>
      </c>
      <c r="K25">
        <v>4.28</v>
      </c>
    </row>
    <row r="26" spans="1:11">
      <c r="A26" s="33" t="s">
        <v>34</v>
      </c>
      <c r="B26" s="34">
        <v>5.3525000000000003E-2</v>
      </c>
      <c r="C26" s="9">
        <v>0</v>
      </c>
      <c r="E26" s="33" t="s">
        <v>119</v>
      </c>
      <c r="F26" s="34">
        <v>7.1150000000000019E-2</v>
      </c>
      <c r="G26" s="9"/>
      <c r="J26">
        <f t="shared" si="2"/>
        <v>4.3200000000000002E-2</v>
      </c>
      <c r="K26">
        <v>4.32</v>
      </c>
    </row>
    <row r="27" spans="1:11">
      <c r="A27" s="33" t="s">
        <v>35</v>
      </c>
      <c r="B27" s="34">
        <v>5.4574999999999999E-2</v>
      </c>
      <c r="C27" s="9">
        <v>0</v>
      </c>
      <c r="E27" s="33" t="s">
        <v>120</v>
      </c>
      <c r="F27" s="34">
        <v>6.9150000000000031E-2</v>
      </c>
      <c r="G27" s="9"/>
      <c r="J27">
        <f t="shared" si="2"/>
        <v>4.2000000000000003E-2</v>
      </c>
      <c r="K27">
        <v>4.2</v>
      </c>
    </row>
    <row r="28" spans="1:11">
      <c r="A28" s="33" t="s">
        <v>36</v>
      </c>
      <c r="B28" s="34">
        <v>5.3274999999999996E-2</v>
      </c>
      <c r="C28" s="9">
        <v>0</v>
      </c>
      <c r="E28" s="33" t="s">
        <v>121</v>
      </c>
      <c r="F28" s="34">
        <v>6.9150000000000031E-2</v>
      </c>
      <c r="G28" s="9"/>
    </row>
    <row r="29" spans="1:11">
      <c r="A29" s="33" t="s">
        <v>130</v>
      </c>
      <c r="B29" s="34">
        <v>5.2049999999999999E-2</v>
      </c>
      <c r="C29" s="9">
        <v>0</v>
      </c>
      <c r="E29" s="33" t="s">
        <v>132</v>
      </c>
      <c r="F29" s="34">
        <v>6.9150000000000031E-2</v>
      </c>
      <c r="G29" s="9"/>
    </row>
    <row r="30" spans="1:11" ht="13.5" thickBot="1">
      <c r="A30" s="36" t="s">
        <v>131</v>
      </c>
      <c r="B30" s="40">
        <v>5.0099999999999999E-2</v>
      </c>
      <c r="C30" s="10">
        <v>0</v>
      </c>
      <c r="E30" s="36" t="s">
        <v>133</v>
      </c>
      <c r="F30" s="40">
        <v>6.6975000000000021E-2</v>
      </c>
      <c r="G30" s="10"/>
      <c r="J30">
        <f t="shared" si="2"/>
        <v>3.7499999999999999E-2</v>
      </c>
      <c r="K30">
        <v>3.75</v>
      </c>
    </row>
    <row r="31" spans="1:11">
      <c r="A31" s="37" t="s">
        <v>146</v>
      </c>
      <c r="B31" s="41">
        <v>3.1099999999999996E-2</v>
      </c>
      <c r="C31" s="9">
        <v>0.2</v>
      </c>
      <c r="E31" s="37" t="s">
        <v>154</v>
      </c>
      <c r="F31" s="41">
        <v>7.7399999999999955E-2</v>
      </c>
      <c r="G31" s="9">
        <v>0.2</v>
      </c>
      <c r="J31">
        <f>1-K31/100</f>
        <v>3.0400000000000094E-2</v>
      </c>
      <c r="K31">
        <v>96.96</v>
      </c>
    </row>
    <row r="32" spans="1:11">
      <c r="A32" s="37" t="s">
        <v>147</v>
      </c>
      <c r="B32" s="42">
        <v>2.9899999999999947E-2</v>
      </c>
      <c r="C32" s="9">
        <v>0.2</v>
      </c>
      <c r="E32" s="37" t="s">
        <v>155</v>
      </c>
      <c r="F32" s="42">
        <v>7.9099999999999962E-2</v>
      </c>
      <c r="G32" s="9">
        <v>0.2</v>
      </c>
      <c r="J32">
        <f t="shared" ref="J32:J38" si="3">1-K32/100</f>
        <v>2.739999999999998E-2</v>
      </c>
      <c r="K32">
        <v>97.26</v>
      </c>
    </row>
    <row r="33" spans="1:11">
      <c r="A33" s="37" t="s">
        <v>148</v>
      </c>
      <c r="B33" s="42">
        <v>3.0600000000000023E-2</v>
      </c>
      <c r="C33" s="9">
        <v>0.2</v>
      </c>
      <c r="E33" s="37" t="s">
        <v>156</v>
      </c>
      <c r="F33" s="42">
        <v>7.9399999999999971E-2</v>
      </c>
      <c r="G33" s="9">
        <v>0.2</v>
      </c>
      <c r="J33">
        <f t="shared" si="3"/>
        <v>2.8399999999999981E-2</v>
      </c>
      <c r="K33">
        <v>97.16</v>
      </c>
    </row>
    <row r="34" spans="1:11">
      <c r="A34" s="37" t="s">
        <v>149</v>
      </c>
      <c r="B34" s="42">
        <v>3.3199999999999931E-2</v>
      </c>
      <c r="C34" s="9">
        <v>0.2</v>
      </c>
      <c r="E34" s="37" t="s">
        <v>157</v>
      </c>
      <c r="F34" s="42">
        <v>7.9099999999999962E-2</v>
      </c>
      <c r="G34" s="9">
        <v>0.2</v>
      </c>
      <c r="J34">
        <f t="shared" si="3"/>
        <v>3.0299999999999994E-2</v>
      </c>
      <c r="K34">
        <v>96.97</v>
      </c>
    </row>
    <row r="35" spans="1:11">
      <c r="A35" s="37" t="s">
        <v>150</v>
      </c>
      <c r="B35" s="42">
        <v>3.6599999999999966E-2</v>
      </c>
      <c r="C35" s="9">
        <v>0.2</v>
      </c>
      <c r="E35" s="37" t="s">
        <v>158</v>
      </c>
      <c r="F35" s="42">
        <v>7.8499999999999945E-2</v>
      </c>
      <c r="G35" s="9">
        <v>0.2</v>
      </c>
      <c r="J35">
        <f t="shared" si="3"/>
        <v>3.3199999999999896E-2</v>
      </c>
      <c r="K35">
        <v>96.68</v>
      </c>
    </row>
    <row r="36" spans="1:11">
      <c r="A36" s="37" t="s">
        <v>151</v>
      </c>
      <c r="B36" s="42">
        <v>4.0600000000000025E-2</v>
      </c>
      <c r="C36" s="9">
        <v>0.2</v>
      </c>
      <c r="E36" s="37" t="s">
        <v>159</v>
      </c>
      <c r="F36" s="42">
        <v>7.7600000000000058E-2</v>
      </c>
      <c r="G36" s="9">
        <v>0.2</v>
      </c>
      <c r="J36">
        <f t="shared" si="3"/>
        <v>3.5600000000000076E-2</v>
      </c>
      <c r="K36">
        <v>96.44</v>
      </c>
    </row>
    <row r="37" spans="1:11">
      <c r="A37" s="37" t="s">
        <v>152</v>
      </c>
      <c r="B37" s="42">
        <v>4.4200000000000017E-2</v>
      </c>
      <c r="C37" s="9">
        <v>0.2</v>
      </c>
      <c r="E37" s="37" t="s">
        <v>160</v>
      </c>
      <c r="F37" s="42">
        <v>7.6700000000000018E-2</v>
      </c>
      <c r="G37" s="9">
        <v>0.2</v>
      </c>
      <c r="J37">
        <f t="shared" si="3"/>
        <v>3.8300000000000001E-2</v>
      </c>
      <c r="K37">
        <v>96.17</v>
      </c>
    </row>
    <row r="38" spans="1:11" ht="13.5" thickBot="1">
      <c r="A38" s="38" t="s">
        <v>153</v>
      </c>
      <c r="B38" s="43">
        <v>4.7500000000000001E-2</v>
      </c>
      <c r="C38" s="10">
        <v>0.2</v>
      </c>
      <c r="E38" s="38" t="s">
        <v>161</v>
      </c>
      <c r="F38" s="43">
        <v>7.549999999999997E-2</v>
      </c>
      <c r="G38" s="10">
        <v>0.2</v>
      </c>
      <c r="J38">
        <f t="shared" si="3"/>
        <v>4.0300000000000002E-2</v>
      </c>
      <c r="K38">
        <v>95.97</v>
      </c>
    </row>
    <row r="39" spans="1:11">
      <c r="A39" s="39"/>
      <c r="B39" s="39"/>
      <c r="C39" s="1"/>
      <c r="E39" s="39"/>
      <c r="F39" s="39"/>
      <c r="G39" s="1"/>
    </row>
    <row r="40" spans="1:11">
      <c r="A40" s="39"/>
      <c r="B40" s="39"/>
      <c r="C40" s="1"/>
      <c r="E40" s="39"/>
      <c r="F40" s="39"/>
      <c r="G40" s="1"/>
    </row>
    <row r="41" spans="1:11">
      <c r="A41" s="18" t="s">
        <v>22</v>
      </c>
      <c r="B41" s="18" t="b">
        <v>1</v>
      </c>
    </row>
    <row r="43" spans="1:11">
      <c r="A43" s="12" t="s">
        <v>23</v>
      </c>
      <c r="B43" s="18" t="b">
        <v>1</v>
      </c>
    </row>
    <row r="44" spans="1:11">
      <c r="A44" s="15" t="s">
        <v>24</v>
      </c>
      <c r="B44" s="18" t="b">
        <v>0</v>
      </c>
    </row>
    <row r="45" spans="1:11">
      <c r="A45" s="13" t="s">
        <v>25</v>
      </c>
    </row>
    <row r="46" spans="1:11">
      <c r="A46" s="13" t="s">
        <v>26</v>
      </c>
    </row>
    <row r="47" spans="1:11">
      <c r="A47" s="14" t="s">
        <v>19</v>
      </c>
    </row>
  </sheetData>
  <protectedRanges>
    <protectedRange sqref="B8 A47 A43:A44 F8" name="Range2_1"/>
  </protectedRanges>
  <phoneticPr fontId="2" type="noConversion"/>
  <dataValidations count="2">
    <dataValidation type="list" allowBlank="1" showInputMessage="1" showErrorMessage="1" sqref="B8 F8" xr:uid="{00000000-0002-0000-0000-000000000000}">
      <formula1>$A$43:$A$47</formula1>
    </dataValidation>
    <dataValidation type="list" allowBlank="1" showInputMessage="1" showErrorMessage="1" sqref="B41 F41" xr:uid="{00000000-0002-0000-0000-000001000000}">
      <formula1>$B$43:$B$44</formula1>
    </dataValidation>
  </dataValidations>
  <hyperlinks>
    <hyperlink ref="C65" r:id="rId1" display="alex.watt@nab.com.au" xr:uid="{00000000-0004-0000-0000-000000000000}"/>
    <hyperlink ref="G65" r:id="rId2" display="alex.watt@nab.com.au" xr:uid="{00000000-0004-0000-0000-000001000000}"/>
  </hyperlinks>
  <pageMargins left="0.75" right="0.75" top="1" bottom="1" header="0.5" footer="0.5"/>
  <pageSetup paperSize="9" scale="79" orientation="landscape" r:id="rId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N142"/>
  <sheetViews>
    <sheetView showGridLines="0" workbookViewId="0">
      <selection activeCell="F46" sqref="F46"/>
    </sheetView>
  </sheetViews>
  <sheetFormatPr defaultColWidth="9.140625" defaultRowHeight="11.25"/>
  <cols>
    <col min="1" max="1" width="25.7109375" style="11" bestFit="1" customWidth="1"/>
    <col min="2" max="2" width="36.5703125" style="56" bestFit="1" customWidth="1"/>
    <col min="3" max="3" width="10.5703125" style="56" bestFit="1" customWidth="1"/>
    <col min="4" max="4" width="11.28515625" style="57" bestFit="1" customWidth="1"/>
    <col min="5" max="5" width="3.140625" style="11" customWidth="1"/>
    <col min="6" max="6" width="24" style="46" bestFit="1" customWidth="1"/>
    <col min="7" max="7" width="36.5703125" style="46" bestFit="1" customWidth="1"/>
    <col min="8" max="8" width="13.7109375" style="46" customWidth="1"/>
    <col min="9" max="9" width="11.85546875" style="57" bestFit="1" customWidth="1"/>
    <col min="10" max="10" width="14.28515625" style="11" customWidth="1"/>
    <col min="11" max="11" width="9.140625" style="56"/>
    <col min="12" max="12" width="32.140625" style="11" customWidth="1"/>
    <col min="13" max="13" width="9.140625" style="56"/>
    <col min="14" max="14" width="17.5703125" style="57" customWidth="1"/>
    <col min="15" max="15" width="15.140625" style="57" customWidth="1"/>
    <col min="16" max="16" width="17" style="57" customWidth="1"/>
    <col min="17" max="17" width="18.140625" style="57" customWidth="1"/>
    <col min="18" max="18" width="16.5703125" style="57" customWidth="1"/>
    <col min="19" max="19" width="16.7109375" style="11" customWidth="1"/>
    <col min="20" max="26" width="9.140625" style="11"/>
    <col min="27" max="27" width="13" style="11" customWidth="1"/>
    <col min="28" max="28" width="20.28515625" style="11" customWidth="1"/>
    <col min="29" max="29" width="12.5703125" style="11" customWidth="1"/>
    <col min="30" max="30" width="23.42578125" style="11" customWidth="1"/>
    <col min="31" max="31" width="23.28515625" style="11" customWidth="1"/>
    <col min="32" max="16384" width="9.140625" style="11"/>
  </cols>
  <sheetData>
    <row r="1" spans="1:10" ht="16.5" thickBot="1">
      <c r="A1" s="126" t="s">
        <v>38</v>
      </c>
      <c r="B1" s="125"/>
      <c r="C1" s="48"/>
      <c r="D1" s="72"/>
      <c r="E1" s="44"/>
      <c r="F1" s="126" t="s">
        <v>89</v>
      </c>
      <c r="G1" s="125"/>
      <c r="H1" s="48"/>
      <c r="I1" s="72"/>
      <c r="J1" s="48"/>
    </row>
    <row r="2" spans="1:10" ht="12" thickBot="1">
      <c r="A2" s="92" t="s">
        <v>39</v>
      </c>
      <c r="B2" s="47" t="str">
        <f ca="1">QuotedCcyPair&amp;".XCCYSwap."&amp;YEAR(EffectiveDate)&amp;MONTH(EffectiveDate)&amp;YEAR(EffectiveDate)</f>
        <v>AUD.XCCYSwap.201962019</v>
      </c>
      <c r="C2" s="48"/>
      <c r="D2" s="72"/>
      <c r="E2" s="48"/>
      <c r="F2" s="48"/>
      <c r="G2" s="48"/>
      <c r="H2" s="48"/>
      <c r="I2" s="72"/>
      <c r="J2" s="48"/>
    </row>
    <row r="3" spans="1:10" ht="12" thickBot="1">
      <c r="A3" s="93" t="s">
        <v>40</v>
      </c>
      <c r="B3" s="199">
        <f ca="1">ValuationDate+3</f>
        <v>43645</v>
      </c>
      <c r="C3" s="48"/>
      <c r="D3" s="72"/>
      <c r="E3" s="48"/>
      <c r="F3" s="63" t="s">
        <v>78</v>
      </c>
      <c r="G3" s="48"/>
      <c r="H3" s="48"/>
      <c r="I3" s="72"/>
      <c r="J3" s="48"/>
    </row>
    <row r="4" spans="1:10">
      <c r="A4" s="93" t="s">
        <v>41</v>
      </c>
      <c r="B4" s="199">
        <v>49187</v>
      </c>
      <c r="C4" s="48"/>
      <c r="D4" s="72"/>
      <c r="E4" s="48"/>
      <c r="F4" s="159">
        <f ca="1">TODAY()</f>
        <v>43642</v>
      </c>
      <c r="G4" s="48"/>
      <c r="H4" s="48"/>
      <c r="I4" s="72"/>
      <c r="J4" s="48"/>
    </row>
    <row r="5" spans="1:10" ht="12" thickBot="1">
      <c r="A5" s="93" t="s">
        <v>42</v>
      </c>
      <c r="B5" s="45" t="b">
        <v>1</v>
      </c>
      <c r="C5" s="48"/>
      <c r="D5" s="72"/>
      <c r="E5" s="48"/>
      <c r="F5" s="48"/>
      <c r="G5" s="48"/>
      <c r="H5" s="48"/>
      <c r="I5" s="72"/>
      <c r="J5" s="48"/>
    </row>
    <row r="6" spans="1:10" ht="12" thickBot="1">
      <c r="A6" s="93" t="s">
        <v>43</v>
      </c>
      <c r="B6" s="45" t="s">
        <v>135</v>
      </c>
      <c r="C6" s="48"/>
      <c r="D6" s="72"/>
      <c r="E6" s="48"/>
      <c r="F6" s="64" t="s">
        <v>79</v>
      </c>
      <c r="G6" s="103" t="s">
        <v>80</v>
      </c>
      <c r="H6" s="48"/>
      <c r="I6" s="72"/>
      <c r="J6" s="48"/>
    </row>
    <row r="7" spans="1:10" ht="12" thickBot="1">
      <c r="A7" s="94" t="s">
        <v>44</v>
      </c>
      <c r="B7" s="50" t="s">
        <v>45</v>
      </c>
      <c r="C7" s="48"/>
      <c r="D7" s="72"/>
      <c r="E7" s="48"/>
      <c r="F7" s="161" t="s">
        <v>81</v>
      </c>
      <c r="G7" s="131">
        <v>4.7535348023690409E-2</v>
      </c>
      <c r="H7" s="48"/>
      <c r="I7" s="72"/>
      <c r="J7" s="48"/>
    </row>
    <row r="8" spans="1:10">
      <c r="A8" s="92" t="s">
        <v>46</v>
      </c>
      <c r="B8" s="51" t="s">
        <v>48</v>
      </c>
      <c r="C8" s="48"/>
      <c r="D8" s="72"/>
      <c r="E8" s="48"/>
      <c r="F8" s="162" t="s">
        <v>21</v>
      </c>
      <c r="G8" s="164">
        <f ca="1">D41+I41*SpotRate</f>
        <v>-2798087.7223430425</v>
      </c>
      <c r="H8" s="48"/>
      <c r="I8" s="72"/>
      <c r="J8" s="48"/>
    </row>
    <row r="9" spans="1:10" ht="12" thickBot="1">
      <c r="A9" s="93" t="s">
        <v>47</v>
      </c>
      <c r="B9" s="52">
        <v>100000000</v>
      </c>
      <c r="C9" s="48"/>
      <c r="D9" s="72"/>
      <c r="E9" s="48"/>
      <c r="F9" s="163" t="s">
        <v>103</v>
      </c>
      <c r="G9" s="158">
        <f ca="1">D40+I40*SpotRate</f>
        <v>93060.655044739236</v>
      </c>
      <c r="H9" s="48"/>
      <c r="I9" s="72"/>
      <c r="J9" s="48"/>
    </row>
    <row r="10" spans="1:10">
      <c r="A10" s="93" t="s">
        <v>102</v>
      </c>
      <c r="B10" s="53" t="s">
        <v>48</v>
      </c>
      <c r="C10" s="48"/>
      <c r="D10" s="72"/>
      <c r="E10" s="48"/>
      <c r="F10" s="48"/>
      <c r="G10" s="48"/>
      <c r="H10" s="48"/>
      <c r="I10" s="72"/>
      <c r="J10" s="48"/>
    </row>
    <row r="11" spans="1:10" ht="12" thickBot="1">
      <c r="A11" s="94" t="s">
        <v>49</v>
      </c>
      <c r="B11" s="50">
        <v>1</v>
      </c>
      <c r="C11" s="48"/>
      <c r="D11" s="72"/>
      <c r="E11" s="48"/>
      <c r="F11" s="48"/>
      <c r="G11" s="48"/>
      <c r="H11" s="48"/>
      <c r="I11" s="72"/>
      <c r="J11" s="48"/>
    </row>
    <row r="12" spans="1:10">
      <c r="A12" s="92" t="s">
        <v>50</v>
      </c>
      <c r="B12" s="47" t="b">
        <v>0</v>
      </c>
      <c r="C12" s="48"/>
      <c r="D12" s="72"/>
      <c r="E12" s="48"/>
      <c r="F12" s="48"/>
      <c r="G12" s="48"/>
      <c r="H12" s="48"/>
      <c r="I12" s="72"/>
      <c r="J12" s="48"/>
    </row>
    <row r="13" spans="1:10">
      <c r="A13" s="93" t="s">
        <v>51</v>
      </c>
      <c r="B13" s="45" t="b">
        <v>0</v>
      </c>
      <c r="C13" s="48"/>
      <c r="D13" s="72"/>
      <c r="E13" s="48"/>
      <c r="F13" s="48"/>
      <c r="G13" s="48"/>
      <c r="H13" s="48"/>
      <c r="I13" s="72"/>
      <c r="J13" s="48"/>
    </row>
    <row r="14" spans="1:10">
      <c r="A14" s="93" t="s">
        <v>52</v>
      </c>
      <c r="B14" s="45" t="s">
        <v>53</v>
      </c>
      <c r="C14" s="48"/>
      <c r="D14" s="72"/>
      <c r="E14" s="48"/>
      <c r="F14" s="48"/>
      <c r="G14" s="48"/>
      <c r="H14" s="48"/>
      <c r="I14" s="72"/>
      <c r="J14" s="48"/>
    </row>
    <row r="15" spans="1:10" ht="12" thickBot="1">
      <c r="A15" s="94" t="s">
        <v>128</v>
      </c>
      <c r="B15" s="50" t="s">
        <v>54</v>
      </c>
      <c r="C15" s="48"/>
      <c r="D15" s="72"/>
      <c r="E15" s="48"/>
      <c r="F15" s="48"/>
      <c r="G15" s="48"/>
      <c r="H15" s="48"/>
      <c r="I15" s="72"/>
      <c r="J15" s="48"/>
    </row>
    <row r="16" spans="1:10" ht="11.25" customHeight="1" thickBot="1">
      <c r="A16" s="54"/>
      <c r="B16" s="55"/>
      <c r="C16" s="48"/>
      <c r="D16" s="72"/>
      <c r="E16" s="48"/>
      <c r="F16" s="48"/>
      <c r="G16" s="48"/>
      <c r="H16" s="48"/>
      <c r="I16" s="72"/>
      <c r="J16" s="48"/>
    </row>
    <row r="17" spans="1:66" s="122" customFormat="1" ht="16.5" thickBot="1">
      <c r="A17" s="126" t="str">
        <f>B6</f>
        <v>Receives</v>
      </c>
      <c r="B17" s="127" t="s">
        <v>55</v>
      </c>
      <c r="C17" s="121"/>
      <c r="D17" s="189"/>
      <c r="E17" s="121"/>
      <c r="F17" s="126" t="str">
        <f>IF(A17="Pays","Receives","Pays")</f>
        <v>Pays</v>
      </c>
      <c r="G17" s="127" t="s">
        <v>101</v>
      </c>
      <c r="H17" s="121"/>
      <c r="I17" s="189"/>
      <c r="J17" s="121"/>
      <c r="K17" s="123"/>
      <c r="M17" s="123"/>
      <c r="N17" s="124"/>
      <c r="O17" s="124"/>
      <c r="P17" s="124"/>
      <c r="Q17" s="124"/>
      <c r="R17" s="124"/>
    </row>
    <row r="18" spans="1:66">
      <c r="A18" s="95" t="s">
        <v>56</v>
      </c>
      <c r="B18" s="58">
        <f>NotionalAmount</f>
        <v>100000000</v>
      </c>
      <c r="C18" s="48"/>
      <c r="D18" s="72"/>
      <c r="E18" s="48"/>
      <c r="F18" s="95" t="s">
        <v>56</v>
      </c>
      <c r="G18" s="58">
        <f>NotionalAmount/SpotRate</f>
        <v>100000000</v>
      </c>
      <c r="H18" s="48"/>
      <c r="I18" s="72"/>
      <c r="J18" s="48"/>
    </row>
    <row r="19" spans="1:66" ht="12" thickBot="1">
      <c r="A19" s="96" t="s">
        <v>57</v>
      </c>
      <c r="B19" s="128" t="str">
        <f>NotionalCcy</f>
        <v>AUD</v>
      </c>
      <c r="C19" s="48"/>
      <c r="D19" s="72"/>
      <c r="E19" s="48"/>
      <c r="F19" s="96" t="s">
        <v>57</v>
      </c>
      <c r="G19" s="128" t="str">
        <f>IF(QuotedCcyPair="AUD","AUD",MID(QuotedCcyPair,5,3))</f>
        <v>AUD</v>
      </c>
      <c r="H19" s="48"/>
      <c r="I19" s="72"/>
      <c r="J19" s="48"/>
    </row>
    <row r="20" spans="1:66">
      <c r="A20" s="97" t="s">
        <v>58</v>
      </c>
      <c r="B20" s="59" t="s">
        <v>59</v>
      </c>
      <c r="C20" s="48"/>
      <c r="D20" s="72"/>
      <c r="E20" s="48"/>
      <c r="F20" s="97" t="s">
        <v>58</v>
      </c>
      <c r="G20" s="59" t="s">
        <v>59</v>
      </c>
      <c r="H20" s="48"/>
      <c r="I20" s="72"/>
      <c r="J20" s="48"/>
    </row>
    <row r="21" spans="1:66">
      <c r="A21" s="97" t="s">
        <v>60</v>
      </c>
      <c r="B21" s="59" t="s">
        <v>53</v>
      </c>
      <c r="C21" s="48"/>
      <c r="D21" s="72"/>
      <c r="E21" s="48"/>
      <c r="F21" s="97" t="s">
        <v>60</v>
      </c>
      <c r="G21" s="59" t="s">
        <v>53</v>
      </c>
      <c r="H21" s="48"/>
      <c r="I21" s="72"/>
      <c r="J21" s="48"/>
    </row>
    <row r="22" spans="1:66">
      <c r="A22" s="97" t="s">
        <v>61</v>
      </c>
      <c r="B22" s="59" t="s">
        <v>17</v>
      </c>
      <c r="C22" s="48"/>
      <c r="D22" s="72"/>
      <c r="E22" s="48"/>
      <c r="F22" s="97" t="s">
        <v>61</v>
      </c>
      <c r="G22" s="59" t="s">
        <v>17</v>
      </c>
      <c r="H22" s="48"/>
      <c r="I22" s="72"/>
      <c r="J22" s="48"/>
    </row>
    <row r="23" spans="1:66">
      <c r="A23" s="97" t="s">
        <v>62</v>
      </c>
      <c r="B23" s="59" t="s">
        <v>134</v>
      </c>
      <c r="C23" s="48"/>
      <c r="D23" s="72"/>
      <c r="E23" s="48"/>
      <c r="F23" s="97" t="s">
        <v>62</v>
      </c>
      <c r="G23" s="59" t="s">
        <v>134</v>
      </c>
      <c r="H23" s="48"/>
      <c r="I23" s="72"/>
      <c r="J23" s="48"/>
    </row>
    <row r="24" spans="1:66">
      <c r="A24" s="97" t="s">
        <v>63</v>
      </c>
      <c r="B24" s="59" t="s">
        <v>64</v>
      </c>
      <c r="C24" s="48"/>
      <c r="D24" s="72"/>
      <c r="E24" s="48"/>
      <c r="F24" s="97" t="s">
        <v>63</v>
      </c>
      <c r="G24" s="59" t="s">
        <v>64</v>
      </c>
      <c r="H24" s="48"/>
      <c r="I24" s="72"/>
      <c r="J24" s="48"/>
      <c r="Q24" s="46"/>
      <c r="R24" s="46"/>
      <c r="S24" s="46"/>
      <c r="T24" s="46"/>
      <c r="U24" s="46"/>
    </row>
    <row r="25" spans="1:66">
      <c r="A25" s="97" t="s">
        <v>65</v>
      </c>
      <c r="B25" s="59" t="s">
        <v>66</v>
      </c>
      <c r="C25" s="48"/>
      <c r="D25" s="72"/>
      <c r="E25" s="48"/>
      <c r="F25" s="97" t="s">
        <v>65</v>
      </c>
      <c r="G25" s="59" t="s">
        <v>66</v>
      </c>
      <c r="H25" s="48"/>
      <c r="I25" s="72"/>
      <c r="J25" s="48"/>
      <c r="Q25" s="49"/>
      <c r="R25" s="49"/>
      <c r="S25" s="49"/>
      <c r="T25" s="49"/>
      <c r="U25" s="49"/>
      <c r="AI25" s="60"/>
      <c r="AJ25" s="60"/>
      <c r="AK25" s="60"/>
      <c r="AL25" s="60"/>
      <c r="AM25" s="60"/>
      <c r="BA25" s="60"/>
      <c r="BC25" s="60"/>
      <c r="BN25" s="60"/>
    </row>
    <row r="26" spans="1:66">
      <c r="A26" s="97" t="s">
        <v>67</v>
      </c>
      <c r="B26" s="61" t="s">
        <v>68</v>
      </c>
      <c r="C26" s="48"/>
      <c r="D26" s="72"/>
      <c r="E26" s="48"/>
      <c r="F26" s="97" t="s">
        <v>67</v>
      </c>
      <c r="G26" s="61" t="s">
        <v>68</v>
      </c>
      <c r="H26" s="48"/>
      <c r="I26" s="72"/>
      <c r="J26" s="48"/>
      <c r="Q26" s="49"/>
      <c r="R26" s="49"/>
      <c r="S26" s="49"/>
      <c r="T26" s="49"/>
      <c r="U26" s="49"/>
      <c r="AI26" s="60"/>
      <c r="AJ26" s="60"/>
      <c r="AK26" s="60"/>
      <c r="AL26" s="60"/>
      <c r="AM26" s="60"/>
      <c r="BA26" s="60"/>
      <c r="BC26" s="60"/>
      <c r="BN26" s="60"/>
    </row>
    <row r="27" spans="1:66" ht="12" thickBot="1">
      <c r="A27" s="97" t="s">
        <v>69</v>
      </c>
      <c r="B27" s="129" t="str">
        <f ca="1">AUDCurve!$B$1</f>
        <v>Market.LIVE.RateCurve.AUD-LIBOR-BBA-3M</v>
      </c>
      <c r="C27" s="48"/>
      <c r="D27" s="72"/>
      <c r="E27" s="48"/>
      <c r="F27" s="97" t="s">
        <v>69</v>
      </c>
      <c r="G27" s="129" t="str">
        <f ca="1">AUDCurve!$B$1</f>
        <v>Market.LIVE.RateCurve.AUD-LIBOR-BBA-3M</v>
      </c>
      <c r="H27" s="48"/>
      <c r="I27" s="72"/>
      <c r="J27" s="48"/>
      <c r="Q27" s="49"/>
      <c r="R27" s="49"/>
      <c r="S27" s="49"/>
      <c r="T27" s="49"/>
      <c r="U27" s="49"/>
      <c r="AI27" s="60"/>
      <c r="AJ27" s="60"/>
      <c r="AK27" s="60"/>
      <c r="AL27" s="60"/>
      <c r="AM27" s="60"/>
      <c r="BA27" s="60"/>
      <c r="BC27" s="60"/>
      <c r="BN27" s="60"/>
    </row>
    <row r="28" spans="1:66">
      <c r="A28" s="98" t="s">
        <v>70</v>
      </c>
      <c r="B28" s="144">
        <v>5.4399999999999997E-2</v>
      </c>
      <c r="C28" s="48"/>
      <c r="D28" s="72"/>
      <c r="E28" s="48"/>
      <c r="F28" s="98" t="s">
        <v>70</v>
      </c>
      <c r="G28" s="144">
        <v>0.04</v>
      </c>
      <c r="H28" s="48"/>
      <c r="I28" s="72"/>
      <c r="J28" s="48"/>
      <c r="Q28" s="49"/>
      <c r="R28" s="49"/>
      <c r="S28" s="49"/>
      <c r="T28" s="49"/>
      <c r="U28" s="49"/>
      <c r="AI28" s="60"/>
      <c r="AJ28" s="60"/>
      <c r="AK28" s="60"/>
      <c r="AL28" s="60"/>
      <c r="AM28" s="60"/>
      <c r="BA28" s="60"/>
      <c r="BC28" s="60"/>
      <c r="BN28" s="60"/>
    </row>
    <row r="29" spans="1:66">
      <c r="A29" s="97" t="s">
        <v>71</v>
      </c>
      <c r="B29" s="59" t="b">
        <v>0</v>
      </c>
      <c r="C29" s="48"/>
      <c r="D29" s="72"/>
      <c r="E29" s="48"/>
      <c r="F29" s="97" t="s">
        <v>71</v>
      </c>
      <c r="G29" s="59" t="b">
        <v>0</v>
      </c>
      <c r="H29" s="48"/>
      <c r="I29" s="72"/>
      <c r="J29" s="48"/>
      <c r="Q29" s="49"/>
      <c r="R29" s="49"/>
      <c r="S29" s="49"/>
      <c r="T29" s="49"/>
      <c r="U29" s="49"/>
      <c r="AI29" s="60"/>
      <c r="AJ29" s="60"/>
      <c r="AK29" s="60"/>
      <c r="AL29" s="60"/>
      <c r="AM29" s="60"/>
      <c r="BA29" s="60"/>
      <c r="BC29" s="60"/>
      <c r="BN29" s="60"/>
    </row>
    <row r="30" spans="1:66">
      <c r="A30" s="97" t="s">
        <v>72</v>
      </c>
      <c r="B30" s="129" t="str">
        <f ca="1">AUDCurve!$B$1</f>
        <v>Market.LIVE.RateCurve.AUD-LIBOR-BBA-3M</v>
      </c>
      <c r="C30" s="48"/>
      <c r="D30" s="72"/>
      <c r="E30" s="48"/>
      <c r="F30" s="97" t="s">
        <v>72</v>
      </c>
      <c r="G30" s="129" t="str">
        <f ca="1">AUDCurve!$B$1</f>
        <v>Market.LIVE.RateCurve.AUD-LIBOR-BBA-3M</v>
      </c>
      <c r="H30" s="48"/>
      <c r="I30" s="72"/>
      <c r="J30" s="48"/>
      <c r="Q30" s="49"/>
      <c r="R30" s="49"/>
      <c r="S30" s="49"/>
      <c r="T30" s="49"/>
      <c r="U30" s="49"/>
      <c r="AI30" s="60"/>
      <c r="AJ30" s="60"/>
      <c r="AK30" s="60"/>
      <c r="AL30" s="60"/>
      <c r="AM30" s="60"/>
      <c r="BA30" s="60"/>
      <c r="BC30" s="60"/>
      <c r="BN30" s="60"/>
    </row>
    <row r="31" spans="1:66">
      <c r="A31" s="97" t="s">
        <v>129</v>
      </c>
      <c r="B31" s="59" t="s">
        <v>53</v>
      </c>
      <c r="C31" s="48"/>
      <c r="D31" s="72"/>
      <c r="E31" s="48"/>
      <c r="F31" s="97" t="s">
        <v>129</v>
      </c>
      <c r="G31" s="59" t="s">
        <v>53</v>
      </c>
      <c r="H31" s="48"/>
      <c r="I31" s="72"/>
      <c r="J31" s="48"/>
      <c r="Q31" s="49"/>
      <c r="R31" s="49"/>
      <c r="S31" s="49"/>
      <c r="T31" s="49"/>
      <c r="U31" s="49"/>
      <c r="AI31" s="60"/>
      <c r="AJ31" s="60"/>
      <c r="AK31" s="60"/>
      <c r="AL31" s="60"/>
      <c r="AM31" s="60"/>
      <c r="BA31" s="60"/>
      <c r="BC31" s="60"/>
      <c r="BN31" s="60"/>
    </row>
    <row r="32" spans="1:66">
      <c r="A32" s="97" t="s">
        <v>73</v>
      </c>
      <c r="B32" s="59" t="s">
        <v>74</v>
      </c>
      <c r="C32" s="48"/>
      <c r="D32" s="72"/>
      <c r="E32" s="48"/>
      <c r="F32" s="97" t="s">
        <v>73</v>
      </c>
      <c r="G32" s="59" t="s">
        <v>74</v>
      </c>
      <c r="H32" s="48"/>
      <c r="I32" s="72"/>
      <c r="J32" s="48"/>
      <c r="Q32" s="49"/>
      <c r="R32" s="49"/>
      <c r="S32" s="49"/>
      <c r="T32" s="49"/>
      <c r="U32" s="49"/>
      <c r="AI32" s="60"/>
      <c r="AJ32" s="60"/>
      <c r="AK32" s="60"/>
      <c r="AL32" s="60"/>
      <c r="AM32" s="60"/>
      <c r="BA32" s="60"/>
      <c r="BC32" s="60"/>
      <c r="BN32" s="60"/>
    </row>
    <row r="33" spans="1:66">
      <c r="A33" s="97" t="s">
        <v>127</v>
      </c>
      <c r="B33" s="59" t="s">
        <v>75</v>
      </c>
      <c r="C33" s="48"/>
      <c r="D33" s="72"/>
      <c r="E33" s="48"/>
      <c r="F33" s="97" t="s">
        <v>127</v>
      </c>
      <c r="G33" s="59" t="s">
        <v>75</v>
      </c>
      <c r="H33" s="48"/>
      <c r="I33" s="72"/>
      <c r="J33" s="48"/>
      <c r="Q33" s="49"/>
      <c r="R33" s="49"/>
      <c r="S33" s="49"/>
      <c r="T33" s="49"/>
      <c r="U33" s="49"/>
      <c r="AI33" s="60"/>
      <c r="AJ33" s="60"/>
      <c r="AK33" s="60"/>
      <c r="AL33" s="60"/>
      <c r="AM33" s="60"/>
      <c r="BA33" s="60"/>
      <c r="BC33" s="60"/>
      <c r="BN33" s="60"/>
    </row>
    <row r="34" spans="1:66">
      <c r="A34" s="97" t="s">
        <v>76</v>
      </c>
      <c r="B34" s="129" t="str">
        <f>PayerCcy&amp;"-LIBOR-BBA"</f>
        <v>AUD-LIBOR-BBA</v>
      </c>
      <c r="C34" s="48"/>
      <c r="D34" s="72"/>
      <c r="E34" s="48"/>
      <c r="F34" s="97" t="s">
        <v>76</v>
      </c>
      <c r="G34" s="129" t="str">
        <f>G19&amp;"-LIBOR-BBA"</f>
        <v>AUD-LIBOR-BBA</v>
      </c>
      <c r="H34" s="48"/>
      <c r="I34" s="72"/>
      <c r="J34" s="48"/>
      <c r="Q34" s="49"/>
      <c r="R34" s="49"/>
      <c r="S34" s="49"/>
      <c r="T34" s="49"/>
      <c r="U34" s="49"/>
      <c r="AI34" s="60"/>
      <c r="AJ34" s="60"/>
      <c r="AK34" s="60"/>
      <c r="AL34" s="60"/>
      <c r="AM34" s="60"/>
      <c r="BA34" s="60"/>
      <c r="BC34" s="60"/>
      <c r="BN34" s="60"/>
    </row>
    <row r="35" spans="1:66">
      <c r="A35" s="97" t="s">
        <v>77</v>
      </c>
      <c r="B35" s="59" t="s">
        <v>17</v>
      </c>
      <c r="C35" s="48"/>
      <c r="D35" s="72"/>
      <c r="E35" s="48"/>
      <c r="F35" s="97" t="s">
        <v>77</v>
      </c>
      <c r="G35" s="59" t="s">
        <v>17</v>
      </c>
      <c r="H35" s="48"/>
      <c r="I35" s="72"/>
      <c r="J35" s="48"/>
      <c r="Q35" s="49"/>
      <c r="R35" s="49"/>
      <c r="S35" s="49"/>
      <c r="T35" s="49"/>
      <c r="U35" s="49"/>
    </row>
    <row r="36" spans="1:66" ht="12" thickBot="1">
      <c r="A36" s="99" t="s">
        <v>20</v>
      </c>
      <c r="B36" s="170">
        <v>0</v>
      </c>
      <c r="C36" s="48"/>
      <c r="D36" s="72"/>
      <c r="E36" s="48"/>
      <c r="F36" s="99" t="s">
        <v>20</v>
      </c>
      <c r="G36" s="170">
        <v>0</v>
      </c>
      <c r="H36" s="48"/>
      <c r="I36" s="72"/>
      <c r="J36" s="48"/>
      <c r="Q36" s="49"/>
      <c r="R36" s="49"/>
      <c r="S36" s="49"/>
      <c r="T36" s="49"/>
      <c r="U36" s="49"/>
    </row>
    <row r="37" spans="1:66" ht="12" thickBot="1">
      <c r="A37" s="54"/>
      <c r="B37" s="48"/>
      <c r="C37" s="48"/>
      <c r="D37" s="72"/>
      <c r="E37" s="48"/>
      <c r="F37" s="48"/>
      <c r="G37" s="48"/>
      <c r="H37" s="48"/>
      <c r="I37" s="72"/>
      <c r="J37" s="48"/>
      <c r="Q37" s="49"/>
      <c r="R37" s="49"/>
      <c r="S37" s="49"/>
      <c r="T37" s="49"/>
      <c r="U37" s="49"/>
    </row>
    <row r="38" spans="1:66" ht="12" thickBot="1">
      <c r="A38" s="63" t="s">
        <v>78</v>
      </c>
      <c r="B38" s="64" t="s">
        <v>79</v>
      </c>
      <c r="C38" s="103"/>
      <c r="D38" s="73" t="s">
        <v>80</v>
      </c>
      <c r="E38" s="48"/>
      <c r="F38" s="63" t="s">
        <v>78</v>
      </c>
      <c r="G38" s="64" t="s">
        <v>79</v>
      </c>
      <c r="H38" s="103"/>
      <c r="I38" s="73" t="s">
        <v>80</v>
      </c>
      <c r="J38" s="48"/>
      <c r="Q38" s="49"/>
      <c r="R38" s="49"/>
      <c r="S38" s="49"/>
      <c r="T38" s="49"/>
      <c r="U38" s="49"/>
    </row>
    <row r="39" spans="1:66">
      <c r="A39" s="100">
        <f ca="1">ValuationDate</f>
        <v>43642</v>
      </c>
      <c r="B39" s="69" t="s">
        <v>81</v>
      </c>
      <c r="C39" s="67"/>
      <c r="D39" s="141">
        <f ca="1">Stream1BER</f>
        <v>5.439999999999999E-2</v>
      </c>
      <c r="E39" s="48"/>
      <c r="F39" s="100">
        <f ca="1">ValuationDate</f>
        <v>43642</v>
      </c>
      <c r="G39" s="69" t="s">
        <v>81</v>
      </c>
      <c r="H39" s="67"/>
      <c r="I39" s="141">
        <f ca="1">Stream2BER</f>
        <v>5.7229463613235013E-2</v>
      </c>
      <c r="J39" s="48"/>
      <c r="Q39" s="49"/>
      <c r="R39" s="49"/>
      <c r="S39" s="49"/>
      <c r="T39" s="49"/>
      <c r="U39" s="49"/>
    </row>
    <row r="40" spans="1:66">
      <c r="A40" s="101">
        <f ca="1">A39</f>
        <v>43642</v>
      </c>
      <c r="B40" s="160" t="s">
        <v>104</v>
      </c>
      <c r="C40" s="165"/>
      <c r="D40" s="190">
        <f ca="1">Stream1DV01</f>
        <v>38446.406819619238</v>
      </c>
      <c r="E40" s="48"/>
      <c r="F40" s="101">
        <f ca="1">F39</f>
        <v>43642</v>
      </c>
      <c r="G40" s="160" t="s">
        <v>104</v>
      </c>
      <c r="H40" s="165"/>
      <c r="I40" s="190">
        <f ca="1">Stream2DV01</f>
        <v>54614.248225119998</v>
      </c>
      <c r="J40" s="48"/>
      <c r="Q40" s="49"/>
      <c r="R40" s="49"/>
      <c r="S40" s="49"/>
      <c r="T40" s="49"/>
      <c r="U40" s="49"/>
    </row>
    <row r="41" spans="1:66" ht="12" thickBot="1">
      <c r="A41" s="101">
        <f ca="1">EffectiveDate</f>
        <v>43645</v>
      </c>
      <c r="B41" s="70" t="s">
        <v>21</v>
      </c>
      <c r="C41" s="68"/>
      <c r="D41" s="145">
        <f ca="1">Stream1NPV</f>
        <v>53797075.99862121</v>
      </c>
      <c r="E41" s="48"/>
      <c r="F41" s="101">
        <f ca="1">EffectiveDate</f>
        <v>43645</v>
      </c>
      <c r="G41" s="70" t="s">
        <v>21</v>
      </c>
      <c r="H41" s="68"/>
      <c r="I41" s="194">
        <f ca="1">Stream2NPV</f>
        <v>-56595163.720964253</v>
      </c>
      <c r="J41" s="48"/>
      <c r="Q41" s="49"/>
      <c r="R41" s="49"/>
      <c r="S41" s="49"/>
      <c r="T41" s="49"/>
      <c r="U41" s="49"/>
    </row>
    <row r="42" spans="1:66" ht="12" thickBot="1">
      <c r="A42" s="54"/>
      <c r="B42" s="72"/>
      <c r="C42" s="72"/>
      <c r="D42" s="72"/>
      <c r="E42" s="48"/>
      <c r="F42" s="54"/>
      <c r="G42" s="72"/>
      <c r="H42" s="72"/>
      <c r="I42" s="72"/>
      <c r="J42" s="48"/>
      <c r="Q42" s="49"/>
      <c r="R42" s="49"/>
      <c r="S42" s="49"/>
      <c r="T42" s="49"/>
      <c r="U42" s="49"/>
    </row>
    <row r="43" spans="1:66" ht="12" thickBot="1">
      <c r="A43" s="63" t="s">
        <v>82</v>
      </c>
      <c r="B43" s="73" t="s">
        <v>56</v>
      </c>
      <c r="C43" s="73" t="s">
        <v>79</v>
      </c>
      <c r="D43" s="73" t="s">
        <v>80</v>
      </c>
      <c r="E43" s="48"/>
      <c r="F43" s="63" t="s">
        <v>82</v>
      </c>
      <c r="G43" s="73" t="s">
        <v>56</v>
      </c>
      <c r="H43" s="73" t="s">
        <v>79</v>
      </c>
      <c r="I43" s="73" t="s">
        <v>80</v>
      </c>
      <c r="J43" s="48"/>
      <c r="Q43" s="49"/>
      <c r="R43" s="49"/>
      <c r="S43" s="49"/>
      <c r="T43" s="49"/>
      <c r="U43" s="49"/>
    </row>
    <row r="44" spans="1:66">
      <c r="A44" s="100">
        <f ca="1">_xll.HLV5r3.Financial.Cache.Advance($B$14,EffectiveDate,"Calendar","0D",$B$15)</f>
        <v>43644</v>
      </c>
      <c r="B44" s="108">
        <f>IF(B12=TRUE,IF(NABPayReceiveInd="Pays",NotionalAmount,-NotionalAmount),0)</f>
        <v>0</v>
      </c>
      <c r="C44" s="74" t="s">
        <v>83</v>
      </c>
      <c r="D44" s="191">
        <f ca="1">Stream1!O12</f>
        <v>0</v>
      </c>
      <c r="E44" s="48"/>
      <c r="F44" s="100">
        <f ca="1">A44</f>
        <v>43644</v>
      </c>
      <c r="G44" s="108">
        <f>Stream2!N12</f>
        <v>0</v>
      </c>
      <c r="H44" s="74" t="s">
        <v>83</v>
      </c>
      <c r="I44" s="191">
        <f ca="1">Stream2!O12</f>
        <v>0</v>
      </c>
      <c r="J44" s="48"/>
    </row>
    <row r="45" spans="1:66" ht="12" thickBot="1">
      <c r="A45" s="101">
        <f>_xll.HLV5r3.Financial.Cache.Advance( $B$14, TreminationDate, "Calendar", "0D", $B$15)</f>
        <v>49187</v>
      </c>
      <c r="B45" s="109">
        <f>IF(B13=TRUE,IF(NABPayReceiveInd="Pays",-NotionalAmount,NotionalAmount),0)</f>
        <v>0</v>
      </c>
      <c r="C45" s="76" t="s">
        <v>84</v>
      </c>
      <c r="D45" s="192">
        <f ca="1">Stream1!O13</f>
        <v>0</v>
      </c>
      <c r="E45" s="48"/>
      <c r="F45" s="101">
        <f>A45</f>
        <v>49187</v>
      </c>
      <c r="G45" s="109">
        <f>Stream2!N13</f>
        <v>0</v>
      </c>
      <c r="H45" s="76" t="s">
        <v>84</v>
      </c>
      <c r="I45" s="192">
        <f ca="1">Stream2!O13</f>
        <v>0</v>
      </c>
      <c r="J45" s="48"/>
    </row>
    <row r="46" spans="1:66" ht="12" thickBot="1">
      <c r="A46" s="77"/>
      <c r="B46" s="110"/>
      <c r="C46" s="72"/>
      <c r="D46" s="193"/>
      <c r="E46" s="48"/>
      <c r="F46" s="77"/>
      <c r="G46" s="110"/>
      <c r="H46" s="72"/>
      <c r="I46" s="193"/>
      <c r="J46" s="48"/>
    </row>
    <row r="47" spans="1:66" ht="12" thickBot="1">
      <c r="A47" s="63" t="s">
        <v>82</v>
      </c>
      <c r="B47" s="73" t="s">
        <v>56</v>
      </c>
      <c r="C47" s="73" t="s">
        <v>79</v>
      </c>
      <c r="D47" s="73" t="s">
        <v>80</v>
      </c>
      <c r="E47" s="48"/>
      <c r="F47" s="63" t="s">
        <v>82</v>
      </c>
      <c r="G47" s="73" t="s">
        <v>56</v>
      </c>
      <c r="H47" s="73" t="s">
        <v>79</v>
      </c>
      <c r="I47" s="73" t="s">
        <v>80</v>
      </c>
      <c r="J47" s="48"/>
      <c r="K47" s="81"/>
      <c r="L47" s="80"/>
      <c r="M47" s="81"/>
      <c r="N47" s="82"/>
      <c r="O47" s="82"/>
      <c r="P47" s="82"/>
      <c r="Q47" s="82"/>
      <c r="R47" s="82"/>
    </row>
    <row r="48" spans="1:66">
      <c r="A48" s="100">
        <f ca="1">Stream1!C16</f>
        <v>43677</v>
      </c>
      <c r="B48" s="111">
        <f ca="1">Stream1!G16</f>
        <v>100000000</v>
      </c>
      <c r="C48" s="104" t="str">
        <f ca="1">IF(A48="#N/A","#N/A","Coupon" )</f>
        <v>Coupon</v>
      </c>
      <c r="D48" s="154">
        <f ca="1">Stream1!O16</f>
        <v>475108.97680410848</v>
      </c>
      <c r="E48" s="79"/>
      <c r="F48" s="100">
        <f ca="1">Stream2!C16</f>
        <v>43677</v>
      </c>
      <c r="G48" s="111">
        <f ca="1">Stream2!G16</f>
        <v>-100000000</v>
      </c>
      <c r="H48" s="104" t="str">
        <f ca="1">IF(F48="#N/A","#N/A","Coupon" )</f>
        <v>Coupon</v>
      </c>
      <c r="I48" s="154">
        <f ca="1">Stream2!O16</f>
        <v>-349269.8339979999</v>
      </c>
      <c r="J48" s="79"/>
      <c r="K48" s="84"/>
      <c r="L48" s="83"/>
      <c r="M48" s="81"/>
      <c r="N48" s="82"/>
      <c r="O48" s="82"/>
      <c r="P48" s="85"/>
      <c r="Q48" s="86"/>
      <c r="R48" s="82"/>
    </row>
    <row r="49" spans="1:18">
      <c r="A49" s="101">
        <f ca="1">Stream1!C17</f>
        <v>43707</v>
      </c>
      <c r="B49" s="112">
        <f ca="1">Stream1!G17</f>
        <v>100000000</v>
      </c>
      <c r="C49" s="105" t="str">
        <f t="shared" ref="C49:C81" ca="1" si="0">IF(A49="#N/A","#N/A","Coupon" )</f>
        <v>Coupon</v>
      </c>
      <c r="D49" s="155">
        <f ca="1">Stream1!O17</f>
        <v>443960.48718946188</v>
      </c>
      <c r="E49" s="79"/>
      <c r="F49" s="101">
        <f ca="1">Stream2!C17</f>
        <v>43707</v>
      </c>
      <c r="G49" s="112">
        <f ca="1">Stream2!G17</f>
        <v>-100000000</v>
      </c>
      <c r="H49" s="105" t="str">
        <f t="shared" ref="H49:H81" ca="1" si="1">IF(F49="#N/A","#N/A","Coupon" )</f>
        <v>Coupon</v>
      </c>
      <c r="I49" s="155">
        <f ca="1">Stream2!O17</f>
        <v>-325229.88725629984</v>
      </c>
      <c r="J49" s="79"/>
      <c r="K49" s="84"/>
      <c r="L49" s="83"/>
      <c r="M49" s="81"/>
      <c r="N49" s="82"/>
      <c r="O49" s="82"/>
      <c r="P49" s="85"/>
      <c r="Q49" s="86"/>
      <c r="R49" s="82"/>
    </row>
    <row r="50" spans="1:18">
      <c r="A50" s="101">
        <f ca="1">Stream1!C18</f>
        <v>43738</v>
      </c>
      <c r="B50" s="112">
        <f ca="1">Stream1!G18</f>
        <v>100000000</v>
      </c>
      <c r="C50" s="105" t="str">
        <f t="shared" ca="1" si="0"/>
        <v>Coupon</v>
      </c>
      <c r="D50" s="155">
        <f ca="1">Stream1!O18</f>
        <v>457238.14585481153</v>
      </c>
      <c r="E50" s="79"/>
      <c r="F50" s="101">
        <f ca="1">Stream2!C18</f>
        <v>43738</v>
      </c>
      <c r="G50" s="112">
        <f ca="1">Stream2!G18</f>
        <v>-100000000</v>
      </c>
      <c r="H50" s="105" t="str">
        <f t="shared" ca="1" si="1"/>
        <v>Coupon</v>
      </c>
      <c r="I50" s="155">
        <f ca="1">Stream2!O18</f>
        <v>-329206.5037670001</v>
      </c>
      <c r="J50" s="79"/>
      <c r="K50" s="84"/>
      <c r="L50" s="83"/>
      <c r="M50" s="81"/>
      <c r="N50" s="82"/>
      <c r="O50" s="82"/>
      <c r="P50" s="85"/>
      <c r="Q50" s="86"/>
      <c r="R50" s="82"/>
    </row>
    <row r="51" spans="1:18">
      <c r="A51" s="101">
        <f ca="1">Stream1!C19</f>
        <v>43769</v>
      </c>
      <c r="B51" s="112">
        <f ca="1">Stream1!G19</f>
        <v>100000000</v>
      </c>
      <c r="C51" s="105" t="str">
        <f t="shared" ca="1" si="0"/>
        <v>Coupon</v>
      </c>
      <c r="D51" s="155">
        <f ca="1">Stream1!O19</f>
        <v>456005.16870421218</v>
      </c>
      <c r="E51" s="79"/>
      <c r="F51" s="101">
        <f ca="1">Stream2!C19</f>
        <v>43769</v>
      </c>
      <c r="G51" s="112">
        <f ca="1">Stream2!G19</f>
        <v>-100000000</v>
      </c>
      <c r="H51" s="105" t="str">
        <f t="shared" ca="1" si="1"/>
        <v>Coupon</v>
      </c>
      <c r="I51" s="155">
        <f ca="1">Stream2!O19</f>
        <v>-266862.34580690006</v>
      </c>
      <c r="J51" s="79"/>
      <c r="K51" s="84"/>
      <c r="L51" s="83"/>
      <c r="M51" s="81"/>
      <c r="N51" s="82"/>
      <c r="O51" s="82"/>
      <c r="P51" s="85"/>
      <c r="Q51" s="86"/>
      <c r="R51" s="82"/>
    </row>
    <row r="52" spans="1:18">
      <c r="A52" s="101">
        <f ca="1">Stream1!C20</f>
        <v>43798</v>
      </c>
      <c r="B52" s="112">
        <f ca="1">Stream1!G20</f>
        <v>100000000</v>
      </c>
      <c r="C52" s="105" t="str">
        <f t="shared" ca="1" si="0"/>
        <v>Coupon</v>
      </c>
      <c r="D52" s="155">
        <f ca="1">Stream1!O20</f>
        <v>425634.41790772451</v>
      </c>
      <c r="E52" s="79"/>
      <c r="F52" s="101">
        <f ca="1">Stream2!C20</f>
        <v>43798</v>
      </c>
      <c r="G52" s="112">
        <f ca="1">Stream2!G20</f>
        <v>-100000000</v>
      </c>
      <c r="H52" s="105" t="str">
        <f t="shared" ca="1" si="1"/>
        <v>Coupon</v>
      </c>
      <c r="I52" s="155">
        <f ca="1">Stream2!O20</f>
        <v>-220041.71522649989</v>
      </c>
      <c r="J52" s="79"/>
      <c r="K52" s="84"/>
      <c r="L52" s="83"/>
      <c r="M52" s="81"/>
      <c r="N52" s="82"/>
      <c r="O52" s="82"/>
      <c r="P52" s="85"/>
      <c r="Q52" s="86"/>
      <c r="R52" s="82"/>
    </row>
    <row r="53" spans="1:18">
      <c r="A53" s="101">
        <f ca="1">Stream1!C21</f>
        <v>43830</v>
      </c>
      <c r="B53" s="112">
        <f ca="1">Stream1!G21</f>
        <v>100000000</v>
      </c>
      <c r="C53" s="105" t="str">
        <f t="shared" ca="1" si="0"/>
        <v>Coupon</v>
      </c>
      <c r="D53" s="155">
        <f ca="1">Stream1!O21</f>
        <v>468475.81000955484</v>
      </c>
      <c r="E53" s="79"/>
      <c r="F53" s="101">
        <f ca="1">Stream2!C21</f>
        <v>43830</v>
      </c>
      <c r="G53" s="112">
        <f ca="1">Stream2!G21</f>
        <v>-100000000</v>
      </c>
      <c r="H53" s="105" t="str">
        <f t="shared" ca="1" si="1"/>
        <v>Coupon</v>
      </c>
      <c r="I53" s="155">
        <f ca="1">Stream2!O21</f>
        <v>-249460.26026650021</v>
      </c>
      <c r="J53" s="79"/>
      <c r="K53" s="84"/>
      <c r="L53" s="83"/>
      <c r="M53" s="81"/>
      <c r="N53" s="82"/>
      <c r="O53" s="82"/>
      <c r="P53" s="85"/>
      <c r="Q53" s="86"/>
      <c r="R53" s="82"/>
    </row>
    <row r="54" spans="1:18">
      <c r="A54" s="101">
        <f ca="1">Stream1!C22</f>
        <v>43861</v>
      </c>
      <c r="B54" s="112">
        <f ca="1">Stream1!G22</f>
        <v>100000000</v>
      </c>
      <c r="C54" s="105" t="str">
        <f t="shared" ca="1" si="0"/>
        <v>Coupon</v>
      </c>
      <c r="D54" s="155">
        <f ca="1">Stream1!O22</f>
        <v>452671.19575681101</v>
      </c>
      <c r="E54" s="79"/>
      <c r="F54" s="101">
        <f ca="1">Stream2!C22</f>
        <v>43861</v>
      </c>
      <c r="G54" s="112">
        <f ca="1">Stream2!G22</f>
        <v>-100000000</v>
      </c>
      <c r="H54" s="105" t="str">
        <f t="shared" ca="1" si="1"/>
        <v>Coupon</v>
      </c>
      <c r="I54" s="155">
        <f ca="1">Stream2!O22</f>
        <v>-252094.39891479988</v>
      </c>
      <c r="J54" s="79"/>
      <c r="K54" s="84"/>
      <c r="L54" s="83"/>
      <c r="M54" s="81"/>
      <c r="N54" s="82"/>
      <c r="O54" s="82"/>
      <c r="P54" s="85"/>
      <c r="Q54" s="86"/>
      <c r="R54" s="82"/>
    </row>
    <row r="55" spans="1:18">
      <c r="A55" s="101">
        <f ca="1">Stream1!C23</f>
        <v>43889</v>
      </c>
      <c r="B55" s="112">
        <f ca="1">Stream1!G23</f>
        <v>100000000</v>
      </c>
      <c r="C55" s="105" t="str">
        <f t="shared" ca="1" si="0"/>
        <v>Coupon</v>
      </c>
      <c r="D55" s="155">
        <f ca="1">Stream1!O23</f>
        <v>407954.14664712595</v>
      </c>
      <c r="E55" s="79"/>
      <c r="F55" s="101">
        <f ca="1">Stream2!C23</f>
        <v>43889</v>
      </c>
      <c r="G55" s="112">
        <f ca="1">Stream2!G23</f>
        <v>-100000000</v>
      </c>
      <c r="H55" s="105" t="str">
        <f t="shared" ca="1" si="1"/>
        <v>Coupon</v>
      </c>
      <c r="I55" s="155">
        <f ca="1">Stream2!O23</f>
        <v>-218098.80985660004</v>
      </c>
      <c r="J55" s="79"/>
      <c r="K55" s="84"/>
      <c r="L55" s="83"/>
      <c r="M55" s="81"/>
      <c r="N55" s="82"/>
      <c r="O55" s="82"/>
      <c r="P55" s="85"/>
      <c r="Q55" s="86"/>
      <c r="R55" s="82"/>
    </row>
    <row r="56" spans="1:18">
      <c r="A56" s="101">
        <f ca="1">Stream1!C24</f>
        <v>43921</v>
      </c>
      <c r="B56" s="112">
        <f ca="1">Stream1!G24</f>
        <v>100000000</v>
      </c>
      <c r="C56" s="105" t="str">
        <f t="shared" ca="1" si="0"/>
        <v>Coupon</v>
      </c>
      <c r="D56" s="155">
        <f ca="1">Stream1!O24</f>
        <v>465012.77517192281</v>
      </c>
      <c r="E56" s="79"/>
      <c r="F56" s="101">
        <f ca="1">Stream2!C24</f>
        <v>43921</v>
      </c>
      <c r="G56" s="112">
        <f ca="1">Stream2!G24</f>
        <v>-100000000</v>
      </c>
      <c r="H56" s="105" t="str">
        <f t="shared" ca="1" si="1"/>
        <v>Coupon</v>
      </c>
      <c r="I56" s="155">
        <f ca="1">Stream2!O24</f>
        <v>-255914.16469799998</v>
      </c>
      <c r="J56" s="79"/>
      <c r="K56" s="84"/>
      <c r="L56" s="83"/>
      <c r="M56" s="81"/>
      <c r="N56" s="82"/>
      <c r="O56" s="82"/>
      <c r="P56" s="85"/>
      <c r="Q56" s="86"/>
      <c r="R56" s="82"/>
    </row>
    <row r="57" spans="1:18">
      <c r="A57" s="101">
        <f ca="1">Stream1!C25</f>
        <v>43951</v>
      </c>
      <c r="B57" s="112">
        <f ca="1">Stream1!G25</f>
        <v>100000000</v>
      </c>
      <c r="C57" s="105" t="str">
        <f t="shared" ca="1" si="0"/>
        <v>Coupon</v>
      </c>
      <c r="D57" s="155">
        <f ca="1">Stream1!O25</f>
        <v>434852.06680585799</v>
      </c>
      <c r="E57" s="79"/>
      <c r="F57" s="101">
        <f ca="1">Stream2!C25</f>
        <v>43951</v>
      </c>
      <c r="G57" s="112">
        <f ca="1">Stream2!G25</f>
        <v>-100000000</v>
      </c>
      <c r="H57" s="105" t="str">
        <f t="shared" ca="1" si="1"/>
        <v>Coupon</v>
      </c>
      <c r="I57" s="155">
        <f ca="1">Stream2!O25</f>
        <v>-245437.87990460009</v>
      </c>
      <c r="J57" s="79"/>
      <c r="K57" s="84"/>
      <c r="L57" s="83"/>
      <c r="M57" s="81"/>
      <c r="N57" s="82"/>
      <c r="O57" s="82"/>
      <c r="P57" s="85"/>
      <c r="Q57" s="86"/>
      <c r="R57" s="82"/>
    </row>
    <row r="58" spans="1:18">
      <c r="A58" s="101">
        <f ca="1">Stream1!C26</f>
        <v>43980</v>
      </c>
      <c r="B58" s="112">
        <f ca="1">Stream1!G26</f>
        <v>100000000</v>
      </c>
      <c r="C58" s="105" t="str">
        <f t="shared" ca="1" si="0"/>
        <v>Coupon</v>
      </c>
      <c r="D58" s="155">
        <f ca="1">Stream1!O26</f>
        <v>419349.61716768134</v>
      </c>
      <c r="E58" s="79"/>
      <c r="F58" s="101">
        <f ca="1">Stream2!C26</f>
        <v>43980</v>
      </c>
      <c r="G58" s="112">
        <f ca="1">Stream2!G26</f>
        <v>-100000000</v>
      </c>
      <c r="H58" s="105" t="str">
        <f t="shared" ca="1" si="1"/>
        <v>Coupon</v>
      </c>
      <c r="I58" s="155">
        <f ca="1">Stream2!O26</f>
        <v>-233071.73668639976</v>
      </c>
      <c r="J58" s="79"/>
      <c r="K58" s="84"/>
      <c r="L58" s="83"/>
      <c r="M58" s="81"/>
      <c r="N58" s="82"/>
      <c r="O58" s="82"/>
      <c r="P58" s="85"/>
      <c r="Q58" s="86"/>
      <c r="R58" s="82"/>
    </row>
    <row r="59" spans="1:18">
      <c r="A59" s="101">
        <f ca="1">Stream1!C27</f>
        <v>44012</v>
      </c>
      <c r="B59" s="112">
        <f ca="1">Stream1!G27</f>
        <v>100000000</v>
      </c>
      <c r="C59" s="105" t="str">
        <f t="shared" ca="1" si="0"/>
        <v>Coupon</v>
      </c>
      <c r="D59" s="155">
        <f ca="1">Stream1!O27</f>
        <v>461446.21229331492</v>
      </c>
      <c r="E59" s="79"/>
      <c r="F59" s="101">
        <f ca="1">Stream2!C27</f>
        <v>44015</v>
      </c>
      <c r="G59" s="112">
        <f ca="1">Stream2!G27</f>
        <v>-100000000</v>
      </c>
      <c r="H59" s="105" t="str">
        <f t="shared" ca="1" si="1"/>
        <v>Coupon</v>
      </c>
      <c r="I59" s="155">
        <f ca="1">Stream2!O27</f>
        <v>-295533.40287899994</v>
      </c>
      <c r="J59" s="79"/>
      <c r="K59" s="84"/>
      <c r="L59" s="83"/>
      <c r="M59" s="81"/>
      <c r="N59" s="82"/>
      <c r="O59" s="82"/>
      <c r="P59" s="85"/>
      <c r="Q59" s="86"/>
      <c r="R59" s="82"/>
    </row>
    <row r="60" spans="1:18">
      <c r="A60" s="101">
        <f ca="1">Stream1!C28</f>
        <v>44043</v>
      </c>
      <c r="B60" s="112">
        <f ca="1">Stream1!G28</f>
        <v>100000000</v>
      </c>
      <c r="C60" s="105" t="str">
        <f t="shared" ca="1" si="0"/>
        <v>Coupon</v>
      </c>
      <c r="D60" s="155">
        <f ca="1">Stream1!O28</f>
        <v>445774.16755625972</v>
      </c>
      <c r="E60" s="79"/>
      <c r="F60" s="101">
        <f ca="1">Stream2!C28</f>
        <v>44043</v>
      </c>
      <c r="G60" s="112">
        <f ca="1">Stream2!G28</f>
        <v>-100000000</v>
      </c>
      <c r="H60" s="105" t="str">
        <f t="shared" ca="1" si="1"/>
        <v>Coupon</v>
      </c>
      <c r="I60" s="155">
        <f ca="1">Stream2!O28</f>
        <v>-244718.72917349995</v>
      </c>
      <c r="J60" s="79"/>
      <c r="K60" s="84"/>
      <c r="L60" s="83"/>
      <c r="M60" s="81"/>
      <c r="N60" s="82"/>
      <c r="O60" s="82"/>
      <c r="P60" s="85"/>
      <c r="Q60" s="86"/>
      <c r="R60" s="82"/>
    </row>
    <row r="61" spans="1:18">
      <c r="A61" s="101">
        <f ca="1">Stream1!C29</f>
        <v>44074</v>
      </c>
      <c r="B61" s="112">
        <f ca="1">Stream1!G29</f>
        <v>100000000</v>
      </c>
      <c r="C61" s="105" t="str">
        <f t="shared" ca="1" si="0"/>
        <v>Coupon</v>
      </c>
      <c r="D61" s="155">
        <f ca="1">Stream1!O29</f>
        <v>444523.15321289346</v>
      </c>
      <c r="E61" s="79"/>
      <c r="F61" s="101">
        <f ca="1">Stream2!C29</f>
        <v>44074</v>
      </c>
      <c r="G61" s="112">
        <f ca="1">Stream2!G29</f>
        <v>-100000000</v>
      </c>
      <c r="H61" s="105" t="str">
        <f t="shared" ca="1" si="1"/>
        <v>Coupon</v>
      </c>
      <c r="I61" s="155">
        <f ca="1">Stream2!O29</f>
        <v>-270766.26857719978</v>
      </c>
      <c r="J61" s="79"/>
      <c r="K61" s="84"/>
      <c r="L61" s="83"/>
      <c r="M61" s="81"/>
      <c r="N61" s="82"/>
      <c r="O61" s="82"/>
      <c r="P61" s="85"/>
      <c r="Q61" s="86"/>
      <c r="R61" s="82"/>
    </row>
    <row r="62" spans="1:18">
      <c r="A62" s="101">
        <f ca="1">Stream1!C30</f>
        <v>44104</v>
      </c>
      <c r="B62" s="112">
        <f ca="1">Stream1!G30</f>
        <v>100000000</v>
      </c>
      <c r="C62" s="105" t="str">
        <f t="shared" ca="1" si="0"/>
        <v>Coupon</v>
      </c>
      <c r="D62" s="155">
        <f ca="1">Stream1!O30</f>
        <v>428948.90238091967</v>
      </c>
      <c r="E62" s="79"/>
      <c r="F62" s="101">
        <f ca="1">Stream2!C30</f>
        <v>44104</v>
      </c>
      <c r="G62" s="112">
        <f ca="1">Stream2!G30</f>
        <v>-100000000</v>
      </c>
      <c r="H62" s="105" t="str">
        <f t="shared" ca="1" si="1"/>
        <v>Coupon</v>
      </c>
      <c r="I62" s="155">
        <f ca="1">Stream2!O30</f>
        <v>-276164.16115349997</v>
      </c>
      <c r="J62" s="79"/>
      <c r="K62" s="84"/>
      <c r="L62" s="83"/>
      <c r="M62" s="81"/>
      <c r="N62" s="82"/>
      <c r="O62" s="82"/>
      <c r="P62" s="85"/>
      <c r="Q62" s="86"/>
      <c r="R62" s="82"/>
    </row>
    <row r="63" spans="1:18">
      <c r="A63" s="101">
        <f ca="1">Stream1!C31</f>
        <v>44134</v>
      </c>
      <c r="B63" s="112">
        <f ca="1">Stream1!G31</f>
        <v>100000000</v>
      </c>
      <c r="C63" s="105" t="str">
        <f t="shared" ca="1" si="0"/>
        <v>Coupon</v>
      </c>
      <c r="D63" s="155">
        <f ca="1">Stream1!O31</f>
        <v>427673.00903749029</v>
      </c>
      <c r="E63" s="79"/>
      <c r="F63" s="101">
        <f ca="1">Stream2!C31</f>
        <v>44134</v>
      </c>
      <c r="G63" s="112">
        <f ca="1">Stream2!G31</f>
        <v>-100000000</v>
      </c>
      <c r="H63" s="105" t="str">
        <f t="shared" ca="1" si="1"/>
        <v>Coupon</v>
      </c>
      <c r="I63" s="155">
        <f ca="1">Stream2!O31</f>
        <v>-285356.04800970014</v>
      </c>
      <c r="J63" s="79"/>
      <c r="K63" s="84"/>
      <c r="L63" s="83"/>
      <c r="M63" s="81"/>
      <c r="N63" s="82"/>
      <c r="O63" s="82"/>
      <c r="P63" s="85"/>
      <c r="Q63" s="86"/>
      <c r="R63" s="82"/>
    </row>
    <row r="64" spans="1:18">
      <c r="A64" s="101">
        <f ca="1">Stream1!C32</f>
        <v>44165</v>
      </c>
      <c r="B64" s="112">
        <f ca="1">Stream1!G32</f>
        <v>100000000</v>
      </c>
      <c r="C64" s="105" t="str">
        <f t="shared" ca="1" si="0"/>
        <v>Coupon</v>
      </c>
      <c r="D64" s="155">
        <f ca="1">Stream1!O32</f>
        <v>440554.48485809378</v>
      </c>
      <c r="E64" s="79"/>
      <c r="F64" s="101">
        <f ca="1">Stream2!C32</f>
        <v>44165</v>
      </c>
      <c r="G64" s="112">
        <f ca="1">Stream2!G32</f>
        <v>-100000000</v>
      </c>
      <c r="H64" s="105" t="str">
        <f t="shared" ca="1" si="1"/>
        <v>Coupon</v>
      </c>
      <c r="I64" s="155">
        <f ca="1">Stream2!O32</f>
        <v>-297447.97721129993</v>
      </c>
      <c r="J64" s="79"/>
      <c r="K64" s="84"/>
      <c r="L64" s="83"/>
      <c r="M64" s="81"/>
      <c r="N64" s="82"/>
      <c r="O64" s="82"/>
      <c r="P64" s="85"/>
      <c r="Q64" s="86"/>
      <c r="R64" s="82"/>
    </row>
    <row r="65" spans="1:18">
      <c r="A65" s="101">
        <f ca="1">Stream1!C33</f>
        <v>44196</v>
      </c>
      <c r="B65" s="112">
        <f ca="1">Stream1!G33</f>
        <v>100000000</v>
      </c>
      <c r="C65" s="105" t="str">
        <f t="shared" ca="1" si="0"/>
        <v>Coupon</v>
      </c>
      <c r="D65" s="155">
        <f ca="1">Stream1!O33</f>
        <v>439108.76208769792</v>
      </c>
      <c r="E65" s="79"/>
      <c r="F65" s="101">
        <f ca="1">Stream2!C33</f>
        <v>44196</v>
      </c>
      <c r="G65" s="112">
        <f ca="1">Stream2!G33</f>
        <v>-100000000</v>
      </c>
      <c r="H65" s="105" t="str">
        <f t="shared" ca="1" si="1"/>
        <v>Coupon</v>
      </c>
      <c r="I65" s="155">
        <f ca="1">Stream2!O33</f>
        <v>-312908.45066089992</v>
      </c>
      <c r="J65" s="79"/>
      <c r="K65" s="84"/>
      <c r="L65" s="83"/>
      <c r="M65" s="81"/>
      <c r="N65" s="82"/>
      <c r="O65" s="82"/>
      <c r="P65" s="85"/>
      <c r="Q65" s="86"/>
      <c r="R65" s="82"/>
    </row>
    <row r="66" spans="1:18">
      <c r="A66" s="101">
        <f ca="1">Stream1!C34</f>
        <v>44225</v>
      </c>
      <c r="B66" s="112">
        <f ca="1">Stream1!G34</f>
        <v>100000000</v>
      </c>
      <c r="C66" s="105" t="str">
        <f t="shared" ca="1" si="0"/>
        <v>Coupon</v>
      </c>
      <c r="D66" s="155">
        <f ca="1">Stream1!O34</f>
        <v>409472.67276394187</v>
      </c>
      <c r="E66" s="79"/>
      <c r="F66" s="101">
        <f ca="1">Stream2!C34</f>
        <v>44225</v>
      </c>
      <c r="G66" s="112">
        <f ca="1">Stream2!G34</f>
        <v>-100000000</v>
      </c>
      <c r="H66" s="105" t="str">
        <f t="shared" ca="1" si="1"/>
        <v>Coupon</v>
      </c>
      <c r="I66" s="155">
        <f ca="1">Stream2!O34</f>
        <v>-302275.28901149996</v>
      </c>
      <c r="J66" s="79"/>
      <c r="K66" s="84"/>
      <c r="L66" s="83"/>
      <c r="M66" s="81"/>
      <c r="N66" s="82"/>
      <c r="O66" s="82"/>
      <c r="P66" s="85"/>
      <c r="Q66" s="86"/>
      <c r="R66" s="82"/>
    </row>
    <row r="67" spans="1:18">
      <c r="A67" s="101">
        <f ca="1">Stream1!C35</f>
        <v>44253</v>
      </c>
      <c r="B67" s="112">
        <f ca="1">Stream1!G35</f>
        <v>100000000</v>
      </c>
      <c r="C67" s="105" t="str">
        <f t="shared" ca="1" si="0"/>
        <v>Coupon</v>
      </c>
      <c r="D67" s="155">
        <f ca="1">Stream1!O35</f>
        <v>394119.37262765074</v>
      </c>
      <c r="E67" s="79"/>
      <c r="F67" s="101">
        <f ca="1">Stream2!C35</f>
        <v>44253</v>
      </c>
      <c r="G67" s="112">
        <f ca="1">Stream2!G35</f>
        <v>-100000000</v>
      </c>
      <c r="H67" s="105" t="str">
        <f t="shared" ca="1" si="1"/>
        <v>Coupon</v>
      </c>
      <c r="I67" s="155">
        <f ca="1">Stream2!O35</f>
        <v>-295592.68110240001</v>
      </c>
      <c r="J67" s="79"/>
      <c r="K67" s="84"/>
      <c r="L67" s="83"/>
      <c r="M67" s="81"/>
      <c r="N67" s="82"/>
      <c r="O67" s="82"/>
      <c r="P67" s="85"/>
      <c r="Q67" s="86"/>
      <c r="R67" s="82"/>
    </row>
    <row r="68" spans="1:18">
      <c r="A68" s="101">
        <f ca="1">Stream1!C36</f>
        <v>44286</v>
      </c>
      <c r="B68" s="112">
        <f ca="1">Stream1!G36</f>
        <v>100000000</v>
      </c>
      <c r="C68" s="105" t="str">
        <f t="shared" ca="1" si="0"/>
        <v>Coupon</v>
      </c>
      <c r="D68" s="155">
        <f ca="1">Stream1!O36</f>
        <v>462727.87574495876</v>
      </c>
      <c r="E68" s="79"/>
      <c r="F68" s="101">
        <f ca="1">Stream2!C36</f>
        <v>44286</v>
      </c>
      <c r="G68" s="112">
        <f ca="1">Stream2!G36</f>
        <v>-100000000</v>
      </c>
      <c r="H68" s="105" t="str">
        <f t="shared" ca="1" si="1"/>
        <v>Coupon</v>
      </c>
      <c r="I68" s="155">
        <f ca="1">Stream2!O36</f>
        <v>-359867.44784849981</v>
      </c>
      <c r="J68" s="79"/>
      <c r="K68" s="84"/>
      <c r="L68" s="83"/>
      <c r="M68" s="81"/>
      <c r="N68" s="82"/>
      <c r="O68" s="82"/>
      <c r="P68" s="85"/>
      <c r="Q68" s="86"/>
      <c r="R68" s="82"/>
    </row>
    <row r="69" spans="1:18">
      <c r="A69" s="101">
        <f ca="1">Stream1!C37</f>
        <v>44316</v>
      </c>
      <c r="B69" s="112">
        <f ca="1">Stream1!G37</f>
        <v>100000000</v>
      </c>
      <c r="C69" s="105" t="str">
        <f t="shared" ca="1" si="0"/>
        <v>Coupon</v>
      </c>
      <c r="D69" s="155">
        <f ca="1">Stream1!O37</f>
        <v>419158.29081224365</v>
      </c>
      <c r="E69" s="79"/>
      <c r="F69" s="101">
        <f ca="1">Stream2!C37</f>
        <v>44316</v>
      </c>
      <c r="G69" s="112">
        <f ca="1">Stream2!G37</f>
        <v>-100000000</v>
      </c>
      <c r="H69" s="105" t="str">
        <f t="shared" ca="1" si="1"/>
        <v>Coupon</v>
      </c>
      <c r="I69" s="155">
        <f ca="1">Stream2!O37</f>
        <v>-336241.58076769998</v>
      </c>
      <c r="J69" s="79"/>
      <c r="K69" s="84"/>
      <c r="L69" s="83"/>
      <c r="M69" s="81"/>
      <c r="N69" s="82"/>
      <c r="O69" s="82"/>
      <c r="P69" s="85"/>
      <c r="Q69" s="86"/>
      <c r="R69" s="82"/>
    </row>
    <row r="70" spans="1:18">
      <c r="A70" s="101">
        <f ca="1">Stream1!C38</f>
        <v>44347</v>
      </c>
      <c r="B70" s="112">
        <f ca="1">Stream1!G38</f>
        <v>100000000</v>
      </c>
      <c r="C70" s="105" t="str">
        <f t="shared" ca="1" si="0"/>
        <v>Coupon</v>
      </c>
      <c r="D70" s="155">
        <f ca="1">Stream1!O38</f>
        <v>431500.98768522288</v>
      </c>
      <c r="E70" s="79"/>
      <c r="F70" s="101">
        <f ca="1">Stream2!C38</f>
        <v>44347</v>
      </c>
      <c r="G70" s="112">
        <f ca="1">Stream2!G38</f>
        <v>-100000000</v>
      </c>
      <c r="H70" s="105" t="str">
        <f t="shared" ca="1" si="1"/>
        <v>Coupon</v>
      </c>
      <c r="I70" s="155">
        <f ca="1">Stream2!O38</f>
        <v>-352629.77125529997</v>
      </c>
      <c r="J70" s="79"/>
      <c r="K70" s="87"/>
      <c r="P70" s="88"/>
    </row>
    <row r="71" spans="1:18">
      <c r="A71" s="101">
        <f ca="1">Stream1!C39</f>
        <v>44377</v>
      </c>
      <c r="B71" s="112">
        <f ca="1">Stream1!G39</f>
        <v>100000000</v>
      </c>
      <c r="C71" s="105" t="str">
        <f t="shared" ca="1" si="0"/>
        <v>Coupon</v>
      </c>
      <c r="D71" s="155">
        <f ca="1">Stream1!O39</f>
        <v>416017.29603582388</v>
      </c>
      <c r="E71" s="79"/>
      <c r="F71" s="101">
        <f ca="1">Stream2!C39</f>
        <v>44377</v>
      </c>
      <c r="G71" s="112">
        <f ca="1">Stream2!G39</f>
        <v>-100000000</v>
      </c>
      <c r="H71" s="105" t="str">
        <f t="shared" ca="1" si="1"/>
        <v>Coupon</v>
      </c>
      <c r="I71" s="155">
        <f ca="1">Stream2!O39</f>
        <v>-349859.86930430005</v>
      </c>
      <c r="J71" s="79"/>
      <c r="K71" s="87"/>
      <c r="P71" s="88"/>
    </row>
    <row r="72" spans="1:18">
      <c r="A72" s="101">
        <f ca="1">Stream1!C40</f>
        <v>44407</v>
      </c>
      <c r="B72" s="112">
        <f ca="1">Stream1!G40</f>
        <v>100000000</v>
      </c>
      <c r="C72" s="105" t="str">
        <f t="shared" ca="1" si="0"/>
        <v>Coupon</v>
      </c>
      <c r="D72" s="155">
        <f ca="1">Stream1!O40</f>
        <v>414421.84287342132</v>
      </c>
      <c r="E72" s="79"/>
      <c r="F72" s="101">
        <f ca="1">Stream2!C40</f>
        <v>44407</v>
      </c>
      <c r="G72" s="112">
        <f ca="1">Stream2!G40</f>
        <v>-100000000</v>
      </c>
      <c r="H72" s="105" t="str">
        <f t="shared" ca="1" si="1"/>
        <v>Coupon</v>
      </c>
      <c r="I72" s="155">
        <f ca="1">Stream2!O40</f>
        <v>-356826.22811079992</v>
      </c>
      <c r="J72" s="79"/>
      <c r="K72" s="87"/>
      <c r="P72" s="88"/>
    </row>
    <row r="73" spans="1:18">
      <c r="A73" s="101">
        <f ca="1">Stream1!C41</f>
        <v>44439</v>
      </c>
      <c r="B73" s="112">
        <f ca="1">Stream1!G41</f>
        <v>100000000</v>
      </c>
      <c r="C73" s="105" t="str">
        <f t="shared" ca="1" si="0"/>
        <v>Coupon</v>
      </c>
      <c r="D73" s="155">
        <f ca="1">Stream1!O41</f>
        <v>440207.71292484278</v>
      </c>
      <c r="E73" s="79"/>
      <c r="F73" s="101">
        <f ca="1">Stream2!C41</f>
        <v>44439</v>
      </c>
      <c r="G73" s="112">
        <f ca="1">Stream2!G41</f>
        <v>-100000000</v>
      </c>
      <c r="H73" s="105" t="str">
        <f t="shared" ca="1" si="1"/>
        <v>Coupon</v>
      </c>
      <c r="I73" s="155">
        <f ca="1">Stream2!O41</f>
        <v>-386271.9867213</v>
      </c>
      <c r="J73" s="79"/>
      <c r="K73" s="87"/>
      <c r="P73" s="88"/>
    </row>
    <row r="74" spans="1:18">
      <c r="A74" s="101">
        <f ca="1">Stream1!C42</f>
        <v>44469</v>
      </c>
      <c r="B74" s="112">
        <f ca="1">Stream1!G42</f>
        <v>100000000</v>
      </c>
      <c r="C74" s="105" t="str">
        <f t="shared" ca="1" si="0"/>
        <v>Coupon</v>
      </c>
      <c r="D74" s="155">
        <f ca="1">Stream1!O42</f>
        <v>411012.38250918448</v>
      </c>
      <c r="E74" s="79"/>
      <c r="F74" s="101">
        <f ca="1">Stream2!C42</f>
        <v>44469</v>
      </c>
      <c r="G74" s="112">
        <f ca="1">Stream2!G42</f>
        <v>-100000000</v>
      </c>
      <c r="H74" s="105" t="str">
        <f t="shared" ca="1" si="1"/>
        <v>Coupon</v>
      </c>
      <c r="I74" s="155">
        <f ca="1">Stream2!O42</f>
        <v>-376260.50895669998</v>
      </c>
      <c r="J74" s="79"/>
      <c r="K74" s="87"/>
      <c r="P74" s="88"/>
    </row>
    <row r="75" spans="1:18">
      <c r="A75" s="101">
        <f ca="1">Stream1!C43</f>
        <v>44498</v>
      </c>
      <c r="B75" s="112">
        <f ca="1">Stream1!G43</f>
        <v>100000000</v>
      </c>
      <c r="C75" s="105" t="str">
        <f t="shared" ca="1" si="0"/>
        <v>Coupon</v>
      </c>
      <c r="D75" s="155">
        <f ca="1">Stream1!O43</f>
        <v>395700.65998466482</v>
      </c>
      <c r="E75" s="79"/>
      <c r="F75" s="101">
        <f ca="1">Stream2!C43</f>
        <v>44498</v>
      </c>
      <c r="G75" s="112">
        <f ca="1">Stream2!G43</f>
        <v>-100000000</v>
      </c>
      <c r="H75" s="105" t="str">
        <f t="shared" ca="1" si="1"/>
        <v>Coupon</v>
      </c>
      <c r="I75" s="155">
        <f ca="1">Stream2!O43</f>
        <v>-372799.23148319969</v>
      </c>
      <c r="J75" s="79"/>
      <c r="K75" s="87"/>
      <c r="P75" s="88"/>
    </row>
    <row r="76" spans="1:18">
      <c r="A76" s="101">
        <f ca="1">Stream1!C44</f>
        <v>44530</v>
      </c>
      <c r="B76" s="112">
        <f ca="1">Stream1!G44</f>
        <v>100000000</v>
      </c>
      <c r="C76" s="105" t="str">
        <f t="shared" ca="1" si="0"/>
        <v>Coupon</v>
      </c>
      <c r="D76" s="155">
        <f ca="1">Stream1!O44</f>
        <v>434643.75345598964</v>
      </c>
      <c r="E76" s="79"/>
      <c r="F76" s="101">
        <f ca="1">Stream2!C44</f>
        <v>44530</v>
      </c>
      <c r="G76" s="112">
        <f ca="1">Stream2!G44</f>
        <v>-100000000</v>
      </c>
      <c r="H76" s="105" t="str">
        <f t="shared" ca="1" si="1"/>
        <v>Coupon</v>
      </c>
      <c r="I76" s="155">
        <f ca="1">Stream2!O44</f>
        <v>-417556.30168520001</v>
      </c>
      <c r="J76" s="79"/>
      <c r="K76" s="87"/>
      <c r="P76" s="88"/>
    </row>
    <row r="77" spans="1:18">
      <c r="A77" s="101">
        <f ca="1">Stream1!C45</f>
        <v>44561</v>
      </c>
      <c r="B77" s="112">
        <f ca="1">Stream1!G45</f>
        <v>100000000</v>
      </c>
      <c r="C77" s="105" t="str">
        <f t="shared" ca="1" si="0"/>
        <v>Coupon</v>
      </c>
      <c r="D77" s="155">
        <f ca="1">Stream1!O45</f>
        <v>419164.03213785641</v>
      </c>
      <c r="E77" s="79"/>
      <c r="F77" s="101">
        <f ca="1">Stream2!C45</f>
        <v>44561</v>
      </c>
      <c r="G77" s="112">
        <f ca="1">Stream2!G45</f>
        <v>-100000000</v>
      </c>
      <c r="H77" s="105" t="str">
        <f t="shared" ca="1" si="1"/>
        <v>Coupon</v>
      </c>
      <c r="I77" s="155">
        <f ca="1">Stream2!O45</f>
        <v>-410604.22691019991</v>
      </c>
      <c r="J77" s="79"/>
      <c r="K77" s="87"/>
      <c r="P77" s="88"/>
    </row>
    <row r="78" spans="1:18">
      <c r="A78" s="101">
        <f ca="1">Stream1!C46</f>
        <v>44592</v>
      </c>
      <c r="B78" s="112">
        <f ca="1">Stream1!G46</f>
        <v>100000000</v>
      </c>
      <c r="C78" s="105" t="str">
        <f t="shared" ca="1" si="0"/>
        <v>Coupon</v>
      </c>
      <c r="D78" s="155">
        <f ca="1">Stream1!O46</f>
        <v>417239.66889470129</v>
      </c>
      <c r="E78" s="79"/>
      <c r="F78" s="101">
        <f ca="1">Stream2!C46</f>
        <v>44592</v>
      </c>
      <c r="G78" s="112">
        <f ca="1">Stream2!G46</f>
        <v>-100000000</v>
      </c>
      <c r="H78" s="105" t="str">
        <f t="shared" ca="1" si="1"/>
        <v>Coupon</v>
      </c>
      <c r="I78" s="155">
        <f ca="1">Stream2!O46</f>
        <v>-416504.14121889981</v>
      </c>
      <c r="J78" s="79"/>
      <c r="K78" s="87"/>
      <c r="P78" s="88"/>
    </row>
    <row r="79" spans="1:18">
      <c r="A79" s="101">
        <f ca="1">Stream1!C47</f>
        <v>44620</v>
      </c>
      <c r="B79" s="112">
        <f ca="1">Stream1!G47</f>
        <v>100000000</v>
      </c>
      <c r="C79" s="105" t="str">
        <f t="shared" ca="1" si="0"/>
        <v>Coupon</v>
      </c>
      <c r="D79" s="155">
        <f ca="1">Stream1!O47</f>
        <v>375270.89254399412</v>
      </c>
      <c r="E79" s="79"/>
      <c r="F79" s="101">
        <f ca="1">Stream2!C47</f>
        <v>44620</v>
      </c>
      <c r="G79" s="112">
        <f ca="1">Stream2!G47</f>
        <v>-100000000</v>
      </c>
      <c r="H79" s="105" t="str">
        <f t="shared" ca="1" si="1"/>
        <v>Coupon</v>
      </c>
      <c r="I79" s="155">
        <f ca="1">Stream2!O47</f>
        <v>-381185.34343140008</v>
      </c>
      <c r="J79" s="79"/>
      <c r="K79" s="87"/>
      <c r="P79" s="88"/>
    </row>
    <row r="80" spans="1:18">
      <c r="A80" s="101">
        <f ca="1">Stream1!C48</f>
        <v>44651</v>
      </c>
      <c r="B80" s="112">
        <f ca="1">Stream1!G48</f>
        <v>100000000</v>
      </c>
      <c r="C80" s="105" t="str">
        <f t="shared" ca="1" si="0"/>
        <v>Coupon</v>
      </c>
      <c r="D80" s="155">
        <f ca="1">Stream1!O48</f>
        <v>413503.52310187521</v>
      </c>
      <c r="E80" s="79"/>
      <c r="F80" s="101">
        <f ca="1">Stream2!C48</f>
        <v>44651</v>
      </c>
      <c r="G80" s="112">
        <f ca="1">Stream2!G48</f>
        <v>-100000000</v>
      </c>
      <c r="H80" s="105" t="str">
        <f t="shared" ca="1" si="1"/>
        <v>Coupon</v>
      </c>
      <c r="I80" s="155">
        <f ca="1">Stream2!O48</f>
        <v>-427456.26851209981</v>
      </c>
      <c r="J80" s="79"/>
    </row>
    <row r="81" spans="1:13">
      <c r="A81" s="101">
        <f ca="1">Stream1!C49</f>
        <v>44680</v>
      </c>
      <c r="B81" s="112">
        <f ca="1">Stream1!G49</f>
        <v>100000000</v>
      </c>
      <c r="C81" s="105" t="str">
        <f t="shared" ca="1" si="0"/>
        <v>Coupon</v>
      </c>
      <c r="D81" s="155">
        <f ca="1">Stream1!O49</f>
        <v>385075.57589418441</v>
      </c>
      <c r="E81" s="79"/>
      <c r="F81" s="101">
        <f ca="1">Stream2!C49</f>
        <v>44680</v>
      </c>
      <c r="G81" s="112">
        <f ca="1">Stream2!G49</f>
        <v>-100000000</v>
      </c>
      <c r="H81" s="105" t="str">
        <f t="shared" ca="1" si="1"/>
        <v>Coupon</v>
      </c>
      <c r="I81" s="155">
        <f ca="1">Stream2!O49</f>
        <v>-404956.70824309974</v>
      </c>
      <c r="J81" s="79"/>
    </row>
    <row r="82" spans="1:13">
      <c r="A82" s="101">
        <f ca="1">Stream1!C50</f>
        <v>44771</v>
      </c>
      <c r="B82" s="112">
        <f ca="1">Stream1!G50</f>
        <v>100000000</v>
      </c>
      <c r="C82" s="105" t="str">
        <f t="shared" ref="C82:C141" ca="1" si="2">IF(A82="#N/A","#N/A","Coupon" )</f>
        <v>Coupon</v>
      </c>
      <c r="D82" s="155">
        <f ca="1">Stream1!O50</f>
        <v>1191300.7475986627</v>
      </c>
      <c r="E82" s="79"/>
      <c r="F82" s="101">
        <f ca="1">Stream2!C50</f>
        <v>44771</v>
      </c>
      <c r="G82" s="112">
        <f ca="1">Stream2!G50</f>
        <v>-100000000</v>
      </c>
      <c r="H82" s="105" t="str">
        <f t="shared" ref="H82:H141" ca="1" si="3">IF(F82="#N/A","#N/A","Coupon" )</f>
        <v>Coupon</v>
      </c>
      <c r="I82" s="155">
        <f ca="1">Stream2!O50</f>
        <v>-1256372.4560988981</v>
      </c>
      <c r="J82" s="79"/>
    </row>
    <row r="83" spans="1:13">
      <c r="A83" s="101">
        <f ca="1">Stream1!C51</f>
        <v>44865</v>
      </c>
      <c r="B83" s="112">
        <f ca="1">Stream1!G51</f>
        <v>100000000</v>
      </c>
      <c r="C83" s="105" t="str">
        <f t="shared" ca="1" si="2"/>
        <v>Coupon</v>
      </c>
      <c r="D83" s="155">
        <f ca="1">Stream1!O51</f>
        <v>1213107.6679101544</v>
      </c>
      <c r="E83" s="79"/>
      <c r="F83" s="101">
        <f ca="1">Stream2!C51</f>
        <v>44865</v>
      </c>
      <c r="G83" s="112">
        <f ca="1">Stream2!G51</f>
        <v>-100000000</v>
      </c>
      <c r="H83" s="105" t="str">
        <f t="shared" ca="1" si="3"/>
        <v>Coupon</v>
      </c>
      <c r="I83" s="155">
        <f ca="1">Stream2!O51</f>
        <v>-1246745.2887416019</v>
      </c>
      <c r="J83" s="79"/>
    </row>
    <row r="84" spans="1:13">
      <c r="A84" s="101">
        <f ca="1">Stream1!C52</f>
        <v>44957</v>
      </c>
      <c r="B84" s="112">
        <f ca="1">Stream1!G52</f>
        <v>100000000</v>
      </c>
      <c r="C84" s="105" t="str">
        <f t="shared" ca="1" si="2"/>
        <v>Coupon</v>
      </c>
      <c r="D84" s="155">
        <f ca="1">Stream1!O52</f>
        <v>1170192.2648265876</v>
      </c>
      <c r="E84" s="79"/>
      <c r="F84" s="101">
        <f ca="1">Stream2!C52</f>
        <v>44957</v>
      </c>
      <c r="G84" s="112">
        <f ca="1">Stream2!G52</f>
        <v>-100000000</v>
      </c>
      <c r="H84" s="105" t="str">
        <f t="shared" ca="1" si="3"/>
        <v>Coupon</v>
      </c>
      <c r="I84" s="155">
        <f ca="1">Stream2!O52</f>
        <v>-1247438.3787792996</v>
      </c>
      <c r="J84" s="79"/>
      <c r="K84" s="91"/>
      <c r="L84" s="62"/>
      <c r="M84" s="91"/>
    </row>
    <row r="85" spans="1:13">
      <c r="A85" s="101">
        <f ca="1">Stream1!C53</f>
        <v>45044</v>
      </c>
      <c r="B85" s="112">
        <f ca="1">Stream1!G53</f>
        <v>100000000</v>
      </c>
      <c r="C85" s="105" t="str">
        <f t="shared" ca="1" si="2"/>
        <v>Coupon</v>
      </c>
      <c r="D85" s="155">
        <f ca="1">Stream1!O53</f>
        <v>1090997.5151271271</v>
      </c>
      <c r="E85" s="79"/>
      <c r="F85" s="101">
        <f ca="1">Stream2!C53</f>
        <v>45044</v>
      </c>
      <c r="G85" s="112">
        <f ca="1">Stream2!G53</f>
        <v>-100000000</v>
      </c>
      <c r="H85" s="105" t="str">
        <f t="shared" ca="1" si="3"/>
        <v>Coupon</v>
      </c>
      <c r="I85" s="155">
        <f ca="1">Stream2!O53</f>
        <v>-1202888.4721227984</v>
      </c>
      <c r="J85" s="79"/>
      <c r="K85" s="91"/>
      <c r="L85" s="62"/>
      <c r="M85" s="91"/>
    </row>
    <row r="86" spans="1:13">
      <c r="A86" s="101">
        <f ca="1">Stream1!C54</f>
        <v>45138</v>
      </c>
      <c r="B86" s="112">
        <f ca="1">Stream1!G54</f>
        <v>100000000</v>
      </c>
      <c r="C86" s="105" t="str">
        <f t="shared" ca="1" si="2"/>
        <v>Coupon</v>
      </c>
      <c r="D86" s="155">
        <f ca="1">Stream1!O54</f>
        <v>1161026.5056910142</v>
      </c>
      <c r="E86" s="79"/>
      <c r="F86" s="101">
        <f ca="1">Stream2!C54</f>
        <v>45138</v>
      </c>
      <c r="G86" s="112">
        <f ca="1">Stream2!G54</f>
        <v>-100000000</v>
      </c>
      <c r="H86" s="105" t="str">
        <f t="shared" ca="1" si="3"/>
        <v>Coupon</v>
      </c>
      <c r="I86" s="155">
        <f ca="1">Stream2!O54</f>
        <v>-1267137.2076841022</v>
      </c>
      <c r="J86" s="79"/>
      <c r="K86" s="91"/>
      <c r="L86" s="62"/>
      <c r="M86" s="91"/>
    </row>
    <row r="87" spans="1:13">
      <c r="A87" s="101">
        <f ca="1">Stream1!C55</f>
        <v>45230</v>
      </c>
      <c r="B87" s="112">
        <f ca="1">Stream1!G55</f>
        <v>100000000</v>
      </c>
      <c r="C87" s="105" t="str">
        <f t="shared" ca="1" si="2"/>
        <v>Coupon</v>
      </c>
      <c r="D87" s="155">
        <f ca="1">Stream1!O55</f>
        <v>1120477.0943864817</v>
      </c>
      <c r="E87" s="79"/>
      <c r="F87" s="101">
        <f ca="1">Stream2!C55</f>
        <v>45230</v>
      </c>
      <c r="G87" s="112">
        <f ca="1">Stream2!G55</f>
        <v>-100000000</v>
      </c>
      <c r="H87" s="105" t="str">
        <f t="shared" ca="1" si="3"/>
        <v>Coupon</v>
      </c>
      <c r="I87" s="155">
        <f ca="1">Stream2!O55</f>
        <v>-1155701.0646462003</v>
      </c>
      <c r="J87" s="79"/>
      <c r="K87" s="91"/>
      <c r="L87" s="62"/>
      <c r="M87" s="91"/>
    </row>
    <row r="88" spans="1:13">
      <c r="A88" s="101">
        <f ca="1">Stream1!C56</f>
        <v>45322</v>
      </c>
      <c r="B88" s="112">
        <f ca="1">Stream1!G56</f>
        <v>100000000</v>
      </c>
      <c r="C88" s="105" t="str">
        <f t="shared" ca="1" si="2"/>
        <v>Coupon</v>
      </c>
      <c r="D88" s="155">
        <f ca="1">Stream1!O56</f>
        <v>1104533.0471283284</v>
      </c>
      <c r="E88" s="79"/>
      <c r="F88" s="101">
        <f ca="1">Stream2!C56</f>
        <v>45322</v>
      </c>
      <c r="G88" s="112">
        <f ca="1">Stream2!G56</f>
        <v>-100000000</v>
      </c>
      <c r="H88" s="105" t="str">
        <f t="shared" ca="1" si="3"/>
        <v>Coupon</v>
      </c>
      <c r="I88" s="155">
        <f ca="1">Stream2!O56</f>
        <v>-1162799.1626489996</v>
      </c>
      <c r="J88" s="79"/>
      <c r="K88" s="91"/>
      <c r="L88" s="62"/>
      <c r="M88" s="91"/>
    </row>
    <row r="89" spans="1:13">
      <c r="A89" s="101">
        <f ca="1">Stream1!C57</f>
        <v>45412</v>
      </c>
      <c r="B89" s="112">
        <f ca="1">Stream1!G57</f>
        <v>100000000</v>
      </c>
      <c r="C89" s="105" t="str">
        <f t="shared" ca="1" si="2"/>
        <v>Coupon</v>
      </c>
      <c r="D89" s="155">
        <f ca="1">Stream1!O57</f>
        <v>1065180.9041068987</v>
      </c>
      <c r="E89" s="79"/>
      <c r="F89" s="101">
        <f ca="1">Stream2!C57</f>
        <v>45412</v>
      </c>
      <c r="G89" s="112">
        <f ca="1">Stream2!G57</f>
        <v>-100000000</v>
      </c>
      <c r="H89" s="105" t="str">
        <f t="shared" ca="1" si="3"/>
        <v>Coupon</v>
      </c>
      <c r="I89" s="155">
        <f ca="1">Stream2!O57</f>
        <v>-1143648.4047668013</v>
      </c>
      <c r="J89" s="79"/>
      <c r="K89" s="91"/>
      <c r="L89" s="62"/>
      <c r="M89" s="91"/>
    </row>
    <row r="90" spans="1:13">
      <c r="A90" s="101">
        <f ca="1">Stream1!C58</f>
        <v>45504</v>
      </c>
      <c r="B90" s="112">
        <f ca="1">Stream1!G58</f>
        <v>100000000</v>
      </c>
      <c r="C90" s="105" t="str">
        <f t="shared" ca="1" si="2"/>
        <v>Coupon</v>
      </c>
      <c r="D90" s="155">
        <f ca="1">Stream1!O58</f>
        <v>1072870.6683424688</v>
      </c>
      <c r="E90" s="79"/>
      <c r="F90" s="101">
        <f ca="1">Stream2!C58</f>
        <v>45504</v>
      </c>
      <c r="G90" s="112">
        <f ca="1">Stream2!G58</f>
        <v>-100000000</v>
      </c>
      <c r="H90" s="105" t="str">
        <f t="shared" ca="1" si="3"/>
        <v>Coupon</v>
      </c>
      <c r="I90" s="155">
        <f ca="1">Stream2!O58</f>
        <v>-1165488.4751961997</v>
      </c>
      <c r="J90" s="79"/>
      <c r="K90" s="91"/>
      <c r="L90" s="62"/>
      <c r="M90" s="91"/>
    </row>
    <row r="91" spans="1:13">
      <c r="A91" s="101">
        <f ca="1">Stream1!C59</f>
        <v>45596</v>
      </c>
      <c r="B91" s="112">
        <f ca="1">Stream1!G59</f>
        <v>100000000</v>
      </c>
      <c r="C91" s="105" t="str">
        <f t="shared" ca="1" si="2"/>
        <v>Coupon</v>
      </c>
      <c r="D91" s="155">
        <f ca="1">Stream1!O59</f>
        <v>1057051.7253088139</v>
      </c>
      <c r="E91" s="79"/>
      <c r="F91" s="101">
        <f ca="1">Stream2!C59</f>
        <v>45596</v>
      </c>
      <c r="G91" s="112">
        <f ca="1">Stream2!G59</f>
        <v>-100000000</v>
      </c>
      <c r="H91" s="105" t="str">
        <f t="shared" ca="1" si="3"/>
        <v>Coupon</v>
      </c>
      <c r="I91" s="155">
        <f ca="1">Stream2!O59</f>
        <v>-1153675.3131561999</v>
      </c>
      <c r="J91" s="79"/>
      <c r="K91" s="91"/>
      <c r="L91" s="62"/>
      <c r="M91" s="91"/>
    </row>
    <row r="92" spans="1:13">
      <c r="A92" s="101">
        <f ca="1">Stream1!C60</f>
        <v>45688</v>
      </c>
      <c r="B92" s="112">
        <f ca="1">Stream1!G60</f>
        <v>100000000</v>
      </c>
      <c r="C92" s="105" t="str">
        <f t="shared" ca="1" si="2"/>
        <v>Coupon</v>
      </c>
      <c r="D92" s="155">
        <f ca="1">Stream1!O60</f>
        <v>1041198.4521422404</v>
      </c>
      <c r="E92" s="79"/>
      <c r="F92" s="101">
        <f ca="1">Stream2!C60</f>
        <v>45688</v>
      </c>
      <c r="G92" s="112">
        <f ca="1">Stream2!G60</f>
        <v>-100000000</v>
      </c>
      <c r="H92" s="105" t="str">
        <f t="shared" ca="1" si="3"/>
        <v>Coupon</v>
      </c>
      <c r="I92" s="155">
        <f ca="1">Stream2!O60</f>
        <v>-1156179.0093108998</v>
      </c>
      <c r="J92" s="79"/>
      <c r="K92" s="91"/>
      <c r="L92" s="62"/>
      <c r="M92" s="91"/>
    </row>
    <row r="93" spans="1:13">
      <c r="A93" s="101">
        <f ca="1">Stream1!C61</f>
        <v>45777</v>
      </c>
      <c r="B93" s="112">
        <f ca="1">Stream1!G61</f>
        <v>100000000</v>
      </c>
      <c r="C93" s="105" t="str">
        <f t="shared" ca="1" si="2"/>
        <v>Coupon</v>
      </c>
      <c r="D93" s="155">
        <f ca="1">Stream1!O61</f>
        <v>992386.38108842145</v>
      </c>
      <c r="E93" s="79"/>
      <c r="F93" s="101">
        <f ca="1">Stream2!C61</f>
        <v>45777</v>
      </c>
      <c r="G93" s="112">
        <f ca="1">Stream2!G61</f>
        <v>-100000000</v>
      </c>
      <c r="H93" s="105" t="str">
        <f t="shared" ca="1" si="3"/>
        <v>Coupon</v>
      </c>
      <c r="I93" s="155">
        <f ca="1">Stream2!O61</f>
        <v>-1120266.2093637004</v>
      </c>
      <c r="J93" s="79"/>
      <c r="K93" s="91"/>
      <c r="L93" s="62"/>
      <c r="M93" s="91"/>
    </row>
    <row r="94" spans="1:13">
      <c r="A94" s="101">
        <f ca="1">Stream1!C62</f>
        <v>45869</v>
      </c>
      <c r="B94" s="112">
        <f ca="1">Stream1!G62</f>
        <v>100000000</v>
      </c>
      <c r="C94" s="105" t="str">
        <f t="shared" ca="1" si="2"/>
        <v>Coupon</v>
      </c>
      <c r="D94" s="155">
        <f ca="1">Stream1!O62</f>
        <v>1010227.2229269571</v>
      </c>
      <c r="E94" s="79"/>
      <c r="F94" s="101">
        <f ca="1">Stream2!C62</f>
        <v>45869</v>
      </c>
      <c r="G94" s="112">
        <f ca="1">Stream2!G62</f>
        <v>-100000000</v>
      </c>
      <c r="H94" s="105" t="str">
        <f t="shared" ca="1" si="3"/>
        <v>Coupon</v>
      </c>
      <c r="I94" s="155">
        <f ca="1">Stream2!O62</f>
        <v>-1138465.1412553997</v>
      </c>
      <c r="J94" s="79"/>
      <c r="K94" s="91"/>
      <c r="L94" s="62"/>
      <c r="M94" s="91"/>
    </row>
    <row r="95" spans="1:13">
      <c r="A95" s="101">
        <f ca="1">Stream1!C63</f>
        <v>45961</v>
      </c>
      <c r="B95" s="112">
        <f ca="1">Stream1!G63</f>
        <v>100000000</v>
      </c>
      <c r="C95" s="105" t="str">
        <f t="shared" ca="1" si="2"/>
        <v>Coupon</v>
      </c>
      <c r="D95" s="155">
        <f ca="1">Stream1!O63</f>
        <v>995121.15840291965</v>
      </c>
      <c r="E95" s="79"/>
      <c r="F95" s="101">
        <f ca="1">Stream2!C63</f>
        <v>45961</v>
      </c>
      <c r="G95" s="112">
        <f ca="1">Stream2!G63</f>
        <v>-100000000</v>
      </c>
      <c r="H95" s="105" t="str">
        <f t="shared" ca="1" si="3"/>
        <v>Coupon</v>
      </c>
      <c r="I95" s="155">
        <f ca="1">Stream2!O63</f>
        <v>-1101685.0925659004</v>
      </c>
      <c r="J95" s="79"/>
      <c r="K95" s="91"/>
      <c r="L95" s="62"/>
      <c r="M95" s="91"/>
    </row>
    <row r="96" spans="1:13">
      <c r="A96" s="101">
        <f ca="1">Stream1!C64</f>
        <v>46052</v>
      </c>
      <c r="B96" s="112">
        <f ca="1">Stream1!G64</f>
        <v>100000000</v>
      </c>
      <c r="C96" s="105" t="str">
        <f t="shared" ca="1" si="2"/>
        <v>Coupon</v>
      </c>
      <c r="D96" s="155">
        <f ca="1">Stream1!O64</f>
        <v>969560.10363893653</v>
      </c>
      <c r="E96" s="79"/>
      <c r="F96" s="101">
        <f ca="1">Stream2!C64</f>
        <v>46052</v>
      </c>
      <c r="G96" s="112">
        <f ca="1">Stream2!G64</f>
        <v>-100000000</v>
      </c>
      <c r="H96" s="105" t="str">
        <f t="shared" ca="1" si="3"/>
        <v>Coupon</v>
      </c>
      <c r="I96" s="155">
        <f ca="1">Stream2!O64</f>
        <v>-1087134.3645429995</v>
      </c>
      <c r="J96" s="79"/>
      <c r="K96" s="91"/>
      <c r="L96" s="62"/>
      <c r="M96" s="91"/>
    </row>
    <row r="97" spans="1:13">
      <c r="A97" s="101">
        <f ca="1">Stream1!C65</f>
        <v>46142</v>
      </c>
      <c r="B97" s="112">
        <f ca="1">Stream1!G65</f>
        <v>100000000</v>
      </c>
      <c r="C97" s="105" t="str">
        <f t="shared" ca="1" si="2"/>
        <v>Coupon</v>
      </c>
      <c r="D97" s="155">
        <f ca="1">Stream1!O65</f>
        <v>944522.06771285238</v>
      </c>
      <c r="E97" s="79"/>
      <c r="F97" s="101">
        <f ca="1">Stream2!C65</f>
        <v>46142</v>
      </c>
      <c r="G97" s="112">
        <f ca="1">Stream2!G65</f>
        <v>-100000000</v>
      </c>
      <c r="H97" s="105" t="str">
        <f t="shared" ca="1" si="3"/>
        <v>Coupon</v>
      </c>
      <c r="I97" s="155">
        <f ca="1">Stream2!O65</f>
        <v>-1072301.5097695023</v>
      </c>
      <c r="J97" s="79"/>
      <c r="K97" s="91"/>
      <c r="L97" s="62"/>
      <c r="M97" s="91"/>
    </row>
    <row r="98" spans="1:13">
      <c r="A98" s="101">
        <f ca="1">Stream1!C66</f>
        <v>46234</v>
      </c>
      <c r="B98" s="112">
        <f ca="1">Stream1!G66</f>
        <v>100000000</v>
      </c>
      <c r="C98" s="105" t="str">
        <f t="shared" ca="1" si="2"/>
        <v>Coupon</v>
      </c>
      <c r="D98" s="155">
        <f ca="1">Stream1!O66</f>
        <v>950736.38120610022</v>
      </c>
      <c r="E98" s="79"/>
      <c r="F98" s="101">
        <f ca="1">Stream2!C66</f>
        <v>46234</v>
      </c>
      <c r="G98" s="112">
        <f ca="1">Stream2!G66</f>
        <v>-100000000</v>
      </c>
      <c r="H98" s="105" t="str">
        <f t="shared" ca="1" si="3"/>
        <v>Coupon</v>
      </c>
      <c r="I98" s="155">
        <f ca="1">Stream2!O66</f>
        <v>-1077545.3590711993</v>
      </c>
      <c r="J98" s="79"/>
      <c r="K98" s="91"/>
      <c r="L98" s="62"/>
      <c r="M98" s="91"/>
    </row>
    <row r="99" spans="1:13">
      <c r="A99" s="101">
        <f ca="1">Stream1!C67</f>
        <v>46325</v>
      </c>
      <c r="B99" s="112">
        <f ca="1">Stream1!G67</f>
        <v>100000000</v>
      </c>
      <c r="C99" s="105" t="str">
        <f t="shared" ca="1" si="2"/>
        <v>Coupon</v>
      </c>
      <c r="D99" s="155">
        <f ca="1">Stream1!O67</f>
        <v>926395.44383964874</v>
      </c>
      <c r="E99" s="79"/>
      <c r="F99" s="101">
        <f ca="1">Stream2!C67</f>
        <v>46325</v>
      </c>
      <c r="G99" s="112">
        <f ca="1">Stream2!G67</f>
        <v>-100000000</v>
      </c>
      <c r="H99" s="105" t="str">
        <f t="shared" ca="1" si="3"/>
        <v>Coupon</v>
      </c>
      <c r="I99" s="155">
        <f ca="1">Stream2!O67</f>
        <v>-1032744.6039169985</v>
      </c>
      <c r="J99" s="79"/>
      <c r="K99" s="91"/>
      <c r="L99" s="62"/>
      <c r="M99" s="91"/>
    </row>
    <row r="100" spans="1:13">
      <c r="A100" s="101">
        <f ca="1">Stream1!C68</f>
        <v>46416</v>
      </c>
      <c r="B100" s="112">
        <f ca="1">Stream1!G68</f>
        <v>100000000</v>
      </c>
      <c r="C100" s="105" t="str">
        <f t="shared" ca="1" si="2"/>
        <v>Coupon</v>
      </c>
      <c r="D100" s="155">
        <f ca="1">Stream1!O68</f>
        <v>912464.25920716499</v>
      </c>
      <c r="E100" s="79"/>
      <c r="F100" s="101">
        <f ca="1">Stream2!C68</f>
        <v>46416</v>
      </c>
      <c r="G100" s="112">
        <f ca="1">Stream2!G68</f>
        <v>-100000000</v>
      </c>
      <c r="H100" s="105" t="str">
        <f t="shared" ca="1" si="3"/>
        <v>Coupon</v>
      </c>
      <c r="I100" s="155">
        <f ca="1">Stream2!O68</f>
        <v>-1027165.9645395994</v>
      </c>
      <c r="J100" s="79"/>
      <c r="K100" s="91"/>
      <c r="L100" s="62"/>
      <c r="M100" s="91"/>
    </row>
    <row r="101" spans="1:13">
      <c r="A101" s="101">
        <f ca="1">Stream1!C69</f>
        <v>46507</v>
      </c>
      <c r="B101" s="112">
        <f ca="1">Stream1!G69</f>
        <v>100000000</v>
      </c>
      <c r="C101" s="105" t="str">
        <f t="shared" ca="1" si="2"/>
        <v>Coupon</v>
      </c>
      <c r="D101" s="155">
        <f ca="1">Stream1!O69</f>
        <v>898611.64173333137</v>
      </c>
      <c r="E101" s="79"/>
      <c r="F101" s="101">
        <f ca="1">Stream2!C69</f>
        <v>46507</v>
      </c>
      <c r="G101" s="112">
        <f ca="1">Stream2!G69</f>
        <v>-100000000</v>
      </c>
      <c r="H101" s="105" t="str">
        <f t="shared" ca="1" si="3"/>
        <v>Coupon</v>
      </c>
      <c r="I101" s="155">
        <f ca="1">Stream2!O69</f>
        <v>-1021373.0967091991</v>
      </c>
      <c r="J101" s="79"/>
      <c r="K101" s="91"/>
      <c r="L101" s="62"/>
      <c r="M101" s="91"/>
    </row>
    <row r="102" spans="1:13">
      <c r="A102" s="101">
        <f ca="1">Stream1!C70</f>
        <v>46598</v>
      </c>
      <c r="B102" s="112">
        <f ca="1">Stream1!G70</f>
        <v>100000000</v>
      </c>
      <c r="C102" s="105" t="str">
        <f t="shared" ca="1" si="2"/>
        <v>Coupon</v>
      </c>
      <c r="D102" s="155">
        <f ca="1">Stream1!O70</f>
        <v>885108.06265088194</v>
      </c>
      <c r="E102" s="79"/>
      <c r="F102" s="101">
        <f ca="1">Stream2!C70</f>
        <v>46598</v>
      </c>
      <c r="G102" s="112">
        <f ca="1">Stream2!G70</f>
        <v>-100000000</v>
      </c>
      <c r="H102" s="105" t="str">
        <f t="shared" ca="1" si="3"/>
        <v>Coupon</v>
      </c>
      <c r="I102" s="155">
        <f ca="1">Stream2!O70</f>
        <v>-995638.00199859869</v>
      </c>
      <c r="J102" s="79"/>
      <c r="K102" s="91"/>
      <c r="L102" s="62"/>
      <c r="M102" s="91"/>
    </row>
    <row r="103" spans="1:13">
      <c r="A103" s="101">
        <f ca="1">Stream1!C71</f>
        <v>46689</v>
      </c>
      <c r="B103" s="112">
        <f ca="1">Stream1!G71</f>
        <v>100000000</v>
      </c>
      <c r="C103" s="105" t="str">
        <f t="shared" ca="1" si="2"/>
        <v>Coupon</v>
      </c>
      <c r="D103" s="155">
        <f ca="1">Stream1!O71</f>
        <v>872197.76695430803</v>
      </c>
      <c r="E103" s="79"/>
      <c r="F103" s="101">
        <f ca="1">Stream2!C71</f>
        <v>46689</v>
      </c>
      <c r="G103" s="112">
        <f ca="1">Stream2!G71</f>
        <v>-100000000</v>
      </c>
      <c r="H103" s="105" t="str">
        <f t="shared" ca="1" si="3"/>
        <v>Coupon</v>
      </c>
      <c r="I103" s="155">
        <f ca="1">Stream2!O71</f>
        <v>-951894.37808049936</v>
      </c>
      <c r="J103" s="79"/>
      <c r="K103" s="91"/>
      <c r="L103" s="62"/>
      <c r="M103" s="91"/>
    </row>
    <row r="104" spans="1:13">
      <c r="A104" s="101">
        <f ca="1">Stream1!C72</f>
        <v>46783</v>
      </c>
      <c r="B104" s="112">
        <f ca="1">Stream1!G72</f>
        <v>100000000</v>
      </c>
      <c r="C104" s="105" t="str">
        <f t="shared" ca="1" si="2"/>
        <v>Coupon</v>
      </c>
      <c r="D104" s="155">
        <f ca="1">Stream1!O72</f>
        <v>887293.72833360708</v>
      </c>
      <c r="E104" s="79"/>
      <c r="F104" s="101">
        <f ca="1">Stream2!C72</f>
        <v>46783</v>
      </c>
      <c r="G104" s="112">
        <f ca="1">Stream2!G72</f>
        <v>-100000000</v>
      </c>
      <c r="H104" s="105" t="str">
        <f t="shared" ca="1" si="3"/>
        <v>Coupon</v>
      </c>
      <c r="I104" s="155">
        <f ca="1">Stream2!O72</f>
        <v>-974871.14215900167</v>
      </c>
      <c r="J104" s="79"/>
      <c r="K104" s="91"/>
      <c r="L104" s="62"/>
      <c r="M104" s="91"/>
    </row>
    <row r="105" spans="1:13">
      <c r="A105" s="101">
        <f ca="1">Stream1!C73</f>
        <v>46871</v>
      </c>
      <c r="B105" s="112">
        <f ca="1">Stream1!G73</f>
        <v>100000000</v>
      </c>
      <c r="C105" s="105" t="str">
        <f t="shared" ca="1" si="2"/>
        <v>Coupon</v>
      </c>
      <c r="D105" s="155">
        <f ca="1">Stream1!O73</f>
        <v>818790.29217735061</v>
      </c>
      <c r="E105" s="79"/>
      <c r="F105" s="101">
        <f ca="1">Stream2!C73</f>
        <v>46871</v>
      </c>
      <c r="G105" s="112">
        <f ca="1">Stream2!G73</f>
        <v>-100000000</v>
      </c>
      <c r="H105" s="105" t="str">
        <f t="shared" ca="1" si="3"/>
        <v>Coupon</v>
      </c>
      <c r="I105" s="155">
        <f ca="1">Stream2!O73</f>
        <v>-904850.05553499982</v>
      </c>
      <c r="J105" s="79"/>
      <c r="K105" s="91"/>
      <c r="L105" s="62"/>
      <c r="M105" s="91"/>
    </row>
    <row r="106" spans="1:13">
      <c r="A106" s="101">
        <f ca="1">Stream1!C74</f>
        <v>46965</v>
      </c>
      <c r="B106" s="112">
        <f ca="1">Stream1!G74</f>
        <v>100000000</v>
      </c>
      <c r="C106" s="105" t="str">
        <f t="shared" ca="1" si="2"/>
        <v>Coupon</v>
      </c>
      <c r="D106" s="155">
        <f ca="1">Stream1!O74</f>
        <v>861237.89147202694</v>
      </c>
      <c r="E106" s="79"/>
      <c r="F106" s="101">
        <f ca="1">Stream2!C74</f>
        <v>46965</v>
      </c>
      <c r="G106" s="112">
        <f ca="1">Stream2!G74</f>
        <v>-100000000</v>
      </c>
      <c r="H106" s="105" t="str">
        <f t="shared" ca="1" si="3"/>
        <v>Coupon</v>
      </c>
      <c r="I106" s="155">
        <f ca="1">Stream2!O74</f>
        <v>-954970.90317840176</v>
      </c>
      <c r="J106" s="79"/>
      <c r="K106" s="91"/>
      <c r="L106" s="62"/>
      <c r="M106" s="91"/>
    </row>
    <row r="107" spans="1:13">
      <c r="A107" s="101">
        <f ca="1">Stream1!C75</f>
        <v>47057</v>
      </c>
      <c r="B107" s="112">
        <f ca="1">Stream1!G75</f>
        <v>100000000</v>
      </c>
      <c r="C107" s="105" t="str">
        <f t="shared" ca="1" si="2"/>
        <v>Coupon</v>
      </c>
      <c r="D107" s="155">
        <f ca="1">Stream1!O75</f>
        <v>830291.15885620099</v>
      </c>
      <c r="E107" s="79"/>
      <c r="F107" s="101">
        <f ca="1">Stream2!C75</f>
        <v>47057</v>
      </c>
      <c r="G107" s="112">
        <f ca="1">Stream2!G75</f>
        <v>-100000000</v>
      </c>
      <c r="H107" s="105" t="str">
        <f t="shared" ca="1" si="3"/>
        <v>Coupon</v>
      </c>
      <c r="I107" s="155">
        <f ca="1">Stream2!O75</f>
        <v>-920560.37964070053</v>
      </c>
      <c r="J107" s="79"/>
      <c r="K107" s="91"/>
      <c r="L107" s="62"/>
      <c r="M107" s="91"/>
    </row>
    <row r="108" spans="1:13">
      <c r="A108" s="101">
        <f ca="1">Stream1!C76</f>
        <v>47149</v>
      </c>
      <c r="B108" s="112">
        <f ca="1">Stream1!G76</f>
        <v>100000000</v>
      </c>
      <c r="C108" s="105" t="str">
        <f t="shared" ca="1" si="2"/>
        <v>Coupon</v>
      </c>
      <c r="D108" s="155">
        <f ca="1">Stream1!O76</f>
        <v>817786.45179648499</v>
      </c>
      <c r="E108" s="79"/>
      <c r="F108" s="101">
        <f ca="1">Stream2!C76</f>
        <v>47149</v>
      </c>
      <c r="G108" s="112">
        <f ca="1">Stream2!G76</f>
        <v>-100000000</v>
      </c>
      <c r="H108" s="105" t="str">
        <f t="shared" ca="1" si="3"/>
        <v>Coupon</v>
      </c>
      <c r="I108" s="155">
        <f ca="1">Stream2!O76</f>
        <v>-911968.12595829996</v>
      </c>
      <c r="J108" s="79"/>
    </row>
    <row r="109" spans="1:13">
      <c r="A109" s="101">
        <f ca="1">Stream1!C77</f>
        <v>47238</v>
      </c>
      <c r="B109" s="112">
        <f ca="1">Stream1!G77</f>
        <v>100000000</v>
      </c>
      <c r="C109" s="105" t="str">
        <f t="shared" ca="1" si="2"/>
        <v>Coupon</v>
      </c>
      <c r="D109" s="155">
        <f ca="1">Stream1!O77</f>
        <v>779525.8385973766</v>
      </c>
      <c r="E109" s="79"/>
      <c r="F109" s="101">
        <f ca="1">Stream2!C77</f>
        <v>47238</v>
      </c>
      <c r="G109" s="112">
        <f ca="1">Stream2!G77</f>
        <v>-100000000</v>
      </c>
      <c r="H109" s="105" t="str">
        <f t="shared" ca="1" si="3"/>
        <v>Coupon</v>
      </c>
      <c r="I109" s="155">
        <f ca="1">Stream2!O77</f>
        <v>-874026.61200060078</v>
      </c>
      <c r="J109" s="79"/>
    </row>
    <row r="110" spans="1:13">
      <c r="A110" s="101">
        <f ca="1">Stream1!C78</f>
        <v>47330</v>
      </c>
      <c r="B110" s="112">
        <f ca="1">Stream1!G78</f>
        <v>100000000</v>
      </c>
      <c r="C110" s="105" t="str">
        <f t="shared" ca="1" si="2"/>
        <v>Coupon</v>
      </c>
      <c r="D110" s="155">
        <f ca="1">Stream1!O78</f>
        <v>793892.38630669657</v>
      </c>
      <c r="E110" s="79"/>
      <c r="F110" s="101">
        <f ca="1">Stream2!C78</f>
        <v>47330</v>
      </c>
      <c r="G110" s="112">
        <f ca="1">Stream2!G78</f>
        <v>-100000000</v>
      </c>
      <c r="H110" s="105" t="str">
        <f t="shared" ca="1" si="3"/>
        <v>Coupon</v>
      </c>
      <c r="I110" s="155">
        <f ca="1">Stream2!O78</f>
        <v>-868567.27861900034</v>
      </c>
      <c r="J110" s="79"/>
    </row>
    <row r="111" spans="1:13">
      <c r="A111" s="101">
        <f ca="1">Stream1!C79</f>
        <v>47422</v>
      </c>
      <c r="B111" s="112">
        <f ca="1">Stream1!G79</f>
        <v>100000000</v>
      </c>
      <c r="C111" s="105" t="str">
        <f t="shared" ca="1" si="2"/>
        <v>Coupon</v>
      </c>
      <c r="D111" s="155">
        <f ca="1">Stream1!O79</f>
        <v>782732.7761194848</v>
      </c>
      <c r="E111" s="79"/>
      <c r="F111" s="101">
        <f ca="1">Stream2!C79</f>
        <v>47422</v>
      </c>
      <c r="G111" s="112">
        <f ca="1">Stream2!G79</f>
        <v>-100000000</v>
      </c>
      <c r="H111" s="105" t="str">
        <f t="shared" ca="1" si="3"/>
        <v>Coupon</v>
      </c>
      <c r="I111" s="155">
        <f ca="1">Stream2!O79</f>
        <v>-813870.22824729991</v>
      </c>
      <c r="J111" s="79"/>
    </row>
    <row r="112" spans="1:13">
      <c r="A112" s="101">
        <f ca="1">Stream1!C80</f>
        <v>47514</v>
      </c>
      <c r="B112" s="112">
        <f ca="1">Stream1!G80</f>
        <v>100000000</v>
      </c>
      <c r="C112" s="105" t="str">
        <f t="shared" ca="1" si="2"/>
        <v>Coupon</v>
      </c>
      <c r="D112" s="155">
        <f ca="1">Stream1!O80</f>
        <v>771710.34608671989</v>
      </c>
      <c r="E112" s="79"/>
      <c r="F112" s="101">
        <f ca="1">Stream2!C80</f>
        <v>47514</v>
      </c>
      <c r="G112" s="112">
        <f ca="1">Stream2!G80</f>
        <v>-100000000</v>
      </c>
      <c r="H112" s="105" t="str">
        <f t="shared" ca="1" si="3"/>
        <v>Coupon</v>
      </c>
      <c r="I112" s="155">
        <f ca="1">Stream2!O80</f>
        <v>-803865.68133780046</v>
      </c>
      <c r="J112" s="79"/>
    </row>
    <row r="113" spans="1:10">
      <c r="A113" s="101">
        <f ca="1">Stream1!C81</f>
        <v>47603</v>
      </c>
      <c r="B113" s="112">
        <f ca="1">Stream1!G81</f>
        <v>100000000</v>
      </c>
      <c r="C113" s="105" t="str">
        <f t="shared" ca="1" si="2"/>
        <v>Coupon</v>
      </c>
      <c r="D113" s="155">
        <f ca="1">Stream1!O81</f>
        <v>736355.61803224846</v>
      </c>
      <c r="E113" s="79"/>
      <c r="F113" s="101">
        <f ca="1">Stream2!C81</f>
        <v>47603</v>
      </c>
      <c r="G113" s="112">
        <f ca="1">Stream2!G81</f>
        <v>-100000000</v>
      </c>
      <c r="H113" s="105" t="str">
        <f t="shared" ca="1" si="3"/>
        <v>Coupon</v>
      </c>
      <c r="I113" s="155">
        <f ca="1">Stream2!O81</f>
        <v>-768226.41074500105</v>
      </c>
      <c r="J113" s="79"/>
    </row>
    <row r="114" spans="1:10">
      <c r="A114" s="101">
        <f ca="1">Stream1!C82</f>
        <v>47695</v>
      </c>
      <c r="B114" s="112">
        <f ca="1">Stream1!G82</f>
        <v>100000000</v>
      </c>
      <c r="C114" s="105" t="str">
        <f t="shared" ca="1" si="2"/>
        <v>Coupon</v>
      </c>
      <c r="D114" s="155">
        <f ca="1">Stream1!O82</f>
        <v>750420.05177411065</v>
      </c>
      <c r="E114" s="79"/>
      <c r="F114" s="101">
        <f ca="1">Stream2!C82</f>
        <v>47695</v>
      </c>
      <c r="G114" s="112">
        <f ca="1">Stream2!G82</f>
        <v>-100000000</v>
      </c>
      <c r="H114" s="105" t="str">
        <f t="shared" ca="1" si="3"/>
        <v>Coupon</v>
      </c>
      <c r="I114" s="155">
        <f ca="1">Stream2!O82</f>
        <v>-784474.48121909925</v>
      </c>
      <c r="J114" s="79"/>
    </row>
    <row r="115" spans="1:10">
      <c r="A115" s="101">
        <f ca="1">Stream1!C83</f>
        <v>47787</v>
      </c>
      <c r="B115" s="112">
        <f ca="1">Stream1!G83</f>
        <v>100000000</v>
      </c>
      <c r="C115" s="105" t="str">
        <f t="shared" ca="1" si="2"/>
        <v>Coupon</v>
      </c>
      <c r="D115" s="155">
        <f ca="1">Stream1!O83</f>
        <v>739796.64203877642</v>
      </c>
      <c r="E115" s="79"/>
      <c r="F115" s="101">
        <f ca="1">Stream2!C83</f>
        <v>47787</v>
      </c>
      <c r="G115" s="112">
        <f ca="1">Stream2!G83</f>
        <v>-100000000</v>
      </c>
      <c r="H115" s="105" t="str">
        <f t="shared" ca="1" si="3"/>
        <v>Coupon</v>
      </c>
      <c r="I115" s="155">
        <f ca="1">Stream2!O83</f>
        <v>-774765.13614869921</v>
      </c>
      <c r="J115" s="79"/>
    </row>
    <row r="116" spans="1:10">
      <c r="A116" s="101">
        <f ca="1">Stream1!C84</f>
        <v>47879</v>
      </c>
      <c r="B116" s="112">
        <f ca="1">Stream1!G84</f>
        <v>100000000</v>
      </c>
      <c r="C116" s="105" t="str">
        <f t="shared" ca="1" si="2"/>
        <v>Coupon</v>
      </c>
      <c r="D116" s="155">
        <f ca="1">Stream1!O84</f>
        <v>729305.01855098526</v>
      </c>
      <c r="E116" s="79"/>
      <c r="F116" s="101">
        <f ca="1">Stream2!C84</f>
        <v>47879</v>
      </c>
      <c r="G116" s="112">
        <f ca="1">Stream2!G84</f>
        <v>-100000000</v>
      </c>
      <c r="H116" s="105" t="str">
        <f t="shared" ca="1" si="3"/>
        <v>Coupon</v>
      </c>
      <c r="I116" s="155">
        <f ca="1">Stream2!O84</f>
        <v>-765153.96680070017</v>
      </c>
      <c r="J116" s="79"/>
    </row>
    <row r="117" spans="1:10">
      <c r="A117" s="101">
        <f ca="1">Stream1!C85</f>
        <v>47968</v>
      </c>
      <c r="B117" s="112">
        <f ca="1">Stream1!G85</f>
        <v>100000000</v>
      </c>
      <c r="C117" s="105" t="str">
        <f t="shared" ca="1" si="2"/>
        <v>Coupon</v>
      </c>
      <c r="D117" s="155">
        <f ca="1">Stream1!O85</f>
        <v>695824.89312269189</v>
      </c>
      <c r="E117" s="79"/>
      <c r="F117" s="101">
        <f ca="1">Stream2!C85</f>
        <v>47968</v>
      </c>
      <c r="G117" s="112">
        <f ca="1">Stream2!G85</f>
        <v>-100000000</v>
      </c>
      <c r="H117" s="105" t="str">
        <f t="shared" ca="1" si="3"/>
        <v>Coupon</v>
      </c>
      <c r="I117" s="155">
        <f ca="1">Stream2!O85</f>
        <v>-731148.92078599974</v>
      </c>
      <c r="J117" s="79"/>
    </row>
    <row r="118" spans="1:10">
      <c r="A118" s="101">
        <f ca="1">Stream1!C86</f>
        <v>48060</v>
      </c>
      <c r="B118" s="112">
        <f ca="1">Stream1!G86</f>
        <v>100000000</v>
      </c>
      <c r="C118" s="105" t="str">
        <f t="shared" ca="1" si="2"/>
        <v>Coupon</v>
      </c>
      <c r="D118" s="155">
        <f ca="1">Stream1!O86</f>
        <v>709043.42188638577</v>
      </c>
      <c r="E118" s="79"/>
      <c r="F118" s="101">
        <f ca="1">Stream2!C86</f>
        <v>48060</v>
      </c>
      <c r="G118" s="112">
        <f ca="1">Stream2!G86</f>
        <v>-100000000</v>
      </c>
      <c r="H118" s="105" t="str">
        <f t="shared" ca="1" si="3"/>
        <v>Coupon</v>
      </c>
      <c r="I118" s="155">
        <f ca="1">Stream2!O86</f>
        <v>-746529.06486349972</v>
      </c>
      <c r="J118" s="79"/>
    </row>
    <row r="119" spans="1:10">
      <c r="A119" s="101">
        <f ca="1">Stream1!C87</f>
        <v>48152</v>
      </c>
      <c r="B119" s="112">
        <f ca="1">Stream1!G87</f>
        <v>100000000</v>
      </c>
      <c r="C119" s="105" t="str">
        <f t="shared" ca="1" si="2"/>
        <v>Coupon</v>
      </c>
      <c r="D119" s="155">
        <f ca="1">Stream1!O87</f>
        <v>698935.02389221604</v>
      </c>
      <c r="E119" s="79"/>
      <c r="F119" s="101">
        <f ca="1">Stream2!C87</f>
        <v>48152</v>
      </c>
      <c r="G119" s="112">
        <f ca="1">Stream2!G87</f>
        <v>-100000000</v>
      </c>
      <c r="H119" s="105" t="str">
        <f t="shared" ca="1" si="3"/>
        <v>Coupon</v>
      </c>
      <c r="I119" s="155">
        <f ca="1">Stream2!O87</f>
        <v>-737205.33645139961</v>
      </c>
      <c r="J119" s="79"/>
    </row>
    <row r="120" spans="1:10">
      <c r="A120" s="101">
        <f ca="1">Stream1!C88</f>
        <v>48243</v>
      </c>
      <c r="B120" s="112">
        <f ca="1">Stream1!G88</f>
        <v>100000000</v>
      </c>
      <c r="C120" s="105" t="str">
        <f t="shared" ca="1" si="2"/>
        <v>Coupon</v>
      </c>
      <c r="D120" s="155">
        <f ca="1">Stream1!O88</f>
        <v>681571.19022522075</v>
      </c>
      <c r="E120" s="79"/>
      <c r="F120" s="101">
        <f ca="1">Stream2!C88</f>
        <v>48243</v>
      </c>
      <c r="G120" s="112">
        <f ca="1">Stream2!G88</f>
        <v>-100000000</v>
      </c>
      <c r="H120" s="105" t="str">
        <f t="shared" ca="1" si="3"/>
        <v>Coupon</v>
      </c>
      <c r="I120" s="155">
        <f ca="1">Stream2!O88</f>
        <v>-720113.63775839901</v>
      </c>
      <c r="J120" s="79"/>
    </row>
    <row r="121" spans="1:10">
      <c r="A121" s="101">
        <f ca="1">Stream1!C89</f>
        <v>48334</v>
      </c>
      <c r="B121" s="112">
        <f ca="1">Stream1!G89</f>
        <v>100000000</v>
      </c>
      <c r="C121" s="105" t="str">
        <f t="shared" ca="1" si="2"/>
        <v>Coupon</v>
      </c>
      <c r="D121" s="155">
        <f ca="1">Stream1!O89</f>
        <v>671925.68403933779</v>
      </c>
      <c r="E121" s="79"/>
      <c r="F121" s="101">
        <f ca="1">Stream2!C89</f>
        <v>48334</v>
      </c>
      <c r="G121" s="112">
        <f ca="1">Stream2!G89</f>
        <v>-100000000</v>
      </c>
      <c r="H121" s="105" t="str">
        <f t="shared" ca="1" si="3"/>
        <v>Coupon</v>
      </c>
      <c r="I121" s="155">
        <f ca="1">Stream2!O89</f>
        <v>-711176.82568019896</v>
      </c>
      <c r="J121" s="79"/>
    </row>
    <row r="122" spans="1:10">
      <c r="A122" s="101">
        <f ca="1">Stream1!C90</f>
        <v>48425</v>
      </c>
      <c r="B122" s="112">
        <f ca="1">Stream1!G90</f>
        <v>100000000</v>
      </c>
      <c r="C122" s="105" t="str">
        <f t="shared" ca="1" si="2"/>
        <v>Coupon</v>
      </c>
      <c r="D122" s="155">
        <f ca="1">Stream1!O90</f>
        <v>662400.1485337331</v>
      </c>
      <c r="E122" s="79"/>
      <c r="F122" s="101">
        <f ca="1">Stream2!C90</f>
        <v>48425</v>
      </c>
      <c r="G122" s="112">
        <f ca="1">Stream2!G90</f>
        <v>-100000000</v>
      </c>
      <c r="H122" s="105" t="str">
        <f t="shared" ca="1" si="3"/>
        <v>Coupon</v>
      </c>
      <c r="I122" s="155">
        <f ca="1">Stream2!O90</f>
        <v>-702331.21758759883</v>
      </c>
      <c r="J122" s="79"/>
    </row>
    <row r="123" spans="1:10">
      <c r="A123" s="101">
        <f ca="1">Stream1!C91</f>
        <v>48516</v>
      </c>
      <c r="B123" s="112">
        <f ca="1">Stream1!G91</f>
        <v>100000000</v>
      </c>
      <c r="C123" s="105" t="str">
        <f t="shared" ca="1" si="2"/>
        <v>Coupon</v>
      </c>
      <c r="D123" s="155">
        <f ca="1">Stream1!O91</f>
        <v>652993.35532155191</v>
      </c>
      <c r="E123" s="79"/>
      <c r="F123" s="101">
        <f ca="1">Stream2!C91</f>
        <v>48516</v>
      </c>
      <c r="G123" s="112">
        <f ca="1">Stream2!G91</f>
        <v>-100000000</v>
      </c>
      <c r="H123" s="105" t="str">
        <f t="shared" ca="1" si="3"/>
        <v>Coupon</v>
      </c>
      <c r="I123" s="155">
        <f ca="1">Stream2!O91</f>
        <v>-693576.18019679911</v>
      </c>
      <c r="J123" s="79"/>
    </row>
    <row r="124" spans="1:10">
      <c r="A124" s="101">
        <f ca="1">Stream1!C92</f>
        <v>48610</v>
      </c>
      <c r="B124" s="112">
        <f ca="1">Stream1!G92</f>
        <v>100000000</v>
      </c>
      <c r="C124" s="105" t="str">
        <f t="shared" ca="1" si="2"/>
        <v>Coupon</v>
      </c>
      <c r="D124" s="155">
        <f ca="1">Stream1!O92</f>
        <v>664610.81543041719</v>
      </c>
      <c r="E124" s="79"/>
      <c r="F124" s="101">
        <f ca="1">Stream2!C92</f>
        <v>48610</v>
      </c>
      <c r="G124" s="112">
        <f ca="1">Stream2!G92</f>
        <v>-100000000</v>
      </c>
      <c r="H124" s="105" t="str">
        <f t="shared" ca="1" si="3"/>
        <v>Coupon</v>
      </c>
      <c r="I124" s="155">
        <f ca="1">Stream2!O92</f>
        <v>-707344.0585096007</v>
      </c>
      <c r="J124" s="79"/>
    </row>
    <row r="125" spans="1:10">
      <c r="A125" s="101">
        <f ca="1">Stream1!C93</f>
        <v>48698</v>
      </c>
      <c r="B125" s="112">
        <f ca="1">Stream1!G93</f>
        <v>100000000</v>
      </c>
      <c r="C125" s="105" t="str">
        <f t="shared" ca="1" si="2"/>
        <v>Coupon</v>
      </c>
      <c r="D125" s="155">
        <f ca="1">Stream1!O93</f>
        <v>613612.51665392716</v>
      </c>
      <c r="E125" s="79"/>
      <c r="F125" s="101">
        <f ca="1">Stream2!C93</f>
        <v>48698</v>
      </c>
      <c r="G125" s="112">
        <f ca="1">Stream2!G93</f>
        <v>-100000000</v>
      </c>
      <c r="H125" s="105" t="str">
        <f t="shared" ca="1" si="3"/>
        <v>Coupon</v>
      </c>
      <c r="I125" s="155">
        <f ca="1">Stream2!O93</f>
        <v>-653902.30603589956</v>
      </c>
      <c r="J125" s="79"/>
    </row>
    <row r="126" spans="1:10">
      <c r="A126" s="101">
        <f ca="1">Stream1!C94</f>
        <v>48789</v>
      </c>
      <c r="B126" s="112">
        <f ca="1">Stream1!G94</f>
        <v>100000000</v>
      </c>
      <c r="C126" s="105" t="str">
        <f t="shared" ca="1" si="2"/>
        <v>Coupon</v>
      </c>
      <c r="D126" s="155">
        <f ca="1">Stream1!O94</f>
        <v>625473.27441220591</v>
      </c>
      <c r="E126" s="79"/>
      <c r="F126" s="101">
        <f ca="1">Stream2!C94</f>
        <v>48789</v>
      </c>
      <c r="G126" s="112">
        <f ca="1">Stream2!G94</f>
        <v>-100000000</v>
      </c>
      <c r="H126" s="105" t="str">
        <f t="shared" ca="1" si="3"/>
        <v>Coupon</v>
      </c>
      <c r="I126" s="155">
        <f ca="1">Stream2!O94</f>
        <v>-667848.15951539855</v>
      </c>
      <c r="J126" s="79"/>
    </row>
    <row r="127" spans="1:10">
      <c r="A127" s="101">
        <f ca="1">Stream1!C95</f>
        <v>48883</v>
      </c>
      <c r="B127" s="112">
        <f ca="1">Stream1!G95</f>
        <v>100000000</v>
      </c>
      <c r="C127" s="105" t="str">
        <f t="shared" ca="1" si="2"/>
        <v>Coupon</v>
      </c>
      <c r="D127" s="155">
        <f ca="1">Stream1!O95</f>
        <v>636551.89516781503</v>
      </c>
      <c r="E127" s="79"/>
      <c r="F127" s="101">
        <f ca="1">Stream2!C95</f>
        <v>48883</v>
      </c>
      <c r="G127" s="112">
        <f ca="1">Stream2!G95</f>
        <v>-100000000</v>
      </c>
      <c r="H127" s="105" t="str">
        <f t="shared" ca="1" si="3"/>
        <v>Coupon</v>
      </c>
      <c r="I127" s="155">
        <f ca="1">Stream2!O95</f>
        <v>-681047.15175350069</v>
      </c>
      <c r="J127" s="79"/>
    </row>
    <row r="128" spans="1:10">
      <c r="A128" s="101">
        <f ca="1">Stream1!C96</f>
        <v>48975</v>
      </c>
      <c r="B128" s="112">
        <f ca="1">Stream1!G96</f>
        <v>100000000</v>
      </c>
      <c r="C128" s="105" t="str">
        <f t="shared" ca="1" si="2"/>
        <v>Coupon</v>
      </c>
      <c r="D128" s="155">
        <f ca="1">Stream1!O96</f>
        <v>613986.27831917792</v>
      </c>
      <c r="E128" s="79"/>
      <c r="F128" s="101">
        <f ca="1">Stream2!C96</f>
        <v>48975</v>
      </c>
      <c r="G128" s="112">
        <f ca="1">Stream2!G96</f>
        <v>-100000000</v>
      </c>
      <c r="H128" s="105" t="str">
        <f t="shared" ca="1" si="3"/>
        <v>Coupon</v>
      </c>
      <c r="I128" s="155">
        <f ca="1">Stream2!O96</f>
        <v>-657971.39130320016</v>
      </c>
      <c r="J128" s="79"/>
    </row>
    <row r="129" spans="1:10">
      <c r="A129" s="101">
        <f ca="1">Stream1!C97</f>
        <v>49062</v>
      </c>
      <c r="B129" s="112">
        <f ca="1">Stream1!G97</f>
        <v>100000000</v>
      </c>
      <c r="C129" s="105" t="str">
        <f t="shared" ca="1" si="2"/>
        <v>Coupon</v>
      </c>
      <c r="D129" s="155">
        <f ca="1">Stream1!O97</f>
        <v>572649.75237843464</v>
      </c>
      <c r="E129" s="79"/>
      <c r="F129" s="101">
        <f ca="1">Stream2!C97</f>
        <v>49062</v>
      </c>
      <c r="G129" s="112">
        <f ca="1">Stream2!G97</f>
        <v>-100000000</v>
      </c>
      <c r="H129" s="105" t="str">
        <f t="shared" ca="1" si="3"/>
        <v>Coupon</v>
      </c>
      <c r="I129" s="155">
        <f ca="1">Stream2!O97</f>
        <v>-614480.40492079873</v>
      </c>
      <c r="J129" s="79"/>
    </row>
    <row r="130" spans="1:10">
      <c r="A130" s="101">
        <f ca="1">Stream1!C98</f>
        <v>49156</v>
      </c>
      <c r="B130" s="112">
        <f ca="1">Stream1!G98</f>
        <v>100000000</v>
      </c>
      <c r="C130" s="105" t="str">
        <f t="shared" ca="1" si="2"/>
        <v>Coupon</v>
      </c>
      <c r="D130" s="155">
        <f ca="1">Stream1!O98</f>
        <v>610113.91064748366</v>
      </c>
      <c r="E130" s="79"/>
      <c r="F130" s="101">
        <f ca="1">Stream2!C98</f>
        <v>49156</v>
      </c>
      <c r="G130" s="112">
        <f ca="1">Stream2!G98</f>
        <v>-100000000</v>
      </c>
      <c r="H130" s="105" t="str">
        <f t="shared" ca="1" si="3"/>
        <v>Coupon</v>
      </c>
      <c r="I130" s="155">
        <f ca="1">Stream2!O98</f>
        <v>-614646.2071242017</v>
      </c>
      <c r="J130" s="79"/>
    </row>
    <row r="131" spans="1:10">
      <c r="A131" s="101">
        <f ca="1">Stream1!C99</f>
        <v>49248</v>
      </c>
      <c r="B131" s="112">
        <f ca="1">Stream1!G99</f>
        <v>100000000</v>
      </c>
      <c r="C131" s="105" t="str">
        <f t="shared" ca="1" si="2"/>
        <v>Coupon</v>
      </c>
      <c r="D131" s="155">
        <f ca="1">Stream1!O99</f>
        <v>589973.90102886525</v>
      </c>
      <c r="E131" s="79"/>
      <c r="F131" s="101">
        <f ca="1">Stream2!C99</f>
        <v>49248</v>
      </c>
      <c r="G131" s="112">
        <f ca="1">Stream2!G99</f>
        <v>-100000000</v>
      </c>
      <c r="H131" s="105" t="str">
        <f t="shared" ca="1" si="3"/>
        <v>Coupon</v>
      </c>
      <c r="I131" s="155">
        <f ca="1">Stream2!O99</f>
        <v>-522095.75667379948</v>
      </c>
      <c r="J131" s="79"/>
    </row>
    <row r="132" spans="1:10">
      <c r="A132" s="101">
        <f ca="1">Stream1!C100</f>
        <v>49340</v>
      </c>
      <c r="B132" s="112">
        <f ca="1">Stream1!G100</f>
        <v>100000000</v>
      </c>
      <c r="C132" s="105" t="str">
        <f t="shared" ca="1" si="2"/>
        <v>Coupon</v>
      </c>
      <c r="D132" s="155">
        <f ca="1">Stream1!O100</f>
        <v>582935.50010438706</v>
      </c>
      <c r="E132" s="79"/>
      <c r="F132" s="101">
        <f ca="1">Stream2!C100</f>
        <v>49340</v>
      </c>
      <c r="G132" s="112">
        <f ca="1">Stream2!G100</f>
        <v>-100000000</v>
      </c>
      <c r="H132" s="105" t="str">
        <f t="shared" ca="1" si="3"/>
        <v>Coupon</v>
      </c>
      <c r="I132" s="155">
        <f ca="1">Stream2!O100</f>
        <v>-513310.48941709986</v>
      </c>
      <c r="J132" s="79"/>
    </row>
    <row r="133" spans="1:10">
      <c r="A133" s="101">
        <f ca="1">Stream1!C101</f>
        <v>49429</v>
      </c>
      <c r="B133" s="112">
        <f ca="1">Stream1!G101</f>
        <v>100000000</v>
      </c>
      <c r="C133" s="105" t="str">
        <f t="shared" ca="1" si="2"/>
        <v>Coupon</v>
      </c>
      <c r="D133" s="155">
        <f ca="1">Stream1!O101</f>
        <v>557448.70571153844</v>
      </c>
      <c r="E133" s="79"/>
      <c r="F133" s="101">
        <f ca="1">Stream2!C101</f>
        <v>49429</v>
      </c>
      <c r="G133" s="112">
        <f ca="1">Stream2!G101</f>
        <v>-100000000</v>
      </c>
      <c r="H133" s="105" t="str">
        <f t="shared" ca="1" si="3"/>
        <v>Coupon</v>
      </c>
      <c r="I133" s="155">
        <f ca="1">Stream2!O101</f>
        <v>-488367.53367899999</v>
      </c>
      <c r="J133" s="79"/>
    </row>
    <row r="134" spans="1:10">
      <c r="A134" s="101">
        <f ca="1">Stream1!C102</f>
        <v>49521</v>
      </c>
      <c r="B134" s="112">
        <f ca="1">Stream1!G102</f>
        <v>100000000</v>
      </c>
      <c r="C134" s="105" t="str">
        <f t="shared" ca="1" si="2"/>
        <v>Coupon</v>
      </c>
      <c r="D134" s="155">
        <f ca="1">Stream1!O102</f>
        <v>569431.13333519269</v>
      </c>
      <c r="E134" s="79"/>
      <c r="F134" s="101">
        <f ca="1">Stream2!C102</f>
        <v>49521</v>
      </c>
      <c r="G134" s="112">
        <f ca="1">Stream2!G102</f>
        <v>-100000000</v>
      </c>
      <c r="H134" s="105" t="str">
        <f t="shared" ca="1" si="3"/>
        <v>Coupon</v>
      </c>
      <c r="I134" s="155">
        <f ca="1">Stream2!O102</f>
        <v>-496505.76210819936</v>
      </c>
      <c r="J134" s="79"/>
    </row>
    <row r="135" spans="1:10">
      <c r="A135" s="101">
        <f ca="1">Stream1!C103</f>
        <v>49613</v>
      </c>
      <c r="B135" s="112">
        <f ca="1">Stream1!G103</f>
        <v>100000000</v>
      </c>
      <c r="C135" s="105" t="str">
        <f t="shared" ca="1" si="2"/>
        <v>Coupon</v>
      </c>
      <c r="D135" s="155">
        <f ca="1">Stream1!O103</f>
        <v>562737.02828032325</v>
      </c>
      <c r="E135" s="79"/>
      <c r="F135" s="101">
        <f ca="1">Stream2!C103</f>
        <v>49613</v>
      </c>
      <c r="G135" s="112">
        <f ca="1">Stream2!G103</f>
        <v>-100000000</v>
      </c>
      <c r="H135" s="105" t="str">
        <f t="shared" ca="1" si="3"/>
        <v>Coupon</v>
      </c>
      <c r="I135" s="155">
        <f ca="1">Stream2!O103</f>
        <v>-488200.99604929995</v>
      </c>
      <c r="J135" s="79"/>
    </row>
    <row r="136" spans="1:10">
      <c r="A136" s="101">
        <f ca="1">Stream1!C104</f>
        <v>49705</v>
      </c>
      <c r="B136" s="112">
        <f ca="1">Stream1!G104</f>
        <v>100000000</v>
      </c>
      <c r="C136" s="105" t="str">
        <f t="shared" ca="1" si="2"/>
        <v>Coupon</v>
      </c>
      <c r="D136" s="155">
        <f ca="1">Stream1!O104</f>
        <v>556154.66819473391</v>
      </c>
      <c r="E136" s="79"/>
      <c r="F136" s="101">
        <f ca="1">Stream2!C104</f>
        <v>49705</v>
      </c>
      <c r="G136" s="112">
        <f ca="1">Stream2!G104</f>
        <v>-100000000</v>
      </c>
      <c r="H136" s="105" t="str">
        <f t="shared" ca="1" si="3"/>
        <v>Coupon</v>
      </c>
      <c r="I136" s="155">
        <f ca="1">Stream2!O104</f>
        <v>-480051.43686859956</v>
      </c>
      <c r="J136" s="79"/>
    </row>
    <row r="137" spans="1:10">
      <c r="A137" s="101">
        <f ca="1">Stream1!C105</f>
        <v>49795</v>
      </c>
      <c r="B137" s="112">
        <f ca="1">Stream1!G105</f>
        <v>100000000</v>
      </c>
      <c r="C137" s="105" t="str">
        <f t="shared" ca="1" si="2"/>
        <v>Coupon</v>
      </c>
      <c r="D137" s="155">
        <f ca="1">Stream1!O105</f>
        <v>537868.88685352087</v>
      </c>
      <c r="E137" s="79"/>
      <c r="F137" s="101">
        <f ca="1">Stream2!C105</f>
        <v>49795</v>
      </c>
      <c r="G137" s="112">
        <f ca="1">Stream2!G105</f>
        <v>-100000000</v>
      </c>
      <c r="H137" s="105" t="str">
        <f t="shared" ca="1" si="3"/>
        <v>Coupon</v>
      </c>
      <c r="I137" s="155">
        <f ca="1">Stream2!O105</f>
        <v>-461875.77626770118</v>
      </c>
      <c r="J137" s="79"/>
    </row>
    <row r="138" spans="1:10">
      <c r="A138" s="101">
        <f ca="1">Stream1!C106</f>
        <v>49887</v>
      </c>
      <c r="B138" s="112">
        <f ca="1">Stream1!G106</f>
        <v>100000000</v>
      </c>
      <c r="C138" s="105" t="str">
        <f t="shared" ca="1" si="2"/>
        <v>Coupon</v>
      </c>
      <c r="D138" s="155">
        <f ca="1">Stream1!O106</f>
        <v>543454.13376108848</v>
      </c>
      <c r="E138" s="79"/>
      <c r="F138" s="101">
        <f ca="1">Stream2!C106</f>
        <v>49887</v>
      </c>
      <c r="G138" s="112">
        <f ca="1">Stream2!G106</f>
        <v>-100000000</v>
      </c>
      <c r="H138" s="105" t="str">
        <f t="shared" ca="1" si="3"/>
        <v>Coupon</v>
      </c>
      <c r="I138" s="155">
        <f ca="1">Stream2!O106</f>
        <v>-464374.03756720037</v>
      </c>
      <c r="J138" s="79"/>
    </row>
    <row r="139" spans="1:10">
      <c r="A139" s="101">
        <f ca="1">Stream1!C107</f>
        <v>49979</v>
      </c>
      <c r="B139" s="112">
        <f ca="1">Stream1!G107</f>
        <v>100000000</v>
      </c>
      <c r="C139" s="105" t="str">
        <f t="shared" ca="1" si="2"/>
        <v>Coupon</v>
      </c>
      <c r="D139" s="155">
        <f ca="1">Stream1!O107</f>
        <v>537192.40641914785</v>
      </c>
      <c r="E139" s="79"/>
      <c r="F139" s="101">
        <f ca="1">Stream2!C107</f>
        <v>49979</v>
      </c>
      <c r="G139" s="112">
        <f ca="1">Stream2!G107</f>
        <v>-100000000</v>
      </c>
      <c r="H139" s="105" t="str">
        <f t="shared" ca="1" si="3"/>
        <v>Coupon</v>
      </c>
      <c r="I139" s="155">
        <f ca="1">Stream2!O107</f>
        <v>-456667.69497450045</v>
      </c>
      <c r="J139" s="79"/>
    </row>
    <row r="140" spans="1:10">
      <c r="A140" s="101">
        <f ca="1">Stream1!C108</f>
        <v>50070</v>
      </c>
      <c r="B140" s="112">
        <f ca="1">Stream1!G108</f>
        <v>100000000</v>
      </c>
      <c r="C140" s="106" t="str">
        <f t="shared" ca="1" si="2"/>
        <v>Coupon</v>
      </c>
      <c r="D140" s="155">
        <f ca="1">Stream1!O108</f>
        <v>525327.94034195889</v>
      </c>
      <c r="E140" s="48"/>
      <c r="F140" s="101">
        <f ca="1">Stream2!C108</f>
        <v>50070</v>
      </c>
      <c r="G140" s="112">
        <f ca="1">Stream2!G108</f>
        <v>-100000000</v>
      </c>
      <c r="H140" s="106" t="str">
        <f t="shared" ca="1" si="3"/>
        <v>Coupon</v>
      </c>
      <c r="I140" s="155">
        <f ca="1">Stream2!O108</f>
        <v>-444262.61235149973</v>
      </c>
      <c r="J140" s="48"/>
    </row>
    <row r="141" spans="1:10" ht="12" thickBot="1">
      <c r="A141" s="102">
        <f ca="1">Stream1!C109</f>
        <v>50160</v>
      </c>
      <c r="B141" s="113">
        <f ca="1">Stream1!G109</f>
        <v>100000000</v>
      </c>
      <c r="C141" s="107" t="str">
        <f t="shared" ca="1" si="2"/>
        <v>Coupon</v>
      </c>
      <c r="D141" s="156">
        <f ca="1">Stream1!O109</f>
        <v>513757.24251226854</v>
      </c>
      <c r="E141" s="79"/>
      <c r="F141" s="102">
        <f ca="1">Stream2!C109</f>
        <v>50160</v>
      </c>
      <c r="G141" s="113">
        <f ca="1">Stream2!G109</f>
        <v>-100000000</v>
      </c>
      <c r="H141" s="107" t="str">
        <f t="shared" ca="1" si="3"/>
        <v>Coupon</v>
      </c>
      <c r="I141" s="156">
        <f ca="1">Stream2!O109</f>
        <v>-432234.49999180093</v>
      </c>
      <c r="J141" s="79"/>
    </row>
    <row r="142" spans="1:10" ht="12" thickBot="1">
      <c r="A142" s="89"/>
      <c r="B142" s="90"/>
      <c r="C142" s="90"/>
      <c r="D142" s="90"/>
      <c r="E142" s="90"/>
      <c r="F142" s="90"/>
      <c r="G142" s="90"/>
      <c r="H142" s="90"/>
      <c r="I142" s="142"/>
      <c r="J142" s="90"/>
    </row>
  </sheetData>
  <dataConsolidate/>
  <phoneticPr fontId="2" type="noConversion"/>
  <dataValidations count="12">
    <dataValidation type="list" allowBlank="1" showInputMessage="1" showErrorMessage="1" sqref="G26" xr:uid="{00000000-0002-0000-0100-000000000000}">
      <formula1>DiscountingTypes</formula1>
    </dataValidation>
    <dataValidation type="list" allowBlank="1" showInputMessage="1" showErrorMessage="1" sqref="G29 B12:B13 B29" xr:uid="{00000000-0002-0000-0100-000001000000}">
      <formula1>"True, False"</formula1>
    </dataValidation>
    <dataValidation type="list" allowBlank="1" showInputMessage="1" showErrorMessage="1" sqref="G17 B17" xr:uid="{00000000-0002-0000-0100-000002000000}">
      <formula1>"Fixed,Floating"</formula1>
    </dataValidation>
    <dataValidation type="list" allowBlank="1" showInputMessage="1" showErrorMessage="1" sqref="B6" xr:uid="{00000000-0002-0000-0100-000003000000}">
      <formula1>"Pays, Receives"</formula1>
    </dataValidation>
    <dataValidation type="list" allowBlank="1" showInputMessage="1" showErrorMessage="1" sqref="B26" xr:uid="{00000000-0002-0000-0100-000004000000}">
      <formula1>"FRA,Standard"</formula1>
    </dataValidation>
    <dataValidation type="list" allowBlank="1" showInputMessage="1" showErrorMessage="1" sqref="B24" xr:uid="{00000000-0002-0000-0100-000005000000}">
      <formula1>"FOLLOWING, PRECEDING,MODFOLLOWING,MODPRECEDING"</formula1>
    </dataValidation>
    <dataValidation type="list" allowBlank="1" showInputMessage="1" showErrorMessage="1" sqref="B22 B35 G35 G22" xr:uid="{00000000-0002-0000-0100-000006000000}">
      <formula1>"1M,3M,6M"</formula1>
    </dataValidation>
    <dataValidation type="list" allowBlank="1" showInputMessage="1" showErrorMessage="1" sqref="B21" xr:uid="{00000000-0002-0000-0100-000007000000}">
      <formula1>"Sydeny"</formula1>
    </dataValidation>
    <dataValidation type="list" allowBlank="1" showInputMessage="1" showErrorMessage="1" sqref="B5" xr:uid="{00000000-0002-0000-0100-000008000000}">
      <formula1>"True"</formula1>
    </dataValidation>
    <dataValidation type="list" allowBlank="1" showInputMessage="1" showErrorMessage="1" sqref="B8" xr:uid="{00000000-0002-0000-0100-000009000000}">
      <formula1>"AUD,AUD-USD"</formula1>
    </dataValidation>
    <dataValidation type="list" allowBlank="1" showInputMessage="1" showErrorMessage="1" sqref="B32 G32" xr:uid="{00000000-0002-0000-0100-00000A000000}">
      <formula1>"0D,1D,2D"</formula1>
    </dataValidation>
    <dataValidation type="list" allowBlank="1" showInputMessage="1" showErrorMessage="1" sqref="B31 G31" xr:uid="{00000000-0002-0000-0100-00000B000000}">
      <formula1>"Sydney"</formula1>
    </dataValidation>
  </dataValidations>
  <pageMargins left="0.75" right="0.75" top="1" bottom="1" header="0.5" footer="0.5"/>
  <pageSetup paperSize="9" scale="5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F151"/>
  <sheetViews>
    <sheetView showGridLines="0" topLeftCell="N1" workbookViewId="0">
      <selection activeCell="S7" sqref="S7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9.285156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5.7109375" style="46" bestFit="1" customWidth="1"/>
    <col min="17" max="17" width="7.42578125" style="46" bestFit="1" customWidth="1"/>
    <col min="18" max="18" width="3.140625" style="46" customWidth="1"/>
    <col min="19" max="19" width="27.42578125" style="46" customWidth="1"/>
    <col min="20" max="20" width="23.5703125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5" width="19.5703125" style="57" bestFit="1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1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Swap!A17</f>
        <v>Receives</v>
      </c>
      <c r="B2" s="130" t="str">
        <f>PayerStream</f>
        <v>Fixed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43645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43642</v>
      </c>
      <c r="B5" s="161" t="s">
        <v>81</v>
      </c>
      <c r="C5" s="141">
        <f ca="1">_xll.HLV5r3.Analytics.Swaps.BreakEvenRate( G16:G158, M16:M158, I16:I158, L16:L158)</f>
        <v>5.439999999999999E-2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">
        <v>141</v>
      </c>
      <c r="Z5" s="205" t="s">
        <v>140</v>
      </c>
      <c r="AA5" s="206" t="s">
        <v>134</v>
      </c>
      <c r="AB5" s="49"/>
      <c r="AC5" s="49"/>
      <c r="AD5" s="49"/>
    </row>
    <row r="6" spans="1:32" ht="12.75">
      <c r="A6" s="136">
        <f ca="1">ValuationDate</f>
        <v>43642</v>
      </c>
      <c r="B6" s="162" t="s">
        <v>21</v>
      </c>
      <c r="C6" s="181">
        <f ca="1">SUMIF(O12:O158,"&lt;&gt;#N/A")</f>
        <v>53797075.99862121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">
        <v>141</v>
      </c>
      <c r="Z6" s="205" t="s">
        <v>142</v>
      </c>
      <c r="AA6" s="206" t="s">
        <v>134</v>
      </c>
      <c r="AB6" s="49"/>
      <c r="AC6" s="49"/>
      <c r="AD6" s="49"/>
    </row>
    <row r="7" spans="1:32" ht="12.75">
      <c r="A7" s="136">
        <f ca="1">ValuationDate</f>
        <v>43642</v>
      </c>
      <c r="B7" s="162" t="s">
        <v>103</v>
      </c>
      <c r="C7" s="181">
        <f ca="1">C8+C9</f>
        <v>38446.406819619238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">
        <v>17</v>
      </c>
      <c r="Z7" s="205" t="s">
        <v>143</v>
      </c>
      <c r="AA7" s="206" t="s">
        <v>134</v>
      </c>
      <c r="AB7" s="49"/>
      <c r="AC7" s="49"/>
      <c r="AD7" s="49"/>
    </row>
    <row r="8" spans="1:32" ht="12.75">
      <c r="A8" s="136">
        <f ca="1">ValuationDate</f>
        <v>43642</v>
      </c>
      <c r="B8" s="162" t="s">
        <v>126</v>
      </c>
      <c r="C8" s="182">
        <f>SUMIF(P12:P158,"&lt;&gt;#N/A")</f>
        <v>0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">
        <v>17</v>
      </c>
      <c r="Z8" s="205" t="s">
        <v>144</v>
      </c>
      <c r="AA8" s="206" t="s">
        <v>134</v>
      </c>
      <c r="AB8" s="49"/>
      <c r="AC8" s="49"/>
      <c r="AD8" s="49"/>
    </row>
    <row r="9" spans="1:32" ht="12" thickBot="1">
      <c r="A9" s="138">
        <f ca="1">ValuationDate</f>
        <v>43642</v>
      </c>
      <c r="B9" s="183" t="s">
        <v>124</v>
      </c>
      <c r="C9" s="184">
        <f ca="1">SUMIF(Q12:Q158,"&lt;&gt;#N/A")</f>
        <v>38446.406819619238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43645</v>
      </c>
      <c r="D12" s="48"/>
      <c r="E12" s="108">
        <f>IF(Swap!$B$12=TRUE,IF(NABPayReceiveInd="Pays",NotionalAmount,-NotionalAmount),0)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 Stream1DiscountCurve, Swap!$F$4, Stream1!C12))</f>
        <v>0.9996713319193673</v>
      </c>
      <c r="J12" s="48"/>
      <c r="K12" s="48"/>
      <c r="L12" s="48"/>
      <c r="M12" s="48"/>
      <c r="N12" s="75">
        <f>G12</f>
        <v>0</v>
      </c>
      <c r="O12" s="75">
        <f ca="1">N12*I12</f>
        <v>0</v>
      </c>
      <c r="P12" s="195">
        <v>0</v>
      </c>
      <c r="Q12" s="196">
        <f ca="1">IF(U12=0,0,_xll.HLV5r3.Analytics.Swaps.Delta1ForAnAmount( N12, I12, Stream1CompoundingPeriod,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IF(Swap!$B$13=TRUE,IF(NABPayReceiveInd="Pays",-NotionalAmount,NotionalAmount),0)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 Stream1DiscountCurve, Swap!$F$4, Stream1!C13))</f>
        <v>0.43371969470972427</v>
      </c>
      <c r="J13" s="66"/>
      <c r="K13" s="66"/>
      <c r="L13" s="66"/>
      <c r="M13" s="66"/>
      <c r="N13" s="71">
        <f>G13</f>
        <v>0</v>
      </c>
      <c r="O13" s="71">
        <f ca="1">N13*I13</f>
        <v>0</v>
      </c>
      <c r="P13" s="197">
        <v>0</v>
      </c>
      <c r="Q13" s="198">
        <f ca="1">IF(U13=0,0,_xll.HLV5r3.Analytics.Swaps.Delta1ForAnAmount( N13, I13, Stream1CompoundingPeriod,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15.191780821917808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134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211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43645</v>
      </c>
      <c r="B16" s="135">
        <f ca="1">IF(A16="#N/A", "#N/A",IF(A17="#N/A",$C$13,A17))</f>
        <v>43677</v>
      </c>
      <c r="C16" s="100">
        <f ca="1">IF(Swap!$B$26="Standard",B16,A16)</f>
        <v>43677</v>
      </c>
      <c r="D16" s="146">
        <v>0</v>
      </c>
      <c r="E16" s="111">
        <f t="shared" ref="E16:E49" ca="1" si="0">IF(C16="#N/A",0,IF(NABPayReceiveInd="Pays",-PayerNotional,PayerNotional) )</f>
        <v>100000000</v>
      </c>
      <c r="F16" s="111">
        <v>0</v>
      </c>
      <c r="G16" s="111">
        <f ca="1">E16+F16</f>
        <v>100000000</v>
      </c>
      <c r="H16" s="151" t="str">
        <f ca="1">IF(C16="#N/A","#NA","Coupon" )</f>
        <v>Coupon</v>
      </c>
      <c r="I16" s="166">
        <f ca="1">IF(C16="#N/A",0,_xll.HLV5r3.Financial.Cache.GetValueFromBase( Stream1DiscountCurve, Swap!$F$4, Stream1!C16))</f>
        <v>0.99617863357938652</v>
      </c>
      <c r="J16" s="116">
        <f ca="1">IF(C16="#N/A","#N/A",_xll.HLV5r3.Financial.Cache.GetValueFromBase(Stream1ForwardCurve, Swap!$F$4, A16))</f>
        <v>0.9996713319193673</v>
      </c>
      <c r="K16" s="167">
        <f ca="1">IF(C16="#N/A","#N/A",_xll.HLV5r3.Financial.Cache.GetValueFromBase(Stream1ForwardCurve, Swap!$F$4, B16))</f>
        <v>0.99617863357938652</v>
      </c>
      <c r="L16" s="114">
        <f ca="1" xml:space="preserve"> IF(G16=0,0,_xll.HLV5r3.Financial.Cache.YearFraction( A16, B16,Swap!$B$25))</f>
        <v>8.7671232876712329E-2</v>
      </c>
      <c r="M16" s="120">
        <f ca="1">IF(I16=0,0,IF($B$2="Fixed",Stream1FixedRate,_xll.HLV5r3.Analytics.Rates.GetRate(J16,K16,L16)+Stream1Spread))</f>
        <v>5.4399999999999997E-2</v>
      </c>
      <c r="N16" s="154">
        <f ca="1">IF(L16="#N/A",L16,IF(Swap!$B$26="Standard",L16*G16*M16,L16*G16*M16/(1+Stream1!L16*Stream1!M16)))</f>
        <v>476931.50684931502</v>
      </c>
      <c r="O16" s="154">
        <f ca="1">IF(N16="#N/A",N16,N16*I16)</f>
        <v>475108.97680410848</v>
      </c>
      <c r="P16" s="177">
        <f>IF($B$2="FIXED",0,IF(Swap!$B$26="FRA",_xll.HLV5r3.Analytics.Swaps.Delta0DiscountCoupon( G16, L16, M16, I16),_xll.HLV5r3.Analytics.Swaps.Delta0Coupon( G16, L16, M16, I16)))</f>
        <v>0</v>
      </c>
      <c r="Q16" s="180">
        <f ca="1">IF(U16=0,0,_xll.HLV5r3.Analytics.Swaps.Delta1ForAnAmount( N16, I16, Stream1CompoundingPeriod, U16))</f>
        <v>4.5108128733053814</v>
      </c>
      <c r="R16" s="79"/>
      <c r="S16" s="209">
        <f ca="1">IF(ISERROR(T16), "#N/A",IF(T16="","#N/A",T16+D16))</f>
        <v>43645</v>
      </c>
      <c r="T16" s="212">
        <f ca="1">X16</f>
        <v>43645</v>
      </c>
      <c r="U16" s="173">
        <f ca="1">IF(C16="#N/A",0,_xll.HLV5r3.Financial.Cache.YearFraction( ValuationDate, C16,"ACT/365.FIXED"))</f>
        <v>9.5890410958904104E-2</v>
      </c>
      <c r="V16" s="79"/>
      <c r="W16" s="83"/>
      <c r="X16" s="208">
        <f ca="1">Y2</f>
        <v>43645</v>
      </c>
      <c r="AB16" s="57"/>
      <c r="AC16" s="82"/>
    </row>
    <row r="17" spans="1:29">
      <c r="A17" s="136">
        <f ca="1">IF(S18="#N/A", "#N/A",S17)</f>
        <v>43677</v>
      </c>
      <c r="B17" s="136">
        <f t="shared" ref="B17:B80" ca="1" si="1">IF(A17="#N/A", "#N/A",IF(A18="#N/A",$C$13,A18))</f>
        <v>43707</v>
      </c>
      <c r="C17" s="101">
        <f ca="1">IF(Swap!$B$26="Standard",B17,A17)</f>
        <v>43707</v>
      </c>
      <c r="D17" s="147">
        <v>0</v>
      </c>
      <c r="E17" s="112">
        <f t="shared" ca="1" si="0"/>
        <v>100000000</v>
      </c>
      <c r="F17" s="112">
        <f ca="1">E17</f>
        <v>100000000</v>
      </c>
      <c r="G17" s="112">
        <f ca="1">F17</f>
        <v>100000000</v>
      </c>
      <c r="H17" s="152" t="str">
        <f t="shared" ref="H17:H49" ca="1" si="2">IF(C17="#N/A","#NA","Coupon" )</f>
        <v>Coupon</v>
      </c>
      <c r="I17" s="168">
        <f ca="1">IF(C17="#N/A",0,_xll.HLV5r3.Financial.Cache.GetValueFromBase( Stream1DiscountCurve, Swap!$F$4, Stream1!C17))</f>
        <v>0.99292633470682357</v>
      </c>
      <c r="J17" s="117">
        <f ca="1">IF(C17="#N/A","#N/A",_xll.HLV5r3.Financial.Cache.GetValueFromBase(Stream1ForwardCurve, Swap!$F$4, A17))</f>
        <v>0.99617863357938652</v>
      </c>
      <c r="K17" s="169">
        <f ca="1">IF(C17="#N/A","#N/A",_xll.HLV5r3.Financial.Cache.GetValueFromBase(Stream1ForwardCurve, Swap!$F$4, B17))</f>
        <v>0.99292633470682357</v>
      </c>
      <c r="L17" s="115">
        <f ca="1" xml:space="preserve"> IF(G17=0,0,_xll.HLV5r3.Financial.Cache.YearFraction( A17, B17,Swap!$B$25))</f>
        <v>8.2191780821917804E-2</v>
      </c>
      <c r="M17" s="143">
        <f ca="1">IF(I17=0,0,IF($B$2="Fixed",Stream1FixedRate,_xll.HLV5r3.Analytics.Rates.GetRate(J17,K17,L17)+Stream1Spread))</f>
        <v>5.4399999999999997E-2</v>
      </c>
      <c r="N17" s="155">
        <f ca="1">IF(L17="#N/A",L17,IF(Swap!$B$26="Standard",L17*G17*M17,L17*G17*M17/(1+Stream1!L17*Stream1!M17)))</f>
        <v>447123.28767123283</v>
      </c>
      <c r="O17" s="155">
        <f t="shared" ref="O17:O80" ca="1" si="3">IF(N17="#N/A",N17,N17*I17)</f>
        <v>443960.48718946188</v>
      </c>
      <c r="P17" s="177">
        <f>IF($B$2="FIXED",0,IF(Swap!$B$26="FRA",_xll.HLV5r3.Analytics.Swaps.Delta0DiscountCoupon( G17, L17, M17, I17),_xll.HLV5r3.Analytics.Swaps.Delta0Coupon( G17, L17, M17, I17)))</f>
        <v>0</v>
      </c>
      <c r="Q17" s="180">
        <f ca="1">IF(U17=0,0,_xll.HLV5r3.Analytics.Swaps.Delta1ForAnAmount( N17, I17, Stream1CompoundingPeriod, U17))</f>
        <v>7.8281334103242637</v>
      </c>
      <c r="R17" s="79"/>
      <c r="S17" s="210">
        <f ca="1">IF(ISERROR(T17), "#N/A",IF(T17="","#N/A",T17+D17))</f>
        <v>43677</v>
      </c>
      <c r="T17" s="213">
        <f t="shared" ref="T17:T80" ca="1" si="4">X17</f>
        <v>43677</v>
      </c>
      <c r="U17" s="173">
        <f ca="1">IF(C17="#N/A",0,_xll.HLV5r3.Financial.Cache.YearFraction( ValuationDate, C17,"ACT/365.FIXED"))</f>
        <v>0.17808219178082191</v>
      </c>
      <c r="V17" s="79"/>
      <c r="W17" s="83"/>
      <c r="X17" s="207">
        <f t="array" aca="1" ref="X17:X150" ca="1">_xll.HLV5r3.Financial.Cache.GetMetaDatesSchedule( Y5:AA8, Y2, Y3, Y4)</f>
        <v>43677</v>
      </c>
      <c r="AB17" s="57"/>
      <c r="AC17" s="82"/>
    </row>
    <row r="18" spans="1:29">
      <c r="A18" s="136">
        <f t="shared" ref="A18:A81" ca="1" si="5">IF(S19="#N/A", "#N/A",S18)</f>
        <v>43707</v>
      </c>
      <c r="B18" s="136">
        <f t="shared" ca="1" si="1"/>
        <v>43738</v>
      </c>
      <c r="C18" s="101">
        <f ca="1">IF(Swap!$B$26="Standard",B18,A18)</f>
        <v>43738</v>
      </c>
      <c r="D18" s="147">
        <v>0</v>
      </c>
      <c r="E18" s="112">
        <f t="shared" ca="1" si="0"/>
        <v>100000000</v>
      </c>
      <c r="F18" s="112">
        <f t="shared" ref="F18:F81" ca="1" si="6">E18</f>
        <v>100000000</v>
      </c>
      <c r="G18" s="112">
        <f t="shared" ref="G18:G81" ca="1" si="7">F18</f>
        <v>100000000</v>
      </c>
      <c r="H18" s="152" t="str">
        <f t="shared" ca="1" si="2"/>
        <v>Coupon</v>
      </c>
      <c r="I18" s="168">
        <f ca="1">IF(C18="#N/A",0,_xll.HLV5r3.Financial.Cache.GetValueFromBase( Stream1DiscountCurve, Swap!$F$4, Stream1!C18))</f>
        <v>0.98963426966915446</v>
      </c>
      <c r="J18" s="117">
        <f ca="1">IF(C18="#N/A","#N/A",_xll.HLV5r3.Financial.Cache.GetValueFromBase(Stream1ForwardCurve, Swap!$F$4, A18))</f>
        <v>0.99292633470682357</v>
      </c>
      <c r="K18" s="169">
        <f ca="1">IF(C18="#N/A","#N/A",_xll.HLV5r3.Financial.Cache.GetValueFromBase(Stream1ForwardCurve, Swap!$F$4, B18))</f>
        <v>0.98963426966915446</v>
      </c>
      <c r="L18" s="115">
        <f ca="1" xml:space="preserve"> IF(G18=0,0,_xll.HLV5r3.Financial.Cache.YearFraction( A18, B18,Swap!$B$25))</f>
        <v>8.4931506849315067E-2</v>
      </c>
      <c r="M18" s="143">
        <f ca="1">IF(I18=0,0,IF($B$2="Fixed",Stream1FixedRate,_xll.HLV5r3.Analytics.Rates.GetRate(J18,K18,L18)+Stream1Spread))</f>
        <v>5.4399999999999997E-2</v>
      </c>
      <c r="N18" s="155">
        <f ca="1">IF(L18="#N/A",L18,IF(Swap!$B$26="Standard",L18*G18*M18,L18*G18*M18/(1+Stream1!L18*Stream1!M18)))</f>
        <v>462027.39726027398</v>
      </c>
      <c r="O18" s="155">
        <f t="shared" ca="1" si="3"/>
        <v>457238.14585481153</v>
      </c>
      <c r="P18" s="177">
        <f>IF($B$2="FIXED",0,IF(Swap!$B$26="FRA",_xll.HLV5r3.Analytics.Swaps.Delta0DiscountCoupon( G18, L18, M18, I18),_xll.HLV5r3.Analytics.Swaps.Delta0Coupon( G18, L18, M18, I18)))</f>
        <v>0</v>
      </c>
      <c r="Q18" s="180">
        <f ca="1">IF(U18=0,0,_xll.HLV5r3.Analytics.Swaps.Delta1ForAnAmount( N18, I18, Stream1CompoundingPeriod, U18))</f>
        <v>11.908049124446007</v>
      </c>
      <c r="R18" s="79"/>
      <c r="S18" s="210">
        <f t="shared" ref="S18:S81" ca="1" si="8">IF(ISERROR(T18), "#N/A",IF(T18="","#N/A",T18+D18))</f>
        <v>43707</v>
      </c>
      <c r="T18" s="213">
        <f t="shared" ca="1" si="4"/>
        <v>43707</v>
      </c>
      <c r="U18" s="173">
        <f ca="1">IF(C18="#N/A",0,_xll.HLV5r3.Financial.Cache.YearFraction( ValuationDate, C18,"ACT/365.FIXED"))</f>
        <v>0.26301369863013696</v>
      </c>
      <c r="V18" s="79"/>
      <c r="W18" s="83"/>
      <c r="X18" s="207">
        <f ca="1"/>
        <v>43707</v>
      </c>
      <c r="AB18" s="57"/>
      <c r="AC18" s="82"/>
    </row>
    <row r="19" spans="1:29">
      <c r="A19" s="136">
        <f t="shared" ca="1" si="5"/>
        <v>43738</v>
      </c>
      <c r="B19" s="136">
        <f t="shared" ca="1" si="1"/>
        <v>43769</v>
      </c>
      <c r="C19" s="101">
        <f ca="1">IF(Swap!$B$26="Standard",B19,A19)</f>
        <v>43769</v>
      </c>
      <c r="D19" s="147">
        <v>0</v>
      </c>
      <c r="E19" s="112">
        <f t="shared" ca="1" si="0"/>
        <v>100000000</v>
      </c>
      <c r="F19" s="112">
        <f t="shared" ca="1" si="6"/>
        <v>100000000</v>
      </c>
      <c r="G19" s="112">
        <f t="shared" ca="1" si="7"/>
        <v>100000000</v>
      </c>
      <c r="H19" s="152" t="str">
        <f t="shared" ca="1" si="2"/>
        <v>Coupon</v>
      </c>
      <c r="I19" s="168">
        <f ca="1">IF(C19="#N/A",0,_xll.HLV5r3.Financial.Cache.GetValueFromBase( Stream1DiscountCurve, Swap!$F$4, Stream1!C19))</f>
        <v>0.9869656462110854</v>
      </c>
      <c r="J19" s="117">
        <f ca="1">IF(C19="#N/A","#N/A",_xll.HLV5r3.Financial.Cache.GetValueFromBase(Stream1ForwardCurve, Swap!$F$4, A19))</f>
        <v>0.98963426966915446</v>
      </c>
      <c r="K19" s="169">
        <f ca="1">IF(C19="#N/A","#N/A",_xll.HLV5r3.Financial.Cache.GetValueFromBase(Stream1ForwardCurve, Swap!$F$4, B19))</f>
        <v>0.9869656462110854</v>
      </c>
      <c r="L19" s="115">
        <f ca="1" xml:space="preserve"> IF(G19=0,0,_xll.HLV5r3.Financial.Cache.YearFraction( A19, B19,Swap!$B$25))</f>
        <v>8.4931506849315067E-2</v>
      </c>
      <c r="M19" s="143">
        <f ca="1">IF(I19=0,0,IF($B$2="Fixed",Stream1FixedRate,_xll.HLV5r3.Analytics.Rates.GetRate(J19,K19,L19)+Stream1Spread))</f>
        <v>5.4399999999999997E-2</v>
      </c>
      <c r="N19" s="155">
        <f ca="1">IF(L19="#N/A",L19,IF(Swap!$B$26="Standard",L19*G19*M19,L19*G19*M19/(1+Stream1!L19*Stream1!M19)))</f>
        <v>462027.39726027398</v>
      </c>
      <c r="O19" s="155">
        <f t="shared" ca="1" si="3"/>
        <v>456005.16870421218</v>
      </c>
      <c r="P19" s="177">
        <f>IF($B$2="FIXED",0,IF(Swap!$B$26="FRA",_xll.HLV5r3.Analytics.Swaps.Delta0DiscountCoupon( G19, L19, M19, I19),_xll.HLV5r3.Analytics.Swaps.Delta0Coupon( G19, L19, M19, I19)))</f>
        <v>0</v>
      </c>
      <c r="Q19" s="180">
        <f ca="1">IF(U19=0,0,_xll.HLV5r3.Analytics.Swaps.Delta1ForAnAmount( N19, I19, Stream1CompoundingPeriod, U19))</f>
        <v>15.718307789826511</v>
      </c>
      <c r="R19" s="79"/>
      <c r="S19" s="210">
        <f t="shared" ca="1" si="8"/>
        <v>43738</v>
      </c>
      <c r="T19" s="213">
        <f t="shared" ca="1" si="4"/>
        <v>43738</v>
      </c>
      <c r="U19" s="173">
        <f ca="1">IF(C19="#N/A",0,_xll.HLV5r3.Financial.Cache.YearFraction( ValuationDate, C19,"ACT/365.FIXED"))</f>
        <v>0.34794520547945207</v>
      </c>
      <c r="V19" s="79"/>
      <c r="W19" s="83"/>
      <c r="X19" s="207">
        <f ca="1"/>
        <v>43738</v>
      </c>
      <c r="AB19" s="57"/>
      <c r="AC19" s="82"/>
    </row>
    <row r="20" spans="1:29">
      <c r="A20" s="136">
        <f t="shared" ca="1" si="5"/>
        <v>43769</v>
      </c>
      <c r="B20" s="136">
        <f t="shared" ca="1" si="1"/>
        <v>43798</v>
      </c>
      <c r="C20" s="101">
        <f ca="1">IF(Swap!$B$26="Standard",B20,A20)</f>
        <v>43798</v>
      </c>
      <c r="D20" s="147">
        <v>0</v>
      </c>
      <c r="E20" s="112">
        <f t="shared" ca="1" si="0"/>
        <v>100000000</v>
      </c>
      <c r="F20" s="112">
        <f t="shared" ca="1" si="6"/>
        <v>100000000</v>
      </c>
      <c r="G20" s="112">
        <f t="shared" ca="1" si="7"/>
        <v>100000000</v>
      </c>
      <c r="H20" s="152" t="str">
        <f t="shared" ca="1" si="2"/>
        <v>Coupon</v>
      </c>
      <c r="I20" s="168">
        <f ca="1">IF(C20="#N/A",0,_xll.HLV5r3.Financial.Cache.GetValueFromBase( Stream1DiscountCurve, Swap!$F$4, Stream1!C20))</f>
        <v>0.98476522905882002</v>
      </c>
      <c r="J20" s="117">
        <f ca="1">IF(C20="#N/A","#N/A",_xll.HLV5r3.Financial.Cache.GetValueFromBase(Stream1ForwardCurve, Swap!$F$4, A20))</f>
        <v>0.9869656462110854</v>
      </c>
      <c r="K20" s="169">
        <f ca="1">IF(C20="#N/A","#N/A",_xll.HLV5r3.Financial.Cache.GetValueFromBase(Stream1ForwardCurve, Swap!$F$4, B20))</f>
        <v>0.98476522905882002</v>
      </c>
      <c r="L20" s="115">
        <f ca="1" xml:space="preserve"> IF(G20=0,0,_xll.HLV5r3.Financial.Cache.YearFraction( A20, B20,Swap!$B$25))</f>
        <v>7.9452054794520555E-2</v>
      </c>
      <c r="M20" s="143">
        <f ca="1">IF(I20=0,0,IF($B$2="Fixed",Stream1FixedRate,_xll.HLV5r3.Analytics.Rates.GetRate(J20,K20,L20)+Stream1Spread))</f>
        <v>5.4399999999999997E-2</v>
      </c>
      <c r="N20" s="155">
        <f ca="1">IF(L20="#N/A",L20,IF(Swap!$B$26="Standard",L20*G20*M20,L20*G20*M20/(1+Stream1!L20*Stream1!M20)))</f>
        <v>432219.17808219179</v>
      </c>
      <c r="O20" s="155">
        <f t="shared" ca="1" si="3"/>
        <v>425634.41790772451</v>
      </c>
      <c r="P20" s="177">
        <f>IF($B$2="FIXED",0,IF(Swap!$B$26="FRA",_xll.HLV5r3.Analytics.Swaps.Delta0DiscountCoupon( G20, L20, M20, I20),_xll.HLV5r3.Analytics.Swaps.Delta0Coupon( G20, L20, M20, I20)))</f>
        <v>0</v>
      </c>
      <c r="Q20" s="180">
        <f ca="1">IF(U20=0,0,_xll.HLV5r3.Analytics.Swaps.Delta1ForAnAmount( N20, I20, Stream1CompoundingPeriod, U20))</f>
        <v>18.029593683405047</v>
      </c>
      <c r="R20" s="79"/>
      <c r="S20" s="210">
        <f t="shared" ca="1" si="8"/>
        <v>43769</v>
      </c>
      <c r="T20" s="213">
        <f t="shared" ca="1" si="4"/>
        <v>43769</v>
      </c>
      <c r="U20" s="173">
        <f ca="1">IF(C20="#N/A",0,_xll.HLV5r3.Financial.Cache.YearFraction( ValuationDate, C20,"ACT/365.FIXED"))</f>
        <v>0.42739726027397262</v>
      </c>
      <c r="V20" s="79"/>
      <c r="W20" s="83"/>
      <c r="X20" s="207">
        <f ca="1"/>
        <v>43769</v>
      </c>
      <c r="AB20" s="57"/>
      <c r="AC20" s="82"/>
    </row>
    <row r="21" spans="1:29">
      <c r="A21" s="136">
        <f t="shared" ca="1" si="5"/>
        <v>43798</v>
      </c>
      <c r="B21" s="136">
        <f t="shared" ca="1" si="1"/>
        <v>43830</v>
      </c>
      <c r="C21" s="101">
        <f ca="1">IF(Swap!$B$26="Standard",B21,A21)</f>
        <v>43830</v>
      </c>
      <c r="D21" s="147">
        <v>0</v>
      </c>
      <c r="E21" s="112">
        <f t="shared" ca="1" si="0"/>
        <v>100000000</v>
      </c>
      <c r="F21" s="112">
        <f t="shared" ca="1" si="6"/>
        <v>100000000</v>
      </c>
      <c r="G21" s="112">
        <f t="shared" ca="1" si="7"/>
        <v>100000000</v>
      </c>
      <c r="H21" s="152" t="str">
        <f t="shared" ca="1" si="2"/>
        <v>Coupon</v>
      </c>
      <c r="I21" s="168">
        <f ca="1">IF(C21="#N/A",0,_xll.HLV5r3.Financial.Cache.GetValueFromBase( Stream1DiscountCurve, Swap!$F$4, Stream1!C21))</f>
        <v>0.98227062645615548</v>
      </c>
      <c r="J21" s="117">
        <f ca="1">IF(C21="#N/A","#N/A",_xll.HLV5r3.Financial.Cache.GetValueFromBase(Stream1ForwardCurve, Swap!$F$4, A21))</f>
        <v>0.98476522905882002</v>
      </c>
      <c r="K21" s="169">
        <f ca="1">IF(C21="#N/A","#N/A",_xll.HLV5r3.Financial.Cache.GetValueFromBase(Stream1ForwardCurve, Swap!$F$4, B21))</f>
        <v>0.98227062645615548</v>
      </c>
      <c r="L21" s="115">
        <f ca="1" xml:space="preserve"> IF(G21=0,0,_xll.HLV5r3.Financial.Cache.YearFraction( A21, B21,Swap!$B$25))</f>
        <v>8.7671232876712329E-2</v>
      </c>
      <c r="M21" s="143">
        <f ca="1">IF(I21=0,0,IF($B$2="Fixed",Stream1FixedRate,_xll.HLV5r3.Analytics.Rates.GetRate(J21,K21,L21)+Stream1Spread))</f>
        <v>5.4399999999999997E-2</v>
      </c>
      <c r="N21" s="155">
        <f ca="1">IF(L21="#N/A",L21,IF(Swap!$B$26="Standard",L21*G21*M21,L21*G21*M21/(1+Stream1!L21*Stream1!M21)))</f>
        <v>476931.50684931502</v>
      </c>
      <c r="O21" s="155">
        <f t="shared" ca="1" si="3"/>
        <v>468475.81000955484</v>
      </c>
      <c r="P21" s="177">
        <f>IF($B$2="FIXED",0,IF(Swap!$B$26="FRA",_xll.HLV5r3.Analytics.Swaps.Delta0DiscountCoupon( G21, L21, M21, I21),_xll.HLV5r3.Analytics.Swaps.Delta0Coupon( G21, L21, M21, I21)))</f>
        <v>0</v>
      </c>
      <c r="Q21" s="180">
        <f ca="1">IF(U21=0,0,_xll.HLV5r3.Analytics.Swaps.Delta1ForAnAmount( N21, I21, Stream1CompoundingPeriod, U21))</f>
        <v>23.922009032920716</v>
      </c>
      <c r="R21" s="79"/>
      <c r="S21" s="210">
        <f t="shared" ca="1" si="8"/>
        <v>43798</v>
      </c>
      <c r="T21" s="213">
        <f t="shared" ca="1" si="4"/>
        <v>43798</v>
      </c>
      <c r="U21" s="173">
        <f ca="1">IF(C21="#N/A",0,_xll.HLV5r3.Financial.Cache.YearFraction( ValuationDate, C21,"ACT/365.FIXED"))</f>
        <v>0.51506849315068493</v>
      </c>
      <c r="V21" s="79"/>
      <c r="W21" s="83"/>
      <c r="X21" s="207">
        <f ca="1"/>
        <v>43798</v>
      </c>
      <c r="AB21" s="57"/>
      <c r="AC21" s="82"/>
    </row>
    <row r="22" spans="1:29">
      <c r="A22" s="136">
        <f t="shared" ca="1" si="5"/>
        <v>43830</v>
      </c>
      <c r="B22" s="136">
        <f t="shared" ca="1" si="1"/>
        <v>43861</v>
      </c>
      <c r="C22" s="101">
        <f ca="1">IF(Swap!$B$26="Standard",B22,A22)</f>
        <v>43861</v>
      </c>
      <c r="D22" s="147">
        <v>0</v>
      </c>
      <c r="E22" s="112">
        <f t="shared" ca="1" si="0"/>
        <v>100000000</v>
      </c>
      <c r="F22" s="112">
        <f t="shared" ca="1" si="6"/>
        <v>100000000</v>
      </c>
      <c r="G22" s="112">
        <f t="shared" ca="1" si="7"/>
        <v>100000000</v>
      </c>
      <c r="H22" s="152" t="str">
        <f t="shared" ca="1" si="2"/>
        <v>Coupon</v>
      </c>
      <c r="I22" s="168">
        <f ca="1">IF(C22="#N/A",0,_xll.HLV5r3.Financial.Cache.GetValueFromBase( Stream1DiscountCurve, Swap!$F$4, Stream1!C22))</f>
        <v>0.97974968246700678</v>
      </c>
      <c r="J22" s="117">
        <f ca="1">IF(C22="#N/A","#N/A",_xll.HLV5r3.Financial.Cache.GetValueFromBase(Stream1ForwardCurve, Swap!$F$4, A22))</f>
        <v>0.98227062645615548</v>
      </c>
      <c r="K22" s="169">
        <f ca="1">IF(C22="#N/A","#N/A",_xll.HLV5r3.Financial.Cache.GetValueFromBase(Stream1ForwardCurve, Swap!$F$4, B22))</f>
        <v>0.97974968246700678</v>
      </c>
      <c r="L22" s="115">
        <f ca="1" xml:space="preserve"> IF(G22=0,0,_xll.HLV5r3.Financial.Cache.YearFraction( A22, B22,Swap!$B$25))</f>
        <v>8.4931506849315067E-2</v>
      </c>
      <c r="M22" s="143">
        <f ca="1">IF(I22=0,0,IF($B$2="Fixed",Stream1FixedRate,_xll.HLV5r3.Analytics.Rates.GetRate(J22,K22,L22)+Stream1Spread))</f>
        <v>5.4399999999999997E-2</v>
      </c>
      <c r="N22" s="155">
        <f ca="1">IF(L22="#N/A",L22,IF(Swap!$B$26="Standard",L22*G22*M22,L22*G22*M22/(1+Stream1!L22*Stream1!M22)))</f>
        <v>462027.39726027398</v>
      </c>
      <c r="O22" s="155">
        <f t="shared" ca="1" si="3"/>
        <v>452671.19575681101</v>
      </c>
      <c r="P22" s="177">
        <f>IF($B$2="FIXED",0,IF(Swap!$B$26="FRA",_xll.HLV5r3.Analytics.Swaps.Delta0DiscountCoupon( G22, L22, M22, I22),_xll.HLV5r3.Analytics.Swaps.Delta0Coupon( G22, L22, M22, I22)))</f>
        <v>0</v>
      </c>
      <c r="Q22" s="180">
        <f ca="1">IF(U22=0,0,_xll.HLV5r3.Analytics.Swaps.Delta1ForAnAmount( N22, I22, Stream1CompoundingPeriod, U22))</f>
        <v>26.930708038944182</v>
      </c>
      <c r="R22" s="79"/>
      <c r="S22" s="210">
        <f t="shared" ca="1" si="8"/>
        <v>43830</v>
      </c>
      <c r="T22" s="213">
        <f t="shared" ca="1" si="4"/>
        <v>43830</v>
      </c>
      <c r="U22" s="173">
        <f ca="1">IF(C22="#N/A",0,_xll.HLV5r3.Financial.Cache.YearFraction( ValuationDate, C22,"ACT/365.FIXED"))</f>
        <v>0.6</v>
      </c>
      <c r="V22" s="79"/>
      <c r="W22" s="83"/>
      <c r="X22" s="207">
        <f ca="1"/>
        <v>43830</v>
      </c>
      <c r="AB22" s="57"/>
      <c r="AC22" s="82"/>
    </row>
    <row r="23" spans="1:29">
      <c r="A23" s="136">
        <f t="shared" ca="1" si="5"/>
        <v>43861</v>
      </c>
      <c r="B23" s="136">
        <f t="shared" ca="1" si="1"/>
        <v>43889</v>
      </c>
      <c r="C23" s="101">
        <f ca="1">IF(Swap!$B$26="Standard",B23,A23)</f>
        <v>43889</v>
      </c>
      <c r="D23" s="147">
        <v>0</v>
      </c>
      <c r="E23" s="112">
        <f t="shared" ca="1" si="0"/>
        <v>100000000</v>
      </c>
      <c r="F23" s="112">
        <f t="shared" ca="1" si="6"/>
        <v>100000000</v>
      </c>
      <c r="G23" s="112">
        <f t="shared" ca="1" si="7"/>
        <v>100000000</v>
      </c>
      <c r="H23" s="152" t="str">
        <f t="shared" ca="1" si="2"/>
        <v>Coupon</v>
      </c>
      <c r="I23" s="168">
        <f ca="1">IF(C23="#N/A",0,_xll.HLV5r3.Financial.Cache.GetValueFromBase( Stream1DiscountCurve, Swap!$F$4, Stream1!C23))</f>
        <v>0.97756869436844129</v>
      </c>
      <c r="J23" s="117">
        <f ca="1">IF(C23="#N/A","#N/A",_xll.HLV5r3.Financial.Cache.GetValueFromBase(Stream1ForwardCurve, Swap!$F$4, A23))</f>
        <v>0.97974968246700678</v>
      </c>
      <c r="K23" s="169">
        <f ca="1">IF(C23="#N/A","#N/A",_xll.HLV5r3.Financial.Cache.GetValueFromBase(Stream1ForwardCurve, Swap!$F$4, B23))</f>
        <v>0.97756869436844129</v>
      </c>
      <c r="L23" s="115">
        <f ca="1" xml:space="preserve"> IF(G23=0,0,_xll.HLV5r3.Financial.Cache.YearFraction( A23, B23,Swap!$B$25))</f>
        <v>7.6712328767123292E-2</v>
      </c>
      <c r="M23" s="143">
        <f ca="1">IF(I23=0,0,IF($B$2="Fixed",Stream1FixedRate,_xll.HLV5r3.Analytics.Rates.GetRate(J23,K23,L23)+Stream1Spread))</f>
        <v>5.4399999999999997E-2</v>
      </c>
      <c r="N23" s="155">
        <f ca="1">IF(L23="#N/A",L23,IF(Swap!$B$26="Standard",L23*G23*M23,L23*G23*M23/(1+Stream1!L23*Stream1!M23)))</f>
        <v>417315.06849315064</v>
      </c>
      <c r="O23" s="155">
        <f t="shared" ca="1" si="3"/>
        <v>407954.14664712595</v>
      </c>
      <c r="P23" s="177">
        <f>IF($B$2="FIXED",0,IF(Swap!$B$26="FRA",_xll.HLV5r3.Analytics.Swaps.Delta0DiscountCoupon( G23, L23, M23, I23),_xll.HLV5r3.Analytics.Swaps.Delta0Coupon( G23, L23, M23, I23)))</f>
        <v>0</v>
      </c>
      <c r="Q23" s="180">
        <f ca="1">IF(U23=0,0,_xll.HLV5r3.Analytics.Swaps.Delta1ForAnAmount( N23, I23, Stream1CompoundingPeriod, U23))</f>
        <v>27.377304701358881</v>
      </c>
      <c r="R23" s="79"/>
      <c r="S23" s="210">
        <f t="shared" ca="1" si="8"/>
        <v>43861</v>
      </c>
      <c r="T23" s="213">
        <f t="shared" ca="1" si="4"/>
        <v>43861</v>
      </c>
      <c r="U23" s="173">
        <f ca="1">IF(C23="#N/A",0,_xll.HLV5r3.Financial.Cache.YearFraction( ValuationDate, C23,"ACT/365.FIXED"))</f>
        <v>0.67671232876712328</v>
      </c>
      <c r="V23" s="79"/>
      <c r="W23" s="83"/>
      <c r="X23" s="207">
        <f ca="1"/>
        <v>43861</v>
      </c>
      <c r="AB23" s="57"/>
      <c r="AC23" s="82"/>
    </row>
    <row r="24" spans="1:29">
      <c r="A24" s="136">
        <f t="shared" ca="1" si="5"/>
        <v>43889</v>
      </c>
      <c r="B24" s="136">
        <f t="shared" ca="1" si="1"/>
        <v>43921</v>
      </c>
      <c r="C24" s="101">
        <f ca="1">IF(Swap!$B$26="Standard",B24,A24)</f>
        <v>43921</v>
      </c>
      <c r="D24" s="147">
        <v>0</v>
      </c>
      <c r="E24" s="112">
        <f t="shared" ca="1" si="0"/>
        <v>100000000</v>
      </c>
      <c r="F24" s="112">
        <f t="shared" ca="1" si="6"/>
        <v>100000000</v>
      </c>
      <c r="G24" s="112">
        <f t="shared" ca="1" si="7"/>
        <v>100000000</v>
      </c>
      <c r="H24" s="152" t="str">
        <f t="shared" ca="1" si="2"/>
        <v>Coupon</v>
      </c>
      <c r="I24" s="168">
        <f ca="1">IF(C24="#N/A",0,_xll.HLV5r3.Financial.Cache.GetValueFromBase( Stream1DiscountCurve, Swap!$F$4, Stream1!C24))</f>
        <v>0.9750095527214605</v>
      </c>
      <c r="J24" s="117">
        <f ca="1">IF(C24="#N/A","#N/A",_xll.HLV5r3.Financial.Cache.GetValueFromBase(Stream1ForwardCurve, Swap!$F$4, A24))</f>
        <v>0.97756869436844129</v>
      </c>
      <c r="K24" s="169">
        <f ca="1">IF(C24="#N/A","#N/A",_xll.HLV5r3.Financial.Cache.GetValueFromBase(Stream1ForwardCurve, Swap!$F$4, B24))</f>
        <v>0.9750095527214605</v>
      </c>
      <c r="L24" s="115">
        <f ca="1" xml:space="preserve"> IF(G24=0,0,_xll.HLV5r3.Financial.Cache.YearFraction( A24, B24,Swap!$B$25))</f>
        <v>8.7671232876712329E-2</v>
      </c>
      <c r="M24" s="143">
        <f ca="1">IF(I24=0,0,IF($B$2="Fixed",Stream1FixedRate,_xll.HLV5r3.Analytics.Rates.GetRate(J24,K24,L24)+Stream1Spread))</f>
        <v>5.4399999999999997E-2</v>
      </c>
      <c r="N24" s="155">
        <f ca="1">IF(L24="#N/A",L24,IF(Swap!$B$26="Standard",L24*G24*M24,L24*G24*M24/(1+Stream1!L24*Stream1!M24)))</f>
        <v>476931.50684931502</v>
      </c>
      <c r="O24" s="155">
        <f t="shared" ca="1" si="3"/>
        <v>465012.77517192281</v>
      </c>
      <c r="P24" s="177">
        <f>IF($B$2="FIXED",0,IF(Swap!$B$26="FRA",_xll.HLV5r3.Analytics.Swaps.Delta0DiscountCoupon( G24, L24, M24, I24),_xll.HLV5r3.Analytics.Swaps.Delta0Coupon( G24, L24, M24, I24)))</f>
        <v>0</v>
      </c>
      <c r="Q24" s="180">
        <f ca="1">IF(U24=0,0,_xll.HLV5r3.Analytics.Swaps.Delta1ForAnAmount( N24, I24, Stream1CompoundingPeriod, U24))</f>
        <v>35.253013717928383</v>
      </c>
      <c r="R24" s="79"/>
      <c r="S24" s="210">
        <f t="shared" ca="1" si="8"/>
        <v>43889</v>
      </c>
      <c r="T24" s="213">
        <f t="shared" ca="1" si="4"/>
        <v>43889</v>
      </c>
      <c r="U24" s="173">
        <f ca="1">IF(C24="#N/A",0,_xll.HLV5r3.Financial.Cache.YearFraction( ValuationDate, C24,"ACT/365.FIXED"))</f>
        <v>0.76438356164383559</v>
      </c>
      <c r="V24" s="79"/>
      <c r="W24" s="83"/>
      <c r="X24" s="207">
        <f ca="1"/>
        <v>43889</v>
      </c>
      <c r="AB24" s="57"/>
      <c r="AC24" s="82"/>
    </row>
    <row r="25" spans="1:29">
      <c r="A25" s="136">
        <f t="shared" ca="1" si="5"/>
        <v>43921</v>
      </c>
      <c r="B25" s="136">
        <f t="shared" ca="1" si="1"/>
        <v>43951</v>
      </c>
      <c r="C25" s="101">
        <f ca="1">IF(Swap!$B$26="Standard",B25,A25)</f>
        <v>43951</v>
      </c>
      <c r="D25" s="147">
        <v>0</v>
      </c>
      <c r="E25" s="112">
        <f t="shared" ca="1" si="0"/>
        <v>100000000</v>
      </c>
      <c r="F25" s="112">
        <f t="shared" ca="1" si="6"/>
        <v>100000000</v>
      </c>
      <c r="G25" s="112">
        <f t="shared" ca="1" si="7"/>
        <v>100000000</v>
      </c>
      <c r="H25" s="152" t="str">
        <f t="shared" ca="1" si="2"/>
        <v>Coupon</v>
      </c>
      <c r="I25" s="168">
        <f ca="1">IF(C25="#N/A",0,_xll.HLV5r3.Financial.Cache.GetValueFromBase( Stream1DiscountCurve, Swap!$F$4, Stream1!C25))</f>
        <v>0.97255517392241531</v>
      </c>
      <c r="J25" s="117">
        <f ca="1">IF(C25="#N/A","#N/A",_xll.HLV5r3.Financial.Cache.GetValueFromBase(Stream1ForwardCurve, Swap!$F$4, A25))</f>
        <v>0.9750095527214605</v>
      </c>
      <c r="K25" s="169">
        <f ca="1">IF(C25="#N/A","#N/A",_xll.HLV5r3.Financial.Cache.GetValueFromBase(Stream1ForwardCurve, Swap!$F$4, B25))</f>
        <v>0.97255517392241531</v>
      </c>
      <c r="L25" s="115">
        <f ca="1" xml:space="preserve"> IF(G25=0,0,_xll.HLV5r3.Financial.Cache.YearFraction( A25, B25,Swap!$B$25))</f>
        <v>8.2191780821917804E-2</v>
      </c>
      <c r="M25" s="143">
        <f ca="1">IF(I25=0,0,IF($B$2="Fixed",Stream1FixedRate,_xll.HLV5r3.Analytics.Rates.GetRate(J25,K25,L25)+Stream1Spread))</f>
        <v>5.4399999999999997E-2</v>
      </c>
      <c r="N25" s="155">
        <f ca="1">IF(L25="#N/A",L25,IF(Swap!$B$26="Standard",L25*G25*M25,L25*G25*M25/(1+Stream1!L25*Stream1!M25)))</f>
        <v>447123.28767123283</v>
      </c>
      <c r="O25" s="155">
        <f t="shared" ca="1" si="3"/>
        <v>434852.06680585799</v>
      </c>
      <c r="P25" s="177">
        <f>IF($B$2="FIXED",0,IF(Swap!$B$26="FRA",_xll.HLV5r3.Analytics.Swaps.Delta0DiscountCoupon( G25, L25, M25, I25),_xll.HLV5r3.Analytics.Swaps.Delta0Coupon( G25, L25, M25, I25)))</f>
        <v>0</v>
      </c>
      <c r="Q25" s="180">
        <f ca="1">IF(U25=0,0,_xll.HLV5r3.Analytics.Swaps.Delta1ForAnAmount( N25, I25, Stream1CompoundingPeriod, U25))</f>
        <v>36.513437961609107</v>
      </c>
      <c r="R25" s="79"/>
      <c r="S25" s="210">
        <f t="shared" ca="1" si="8"/>
        <v>43921</v>
      </c>
      <c r="T25" s="213">
        <f t="shared" ca="1" si="4"/>
        <v>43921</v>
      </c>
      <c r="U25" s="173">
        <f ca="1">IF(C25="#N/A",0,_xll.HLV5r3.Financial.Cache.YearFraction( ValuationDate, C25,"ACT/365.FIXED"))</f>
        <v>0.84657534246575339</v>
      </c>
      <c r="V25" s="79"/>
      <c r="W25" s="83"/>
      <c r="X25" s="207">
        <f ca="1"/>
        <v>43921</v>
      </c>
      <c r="AB25" s="57"/>
      <c r="AC25" s="82"/>
    </row>
    <row r="26" spans="1:29">
      <c r="A26" s="136">
        <f t="shared" ca="1" si="5"/>
        <v>43951</v>
      </c>
      <c r="B26" s="136">
        <f t="shared" ca="1" si="1"/>
        <v>43980</v>
      </c>
      <c r="C26" s="101">
        <f ca="1">IF(Swap!$B$26="Standard",B26,A26)</f>
        <v>43980</v>
      </c>
      <c r="D26" s="147">
        <v>0</v>
      </c>
      <c r="E26" s="112">
        <f t="shared" ca="1" si="0"/>
        <v>100000000</v>
      </c>
      <c r="F26" s="112">
        <f t="shared" ca="1" si="6"/>
        <v>100000000</v>
      </c>
      <c r="G26" s="112">
        <f t="shared" ca="1" si="7"/>
        <v>100000000</v>
      </c>
      <c r="H26" s="152" t="str">
        <f t="shared" ca="1" si="2"/>
        <v>Coupon</v>
      </c>
      <c r="I26" s="168">
        <f ca="1">IF(C26="#N/A",0,_xll.HLV5r3.Financial.Cache.GetValueFromBase( Stream1DiscountCurve, Swap!$F$4, Stream1!C26))</f>
        <v>0.97022445655555067</v>
      </c>
      <c r="J26" s="117">
        <f ca="1">IF(C26="#N/A","#N/A",_xll.HLV5r3.Financial.Cache.GetValueFromBase(Stream1ForwardCurve, Swap!$F$4, A26))</f>
        <v>0.97255517392241531</v>
      </c>
      <c r="K26" s="169">
        <f ca="1">IF(C26="#N/A","#N/A",_xll.HLV5r3.Financial.Cache.GetValueFromBase(Stream1ForwardCurve, Swap!$F$4, B26))</f>
        <v>0.97022445655555067</v>
      </c>
      <c r="L26" s="115">
        <f ca="1" xml:space="preserve"> IF(G26=0,0,_xll.HLV5r3.Financial.Cache.YearFraction( A26, B26,Swap!$B$25))</f>
        <v>7.9452054794520555E-2</v>
      </c>
      <c r="M26" s="143">
        <f ca="1">IF(I26=0,0,IF($B$2="Fixed",Stream1FixedRate,_xll.HLV5r3.Analytics.Rates.GetRate(J26,K26,L26)+Stream1Spread))</f>
        <v>5.4399999999999997E-2</v>
      </c>
      <c r="N26" s="155">
        <f ca="1">IF(L26="#N/A",L26,IF(Swap!$B$26="Standard",L26*G26*M26,L26*G26*M26/(1+Stream1!L26*Stream1!M26)))</f>
        <v>432219.17808219179</v>
      </c>
      <c r="O26" s="155">
        <f t="shared" ca="1" si="3"/>
        <v>419349.61716768134</v>
      </c>
      <c r="P26" s="177">
        <f>IF($B$2="FIXED",0,IF(Swap!$B$26="FRA",_xll.HLV5r3.Analytics.Swaps.Delta0DiscountCoupon( G26, L26, M26, I26),_xll.HLV5r3.Analytics.Swaps.Delta0Coupon( G26, L26, M26, I26)))</f>
        <v>0</v>
      </c>
      <c r="Q26" s="180">
        <f ca="1">IF(U26=0,0,_xll.HLV5r3.Analytics.Swaps.Delta1ForAnAmount( N26, I26, Stream1CompoundingPeriod, U26))</f>
        <v>38.518587843012824</v>
      </c>
      <c r="R26" s="79"/>
      <c r="S26" s="210">
        <f t="shared" ca="1" si="8"/>
        <v>43951</v>
      </c>
      <c r="T26" s="213">
        <f t="shared" ca="1" si="4"/>
        <v>43951</v>
      </c>
      <c r="U26" s="173">
        <f ca="1">IF(C26="#N/A",0,_xll.HLV5r3.Financial.Cache.YearFraction( ValuationDate, C26,"ACT/365.FIXED"))</f>
        <v>0.92602739726027394</v>
      </c>
      <c r="V26" s="79"/>
      <c r="W26" s="83"/>
      <c r="X26" s="207">
        <f ca="1"/>
        <v>43951</v>
      </c>
      <c r="AB26" s="57"/>
      <c r="AC26" s="82"/>
    </row>
    <row r="27" spans="1:29">
      <c r="A27" s="136">
        <f t="shared" ca="1" si="5"/>
        <v>43980</v>
      </c>
      <c r="B27" s="136">
        <f t="shared" ca="1" si="1"/>
        <v>44012</v>
      </c>
      <c r="C27" s="101">
        <f ca="1">IF(Swap!$B$26="Standard",B27,A27)</f>
        <v>44012</v>
      </c>
      <c r="D27" s="147">
        <v>0</v>
      </c>
      <c r="E27" s="112">
        <f t="shared" ca="1" si="0"/>
        <v>100000000</v>
      </c>
      <c r="F27" s="112">
        <f t="shared" ca="1" si="6"/>
        <v>100000000</v>
      </c>
      <c r="G27" s="112">
        <f t="shared" ca="1" si="7"/>
        <v>100000000</v>
      </c>
      <c r="H27" s="152" t="str">
        <f t="shared" ca="1" si="2"/>
        <v>Coupon</v>
      </c>
      <c r="I27" s="168">
        <f ca="1">IF(C27="#N/A",0,_xll.HLV5r3.Financial.Cache.GetValueFromBase( Stream1DiscountCurve, Swap!$F$4, Stream1!C27))</f>
        <v>0.96753140789901171</v>
      </c>
      <c r="J27" s="117">
        <f ca="1">IF(C27="#N/A","#N/A",_xll.HLV5r3.Financial.Cache.GetValueFromBase(Stream1ForwardCurve, Swap!$F$4, A27))</f>
        <v>0.97022445655555067</v>
      </c>
      <c r="K27" s="169">
        <f ca="1">IF(C27="#N/A","#N/A",_xll.HLV5r3.Financial.Cache.GetValueFromBase(Stream1ForwardCurve, Swap!$F$4, B27))</f>
        <v>0.96753140789901171</v>
      </c>
      <c r="L27" s="115">
        <f ca="1" xml:space="preserve"> IF(G27=0,0,_xll.HLV5r3.Financial.Cache.YearFraction( A27, B27,Swap!$B$25))</f>
        <v>8.7671232876712329E-2</v>
      </c>
      <c r="M27" s="143">
        <f ca="1">IF(I27=0,0,IF($B$2="Fixed",Stream1FixedRate,_xll.HLV5r3.Analytics.Rates.GetRate(J27,K27,L27)+Stream1Spread))</f>
        <v>5.4399999999999997E-2</v>
      </c>
      <c r="N27" s="155">
        <f ca="1">IF(L27="#N/A",L27,IF(Swap!$B$26="Standard",L27*G27*M27,L27*G27*M27/(1+Stream1!L27*Stream1!M27)))</f>
        <v>476931.50684931502</v>
      </c>
      <c r="O27" s="155">
        <f t="shared" ca="1" si="3"/>
        <v>461446.21229331492</v>
      </c>
      <c r="P27" s="177">
        <f>IF($B$2="FIXED",0,IF(Swap!$B$26="FRA",_xll.HLV5r3.Analytics.Swaps.Delta0DiscountCoupon( G27, L27, M27, I27),_xll.HLV5r3.Analytics.Swaps.Delta0Coupon( G27, L27, M27, I27)))</f>
        <v>0</v>
      </c>
      <c r="Q27" s="180">
        <f ca="1">IF(U27=0,0,_xll.HLV5r3.Analytics.Swaps.Delta1ForAnAmount( N27, I27, Stream1CompoundingPeriod, U27))</f>
        <v>46.399035567572973</v>
      </c>
      <c r="R27" s="79"/>
      <c r="S27" s="210">
        <f t="shared" ca="1" si="8"/>
        <v>43980</v>
      </c>
      <c r="T27" s="213">
        <f t="shared" ca="1" si="4"/>
        <v>43980</v>
      </c>
      <c r="U27" s="173">
        <f ca="1">IF(C27="#N/A",0,_xll.HLV5r3.Financial.Cache.YearFraction( ValuationDate, C27,"ACT/365.FIXED"))</f>
        <v>1.0136986301369864</v>
      </c>
      <c r="V27" s="79"/>
      <c r="W27" s="83"/>
      <c r="X27" s="207">
        <f ca="1"/>
        <v>43980</v>
      </c>
      <c r="AB27" s="57"/>
      <c r="AC27" s="82"/>
    </row>
    <row r="28" spans="1:29">
      <c r="A28" s="136">
        <f t="shared" ca="1" si="5"/>
        <v>44012</v>
      </c>
      <c r="B28" s="136">
        <f t="shared" ca="1" si="1"/>
        <v>44043</v>
      </c>
      <c r="C28" s="101">
        <f ca="1">IF(Swap!$B$26="Standard",B28,A28)</f>
        <v>44043</v>
      </c>
      <c r="D28" s="147">
        <v>0</v>
      </c>
      <c r="E28" s="112">
        <f t="shared" ca="1" si="0"/>
        <v>100000000</v>
      </c>
      <c r="F28" s="112">
        <f t="shared" ca="1" si="6"/>
        <v>100000000</v>
      </c>
      <c r="G28" s="112">
        <f t="shared" ca="1" si="7"/>
        <v>100000000</v>
      </c>
      <c r="H28" s="152" t="str">
        <f t="shared" ca="1" si="2"/>
        <v>Coupon</v>
      </c>
      <c r="I28" s="168">
        <f ca="1">IF(C28="#N/A",0,_xll.HLV5r3.Financial.Cache.GetValueFromBase( Stream1DiscountCurve, Swap!$F$4, Stream1!C28))</f>
        <v>0.96482193523502602</v>
      </c>
      <c r="J28" s="117">
        <f ca="1">IF(C28="#N/A","#N/A",_xll.HLV5r3.Financial.Cache.GetValueFromBase(Stream1ForwardCurve, Swap!$F$4, A28))</f>
        <v>0.96753140789901171</v>
      </c>
      <c r="K28" s="169">
        <f ca="1">IF(C28="#N/A","#N/A",_xll.HLV5r3.Financial.Cache.GetValueFromBase(Stream1ForwardCurve, Swap!$F$4, B28))</f>
        <v>0.96482193523502602</v>
      </c>
      <c r="L28" s="115">
        <f ca="1" xml:space="preserve"> IF(G28=0,0,_xll.HLV5r3.Financial.Cache.YearFraction( A28, B28,Swap!$B$25))</f>
        <v>8.4931506849315067E-2</v>
      </c>
      <c r="M28" s="143">
        <f ca="1">IF(I28=0,0,IF($B$2="Fixed",Stream1FixedRate,_xll.HLV5r3.Analytics.Rates.GetRate(J28,K28,L28)+Stream1Spread))</f>
        <v>5.4399999999999997E-2</v>
      </c>
      <c r="N28" s="155">
        <f ca="1">IF(L28="#N/A",L28,IF(Swap!$B$26="Standard",L28*G28*M28,L28*G28*M28/(1+Stream1!L28*Stream1!M28)))</f>
        <v>462027.39726027398</v>
      </c>
      <c r="O28" s="155">
        <f t="shared" ca="1" si="3"/>
        <v>445774.16755625972</v>
      </c>
      <c r="P28" s="177">
        <f>IF($B$2="FIXED",0,IF(Swap!$B$26="FRA",_xll.HLV5r3.Analytics.Swaps.Delta0DiscountCoupon( G28, L28, M28, I28),_xll.HLV5r3.Analytics.Swaps.Delta0Coupon( G28, L28, M28, I28)))</f>
        <v>0</v>
      </c>
      <c r="Q28" s="180">
        <f ca="1">IF(U28=0,0,_xll.HLV5r3.Analytics.Swaps.Delta1ForAnAmount( N28, I28, Stream1CompoundingPeriod, U28))</f>
        <v>48.578221043898154</v>
      </c>
      <c r="R28" s="79"/>
      <c r="S28" s="210">
        <f t="shared" ca="1" si="8"/>
        <v>44012</v>
      </c>
      <c r="T28" s="213">
        <f t="shared" ca="1" si="4"/>
        <v>44012</v>
      </c>
      <c r="U28" s="173">
        <f ca="1">IF(C28="#N/A",0,_xll.HLV5r3.Financial.Cache.YearFraction( ValuationDate, C28,"ACT/365.FIXED"))</f>
        <v>1.0986301369863014</v>
      </c>
      <c r="V28" s="79"/>
      <c r="W28" s="83"/>
      <c r="X28" s="207">
        <f ca="1"/>
        <v>44012</v>
      </c>
      <c r="AB28" s="57"/>
      <c r="AC28" s="82"/>
    </row>
    <row r="29" spans="1:29">
      <c r="A29" s="136">
        <f t="shared" ca="1" si="5"/>
        <v>44043</v>
      </c>
      <c r="B29" s="136">
        <f t="shared" ca="1" si="1"/>
        <v>44074</v>
      </c>
      <c r="C29" s="101">
        <f ca="1">IF(Swap!$B$26="Standard",B29,A29)</f>
        <v>44074</v>
      </c>
      <c r="D29" s="147">
        <v>0</v>
      </c>
      <c r="E29" s="112">
        <f t="shared" ca="1" si="0"/>
        <v>100000000</v>
      </c>
      <c r="F29" s="112">
        <f t="shared" ca="1" si="6"/>
        <v>100000000</v>
      </c>
      <c r="G29" s="112">
        <f t="shared" ca="1" si="7"/>
        <v>100000000</v>
      </c>
      <c r="H29" s="152" t="str">
        <f t="shared" ca="1" si="2"/>
        <v>Coupon</v>
      </c>
      <c r="I29" s="168">
        <f ca="1">IF(C29="#N/A",0,_xll.HLV5r3.Financial.Cache.GetValueFromBase( Stream1DiscountCurve, Swap!$F$4, Stream1!C29))</f>
        <v>0.96211427254925352</v>
      </c>
      <c r="J29" s="117">
        <f ca="1">IF(C29="#N/A","#N/A",_xll.HLV5r3.Financial.Cache.GetValueFromBase(Stream1ForwardCurve, Swap!$F$4, A29))</f>
        <v>0.96482193523502602</v>
      </c>
      <c r="K29" s="169">
        <f ca="1">IF(C29="#N/A","#N/A",_xll.HLV5r3.Financial.Cache.GetValueFromBase(Stream1ForwardCurve, Swap!$F$4, B29))</f>
        <v>0.96211427254925352</v>
      </c>
      <c r="L29" s="115">
        <f ca="1" xml:space="preserve"> IF(G29=0,0,_xll.HLV5r3.Financial.Cache.YearFraction( A29, B29,Swap!$B$25))</f>
        <v>8.4931506849315067E-2</v>
      </c>
      <c r="M29" s="143">
        <f ca="1">IF(I29=0,0,IF($B$2="Fixed",Stream1FixedRate,_xll.HLV5r3.Analytics.Rates.GetRate(J29,K29,L29)+Stream1Spread))</f>
        <v>5.4399999999999997E-2</v>
      </c>
      <c r="N29" s="155">
        <f ca="1">IF(L29="#N/A",L29,IF(Swap!$B$26="Standard",L29*G29*M29,L29*G29*M29/(1+Stream1!L29*Stream1!M29)))</f>
        <v>462027.39726027398</v>
      </c>
      <c r="O29" s="155">
        <f t="shared" ca="1" si="3"/>
        <v>444523.15321289346</v>
      </c>
      <c r="P29" s="177">
        <f>IF($B$2="FIXED",0,IF(Swap!$B$26="FRA",_xll.HLV5r3.Analytics.Swaps.Delta0DiscountCoupon( G29, L29, M29, I29),_xll.HLV5r3.Analytics.Swaps.Delta0Coupon( G29, L29, M29, I29)))</f>
        <v>0</v>
      </c>
      <c r="Q29" s="180">
        <f ca="1">IF(U29=0,0,_xll.HLV5r3.Analytics.Swaps.Delta1ForAnAmount( N29, I29, Stream1CompoundingPeriod, U29))</f>
        <v>52.186318685483037</v>
      </c>
      <c r="R29" s="79"/>
      <c r="S29" s="210">
        <f t="shared" ca="1" si="8"/>
        <v>44043</v>
      </c>
      <c r="T29" s="213">
        <f t="shared" ca="1" si="4"/>
        <v>44043</v>
      </c>
      <c r="U29" s="173">
        <f ca="1">IF(C29="#N/A",0,_xll.HLV5r3.Financial.Cache.YearFraction( ValuationDate, C29,"ACT/365.FIXED"))</f>
        <v>1.1835616438356165</v>
      </c>
      <c r="V29" s="79"/>
      <c r="W29" s="83"/>
      <c r="X29" s="207">
        <f ca="1"/>
        <v>44043</v>
      </c>
      <c r="AB29" s="57"/>
      <c r="AC29" s="82"/>
    </row>
    <row r="30" spans="1:29">
      <c r="A30" s="136">
        <f t="shared" ca="1" si="5"/>
        <v>44074</v>
      </c>
      <c r="B30" s="136">
        <f t="shared" ca="1" si="1"/>
        <v>44104</v>
      </c>
      <c r="C30" s="101">
        <f ca="1">IF(Swap!$B$26="Standard",B30,A30)</f>
        <v>44104</v>
      </c>
      <c r="D30" s="147">
        <v>0</v>
      </c>
      <c r="E30" s="112">
        <f t="shared" ca="1" si="0"/>
        <v>100000000</v>
      </c>
      <c r="F30" s="112">
        <f t="shared" ca="1" si="6"/>
        <v>100000000</v>
      </c>
      <c r="G30" s="112">
        <f t="shared" ca="1" si="7"/>
        <v>100000000</v>
      </c>
      <c r="H30" s="152" t="str">
        <f t="shared" ca="1" si="2"/>
        <v>Coupon</v>
      </c>
      <c r="I30" s="168">
        <f ca="1">IF(C30="#N/A",0,_xll.HLV5r3.Financial.Cache.GetValueFromBase( Stream1DiscountCurve, Swap!$F$4, Stream1!C30))</f>
        <v>0.95935263093771872</v>
      </c>
      <c r="J30" s="117">
        <f ca="1">IF(C30="#N/A","#N/A",_xll.HLV5r3.Financial.Cache.GetValueFromBase(Stream1ForwardCurve, Swap!$F$4, A30))</f>
        <v>0.96211427254925352</v>
      </c>
      <c r="K30" s="169">
        <f ca="1">IF(C30="#N/A","#N/A",_xll.HLV5r3.Financial.Cache.GetValueFromBase(Stream1ForwardCurve, Swap!$F$4, B30))</f>
        <v>0.95935263093771872</v>
      </c>
      <c r="L30" s="115">
        <f ca="1" xml:space="preserve"> IF(G30=0,0,_xll.HLV5r3.Financial.Cache.YearFraction( A30, B30,Swap!$B$25))</f>
        <v>8.2191780821917804E-2</v>
      </c>
      <c r="M30" s="143">
        <f ca="1">IF(I30=0,0,IF($B$2="Fixed",Stream1FixedRate,_xll.HLV5r3.Analytics.Rates.GetRate(J30,K30,L30)+Stream1Spread))</f>
        <v>5.4399999999999997E-2</v>
      </c>
      <c r="N30" s="155">
        <f ca="1">IF(L30="#N/A",L30,IF(Swap!$B$26="Standard",L30*G30*M30,L30*G30*M30/(1+Stream1!L30*Stream1!M30)))</f>
        <v>447123.28767123283</v>
      </c>
      <c r="O30" s="155">
        <f t="shared" ca="1" si="3"/>
        <v>428948.90238091967</v>
      </c>
      <c r="P30" s="177">
        <f>IF($B$2="FIXED",0,IF(Swap!$B$26="FRA",_xll.HLV5r3.Analytics.Swaps.Delta0DiscountCoupon( G30, L30, M30, I30),_xll.HLV5r3.Analytics.Swaps.Delta0Coupon( G30, L30, M30, I30)))</f>
        <v>0</v>
      </c>
      <c r="Q30" s="180">
        <f ca="1">IF(U30=0,0,_xll.HLV5r3.Analytics.Swaps.Delta1ForAnAmount( N30, I30, Stream1CompoundingPeriod, U30))</f>
        <v>53.852974131768335</v>
      </c>
      <c r="R30" s="79"/>
      <c r="S30" s="210">
        <f t="shared" ca="1" si="8"/>
        <v>44074</v>
      </c>
      <c r="T30" s="213">
        <f t="shared" ca="1" si="4"/>
        <v>44074</v>
      </c>
      <c r="U30" s="173">
        <f ca="1">IF(C30="#N/A",0,_xll.HLV5r3.Financial.Cache.YearFraction( ValuationDate, C30,"ACT/365.FIXED"))</f>
        <v>1.2657534246575342</v>
      </c>
      <c r="V30" s="79"/>
      <c r="W30" s="83"/>
      <c r="X30" s="207">
        <f ca="1"/>
        <v>44074</v>
      </c>
      <c r="AB30" s="57"/>
      <c r="AC30" s="82"/>
    </row>
    <row r="31" spans="1:29">
      <c r="A31" s="136">
        <f t="shared" ca="1" si="5"/>
        <v>44104</v>
      </c>
      <c r="B31" s="136">
        <f t="shared" ca="1" si="1"/>
        <v>44134</v>
      </c>
      <c r="C31" s="101">
        <f ca="1">IF(Swap!$B$26="Standard",B31,A31)</f>
        <v>44134</v>
      </c>
      <c r="D31" s="147">
        <v>0</v>
      </c>
      <c r="E31" s="112">
        <f t="shared" ca="1" si="0"/>
        <v>100000000</v>
      </c>
      <c r="F31" s="112">
        <f t="shared" ca="1" si="6"/>
        <v>100000000</v>
      </c>
      <c r="G31" s="112">
        <f t="shared" ca="1" si="7"/>
        <v>100000000</v>
      </c>
      <c r="H31" s="152" t="str">
        <f t="shared" ca="1" si="2"/>
        <v>Coupon</v>
      </c>
      <c r="I31" s="168">
        <f ca="1">IF(C31="#N/A",0,_xll.HLV5r3.Financial.Cache.GetValueFromBase( Stream1DiscountCurve, Swap!$F$4, Stream1!C31))</f>
        <v>0.95649907045762239</v>
      </c>
      <c r="J31" s="117">
        <f ca="1">IF(C31="#N/A","#N/A",_xll.HLV5r3.Financial.Cache.GetValueFromBase(Stream1ForwardCurve, Swap!$F$4, A31))</f>
        <v>0.95935263093771872</v>
      </c>
      <c r="K31" s="169">
        <f ca="1">IF(C31="#N/A","#N/A",_xll.HLV5r3.Financial.Cache.GetValueFromBase(Stream1ForwardCurve, Swap!$F$4, B31))</f>
        <v>0.95649907045762239</v>
      </c>
      <c r="L31" s="115">
        <f ca="1" xml:space="preserve"> IF(G31=0,0,_xll.HLV5r3.Financial.Cache.YearFraction( A31, B31,Swap!$B$25))</f>
        <v>8.2191780821917804E-2</v>
      </c>
      <c r="M31" s="143">
        <f ca="1">IF(I31=0,0,IF($B$2="Fixed",Stream1FixedRate,_xll.HLV5r3.Analytics.Rates.GetRate(J31,K31,L31)+Stream1Spread))</f>
        <v>5.4399999999999997E-2</v>
      </c>
      <c r="N31" s="155">
        <f ca="1">IF(L31="#N/A",L31,IF(Swap!$B$26="Standard",L31*G31*M31,L31*G31*M31/(1+Stream1!L31*Stream1!M31)))</f>
        <v>447123.28767123283</v>
      </c>
      <c r="O31" s="155">
        <f t="shared" ca="1" si="3"/>
        <v>427673.00903749029</v>
      </c>
      <c r="P31" s="177">
        <f>IF($B$2="FIXED",0,IF(Swap!$B$26="FRA",_xll.HLV5r3.Analytics.Swaps.Delta0DiscountCoupon( G31, L31, M31, I31),_xll.HLV5r3.Analytics.Swaps.Delta0Coupon( G31, L31, M31, I31)))</f>
        <v>0</v>
      </c>
      <c r="Q31" s="180">
        <f ca="1">IF(U31=0,0,_xll.HLV5r3.Analytics.Swaps.Delta1ForAnAmount( N31, I31, Stream1CompoundingPeriod, U31))</f>
        <v>57.176344726343864</v>
      </c>
      <c r="R31" s="79"/>
      <c r="S31" s="210">
        <f t="shared" ca="1" si="8"/>
        <v>44104</v>
      </c>
      <c r="T31" s="213">
        <f t="shared" ca="1" si="4"/>
        <v>44104</v>
      </c>
      <c r="U31" s="173">
        <f ca="1">IF(C31="#N/A",0,_xll.HLV5r3.Financial.Cache.YearFraction( ValuationDate, C31,"ACT/365.FIXED"))</f>
        <v>1.3479452054794521</v>
      </c>
      <c r="V31" s="79"/>
      <c r="W31" s="83"/>
      <c r="X31" s="207">
        <f ca="1"/>
        <v>44104</v>
      </c>
      <c r="Y31" s="82"/>
      <c r="Z31" s="82"/>
      <c r="AA31" s="85"/>
      <c r="AB31" s="86"/>
      <c r="AC31" s="82"/>
    </row>
    <row r="32" spans="1:29">
      <c r="A32" s="136">
        <f t="shared" ca="1" si="5"/>
        <v>44134</v>
      </c>
      <c r="B32" s="136">
        <f t="shared" ca="1" si="1"/>
        <v>44165</v>
      </c>
      <c r="C32" s="101">
        <f ca="1">IF(Swap!$B$26="Standard",B32,A32)</f>
        <v>44165</v>
      </c>
      <c r="D32" s="147">
        <v>0</v>
      </c>
      <c r="E32" s="112">
        <f t="shared" ca="1" si="0"/>
        <v>100000000</v>
      </c>
      <c r="F32" s="112">
        <f t="shared" ca="1" si="6"/>
        <v>100000000</v>
      </c>
      <c r="G32" s="112">
        <f t="shared" ca="1" si="7"/>
        <v>100000000</v>
      </c>
      <c r="H32" s="152" t="str">
        <f t="shared" ca="1" si="2"/>
        <v>Coupon</v>
      </c>
      <c r="I32" s="168">
        <f ca="1">IF(C32="#N/A",0,_xll.HLV5r3.Financial.Cache.GetValueFromBase( Stream1DiscountCurve, Swap!$F$4, Stream1!C32))</f>
        <v>0.95352459068550899</v>
      </c>
      <c r="J32" s="117">
        <f ca="1">IF(C32="#N/A","#N/A",_xll.HLV5r3.Financial.Cache.GetValueFromBase(Stream1ForwardCurve, Swap!$F$4, A32))</f>
        <v>0.95649907045762239</v>
      </c>
      <c r="K32" s="169">
        <f ca="1">IF(C32="#N/A","#N/A",_xll.HLV5r3.Financial.Cache.GetValueFromBase(Stream1ForwardCurve, Swap!$F$4, B32))</f>
        <v>0.95352459068550899</v>
      </c>
      <c r="L32" s="115">
        <f ca="1" xml:space="preserve"> IF(G32=0,0,_xll.HLV5r3.Financial.Cache.YearFraction( A32, B32,Swap!$B$25))</f>
        <v>8.4931506849315067E-2</v>
      </c>
      <c r="M32" s="143">
        <f ca="1">IF(I32=0,0,IF($B$2="Fixed",Stream1FixedRate,_xll.HLV5r3.Analytics.Rates.GetRate(J32,K32,L32)+Stream1Spread))</f>
        <v>5.4399999999999997E-2</v>
      </c>
      <c r="N32" s="155">
        <f ca="1">IF(L32="#N/A",L32,IF(Swap!$B$26="Standard",L32*G32*M32,L32*G32*M32/(1+Stream1!L32*Stream1!M32)))</f>
        <v>462027.39726027398</v>
      </c>
      <c r="O32" s="155">
        <f t="shared" ca="1" si="3"/>
        <v>440554.48485809378</v>
      </c>
      <c r="P32" s="177">
        <f>IF($B$2="FIXED",0,IF(Swap!$B$26="FRA",_xll.HLV5r3.Analytics.Swaps.Delta0DiscountCoupon( G32, L32, M32, I32),_xll.HLV5r3.Analytics.Swaps.Delta0Coupon( G32, L32, M32, I32)))</f>
        <v>0</v>
      </c>
      <c r="Q32" s="180">
        <f ca="1">IF(U32=0,0,_xll.HLV5r3.Analytics.Swaps.Delta1ForAnAmount( N32, I32, Stream1CompoundingPeriod, U32))</f>
        <v>62.606192085490989</v>
      </c>
      <c r="R32" s="79"/>
      <c r="S32" s="210">
        <f t="shared" ca="1" si="8"/>
        <v>44134</v>
      </c>
      <c r="T32" s="213">
        <f t="shared" ca="1" si="4"/>
        <v>44134</v>
      </c>
      <c r="U32" s="173">
        <f ca="1">IF(C32="#N/A",0,_xll.HLV5r3.Financial.Cache.YearFraction( ValuationDate, C32,"ACT/365.FIXED"))</f>
        <v>1.4328767123287671</v>
      </c>
      <c r="V32" s="79"/>
      <c r="W32" s="83"/>
      <c r="X32" s="207">
        <f ca="1"/>
        <v>44134</v>
      </c>
      <c r="Y32" s="82"/>
      <c r="Z32" s="82"/>
      <c r="AA32" s="85"/>
      <c r="AB32" s="86"/>
      <c r="AC32" s="82"/>
    </row>
    <row r="33" spans="1:29">
      <c r="A33" s="136">
        <f t="shared" ca="1" si="5"/>
        <v>44165</v>
      </c>
      <c r="B33" s="136">
        <f t="shared" ca="1" si="1"/>
        <v>44196</v>
      </c>
      <c r="C33" s="101">
        <f ca="1">IF(Swap!$B$26="Standard",B33,A33)</f>
        <v>44196</v>
      </c>
      <c r="D33" s="147">
        <v>0</v>
      </c>
      <c r="E33" s="112">
        <f t="shared" ca="1" si="0"/>
        <v>100000000</v>
      </c>
      <c r="F33" s="112">
        <f t="shared" ca="1" si="6"/>
        <v>100000000</v>
      </c>
      <c r="G33" s="112">
        <f t="shared" ca="1" si="7"/>
        <v>100000000</v>
      </c>
      <c r="H33" s="152" t="str">
        <f t="shared" ca="1" si="2"/>
        <v>Coupon</v>
      </c>
      <c r="I33" s="168">
        <f ca="1">IF(C33="#N/A",0,_xll.HLV5r3.Financial.Cache.GetValueFromBase( Stream1DiscountCurve, Swap!$F$4, Stream1!C33))</f>
        <v>0.95039550617890023</v>
      </c>
      <c r="J33" s="117">
        <f ca="1">IF(C33="#N/A","#N/A",_xll.HLV5r3.Financial.Cache.GetValueFromBase(Stream1ForwardCurve, Swap!$F$4, A33))</f>
        <v>0.95352459068550899</v>
      </c>
      <c r="K33" s="169">
        <f ca="1">IF(C33="#N/A","#N/A",_xll.HLV5r3.Financial.Cache.GetValueFromBase(Stream1ForwardCurve, Swap!$F$4, B33))</f>
        <v>0.95039550617890023</v>
      </c>
      <c r="L33" s="115">
        <f ca="1" xml:space="preserve"> IF(G33=0,0,_xll.HLV5r3.Financial.Cache.YearFraction( A33, B33,Swap!$B$25))</f>
        <v>8.4931506849315067E-2</v>
      </c>
      <c r="M33" s="143">
        <f ca="1">IF(I33=0,0,IF($B$2="Fixed",Stream1FixedRate,_xll.HLV5r3.Analytics.Rates.GetRate(J33,K33,L33)+Stream1Spread))</f>
        <v>5.4399999999999997E-2</v>
      </c>
      <c r="N33" s="155">
        <f ca="1">IF(L33="#N/A",L33,IF(Swap!$B$26="Standard",L33*G33*M33,L33*G33*M33/(1+Stream1!L33*Stream1!M33)))</f>
        <v>462027.39726027398</v>
      </c>
      <c r="O33" s="155">
        <f t="shared" ca="1" si="3"/>
        <v>439108.76208769792</v>
      </c>
      <c r="P33" s="177">
        <f>IF($B$2="FIXED",0,IF(Swap!$B$26="FRA",_xll.HLV5r3.Analytics.Swaps.Delta0DiscountCoupon( G33, L33, M33, I33),_xll.HLV5r3.Analytics.Swaps.Delta0Coupon( G33, L33, M33, I33)))</f>
        <v>0</v>
      </c>
      <c r="Q33" s="180">
        <f ca="1">IF(U33=0,0,_xll.HLV5r3.Analytics.Swaps.Delta1ForAnAmount( N33, I33, Stream1CompoundingPeriod, U33))</f>
        <v>66.094416227955918</v>
      </c>
      <c r="R33" s="79"/>
      <c r="S33" s="210">
        <f t="shared" ca="1" si="8"/>
        <v>44165</v>
      </c>
      <c r="T33" s="213">
        <f t="shared" ca="1" si="4"/>
        <v>44165</v>
      </c>
      <c r="U33" s="173">
        <f ca="1">IF(C33="#N/A",0,_xll.HLV5r3.Financial.Cache.YearFraction( ValuationDate, C33,"ACT/365.FIXED"))</f>
        <v>1.5178082191780822</v>
      </c>
      <c r="V33" s="79"/>
      <c r="W33" s="83"/>
      <c r="X33" s="207">
        <f ca="1"/>
        <v>44165</v>
      </c>
      <c r="Y33" s="82"/>
      <c r="Z33" s="82"/>
      <c r="AA33" s="85"/>
      <c r="AB33" s="86"/>
      <c r="AC33" s="82"/>
    </row>
    <row r="34" spans="1:29">
      <c r="A34" s="136">
        <f t="shared" ca="1" si="5"/>
        <v>44196</v>
      </c>
      <c r="B34" s="136">
        <f t="shared" ca="1" si="1"/>
        <v>44225</v>
      </c>
      <c r="C34" s="101">
        <f ca="1">IF(Swap!$B$26="Standard",B34,A34)</f>
        <v>44225</v>
      </c>
      <c r="D34" s="147">
        <v>0</v>
      </c>
      <c r="E34" s="112">
        <f t="shared" ca="1" si="0"/>
        <v>100000000</v>
      </c>
      <c r="F34" s="112">
        <f t="shared" ca="1" si="6"/>
        <v>100000000</v>
      </c>
      <c r="G34" s="112">
        <f t="shared" ca="1" si="7"/>
        <v>100000000</v>
      </c>
      <c r="H34" s="152" t="str">
        <f t="shared" ca="1" si="2"/>
        <v>Coupon</v>
      </c>
      <c r="I34" s="168">
        <f ca="1">IF(C34="#N/A",0,_xll.HLV5r3.Financial.Cache.GetValueFromBase( Stream1DiscountCurve, Swap!$F$4, Stream1!C34))</f>
        <v>0.94737275328878534</v>
      </c>
      <c r="J34" s="117">
        <f ca="1">IF(C34="#N/A","#N/A",_xll.HLV5r3.Financial.Cache.GetValueFromBase(Stream1ForwardCurve, Swap!$F$4, A34))</f>
        <v>0.95039550617890023</v>
      </c>
      <c r="K34" s="169">
        <f ca="1">IF(C34="#N/A","#N/A",_xll.HLV5r3.Financial.Cache.GetValueFromBase(Stream1ForwardCurve, Swap!$F$4, B34))</f>
        <v>0.94737275328878534</v>
      </c>
      <c r="L34" s="115">
        <f ca="1" xml:space="preserve"> IF(G34=0,0,_xll.HLV5r3.Financial.Cache.YearFraction( A34, B34,Swap!$B$25))</f>
        <v>7.9452054794520555E-2</v>
      </c>
      <c r="M34" s="143">
        <f ca="1">IF(I34=0,0,IF($B$2="Fixed",Stream1FixedRate,_xll.HLV5r3.Analytics.Rates.GetRate(J34,K34,L34)+Stream1Spread))</f>
        <v>5.4399999999999997E-2</v>
      </c>
      <c r="N34" s="155">
        <f ca="1">IF(L34="#N/A",L34,IF(Swap!$B$26="Standard",L34*G34*M34,L34*G34*M34/(1+Stream1!L34*Stream1!M34)))</f>
        <v>432219.17808219179</v>
      </c>
      <c r="O34" s="155">
        <f t="shared" ca="1" si="3"/>
        <v>409472.67276394187</v>
      </c>
      <c r="P34" s="177">
        <f>IF($B$2="FIXED",0,IF(Swap!$B$26="FRA",_xll.HLV5r3.Analytics.Swaps.Delta0DiscountCoupon( G34, L34, M34, I34),_xll.HLV5r3.Analytics.Swaps.Delta0Coupon( G34, L34, M34, I34)))</f>
        <v>0</v>
      </c>
      <c r="Q34" s="180">
        <f ca="1">IF(U34=0,0,_xll.HLV5r3.Analytics.Swaps.Delta1ForAnAmount( N34, I34, Stream1CompoundingPeriod, U34))</f>
        <v>64.854657623315688</v>
      </c>
      <c r="R34" s="79"/>
      <c r="S34" s="210">
        <f t="shared" ca="1" si="8"/>
        <v>44196</v>
      </c>
      <c r="T34" s="213">
        <f t="shared" ca="1" si="4"/>
        <v>44196</v>
      </c>
      <c r="U34" s="173">
        <f ca="1">IF(C34="#N/A",0,_xll.HLV5r3.Financial.Cache.YearFraction( ValuationDate, C34,"ACT/365.FIXED"))</f>
        <v>1.5972602739726027</v>
      </c>
      <c r="V34" s="79"/>
      <c r="W34" s="83"/>
      <c r="X34" s="207">
        <f ca="1"/>
        <v>44196</v>
      </c>
      <c r="Y34" s="82"/>
      <c r="Z34" s="82"/>
      <c r="AA34" s="85"/>
      <c r="AB34" s="86"/>
      <c r="AC34" s="82"/>
    </row>
    <row r="35" spans="1:29">
      <c r="A35" s="136">
        <f t="shared" ca="1" si="5"/>
        <v>44225</v>
      </c>
      <c r="B35" s="136">
        <f t="shared" ca="1" si="1"/>
        <v>44253</v>
      </c>
      <c r="C35" s="101">
        <f ca="1">IF(Swap!$B$26="Standard",B35,A35)</f>
        <v>44253</v>
      </c>
      <c r="D35" s="147">
        <v>0</v>
      </c>
      <c r="E35" s="112">
        <f t="shared" ca="1" si="0"/>
        <v>100000000</v>
      </c>
      <c r="F35" s="112">
        <f t="shared" ca="1" si="6"/>
        <v>100000000</v>
      </c>
      <c r="G35" s="112">
        <f t="shared" ca="1" si="7"/>
        <v>100000000</v>
      </c>
      <c r="H35" s="152" t="str">
        <f t="shared" ca="1" si="2"/>
        <v>Coupon</v>
      </c>
      <c r="I35" s="168">
        <f ca="1">IF(C35="#N/A",0,_xll.HLV5r3.Financial.Cache.GetValueFromBase( Stream1DiscountCurve, Swap!$F$4, Stream1!C35))</f>
        <v>0.94441682647776093</v>
      </c>
      <c r="J35" s="117">
        <f ca="1">IF(C35="#N/A","#N/A",_xll.HLV5r3.Financial.Cache.GetValueFromBase(Stream1ForwardCurve, Swap!$F$4, A35))</f>
        <v>0.94737275328878534</v>
      </c>
      <c r="K35" s="169">
        <f ca="1">IF(C35="#N/A","#N/A",_xll.HLV5r3.Financial.Cache.GetValueFromBase(Stream1ForwardCurve, Swap!$F$4, B35))</f>
        <v>0.94441682647776093</v>
      </c>
      <c r="L35" s="115">
        <f ca="1" xml:space="preserve"> IF(G35=0,0,_xll.HLV5r3.Financial.Cache.YearFraction( A35, B35,Swap!$B$25))</f>
        <v>7.6712328767123292E-2</v>
      </c>
      <c r="M35" s="143">
        <f ca="1">IF(I35=0,0,IF($B$2="Fixed",Stream1FixedRate,_xll.HLV5r3.Analytics.Rates.GetRate(J35,K35,L35)+Stream1Spread))</f>
        <v>5.4399999999999997E-2</v>
      </c>
      <c r="N35" s="155">
        <f ca="1">IF(L35="#N/A",L35,IF(Swap!$B$26="Standard",L35*G35*M35,L35*G35*M35/(1+Stream1!L35*Stream1!M35)))</f>
        <v>417315.06849315064</v>
      </c>
      <c r="O35" s="155">
        <f t="shared" ca="1" si="3"/>
        <v>394119.37262765074</v>
      </c>
      <c r="P35" s="177">
        <f>IF($B$2="FIXED",0,IF(Swap!$B$26="FRA",_xll.HLV5r3.Analytics.Swaps.Delta0DiscountCoupon( G35, L35, M35, I35),_xll.HLV5r3.Analytics.Swaps.Delta0Coupon( G35, L35, M35, I35)))</f>
        <v>0</v>
      </c>
      <c r="Q35" s="180">
        <f ca="1">IF(U35=0,0,_xll.HLV5r3.Analytics.Swaps.Delta1ForAnAmount( N35, I35, Stream1CompoundingPeriod, U35))</f>
        <v>65.415805785532086</v>
      </c>
      <c r="R35" s="79"/>
      <c r="S35" s="210">
        <f t="shared" ca="1" si="8"/>
        <v>44225</v>
      </c>
      <c r="T35" s="213">
        <f t="shared" ca="1" si="4"/>
        <v>44225</v>
      </c>
      <c r="U35" s="173">
        <f ca="1">IF(C35="#N/A",0,_xll.HLV5r3.Financial.Cache.YearFraction( ValuationDate, C35,"ACT/365.FIXED"))</f>
        <v>1.6739726027397259</v>
      </c>
      <c r="V35" s="79"/>
      <c r="W35" s="83"/>
      <c r="X35" s="207">
        <f ca="1"/>
        <v>44225</v>
      </c>
      <c r="Y35" s="82"/>
      <c r="Z35" s="82"/>
      <c r="AA35" s="85"/>
      <c r="AB35" s="86"/>
      <c r="AC35" s="82"/>
    </row>
    <row r="36" spans="1:29">
      <c r="A36" s="136">
        <f t="shared" ca="1" si="5"/>
        <v>44253</v>
      </c>
      <c r="B36" s="136">
        <f t="shared" ca="1" si="1"/>
        <v>44286</v>
      </c>
      <c r="C36" s="101">
        <f ca="1">IF(Swap!$B$26="Standard",B36,A36)</f>
        <v>44286</v>
      </c>
      <c r="D36" s="147">
        <v>0</v>
      </c>
      <c r="E36" s="112">
        <f t="shared" ca="1" si="0"/>
        <v>100000000</v>
      </c>
      <c r="F36" s="112">
        <f t="shared" ca="1" si="6"/>
        <v>100000000</v>
      </c>
      <c r="G36" s="112">
        <f t="shared" ca="1" si="7"/>
        <v>100000000</v>
      </c>
      <c r="H36" s="152" t="str">
        <f t="shared" ca="1" si="2"/>
        <v>Coupon</v>
      </c>
      <c r="I36" s="168">
        <f ca="1">IF(C36="#N/A",0,_xll.HLV5r3.Financial.Cache.GetValueFromBase( Stream1DiscountCurve, Swap!$F$4, Stream1!C36))</f>
        <v>0.94081815199927554</v>
      </c>
      <c r="J36" s="117">
        <f ca="1">IF(C36="#N/A","#N/A",_xll.HLV5r3.Financial.Cache.GetValueFromBase(Stream1ForwardCurve, Swap!$F$4, A36))</f>
        <v>0.94441682647776093</v>
      </c>
      <c r="K36" s="169">
        <f ca="1">IF(C36="#N/A","#N/A",_xll.HLV5r3.Financial.Cache.GetValueFromBase(Stream1ForwardCurve, Swap!$F$4, B36))</f>
        <v>0.94081815199927554</v>
      </c>
      <c r="L36" s="115">
        <f ca="1" xml:space="preserve"> IF(G36=0,0,_xll.HLV5r3.Financial.Cache.YearFraction( A36, B36,Swap!$B$25))</f>
        <v>9.0410958904109592E-2</v>
      </c>
      <c r="M36" s="143">
        <f ca="1">IF(I36=0,0,IF($B$2="Fixed",Stream1FixedRate,_xll.HLV5r3.Analytics.Rates.GetRate(J36,K36,L36)+Stream1Spread))</f>
        <v>5.4399999999999997E-2</v>
      </c>
      <c r="N36" s="155">
        <f ca="1">IF(L36="#N/A",L36,IF(Swap!$B$26="Standard",L36*G36*M36,L36*G36*M36/(1+Stream1!L36*Stream1!M36)))</f>
        <v>491835.61643835617</v>
      </c>
      <c r="O36" s="155">
        <f t="shared" ca="1" si="3"/>
        <v>462727.87574495876</v>
      </c>
      <c r="P36" s="177">
        <f>IF($B$2="FIXED",0,IF(Swap!$B$26="FRA",_xll.HLV5r3.Analytics.Swaps.Delta0DiscountCoupon( G36, L36, M36, I36),_xll.HLV5r3.Analytics.Swaps.Delta0Coupon( G36, L36, M36, I36)))</f>
        <v>0</v>
      </c>
      <c r="Q36" s="180">
        <f ca="1">IF(U36=0,0,_xll.HLV5r3.Analytics.Swaps.Delta1ForAnAmount( N36, I36, Stream1CompoundingPeriod, U36))</f>
        <v>80.943271173915434</v>
      </c>
      <c r="R36" s="79"/>
      <c r="S36" s="210">
        <f t="shared" ca="1" si="8"/>
        <v>44253</v>
      </c>
      <c r="T36" s="213">
        <f t="shared" ca="1" si="4"/>
        <v>44253</v>
      </c>
      <c r="U36" s="173">
        <f ca="1">IF(C36="#N/A",0,_xll.HLV5r3.Financial.Cache.YearFraction( ValuationDate, C36,"ACT/365.FIXED"))</f>
        <v>1.7643835616438357</v>
      </c>
      <c r="V36" s="79"/>
      <c r="W36" s="83"/>
      <c r="X36" s="207">
        <f ca="1"/>
        <v>44253</v>
      </c>
      <c r="Y36" s="82"/>
      <c r="Z36" s="82"/>
      <c r="AA36" s="85"/>
      <c r="AB36" s="86"/>
      <c r="AC36" s="82"/>
    </row>
    <row r="37" spans="1:29">
      <c r="A37" s="136">
        <f t="shared" ca="1" si="5"/>
        <v>44286</v>
      </c>
      <c r="B37" s="136">
        <f t="shared" ca="1" si="1"/>
        <v>44316</v>
      </c>
      <c r="C37" s="101">
        <f ca="1">IF(Swap!$B$26="Standard",B37,A37)</f>
        <v>44316</v>
      </c>
      <c r="D37" s="147">
        <v>0</v>
      </c>
      <c r="E37" s="112">
        <f t="shared" ca="1" si="0"/>
        <v>100000000</v>
      </c>
      <c r="F37" s="112">
        <f t="shared" ca="1" si="6"/>
        <v>100000000</v>
      </c>
      <c r="G37" s="112">
        <f t="shared" ca="1" si="7"/>
        <v>100000000</v>
      </c>
      <c r="H37" s="152" t="str">
        <f t="shared" ca="1" si="2"/>
        <v>Coupon</v>
      </c>
      <c r="I37" s="168">
        <f ca="1">IF(C37="#N/A",0,_xll.HLV5r3.Financial.Cache.GetValueFromBase( Stream1DiscountCurve, Swap!$F$4, Stream1!C37))</f>
        <v>0.93745573619159894</v>
      </c>
      <c r="J37" s="117">
        <f ca="1">IF(C37="#N/A","#N/A",_xll.HLV5r3.Financial.Cache.GetValueFromBase(Stream1ForwardCurve, Swap!$F$4, A37))</f>
        <v>0.94081815199927554</v>
      </c>
      <c r="K37" s="169">
        <f ca="1">IF(C37="#N/A","#N/A",_xll.HLV5r3.Financial.Cache.GetValueFromBase(Stream1ForwardCurve, Swap!$F$4, B37))</f>
        <v>0.93745573619159894</v>
      </c>
      <c r="L37" s="115">
        <f ca="1" xml:space="preserve"> IF(G37=0,0,_xll.HLV5r3.Financial.Cache.YearFraction( A37, B37,Swap!$B$25))</f>
        <v>8.2191780821917804E-2</v>
      </c>
      <c r="M37" s="143">
        <f ca="1">IF(I37=0,0,IF($B$2="Fixed",Stream1FixedRate,_xll.HLV5r3.Analytics.Rates.GetRate(J37,K37,L37)+Stream1Spread))</f>
        <v>5.4399999999999997E-2</v>
      </c>
      <c r="N37" s="155">
        <f ca="1">IF(L37="#N/A",L37,IF(Swap!$B$26="Standard",L37*G37*M37,L37*G37*M37/(1+Stream1!L37*Stream1!M37)))</f>
        <v>447123.28767123283</v>
      </c>
      <c r="O37" s="155">
        <f t="shared" ca="1" si="3"/>
        <v>419158.29081224365</v>
      </c>
      <c r="P37" s="177">
        <f>IF($B$2="FIXED",0,IF(Swap!$B$26="FRA",_xll.HLV5r3.Analytics.Swaps.Delta0DiscountCoupon( G37, L37, M37, I37),_xll.HLV5r3.Analytics.Swaps.Delta0Coupon( G37, L37, M37, I37)))</f>
        <v>0</v>
      </c>
      <c r="Q37" s="180">
        <f ca="1">IF(U37=0,0,_xll.HLV5r3.Analytics.Swaps.Delta1ForAnAmount( N37, I37, Stream1CompoundingPeriod, U37))</f>
        <v>76.72981181971781</v>
      </c>
      <c r="R37" s="79"/>
      <c r="S37" s="210">
        <f t="shared" ca="1" si="8"/>
        <v>44286</v>
      </c>
      <c r="T37" s="213">
        <f t="shared" ca="1" si="4"/>
        <v>44286</v>
      </c>
      <c r="U37" s="173">
        <f ca="1">IF(C37="#N/A",0,_xll.HLV5r3.Financial.Cache.YearFraction( ValuationDate, C37,"ACT/365.FIXED"))</f>
        <v>1.8465753424657534</v>
      </c>
      <c r="V37" s="79"/>
      <c r="W37" s="83"/>
      <c r="X37" s="207">
        <f ca="1"/>
        <v>44286</v>
      </c>
      <c r="Y37" s="82"/>
      <c r="Z37" s="82"/>
      <c r="AA37" s="85"/>
      <c r="AB37" s="86"/>
      <c r="AC37" s="82"/>
    </row>
    <row r="38" spans="1:29">
      <c r="A38" s="136">
        <f t="shared" ca="1" si="5"/>
        <v>44316</v>
      </c>
      <c r="B38" s="136">
        <f t="shared" ca="1" si="1"/>
        <v>44347</v>
      </c>
      <c r="C38" s="101">
        <f ca="1">IF(Swap!$B$26="Standard",B38,A38)</f>
        <v>44347</v>
      </c>
      <c r="D38" s="147">
        <v>0</v>
      </c>
      <c r="E38" s="112">
        <f t="shared" ca="1" si="0"/>
        <v>100000000</v>
      </c>
      <c r="F38" s="112">
        <f t="shared" ca="1" si="6"/>
        <v>100000000</v>
      </c>
      <c r="G38" s="112">
        <f t="shared" ca="1" si="7"/>
        <v>100000000</v>
      </c>
      <c r="H38" s="152" t="str">
        <f t="shared" ca="1" si="2"/>
        <v>Coupon</v>
      </c>
      <c r="I38" s="168">
        <f ca="1">IF(C38="#N/A",0,_xll.HLV5r3.Financial.Cache.GetValueFromBase( Stream1DiscountCurve, Swap!$F$4, Stream1!C38))</f>
        <v>0.93392943847904619</v>
      </c>
      <c r="J38" s="117">
        <f ca="1">IF(C38="#N/A","#N/A",_xll.HLV5r3.Financial.Cache.GetValueFromBase(Stream1ForwardCurve, Swap!$F$4, A38))</f>
        <v>0.93745573619159894</v>
      </c>
      <c r="K38" s="169">
        <f ca="1">IF(C38="#N/A","#N/A",_xll.HLV5r3.Financial.Cache.GetValueFromBase(Stream1ForwardCurve, Swap!$F$4, B38))</f>
        <v>0.93392943847904619</v>
      </c>
      <c r="L38" s="115">
        <f ca="1" xml:space="preserve"> IF(G38=0,0,_xll.HLV5r3.Financial.Cache.YearFraction( A38, B38,Swap!$B$25))</f>
        <v>8.4931506849315067E-2</v>
      </c>
      <c r="M38" s="143">
        <f ca="1">IF(I38=0,0,IF($B$2="Fixed",Stream1FixedRate,_xll.HLV5r3.Analytics.Rates.GetRate(J38,K38,L38)+Stream1Spread))</f>
        <v>5.4399999999999997E-2</v>
      </c>
      <c r="N38" s="155">
        <f ca="1">IF(L38="#N/A",L38,IF(Swap!$B$26="Standard",L38*G38*M38,L38*G38*M38/(1+Stream1!L38*Stream1!M38)))</f>
        <v>462027.39726027398</v>
      </c>
      <c r="O38" s="155">
        <f t="shared" ca="1" si="3"/>
        <v>431500.98768522288</v>
      </c>
      <c r="P38" s="177">
        <f>IF($B$2="FIXED",0,IF(Swap!$B$26="FRA",_xll.HLV5r3.Analytics.Swaps.Delta0DiscountCoupon( G38, L38, M38, I38),_xll.HLV5r3.Analytics.Swaps.Delta0Coupon( G38, L38, M38, I38)))</f>
        <v>0</v>
      </c>
      <c r="Q38" s="180">
        <f ca="1">IF(U38=0,0,_xll.HLV5r3.Analytics.Swaps.Delta1ForAnAmount( N38, I38, Stream1CompoundingPeriod, U38))</f>
        <v>82.613803191223994</v>
      </c>
      <c r="R38" s="79"/>
      <c r="S38" s="210">
        <f t="shared" ca="1" si="8"/>
        <v>44316</v>
      </c>
      <c r="T38" s="213">
        <f t="shared" ca="1" si="4"/>
        <v>44316</v>
      </c>
      <c r="U38" s="173">
        <f ca="1">IF(C38="#N/A",0,_xll.HLV5r3.Financial.Cache.YearFraction( ValuationDate, C38,"ACT/365.FIXED"))</f>
        <v>1.9315068493150684</v>
      </c>
      <c r="V38" s="79"/>
      <c r="W38" s="11"/>
      <c r="X38" s="207">
        <f ca="1"/>
        <v>44316</v>
      </c>
      <c r="AA38" s="88"/>
      <c r="AB38" s="57"/>
      <c r="AC38" s="57"/>
    </row>
    <row r="39" spans="1:29">
      <c r="A39" s="136">
        <f t="shared" ca="1" si="5"/>
        <v>44347</v>
      </c>
      <c r="B39" s="136">
        <f t="shared" ca="1" si="1"/>
        <v>44377</v>
      </c>
      <c r="C39" s="101">
        <f ca="1">IF(Swap!$B$26="Standard",B39,A39)</f>
        <v>44377</v>
      </c>
      <c r="D39" s="147">
        <v>0</v>
      </c>
      <c r="E39" s="112">
        <f t="shared" ca="1" si="0"/>
        <v>100000000</v>
      </c>
      <c r="F39" s="112">
        <f t="shared" ca="1" si="6"/>
        <v>100000000</v>
      </c>
      <c r="G39" s="112">
        <f t="shared" ca="1" si="7"/>
        <v>100000000</v>
      </c>
      <c r="H39" s="152" t="str">
        <f t="shared" ca="1" si="2"/>
        <v>Coupon</v>
      </c>
      <c r="I39" s="168">
        <f ca="1">IF(C39="#N/A",0,_xll.HLV5r3.Financial.Cache.GetValueFromBase( Stream1DiscountCurve, Swap!$F$4, Stream1!C39))</f>
        <v>0.93043083978600327</v>
      </c>
      <c r="J39" s="117">
        <f ca="1">IF(C39="#N/A","#N/A",_xll.HLV5r3.Financial.Cache.GetValueFromBase(Stream1ForwardCurve, Swap!$F$4, A39))</f>
        <v>0.93392943847904619</v>
      </c>
      <c r="K39" s="169">
        <f ca="1">IF(C39="#N/A","#N/A",_xll.HLV5r3.Financial.Cache.GetValueFromBase(Stream1ForwardCurve, Swap!$F$4, B39))</f>
        <v>0.93043083978600327</v>
      </c>
      <c r="L39" s="115">
        <f ca="1" xml:space="preserve"> IF(G39=0,0,_xll.HLV5r3.Financial.Cache.YearFraction( A39, B39,Swap!$B$25))</f>
        <v>8.2191780821917804E-2</v>
      </c>
      <c r="M39" s="143">
        <f ca="1">IF(I39=0,0,IF($B$2="Fixed",Stream1FixedRate,_xll.HLV5r3.Analytics.Rates.GetRate(J39,K39,L39)+Stream1Spread))</f>
        <v>5.4399999999999997E-2</v>
      </c>
      <c r="N39" s="155">
        <f ca="1">IF(L39="#N/A",L39,IF(Swap!$B$26="Standard",L39*G39*M39,L39*G39*M39/(1+Stream1!L39*Stream1!M39)))</f>
        <v>447123.28767123283</v>
      </c>
      <c r="O39" s="155">
        <f t="shared" ca="1" si="3"/>
        <v>416017.29603582388</v>
      </c>
      <c r="P39" s="177">
        <f>IF($B$2="FIXED",0,IF(Swap!$B$26="FRA",_xll.HLV5r3.Analytics.Swaps.Delta0DiscountCoupon( G39, L39, M39, I39),_xll.HLV5r3.Analytics.Swaps.Delta0Coupon( G39, L39, M39, I39)))</f>
        <v>0</v>
      </c>
      <c r="Q39" s="180">
        <f ca="1">IF(U39=0,0,_xll.HLV5r3.Analytics.Swaps.Delta1ForAnAmount( N39, I39, Stream1CompoundingPeriod, U39))</f>
        <v>83.030050480868255</v>
      </c>
      <c r="R39" s="79"/>
      <c r="S39" s="210">
        <f t="shared" ca="1" si="8"/>
        <v>44347</v>
      </c>
      <c r="T39" s="213">
        <f t="shared" ca="1" si="4"/>
        <v>44347</v>
      </c>
      <c r="U39" s="173">
        <f ca="1">IF(C39="#N/A",0,_xll.HLV5r3.Financial.Cache.YearFraction( ValuationDate, C39,"ACT/365.FIXED"))</f>
        <v>2.0136986301369864</v>
      </c>
      <c r="V39" s="79"/>
      <c r="W39" s="11"/>
      <c r="X39" s="207">
        <f ca="1"/>
        <v>44347</v>
      </c>
      <c r="AA39" s="88"/>
      <c r="AB39" s="57"/>
      <c r="AC39" s="57"/>
    </row>
    <row r="40" spans="1:29">
      <c r="A40" s="136">
        <f t="shared" ca="1" si="5"/>
        <v>44377</v>
      </c>
      <c r="B40" s="136">
        <f t="shared" ca="1" si="1"/>
        <v>44407</v>
      </c>
      <c r="C40" s="101">
        <f ca="1">IF(Swap!$B$26="Standard",B40,A40)</f>
        <v>44407</v>
      </c>
      <c r="D40" s="147">
        <v>0</v>
      </c>
      <c r="E40" s="112">
        <f t="shared" ca="1" si="0"/>
        <v>100000000</v>
      </c>
      <c r="F40" s="112">
        <f t="shared" ca="1" si="6"/>
        <v>100000000</v>
      </c>
      <c r="G40" s="112">
        <f t="shared" ca="1" si="7"/>
        <v>100000000</v>
      </c>
      <c r="H40" s="152" t="str">
        <f t="shared" ca="1" si="2"/>
        <v>Coupon</v>
      </c>
      <c r="I40" s="168">
        <f ca="1">IF(C40="#N/A",0,_xll.HLV5r3.Financial.Cache.GetValueFromBase( Stream1DiscountCurve, Swap!$F$4, Stream1!C40))</f>
        <v>0.92686257750489465</v>
      </c>
      <c r="J40" s="117">
        <f ca="1">IF(C40="#N/A","#N/A",_xll.HLV5r3.Financial.Cache.GetValueFromBase(Stream1ForwardCurve, Swap!$F$4, A40))</f>
        <v>0.93043083978600327</v>
      </c>
      <c r="K40" s="169">
        <f ca="1">IF(C40="#N/A","#N/A",_xll.HLV5r3.Financial.Cache.GetValueFromBase(Stream1ForwardCurve, Swap!$F$4, B40))</f>
        <v>0.92686257750489465</v>
      </c>
      <c r="L40" s="115">
        <f ca="1" xml:space="preserve"> IF(G40=0,0,_xll.HLV5r3.Financial.Cache.YearFraction( A40, B40,Swap!$B$25))</f>
        <v>8.2191780821917804E-2</v>
      </c>
      <c r="M40" s="143">
        <f ca="1">IF(I40=0,0,IF($B$2="Fixed",Stream1FixedRate,_xll.HLV5r3.Analytics.Rates.GetRate(J40,K40,L40)+Stream1Spread))</f>
        <v>5.4399999999999997E-2</v>
      </c>
      <c r="N40" s="155">
        <f ca="1">IF(L40="#N/A",L40,IF(Swap!$B$26="Standard",L40*G40*M40,L40*G40*M40/(1+Stream1!L40*Stream1!M40)))</f>
        <v>447123.28767123283</v>
      </c>
      <c r="O40" s="155">
        <f t="shared" ca="1" si="3"/>
        <v>414421.84287342132</v>
      </c>
      <c r="P40" s="177">
        <f>IF($B$2="FIXED",0,IF(Swap!$B$26="FRA",_xll.HLV5r3.Analytics.Swaps.Delta0DiscountCoupon( G40, L40, M40, I40),_xll.HLV5r3.Analytics.Swaps.Delta0Coupon( G40, L40, M40, I40)))</f>
        <v>0</v>
      </c>
      <c r="Q40" s="180">
        <f ca="1">IF(U40=0,0,_xll.HLV5r3.Analytics.Swaps.Delta1ForAnAmount( N40, I40, Stream1CompoundingPeriod, U40))</f>
        <v>86.078458187744403</v>
      </c>
      <c r="R40" s="79"/>
      <c r="S40" s="210">
        <f t="shared" ca="1" si="8"/>
        <v>44377</v>
      </c>
      <c r="T40" s="213">
        <f t="shared" ca="1" si="4"/>
        <v>44377</v>
      </c>
      <c r="U40" s="173">
        <f ca="1">IF(C40="#N/A",0,_xll.HLV5r3.Financial.Cache.YearFraction( ValuationDate, C40,"ACT/365.FIXED"))</f>
        <v>2.095890410958904</v>
      </c>
      <c r="V40" s="79"/>
      <c r="W40" s="11"/>
      <c r="X40" s="207">
        <f ca="1"/>
        <v>44377</v>
      </c>
      <c r="AA40" s="88"/>
      <c r="AB40" s="57"/>
      <c r="AC40" s="57"/>
    </row>
    <row r="41" spans="1:29">
      <c r="A41" s="136">
        <f t="shared" ca="1" si="5"/>
        <v>44407</v>
      </c>
      <c r="B41" s="136">
        <f t="shared" ca="1" si="1"/>
        <v>44439</v>
      </c>
      <c r="C41" s="101">
        <f ca="1">IF(Swap!$B$26="Standard",B41,A41)</f>
        <v>44439</v>
      </c>
      <c r="D41" s="147">
        <v>0</v>
      </c>
      <c r="E41" s="112">
        <f t="shared" ca="1" si="0"/>
        <v>100000000</v>
      </c>
      <c r="F41" s="112">
        <f t="shared" ca="1" si="6"/>
        <v>100000000</v>
      </c>
      <c r="G41" s="112">
        <f t="shared" ca="1" si="7"/>
        <v>100000000</v>
      </c>
      <c r="H41" s="152" t="str">
        <f t="shared" ca="1" si="2"/>
        <v>Coupon</v>
      </c>
      <c r="I41" s="168">
        <f ca="1">IF(C41="#N/A",0,_xll.HLV5r3.Financial.Cache.GetValueFromBase( Stream1DiscountCurve, Swap!$F$4, Stream1!C41))</f>
        <v>0.92299985763768166</v>
      </c>
      <c r="J41" s="117">
        <f ca="1">IF(C41="#N/A","#N/A",_xll.HLV5r3.Financial.Cache.GetValueFromBase(Stream1ForwardCurve, Swap!$F$4, A41))</f>
        <v>0.92686257750489465</v>
      </c>
      <c r="K41" s="169">
        <f ca="1">IF(C41="#N/A","#N/A",_xll.HLV5r3.Financial.Cache.GetValueFromBase(Stream1ForwardCurve, Swap!$F$4, B41))</f>
        <v>0.92299985763768166</v>
      </c>
      <c r="L41" s="115">
        <f ca="1" xml:space="preserve"> IF(G41=0,0,_xll.HLV5r3.Financial.Cache.YearFraction( A41, B41,Swap!$B$25))</f>
        <v>8.7671232876712329E-2</v>
      </c>
      <c r="M41" s="143">
        <f ca="1">IF(I41=0,0,IF($B$2="Fixed",Stream1FixedRate,_xll.HLV5r3.Analytics.Rates.GetRate(J41,K41,L41)+Stream1Spread))</f>
        <v>5.4399999999999997E-2</v>
      </c>
      <c r="N41" s="155">
        <f ca="1">IF(L41="#N/A",L41,IF(Swap!$B$26="Standard",L41*G41*M41,L41*G41*M41/(1+Stream1!L41*Stream1!M41)))</f>
        <v>476931.50684931502</v>
      </c>
      <c r="O41" s="155">
        <f t="shared" ca="1" si="3"/>
        <v>440207.71292484278</v>
      </c>
      <c r="P41" s="177">
        <f>IF($B$2="FIXED",0,IF(Swap!$B$26="FRA",_xll.HLV5r3.Analytics.Swaps.Delta0DiscountCoupon( G41, L41, M41, I41),_xll.HLV5r3.Analytics.Swaps.Delta0Coupon( G41, L41, M41, I41)))</f>
        <v>0</v>
      </c>
      <c r="Q41" s="180">
        <f ca="1">IF(U41=0,0,_xll.HLV5r3.Analytics.Swaps.Delta1ForAnAmount( N41, I41, Stream1CompoundingPeriod, U41))</f>
        <v>95.24827941520914</v>
      </c>
      <c r="R41" s="79"/>
      <c r="S41" s="210">
        <f t="shared" ca="1" si="8"/>
        <v>44407</v>
      </c>
      <c r="T41" s="213">
        <f t="shared" ca="1" si="4"/>
        <v>44407</v>
      </c>
      <c r="U41" s="173">
        <f ca="1">IF(C41="#N/A",0,_xll.HLV5r3.Financial.Cache.YearFraction( ValuationDate, C41,"ACT/365.FIXED"))</f>
        <v>2.1835616438356165</v>
      </c>
      <c r="V41" s="79"/>
      <c r="W41" s="11"/>
      <c r="X41" s="207">
        <f ca="1"/>
        <v>44407</v>
      </c>
      <c r="AA41" s="88"/>
      <c r="AB41" s="57"/>
      <c r="AC41" s="57"/>
    </row>
    <row r="42" spans="1:29">
      <c r="A42" s="136">
        <f t="shared" ca="1" si="5"/>
        <v>44439</v>
      </c>
      <c r="B42" s="136">
        <f t="shared" ca="1" si="1"/>
        <v>44469</v>
      </c>
      <c r="C42" s="101">
        <f ca="1">IF(Swap!$B$26="Standard",B42,A42)</f>
        <v>44469</v>
      </c>
      <c r="D42" s="147">
        <v>0</v>
      </c>
      <c r="E42" s="112">
        <f t="shared" ca="1" si="0"/>
        <v>100000000</v>
      </c>
      <c r="F42" s="112">
        <f t="shared" ca="1" si="6"/>
        <v>100000000</v>
      </c>
      <c r="G42" s="112">
        <f t="shared" ca="1" si="7"/>
        <v>100000000</v>
      </c>
      <c r="H42" s="152" t="str">
        <f t="shared" ca="1" si="2"/>
        <v>Coupon</v>
      </c>
      <c r="I42" s="168">
        <f ca="1">IF(C42="#N/A",0,_xll.HLV5r3.Financial.Cache.GetValueFromBase( Stream1DiscountCurve, Swap!$F$4, Stream1!C42))</f>
        <v>0.91923725254811495</v>
      </c>
      <c r="J42" s="117">
        <f ca="1">IF(C42="#N/A","#N/A",_xll.HLV5r3.Financial.Cache.GetValueFromBase(Stream1ForwardCurve, Swap!$F$4, A42))</f>
        <v>0.92299985763768166</v>
      </c>
      <c r="K42" s="169">
        <f ca="1">IF(C42="#N/A","#N/A",_xll.HLV5r3.Financial.Cache.GetValueFromBase(Stream1ForwardCurve, Swap!$F$4, B42))</f>
        <v>0.91923725254811495</v>
      </c>
      <c r="L42" s="115">
        <f ca="1" xml:space="preserve"> IF(G42=0,0,_xll.HLV5r3.Financial.Cache.YearFraction( A42, B42,Swap!$B$25))</f>
        <v>8.2191780821917804E-2</v>
      </c>
      <c r="M42" s="143">
        <f ca="1">IF(I42=0,0,IF($B$2="Fixed",Stream1FixedRate,_xll.HLV5r3.Analytics.Rates.GetRate(J42,K42,L42)+Stream1Spread))</f>
        <v>5.4399999999999997E-2</v>
      </c>
      <c r="N42" s="155">
        <f ca="1">IF(L42="#N/A",L42,IF(Swap!$B$26="Standard",L42*G42*M42,L42*G42*M42/(1+Stream1!L42*Stream1!M42)))</f>
        <v>447123.28767123283</v>
      </c>
      <c r="O42" s="155">
        <f t="shared" ca="1" si="3"/>
        <v>411012.38250918448</v>
      </c>
      <c r="P42" s="177">
        <f>IF($B$2="FIXED",0,IF(Swap!$B$26="FRA",_xll.HLV5r3.Analytics.Swaps.Delta0DiscountCoupon( G42, L42, M42, I42),_xll.HLV5r3.Analytics.Swaps.Delta0Coupon( G42, L42, M42, I42)))</f>
        <v>0</v>
      </c>
      <c r="Q42" s="180">
        <f ca="1">IF(U42=0,0,_xll.HLV5r3.Analytics.Swaps.Delta1ForAnAmount( N42, I42, Stream1CompoundingPeriod, U42))</f>
        <v>92.267943021002239</v>
      </c>
      <c r="R42" s="79"/>
      <c r="S42" s="210">
        <f t="shared" ca="1" si="8"/>
        <v>44439</v>
      </c>
      <c r="T42" s="213">
        <f t="shared" ca="1" si="4"/>
        <v>44439</v>
      </c>
      <c r="U42" s="173">
        <f ca="1">IF(C42="#N/A",0,_xll.HLV5r3.Financial.Cache.YearFraction( ValuationDate, C42,"ACT/365.FIXED"))</f>
        <v>2.2657534246575342</v>
      </c>
      <c r="V42" s="79"/>
      <c r="W42" s="11"/>
      <c r="X42" s="207">
        <f ca="1"/>
        <v>44439</v>
      </c>
      <c r="AA42" s="88"/>
      <c r="AB42" s="57"/>
      <c r="AC42" s="57"/>
    </row>
    <row r="43" spans="1:29">
      <c r="A43" s="136">
        <f t="shared" ca="1" si="5"/>
        <v>44469</v>
      </c>
      <c r="B43" s="136">
        <f t="shared" ca="1" si="1"/>
        <v>44498</v>
      </c>
      <c r="C43" s="101">
        <f ca="1">IF(Swap!$B$26="Standard",B43,A43)</f>
        <v>44498</v>
      </c>
      <c r="D43" s="147">
        <v>0</v>
      </c>
      <c r="E43" s="112">
        <f t="shared" ca="1" si="0"/>
        <v>100000000</v>
      </c>
      <c r="F43" s="112">
        <f t="shared" ca="1" si="6"/>
        <v>100000000</v>
      </c>
      <c r="G43" s="112">
        <f t="shared" ca="1" si="7"/>
        <v>100000000</v>
      </c>
      <c r="H43" s="152" t="str">
        <f t="shared" ca="1" si="2"/>
        <v>Coupon</v>
      </c>
      <c r="I43" s="168">
        <f ca="1">IF(C43="#N/A",0,_xll.HLV5r3.Financial.Cache.GetValueFromBase( Stream1DiscountCurve, Swap!$F$4, Stream1!C43))</f>
        <v>0.91550926023328261</v>
      </c>
      <c r="J43" s="117">
        <f ca="1">IF(C43="#N/A","#N/A",_xll.HLV5r3.Financial.Cache.GetValueFromBase(Stream1ForwardCurve, Swap!$F$4, A43))</f>
        <v>0.91923725254811495</v>
      </c>
      <c r="K43" s="169">
        <f ca="1">IF(C43="#N/A","#N/A",_xll.HLV5r3.Financial.Cache.GetValueFromBase(Stream1ForwardCurve, Swap!$F$4, B43))</f>
        <v>0.91550926023328261</v>
      </c>
      <c r="L43" s="115">
        <f ca="1" xml:space="preserve"> IF(G43=0,0,_xll.HLV5r3.Financial.Cache.YearFraction( A43, B43,Swap!$B$25))</f>
        <v>7.9452054794520555E-2</v>
      </c>
      <c r="M43" s="143">
        <f ca="1">IF(I43=0,0,IF($B$2="Fixed",Stream1FixedRate,_xll.HLV5r3.Analytics.Rates.GetRate(J43,K43,L43)+Stream1Spread))</f>
        <v>5.4399999999999997E-2</v>
      </c>
      <c r="N43" s="155">
        <f ca="1">IF(L43="#N/A",L43,IF(Swap!$B$26="Standard",L43*G43*M43,L43*G43*M43/(1+Stream1!L43*Stream1!M43)))</f>
        <v>432219.17808219179</v>
      </c>
      <c r="O43" s="155">
        <f t="shared" ca="1" si="3"/>
        <v>395700.65998466482</v>
      </c>
      <c r="P43" s="177">
        <f>IF($B$2="FIXED",0,IF(Swap!$B$26="FRA",_xll.HLV5r3.Analytics.Swaps.Delta0DiscountCoupon( G43, L43, M43, I43),_xll.HLV5r3.Analytics.Swaps.Delta0Coupon( G43, L43, M43, I43)))</f>
        <v>0</v>
      </c>
      <c r="Q43" s="180">
        <f ca="1">IF(U43=0,0,_xll.HLV5r3.Analytics.Swaps.Delta1ForAnAmount( N43, I43, Stream1CompoundingPeriod, U43))</f>
        <v>91.934816573440401</v>
      </c>
      <c r="R43" s="79"/>
      <c r="S43" s="210">
        <f t="shared" ca="1" si="8"/>
        <v>44469</v>
      </c>
      <c r="T43" s="213">
        <f t="shared" ca="1" si="4"/>
        <v>44469</v>
      </c>
      <c r="U43" s="173">
        <f ca="1">IF(C43="#N/A",0,_xll.HLV5r3.Financial.Cache.YearFraction( ValuationDate, C43,"ACT/365.FIXED"))</f>
        <v>2.3452054794520549</v>
      </c>
      <c r="V43" s="79"/>
      <c r="W43" s="11"/>
      <c r="X43" s="207">
        <f ca="1"/>
        <v>44469</v>
      </c>
      <c r="AA43" s="88"/>
      <c r="AB43" s="57"/>
      <c r="AC43" s="57"/>
    </row>
    <row r="44" spans="1:29">
      <c r="A44" s="136">
        <f t="shared" ca="1" si="5"/>
        <v>44498</v>
      </c>
      <c r="B44" s="136">
        <f t="shared" ca="1" si="1"/>
        <v>44530</v>
      </c>
      <c r="C44" s="101">
        <f ca="1">IF(Swap!$B$26="Standard",B44,A44)</f>
        <v>44530</v>
      </c>
      <c r="D44" s="147">
        <v>0</v>
      </c>
      <c r="E44" s="112">
        <f t="shared" ca="1" si="0"/>
        <v>100000000</v>
      </c>
      <c r="F44" s="112">
        <f t="shared" ca="1" si="6"/>
        <v>100000000</v>
      </c>
      <c r="G44" s="112">
        <f t="shared" ca="1" si="7"/>
        <v>100000000</v>
      </c>
      <c r="H44" s="152" t="str">
        <f t="shared" ca="1" si="2"/>
        <v>Coupon</v>
      </c>
      <c r="I44" s="168">
        <f ca="1">IF(C44="#N/A",0,_xll.HLV5r3.Financial.Cache.GetValueFromBase( Stream1DiscountCurve, Swap!$F$4, Stream1!C44))</f>
        <v>0.91133369721643054</v>
      </c>
      <c r="J44" s="117">
        <f ca="1">IF(C44="#N/A","#N/A",_xll.HLV5r3.Financial.Cache.GetValueFromBase(Stream1ForwardCurve, Swap!$F$4, A44))</f>
        <v>0.91550926023328261</v>
      </c>
      <c r="K44" s="169">
        <f ca="1">IF(C44="#N/A","#N/A",_xll.HLV5r3.Financial.Cache.GetValueFromBase(Stream1ForwardCurve, Swap!$F$4, B44))</f>
        <v>0.91133369721643054</v>
      </c>
      <c r="L44" s="115">
        <f ca="1" xml:space="preserve"> IF(G44=0,0,_xll.HLV5r3.Financial.Cache.YearFraction( A44, B44,Swap!$B$25))</f>
        <v>8.7671232876712329E-2</v>
      </c>
      <c r="M44" s="143">
        <f ca="1">IF(I44=0,0,IF($B$2="Fixed",Stream1FixedRate,_xll.HLV5r3.Analytics.Rates.GetRate(J44,K44,L44)+Stream1Spread))</f>
        <v>5.4399999999999997E-2</v>
      </c>
      <c r="N44" s="155">
        <f ca="1">IF(L44="#N/A",L44,IF(Swap!$B$26="Standard",L44*G44*M44,L44*G44*M44/(1+Stream1!L44*Stream1!M44)))</f>
        <v>476931.50684931502</v>
      </c>
      <c r="O44" s="155">
        <f t="shared" ca="1" si="3"/>
        <v>434643.75345598964</v>
      </c>
      <c r="P44" s="177">
        <f>IF($B$2="FIXED",0,IF(Swap!$B$26="FRA",_xll.HLV5r3.Analytics.Swaps.Delta0DiscountCoupon( G44, L44, M44, I44),_xll.HLV5r3.Analytics.Swaps.Delta0Coupon( G44, L44, M44, I44)))</f>
        <v>0</v>
      </c>
      <c r="Q44" s="180">
        <f ca="1">IF(U44=0,0,_xll.HLV5r3.Analytics.Swaps.Delta1ForAnAmount( N44, I44, Stream1CompoundingPeriod, U44))</f>
        <v>104.74412609060762</v>
      </c>
      <c r="R44" s="79"/>
      <c r="S44" s="210">
        <f t="shared" ca="1" si="8"/>
        <v>44498</v>
      </c>
      <c r="T44" s="213">
        <f t="shared" ca="1" si="4"/>
        <v>44498</v>
      </c>
      <c r="U44" s="173">
        <f ca="1">IF(C44="#N/A",0,_xll.HLV5r3.Financial.Cache.YearFraction( ValuationDate, C44,"ACT/365.FIXED"))</f>
        <v>2.4328767123287673</v>
      </c>
      <c r="V44" s="79"/>
      <c r="W44" s="11"/>
      <c r="X44" s="207">
        <f ca="1"/>
        <v>44498</v>
      </c>
      <c r="AA44" s="88"/>
      <c r="AB44" s="57"/>
      <c r="AC44" s="57"/>
    </row>
    <row r="45" spans="1:29">
      <c r="A45" s="136">
        <f t="shared" ca="1" si="5"/>
        <v>44530</v>
      </c>
      <c r="B45" s="136">
        <f t="shared" ca="1" si="1"/>
        <v>44561</v>
      </c>
      <c r="C45" s="101">
        <f ca="1">IF(Swap!$B$26="Standard",B45,A45)</f>
        <v>44561</v>
      </c>
      <c r="D45" s="147">
        <v>0</v>
      </c>
      <c r="E45" s="112">
        <f t="shared" ca="1" si="0"/>
        <v>100000000</v>
      </c>
      <c r="F45" s="112">
        <f t="shared" ca="1" si="6"/>
        <v>100000000</v>
      </c>
      <c r="G45" s="112">
        <f t="shared" ca="1" si="7"/>
        <v>100000000</v>
      </c>
      <c r="H45" s="152" t="str">
        <f t="shared" ca="1" si="2"/>
        <v>Coupon</v>
      </c>
      <c r="I45" s="168">
        <f ca="1">IF(C45="#N/A",0,_xll.HLV5r3.Financial.Cache.GetValueFromBase( Stream1DiscountCurve, Swap!$F$4, Stream1!C45))</f>
        <v>0.90722765494732915</v>
      </c>
      <c r="J45" s="117">
        <f ca="1">IF(C45="#N/A","#N/A",_xll.HLV5r3.Financial.Cache.GetValueFromBase(Stream1ForwardCurve, Swap!$F$4, A45))</f>
        <v>0.91133369721643054</v>
      </c>
      <c r="K45" s="169">
        <f ca="1">IF(C45="#N/A","#N/A",_xll.HLV5r3.Financial.Cache.GetValueFromBase(Stream1ForwardCurve, Swap!$F$4, B45))</f>
        <v>0.90722765494732915</v>
      </c>
      <c r="L45" s="115">
        <f ca="1" xml:space="preserve"> IF(G45=0,0,_xll.HLV5r3.Financial.Cache.YearFraction( A45, B45,Swap!$B$25))</f>
        <v>8.4931506849315067E-2</v>
      </c>
      <c r="M45" s="143">
        <f ca="1">IF(I45=0,0,IF($B$2="Fixed",Stream1FixedRate,_xll.HLV5r3.Analytics.Rates.GetRate(J45,K45,L45)+Stream1Spread))</f>
        <v>5.4399999999999997E-2</v>
      </c>
      <c r="N45" s="155">
        <f ca="1">IF(L45="#N/A",L45,IF(Swap!$B$26="Standard",L45*G45*M45,L45*G45*M45/(1+Stream1!L45*Stream1!M45)))</f>
        <v>462027.39726027398</v>
      </c>
      <c r="O45" s="155">
        <f t="shared" ca="1" si="3"/>
        <v>419164.03213785641</v>
      </c>
      <c r="P45" s="177">
        <f>IF($B$2="FIXED",0,IF(Swap!$B$26="FRA",_xll.HLV5r3.Analytics.Swaps.Delta0DiscountCoupon( G45, L45, M45, I45),_xll.HLV5r3.Analytics.Swaps.Delta0Coupon( G45, L45, M45, I45)))</f>
        <v>0</v>
      </c>
      <c r="Q45" s="180">
        <f ca="1">IF(U45=0,0,_xll.HLV5r3.Analytics.Swaps.Delta1ForAnAmount( N45, I45, Stream1CompoundingPeriod, U45))</f>
        <v>104.52696854838067</v>
      </c>
      <c r="R45" s="79"/>
      <c r="S45" s="210">
        <f t="shared" ca="1" si="8"/>
        <v>44530</v>
      </c>
      <c r="T45" s="213">
        <f t="shared" ca="1" si="4"/>
        <v>44530</v>
      </c>
      <c r="U45" s="173">
        <f ca="1">IF(C45="#N/A",0,_xll.HLV5r3.Financial.Cache.YearFraction( ValuationDate, C45,"ACT/365.FIXED"))</f>
        <v>2.5178082191780824</v>
      </c>
      <c r="V45" s="79"/>
      <c r="W45" s="11"/>
      <c r="X45" s="207">
        <f ca="1"/>
        <v>44530</v>
      </c>
      <c r="AA45" s="88"/>
      <c r="AB45" s="57"/>
      <c r="AC45" s="57"/>
    </row>
    <row r="46" spans="1:29">
      <c r="A46" s="136">
        <f t="shared" ca="1" si="5"/>
        <v>44561</v>
      </c>
      <c r="B46" s="136">
        <f t="shared" ca="1" si="1"/>
        <v>44592</v>
      </c>
      <c r="C46" s="101">
        <f ca="1">IF(Swap!$B$26="Standard",B46,A46)</f>
        <v>44592</v>
      </c>
      <c r="D46" s="147">
        <v>0</v>
      </c>
      <c r="E46" s="112">
        <f t="shared" ca="1" si="0"/>
        <v>100000000</v>
      </c>
      <c r="F46" s="112">
        <f t="shared" ca="1" si="6"/>
        <v>100000000</v>
      </c>
      <c r="G46" s="112">
        <f t="shared" ca="1" si="7"/>
        <v>100000000</v>
      </c>
      <c r="H46" s="152" t="str">
        <f t="shared" ca="1" si="2"/>
        <v>Coupon</v>
      </c>
      <c r="I46" s="168">
        <f ca="1">IF(C46="#N/A",0,_xll.HLV5r3.Financial.Cache.GetValueFromBase( Stream1DiscountCurve, Swap!$F$4, Stream1!C46))</f>
        <v>0.90306261353513972</v>
      </c>
      <c r="J46" s="117">
        <f ca="1">IF(C46="#N/A","#N/A",_xll.HLV5r3.Financial.Cache.GetValueFromBase(Stream1ForwardCurve, Swap!$F$4, A46))</f>
        <v>0.90722765494732915</v>
      </c>
      <c r="K46" s="169">
        <f ca="1">IF(C46="#N/A","#N/A",_xll.HLV5r3.Financial.Cache.GetValueFromBase(Stream1ForwardCurve, Swap!$F$4, B46))</f>
        <v>0.90306261353513972</v>
      </c>
      <c r="L46" s="115">
        <f ca="1" xml:space="preserve"> IF(G46=0,0,_xll.HLV5r3.Financial.Cache.YearFraction( A46, B46,Swap!$B$25))</f>
        <v>8.4931506849315067E-2</v>
      </c>
      <c r="M46" s="143">
        <f ca="1">IF(I46=0,0,IF($B$2="Fixed",Stream1FixedRate,_xll.HLV5r3.Analytics.Rates.GetRate(J46,K46,L46)+Stream1Spread))</f>
        <v>5.4399999999999997E-2</v>
      </c>
      <c r="N46" s="155">
        <f ca="1">IF(L46="#N/A",L46,IF(Swap!$B$26="Standard",L46*G46*M46,L46*G46*M46/(1+Stream1!L46*Stream1!M46)))</f>
        <v>462027.39726027398</v>
      </c>
      <c r="O46" s="155">
        <f t="shared" ca="1" si="3"/>
        <v>417239.66889470129</v>
      </c>
      <c r="P46" s="177">
        <f>IF($B$2="FIXED",0,IF(Swap!$B$26="FRA",_xll.HLV5r3.Analytics.Swaps.Delta0DiscountCoupon( G46, L46, M46, I46),_xll.HLV5r3.Analytics.Swaps.Delta0Coupon( G46, L46, M46, I46)))</f>
        <v>0</v>
      </c>
      <c r="Q46" s="180">
        <f ca="1">IF(U46=0,0,_xll.HLV5r3.Analytics.Swaps.Delta1ForAnAmount( N46, I46, Stream1CompoundingPeriod, U46))</f>
        <v>107.54336239827298</v>
      </c>
      <c r="R46" s="79"/>
      <c r="S46" s="210">
        <f t="shared" ca="1" si="8"/>
        <v>44561</v>
      </c>
      <c r="T46" s="213">
        <f t="shared" ca="1" si="4"/>
        <v>44561</v>
      </c>
      <c r="U46" s="173">
        <f ca="1">IF(C46="#N/A",0,_xll.HLV5r3.Financial.Cache.YearFraction( ValuationDate, C46,"ACT/365.FIXED"))</f>
        <v>2.6027397260273974</v>
      </c>
      <c r="V46" s="79"/>
      <c r="W46" s="11"/>
      <c r="X46" s="207">
        <f ca="1"/>
        <v>44561</v>
      </c>
      <c r="AA46" s="88"/>
      <c r="AB46" s="57"/>
      <c r="AC46" s="57"/>
    </row>
    <row r="47" spans="1:29">
      <c r="A47" s="136">
        <f t="shared" ca="1" si="5"/>
        <v>44592</v>
      </c>
      <c r="B47" s="136">
        <f t="shared" ca="1" si="1"/>
        <v>44620</v>
      </c>
      <c r="C47" s="101">
        <f ca="1">IF(Swap!$B$26="Standard",B47,A47)</f>
        <v>44620</v>
      </c>
      <c r="D47" s="147">
        <v>0</v>
      </c>
      <c r="E47" s="112">
        <f t="shared" ca="1" si="0"/>
        <v>100000000</v>
      </c>
      <c r="F47" s="112">
        <f t="shared" ca="1" si="6"/>
        <v>100000000</v>
      </c>
      <c r="G47" s="112">
        <f t="shared" ca="1" si="7"/>
        <v>100000000</v>
      </c>
      <c r="H47" s="152" t="str">
        <f t="shared" ca="1" si="2"/>
        <v>Coupon</v>
      </c>
      <c r="I47" s="168">
        <f ca="1">IF(C47="#N/A",0,_xll.HLV5r3.Financial.Cache.GetValueFromBase( Stream1DiscountCurve, Swap!$F$4, Stream1!C47))</f>
        <v>0.89925076010082639</v>
      </c>
      <c r="J47" s="117">
        <f ca="1">IF(C47="#N/A","#N/A",_xll.HLV5r3.Financial.Cache.GetValueFromBase(Stream1ForwardCurve, Swap!$F$4, A47))</f>
        <v>0.90306261353513972</v>
      </c>
      <c r="K47" s="169">
        <f ca="1">IF(C47="#N/A","#N/A",_xll.HLV5r3.Financial.Cache.GetValueFromBase(Stream1ForwardCurve, Swap!$F$4, B47))</f>
        <v>0.89925076010082639</v>
      </c>
      <c r="L47" s="115">
        <f ca="1" xml:space="preserve"> IF(G47=0,0,_xll.HLV5r3.Financial.Cache.YearFraction( A47, B47,Swap!$B$25))</f>
        <v>7.6712328767123292E-2</v>
      </c>
      <c r="M47" s="143">
        <f ca="1">IF(I47=0,0,IF($B$2="Fixed",Stream1FixedRate,_xll.HLV5r3.Analytics.Rates.GetRate(J47,K47,L47)+Stream1Spread))</f>
        <v>5.4399999999999997E-2</v>
      </c>
      <c r="N47" s="155">
        <f ca="1">IF(L47="#N/A",L47,IF(Swap!$B$26="Standard",L47*G47*M47,L47*G47*M47/(1+Stream1!L47*Stream1!M47)))</f>
        <v>417315.06849315064</v>
      </c>
      <c r="O47" s="155">
        <f t="shared" ca="1" si="3"/>
        <v>375270.89254399412</v>
      </c>
      <c r="P47" s="177">
        <f>IF($B$2="FIXED",0,IF(Swap!$B$26="FRA",_xll.HLV5r3.Analytics.Swaps.Delta0DiscountCoupon( G47, L47, M47, I47),_xll.HLV5r3.Analytics.Swaps.Delta0Coupon( G47, L47, M47, I47)))</f>
        <v>0</v>
      </c>
      <c r="Q47" s="180">
        <f ca="1">IF(U47=0,0,_xll.HLV5r3.Analytics.Swaps.Delta1ForAnAmount( N47, I47, Stream1CompoundingPeriod, U47))</f>
        <v>99.565529007196872</v>
      </c>
      <c r="R47" s="79"/>
      <c r="S47" s="210">
        <f t="shared" ca="1" si="8"/>
        <v>44592</v>
      </c>
      <c r="T47" s="213">
        <f t="shared" ca="1" si="4"/>
        <v>44592</v>
      </c>
      <c r="U47" s="173">
        <f ca="1">IF(C47="#N/A",0,_xll.HLV5r3.Financial.Cache.YearFraction( ValuationDate, C47,"ACT/365.FIXED"))</f>
        <v>2.6794520547945204</v>
      </c>
      <c r="V47" s="79"/>
      <c r="W47" s="11"/>
      <c r="X47" s="207">
        <f ca="1"/>
        <v>44592</v>
      </c>
      <c r="AA47" s="88"/>
      <c r="AB47" s="57"/>
      <c r="AC47" s="57"/>
    </row>
    <row r="48" spans="1:29">
      <c r="A48" s="136">
        <f t="shared" ca="1" si="5"/>
        <v>44620</v>
      </c>
      <c r="B48" s="136">
        <f t="shared" ca="1" si="1"/>
        <v>44651</v>
      </c>
      <c r="C48" s="101">
        <f ca="1">IF(Swap!$B$26="Standard",B48,A48)</f>
        <v>44651</v>
      </c>
      <c r="D48" s="147">
        <v>0</v>
      </c>
      <c r="E48" s="112">
        <f t="shared" ca="1" si="0"/>
        <v>100000000</v>
      </c>
      <c r="F48" s="112">
        <f t="shared" ca="1" si="6"/>
        <v>100000000</v>
      </c>
      <c r="G48" s="112">
        <f t="shared" ca="1" si="7"/>
        <v>100000000</v>
      </c>
      <c r="H48" s="152" t="str">
        <f t="shared" ca="1" si="2"/>
        <v>Coupon</v>
      </c>
      <c r="I48" s="168">
        <f ca="1">IF(C48="#N/A",0,_xll.HLV5r3.Financial.Cache.GetValueFromBase( Stream1DiscountCurve, Swap!$F$4, Stream1!C48))</f>
        <v>0.89497619741570478</v>
      </c>
      <c r="J48" s="117">
        <f ca="1">IF(C48="#N/A","#N/A",_xll.HLV5r3.Financial.Cache.GetValueFromBase(Stream1ForwardCurve, Swap!$F$4, A48))</f>
        <v>0.89925076010082639</v>
      </c>
      <c r="K48" s="169">
        <f ca="1">IF(C48="#N/A","#N/A",_xll.HLV5r3.Financial.Cache.GetValueFromBase(Stream1ForwardCurve, Swap!$F$4, B48))</f>
        <v>0.89497619741570478</v>
      </c>
      <c r="L48" s="115">
        <f ca="1" xml:space="preserve"> IF(G48=0,0,_xll.HLV5r3.Financial.Cache.YearFraction( A48, B48,Swap!$B$25))</f>
        <v>8.4931506849315067E-2</v>
      </c>
      <c r="M48" s="143">
        <f ca="1">IF(I48=0,0,IF($B$2="Fixed",Stream1FixedRate,_xll.HLV5r3.Analytics.Rates.GetRate(J48,K48,L48)+Stream1Spread))</f>
        <v>5.4399999999999997E-2</v>
      </c>
      <c r="N48" s="155">
        <f ca="1">IF(L48="#N/A",L48,IF(Swap!$B$26="Standard",L48*G48*M48,L48*G48*M48/(1+Stream1!L48*Stream1!M48)))</f>
        <v>462027.39726027398</v>
      </c>
      <c r="O48" s="155">
        <f t="shared" ca="1" si="3"/>
        <v>413503.52310187521</v>
      </c>
      <c r="P48" s="177">
        <f>IF($B$2="FIXED",0,IF(Swap!$B$26="FRA",_xll.HLV5r3.Analytics.Swaps.Delta0DiscountCoupon( G48, L48, M48, I48),_xll.HLV5r3.Analytics.Swaps.Delta0Coupon( G48, L48, M48, I48)))</f>
        <v>0</v>
      </c>
      <c r="Q48" s="180">
        <f ca="1">IF(U48=0,0,_xll.HLV5r3.Analytics.Swaps.Delta1ForAnAmount( N48, I48, Stream1CompoundingPeriod, U48))</f>
        <v>113.1725902383193</v>
      </c>
      <c r="R48" s="79"/>
      <c r="S48" s="210">
        <f t="shared" ca="1" si="8"/>
        <v>44620</v>
      </c>
      <c r="T48" s="213">
        <f t="shared" ca="1" si="4"/>
        <v>44620</v>
      </c>
      <c r="U48" s="173">
        <f ca="1">IF(C48="#N/A",0,_xll.HLV5r3.Financial.Cache.YearFraction( ValuationDate, C48,"ACT/365.FIXED"))</f>
        <v>2.7643835616438355</v>
      </c>
      <c r="V48" s="79"/>
      <c r="W48" s="11"/>
      <c r="X48" s="207">
        <f ca="1"/>
        <v>44620</v>
      </c>
      <c r="AB48" s="57"/>
      <c r="AC48" s="57"/>
    </row>
    <row r="49" spans="1:29">
      <c r="A49" s="136">
        <f t="shared" ca="1" si="5"/>
        <v>44651</v>
      </c>
      <c r="B49" s="136">
        <f t="shared" ca="1" si="1"/>
        <v>44680</v>
      </c>
      <c r="C49" s="101">
        <f ca="1">IF(Swap!$B$26="Standard",B49,A49)</f>
        <v>44680</v>
      </c>
      <c r="D49" s="147">
        <v>0</v>
      </c>
      <c r="E49" s="112">
        <f t="shared" ca="1" si="0"/>
        <v>100000000</v>
      </c>
      <c r="F49" s="112">
        <f t="shared" ca="1" si="6"/>
        <v>100000000</v>
      </c>
      <c r="G49" s="112">
        <f t="shared" ca="1" si="7"/>
        <v>100000000</v>
      </c>
      <c r="H49" s="152" t="str">
        <f t="shared" ca="1" si="2"/>
        <v>Coupon</v>
      </c>
      <c r="I49" s="168">
        <f ca="1">IF(C49="#N/A",0,_xll.HLV5r3.Financial.Cache.GetValueFromBase( Stream1DiscountCurve, Swap!$F$4, Stream1!C49))</f>
        <v>0.89092663033327402</v>
      </c>
      <c r="J49" s="117">
        <f ca="1">IF(C49="#N/A","#N/A",_xll.HLV5r3.Financial.Cache.GetValueFromBase(Stream1ForwardCurve, Swap!$F$4, A49))</f>
        <v>0.89497619741570478</v>
      </c>
      <c r="K49" s="169">
        <f ca="1">IF(C49="#N/A","#N/A",_xll.HLV5r3.Financial.Cache.GetValueFromBase(Stream1ForwardCurve, Swap!$F$4, B49))</f>
        <v>0.89092663033327402</v>
      </c>
      <c r="L49" s="115">
        <f ca="1" xml:space="preserve"> IF(G49=0,0,_xll.HLV5r3.Financial.Cache.YearFraction( A49, B49,Swap!$B$25))</f>
        <v>7.9452054794520555E-2</v>
      </c>
      <c r="M49" s="143">
        <f ca="1">IF(I49=0,0,IF($B$2="Fixed",Stream1FixedRate,_xll.HLV5r3.Analytics.Rates.GetRate(J49,K49,L49)+Stream1Spread))</f>
        <v>5.4399999999999997E-2</v>
      </c>
      <c r="N49" s="155">
        <f ca="1">IF(L49="#N/A",L49,IF(Swap!$B$26="Standard",L49*G49*M49,L49*G49*M49/(1+Stream1!L49*Stream1!M49)))</f>
        <v>432219.17808219179</v>
      </c>
      <c r="O49" s="155">
        <f t="shared" ca="1" si="3"/>
        <v>385075.57589418441</v>
      </c>
      <c r="P49" s="177">
        <f>IF($B$2="FIXED",0,IF(Swap!$B$26="FRA",_xll.HLV5r3.Analytics.Swaps.Delta0DiscountCoupon( G49, L49, M49, I49),_xll.HLV5r3.Analytics.Swaps.Delta0Coupon( G49, L49, M49, I49)))</f>
        <v>0</v>
      </c>
      <c r="Q49" s="180">
        <f ca="1">IF(U49=0,0,_xll.HLV5r3.Analytics.Swaps.Delta1ForAnAmount( N49, I49, Stream1CompoundingPeriod, U49))</f>
        <v>108.408498501747</v>
      </c>
      <c r="R49" s="79"/>
      <c r="S49" s="210">
        <f t="shared" ca="1" si="8"/>
        <v>44651</v>
      </c>
      <c r="T49" s="213">
        <f t="shared" ca="1" si="4"/>
        <v>44651</v>
      </c>
      <c r="U49" s="173">
        <f ca="1">IF(C49="#N/A",0,_xll.HLV5r3.Financial.Cache.YearFraction( ValuationDate, C49,"ACT/365.FIXED"))</f>
        <v>2.8438356164383563</v>
      </c>
      <c r="V49" s="79"/>
      <c r="W49" s="11"/>
      <c r="X49" s="207">
        <f ca="1"/>
        <v>44651</v>
      </c>
      <c r="AB49" s="57"/>
      <c r="AC49" s="57"/>
    </row>
    <row r="50" spans="1:29">
      <c r="A50" s="136">
        <f t="shared" ca="1" si="5"/>
        <v>44680</v>
      </c>
      <c r="B50" s="136">
        <f t="shared" ca="1" si="1"/>
        <v>44771</v>
      </c>
      <c r="C50" s="101">
        <f ca="1">IF(Swap!$B$26="Standard",B50,A50)</f>
        <v>44771</v>
      </c>
      <c r="D50" s="147">
        <v>0</v>
      </c>
      <c r="E50" s="112">
        <f t="shared" ref="E50:E112" ca="1" si="9">IF(C50="#N/A",0,IF(NABPayReceiveInd="Pays",-PayerNotional,PayerNotional) )</f>
        <v>100000000</v>
      </c>
      <c r="F50" s="112">
        <f t="shared" ca="1" si="6"/>
        <v>100000000</v>
      </c>
      <c r="G50" s="112">
        <f t="shared" ca="1" si="7"/>
        <v>100000000</v>
      </c>
      <c r="H50" s="152" t="str">
        <f t="shared" ref="H50:H112" ca="1" si="10">IF(C50="#N/A","#NA","Coupon" )</f>
        <v>Coupon</v>
      </c>
      <c r="I50" s="168">
        <f ca="1">IF(C50="#N/A",0,_xll.HLV5r3.Financial.Cache.GetValueFromBase( Stream1DiscountCurve, Swap!$F$4, Stream1!C50))</f>
        <v>0.87836290577228482</v>
      </c>
      <c r="J50" s="117">
        <f ca="1">IF(C50="#N/A","#N/A",_xll.HLV5r3.Financial.Cache.GetValueFromBase(Stream1ForwardCurve, Swap!$F$4, A50))</f>
        <v>0.89092663033327402</v>
      </c>
      <c r="K50" s="169">
        <f ca="1">IF(C50="#N/A","#N/A",_xll.HLV5r3.Financial.Cache.GetValueFromBase(Stream1ForwardCurve, Swap!$F$4, B50))</f>
        <v>0.87836290577228482</v>
      </c>
      <c r="L50" s="115">
        <f ca="1" xml:space="preserve"> IF(G50=0,0,_xll.HLV5r3.Financial.Cache.YearFraction( A50, B50,Swap!$B$25))</f>
        <v>0.24931506849315069</v>
      </c>
      <c r="M50" s="143">
        <f ca="1">IF(I50=0,0,IF($B$2="Fixed",Stream1FixedRate,_xll.HLV5r3.Analytics.Rates.GetRate(J50,K50,L50)+Stream1Spread))</f>
        <v>5.4399999999999997E-2</v>
      </c>
      <c r="N50" s="155">
        <f ca="1">IF(L50="#N/A",L50,IF(Swap!$B$26="Standard",L50*G50*M50,L50*G50*M50/(1+Stream1!L50*Stream1!M50)))</f>
        <v>1356273.9726027397</v>
      </c>
      <c r="O50" s="155">
        <f t="shared" ca="1" si="3"/>
        <v>1191300.7475986627</v>
      </c>
      <c r="P50" s="177">
        <f>IF($B$2="FIXED",0,IF(Swap!$B$26="FRA",_xll.HLV5r3.Analytics.Swaps.Delta0DiscountCoupon( G50, L50, M50, I50),_xll.HLV5r3.Analytics.Swaps.Delta0Coupon( G50, L50, M50, I50)))</f>
        <v>0</v>
      </c>
      <c r="Q50" s="180">
        <f ca="1">IF(U50=0,0,_xll.HLV5r3.Analytics.Swaps.Delta1ForAnAmount( N50, I50, Stream1CompoundingPeriod, U50))</f>
        <v>364.66468567086361</v>
      </c>
      <c r="R50" s="79"/>
      <c r="S50" s="210">
        <f t="shared" ca="1" si="8"/>
        <v>44680</v>
      </c>
      <c r="T50" s="213">
        <f t="shared" ca="1" si="4"/>
        <v>44680</v>
      </c>
      <c r="U50" s="173">
        <f ca="1">IF(C50="#N/A",0,_xll.HLV5r3.Financial.Cache.YearFraction( ValuationDate, C50,"ACT/365.FIXED"))</f>
        <v>3.0931506849315067</v>
      </c>
      <c r="V50" s="79"/>
      <c r="W50" s="11"/>
      <c r="X50" s="207">
        <f ca="1"/>
        <v>44680</v>
      </c>
      <c r="AB50" s="57"/>
      <c r="AC50" s="57"/>
    </row>
    <row r="51" spans="1:29">
      <c r="A51" s="136">
        <f t="shared" ca="1" si="5"/>
        <v>44771</v>
      </c>
      <c r="B51" s="136">
        <f t="shared" ca="1" si="1"/>
        <v>44865</v>
      </c>
      <c r="C51" s="101">
        <f ca="1">IF(Swap!$B$26="Standard",B51,A51)</f>
        <v>44865</v>
      </c>
      <c r="D51" s="147">
        <v>0</v>
      </c>
      <c r="E51" s="112">
        <f t="shared" ca="1" si="9"/>
        <v>100000000</v>
      </c>
      <c r="F51" s="112">
        <f t="shared" ca="1" si="6"/>
        <v>100000000</v>
      </c>
      <c r="G51" s="112">
        <f t="shared" ca="1" si="7"/>
        <v>100000000</v>
      </c>
      <c r="H51" s="152" t="str">
        <f t="shared" ca="1" si="10"/>
        <v>Coupon</v>
      </c>
      <c r="I51" s="168">
        <f ca="1">IF(C51="#N/A",0,_xll.HLV5r3.Financial.Cache.GetValueFromBase( Stream1DiscountCurve, Swap!$F$4, Stream1!C51))</f>
        <v>0.86589545288486869</v>
      </c>
      <c r="J51" s="117">
        <f ca="1">IF(C51="#N/A","#N/A",_xll.HLV5r3.Financial.Cache.GetValueFromBase(Stream1ForwardCurve, Swap!$F$4, A51))</f>
        <v>0.87836290577228482</v>
      </c>
      <c r="K51" s="169">
        <f ca="1">IF(C51="#N/A","#N/A",_xll.HLV5r3.Financial.Cache.GetValueFromBase(Stream1ForwardCurve, Swap!$F$4, B51))</f>
        <v>0.86589545288486869</v>
      </c>
      <c r="L51" s="115">
        <f ca="1" xml:space="preserve"> IF(G51=0,0,_xll.HLV5r3.Financial.Cache.YearFraction( A51, B51,Swap!$B$25))</f>
        <v>0.25753424657534246</v>
      </c>
      <c r="M51" s="143">
        <f ca="1">IF(I51=0,0,IF($B$2="Fixed",Stream1FixedRate,_xll.HLV5r3.Analytics.Rates.GetRate(J51,K51,L51)+Stream1Spread))</f>
        <v>5.4399999999999997E-2</v>
      </c>
      <c r="N51" s="155">
        <f ca="1">IF(L51="#N/A",L51,IF(Swap!$B$26="Standard",L51*G51*M51,L51*G51*M51/(1+Stream1!L51*Stream1!M51)))</f>
        <v>1400986.3013698629</v>
      </c>
      <c r="O51" s="155">
        <f t="shared" ca="1" si="3"/>
        <v>1213107.6679101544</v>
      </c>
      <c r="P51" s="177">
        <f>IF($B$2="FIXED",0,IF(Swap!$B$26="FRA",_xll.HLV5r3.Analytics.Swaps.Delta0DiscountCoupon( G51, L51, M51, I51),_xll.HLV5r3.Analytics.Swaps.Delta0Coupon( G51, L51, M51, I51)))</f>
        <v>0</v>
      </c>
      <c r="Q51" s="180">
        <f ca="1">IF(U51=0,0,_xll.HLV5r3.Analytics.Swaps.Delta1ForAnAmount( N51, I51, Stream1CompoundingPeriod, U51))</f>
        <v>402.15365747531337</v>
      </c>
      <c r="R51" s="79"/>
      <c r="S51" s="210">
        <f t="shared" ca="1" si="8"/>
        <v>44771</v>
      </c>
      <c r="T51" s="213">
        <f t="shared" ca="1" si="4"/>
        <v>44771</v>
      </c>
      <c r="U51" s="173">
        <f ca="1">IF(C51="#N/A",0,_xll.HLV5r3.Financial.Cache.YearFraction( ValuationDate, C51,"ACT/365.FIXED"))</f>
        <v>3.3506849315068492</v>
      </c>
      <c r="V51" s="79"/>
      <c r="X51" s="207">
        <f ca="1"/>
        <v>44771</v>
      </c>
    </row>
    <row r="52" spans="1:29">
      <c r="A52" s="136">
        <f t="shared" ca="1" si="5"/>
        <v>44865</v>
      </c>
      <c r="B52" s="136">
        <f t="shared" ca="1" si="1"/>
        <v>44957</v>
      </c>
      <c r="C52" s="101">
        <f ca="1">IF(Swap!$B$26="Standard",B52,A52)</f>
        <v>44957</v>
      </c>
      <c r="D52" s="147">
        <v>0</v>
      </c>
      <c r="E52" s="112">
        <f t="shared" ca="1" si="9"/>
        <v>100000000</v>
      </c>
      <c r="F52" s="112">
        <f t="shared" ca="1" si="6"/>
        <v>100000000</v>
      </c>
      <c r="G52" s="112">
        <f t="shared" ca="1" si="7"/>
        <v>100000000</v>
      </c>
      <c r="H52" s="152" t="str">
        <f t="shared" ca="1" si="10"/>
        <v>Coupon</v>
      </c>
      <c r="I52" s="168">
        <f ca="1">IF(C52="#N/A",0,_xll.HLV5r3.Financial.Cache.GetValueFromBase( Stream1DiscountCurve, Swap!$F$4, Stream1!C52))</f>
        <v>0.85342106909707593</v>
      </c>
      <c r="J52" s="117">
        <f ca="1">IF(C52="#N/A","#N/A",_xll.HLV5r3.Financial.Cache.GetValueFromBase(Stream1ForwardCurve, Swap!$F$4, A52))</f>
        <v>0.86589545288486869</v>
      </c>
      <c r="K52" s="169">
        <f ca="1">IF(C52="#N/A","#N/A",_xll.HLV5r3.Financial.Cache.GetValueFromBase(Stream1ForwardCurve, Swap!$F$4, B52))</f>
        <v>0.85342106909707593</v>
      </c>
      <c r="L52" s="115">
        <f ca="1" xml:space="preserve"> IF(G52=0,0,_xll.HLV5r3.Financial.Cache.YearFraction( A52, B52,Swap!$B$25))</f>
        <v>0.25205479452054796</v>
      </c>
      <c r="M52" s="143">
        <f ca="1">IF(I52=0,0,IF($B$2="Fixed",Stream1FixedRate,_xll.HLV5r3.Analytics.Rates.GetRate(J52,K52,L52)+Stream1Spread))</f>
        <v>5.4399999999999997E-2</v>
      </c>
      <c r="N52" s="155">
        <f ca="1">IF(L52="#N/A",L52,IF(Swap!$B$26="Standard",L52*G52*M52,L52*G52*M52/(1+Stream1!L52*Stream1!M52)))</f>
        <v>1371178.0821917807</v>
      </c>
      <c r="O52" s="155">
        <f t="shared" ca="1" si="3"/>
        <v>1170192.2648265876</v>
      </c>
      <c r="P52" s="177">
        <f>IF($B$2="FIXED",0,IF(Swap!$B$26="FRA",_xll.HLV5r3.Analytics.Swaps.Delta0DiscountCoupon( G52, L52, M52, I52),_xll.HLV5r3.Analytics.Swaps.Delta0Coupon( G52, L52, M52, I52)))</f>
        <v>0</v>
      </c>
      <c r="Q52" s="180">
        <f ca="1">IF(U52=0,0,_xll.HLV5r3.Analytics.Swaps.Delta1ForAnAmount( N52, I52, Stream1CompoundingPeriod, U52))</f>
        <v>417.00330989330382</v>
      </c>
      <c r="R52" s="79"/>
      <c r="S52" s="210">
        <f t="shared" ca="1" si="8"/>
        <v>44865</v>
      </c>
      <c r="T52" s="213">
        <f t="shared" ca="1" si="4"/>
        <v>44865</v>
      </c>
      <c r="U52" s="173">
        <f ca="1">IF(C52="#N/A",0,_xll.HLV5r3.Financial.Cache.YearFraction( ValuationDate, C52,"ACT/365.FIXED"))</f>
        <v>3.6027397260273974</v>
      </c>
      <c r="V52" s="79"/>
      <c r="X52" s="207">
        <f ca="1"/>
        <v>44865</v>
      </c>
    </row>
    <row r="53" spans="1:29">
      <c r="A53" s="136">
        <f t="shared" ca="1" si="5"/>
        <v>44957</v>
      </c>
      <c r="B53" s="136">
        <f t="shared" ca="1" si="1"/>
        <v>45044</v>
      </c>
      <c r="C53" s="101">
        <f ca="1">IF(Swap!$B$26="Standard",B53,A53)</f>
        <v>45044</v>
      </c>
      <c r="D53" s="147">
        <v>0</v>
      </c>
      <c r="E53" s="112">
        <f t="shared" ca="1" si="9"/>
        <v>100000000</v>
      </c>
      <c r="F53" s="112">
        <f t="shared" ca="1" si="6"/>
        <v>100000000</v>
      </c>
      <c r="G53" s="112">
        <f t="shared" ca="1" si="7"/>
        <v>100000000</v>
      </c>
      <c r="H53" s="152" t="str">
        <f t="shared" ca="1" si="10"/>
        <v>Coupon</v>
      </c>
      <c r="I53" s="168">
        <f ca="1">IF(C53="#N/A",0,_xll.HLV5r3.Financial.Cache.GetValueFromBase( Stream1DiscountCurve, Swap!$F$4, Stream1!C53))</f>
        <v>0.84139218437584806</v>
      </c>
      <c r="J53" s="117">
        <f ca="1">IF(C53="#N/A","#N/A",_xll.HLV5r3.Financial.Cache.GetValueFromBase(Stream1ForwardCurve, Swap!$F$4, A53))</f>
        <v>0.85342106909707593</v>
      </c>
      <c r="K53" s="169">
        <f ca="1">IF(C53="#N/A","#N/A",_xll.HLV5r3.Financial.Cache.GetValueFromBase(Stream1ForwardCurve, Swap!$F$4, B53))</f>
        <v>0.84139218437584806</v>
      </c>
      <c r="L53" s="115">
        <f ca="1" xml:space="preserve"> IF(G53=0,0,_xll.HLV5r3.Financial.Cache.YearFraction( A53, B53,Swap!$B$25))</f>
        <v>0.23835616438356164</v>
      </c>
      <c r="M53" s="143">
        <f ca="1">IF(I53=0,0,IF($B$2="Fixed",Stream1FixedRate,_xll.HLV5r3.Analytics.Rates.GetRate(J53,K53,L53)+Stream1Spread))</f>
        <v>5.4399999999999997E-2</v>
      </c>
      <c r="N53" s="155">
        <f ca="1">IF(L53="#N/A",L53,IF(Swap!$B$26="Standard",L53*G53*M53,L53*G53*M53/(1+Stream1!L53*Stream1!M53)))</f>
        <v>1296657.5342465753</v>
      </c>
      <c r="O53" s="155">
        <f t="shared" ca="1" si="3"/>
        <v>1090997.5151271271</v>
      </c>
      <c r="P53" s="177">
        <f>IF($B$2="FIXED",0,IF(Swap!$B$26="FRA",_xll.HLV5r3.Analytics.Swaps.Delta0DiscountCoupon( G53, L53, M53, I53),_xll.HLV5r3.Analytics.Swaps.Delta0Coupon( G53, L53, M53, I53)))</f>
        <v>0</v>
      </c>
      <c r="Q53" s="180">
        <f ca="1">IF(U53=0,0,_xll.HLV5r3.Analytics.Swaps.Delta1ForAnAmount( N53, I53, Stream1CompoundingPeriod, U53))</f>
        <v>414.40465234897675</v>
      </c>
      <c r="R53" s="79"/>
      <c r="S53" s="210">
        <f t="shared" ca="1" si="8"/>
        <v>44957</v>
      </c>
      <c r="T53" s="213">
        <f t="shared" ca="1" si="4"/>
        <v>44957</v>
      </c>
      <c r="U53" s="173">
        <f ca="1">IF(C53="#N/A",0,_xll.HLV5r3.Financial.Cache.YearFraction( ValuationDate, C53,"ACT/365.FIXED"))</f>
        <v>3.8410958904109589</v>
      </c>
      <c r="V53" s="79"/>
      <c r="X53" s="207">
        <f ca="1"/>
        <v>44957</v>
      </c>
    </row>
    <row r="54" spans="1:29">
      <c r="A54" s="136">
        <f t="shared" ca="1" si="5"/>
        <v>45044</v>
      </c>
      <c r="B54" s="136">
        <f t="shared" ca="1" si="1"/>
        <v>45138</v>
      </c>
      <c r="C54" s="101">
        <f ca="1">IF(Swap!$B$26="Standard",B54,A54)</f>
        <v>45138</v>
      </c>
      <c r="D54" s="147">
        <v>0</v>
      </c>
      <c r="E54" s="112">
        <f t="shared" ca="1" si="9"/>
        <v>100000000</v>
      </c>
      <c r="F54" s="112">
        <f t="shared" ca="1" si="6"/>
        <v>100000000</v>
      </c>
      <c r="G54" s="112">
        <f t="shared" ca="1" si="7"/>
        <v>100000000</v>
      </c>
      <c r="H54" s="152" t="str">
        <f t="shared" ca="1" si="10"/>
        <v>Coupon</v>
      </c>
      <c r="I54" s="168">
        <f ca="1">IF(C54="#N/A",0,_xll.HLV5r3.Financial.Cache.GetValueFromBase( Stream1DiscountCurve, Swap!$F$4, Stream1!C54))</f>
        <v>0.82872081229900696</v>
      </c>
      <c r="J54" s="117">
        <f ca="1">IF(C54="#N/A","#N/A",_xll.HLV5r3.Financial.Cache.GetValueFromBase(Stream1ForwardCurve, Swap!$F$4, A54))</f>
        <v>0.84139218437584806</v>
      </c>
      <c r="K54" s="169">
        <f ca="1">IF(C54="#N/A","#N/A",_xll.HLV5r3.Financial.Cache.GetValueFromBase(Stream1ForwardCurve, Swap!$F$4, B54))</f>
        <v>0.82872081229900696</v>
      </c>
      <c r="L54" s="115">
        <f ca="1" xml:space="preserve"> IF(G54=0,0,_xll.HLV5r3.Financial.Cache.YearFraction( A54, B54,Swap!$B$25))</f>
        <v>0.25753424657534246</v>
      </c>
      <c r="M54" s="143">
        <f ca="1">IF(I54=0,0,IF($B$2="Fixed",Stream1FixedRate,_xll.HLV5r3.Analytics.Rates.GetRate(J54,K54,L54)+Stream1Spread))</f>
        <v>5.4399999999999997E-2</v>
      </c>
      <c r="N54" s="155">
        <f ca="1">IF(L54="#N/A",L54,IF(Swap!$B$26="Standard",L54*G54*M54,L54*G54*M54/(1+Stream1!L54*Stream1!M54)))</f>
        <v>1400986.3013698629</v>
      </c>
      <c r="O54" s="155">
        <f t="shared" ca="1" si="3"/>
        <v>1161026.5056910142</v>
      </c>
      <c r="P54" s="177">
        <f>IF($B$2="FIXED",0,IF(Swap!$B$26="FRA",_xll.HLV5r3.Analytics.Swaps.Delta0DiscountCoupon( G54, L54, M54, I54),_xll.HLV5r3.Analytics.Swaps.Delta0Coupon( G54, L54, M54, I54)))</f>
        <v>0</v>
      </c>
      <c r="Q54" s="180">
        <f ca="1">IF(U54=0,0,_xll.HLV5r3.Analytics.Swaps.Delta1ForAnAmount( N54, I54, Stream1CompoundingPeriod, U54))</f>
        <v>470.47049612147765</v>
      </c>
      <c r="R54" s="79"/>
      <c r="S54" s="210">
        <f t="shared" ca="1" si="8"/>
        <v>45044</v>
      </c>
      <c r="T54" s="213">
        <f t="shared" ca="1" si="4"/>
        <v>45044</v>
      </c>
      <c r="U54" s="173">
        <f ca="1">IF(C54="#N/A",0,_xll.HLV5r3.Financial.Cache.YearFraction( ValuationDate, C54,"ACT/365.FIXED"))</f>
        <v>4.0986301369863014</v>
      </c>
      <c r="V54" s="79"/>
      <c r="X54" s="207">
        <f ca="1"/>
        <v>45044</v>
      </c>
    </row>
    <row r="55" spans="1:29">
      <c r="A55" s="136">
        <f t="shared" ca="1" si="5"/>
        <v>45138</v>
      </c>
      <c r="B55" s="136">
        <f t="shared" ca="1" si="1"/>
        <v>45230</v>
      </c>
      <c r="C55" s="101">
        <f ca="1">IF(Swap!$B$26="Standard",B55,A55)</f>
        <v>45230</v>
      </c>
      <c r="D55" s="147">
        <v>0</v>
      </c>
      <c r="E55" s="112">
        <f t="shared" ca="1" si="9"/>
        <v>100000000</v>
      </c>
      <c r="F55" s="112">
        <f t="shared" ca="1" si="6"/>
        <v>100000000</v>
      </c>
      <c r="G55" s="112">
        <f t="shared" ca="1" si="7"/>
        <v>100000000</v>
      </c>
      <c r="H55" s="152" t="str">
        <f t="shared" ca="1" si="10"/>
        <v>Coupon</v>
      </c>
      <c r="I55" s="168">
        <f ca="1">IF(C55="#N/A",0,_xll.HLV5r3.Financial.Cache.GetValueFromBase( Stream1DiscountCurve, Swap!$F$4, Stream1!C55))</f>
        <v>0.81716380165254521</v>
      </c>
      <c r="J55" s="117">
        <f ca="1">IF(C55="#N/A","#N/A",_xll.HLV5r3.Financial.Cache.GetValueFromBase(Stream1ForwardCurve, Swap!$F$4, A55))</f>
        <v>0.82872081229900696</v>
      </c>
      <c r="K55" s="169">
        <f ca="1">IF(C55="#N/A","#N/A",_xll.HLV5r3.Financial.Cache.GetValueFromBase(Stream1ForwardCurve, Swap!$F$4, B55))</f>
        <v>0.81716380165254521</v>
      </c>
      <c r="L55" s="115">
        <f ca="1" xml:space="preserve"> IF(G55=0,0,_xll.HLV5r3.Financial.Cache.YearFraction( A55, B55,Swap!$B$25))</f>
        <v>0.25205479452054796</v>
      </c>
      <c r="M55" s="143">
        <f ca="1">IF(I55=0,0,IF($B$2="Fixed",Stream1FixedRate,_xll.HLV5r3.Analytics.Rates.GetRate(J55,K55,L55)+Stream1Spread))</f>
        <v>5.4399999999999997E-2</v>
      </c>
      <c r="N55" s="155">
        <f ca="1">IF(L55="#N/A",L55,IF(Swap!$B$26="Standard",L55*G55*M55,L55*G55*M55/(1+Stream1!L55*Stream1!M55)))</f>
        <v>1371178.0821917807</v>
      </c>
      <c r="O55" s="155">
        <f t="shared" ca="1" si="3"/>
        <v>1120477.0943864817</v>
      </c>
      <c r="P55" s="177">
        <f>IF($B$2="FIXED",0,IF(Swap!$B$26="FRA",_xll.HLV5r3.Analytics.Swaps.Delta0DiscountCoupon( G55, L55, M55, I55),_xll.HLV5r3.Analytics.Swaps.Delta0Coupon( G55, L55, M55, I55)))</f>
        <v>0</v>
      </c>
      <c r="Q55" s="180">
        <f ca="1">IF(U55=0,0,_xll.HLV5r3.Analytics.Swaps.Delta1ForAnAmount( N55, I55, Stream1CompoundingPeriod, U55))</f>
        <v>481.8931045524867</v>
      </c>
      <c r="R55" s="79"/>
      <c r="S55" s="210">
        <f t="shared" ca="1" si="8"/>
        <v>45138</v>
      </c>
      <c r="T55" s="213">
        <f t="shared" ca="1" si="4"/>
        <v>45138</v>
      </c>
      <c r="U55" s="173">
        <f ca="1">IF(C55="#N/A",0,_xll.HLV5r3.Financial.Cache.YearFraction( ValuationDate, C55,"ACT/365.FIXED"))</f>
        <v>4.3506849315068497</v>
      </c>
      <c r="V55" s="79"/>
      <c r="X55" s="207">
        <f ca="1"/>
        <v>45138</v>
      </c>
    </row>
    <row r="56" spans="1:29">
      <c r="A56" s="136">
        <f t="shared" ca="1" si="5"/>
        <v>45230</v>
      </c>
      <c r="B56" s="136">
        <f t="shared" ca="1" si="1"/>
        <v>45322</v>
      </c>
      <c r="C56" s="101">
        <f ca="1">IF(Swap!$B$26="Standard",B56,A56)</f>
        <v>45322</v>
      </c>
      <c r="D56" s="147">
        <v>0</v>
      </c>
      <c r="E56" s="112">
        <f t="shared" ca="1" si="9"/>
        <v>100000000</v>
      </c>
      <c r="F56" s="112">
        <f t="shared" ca="1" si="6"/>
        <v>100000000</v>
      </c>
      <c r="G56" s="112">
        <f t="shared" ca="1" si="7"/>
        <v>100000000</v>
      </c>
      <c r="H56" s="152" t="str">
        <f t="shared" ca="1" si="10"/>
        <v>Coupon</v>
      </c>
      <c r="I56" s="168">
        <f ca="1">IF(C56="#N/A",0,_xll.HLV5r3.Financial.Cache.GetValueFromBase( Stream1DiscountCurve, Swap!$F$4, Stream1!C56))</f>
        <v>0.80553581002605479</v>
      </c>
      <c r="J56" s="117">
        <f ca="1">IF(C56="#N/A","#N/A",_xll.HLV5r3.Financial.Cache.GetValueFromBase(Stream1ForwardCurve, Swap!$F$4, A56))</f>
        <v>0.81716380165254521</v>
      </c>
      <c r="K56" s="169">
        <f ca="1">IF(C56="#N/A","#N/A",_xll.HLV5r3.Financial.Cache.GetValueFromBase(Stream1ForwardCurve, Swap!$F$4, B56))</f>
        <v>0.80553581002605479</v>
      </c>
      <c r="L56" s="115">
        <f ca="1" xml:space="preserve"> IF(G56=0,0,_xll.HLV5r3.Financial.Cache.YearFraction( A56, B56,Swap!$B$25))</f>
        <v>0.25205479452054796</v>
      </c>
      <c r="M56" s="143">
        <f ca="1">IF(I56=0,0,IF($B$2="Fixed",Stream1FixedRate,_xll.HLV5r3.Analytics.Rates.GetRate(J56,K56,L56)+Stream1Spread))</f>
        <v>5.4399999999999997E-2</v>
      </c>
      <c r="N56" s="155">
        <f ca="1">IF(L56="#N/A",L56,IF(Swap!$B$26="Standard",L56*G56*M56,L56*G56*M56/(1+Stream1!L56*Stream1!M56)))</f>
        <v>1371178.0821917807</v>
      </c>
      <c r="O56" s="155">
        <f t="shared" ca="1" si="3"/>
        <v>1104533.0471283284</v>
      </c>
      <c r="P56" s="177">
        <f>IF($B$2="FIXED",0,IF(Swap!$B$26="FRA",_xll.HLV5r3.Analytics.Swaps.Delta0DiscountCoupon( G56, L56, M56, I56),_xll.HLV5r3.Analytics.Swaps.Delta0Coupon( G56, L56, M56, I56)))</f>
        <v>0</v>
      </c>
      <c r="Q56" s="180">
        <f ca="1">IF(U56=0,0,_xll.HLV5r3.Analytics.Swaps.Delta1ForAnAmount( N56, I56, Stream1CompoundingPeriod, U56))</f>
        <v>502.48581980612101</v>
      </c>
      <c r="R56" s="79"/>
      <c r="S56" s="210">
        <f t="shared" ca="1" si="8"/>
        <v>45230</v>
      </c>
      <c r="T56" s="213">
        <f t="shared" ca="1" si="4"/>
        <v>45230</v>
      </c>
      <c r="U56" s="173">
        <f ca="1">IF(C56="#N/A",0,_xll.HLV5r3.Financial.Cache.YearFraction( ValuationDate, C56,"ACT/365.FIXED"))</f>
        <v>4.602739726027397</v>
      </c>
      <c r="V56" s="79"/>
      <c r="X56" s="207">
        <f ca="1"/>
        <v>45230</v>
      </c>
    </row>
    <row r="57" spans="1:29">
      <c r="A57" s="136">
        <f t="shared" ca="1" si="5"/>
        <v>45322</v>
      </c>
      <c r="B57" s="136">
        <f t="shared" ca="1" si="1"/>
        <v>45412</v>
      </c>
      <c r="C57" s="101">
        <f ca="1">IF(Swap!$B$26="Standard",B57,A57)</f>
        <v>45412</v>
      </c>
      <c r="D57" s="147">
        <v>0</v>
      </c>
      <c r="E57" s="112">
        <f t="shared" ca="1" si="9"/>
        <v>100000000</v>
      </c>
      <c r="F57" s="112">
        <f t="shared" ca="1" si="6"/>
        <v>100000000</v>
      </c>
      <c r="G57" s="112">
        <f t="shared" ca="1" si="7"/>
        <v>100000000</v>
      </c>
      <c r="H57" s="152" t="str">
        <f t="shared" ca="1" si="10"/>
        <v>Coupon</v>
      </c>
      <c r="I57" s="168">
        <f ca="1">IF(C57="#N/A",0,_xll.HLV5r3.Financial.Cache.GetValueFromBase( Stream1DiscountCurve, Swap!$F$4, Stream1!C57))</f>
        <v>0.79409932597838651</v>
      </c>
      <c r="J57" s="117">
        <f ca="1">IF(C57="#N/A","#N/A",_xll.HLV5r3.Financial.Cache.GetValueFromBase(Stream1ForwardCurve, Swap!$F$4, A57))</f>
        <v>0.80553581002605479</v>
      </c>
      <c r="K57" s="169">
        <f ca="1">IF(C57="#N/A","#N/A",_xll.HLV5r3.Financial.Cache.GetValueFromBase(Stream1ForwardCurve, Swap!$F$4, B57))</f>
        <v>0.79409932597838651</v>
      </c>
      <c r="L57" s="115">
        <f ca="1" xml:space="preserve"> IF(G57=0,0,_xll.HLV5r3.Financial.Cache.YearFraction( A57, B57,Swap!$B$25))</f>
        <v>0.24657534246575341</v>
      </c>
      <c r="M57" s="143">
        <f ca="1">IF(I57=0,0,IF($B$2="Fixed",Stream1FixedRate,_xll.HLV5r3.Analytics.Rates.GetRate(J57,K57,L57)+Stream1Spread))</f>
        <v>5.4399999999999997E-2</v>
      </c>
      <c r="N57" s="155">
        <f ca="1">IF(L57="#N/A",L57,IF(Swap!$B$26="Standard",L57*G57*M57,L57*G57*M57/(1+Stream1!L57*Stream1!M57)))</f>
        <v>1341369.8630136985</v>
      </c>
      <c r="O57" s="155">
        <f t="shared" ca="1" si="3"/>
        <v>1065180.9041068987</v>
      </c>
      <c r="P57" s="177">
        <f>IF($B$2="FIXED",0,IF(Swap!$B$26="FRA",_xll.HLV5r3.Analytics.Swaps.Delta0DiscountCoupon( G57, L57, M57, I57),_xll.HLV5r3.Analytics.Swaps.Delta0Coupon( G57, L57, M57, I57)))</f>
        <v>0</v>
      </c>
      <c r="Q57" s="180">
        <f ca="1">IF(U57=0,0,_xll.HLV5r3.Analytics.Swaps.Delta1ForAnAmount( N57, I57, Stream1CompoundingPeriod, U57))</f>
        <v>510.4725438727603</v>
      </c>
      <c r="R57" s="79"/>
      <c r="S57" s="210">
        <f t="shared" ca="1" si="8"/>
        <v>45322</v>
      </c>
      <c r="T57" s="213">
        <f t="shared" ca="1" si="4"/>
        <v>45322</v>
      </c>
      <c r="U57" s="173">
        <f ca="1">IF(C57="#N/A",0,_xll.HLV5r3.Financial.Cache.YearFraction( ValuationDate, C57,"ACT/365.FIXED"))</f>
        <v>4.8493150684931505</v>
      </c>
      <c r="V57" s="79"/>
      <c r="X57" s="207">
        <f ca="1"/>
        <v>45322</v>
      </c>
    </row>
    <row r="58" spans="1:29">
      <c r="A58" s="136">
        <f t="shared" ca="1" si="5"/>
        <v>45412</v>
      </c>
      <c r="B58" s="136">
        <f t="shared" ca="1" si="1"/>
        <v>45504</v>
      </c>
      <c r="C58" s="101">
        <f ca="1">IF(Swap!$B$26="Standard",B58,A58)</f>
        <v>45504</v>
      </c>
      <c r="D58" s="147">
        <v>0</v>
      </c>
      <c r="E58" s="112">
        <f t="shared" ca="1" si="9"/>
        <v>100000000</v>
      </c>
      <c r="F58" s="112">
        <f t="shared" ca="1" si="6"/>
        <v>100000000</v>
      </c>
      <c r="G58" s="112">
        <f t="shared" ca="1" si="7"/>
        <v>100000000</v>
      </c>
      <c r="H58" s="152" t="str">
        <f t="shared" ca="1" si="10"/>
        <v>Coupon</v>
      </c>
      <c r="I58" s="168">
        <f ca="1">IF(C58="#N/A",0,_xll.HLV5r3.Financial.Cache.GetValueFromBase( Stream1DiscountCurve, Swap!$F$4, Stream1!C58))</f>
        <v>0.78244444122642487</v>
      </c>
      <c r="J58" s="117">
        <f ca="1">IF(C58="#N/A","#N/A",_xll.HLV5r3.Financial.Cache.GetValueFromBase(Stream1ForwardCurve, Swap!$F$4, A58))</f>
        <v>0.79409932597838651</v>
      </c>
      <c r="K58" s="169">
        <f ca="1">IF(C58="#N/A","#N/A",_xll.HLV5r3.Financial.Cache.GetValueFromBase(Stream1ForwardCurve, Swap!$F$4, B58))</f>
        <v>0.78244444122642487</v>
      </c>
      <c r="L58" s="115">
        <f ca="1" xml:space="preserve"> IF(G58=0,0,_xll.HLV5r3.Financial.Cache.YearFraction( A58, B58,Swap!$B$25))</f>
        <v>0.25205479452054796</v>
      </c>
      <c r="M58" s="143">
        <f ca="1">IF(I58=0,0,IF($B$2="Fixed",Stream1FixedRate,_xll.HLV5r3.Analytics.Rates.GetRate(J58,K58,L58)+Stream1Spread))</f>
        <v>5.4399999999999997E-2</v>
      </c>
      <c r="N58" s="155">
        <f ca="1">IF(L58="#N/A",L58,IF(Swap!$B$26="Standard",L58*G58*M58,L58*G58*M58/(1+Stream1!L58*Stream1!M58)))</f>
        <v>1371178.0821917807</v>
      </c>
      <c r="O58" s="155">
        <f t="shared" ca="1" si="3"/>
        <v>1072870.6683424688</v>
      </c>
      <c r="P58" s="177">
        <f>IF($B$2="FIXED",0,IF(Swap!$B$26="FRA",_xll.HLV5r3.Analytics.Swaps.Delta0DiscountCoupon( G58, L58, M58, I58),_xll.HLV5r3.Analytics.Swaps.Delta0Coupon( G58, L58, M58, I58)))</f>
        <v>0</v>
      </c>
      <c r="Q58" s="180">
        <f ca="1">IF(U58=0,0,_xll.HLV5r3.Analytics.Swaps.Delta1ForAnAmount( N58, I58, Stream1CompoundingPeriod, U58))</f>
        <v>540.80893566090538</v>
      </c>
      <c r="R58" s="79"/>
      <c r="S58" s="210">
        <f t="shared" ca="1" si="8"/>
        <v>45412</v>
      </c>
      <c r="T58" s="213">
        <f t="shared" ca="1" si="4"/>
        <v>45412</v>
      </c>
      <c r="U58" s="173">
        <f ca="1">IF(C58="#N/A",0,_xll.HLV5r3.Financial.Cache.YearFraction( ValuationDate, C58,"ACT/365.FIXED"))</f>
        <v>5.1013698630136988</v>
      </c>
      <c r="V58" s="79"/>
      <c r="X58" s="207">
        <f ca="1"/>
        <v>45412</v>
      </c>
    </row>
    <row r="59" spans="1:29">
      <c r="A59" s="136">
        <f t="shared" ca="1" si="5"/>
        <v>45504</v>
      </c>
      <c r="B59" s="136">
        <f t="shared" ca="1" si="1"/>
        <v>45596</v>
      </c>
      <c r="C59" s="101">
        <f ca="1">IF(Swap!$B$26="Standard",B59,A59)</f>
        <v>45596</v>
      </c>
      <c r="D59" s="147">
        <v>0</v>
      </c>
      <c r="E59" s="112">
        <f t="shared" ca="1" si="9"/>
        <v>100000000</v>
      </c>
      <c r="F59" s="112">
        <f t="shared" ca="1" si="6"/>
        <v>100000000</v>
      </c>
      <c r="G59" s="112">
        <f t="shared" ca="1" si="7"/>
        <v>100000000</v>
      </c>
      <c r="H59" s="152" t="str">
        <f t="shared" ca="1" si="10"/>
        <v>Coupon</v>
      </c>
      <c r="I59" s="168">
        <f ca="1">IF(C59="#N/A",0,_xll.HLV5r3.Financial.Cache.GetValueFromBase( Stream1DiscountCurve, Swap!$F$4, Stream1!C59))</f>
        <v>0.7709076880948631</v>
      </c>
      <c r="J59" s="117">
        <f ca="1">IF(C59="#N/A","#N/A",_xll.HLV5r3.Financial.Cache.GetValueFromBase(Stream1ForwardCurve, Swap!$F$4, A59))</f>
        <v>0.78244444122642487</v>
      </c>
      <c r="K59" s="169">
        <f ca="1">IF(C59="#N/A","#N/A",_xll.HLV5r3.Financial.Cache.GetValueFromBase(Stream1ForwardCurve, Swap!$F$4, B59))</f>
        <v>0.7709076880948631</v>
      </c>
      <c r="L59" s="115">
        <f ca="1" xml:space="preserve"> IF(G59=0,0,_xll.HLV5r3.Financial.Cache.YearFraction( A59, B59,Swap!$B$25))</f>
        <v>0.25205479452054796</v>
      </c>
      <c r="M59" s="143">
        <f ca="1">IF(I59=0,0,IF($B$2="Fixed",Stream1FixedRate,_xll.HLV5r3.Analytics.Rates.GetRate(J59,K59,L59)+Stream1Spread))</f>
        <v>5.4399999999999997E-2</v>
      </c>
      <c r="N59" s="155">
        <f ca="1">IF(L59="#N/A",L59,IF(Swap!$B$26="Standard",L59*G59*M59,L59*G59*M59/(1+Stream1!L59*Stream1!M59)))</f>
        <v>1371178.0821917807</v>
      </c>
      <c r="O59" s="155">
        <f t="shared" ca="1" si="3"/>
        <v>1057051.7253088139</v>
      </c>
      <c r="P59" s="177">
        <f>IF($B$2="FIXED",0,IF(Swap!$B$26="FRA",_xll.HLV5r3.Analytics.Swaps.Delta0DiscountCoupon( G59, L59, M59, I59),_xll.HLV5r3.Analytics.Swaps.Delta0Coupon( G59, L59, M59, I59)))</f>
        <v>0</v>
      </c>
      <c r="Q59" s="180">
        <f ca="1">IF(U59=0,0,_xll.HLV5r3.Analytics.Swaps.Delta1ForAnAmount( N59, I59, Stream1CompoundingPeriod, U59))</f>
        <v>559.09144951870383</v>
      </c>
      <c r="R59" s="79"/>
      <c r="S59" s="210">
        <f t="shared" ca="1" si="8"/>
        <v>45504</v>
      </c>
      <c r="T59" s="213">
        <f t="shared" ca="1" si="4"/>
        <v>45504</v>
      </c>
      <c r="U59" s="173">
        <f ca="1">IF(C59="#N/A",0,_xll.HLV5r3.Financial.Cache.YearFraction( ValuationDate, C59,"ACT/365.FIXED"))</f>
        <v>5.353424657534247</v>
      </c>
      <c r="V59" s="79"/>
      <c r="X59" s="207">
        <f ca="1"/>
        <v>45504</v>
      </c>
    </row>
    <row r="60" spans="1:29">
      <c r="A60" s="136">
        <f t="shared" ca="1" si="5"/>
        <v>45596</v>
      </c>
      <c r="B60" s="136">
        <f t="shared" ca="1" si="1"/>
        <v>45688</v>
      </c>
      <c r="C60" s="101">
        <f ca="1">IF(Swap!$B$26="Standard",B60,A60)</f>
        <v>45688</v>
      </c>
      <c r="D60" s="147">
        <v>0</v>
      </c>
      <c r="E60" s="112">
        <f t="shared" ca="1" si="9"/>
        <v>100000000</v>
      </c>
      <c r="F60" s="112">
        <f t="shared" ca="1" si="6"/>
        <v>100000000</v>
      </c>
      <c r="G60" s="112">
        <f t="shared" ca="1" si="7"/>
        <v>100000000</v>
      </c>
      <c r="H60" s="152" t="str">
        <f t="shared" ca="1" si="10"/>
        <v>Coupon</v>
      </c>
      <c r="I60" s="168">
        <f ca="1">IF(C60="#N/A",0,_xll.HLV5r3.Financial.Cache.GetValueFromBase( Stream1DiscountCurve, Swap!$F$4, Stream1!C60))</f>
        <v>0.75934589800175389</v>
      </c>
      <c r="J60" s="117">
        <f ca="1">IF(C60="#N/A","#N/A",_xll.HLV5r3.Financial.Cache.GetValueFromBase(Stream1ForwardCurve, Swap!$F$4, A60))</f>
        <v>0.7709076880948631</v>
      </c>
      <c r="K60" s="169">
        <f ca="1">IF(C60="#N/A","#N/A",_xll.HLV5r3.Financial.Cache.GetValueFromBase(Stream1ForwardCurve, Swap!$F$4, B60))</f>
        <v>0.75934589800175389</v>
      </c>
      <c r="L60" s="115">
        <f ca="1" xml:space="preserve"> IF(G60=0,0,_xll.HLV5r3.Financial.Cache.YearFraction( A60, B60,Swap!$B$25))</f>
        <v>0.25205479452054796</v>
      </c>
      <c r="M60" s="143">
        <f ca="1">IF(I60=0,0,IF($B$2="Fixed",Stream1FixedRate,_xll.HLV5r3.Analytics.Rates.GetRate(J60,K60,L60)+Stream1Spread))</f>
        <v>5.4399999999999997E-2</v>
      </c>
      <c r="N60" s="155">
        <f ca="1">IF(L60="#N/A",L60,IF(Swap!$B$26="Standard",L60*G60*M60,L60*G60*M60/(1+Stream1!L60*Stream1!M60)))</f>
        <v>1371178.0821917807</v>
      </c>
      <c r="O60" s="155">
        <f t="shared" ca="1" si="3"/>
        <v>1041198.4521422404</v>
      </c>
      <c r="P60" s="177">
        <f>IF($B$2="FIXED",0,IF(Swap!$B$26="FRA",_xll.HLV5r3.Analytics.Swaps.Delta0DiscountCoupon( G60, L60, M60, I60),_xll.HLV5r3.Analytics.Swaps.Delta0Coupon( G60, L60, M60, I60)))</f>
        <v>0</v>
      </c>
      <c r="Q60" s="180">
        <f ca="1">IF(U60=0,0,_xll.HLV5r3.Analytics.Swaps.Delta1ForAnAmount( N60, I60, Stream1CompoundingPeriod, U60))</f>
        <v>576.56257720625945</v>
      </c>
      <c r="R60" s="79"/>
      <c r="S60" s="210">
        <f t="shared" ca="1" si="8"/>
        <v>45596</v>
      </c>
      <c r="T60" s="213">
        <f t="shared" ca="1" si="4"/>
        <v>45596</v>
      </c>
      <c r="U60" s="173">
        <f ca="1">IF(C60="#N/A",0,_xll.HLV5r3.Financial.Cache.YearFraction( ValuationDate, C60,"ACT/365.FIXED"))</f>
        <v>5.6054794520547944</v>
      </c>
      <c r="V60" s="79"/>
      <c r="X60" s="207">
        <f ca="1"/>
        <v>45596</v>
      </c>
    </row>
    <row r="61" spans="1:29">
      <c r="A61" s="136">
        <f t="shared" ca="1" si="5"/>
        <v>45688</v>
      </c>
      <c r="B61" s="136">
        <f t="shared" ca="1" si="1"/>
        <v>45777</v>
      </c>
      <c r="C61" s="101">
        <f ca="1">IF(Swap!$B$26="Standard",B61,A61)</f>
        <v>45777</v>
      </c>
      <c r="D61" s="147">
        <v>0</v>
      </c>
      <c r="E61" s="112">
        <f t="shared" ca="1" si="9"/>
        <v>100000000</v>
      </c>
      <c r="F61" s="112">
        <f t="shared" ca="1" si="6"/>
        <v>100000000</v>
      </c>
      <c r="G61" s="112">
        <f t="shared" ca="1" si="7"/>
        <v>100000000</v>
      </c>
      <c r="H61" s="152" t="str">
        <f t="shared" ca="1" si="10"/>
        <v>Coupon</v>
      </c>
      <c r="I61" s="168">
        <f ca="1">IF(C61="#N/A",0,_xll.HLV5r3.Financial.Cache.GetValueFromBase( Stream1DiscountCurve, Swap!$F$4, Stream1!C61))</f>
        <v>0.74814323590811682</v>
      </c>
      <c r="J61" s="117">
        <f ca="1">IF(C61="#N/A","#N/A",_xll.HLV5r3.Financial.Cache.GetValueFromBase(Stream1ForwardCurve, Swap!$F$4, A61))</f>
        <v>0.75934589800175389</v>
      </c>
      <c r="K61" s="169">
        <f ca="1">IF(C61="#N/A","#N/A",_xll.HLV5r3.Financial.Cache.GetValueFromBase(Stream1ForwardCurve, Swap!$F$4, B61))</f>
        <v>0.74814323590811682</v>
      </c>
      <c r="L61" s="115">
        <f ca="1" xml:space="preserve"> IF(G61=0,0,_xll.HLV5r3.Financial.Cache.YearFraction( A61, B61,Swap!$B$25))</f>
        <v>0.24383561643835616</v>
      </c>
      <c r="M61" s="143">
        <f ca="1">IF(I61=0,0,IF($B$2="Fixed",Stream1FixedRate,_xll.HLV5r3.Analytics.Rates.GetRate(J61,K61,L61)+Stream1Spread))</f>
        <v>5.4399999999999997E-2</v>
      </c>
      <c r="N61" s="155">
        <f ca="1">IF(L61="#N/A",L61,IF(Swap!$B$26="Standard",L61*G61*M61,L61*G61*M61/(1+Stream1!L61*Stream1!M61)))</f>
        <v>1326465.7534246575</v>
      </c>
      <c r="O61" s="155">
        <f t="shared" ca="1" si="3"/>
        <v>992386.38108842145</v>
      </c>
      <c r="P61" s="177">
        <f>IF($B$2="FIXED",0,IF(Swap!$B$26="FRA",_xll.HLV5r3.Analytics.Swaps.Delta0DiscountCoupon( G61, L61, M61, I61),_xll.HLV5r3.Analytics.Swaps.Delta0Coupon( G61, L61, M61, I61)))</f>
        <v>0</v>
      </c>
      <c r="Q61" s="180">
        <f ca="1">IF(U61=0,0,_xll.HLV5r3.Analytics.Swaps.Delta1ForAnAmount( N61, I61, Stream1CompoundingPeriod, U61))</f>
        <v>573.36745205896818</v>
      </c>
      <c r="R61" s="79"/>
      <c r="S61" s="210">
        <f t="shared" ca="1" si="8"/>
        <v>45688</v>
      </c>
      <c r="T61" s="213">
        <f t="shared" ca="1" si="4"/>
        <v>45688</v>
      </c>
      <c r="U61" s="173">
        <f ca="1">IF(C61="#N/A",0,_xll.HLV5r3.Financial.Cache.YearFraction( ValuationDate, C61,"ACT/365.FIXED"))</f>
        <v>5.8493150684931505</v>
      </c>
      <c r="V61" s="79"/>
      <c r="X61" s="207">
        <f ca="1"/>
        <v>45688</v>
      </c>
    </row>
    <row r="62" spans="1:29">
      <c r="A62" s="136">
        <f t="shared" ca="1" si="5"/>
        <v>45777</v>
      </c>
      <c r="B62" s="136">
        <f t="shared" ca="1" si="1"/>
        <v>45869</v>
      </c>
      <c r="C62" s="101">
        <f ca="1">IF(Swap!$B$26="Standard",B62,A62)</f>
        <v>45869</v>
      </c>
      <c r="D62" s="147">
        <v>0</v>
      </c>
      <c r="E62" s="112">
        <f t="shared" ca="1" si="9"/>
        <v>100000000</v>
      </c>
      <c r="F62" s="112">
        <f t="shared" ca="1" si="6"/>
        <v>100000000</v>
      </c>
      <c r="G62" s="112">
        <f t="shared" ca="1" si="7"/>
        <v>100000000</v>
      </c>
      <c r="H62" s="152" t="str">
        <f t="shared" ca="1" si="10"/>
        <v>Coupon</v>
      </c>
      <c r="I62" s="168">
        <f ca="1">IF(C62="#N/A",0,_xll.HLV5r3.Financial.Cache.GetValueFromBase( Stream1DiscountCurve, Swap!$F$4, Stream1!C62))</f>
        <v>0.73675858449556297</v>
      </c>
      <c r="J62" s="117">
        <f ca="1">IF(C62="#N/A","#N/A",_xll.HLV5r3.Financial.Cache.GetValueFromBase(Stream1ForwardCurve, Swap!$F$4, A62))</f>
        <v>0.74814323590811682</v>
      </c>
      <c r="K62" s="169">
        <f ca="1">IF(C62="#N/A","#N/A",_xll.HLV5r3.Financial.Cache.GetValueFromBase(Stream1ForwardCurve, Swap!$F$4, B62))</f>
        <v>0.73675858449556297</v>
      </c>
      <c r="L62" s="115">
        <f ca="1" xml:space="preserve"> IF(G62=0,0,_xll.HLV5r3.Financial.Cache.YearFraction( A62, B62,Swap!$B$25))</f>
        <v>0.25205479452054796</v>
      </c>
      <c r="M62" s="143">
        <f ca="1">IF(I62=0,0,IF($B$2="Fixed",Stream1FixedRate,_xll.HLV5r3.Analytics.Rates.GetRate(J62,K62,L62)+Stream1Spread))</f>
        <v>5.4399999999999997E-2</v>
      </c>
      <c r="N62" s="155">
        <f ca="1">IF(L62="#N/A",L62,IF(Swap!$B$26="Standard",L62*G62*M62,L62*G62*M62/(1+Stream1!L62*Stream1!M62)))</f>
        <v>1371178.0821917807</v>
      </c>
      <c r="O62" s="155">
        <f t="shared" ca="1" si="3"/>
        <v>1010227.2229269571</v>
      </c>
      <c r="P62" s="177">
        <f>IF($B$2="FIXED",0,IF(Swap!$B$26="FRA",_xll.HLV5r3.Analytics.Swaps.Delta0DiscountCoupon( G62, L62, M62, I62),_xll.HLV5r3.Analytics.Swaps.Delta0Coupon( G62, L62, M62, I62)))</f>
        <v>0</v>
      </c>
      <c r="Q62" s="180">
        <f ca="1">IF(U62=0,0,_xll.HLV5r3.Analytics.Swaps.Delta1ForAnAmount( N62, I62, Stream1CompoundingPeriod, U62))</f>
        <v>608.75689341622967</v>
      </c>
      <c r="R62" s="79"/>
      <c r="S62" s="210">
        <f t="shared" ca="1" si="8"/>
        <v>45777</v>
      </c>
      <c r="T62" s="213">
        <f t="shared" ca="1" si="4"/>
        <v>45777</v>
      </c>
      <c r="U62" s="173">
        <f ca="1">IF(C62="#N/A",0,_xll.HLV5r3.Financial.Cache.YearFraction( ValuationDate, C62,"ACT/365.FIXED"))</f>
        <v>6.1013698630136988</v>
      </c>
      <c r="V62" s="79"/>
      <c r="X62" s="207">
        <f ca="1"/>
        <v>45777</v>
      </c>
    </row>
    <row r="63" spans="1:29">
      <c r="A63" s="136">
        <f t="shared" ca="1" si="5"/>
        <v>45869</v>
      </c>
      <c r="B63" s="136">
        <f t="shared" ca="1" si="1"/>
        <v>45961</v>
      </c>
      <c r="C63" s="101">
        <f ca="1">IF(Swap!$B$26="Standard",B63,A63)</f>
        <v>45961</v>
      </c>
      <c r="D63" s="147">
        <v>0</v>
      </c>
      <c r="E63" s="112">
        <f t="shared" ca="1" si="9"/>
        <v>100000000</v>
      </c>
      <c r="F63" s="112">
        <f t="shared" ca="1" si="6"/>
        <v>100000000</v>
      </c>
      <c r="G63" s="112">
        <f t="shared" ca="1" si="7"/>
        <v>100000000</v>
      </c>
      <c r="H63" s="152" t="str">
        <f t="shared" ca="1" si="10"/>
        <v>Coupon</v>
      </c>
      <c r="I63" s="168">
        <f ca="1">IF(C63="#N/A",0,_xll.HLV5r3.Financial.Cache.GetValueFromBase( Stream1DiscountCurve, Swap!$F$4, Stream1!C63))</f>
        <v>0.72574173356990435</v>
      </c>
      <c r="J63" s="117">
        <f ca="1">IF(C63="#N/A","#N/A",_xll.HLV5r3.Financial.Cache.GetValueFromBase(Stream1ForwardCurve, Swap!$F$4, A63))</f>
        <v>0.73675858449556297</v>
      </c>
      <c r="K63" s="169">
        <f ca="1">IF(C63="#N/A","#N/A",_xll.HLV5r3.Financial.Cache.GetValueFromBase(Stream1ForwardCurve, Swap!$F$4, B63))</f>
        <v>0.72574173356990435</v>
      </c>
      <c r="L63" s="115">
        <f ca="1" xml:space="preserve"> IF(G63=0,0,_xll.HLV5r3.Financial.Cache.YearFraction( A63, B63,Swap!$B$25))</f>
        <v>0.25205479452054796</v>
      </c>
      <c r="M63" s="143">
        <f ca="1">IF(I63=0,0,IF($B$2="Fixed",Stream1FixedRate,_xll.HLV5r3.Analytics.Rates.GetRate(J63,K63,L63)+Stream1Spread))</f>
        <v>5.4399999999999997E-2</v>
      </c>
      <c r="N63" s="155">
        <f ca="1">IF(L63="#N/A",L63,IF(Swap!$B$26="Standard",L63*G63*M63,L63*G63*M63/(1+Stream1!L63*Stream1!M63)))</f>
        <v>1371178.0821917807</v>
      </c>
      <c r="O63" s="155">
        <f t="shared" ca="1" si="3"/>
        <v>995121.15840291965</v>
      </c>
      <c r="P63" s="177">
        <f>IF($B$2="FIXED",0,IF(Swap!$B$26="FRA",_xll.HLV5r3.Analytics.Swaps.Delta0DiscountCoupon( G63, L63, M63, I63),_xll.HLV5r3.Analytics.Swaps.Delta0Coupon( G63, L63, M63, I63)))</f>
        <v>0</v>
      </c>
      <c r="Q63" s="180">
        <f ca="1">IF(U63=0,0,_xll.HLV5r3.Analytics.Swaps.Delta1ForAnAmount( N63, I63, Stream1CompoundingPeriod, U63))</f>
        <v>624.36714339623404</v>
      </c>
      <c r="R63" s="79"/>
      <c r="S63" s="210">
        <f t="shared" ca="1" si="8"/>
        <v>45869</v>
      </c>
      <c r="T63" s="213">
        <f t="shared" ca="1" si="4"/>
        <v>45869</v>
      </c>
      <c r="U63" s="173">
        <f ca="1">IF(C63="#N/A",0,_xll.HLV5r3.Financial.Cache.YearFraction( ValuationDate, C63,"ACT/365.FIXED"))</f>
        <v>6.353424657534247</v>
      </c>
      <c r="V63" s="79"/>
      <c r="X63" s="207">
        <f ca="1"/>
        <v>45869</v>
      </c>
    </row>
    <row r="64" spans="1:29">
      <c r="A64" s="136">
        <f t="shared" ca="1" si="5"/>
        <v>45961</v>
      </c>
      <c r="B64" s="136">
        <f t="shared" ca="1" si="1"/>
        <v>46052</v>
      </c>
      <c r="C64" s="101">
        <f ca="1">IF(Swap!$B$26="Standard",B64,A64)</f>
        <v>46052</v>
      </c>
      <c r="D64" s="147">
        <v>0</v>
      </c>
      <c r="E64" s="112">
        <f t="shared" ca="1" si="9"/>
        <v>100000000</v>
      </c>
      <c r="F64" s="112">
        <f t="shared" ca="1" si="6"/>
        <v>100000000</v>
      </c>
      <c r="G64" s="112">
        <f t="shared" ca="1" si="7"/>
        <v>100000000</v>
      </c>
      <c r="H64" s="152" t="str">
        <f t="shared" ca="1" si="10"/>
        <v>Coupon</v>
      </c>
      <c r="I64" s="168">
        <f ca="1">IF(C64="#N/A",0,_xll.HLV5r3.Financial.Cache.GetValueFromBase( Stream1DiscountCurve, Swap!$F$4, Stream1!C64))</f>
        <v>0.71487038992447449</v>
      </c>
      <c r="J64" s="117">
        <f ca="1">IF(C64="#N/A","#N/A",_xll.HLV5r3.Financial.Cache.GetValueFromBase(Stream1ForwardCurve, Swap!$F$4, A64))</f>
        <v>0.72574173356990435</v>
      </c>
      <c r="K64" s="169">
        <f ca="1">IF(C64="#N/A","#N/A",_xll.HLV5r3.Financial.Cache.GetValueFromBase(Stream1ForwardCurve, Swap!$F$4, B64))</f>
        <v>0.71487038992447449</v>
      </c>
      <c r="L64" s="115">
        <f ca="1" xml:space="preserve"> IF(G64=0,0,_xll.HLV5r3.Financial.Cache.YearFraction( A64, B64,Swap!$B$25))</f>
        <v>0.24931506849315069</v>
      </c>
      <c r="M64" s="143">
        <f ca="1">IF(I64=0,0,IF($B$2="Fixed",Stream1FixedRate,_xll.HLV5r3.Analytics.Rates.GetRate(J64,K64,L64)+Stream1Spread))</f>
        <v>5.4399999999999997E-2</v>
      </c>
      <c r="N64" s="155">
        <f ca="1">IF(L64="#N/A",L64,IF(Swap!$B$26="Standard",L64*G64*M64,L64*G64*M64/(1+Stream1!L64*Stream1!M64)))</f>
        <v>1356273.9726027397</v>
      </c>
      <c r="O64" s="155">
        <f t="shared" ca="1" si="3"/>
        <v>969560.10363893653</v>
      </c>
      <c r="P64" s="177">
        <f>IF($B$2="FIXED",0,IF(Swap!$B$26="FRA",_xll.HLV5r3.Analytics.Swaps.Delta0DiscountCoupon( G64, L64, M64, I64),_xll.HLV5r3.Analytics.Swaps.Delta0Coupon( G64, L64, M64, I64)))</f>
        <v>0</v>
      </c>
      <c r="Q64" s="180">
        <f ca="1">IF(U64=0,0,_xll.HLV5r3.Analytics.Swaps.Delta1ForAnAmount( N64, I64, Stream1CompoundingPeriod, U64))</f>
        <v>632.14148343579905</v>
      </c>
      <c r="R64" s="79"/>
      <c r="S64" s="210">
        <f t="shared" ca="1" si="8"/>
        <v>45961</v>
      </c>
      <c r="T64" s="213">
        <f t="shared" ca="1" si="4"/>
        <v>45961</v>
      </c>
      <c r="U64" s="173">
        <f ca="1">IF(C64="#N/A",0,_xll.HLV5r3.Financial.Cache.YearFraction( ValuationDate, C64,"ACT/365.FIXED"))</f>
        <v>6.602739726027397</v>
      </c>
      <c r="V64" s="79"/>
      <c r="X64" s="207">
        <f ca="1"/>
        <v>45961</v>
      </c>
    </row>
    <row r="65" spans="1:24">
      <c r="A65" s="136">
        <f t="shared" ca="1" si="5"/>
        <v>46052</v>
      </c>
      <c r="B65" s="136">
        <f t="shared" ca="1" si="1"/>
        <v>46142</v>
      </c>
      <c r="C65" s="101">
        <f ca="1">IF(Swap!$B$26="Standard",B65,A65)</f>
        <v>46142</v>
      </c>
      <c r="D65" s="147">
        <v>0</v>
      </c>
      <c r="E65" s="112">
        <f t="shared" ca="1" si="9"/>
        <v>100000000</v>
      </c>
      <c r="F65" s="112">
        <f t="shared" ca="1" si="6"/>
        <v>100000000</v>
      </c>
      <c r="G65" s="112">
        <f t="shared" ca="1" si="7"/>
        <v>100000000</v>
      </c>
      <c r="H65" s="152" t="str">
        <f t="shared" ca="1" si="10"/>
        <v>Coupon</v>
      </c>
      <c r="I65" s="168">
        <f ca="1">IF(C65="#N/A",0,_xll.HLV5r3.Financial.Cache.GetValueFromBase( Stream1DiscountCurve, Swap!$F$4, Stream1!C65))</f>
        <v>0.70414737482677936</v>
      </c>
      <c r="J65" s="117">
        <f ca="1">IF(C65="#N/A","#N/A",_xll.HLV5r3.Financial.Cache.GetValueFromBase(Stream1ForwardCurve, Swap!$F$4, A65))</f>
        <v>0.71487038992447449</v>
      </c>
      <c r="K65" s="169">
        <f ca="1">IF(C65="#N/A","#N/A",_xll.HLV5r3.Financial.Cache.GetValueFromBase(Stream1ForwardCurve, Swap!$F$4, B65))</f>
        <v>0.70414737482677936</v>
      </c>
      <c r="L65" s="115">
        <f ca="1" xml:space="preserve"> IF(G65=0,0,_xll.HLV5r3.Financial.Cache.YearFraction( A65, B65,Swap!$B$25))</f>
        <v>0.24657534246575341</v>
      </c>
      <c r="M65" s="143">
        <f ca="1">IF(I65=0,0,IF($B$2="Fixed",Stream1FixedRate,_xll.HLV5r3.Analytics.Rates.GetRate(J65,K65,L65)+Stream1Spread))</f>
        <v>5.4399999999999997E-2</v>
      </c>
      <c r="N65" s="155">
        <f ca="1">IF(L65="#N/A",L65,IF(Swap!$B$26="Standard",L65*G65*M65,L65*G65*M65/(1+Stream1!L65*Stream1!M65)))</f>
        <v>1341369.8630136985</v>
      </c>
      <c r="O65" s="155">
        <f t="shared" ca="1" si="3"/>
        <v>944522.06771285238</v>
      </c>
      <c r="P65" s="177">
        <f>IF($B$2="FIXED",0,IF(Swap!$B$26="FRA",_xll.HLV5r3.Analytics.Swaps.Delta0DiscountCoupon( G65, L65, M65, I65),_xll.HLV5r3.Analytics.Swaps.Delta0Coupon( G65, L65, M65, I65)))</f>
        <v>0</v>
      </c>
      <c r="Q65" s="180">
        <f ca="1">IF(U65=0,0,_xll.HLV5r3.Analytics.Swaps.Delta1ForAnAmount( N65, I65, Stream1CompoundingPeriod, U65))</f>
        <v>638.75493244852566</v>
      </c>
      <c r="R65" s="79"/>
      <c r="S65" s="210">
        <f t="shared" ca="1" si="8"/>
        <v>46052</v>
      </c>
      <c r="T65" s="213">
        <f t="shared" ca="1" si="4"/>
        <v>46052</v>
      </c>
      <c r="U65" s="173">
        <f ca="1">IF(C65="#N/A",0,_xll.HLV5r3.Financial.Cache.YearFraction( ValuationDate, C65,"ACT/365.FIXED"))</f>
        <v>6.8493150684931505</v>
      </c>
      <c r="V65" s="79"/>
      <c r="X65" s="207">
        <f ca="1"/>
        <v>46052</v>
      </c>
    </row>
    <row r="66" spans="1:24">
      <c r="A66" s="136">
        <f t="shared" ca="1" si="5"/>
        <v>46142</v>
      </c>
      <c r="B66" s="136">
        <f t="shared" ca="1" si="1"/>
        <v>46234</v>
      </c>
      <c r="C66" s="101">
        <f ca="1">IF(Swap!$B$26="Standard",B66,A66)</f>
        <v>46234</v>
      </c>
      <c r="D66" s="147">
        <v>0</v>
      </c>
      <c r="E66" s="112">
        <f t="shared" ca="1" si="9"/>
        <v>100000000</v>
      </c>
      <c r="F66" s="112">
        <f t="shared" ca="1" si="6"/>
        <v>100000000</v>
      </c>
      <c r="G66" s="112">
        <f t="shared" ca="1" si="7"/>
        <v>100000000</v>
      </c>
      <c r="H66" s="152" t="str">
        <f t="shared" ca="1" si="10"/>
        <v>Coupon</v>
      </c>
      <c r="I66" s="168">
        <f ca="1">IF(C66="#N/A",0,_xll.HLV5r3.Financial.Cache.GetValueFromBase( Stream1DiscountCurve, Swap!$F$4, Stream1!C66))</f>
        <v>0.69337192123606661</v>
      </c>
      <c r="J66" s="117">
        <f ca="1">IF(C66="#N/A","#N/A",_xll.HLV5r3.Financial.Cache.GetValueFromBase(Stream1ForwardCurve, Swap!$F$4, A66))</f>
        <v>0.70414737482677936</v>
      </c>
      <c r="K66" s="169">
        <f ca="1">IF(C66="#N/A","#N/A",_xll.HLV5r3.Financial.Cache.GetValueFromBase(Stream1ForwardCurve, Swap!$F$4, B66))</f>
        <v>0.69337192123606661</v>
      </c>
      <c r="L66" s="115">
        <f ca="1" xml:space="preserve"> IF(G66=0,0,_xll.HLV5r3.Financial.Cache.YearFraction( A66, B66,Swap!$B$25))</f>
        <v>0.25205479452054796</v>
      </c>
      <c r="M66" s="143">
        <f ca="1">IF(I66=0,0,IF($B$2="Fixed",Stream1FixedRate,_xll.HLV5r3.Analytics.Rates.GetRate(J66,K66,L66)+Stream1Spread))</f>
        <v>5.4399999999999997E-2</v>
      </c>
      <c r="N66" s="155">
        <f ca="1">IF(L66="#N/A",L66,IF(Swap!$B$26="Standard",L66*G66*M66,L66*G66*M66/(1+Stream1!L66*Stream1!M66)))</f>
        <v>1371178.0821917807</v>
      </c>
      <c r="O66" s="155">
        <f t="shared" ca="1" si="3"/>
        <v>950736.38120610022</v>
      </c>
      <c r="P66" s="177">
        <f>IF($B$2="FIXED",0,IF(Swap!$B$26="FRA",_xll.HLV5r3.Analytics.Swaps.Delta0DiscountCoupon( G66, L66, M66, I66),_xll.HLV5r3.Analytics.Swaps.Delta0Coupon( G66, L66, M66, I66)))</f>
        <v>0</v>
      </c>
      <c r="Q66" s="180">
        <f ca="1">IF(U66=0,0,_xll.HLV5r3.Analytics.Swaps.Delta1ForAnAmount( N66, I66, Stream1CompoundingPeriod, U66))</f>
        <v>666.56012039850395</v>
      </c>
      <c r="R66" s="79"/>
      <c r="S66" s="210">
        <f t="shared" ca="1" si="8"/>
        <v>46142</v>
      </c>
      <c r="T66" s="213">
        <f t="shared" ca="1" si="4"/>
        <v>46142</v>
      </c>
      <c r="U66" s="173">
        <f ca="1">IF(C66="#N/A",0,_xll.HLV5r3.Financial.Cache.YearFraction( ValuationDate, C66,"ACT/365.FIXED"))</f>
        <v>7.1013698630136988</v>
      </c>
      <c r="V66" s="79"/>
      <c r="X66" s="207">
        <f ca="1"/>
        <v>46142</v>
      </c>
    </row>
    <row r="67" spans="1:24">
      <c r="A67" s="136">
        <f t="shared" ca="1" si="5"/>
        <v>46234</v>
      </c>
      <c r="B67" s="136">
        <f t="shared" ca="1" si="1"/>
        <v>46325</v>
      </c>
      <c r="C67" s="101">
        <f ca="1">IF(Swap!$B$26="Standard",B67,A67)</f>
        <v>46325</v>
      </c>
      <c r="D67" s="147">
        <v>0</v>
      </c>
      <c r="E67" s="112">
        <f t="shared" ca="1" si="9"/>
        <v>100000000</v>
      </c>
      <c r="F67" s="112">
        <f t="shared" ca="1" si="6"/>
        <v>100000000</v>
      </c>
      <c r="G67" s="112">
        <f t="shared" ca="1" si="7"/>
        <v>100000000</v>
      </c>
      <c r="H67" s="152" t="str">
        <f t="shared" ca="1" si="10"/>
        <v>Coupon</v>
      </c>
      <c r="I67" s="168">
        <f ca="1">IF(C67="#N/A",0,_xll.HLV5r3.Financial.Cache.GetValueFromBase( Stream1DiscountCurve, Swap!$F$4, Stream1!C67))</f>
        <v>0.68304447519689682</v>
      </c>
      <c r="J67" s="117">
        <f ca="1">IF(C67="#N/A","#N/A",_xll.HLV5r3.Financial.Cache.GetValueFromBase(Stream1ForwardCurve, Swap!$F$4, A67))</f>
        <v>0.69337192123606661</v>
      </c>
      <c r="K67" s="169">
        <f ca="1">IF(C67="#N/A","#N/A",_xll.HLV5r3.Financial.Cache.GetValueFromBase(Stream1ForwardCurve, Swap!$F$4, B67))</f>
        <v>0.68304447519689682</v>
      </c>
      <c r="L67" s="115">
        <f ca="1" xml:space="preserve"> IF(G67=0,0,_xll.HLV5r3.Financial.Cache.YearFraction( A67, B67,Swap!$B$25))</f>
        <v>0.24931506849315069</v>
      </c>
      <c r="M67" s="143">
        <f ca="1">IF(I67=0,0,IF($B$2="Fixed",Stream1FixedRate,_xll.HLV5r3.Analytics.Rates.GetRate(J67,K67,L67)+Stream1Spread))</f>
        <v>5.4399999999999997E-2</v>
      </c>
      <c r="N67" s="155">
        <f ca="1">IF(L67="#N/A",L67,IF(Swap!$B$26="Standard",L67*G67*M67,L67*G67*M67/(1+Stream1!L67*Stream1!M67)))</f>
        <v>1356273.9726027397</v>
      </c>
      <c r="O67" s="155">
        <f t="shared" ca="1" si="3"/>
        <v>926395.44383964874</v>
      </c>
      <c r="P67" s="177">
        <f>IF($B$2="FIXED",0,IF(Swap!$B$26="FRA",_xll.HLV5r3.Analytics.Swaps.Delta0DiscountCoupon( G67, L67, M67, I67),_xll.HLV5r3.Analytics.Swaps.Delta0Coupon( G67, L67, M67, I67)))</f>
        <v>0</v>
      </c>
      <c r="Q67" s="180">
        <f ca="1">IF(U67=0,0,_xll.HLV5r3.Analytics.Swaps.Delta1ForAnAmount( N67, I67, Stream1CompoundingPeriod, U67))</f>
        <v>672.24865559175112</v>
      </c>
      <c r="R67" s="79"/>
      <c r="S67" s="210">
        <f t="shared" ca="1" si="8"/>
        <v>46234</v>
      </c>
      <c r="T67" s="213">
        <f t="shared" ca="1" si="4"/>
        <v>46234</v>
      </c>
      <c r="U67" s="173">
        <f ca="1">IF(C67="#N/A",0,_xll.HLV5r3.Financial.Cache.YearFraction( ValuationDate, C67,"ACT/365.FIXED"))</f>
        <v>7.3506849315068497</v>
      </c>
      <c r="V67" s="79"/>
      <c r="X67" s="207">
        <f ca="1"/>
        <v>46234</v>
      </c>
    </row>
    <row r="68" spans="1:24">
      <c r="A68" s="136">
        <f t="shared" ca="1" si="5"/>
        <v>46325</v>
      </c>
      <c r="B68" s="136">
        <f t="shared" ca="1" si="1"/>
        <v>46416</v>
      </c>
      <c r="C68" s="101">
        <f ca="1">IF(Swap!$B$26="Standard",B68,A68)</f>
        <v>46416</v>
      </c>
      <c r="D68" s="147">
        <v>0</v>
      </c>
      <c r="E68" s="112">
        <f t="shared" ca="1" si="9"/>
        <v>100000000</v>
      </c>
      <c r="F68" s="112">
        <f t="shared" ca="1" si="6"/>
        <v>100000000</v>
      </c>
      <c r="G68" s="112">
        <f t="shared" ca="1" si="7"/>
        <v>100000000</v>
      </c>
      <c r="H68" s="152" t="str">
        <f t="shared" ca="1" si="10"/>
        <v>Coupon</v>
      </c>
      <c r="I68" s="168">
        <f ca="1">IF(C68="#N/A",0,_xll.HLV5r3.Financial.Cache.GetValueFromBase( Stream1DiscountCurve, Swap!$F$4, Stream1!C68))</f>
        <v>0.67277281555150137</v>
      </c>
      <c r="J68" s="117">
        <f ca="1">IF(C68="#N/A","#N/A",_xll.HLV5r3.Financial.Cache.GetValueFromBase(Stream1ForwardCurve, Swap!$F$4, A68))</f>
        <v>0.68304447519689682</v>
      </c>
      <c r="K68" s="169">
        <f ca="1">IF(C68="#N/A","#N/A",_xll.HLV5r3.Financial.Cache.GetValueFromBase(Stream1ForwardCurve, Swap!$F$4, B68))</f>
        <v>0.67277281555150137</v>
      </c>
      <c r="L68" s="115">
        <f ca="1" xml:space="preserve"> IF(G68=0,0,_xll.HLV5r3.Financial.Cache.YearFraction( A68, B68,Swap!$B$25))</f>
        <v>0.24931506849315069</v>
      </c>
      <c r="M68" s="143">
        <f ca="1">IF(I68=0,0,IF($B$2="Fixed",Stream1FixedRate,_xll.HLV5r3.Analytics.Rates.GetRate(J68,K68,L68)+Stream1Spread))</f>
        <v>5.4399999999999997E-2</v>
      </c>
      <c r="N68" s="155">
        <f ca="1">IF(L68="#N/A",L68,IF(Swap!$B$26="Standard",L68*G68*M68,L68*G68*M68/(1+Stream1!L68*Stream1!M68)))</f>
        <v>1356273.9726027397</v>
      </c>
      <c r="O68" s="155">
        <f t="shared" ca="1" si="3"/>
        <v>912464.25920716499</v>
      </c>
      <c r="P68" s="177">
        <f>IF($B$2="FIXED",0,IF(Swap!$B$26="FRA",_xll.HLV5r3.Analytics.Swaps.Delta0DiscountCoupon( G68, L68, M68, I68),_xll.HLV5r3.Analytics.Swaps.Delta0Coupon( G68, L68, M68, I68)))</f>
        <v>0</v>
      </c>
      <c r="Q68" s="180">
        <f ca="1">IF(U68=0,0,_xll.HLV5r3.Analytics.Swaps.Delta1ForAnAmount( N68, I68, Stream1CompoundingPeriod, U68))</f>
        <v>684.54787349821891</v>
      </c>
      <c r="R68" s="79"/>
      <c r="S68" s="210">
        <f t="shared" ca="1" si="8"/>
        <v>46325</v>
      </c>
      <c r="T68" s="213">
        <f t="shared" ca="1" si="4"/>
        <v>46325</v>
      </c>
      <c r="U68" s="173">
        <f ca="1">IF(C68="#N/A",0,_xll.HLV5r3.Financial.Cache.YearFraction( ValuationDate, C68,"ACT/365.FIXED"))</f>
        <v>7.6</v>
      </c>
      <c r="V68" s="79"/>
      <c r="X68" s="207">
        <f ca="1"/>
        <v>46325</v>
      </c>
    </row>
    <row r="69" spans="1:24">
      <c r="A69" s="136">
        <f t="shared" ca="1" si="5"/>
        <v>46416</v>
      </c>
      <c r="B69" s="136">
        <f t="shared" ca="1" si="1"/>
        <v>46507</v>
      </c>
      <c r="C69" s="101">
        <f ca="1">IF(Swap!$B$26="Standard",B69,A69)</f>
        <v>46507</v>
      </c>
      <c r="D69" s="147">
        <v>0</v>
      </c>
      <c r="E69" s="112">
        <f t="shared" ca="1" si="9"/>
        <v>100000000</v>
      </c>
      <c r="F69" s="112">
        <f t="shared" ca="1" si="6"/>
        <v>100000000</v>
      </c>
      <c r="G69" s="112">
        <f t="shared" ca="1" si="7"/>
        <v>100000000</v>
      </c>
      <c r="H69" s="152" t="str">
        <f t="shared" ca="1" si="10"/>
        <v>Coupon</v>
      </c>
      <c r="I69" s="168">
        <f ca="1">IF(C69="#N/A",0,_xll.HLV5r3.Financial.Cache.GetValueFromBase( Stream1DiscountCurve, Swap!$F$4, Stream1!C69))</f>
        <v>0.66255908458440926</v>
      </c>
      <c r="J69" s="117">
        <f ca="1">IF(C69="#N/A","#N/A",_xll.HLV5r3.Financial.Cache.GetValueFromBase(Stream1ForwardCurve, Swap!$F$4, A69))</f>
        <v>0.67277281555150137</v>
      </c>
      <c r="K69" s="169">
        <f ca="1">IF(C69="#N/A","#N/A",_xll.HLV5r3.Financial.Cache.GetValueFromBase(Stream1ForwardCurve, Swap!$F$4, B69))</f>
        <v>0.66255908458440926</v>
      </c>
      <c r="L69" s="115">
        <f ca="1" xml:space="preserve"> IF(G69=0,0,_xll.HLV5r3.Financial.Cache.YearFraction( A69, B69,Swap!$B$25))</f>
        <v>0.24931506849315069</v>
      </c>
      <c r="M69" s="143">
        <f ca="1">IF(I69=0,0,IF($B$2="Fixed",Stream1FixedRate,_xll.HLV5r3.Analytics.Rates.GetRate(J69,K69,L69)+Stream1Spread))</f>
        <v>5.4399999999999997E-2</v>
      </c>
      <c r="N69" s="155">
        <f ca="1">IF(L69="#N/A",L69,IF(Swap!$B$26="Standard",L69*G69*M69,L69*G69*M69/(1+Stream1!L69*Stream1!M69)))</f>
        <v>1356273.9726027397</v>
      </c>
      <c r="O69" s="155">
        <f t="shared" ca="1" si="3"/>
        <v>898611.64173333137</v>
      </c>
      <c r="P69" s="177">
        <f>IF($B$2="FIXED",0,IF(Swap!$B$26="FRA",_xll.HLV5r3.Analytics.Swaps.Delta0DiscountCoupon( G69, L69, M69, I69),_xll.HLV5r3.Analytics.Swaps.Delta0Coupon( G69, L69, M69, I69)))</f>
        <v>0</v>
      </c>
      <c r="Q69" s="180">
        <f ca="1">IF(U69=0,0,_xll.HLV5r3.Analytics.Swaps.Delta1ForAnAmount( N69, I69, Stream1CompoundingPeriod, U69))</f>
        <v>696.22052998686604</v>
      </c>
      <c r="R69" s="79"/>
      <c r="S69" s="210">
        <f t="shared" ca="1" si="8"/>
        <v>46416</v>
      </c>
      <c r="T69" s="213">
        <f t="shared" ca="1" si="4"/>
        <v>46416</v>
      </c>
      <c r="U69" s="173">
        <f ca="1">IF(C69="#N/A",0,_xll.HLV5r3.Financial.Cache.YearFraction( ValuationDate, C69,"ACT/365.FIXED"))</f>
        <v>7.8493150684931505</v>
      </c>
      <c r="V69" s="79"/>
      <c r="X69" s="207">
        <f ca="1"/>
        <v>46416</v>
      </c>
    </row>
    <row r="70" spans="1:24">
      <c r="A70" s="136">
        <f t="shared" ca="1" si="5"/>
        <v>46507</v>
      </c>
      <c r="B70" s="136">
        <f t="shared" ca="1" si="1"/>
        <v>46598</v>
      </c>
      <c r="C70" s="101">
        <f ca="1">IF(Swap!$B$26="Standard",B70,A70)</f>
        <v>46598</v>
      </c>
      <c r="D70" s="147">
        <v>0</v>
      </c>
      <c r="E70" s="112">
        <f t="shared" ca="1" si="9"/>
        <v>100000000</v>
      </c>
      <c r="F70" s="112">
        <f t="shared" ca="1" si="6"/>
        <v>100000000</v>
      </c>
      <c r="G70" s="112">
        <f t="shared" ca="1" si="7"/>
        <v>100000000</v>
      </c>
      <c r="H70" s="152" t="str">
        <f t="shared" ca="1" si="10"/>
        <v>Coupon</v>
      </c>
      <c r="I70" s="168">
        <f ca="1">IF(C70="#N/A",0,_xll.HLV5r3.Financial.Cache.GetValueFromBase( Stream1DiscountCurve, Swap!$F$4, Stream1!C70))</f>
        <v>0.65260270456442293</v>
      </c>
      <c r="J70" s="117">
        <f ca="1">IF(C70="#N/A","#N/A",_xll.HLV5r3.Financial.Cache.GetValueFromBase(Stream1ForwardCurve, Swap!$F$4, A70))</f>
        <v>0.66255908458440926</v>
      </c>
      <c r="K70" s="169">
        <f ca="1">IF(C70="#N/A","#N/A",_xll.HLV5r3.Financial.Cache.GetValueFromBase(Stream1ForwardCurve, Swap!$F$4, B70))</f>
        <v>0.65260270456442293</v>
      </c>
      <c r="L70" s="115">
        <f ca="1" xml:space="preserve"> IF(G70=0,0,_xll.HLV5r3.Financial.Cache.YearFraction( A70, B70,Swap!$B$25))</f>
        <v>0.24931506849315069</v>
      </c>
      <c r="M70" s="143">
        <f ca="1">IF(I70=0,0,IF($B$2="Fixed",Stream1FixedRate,_xll.HLV5r3.Analytics.Rates.GetRate(J70,K70,L70)+Stream1Spread))</f>
        <v>5.4399999999999997E-2</v>
      </c>
      <c r="N70" s="155">
        <f ca="1">IF(L70="#N/A",L70,IF(Swap!$B$26="Standard",L70*G70*M70,L70*G70*M70/(1+Stream1!L70*Stream1!M70)))</f>
        <v>1356273.9726027397</v>
      </c>
      <c r="O70" s="155">
        <f t="shared" ca="1" si="3"/>
        <v>885108.06265088194</v>
      </c>
      <c r="P70" s="177">
        <f>IF($B$2="FIXED",0,IF(Swap!$B$26="FRA",_xll.HLV5r3.Analytics.Swaps.Delta0DiscountCoupon( G70, L70, M70, I70),_xll.HLV5r3.Analytics.Swaps.Delta0Coupon( G70, L70, M70, I70)))</f>
        <v>0</v>
      </c>
      <c r="Q70" s="180">
        <f ca="1">IF(U70=0,0,_xll.HLV5r3.Analytics.Swaps.Delta1ForAnAmount( N70, I70, Stream1CompoundingPeriod, U70))</f>
        <v>707.49527432748084</v>
      </c>
      <c r="R70" s="79"/>
      <c r="S70" s="210">
        <f t="shared" ca="1" si="8"/>
        <v>46507</v>
      </c>
      <c r="T70" s="213">
        <f t="shared" ca="1" si="4"/>
        <v>46507</v>
      </c>
      <c r="U70" s="173">
        <f ca="1">IF(C70="#N/A",0,_xll.HLV5r3.Financial.Cache.YearFraction( ValuationDate, C70,"ACT/365.FIXED"))</f>
        <v>8.0986301369863014</v>
      </c>
      <c r="V70" s="79"/>
      <c r="X70" s="207">
        <f ca="1"/>
        <v>46507</v>
      </c>
    </row>
    <row r="71" spans="1:24">
      <c r="A71" s="136">
        <f t="shared" ca="1" si="5"/>
        <v>46598</v>
      </c>
      <c r="B71" s="136">
        <f t="shared" ca="1" si="1"/>
        <v>46689</v>
      </c>
      <c r="C71" s="101">
        <f ca="1">IF(Swap!$B$26="Standard",B71,A71)</f>
        <v>46689</v>
      </c>
      <c r="D71" s="147">
        <v>0</v>
      </c>
      <c r="E71" s="112">
        <f t="shared" ca="1" si="9"/>
        <v>100000000</v>
      </c>
      <c r="F71" s="112">
        <f t="shared" ca="1" si="6"/>
        <v>100000000</v>
      </c>
      <c r="G71" s="112">
        <f t="shared" ca="1" si="7"/>
        <v>100000000</v>
      </c>
      <c r="H71" s="152" t="str">
        <f t="shared" ca="1" si="10"/>
        <v>Coupon</v>
      </c>
      <c r="I71" s="168">
        <f ca="1">IF(C71="#N/A",0,_xll.HLV5r3.Financial.Cache.GetValueFromBase( Stream1DiscountCurve, Swap!$F$4, Stream1!C71))</f>
        <v>0.6430837607836184</v>
      </c>
      <c r="J71" s="117">
        <f ca="1">IF(C71="#N/A","#N/A",_xll.HLV5r3.Financial.Cache.GetValueFromBase(Stream1ForwardCurve, Swap!$F$4, A71))</f>
        <v>0.65260270456442293</v>
      </c>
      <c r="K71" s="169">
        <f ca="1">IF(C71="#N/A","#N/A",_xll.HLV5r3.Financial.Cache.GetValueFromBase(Stream1ForwardCurve, Swap!$F$4, B71))</f>
        <v>0.6430837607836184</v>
      </c>
      <c r="L71" s="115">
        <f ca="1" xml:space="preserve"> IF(G71=0,0,_xll.HLV5r3.Financial.Cache.YearFraction( A71, B71,Swap!$B$25))</f>
        <v>0.24931506849315069</v>
      </c>
      <c r="M71" s="143">
        <f ca="1">IF(I71=0,0,IF($B$2="Fixed",Stream1FixedRate,_xll.HLV5r3.Analytics.Rates.GetRate(J71,K71,L71)+Stream1Spread))</f>
        <v>5.4399999999999997E-2</v>
      </c>
      <c r="N71" s="155">
        <f ca="1">IF(L71="#N/A",L71,IF(Swap!$B$26="Standard",L71*G71*M71,L71*G71*M71/(1+Stream1!L71*Stream1!M71)))</f>
        <v>1356273.9726027397</v>
      </c>
      <c r="O71" s="155">
        <f t="shared" ca="1" si="3"/>
        <v>872197.76695430803</v>
      </c>
      <c r="P71" s="177">
        <f>IF($B$2="FIXED",0,IF(Swap!$B$26="FRA",_xll.HLV5r3.Analytics.Swaps.Delta0DiscountCoupon( G71, L71, M71, I71),_xll.HLV5r3.Analytics.Swaps.Delta0Coupon( G71, L71, M71, I71)))</f>
        <v>0</v>
      </c>
      <c r="Q71" s="180">
        <f ca="1">IF(U71=0,0,_xll.HLV5r3.Analytics.Swaps.Delta1ForAnAmount( N71, I71, Stream1CompoundingPeriod, U71))</f>
        <v>718.60507620802196</v>
      </c>
      <c r="R71" s="79"/>
      <c r="S71" s="210">
        <f t="shared" ca="1" si="8"/>
        <v>46598</v>
      </c>
      <c r="T71" s="213">
        <f t="shared" ca="1" si="4"/>
        <v>46598</v>
      </c>
      <c r="U71" s="173">
        <f ca="1">IF(C71="#N/A",0,_xll.HLV5r3.Financial.Cache.YearFraction( ValuationDate, C71,"ACT/365.FIXED"))</f>
        <v>8.3479452054794514</v>
      </c>
      <c r="V71" s="79"/>
      <c r="X71" s="207">
        <f ca="1"/>
        <v>46598</v>
      </c>
    </row>
    <row r="72" spans="1:24">
      <c r="A72" s="136">
        <f t="shared" ca="1" si="5"/>
        <v>46689</v>
      </c>
      <c r="B72" s="136">
        <f t="shared" ca="1" si="1"/>
        <v>46783</v>
      </c>
      <c r="C72" s="101">
        <f ca="1">IF(Swap!$B$26="Standard",B72,A72)</f>
        <v>46783</v>
      </c>
      <c r="D72" s="147">
        <v>0</v>
      </c>
      <c r="E72" s="112">
        <f t="shared" ca="1" si="9"/>
        <v>100000000</v>
      </c>
      <c r="F72" s="112">
        <f t="shared" ca="1" si="6"/>
        <v>100000000</v>
      </c>
      <c r="G72" s="112">
        <f t="shared" ca="1" si="7"/>
        <v>100000000</v>
      </c>
      <c r="H72" s="152" t="str">
        <f t="shared" ca="1" si="10"/>
        <v>Coupon</v>
      </c>
      <c r="I72" s="168">
        <f ca="1">IF(C72="#N/A",0,_xll.HLV5r3.Financial.Cache.GetValueFromBase( Stream1DiscountCurve, Swap!$F$4, Stream1!C72))</f>
        <v>0.633335049362028</v>
      </c>
      <c r="J72" s="117">
        <f ca="1">IF(C72="#N/A","#N/A",_xll.HLV5r3.Financial.Cache.GetValueFromBase(Stream1ForwardCurve, Swap!$F$4, A72))</f>
        <v>0.6430837607836184</v>
      </c>
      <c r="K72" s="169">
        <f ca="1">IF(C72="#N/A","#N/A",_xll.HLV5r3.Financial.Cache.GetValueFromBase(Stream1ForwardCurve, Swap!$F$4, B72))</f>
        <v>0.633335049362028</v>
      </c>
      <c r="L72" s="115">
        <f ca="1" xml:space="preserve"> IF(G72=0,0,_xll.HLV5r3.Financial.Cache.YearFraction( A72, B72,Swap!$B$25))</f>
        <v>0.25753424657534246</v>
      </c>
      <c r="M72" s="143">
        <f ca="1">IF(I72=0,0,IF($B$2="Fixed",Stream1FixedRate,_xll.HLV5r3.Analytics.Rates.GetRate(J72,K72,L72)+Stream1Spread))</f>
        <v>5.4399999999999997E-2</v>
      </c>
      <c r="N72" s="155">
        <f ca="1">IF(L72="#N/A",L72,IF(Swap!$B$26="Standard",L72*G72*M72,L72*G72*M72/(1+Stream1!L72*Stream1!M72)))</f>
        <v>1400986.3013698629</v>
      </c>
      <c r="O72" s="155">
        <f t="shared" ca="1" si="3"/>
        <v>887293.72833360708</v>
      </c>
      <c r="P72" s="177">
        <f>IF($B$2="FIXED",0,IF(Swap!$B$26="FRA",_xll.HLV5r3.Analytics.Swaps.Delta0DiscountCoupon( G72, L72, M72, I72),_xll.HLV5r3.Analytics.Swaps.Delta0Coupon( G72, L72, M72, I72)))</f>
        <v>0</v>
      </c>
      <c r="Q72" s="180">
        <f ca="1">IF(U72=0,0,_xll.HLV5r3.Analytics.Swaps.Delta1ForAnAmount( N72, I72, Stream1CompoundingPeriod, U72))</f>
        <v>753.5595662027597</v>
      </c>
      <c r="R72" s="79"/>
      <c r="S72" s="210">
        <f t="shared" ca="1" si="8"/>
        <v>46689</v>
      </c>
      <c r="T72" s="213">
        <f t="shared" ca="1" si="4"/>
        <v>46689</v>
      </c>
      <c r="U72" s="173">
        <f ca="1">IF(C72="#N/A",0,_xll.HLV5r3.Financial.Cache.YearFraction( ValuationDate, C72,"ACT/365.FIXED"))</f>
        <v>8.6054794520547944</v>
      </c>
      <c r="V72" s="79"/>
      <c r="X72" s="207">
        <f ca="1"/>
        <v>46689</v>
      </c>
    </row>
    <row r="73" spans="1:24">
      <c r="A73" s="136">
        <f t="shared" ca="1" si="5"/>
        <v>46783</v>
      </c>
      <c r="B73" s="136">
        <f t="shared" ca="1" si="1"/>
        <v>46871</v>
      </c>
      <c r="C73" s="101">
        <f ca="1">IF(Swap!$B$26="Standard",B73,A73)</f>
        <v>46871</v>
      </c>
      <c r="D73" s="147">
        <v>0</v>
      </c>
      <c r="E73" s="112">
        <f t="shared" ca="1" si="9"/>
        <v>100000000</v>
      </c>
      <c r="F73" s="112">
        <f t="shared" ca="1" si="6"/>
        <v>100000000</v>
      </c>
      <c r="G73" s="112">
        <f t="shared" ca="1" si="7"/>
        <v>100000000</v>
      </c>
      <c r="H73" s="152" t="str">
        <f t="shared" ca="1" si="10"/>
        <v>Coupon</v>
      </c>
      <c r="I73" s="168">
        <f ca="1">IF(C73="#N/A",0,_xll.HLV5r3.Financial.Cache.GetValueFromBase( Stream1DiscountCurve, Swap!$F$4, Stream1!C73))</f>
        <v>0.62428654880667822</v>
      </c>
      <c r="J73" s="117">
        <f ca="1">IF(C73="#N/A","#N/A",_xll.HLV5r3.Financial.Cache.GetValueFromBase(Stream1ForwardCurve, Swap!$F$4, A73))</f>
        <v>0.633335049362028</v>
      </c>
      <c r="K73" s="169">
        <f ca="1">IF(C73="#N/A","#N/A",_xll.HLV5r3.Financial.Cache.GetValueFromBase(Stream1ForwardCurve, Swap!$F$4, B73))</f>
        <v>0.62428654880667822</v>
      </c>
      <c r="L73" s="115">
        <f ca="1" xml:space="preserve"> IF(G73=0,0,_xll.HLV5r3.Financial.Cache.YearFraction( A73, B73,Swap!$B$25))</f>
        <v>0.24109589041095891</v>
      </c>
      <c r="M73" s="143">
        <f ca="1">IF(I73=0,0,IF($B$2="Fixed",Stream1FixedRate,_xll.HLV5r3.Analytics.Rates.GetRate(J73,K73,L73)+Stream1Spread))</f>
        <v>5.4399999999999997E-2</v>
      </c>
      <c r="N73" s="155">
        <f ca="1">IF(L73="#N/A",L73,IF(Swap!$B$26="Standard",L73*G73*M73,L73*G73*M73/(1+Stream1!L73*Stream1!M73)))</f>
        <v>1311561.6438356163</v>
      </c>
      <c r="O73" s="155">
        <f t="shared" ca="1" si="3"/>
        <v>818790.29217735061</v>
      </c>
      <c r="P73" s="177">
        <f>IF($B$2="FIXED",0,IF(Swap!$B$26="FRA",_xll.HLV5r3.Analytics.Swaps.Delta0DiscountCoupon( G73, L73, M73, I73),_xll.HLV5r3.Analytics.Swaps.Delta0Coupon( G73, L73, M73, I73)))</f>
        <v>0</v>
      </c>
      <c r="Q73" s="180">
        <f ca="1">IF(U73=0,0,_xll.HLV5r3.Analytics.Swaps.Delta1ForAnAmount( N73, I73, Stream1CompoundingPeriod, U73))</f>
        <v>714.83148035089664</v>
      </c>
      <c r="R73" s="79"/>
      <c r="S73" s="210">
        <f t="shared" ca="1" si="8"/>
        <v>46783</v>
      </c>
      <c r="T73" s="213">
        <f t="shared" ca="1" si="4"/>
        <v>46783</v>
      </c>
      <c r="U73" s="173">
        <f ca="1">IF(C73="#N/A",0,_xll.HLV5r3.Financial.Cache.YearFraction( ValuationDate, C73,"ACT/365.FIXED"))</f>
        <v>8.8465753424657532</v>
      </c>
      <c r="V73" s="79"/>
      <c r="X73" s="207">
        <f ca="1"/>
        <v>46783</v>
      </c>
    </row>
    <row r="74" spans="1:24">
      <c r="A74" s="136">
        <f t="shared" ca="1" si="5"/>
        <v>46871</v>
      </c>
      <c r="B74" s="136">
        <f t="shared" ca="1" si="1"/>
        <v>46965</v>
      </c>
      <c r="C74" s="101">
        <f ca="1">IF(Swap!$B$26="Standard",B74,A74)</f>
        <v>46965</v>
      </c>
      <c r="D74" s="147">
        <v>0</v>
      </c>
      <c r="E74" s="112">
        <f t="shared" ca="1" si="9"/>
        <v>100000000</v>
      </c>
      <c r="F74" s="112">
        <f t="shared" ca="1" si="6"/>
        <v>100000000</v>
      </c>
      <c r="G74" s="112">
        <f t="shared" ca="1" si="7"/>
        <v>100000000</v>
      </c>
      <c r="H74" s="152" t="str">
        <f t="shared" ca="1" si="10"/>
        <v>Coupon</v>
      </c>
      <c r="I74" s="168">
        <f ca="1">IF(C74="#N/A",0,_xll.HLV5r3.Financial.Cache.GetValueFromBase( Stream1DiscountCurve, Swap!$F$4, Stream1!C74))</f>
        <v>0.61473683977489413</v>
      </c>
      <c r="J74" s="117">
        <f ca="1">IF(C74="#N/A","#N/A",_xll.HLV5r3.Financial.Cache.GetValueFromBase(Stream1ForwardCurve, Swap!$F$4, A74))</f>
        <v>0.62428654880667822</v>
      </c>
      <c r="K74" s="169">
        <f ca="1">IF(C74="#N/A","#N/A",_xll.HLV5r3.Financial.Cache.GetValueFromBase(Stream1ForwardCurve, Swap!$F$4, B74))</f>
        <v>0.61473683977489413</v>
      </c>
      <c r="L74" s="115">
        <f ca="1" xml:space="preserve"> IF(G74=0,0,_xll.HLV5r3.Financial.Cache.YearFraction( A74, B74,Swap!$B$25))</f>
        <v>0.25753424657534246</v>
      </c>
      <c r="M74" s="143">
        <f ca="1">IF(I74=0,0,IF($B$2="Fixed",Stream1FixedRate,_xll.HLV5r3.Analytics.Rates.GetRate(J74,K74,L74)+Stream1Spread))</f>
        <v>5.4399999999999997E-2</v>
      </c>
      <c r="N74" s="155">
        <f ca="1">IF(L74="#N/A",L74,IF(Swap!$B$26="Standard",L74*G74*M74,L74*G74*M74/(1+Stream1!L74*Stream1!M74)))</f>
        <v>1400986.3013698629</v>
      </c>
      <c r="O74" s="155">
        <f t="shared" ca="1" si="3"/>
        <v>861237.89147202694</v>
      </c>
      <c r="P74" s="177">
        <f>IF($B$2="FIXED",0,IF(Swap!$B$26="FRA",_xll.HLV5r3.Analytics.Swaps.Delta0DiscountCoupon( G74, L74, M74, I74),_xll.HLV5r3.Analytics.Swaps.Delta0Coupon( G74, L74, M74, I74)))</f>
        <v>0</v>
      </c>
      <c r="Q74" s="180">
        <f ca="1">IF(U74=0,0,_xll.HLV5r3.Analytics.Swaps.Delta1ForAnAmount( N74, I74, Stream1CompoundingPeriod, U74))</f>
        <v>773.74242145987091</v>
      </c>
      <c r="R74" s="79"/>
      <c r="S74" s="210">
        <f t="shared" ca="1" si="8"/>
        <v>46871</v>
      </c>
      <c r="T74" s="213">
        <f t="shared" ca="1" si="4"/>
        <v>46871</v>
      </c>
      <c r="U74" s="173">
        <f ca="1">IF(C74="#N/A",0,_xll.HLV5r3.Financial.Cache.YearFraction( ValuationDate, C74,"ACT/365.FIXED"))</f>
        <v>9.1041095890410961</v>
      </c>
      <c r="V74" s="79"/>
      <c r="X74" s="207">
        <f ca="1"/>
        <v>46871</v>
      </c>
    </row>
    <row r="75" spans="1:24">
      <c r="A75" s="136">
        <f t="shared" ca="1" si="5"/>
        <v>46965</v>
      </c>
      <c r="B75" s="136">
        <f t="shared" ca="1" si="1"/>
        <v>47057</v>
      </c>
      <c r="C75" s="101">
        <f ca="1">IF(Swap!$B$26="Standard",B75,A75)</f>
        <v>47057</v>
      </c>
      <c r="D75" s="147">
        <v>0</v>
      </c>
      <c r="E75" s="112">
        <f t="shared" ca="1" si="9"/>
        <v>100000000</v>
      </c>
      <c r="F75" s="112">
        <f t="shared" ca="1" si="6"/>
        <v>100000000</v>
      </c>
      <c r="G75" s="112">
        <f t="shared" ca="1" si="7"/>
        <v>100000000</v>
      </c>
      <c r="H75" s="152" t="str">
        <f t="shared" ca="1" si="10"/>
        <v>Coupon</v>
      </c>
      <c r="I75" s="168">
        <f ca="1">IF(C75="#N/A",0,_xll.HLV5r3.Financial.Cache.GetValueFromBase( Stream1DiscountCurve, Swap!$F$4, Stream1!C75))</f>
        <v>0.60553123597848746</v>
      </c>
      <c r="J75" s="117">
        <f ca="1">IF(C75="#N/A","#N/A",_xll.HLV5r3.Financial.Cache.GetValueFromBase(Stream1ForwardCurve, Swap!$F$4, A75))</f>
        <v>0.61473683977489413</v>
      </c>
      <c r="K75" s="169">
        <f ca="1">IF(C75="#N/A","#N/A",_xll.HLV5r3.Financial.Cache.GetValueFromBase(Stream1ForwardCurve, Swap!$F$4, B75))</f>
        <v>0.60553123597848746</v>
      </c>
      <c r="L75" s="115">
        <f ca="1" xml:space="preserve"> IF(G75=0,0,_xll.HLV5r3.Financial.Cache.YearFraction( A75, B75,Swap!$B$25))</f>
        <v>0.25205479452054796</v>
      </c>
      <c r="M75" s="143">
        <f ca="1">IF(I75=0,0,IF($B$2="Fixed",Stream1FixedRate,_xll.HLV5r3.Analytics.Rates.GetRate(J75,K75,L75)+Stream1Spread))</f>
        <v>5.4399999999999997E-2</v>
      </c>
      <c r="N75" s="155">
        <f ca="1">IF(L75="#N/A",L75,IF(Swap!$B$26="Standard",L75*G75*M75,L75*G75*M75/(1+Stream1!L75*Stream1!M75)))</f>
        <v>1371178.0821917807</v>
      </c>
      <c r="O75" s="155">
        <f t="shared" ca="1" si="3"/>
        <v>830291.15885620099</v>
      </c>
      <c r="P75" s="177">
        <f>IF($B$2="FIXED",0,IF(Swap!$B$26="FRA",_xll.HLV5r3.Analytics.Swaps.Delta0DiscountCoupon( G75, L75, M75, I75),_xll.HLV5r3.Analytics.Swaps.Delta0Coupon( G75, L75, M75, I75)))</f>
        <v>0</v>
      </c>
      <c r="Q75" s="180">
        <f ca="1">IF(U75=0,0,_xll.HLV5r3.Analytics.Swaps.Delta1ForAnAmount( N75, I75, Stream1CompoundingPeriod, U75))</f>
        <v>766.55891636525234</v>
      </c>
      <c r="R75" s="79"/>
      <c r="S75" s="210">
        <f t="shared" ca="1" si="8"/>
        <v>46965</v>
      </c>
      <c r="T75" s="213">
        <f t="shared" ca="1" si="4"/>
        <v>46965</v>
      </c>
      <c r="U75" s="173">
        <f ca="1">IF(C75="#N/A",0,_xll.HLV5r3.Financial.Cache.YearFraction( ValuationDate, C75,"ACT/365.FIXED"))</f>
        <v>9.3561643835616444</v>
      </c>
      <c r="V75" s="79"/>
      <c r="X75" s="207">
        <f ca="1"/>
        <v>46965</v>
      </c>
    </row>
    <row r="76" spans="1:24">
      <c r="A76" s="136">
        <f t="shared" ca="1" si="5"/>
        <v>47057</v>
      </c>
      <c r="B76" s="136">
        <f t="shared" ca="1" si="1"/>
        <v>47149</v>
      </c>
      <c r="C76" s="101">
        <f ca="1">IF(Swap!$B$26="Standard",B76,A76)</f>
        <v>47149</v>
      </c>
      <c r="D76" s="147">
        <v>0</v>
      </c>
      <c r="E76" s="112">
        <f t="shared" ca="1" si="9"/>
        <v>100000000</v>
      </c>
      <c r="F76" s="112">
        <f t="shared" ca="1" si="6"/>
        <v>100000000</v>
      </c>
      <c r="G76" s="112">
        <f t="shared" ca="1" si="7"/>
        <v>100000000</v>
      </c>
      <c r="H76" s="152" t="str">
        <f t="shared" ca="1" si="10"/>
        <v>Coupon</v>
      </c>
      <c r="I76" s="168">
        <f ca="1">IF(C76="#N/A",0,_xll.HLV5r3.Financial.Cache.GetValueFromBase( Stream1DiscountCurve, Swap!$F$4, Stream1!C76))</f>
        <v>0.59641155471890395</v>
      </c>
      <c r="J76" s="117">
        <f ca="1">IF(C76="#N/A","#N/A",_xll.HLV5r3.Financial.Cache.GetValueFromBase(Stream1ForwardCurve, Swap!$F$4, A76))</f>
        <v>0.60553123597848746</v>
      </c>
      <c r="K76" s="169">
        <f ca="1">IF(C76="#N/A","#N/A",_xll.HLV5r3.Financial.Cache.GetValueFromBase(Stream1ForwardCurve, Swap!$F$4, B76))</f>
        <v>0.59641155471890395</v>
      </c>
      <c r="L76" s="115">
        <f ca="1" xml:space="preserve"> IF(G76=0,0,_xll.HLV5r3.Financial.Cache.YearFraction( A76, B76,Swap!$B$25))</f>
        <v>0.25205479452054796</v>
      </c>
      <c r="M76" s="143">
        <f ca="1">IF(I76=0,0,IF($B$2="Fixed",Stream1FixedRate,_xll.HLV5r3.Analytics.Rates.GetRate(J76,K76,L76)+Stream1Spread))</f>
        <v>5.4399999999999997E-2</v>
      </c>
      <c r="N76" s="155">
        <f ca="1">IF(L76="#N/A",L76,IF(Swap!$B$26="Standard",L76*G76*M76,L76*G76*M76/(1+Stream1!L76*Stream1!M76)))</f>
        <v>1371178.0821917807</v>
      </c>
      <c r="O76" s="155">
        <f t="shared" ca="1" si="3"/>
        <v>817786.45179648499</v>
      </c>
      <c r="P76" s="177">
        <f>IF($B$2="FIXED",0,IF(Swap!$B$26="FRA",_xll.HLV5r3.Analytics.Swaps.Delta0DiscountCoupon( G76, L76, M76, I76),_xll.HLV5r3.Analytics.Swaps.Delta0Coupon( G76, L76, M76, I76)))</f>
        <v>0</v>
      </c>
      <c r="Q76" s="180">
        <f ca="1">IF(U76=0,0,_xll.HLV5r3.Analytics.Swaps.Delta1ForAnAmount( N76, I76, Stream1CompoundingPeriod, U76))</f>
        <v>775.32105316848458</v>
      </c>
      <c r="R76" s="79"/>
      <c r="S76" s="210">
        <f t="shared" ca="1" si="8"/>
        <v>47057</v>
      </c>
      <c r="T76" s="213">
        <f t="shared" ca="1" si="4"/>
        <v>47057</v>
      </c>
      <c r="U76" s="173">
        <f ca="1">IF(C76="#N/A",0,_xll.HLV5r3.Financial.Cache.YearFraction( ValuationDate, C76,"ACT/365.FIXED"))</f>
        <v>9.6082191780821926</v>
      </c>
      <c r="V76" s="79"/>
      <c r="X76" s="207">
        <f ca="1"/>
        <v>47057</v>
      </c>
    </row>
    <row r="77" spans="1:24">
      <c r="A77" s="136">
        <f t="shared" ca="1" si="5"/>
        <v>47149</v>
      </c>
      <c r="B77" s="136">
        <f t="shared" ca="1" si="1"/>
        <v>47238</v>
      </c>
      <c r="C77" s="101">
        <f ca="1">IF(Swap!$B$26="Standard",B77,A77)</f>
        <v>47238</v>
      </c>
      <c r="D77" s="147">
        <v>0</v>
      </c>
      <c r="E77" s="112">
        <f t="shared" ca="1" si="9"/>
        <v>100000000</v>
      </c>
      <c r="F77" s="112">
        <f t="shared" ca="1" si="6"/>
        <v>100000000</v>
      </c>
      <c r="G77" s="112">
        <f t="shared" ca="1" si="7"/>
        <v>100000000</v>
      </c>
      <c r="H77" s="152" t="str">
        <f t="shared" ca="1" si="10"/>
        <v>Coupon</v>
      </c>
      <c r="I77" s="168">
        <f ca="1">IF(C77="#N/A",0,_xll.HLV5r3.Financial.Cache.GetValueFromBase( Stream1DiscountCurve, Swap!$F$4, Stream1!C77))</f>
        <v>0.58767128859889806</v>
      </c>
      <c r="J77" s="117">
        <f ca="1">IF(C77="#N/A","#N/A",_xll.HLV5r3.Financial.Cache.GetValueFromBase(Stream1ForwardCurve, Swap!$F$4, A77))</f>
        <v>0.59641155471890395</v>
      </c>
      <c r="K77" s="169">
        <f ca="1">IF(C77="#N/A","#N/A",_xll.HLV5r3.Financial.Cache.GetValueFromBase(Stream1ForwardCurve, Swap!$F$4, B77))</f>
        <v>0.58767128859889806</v>
      </c>
      <c r="L77" s="115">
        <f ca="1" xml:space="preserve"> IF(G77=0,0,_xll.HLV5r3.Financial.Cache.YearFraction( A77, B77,Swap!$B$25))</f>
        <v>0.24383561643835616</v>
      </c>
      <c r="M77" s="143">
        <f ca="1">IF(I77=0,0,IF($B$2="Fixed",Stream1FixedRate,_xll.HLV5r3.Analytics.Rates.GetRate(J77,K77,L77)+Stream1Spread))</f>
        <v>5.4399999999999997E-2</v>
      </c>
      <c r="N77" s="155">
        <f ca="1">IF(L77="#N/A",L77,IF(Swap!$B$26="Standard",L77*G77*M77,L77*G77*M77/(1+Stream1!L77*Stream1!M77)))</f>
        <v>1326465.7534246575</v>
      </c>
      <c r="O77" s="155">
        <f t="shared" ca="1" si="3"/>
        <v>779525.8385973766</v>
      </c>
      <c r="P77" s="177">
        <f>IF($B$2="FIXED",0,IF(Swap!$B$26="FRA",_xll.HLV5r3.Analytics.Swaps.Delta0DiscountCoupon( G77, L77, M77, I77),_xll.HLV5r3.Analytics.Swaps.Delta0Coupon( G77, L77, M77, I77)))</f>
        <v>0</v>
      </c>
      <c r="Q77" s="180">
        <f ca="1">IF(U77=0,0,_xll.HLV5r3.Analytics.Swaps.Delta1ForAnAmount( N77, I77, Stream1CompoundingPeriod, U77))</f>
        <v>757.77135644780299</v>
      </c>
      <c r="R77" s="79"/>
      <c r="S77" s="210">
        <f t="shared" ca="1" si="8"/>
        <v>47149</v>
      </c>
      <c r="T77" s="213">
        <f t="shared" ca="1" si="4"/>
        <v>47149</v>
      </c>
      <c r="U77" s="173">
        <f ca="1">IF(C77="#N/A",0,_xll.HLV5r3.Financial.Cache.YearFraction( ValuationDate, C77,"ACT/365.FIXED"))</f>
        <v>9.8520547945205479</v>
      </c>
      <c r="V77" s="79"/>
      <c r="X77" s="207">
        <f ca="1"/>
        <v>47149</v>
      </c>
    </row>
    <row r="78" spans="1:24">
      <c r="A78" s="136">
        <f t="shared" ca="1" si="5"/>
        <v>47238</v>
      </c>
      <c r="B78" s="136">
        <f t="shared" ca="1" si="1"/>
        <v>47330</v>
      </c>
      <c r="C78" s="101">
        <f ca="1">IF(Swap!$B$26="Standard",B78,A78)</f>
        <v>47330</v>
      </c>
      <c r="D78" s="147">
        <v>0</v>
      </c>
      <c r="E78" s="112">
        <f t="shared" ca="1" si="9"/>
        <v>100000000</v>
      </c>
      <c r="F78" s="112">
        <f t="shared" ca="1" si="6"/>
        <v>100000000</v>
      </c>
      <c r="G78" s="112">
        <f t="shared" ca="1" si="7"/>
        <v>100000000</v>
      </c>
      <c r="H78" s="152" t="str">
        <f t="shared" ca="1" si="10"/>
        <v>Coupon</v>
      </c>
      <c r="I78" s="168">
        <f ca="1">IF(C78="#N/A",0,_xll.HLV5r3.Financial.Cache.GetValueFromBase( Stream1DiscountCurve, Swap!$F$4, Stream1!C78))</f>
        <v>0.57898561581270835</v>
      </c>
      <c r="J78" s="117">
        <f ca="1">IF(C78="#N/A","#N/A",_xll.HLV5r3.Financial.Cache.GetValueFromBase(Stream1ForwardCurve, Swap!$F$4, A78))</f>
        <v>0.58767128859889806</v>
      </c>
      <c r="K78" s="169">
        <f ca="1">IF(C78="#N/A","#N/A",_xll.HLV5r3.Financial.Cache.GetValueFromBase(Stream1ForwardCurve, Swap!$F$4, B78))</f>
        <v>0.57898561581270835</v>
      </c>
      <c r="L78" s="115">
        <f ca="1" xml:space="preserve"> IF(G78=0,0,_xll.HLV5r3.Financial.Cache.YearFraction( A78, B78,Swap!$B$25))</f>
        <v>0.25205479452054796</v>
      </c>
      <c r="M78" s="143">
        <f ca="1">IF(I78=0,0,IF($B$2="Fixed",Stream1FixedRate,_xll.HLV5r3.Analytics.Rates.GetRate(J78,K78,L78)+Stream1Spread))</f>
        <v>5.4399999999999997E-2</v>
      </c>
      <c r="N78" s="155">
        <f ca="1">IF(L78="#N/A",L78,IF(Swap!$B$26="Standard",L78*G78*M78,L78*G78*M78/(1+Stream1!L78*Stream1!M78)))</f>
        <v>1371178.0821917807</v>
      </c>
      <c r="O78" s="155">
        <f t="shared" ca="1" si="3"/>
        <v>793892.38630669657</v>
      </c>
      <c r="P78" s="177">
        <f>IF($B$2="FIXED",0,IF(Swap!$B$26="FRA",_xll.HLV5r3.Analytics.Swaps.Delta0DiscountCoupon( G78, L78, M78, I78),_xll.HLV5r3.Analytics.Swaps.Delta0Coupon( G78, L78, M78, I78)))</f>
        <v>0</v>
      </c>
      <c r="Q78" s="180">
        <f ca="1">IF(U78=0,0,_xll.HLV5r3.Analytics.Swaps.Delta1ForAnAmount( N78, I78, Stream1CompoundingPeriod, U78))</f>
        <v>791.45615196165886</v>
      </c>
      <c r="R78" s="79"/>
      <c r="S78" s="210">
        <f t="shared" ca="1" si="8"/>
        <v>47238</v>
      </c>
      <c r="T78" s="213">
        <f t="shared" ca="1" si="4"/>
        <v>47238</v>
      </c>
      <c r="U78" s="173">
        <f ca="1">IF(C78="#N/A",0,_xll.HLV5r3.Financial.Cache.YearFraction( ValuationDate, C78,"ACT/365.FIXED"))</f>
        <v>10.104109589041096</v>
      </c>
      <c r="V78" s="79"/>
      <c r="X78" s="207">
        <f ca="1"/>
        <v>47238</v>
      </c>
    </row>
    <row r="79" spans="1:24">
      <c r="A79" s="136">
        <f t="shared" ca="1" si="5"/>
        <v>47330</v>
      </c>
      <c r="B79" s="136">
        <f t="shared" ca="1" si="1"/>
        <v>47422</v>
      </c>
      <c r="C79" s="101">
        <f ca="1">IF(Swap!$B$26="Standard",B79,A79)</f>
        <v>47422</v>
      </c>
      <c r="D79" s="147">
        <v>0</v>
      </c>
      <c r="E79" s="112">
        <f t="shared" ca="1" si="9"/>
        <v>100000000</v>
      </c>
      <c r="F79" s="112">
        <f t="shared" ca="1" si="6"/>
        <v>100000000</v>
      </c>
      <c r="G79" s="112">
        <f t="shared" ca="1" si="7"/>
        <v>100000000</v>
      </c>
      <c r="H79" s="153" t="str">
        <f t="shared" ca="1" si="10"/>
        <v>Coupon</v>
      </c>
      <c r="I79" s="168">
        <f ca="1">IF(C79="#N/A",0,_xll.HLV5r3.Financial.Cache.GetValueFromBase( Stream1DiscountCurve, Swap!$F$4, Stream1!C79))</f>
        <v>0.57084691353023498</v>
      </c>
      <c r="J79" s="117">
        <f ca="1">IF(C79="#N/A","#N/A",_xll.HLV5r3.Financial.Cache.GetValueFromBase(Stream1ForwardCurve, Swap!$F$4, A79))</f>
        <v>0.57898561581270835</v>
      </c>
      <c r="K79" s="169">
        <f ca="1">IF(C79="#N/A","#N/A",_xll.HLV5r3.Financial.Cache.GetValueFromBase(Stream1ForwardCurve, Swap!$F$4, B79))</f>
        <v>0.57084691353023498</v>
      </c>
      <c r="L79" s="115">
        <f ca="1" xml:space="preserve"> IF(G79=0,0,_xll.HLV5r3.Financial.Cache.YearFraction( A79, B79,Swap!$B$25))</f>
        <v>0.25205479452054796</v>
      </c>
      <c r="M79" s="143">
        <f ca="1">IF(I79=0,0,IF($B$2="Fixed",Stream1FixedRate,_xll.HLV5r3.Analytics.Rates.GetRate(J79,K79,L79)+Stream1Spread))</f>
        <v>5.4399999999999997E-2</v>
      </c>
      <c r="N79" s="155">
        <f ca="1">IF(L79="#N/A",L79,IF(Swap!$B$26="Standard",L79*G79*M79,L79*G79*M79/(1+Stream1!L79*Stream1!M79)))</f>
        <v>1371178.0821917807</v>
      </c>
      <c r="O79" s="155">
        <f t="shared" ca="1" si="3"/>
        <v>782732.7761194848</v>
      </c>
      <c r="P79" s="177">
        <f>IF($B$2="FIXED",0,IF(Swap!$B$26="FRA",_xll.HLV5r3.Analytics.Swaps.Delta0DiscountCoupon( G79, L79, M79, I79),_xll.HLV5r3.Analytics.Swaps.Delta0Coupon( G79, L79, M79, I79)))</f>
        <v>0</v>
      </c>
      <c r="Q79" s="180">
        <f ca="1">IF(U79=0,0,_xll.HLV5r3.Analytics.Swaps.Delta1ForAnAmount( N79, I79, Stream1CompoundingPeriod, U79))</f>
        <v>799.78675309577397</v>
      </c>
      <c r="R79" s="48"/>
      <c r="S79" s="210">
        <f t="shared" ca="1" si="8"/>
        <v>47330</v>
      </c>
      <c r="T79" s="213">
        <f t="shared" ca="1" si="4"/>
        <v>47330</v>
      </c>
      <c r="U79" s="173">
        <f ca="1">IF(C79="#N/A",0,_xll.HLV5r3.Financial.Cache.YearFraction( ValuationDate, C79,"ACT/365.FIXED"))</f>
        <v>10.356164383561644</v>
      </c>
      <c r="V79" s="48"/>
      <c r="X79" s="207">
        <f ca="1"/>
        <v>47330</v>
      </c>
    </row>
    <row r="80" spans="1:24">
      <c r="A80" s="136">
        <f t="shared" ca="1" si="5"/>
        <v>47422</v>
      </c>
      <c r="B80" s="136">
        <f t="shared" ca="1" si="1"/>
        <v>47514</v>
      </c>
      <c r="C80" s="101">
        <f ca="1">IF(Swap!$B$26="Standard",B80,A80)</f>
        <v>47514</v>
      </c>
      <c r="D80" s="147">
        <v>0</v>
      </c>
      <c r="E80" s="112">
        <f t="shared" ca="1" si="9"/>
        <v>100000000</v>
      </c>
      <c r="F80" s="112">
        <f t="shared" ca="1" si="6"/>
        <v>100000000</v>
      </c>
      <c r="G80" s="112">
        <f t="shared" ca="1" si="7"/>
        <v>100000000</v>
      </c>
      <c r="H80" s="152" t="str">
        <f t="shared" ca="1" si="10"/>
        <v>Coupon</v>
      </c>
      <c r="I80" s="168">
        <f ca="1">IF(C80="#N/A",0,_xll.HLV5r3.Financial.Cache.GetValueFromBase( Stream1DiscountCurve, Swap!$F$4, Stream1!C80))</f>
        <v>0.56280825671685741</v>
      </c>
      <c r="J80" s="117">
        <f ca="1">IF(C80="#N/A","#N/A",_xll.HLV5r3.Financial.Cache.GetValueFromBase(Stream1ForwardCurve, Swap!$F$4, A80))</f>
        <v>0.57084691353023498</v>
      </c>
      <c r="K80" s="169">
        <f ca="1">IF(C80="#N/A","#N/A",_xll.HLV5r3.Financial.Cache.GetValueFromBase(Stream1ForwardCurve, Swap!$F$4, B80))</f>
        <v>0.56280825671685741</v>
      </c>
      <c r="L80" s="115">
        <f ca="1" xml:space="preserve"> IF(G80=0,0,_xll.HLV5r3.Financial.Cache.YearFraction( A80, B80,Swap!$B$25))</f>
        <v>0.25205479452054796</v>
      </c>
      <c r="M80" s="143">
        <f ca="1">IF(I80=0,0,IF($B$2="Fixed",Stream1FixedRate,_xll.HLV5r3.Analytics.Rates.GetRate(J80,K80,L80)+Stream1Spread))</f>
        <v>5.4399999999999997E-2</v>
      </c>
      <c r="N80" s="155">
        <f ca="1">IF(L80="#N/A",L80,IF(Swap!$B$26="Standard",L80*G80*M80,L80*G80*M80/(1+Stream1!L80*Stream1!M80)))</f>
        <v>1371178.0821917807</v>
      </c>
      <c r="O80" s="155">
        <f t="shared" ca="1" si="3"/>
        <v>771710.34608671989</v>
      </c>
      <c r="P80" s="177">
        <f>IF($B$2="FIXED",0,IF(Swap!$B$26="FRA",_xll.HLV5r3.Analytics.Swaps.Delta0DiscountCoupon( G80, L80, M80, I80),_xll.HLV5r3.Analytics.Swaps.Delta0Coupon( G80, L80, M80, I80)))</f>
        <v>0</v>
      </c>
      <c r="Q80" s="180">
        <f ca="1">IF(U80=0,0,_xll.HLV5r3.Analytics.Swaps.Delta1ForAnAmount( N80, I80, Stream1CompoundingPeriod, U80))</f>
        <v>807.70567733889732</v>
      </c>
      <c r="R80" s="79"/>
      <c r="S80" s="210">
        <f t="shared" ca="1" si="8"/>
        <v>47422</v>
      </c>
      <c r="T80" s="213">
        <f t="shared" ca="1" si="4"/>
        <v>47422</v>
      </c>
      <c r="U80" s="173">
        <f ca="1">IF(C80="#N/A",0,_xll.HLV5r3.Financial.Cache.YearFraction( ValuationDate, C80,"ACT/365.FIXED"))</f>
        <v>10.608219178082193</v>
      </c>
      <c r="V80" s="79"/>
      <c r="X80" s="207">
        <f ca="1"/>
        <v>47422</v>
      </c>
    </row>
    <row r="81" spans="1:24">
      <c r="A81" s="136">
        <f t="shared" ca="1" si="5"/>
        <v>47514</v>
      </c>
      <c r="B81" s="136">
        <f t="shared" ref="B81:B144" ca="1" si="11">IF(A81="#N/A", "#N/A",IF(A82="#N/A",$C$13,A82))</f>
        <v>47603</v>
      </c>
      <c r="C81" s="101">
        <f ca="1">IF(Swap!$B$26="Standard",B81,A81)</f>
        <v>47603</v>
      </c>
      <c r="D81" s="147">
        <v>0</v>
      </c>
      <c r="E81" s="112">
        <f t="shared" ca="1" si="9"/>
        <v>100000000</v>
      </c>
      <c r="F81" s="112">
        <f t="shared" ca="1" si="6"/>
        <v>100000000</v>
      </c>
      <c r="G81" s="112">
        <f t="shared" ca="1" si="7"/>
        <v>100000000</v>
      </c>
      <c r="H81" s="152" t="str">
        <f t="shared" ca="1" si="10"/>
        <v>Coupon</v>
      </c>
      <c r="I81" s="168">
        <f ca="1">IF(C81="#N/A",0,_xll.HLV5r3.Financial.Cache.GetValueFromBase( Stream1DiscountCurve, Swap!$F$4, Stream1!C81))</f>
        <v>0.55512599260940743</v>
      </c>
      <c r="J81" s="117">
        <f ca="1">IF(C81="#N/A","#N/A",_xll.HLV5r3.Financial.Cache.GetValueFromBase(Stream1ForwardCurve, Swap!$F$4, A81))</f>
        <v>0.56280825671685741</v>
      </c>
      <c r="K81" s="169">
        <f ca="1">IF(C81="#N/A","#N/A",_xll.HLV5r3.Financial.Cache.GetValueFromBase(Stream1ForwardCurve, Swap!$F$4, B81))</f>
        <v>0.55512599260940743</v>
      </c>
      <c r="L81" s="115">
        <f ca="1" xml:space="preserve"> IF(G81=0,0,_xll.HLV5r3.Financial.Cache.YearFraction( A81, B81,Swap!$B$25))</f>
        <v>0.24383561643835616</v>
      </c>
      <c r="M81" s="143">
        <f ca="1">IF(I81=0,0,IF($B$2="Fixed",Stream1FixedRate,_xll.HLV5r3.Analytics.Rates.GetRate(J81,K81,L81)+Stream1Spread))</f>
        <v>5.4399999999999997E-2</v>
      </c>
      <c r="N81" s="155">
        <f ca="1">IF(L81="#N/A",L81,IF(Swap!$B$26="Standard",L81*G81*M81,L81*G81*M81/(1+Stream1!L81*Stream1!M81)))</f>
        <v>1326465.7534246575</v>
      </c>
      <c r="O81" s="155">
        <f t="shared" ref="O81:O144" ca="1" si="12">IF(N81="#N/A",N81,N81*I81)</f>
        <v>736355.61803224846</v>
      </c>
      <c r="P81" s="177">
        <f>IF($B$2="FIXED",0,IF(Swap!$B$26="FRA",_xll.HLV5r3.Analytics.Swaps.Delta0DiscountCoupon( G81, L81, M81, I81),_xll.HLV5r3.Analytics.Swaps.Delta0Coupon( G81, L81, M81, I81)))</f>
        <v>0</v>
      </c>
      <c r="Q81" s="180">
        <f ca="1">IF(U81=0,0,_xll.HLV5r3.Analytics.Swaps.Delta1ForAnAmount( N81, I81, Stream1CompoundingPeriod, U81))</f>
        <v>788.40735175907901</v>
      </c>
      <c r="R81" s="79"/>
      <c r="S81" s="210">
        <f t="shared" ca="1" si="8"/>
        <v>47514</v>
      </c>
      <c r="T81" s="213">
        <f t="shared" ref="T81:T112" ca="1" si="13">X81</f>
        <v>47514</v>
      </c>
      <c r="U81" s="173">
        <f ca="1">IF(C81="#N/A",0,_xll.HLV5r3.Financial.Cache.YearFraction( ValuationDate, C81,"ACT/365.FIXED"))</f>
        <v>10.852054794520548</v>
      </c>
      <c r="V81" s="79"/>
      <c r="X81" s="207">
        <f ca="1"/>
        <v>47514</v>
      </c>
    </row>
    <row r="82" spans="1:24">
      <c r="A82" s="136">
        <f t="shared" ref="A82:A145" ca="1" si="14">IF(S83="#N/A", "#N/A",S82)</f>
        <v>47603</v>
      </c>
      <c r="B82" s="136">
        <f t="shared" ca="1" si="11"/>
        <v>47695</v>
      </c>
      <c r="C82" s="101">
        <f ca="1">IF(Swap!$B$26="Standard",B82,A82)</f>
        <v>47695</v>
      </c>
      <c r="D82" s="147">
        <v>0</v>
      </c>
      <c r="E82" s="112">
        <f t="shared" ca="1" si="9"/>
        <v>100000000</v>
      </c>
      <c r="F82" s="112">
        <f t="shared" ref="F82:F145" ca="1" si="15">E82</f>
        <v>100000000</v>
      </c>
      <c r="G82" s="112">
        <f t="shared" ref="G82:G145" ca="1" si="16">F82</f>
        <v>100000000</v>
      </c>
      <c r="H82" s="152" t="str">
        <f t="shared" ca="1" si="10"/>
        <v>Coupon</v>
      </c>
      <c r="I82" s="168">
        <f ca="1">IF(C82="#N/A",0,_xll.HLV5r3.Financial.Cache.GetValueFromBase( Stream1DiscountCurve, Swap!$F$4, Stream1!C82))</f>
        <v>0.54728124779721554</v>
      </c>
      <c r="J82" s="117">
        <f ca="1">IF(C82="#N/A","#N/A",_xll.HLV5r3.Financial.Cache.GetValueFromBase(Stream1ForwardCurve, Swap!$F$4, A82))</f>
        <v>0.55512599260940743</v>
      </c>
      <c r="K82" s="169">
        <f ca="1">IF(C82="#N/A","#N/A",_xll.HLV5r3.Financial.Cache.GetValueFromBase(Stream1ForwardCurve, Swap!$F$4, B82))</f>
        <v>0.54728124779721554</v>
      </c>
      <c r="L82" s="115">
        <f ca="1" xml:space="preserve"> IF(G82=0,0,_xll.HLV5r3.Financial.Cache.YearFraction( A82, B82,Swap!$B$25))</f>
        <v>0.25205479452054796</v>
      </c>
      <c r="M82" s="143">
        <f ca="1">IF(I82=0,0,IF($B$2="Fixed",Stream1FixedRate,_xll.HLV5r3.Analytics.Rates.GetRate(J82,K82,L82)+Stream1Spread))</f>
        <v>5.4399999999999997E-2</v>
      </c>
      <c r="N82" s="155">
        <f ca="1">IF(L82="#N/A",L82,IF(Swap!$B$26="Standard",L82*G82*M82,L82*G82*M82/(1+Stream1!L82*Stream1!M82)))</f>
        <v>1371178.0821917807</v>
      </c>
      <c r="O82" s="155">
        <f t="shared" ca="1" si="12"/>
        <v>750420.05177411065</v>
      </c>
      <c r="P82" s="177">
        <f>IF($B$2="FIXED",0,IF(Swap!$B$26="FRA",_xll.HLV5r3.Analytics.Swaps.Delta0DiscountCoupon( G82, L82, M82, I82),_xll.HLV5r3.Analytics.Swaps.Delta0Coupon( G82, L82, M82, I82)))</f>
        <v>0</v>
      </c>
      <c r="Q82" s="180">
        <f ca="1">IF(U82=0,0,_xll.HLV5r3.Analytics.Swaps.Delta1ForAnAmount( N82, I82, Stream1CompoundingPeriod, U82))</f>
        <v>822.11738039161821</v>
      </c>
      <c r="R82" s="79"/>
      <c r="S82" s="210">
        <f t="shared" ref="S82:S112" ca="1" si="17">IF(ISERROR(T82), "#N/A",IF(T82="","#N/A",T82+D82))</f>
        <v>47603</v>
      </c>
      <c r="T82" s="213">
        <f t="shared" ca="1" si="13"/>
        <v>47603</v>
      </c>
      <c r="U82" s="173">
        <f ca="1">IF(C82="#N/A",0,_xll.HLV5r3.Financial.Cache.YearFraction( ValuationDate, C82,"ACT/365.FIXED"))</f>
        <v>11.104109589041096</v>
      </c>
      <c r="V82" s="79"/>
      <c r="X82" s="207">
        <f ca="1"/>
        <v>47603</v>
      </c>
    </row>
    <row r="83" spans="1:24">
      <c r="A83" s="136">
        <f t="shared" ca="1" si="14"/>
        <v>47695</v>
      </c>
      <c r="B83" s="136">
        <f t="shared" ca="1" si="11"/>
        <v>47787</v>
      </c>
      <c r="C83" s="101">
        <f ca="1">IF(Swap!$B$26="Standard",B83,A83)</f>
        <v>47787</v>
      </c>
      <c r="D83" s="147">
        <v>0</v>
      </c>
      <c r="E83" s="112">
        <f t="shared" ca="1" si="9"/>
        <v>100000000</v>
      </c>
      <c r="F83" s="112">
        <f t="shared" ca="1" si="15"/>
        <v>100000000</v>
      </c>
      <c r="G83" s="112">
        <f t="shared" ca="1" si="16"/>
        <v>100000000</v>
      </c>
      <c r="H83" s="152" t="str">
        <f t="shared" ca="1" si="10"/>
        <v>Coupon</v>
      </c>
      <c r="I83" s="168">
        <f ca="1">IF(C83="#N/A",0,_xll.HLV5r3.Financial.Cache.GetValueFromBase( Stream1DiscountCurve, Swap!$F$4, Stream1!C83))</f>
        <v>0.53953359643572851</v>
      </c>
      <c r="J83" s="117">
        <f ca="1">IF(C83="#N/A","#N/A",_xll.HLV5r3.Financial.Cache.GetValueFromBase(Stream1ForwardCurve, Swap!$F$4, A83))</f>
        <v>0.54728124779721554</v>
      </c>
      <c r="K83" s="169">
        <f ca="1">IF(C83="#N/A","#N/A",_xll.HLV5r3.Financial.Cache.GetValueFromBase(Stream1ForwardCurve, Swap!$F$4, B83))</f>
        <v>0.53953359643572851</v>
      </c>
      <c r="L83" s="115">
        <f ca="1" xml:space="preserve"> IF(G83=0,0,_xll.HLV5r3.Financial.Cache.YearFraction( A83, B83,Swap!$B$25))</f>
        <v>0.25205479452054796</v>
      </c>
      <c r="M83" s="143">
        <f ca="1">IF(I83=0,0,IF($B$2="Fixed",Stream1FixedRate,_xll.HLV5r3.Analytics.Rates.GetRate(J83,K83,L83)+Stream1Spread))</f>
        <v>5.4399999999999997E-2</v>
      </c>
      <c r="N83" s="155">
        <f ca="1">IF(L83="#N/A",L83,IF(Swap!$B$26="Standard",L83*G83*M83,L83*G83*M83/(1+Stream1!L83*Stream1!M83)))</f>
        <v>1371178.0821917807</v>
      </c>
      <c r="O83" s="155">
        <f t="shared" ca="1" si="12"/>
        <v>739796.64203877642</v>
      </c>
      <c r="P83" s="177">
        <f>IF($B$2="FIXED",0,IF(Swap!$B$26="FRA",_xll.HLV5r3.Analytics.Swaps.Delta0DiscountCoupon( G83, L83, M83, I83),_xll.HLV5r3.Analytics.Swaps.Delta0Coupon( G83, L83, M83, I83)))</f>
        <v>0</v>
      </c>
      <c r="Q83" s="180">
        <f ca="1">IF(U83=0,0,_xll.HLV5r3.Analytics.Swaps.Delta1ForAnAmount( N83, I83, Stream1CompoundingPeriod, U83))</f>
        <v>828.86588302124301</v>
      </c>
      <c r="R83" s="79"/>
      <c r="S83" s="210">
        <f t="shared" ca="1" si="17"/>
        <v>47695</v>
      </c>
      <c r="T83" s="213">
        <f t="shared" ca="1" si="13"/>
        <v>47695</v>
      </c>
      <c r="U83" s="173">
        <f ca="1">IF(C83="#N/A",0,_xll.HLV5r3.Financial.Cache.YearFraction( ValuationDate, C83,"ACT/365.FIXED"))</f>
        <v>11.356164383561644</v>
      </c>
      <c r="V83" s="79"/>
      <c r="X83" s="207">
        <f ca="1"/>
        <v>47695</v>
      </c>
    </row>
    <row r="84" spans="1:24">
      <c r="A84" s="136">
        <f t="shared" ca="1" si="14"/>
        <v>47787</v>
      </c>
      <c r="B84" s="136">
        <f t="shared" ca="1" si="11"/>
        <v>47879</v>
      </c>
      <c r="C84" s="101">
        <f ca="1">IF(Swap!$B$26="Standard",B84,A84)</f>
        <v>47879</v>
      </c>
      <c r="D84" s="147">
        <v>0</v>
      </c>
      <c r="E84" s="112">
        <f t="shared" ca="1" si="9"/>
        <v>100000000</v>
      </c>
      <c r="F84" s="112">
        <f t="shared" ca="1" si="15"/>
        <v>100000000</v>
      </c>
      <c r="G84" s="112">
        <f t="shared" ca="1" si="16"/>
        <v>100000000</v>
      </c>
      <c r="H84" s="152" t="str">
        <f t="shared" ca="1" si="10"/>
        <v>Coupon</v>
      </c>
      <c r="I84" s="168">
        <f ca="1">IF(C84="#N/A",0,_xll.HLV5r3.Financial.Cache.GetValueFromBase( Stream1DiscountCurve, Swap!$F$4, Stream1!C84))</f>
        <v>0.53188205676772227</v>
      </c>
      <c r="J84" s="117">
        <f ca="1">IF(C84="#N/A","#N/A",_xll.HLV5r3.Financial.Cache.GetValueFromBase(Stream1ForwardCurve, Swap!$F$4, A84))</f>
        <v>0.53953359643572851</v>
      </c>
      <c r="K84" s="169">
        <f ca="1">IF(C84="#N/A","#N/A",_xll.HLV5r3.Financial.Cache.GetValueFromBase(Stream1ForwardCurve, Swap!$F$4, B84))</f>
        <v>0.53188205676772227</v>
      </c>
      <c r="L84" s="115">
        <f ca="1" xml:space="preserve"> IF(G84=0,0,_xll.HLV5r3.Financial.Cache.YearFraction( A84, B84,Swap!$B$25))</f>
        <v>0.25205479452054796</v>
      </c>
      <c r="M84" s="143">
        <f ca="1">IF(I84=0,0,IF($B$2="Fixed",Stream1FixedRate,_xll.HLV5r3.Analytics.Rates.GetRate(J84,K84,L84)+Stream1Spread))</f>
        <v>5.4399999999999997E-2</v>
      </c>
      <c r="N84" s="155">
        <f ca="1">IF(L84="#N/A",L84,IF(Swap!$B$26="Standard",L84*G84*M84,L84*G84*M84/(1+Stream1!L84*Stream1!M84)))</f>
        <v>1371178.0821917807</v>
      </c>
      <c r="O84" s="155">
        <f t="shared" ca="1" si="12"/>
        <v>729305.01855098526</v>
      </c>
      <c r="P84" s="177">
        <f>IF($B$2="FIXED",0,IF(Swap!$B$26="FRA",_xll.HLV5r3.Analytics.Swaps.Delta0DiscountCoupon( G84, L84, M84, I84),_xll.HLV5r3.Analytics.Swaps.Delta0Coupon( G84, L84, M84, I84)))</f>
        <v>0</v>
      </c>
      <c r="Q84" s="180">
        <f ca="1">IF(U84=0,0,_xll.HLV5r3.Analytics.Swaps.Delta1ForAnAmount( N84, I84, Stream1CompoundingPeriod, U84))</f>
        <v>835.23679308230362</v>
      </c>
      <c r="R84" s="79"/>
      <c r="S84" s="210">
        <f t="shared" ca="1" si="17"/>
        <v>47787</v>
      </c>
      <c r="T84" s="213">
        <f t="shared" ca="1" si="13"/>
        <v>47787</v>
      </c>
      <c r="U84" s="173">
        <f ca="1">IF(C84="#N/A",0,_xll.HLV5r3.Financial.Cache.YearFraction( ValuationDate, C84,"ACT/365.FIXED"))</f>
        <v>11.608219178082193</v>
      </c>
      <c r="V84" s="79"/>
      <c r="X84" s="207">
        <f ca="1"/>
        <v>47787</v>
      </c>
    </row>
    <row r="85" spans="1:24">
      <c r="A85" s="136">
        <f t="shared" ca="1" si="14"/>
        <v>47879</v>
      </c>
      <c r="B85" s="136">
        <f t="shared" ca="1" si="11"/>
        <v>47968</v>
      </c>
      <c r="C85" s="101">
        <f ca="1">IF(Swap!$B$26="Standard",B85,A85)</f>
        <v>47968</v>
      </c>
      <c r="D85" s="147">
        <v>0</v>
      </c>
      <c r="E85" s="112">
        <f t="shared" ca="1" si="9"/>
        <v>100000000</v>
      </c>
      <c r="F85" s="112">
        <f t="shared" ca="1" si="15"/>
        <v>100000000</v>
      </c>
      <c r="G85" s="112">
        <f t="shared" ca="1" si="16"/>
        <v>100000000</v>
      </c>
      <c r="H85" s="152" t="str">
        <f t="shared" ca="1" si="10"/>
        <v>Coupon</v>
      </c>
      <c r="I85" s="168">
        <f ca="1">IF(C85="#N/A",0,_xll.HLV5r3.Financial.Cache.GetValueFromBase( Stream1DiscountCurve, Swap!$F$4, Stream1!C85))</f>
        <v>0.52457056755986153</v>
      </c>
      <c r="J85" s="117">
        <f ca="1">IF(C85="#N/A","#N/A",_xll.HLV5r3.Financial.Cache.GetValueFromBase(Stream1ForwardCurve, Swap!$F$4, A85))</f>
        <v>0.53188205676772227</v>
      </c>
      <c r="K85" s="169">
        <f ca="1">IF(C85="#N/A","#N/A",_xll.HLV5r3.Financial.Cache.GetValueFromBase(Stream1ForwardCurve, Swap!$F$4, B85))</f>
        <v>0.52457056755986153</v>
      </c>
      <c r="L85" s="115">
        <f ca="1" xml:space="preserve"> IF(G85=0,0,_xll.HLV5r3.Financial.Cache.YearFraction( A85, B85,Swap!$B$25))</f>
        <v>0.24383561643835616</v>
      </c>
      <c r="M85" s="143">
        <f ca="1">IF(I85=0,0,IF($B$2="Fixed",Stream1FixedRate,_xll.HLV5r3.Analytics.Rates.GetRate(J85,K85,L85)+Stream1Spread))</f>
        <v>5.4399999999999997E-2</v>
      </c>
      <c r="N85" s="155">
        <f ca="1">IF(L85="#N/A",L85,IF(Swap!$B$26="Standard",L85*G85*M85,L85*G85*M85/(1+Stream1!L85*Stream1!M85)))</f>
        <v>1326465.7534246575</v>
      </c>
      <c r="O85" s="155">
        <f t="shared" ca="1" si="12"/>
        <v>695824.89312269189</v>
      </c>
      <c r="P85" s="177">
        <f>IF($B$2="FIXED",0,IF(Swap!$B$26="FRA",_xll.HLV5r3.Analytics.Swaps.Delta0DiscountCoupon( G85, L85, M85, I85),_xll.HLV5r3.Analytics.Swaps.Delta0Coupon( G85, L85, M85, I85)))</f>
        <v>0</v>
      </c>
      <c r="Q85" s="180">
        <f ca="1">IF(U85=0,0,_xll.HLV5r3.Analytics.Swaps.Delta1ForAnAmount( N85, I85, Stream1CompoundingPeriod, U85))</f>
        <v>813.6229353802654</v>
      </c>
      <c r="R85" s="79"/>
      <c r="S85" s="210">
        <f t="shared" ca="1" si="17"/>
        <v>47879</v>
      </c>
      <c r="T85" s="213">
        <f t="shared" ca="1" si="13"/>
        <v>47879</v>
      </c>
      <c r="U85" s="173">
        <f ca="1">IF(C85="#N/A",0,_xll.HLV5r3.Financial.Cache.YearFraction( ValuationDate, C85,"ACT/365.FIXED"))</f>
        <v>11.852054794520548</v>
      </c>
      <c r="V85" s="79"/>
      <c r="X85" s="207">
        <f ca="1"/>
        <v>47879</v>
      </c>
    </row>
    <row r="86" spans="1:24">
      <c r="A86" s="136">
        <f t="shared" ca="1" si="14"/>
        <v>47968</v>
      </c>
      <c r="B86" s="136">
        <f t="shared" ca="1" si="11"/>
        <v>48060</v>
      </c>
      <c r="C86" s="101">
        <f ca="1">IF(Swap!$B$26="Standard",B86,A86)</f>
        <v>48060</v>
      </c>
      <c r="D86" s="147">
        <v>0</v>
      </c>
      <c r="E86" s="112">
        <f t="shared" ca="1" si="9"/>
        <v>100000000</v>
      </c>
      <c r="F86" s="112">
        <f t="shared" ca="1" si="15"/>
        <v>100000000</v>
      </c>
      <c r="G86" s="112">
        <f t="shared" ca="1" si="16"/>
        <v>100000000</v>
      </c>
      <c r="H86" s="152" t="str">
        <f t="shared" ca="1" si="10"/>
        <v>Coupon</v>
      </c>
      <c r="I86" s="168">
        <f ca="1">IF(C86="#N/A",0,_xll.HLV5r3.Financial.Cache.GetValueFromBase( Stream1DiscountCurve, Swap!$F$4, Stream1!C86))</f>
        <v>0.51710527691122687</v>
      </c>
      <c r="J86" s="117">
        <f ca="1">IF(C86="#N/A","#N/A",_xll.HLV5r3.Financial.Cache.GetValueFromBase(Stream1ForwardCurve, Swap!$F$4, A86))</f>
        <v>0.52457056755986153</v>
      </c>
      <c r="K86" s="169">
        <f ca="1">IF(C86="#N/A","#N/A",_xll.HLV5r3.Financial.Cache.GetValueFromBase(Stream1ForwardCurve, Swap!$F$4, B86))</f>
        <v>0.51710527691122687</v>
      </c>
      <c r="L86" s="115">
        <f ca="1" xml:space="preserve"> IF(G86=0,0,_xll.HLV5r3.Financial.Cache.YearFraction( A86, B86,Swap!$B$25))</f>
        <v>0.25205479452054796</v>
      </c>
      <c r="M86" s="143">
        <f ca="1">IF(I86=0,0,IF($B$2="Fixed",Stream1FixedRate,_xll.HLV5r3.Analytics.Rates.GetRate(J86,K86,L86)+Stream1Spread))</f>
        <v>5.4399999999999997E-2</v>
      </c>
      <c r="N86" s="155">
        <f ca="1">IF(L86="#N/A",L86,IF(Swap!$B$26="Standard",L86*G86*M86,L86*G86*M86/(1+Stream1!L86*Stream1!M86)))</f>
        <v>1371178.0821917807</v>
      </c>
      <c r="O86" s="155">
        <f t="shared" ca="1" si="12"/>
        <v>709043.42188638577</v>
      </c>
      <c r="P86" s="177">
        <f>IF($B$2="FIXED",0,IF(Swap!$B$26="FRA",_xll.HLV5r3.Analytics.Swaps.Delta0DiscountCoupon( G86, L86, M86, I86),_xll.HLV5r3.Analytics.Swaps.Delta0Coupon( G86, L86, M86, I86)))</f>
        <v>0</v>
      </c>
      <c r="Q86" s="180">
        <f ca="1">IF(U86=0,0,_xll.HLV5r3.Analytics.Swaps.Delta1ForAnAmount( N86, I86, Stream1CompoundingPeriod, U86))</f>
        <v>846.70052218357614</v>
      </c>
      <c r="R86" s="79"/>
      <c r="S86" s="210">
        <f t="shared" ca="1" si="17"/>
        <v>47968</v>
      </c>
      <c r="T86" s="213">
        <f t="shared" ca="1" si="13"/>
        <v>47968</v>
      </c>
      <c r="U86" s="173">
        <f ca="1">IF(C86="#N/A",0,_xll.HLV5r3.Financial.Cache.YearFraction( ValuationDate, C86,"ACT/365.FIXED"))</f>
        <v>12.104109589041096</v>
      </c>
      <c r="V86" s="79"/>
      <c r="X86" s="207">
        <f ca="1"/>
        <v>47968</v>
      </c>
    </row>
    <row r="87" spans="1:24">
      <c r="A87" s="136">
        <f t="shared" ca="1" si="14"/>
        <v>48060</v>
      </c>
      <c r="B87" s="136">
        <f t="shared" ca="1" si="11"/>
        <v>48152</v>
      </c>
      <c r="C87" s="101">
        <f ca="1">IF(Swap!$B$26="Standard",B87,A87)</f>
        <v>48152</v>
      </c>
      <c r="D87" s="147">
        <v>0</v>
      </c>
      <c r="E87" s="112">
        <f t="shared" ca="1" si="9"/>
        <v>100000000</v>
      </c>
      <c r="F87" s="112">
        <f t="shared" ca="1" si="15"/>
        <v>100000000</v>
      </c>
      <c r="G87" s="112">
        <f t="shared" ca="1" si="16"/>
        <v>100000000</v>
      </c>
      <c r="H87" s="152" t="str">
        <f t="shared" ca="1" si="10"/>
        <v>Coupon</v>
      </c>
      <c r="I87" s="168">
        <f ca="1">IF(C87="#N/A",0,_xll.HLV5r3.Financial.Cache.GetValueFromBase( Stream1DiscountCurve, Swap!$F$4, Stream1!C87))</f>
        <v>0.50973322354671291</v>
      </c>
      <c r="J87" s="117">
        <f ca="1">IF(C87="#N/A","#N/A",_xll.HLV5r3.Financial.Cache.GetValueFromBase(Stream1ForwardCurve, Swap!$F$4, A87))</f>
        <v>0.51710527691122687</v>
      </c>
      <c r="K87" s="169">
        <f ca="1">IF(C87="#N/A","#N/A",_xll.HLV5r3.Financial.Cache.GetValueFromBase(Stream1ForwardCurve, Swap!$F$4, B87))</f>
        <v>0.50973322354671291</v>
      </c>
      <c r="L87" s="115">
        <f ca="1" xml:space="preserve"> IF(G87=0,0,_xll.HLV5r3.Financial.Cache.YearFraction( A87, B87,Swap!$B$25))</f>
        <v>0.25205479452054796</v>
      </c>
      <c r="M87" s="143">
        <f ca="1">IF(I87=0,0,IF($B$2="Fixed",Stream1FixedRate,_xll.HLV5r3.Analytics.Rates.GetRate(J87,K87,L87)+Stream1Spread))</f>
        <v>5.4399999999999997E-2</v>
      </c>
      <c r="N87" s="155">
        <f ca="1">IF(L87="#N/A",L87,IF(Swap!$B$26="Standard",L87*G87*M87,L87*G87*M87/(1+Stream1!L87*Stream1!M87)))</f>
        <v>1371178.0821917807</v>
      </c>
      <c r="O87" s="155">
        <f t="shared" ca="1" si="12"/>
        <v>698935.02389221604</v>
      </c>
      <c r="P87" s="177">
        <f>IF($B$2="FIXED",0,IF(Swap!$B$26="FRA",_xll.HLV5r3.Analytics.Swaps.Delta0DiscountCoupon( G87, L87, M87, I87),_xll.HLV5r3.Analytics.Swaps.Delta0Coupon( G87, L87, M87, I87)))</f>
        <v>0</v>
      </c>
      <c r="Q87" s="180">
        <f ca="1">IF(U87=0,0,_xll.HLV5r3.Analytics.Swaps.Delta1ForAnAmount( N87, I87, Stream1CompoundingPeriod, U87))</f>
        <v>851.9992403542999</v>
      </c>
      <c r="R87" s="79"/>
      <c r="S87" s="210">
        <f t="shared" ca="1" si="17"/>
        <v>48060</v>
      </c>
      <c r="T87" s="213">
        <f t="shared" ca="1" si="13"/>
        <v>48060</v>
      </c>
      <c r="U87" s="173">
        <f ca="1">IF(C87="#N/A",0,_xll.HLV5r3.Financial.Cache.YearFraction( ValuationDate, C87,"ACT/365.FIXED"))</f>
        <v>12.356164383561644</v>
      </c>
      <c r="V87" s="79"/>
      <c r="X87" s="207">
        <f ca="1"/>
        <v>48060</v>
      </c>
    </row>
    <row r="88" spans="1:24">
      <c r="A88" s="136">
        <f t="shared" ca="1" si="14"/>
        <v>48152</v>
      </c>
      <c r="B88" s="136">
        <f t="shared" ca="1" si="11"/>
        <v>48243</v>
      </c>
      <c r="C88" s="101">
        <f ca="1">IF(Swap!$B$26="Standard",B88,A88)</f>
        <v>48243</v>
      </c>
      <c r="D88" s="147">
        <v>0</v>
      </c>
      <c r="E88" s="112">
        <f t="shared" ca="1" si="9"/>
        <v>100000000</v>
      </c>
      <c r="F88" s="112">
        <f t="shared" ca="1" si="15"/>
        <v>100000000</v>
      </c>
      <c r="G88" s="112">
        <f t="shared" ca="1" si="16"/>
        <v>100000000</v>
      </c>
      <c r="H88" s="152" t="str">
        <f t="shared" ca="1" si="10"/>
        <v>Coupon</v>
      </c>
      <c r="I88" s="168">
        <f ca="1">IF(C88="#N/A",0,_xll.HLV5r3.Financial.Cache.GetValueFromBase( Stream1DiscountCurve, Swap!$F$4, Stream1!C88))</f>
        <v>0.50253208716912889</v>
      </c>
      <c r="J88" s="117">
        <f ca="1">IF(C88="#N/A","#N/A",_xll.HLV5r3.Financial.Cache.GetValueFromBase(Stream1ForwardCurve, Swap!$F$4, A88))</f>
        <v>0.50973322354671291</v>
      </c>
      <c r="K88" s="169">
        <f ca="1">IF(C88="#N/A","#N/A",_xll.HLV5r3.Financial.Cache.GetValueFromBase(Stream1ForwardCurve, Swap!$F$4, B88))</f>
        <v>0.50253208716912889</v>
      </c>
      <c r="L88" s="115">
        <f ca="1" xml:space="preserve"> IF(G88=0,0,_xll.HLV5r3.Financial.Cache.YearFraction( A88, B88,Swap!$B$25))</f>
        <v>0.24931506849315069</v>
      </c>
      <c r="M88" s="143">
        <f ca="1">IF(I88=0,0,IF($B$2="Fixed",Stream1FixedRate,_xll.HLV5r3.Analytics.Rates.GetRate(J88,K88,L88)+Stream1Spread))</f>
        <v>5.4399999999999997E-2</v>
      </c>
      <c r="N88" s="155">
        <f ca="1">IF(L88="#N/A",L88,IF(Swap!$B$26="Standard",L88*G88*M88,L88*G88*M88/(1+Stream1!L88*Stream1!M88)))</f>
        <v>1356273.9726027397</v>
      </c>
      <c r="O88" s="155">
        <f t="shared" ca="1" si="12"/>
        <v>681571.19022522075</v>
      </c>
      <c r="P88" s="177">
        <f>IF($B$2="FIXED",0,IF(Swap!$B$26="FRA",_xll.HLV5r3.Analytics.Swaps.Delta0DiscountCoupon( G88, L88, M88, I88),_xll.HLV5r3.Analytics.Swaps.Delta0Coupon( G88, L88, M88, I88)))</f>
        <v>0</v>
      </c>
      <c r="Q88" s="180">
        <f ca="1">IF(U88=0,0,_xll.HLV5r3.Analytics.Swaps.Delta1ForAnAmount( N88, I88, Stream1CompoundingPeriod, U88))</f>
        <v>847.58635618846108</v>
      </c>
      <c r="R88" s="79"/>
      <c r="S88" s="210">
        <f t="shared" ca="1" si="17"/>
        <v>48152</v>
      </c>
      <c r="T88" s="213">
        <f t="shared" ca="1" si="13"/>
        <v>48152</v>
      </c>
      <c r="U88" s="173">
        <f ca="1">IF(C88="#N/A",0,_xll.HLV5r3.Financial.Cache.YearFraction( ValuationDate, C88,"ACT/365.FIXED"))</f>
        <v>12.605479452054794</v>
      </c>
      <c r="V88" s="79"/>
      <c r="X88" s="207">
        <f ca="1"/>
        <v>48152</v>
      </c>
    </row>
    <row r="89" spans="1:24">
      <c r="A89" s="136">
        <f t="shared" ca="1" si="14"/>
        <v>48243</v>
      </c>
      <c r="B89" s="136">
        <f t="shared" ca="1" si="11"/>
        <v>48334</v>
      </c>
      <c r="C89" s="101">
        <f ca="1">IF(Swap!$B$26="Standard",B89,A89)</f>
        <v>48334</v>
      </c>
      <c r="D89" s="147">
        <v>0</v>
      </c>
      <c r="E89" s="112">
        <f t="shared" ca="1" si="9"/>
        <v>100000000</v>
      </c>
      <c r="F89" s="112">
        <f t="shared" ca="1" si="15"/>
        <v>100000000</v>
      </c>
      <c r="G89" s="112">
        <f t="shared" ca="1" si="16"/>
        <v>100000000</v>
      </c>
      <c r="H89" s="152" t="str">
        <f t="shared" ca="1" si="10"/>
        <v>Coupon</v>
      </c>
      <c r="I89" s="168">
        <f ca="1">IF(C89="#N/A",0,_xll.HLV5r3.Financial.Cache.GetValueFromBase( Stream1DiscountCurve, Swap!$F$4, Stream1!C89))</f>
        <v>0.49542031891232685</v>
      </c>
      <c r="J89" s="117">
        <f ca="1">IF(C89="#N/A","#N/A",_xll.HLV5r3.Financial.Cache.GetValueFromBase(Stream1ForwardCurve, Swap!$F$4, A89))</f>
        <v>0.50253208716912889</v>
      </c>
      <c r="K89" s="169">
        <f ca="1">IF(C89="#N/A","#N/A",_xll.HLV5r3.Financial.Cache.GetValueFromBase(Stream1ForwardCurve, Swap!$F$4, B89))</f>
        <v>0.49542031891232685</v>
      </c>
      <c r="L89" s="115">
        <f ca="1" xml:space="preserve"> IF(G89=0,0,_xll.HLV5r3.Financial.Cache.YearFraction( A89, B89,Swap!$B$25))</f>
        <v>0.24931506849315069</v>
      </c>
      <c r="M89" s="143">
        <f ca="1">IF(I89=0,0,IF($B$2="Fixed",Stream1FixedRate,_xll.HLV5r3.Analytics.Rates.GetRate(J89,K89,L89)+Stream1Spread))</f>
        <v>5.4399999999999997E-2</v>
      </c>
      <c r="N89" s="155">
        <f ca="1">IF(L89="#N/A",L89,IF(Swap!$B$26="Standard",L89*G89*M89,L89*G89*M89/(1+Stream1!L89*Stream1!M89)))</f>
        <v>1356273.9726027397</v>
      </c>
      <c r="O89" s="155">
        <f t="shared" ca="1" si="12"/>
        <v>671925.68403933779</v>
      </c>
      <c r="P89" s="177">
        <f>IF($B$2="FIXED",0,IF(Swap!$B$26="FRA",_xll.HLV5r3.Analytics.Swaps.Delta0DiscountCoupon( G89, L89, M89, I89),_xll.HLV5r3.Analytics.Swaps.Delta0Coupon( G89, L89, M89, I89)))</f>
        <v>0</v>
      </c>
      <c r="Q89" s="180">
        <f ca="1">IF(U89=0,0,_xll.HLV5r3.Analytics.Swaps.Delta1ForAnAmount( N89, I89, Stream1CompoundingPeriod, U89))</f>
        <v>852.10748872901672</v>
      </c>
      <c r="R89" s="79"/>
      <c r="S89" s="210">
        <f t="shared" ca="1" si="17"/>
        <v>48243</v>
      </c>
      <c r="T89" s="213">
        <f t="shared" ca="1" si="13"/>
        <v>48243</v>
      </c>
      <c r="U89" s="173">
        <f ca="1">IF(C89="#N/A",0,_xll.HLV5r3.Financial.Cache.YearFraction( ValuationDate, C89,"ACT/365.FIXED"))</f>
        <v>12.854794520547944</v>
      </c>
      <c r="V89" s="79"/>
      <c r="X89" s="207">
        <f ca="1"/>
        <v>48243</v>
      </c>
    </row>
    <row r="90" spans="1:24">
      <c r="A90" s="136">
        <f t="shared" ca="1" si="14"/>
        <v>48334</v>
      </c>
      <c r="B90" s="136">
        <f t="shared" ca="1" si="11"/>
        <v>48425</v>
      </c>
      <c r="C90" s="101">
        <f ca="1">IF(Swap!$B$26="Standard",B90,A90)</f>
        <v>48425</v>
      </c>
      <c r="D90" s="147">
        <v>0</v>
      </c>
      <c r="E90" s="112">
        <f t="shared" ca="1" si="9"/>
        <v>100000000</v>
      </c>
      <c r="F90" s="112">
        <f t="shared" ca="1" si="15"/>
        <v>100000000</v>
      </c>
      <c r="G90" s="112">
        <f t="shared" ca="1" si="16"/>
        <v>100000000</v>
      </c>
      <c r="H90" s="152" t="str">
        <f t="shared" ca="1" si="10"/>
        <v>Coupon</v>
      </c>
      <c r="I90" s="168">
        <f ca="1">IF(C90="#N/A",0,_xll.HLV5r3.Financial.Cache.GetValueFromBase( Stream1DiscountCurve, Swap!$F$4, Stream1!C90))</f>
        <v>0.48839700673645076</v>
      </c>
      <c r="J90" s="117">
        <f ca="1">IF(C90="#N/A","#N/A",_xll.HLV5r3.Financial.Cache.GetValueFromBase(Stream1ForwardCurve, Swap!$F$4, A90))</f>
        <v>0.49542031891232685</v>
      </c>
      <c r="K90" s="169">
        <f ca="1">IF(C90="#N/A","#N/A",_xll.HLV5r3.Financial.Cache.GetValueFromBase(Stream1ForwardCurve, Swap!$F$4, B90))</f>
        <v>0.48839700673645076</v>
      </c>
      <c r="L90" s="115">
        <f ca="1" xml:space="preserve"> IF(G90=0,0,_xll.HLV5r3.Financial.Cache.YearFraction( A90, B90,Swap!$B$25))</f>
        <v>0.24931506849315069</v>
      </c>
      <c r="M90" s="143">
        <f ca="1">IF(I90=0,0,IF($B$2="Fixed",Stream1FixedRate,_xll.HLV5r3.Analytics.Rates.GetRate(J90,K90,L90)+Stream1Spread))</f>
        <v>5.4399999999999997E-2</v>
      </c>
      <c r="N90" s="155">
        <f ca="1">IF(L90="#N/A",L90,IF(Swap!$B$26="Standard",L90*G90*M90,L90*G90*M90/(1+Stream1!L90*Stream1!M90)))</f>
        <v>1356273.9726027397</v>
      </c>
      <c r="O90" s="155">
        <f t="shared" ca="1" si="12"/>
        <v>662400.1485337331</v>
      </c>
      <c r="P90" s="177">
        <f>IF($B$2="FIXED",0,IF(Swap!$B$26="FRA",_xll.HLV5r3.Analytics.Swaps.Delta0DiscountCoupon( G90, L90, M90, I90),_xll.HLV5r3.Analytics.Swaps.Delta0Coupon( G90, L90, M90, I90)))</f>
        <v>0</v>
      </c>
      <c r="Q90" s="180">
        <f ca="1">IF(U90=0,0,_xll.HLV5r3.Analytics.Swaps.Delta1ForAnAmount( N90, I90, Stream1CompoundingPeriod, U90))</f>
        <v>856.30913308905258</v>
      </c>
      <c r="R90" s="79"/>
      <c r="S90" s="210">
        <f t="shared" ca="1" si="17"/>
        <v>48334</v>
      </c>
      <c r="T90" s="213">
        <f t="shared" ca="1" si="13"/>
        <v>48334</v>
      </c>
      <c r="U90" s="173">
        <f ca="1">IF(C90="#N/A",0,_xll.HLV5r3.Financial.Cache.YearFraction( ValuationDate, C90,"ACT/365.FIXED"))</f>
        <v>13.104109589041096</v>
      </c>
      <c r="V90" s="79"/>
      <c r="X90" s="207">
        <f ca="1"/>
        <v>48334</v>
      </c>
    </row>
    <row r="91" spans="1:24">
      <c r="A91" s="136">
        <f t="shared" ca="1" si="14"/>
        <v>48425</v>
      </c>
      <c r="B91" s="136">
        <f t="shared" ca="1" si="11"/>
        <v>48516</v>
      </c>
      <c r="C91" s="101">
        <f ca="1">IF(Swap!$B$26="Standard",B91,A91)</f>
        <v>48516</v>
      </c>
      <c r="D91" s="147">
        <v>0</v>
      </c>
      <c r="E91" s="112">
        <f t="shared" ca="1" si="9"/>
        <v>100000000</v>
      </c>
      <c r="F91" s="112">
        <f t="shared" ca="1" si="15"/>
        <v>100000000</v>
      </c>
      <c r="G91" s="112">
        <f t="shared" ca="1" si="16"/>
        <v>100000000</v>
      </c>
      <c r="H91" s="152" t="str">
        <f t="shared" ca="1" si="10"/>
        <v>Coupon</v>
      </c>
      <c r="I91" s="168">
        <f ca="1">IF(C91="#N/A",0,_xll.HLV5r3.Financial.Cache.GetValueFromBase( Stream1DiscountCurve, Swap!$F$4, Stream1!C91))</f>
        <v>0.481461244934483</v>
      </c>
      <c r="J91" s="117">
        <f ca="1">IF(C91="#N/A","#N/A",_xll.HLV5r3.Financial.Cache.GetValueFromBase(Stream1ForwardCurve, Swap!$F$4, A91))</f>
        <v>0.48839700673645076</v>
      </c>
      <c r="K91" s="169">
        <f ca="1">IF(C91="#N/A","#N/A",_xll.HLV5r3.Financial.Cache.GetValueFromBase(Stream1ForwardCurve, Swap!$F$4, B91))</f>
        <v>0.481461244934483</v>
      </c>
      <c r="L91" s="115">
        <f ca="1" xml:space="preserve"> IF(G91=0,0,_xll.HLV5r3.Financial.Cache.YearFraction( A91, B91,Swap!$B$25))</f>
        <v>0.24931506849315069</v>
      </c>
      <c r="M91" s="143">
        <f ca="1">IF(I91=0,0,IF($B$2="Fixed",Stream1FixedRate,_xll.HLV5r3.Analytics.Rates.GetRate(J91,K91,L91)+Stream1Spread))</f>
        <v>5.4399999999999997E-2</v>
      </c>
      <c r="N91" s="155">
        <f ca="1">IF(L91="#N/A",L91,IF(Swap!$B$26="Standard",L91*G91*M91,L91*G91*M91/(1+Stream1!L91*Stream1!M91)))</f>
        <v>1356273.9726027397</v>
      </c>
      <c r="O91" s="155">
        <f t="shared" ca="1" si="12"/>
        <v>652993.35532155191</v>
      </c>
      <c r="P91" s="177">
        <f>IF($B$2="FIXED",0,IF(Swap!$B$26="FRA",_xll.HLV5r3.Analytics.Swaps.Delta0DiscountCoupon( G91, L91, M91, I91),_xll.HLV5r3.Analytics.Swaps.Delta0Coupon( G91, L91, M91, I91)))</f>
        <v>0</v>
      </c>
      <c r="Q91" s="180">
        <f ca="1">IF(U91=0,0,_xll.HLV5r3.Analytics.Swaps.Delta1ForAnAmount( N91, I91, Stream1CompoundingPeriod, U91))</f>
        <v>860.19853494732899</v>
      </c>
      <c r="R91" s="79"/>
      <c r="S91" s="210">
        <f t="shared" ca="1" si="17"/>
        <v>48425</v>
      </c>
      <c r="T91" s="213">
        <f t="shared" ca="1" si="13"/>
        <v>48425</v>
      </c>
      <c r="U91" s="173">
        <f ca="1">IF(C91="#N/A",0,_xll.HLV5r3.Financial.Cache.YearFraction( ValuationDate, C91,"ACT/365.FIXED"))</f>
        <v>13.353424657534246</v>
      </c>
      <c r="V91" s="79"/>
      <c r="X91" s="207">
        <f ca="1"/>
        <v>48425</v>
      </c>
    </row>
    <row r="92" spans="1:24">
      <c r="A92" s="136">
        <f t="shared" ca="1" si="14"/>
        <v>48516</v>
      </c>
      <c r="B92" s="136">
        <f t="shared" ca="1" si="11"/>
        <v>48610</v>
      </c>
      <c r="C92" s="101">
        <f ca="1">IF(Swap!$B$26="Standard",B92,A92)</f>
        <v>48610</v>
      </c>
      <c r="D92" s="147">
        <v>0</v>
      </c>
      <c r="E92" s="112">
        <f t="shared" ca="1" si="9"/>
        <v>100000000</v>
      </c>
      <c r="F92" s="112">
        <f t="shared" ca="1" si="15"/>
        <v>100000000</v>
      </c>
      <c r="G92" s="112">
        <f t="shared" ca="1" si="16"/>
        <v>100000000</v>
      </c>
      <c r="H92" s="152" t="str">
        <f t="shared" ca="1" si="10"/>
        <v>Coupon</v>
      </c>
      <c r="I92" s="168">
        <f ca="1">IF(C92="#N/A",0,_xll.HLV5r3.Financial.Cache.GetValueFromBase( Stream1DiscountCurve, Swap!$F$4, Stream1!C92))</f>
        <v>0.47438780434938654</v>
      </c>
      <c r="J92" s="117">
        <f ca="1">IF(C92="#N/A","#N/A",_xll.HLV5r3.Financial.Cache.GetValueFromBase(Stream1ForwardCurve, Swap!$F$4, A92))</f>
        <v>0.481461244934483</v>
      </c>
      <c r="K92" s="169">
        <f ca="1">IF(C92="#N/A","#N/A",_xll.HLV5r3.Financial.Cache.GetValueFromBase(Stream1ForwardCurve, Swap!$F$4, B92))</f>
        <v>0.47438780434938654</v>
      </c>
      <c r="L92" s="115">
        <f ca="1" xml:space="preserve"> IF(G92=0,0,_xll.HLV5r3.Financial.Cache.YearFraction( A92, B92,Swap!$B$25))</f>
        <v>0.25753424657534246</v>
      </c>
      <c r="M92" s="143">
        <f ca="1">IF(I92=0,0,IF($B$2="Fixed",Stream1FixedRate,_xll.HLV5r3.Analytics.Rates.GetRate(J92,K92,L92)+Stream1Spread))</f>
        <v>5.4399999999999997E-2</v>
      </c>
      <c r="N92" s="155">
        <f ca="1">IF(L92="#N/A",L92,IF(Swap!$B$26="Standard",L92*G92*M92,L92*G92*M92/(1+Stream1!L92*Stream1!M92)))</f>
        <v>1400986.3013698629</v>
      </c>
      <c r="O92" s="155">
        <f t="shared" ca="1" si="12"/>
        <v>664610.81543041719</v>
      </c>
      <c r="P92" s="177">
        <f>IF($B$2="FIXED",0,IF(Swap!$B$26="FRA",_xll.HLV5r3.Analytics.Swaps.Delta0DiscountCoupon( G92, L92, M92, I92),_xll.HLV5r3.Analytics.Swaps.Delta0Coupon( G92, L92, M92, I92)))</f>
        <v>0</v>
      </c>
      <c r="Q92" s="180">
        <f ca="1">IF(U92=0,0,_xll.HLV5r3.Analytics.Swaps.Delta1ForAnAmount( N92, I92, Stream1CompoundingPeriod, U92))</f>
        <v>892.37596421004559</v>
      </c>
      <c r="R92" s="79"/>
      <c r="S92" s="210">
        <f t="shared" ca="1" si="17"/>
        <v>48516</v>
      </c>
      <c r="T92" s="213">
        <f t="shared" ca="1" si="13"/>
        <v>48516</v>
      </c>
      <c r="U92" s="173">
        <f ca="1">IF(C92="#N/A",0,_xll.HLV5r3.Financial.Cache.YearFraction( ValuationDate, C92,"ACT/365.FIXED"))</f>
        <v>13.610958904109589</v>
      </c>
      <c r="V92" s="79"/>
      <c r="X92" s="207">
        <f ca="1"/>
        <v>48516</v>
      </c>
    </row>
    <row r="93" spans="1:24">
      <c r="A93" s="136">
        <f t="shared" ca="1" si="14"/>
        <v>48610</v>
      </c>
      <c r="B93" s="136">
        <f t="shared" ca="1" si="11"/>
        <v>48698</v>
      </c>
      <c r="C93" s="101">
        <f ca="1">IF(Swap!$B$26="Standard",B93,A93)</f>
        <v>48698</v>
      </c>
      <c r="D93" s="147">
        <v>0</v>
      </c>
      <c r="E93" s="112">
        <f t="shared" ca="1" si="9"/>
        <v>100000000</v>
      </c>
      <c r="F93" s="112">
        <f t="shared" ca="1" si="15"/>
        <v>100000000</v>
      </c>
      <c r="G93" s="112">
        <f t="shared" ca="1" si="16"/>
        <v>100000000</v>
      </c>
      <c r="H93" s="152" t="str">
        <f t="shared" ca="1" si="10"/>
        <v>Coupon</v>
      </c>
      <c r="I93" s="168">
        <f ca="1">IF(C93="#N/A",0,_xll.HLV5r3.Financial.Cache.GetValueFromBase( Stream1DiscountCurve, Swap!$F$4, Stream1!C93))</f>
        <v>0.4678487812890279</v>
      </c>
      <c r="J93" s="117">
        <f ca="1">IF(C93="#N/A","#N/A",_xll.HLV5r3.Financial.Cache.GetValueFromBase(Stream1ForwardCurve, Swap!$F$4, A93))</f>
        <v>0.47438780434938654</v>
      </c>
      <c r="K93" s="169">
        <f ca="1">IF(C93="#N/A","#N/A",_xll.HLV5r3.Financial.Cache.GetValueFromBase(Stream1ForwardCurve, Swap!$F$4, B93))</f>
        <v>0.4678487812890279</v>
      </c>
      <c r="L93" s="115">
        <f ca="1" xml:space="preserve"> IF(G93=0,0,_xll.HLV5r3.Financial.Cache.YearFraction( A93, B93,Swap!$B$25))</f>
        <v>0.24109589041095891</v>
      </c>
      <c r="M93" s="143">
        <f ca="1">IF(I93=0,0,IF($B$2="Fixed",Stream1FixedRate,_xll.HLV5r3.Analytics.Rates.GetRate(J93,K93,L93)+Stream1Spread))</f>
        <v>5.4399999999999997E-2</v>
      </c>
      <c r="N93" s="155">
        <f ca="1">IF(L93="#N/A",L93,IF(Swap!$B$26="Standard",L93*G93*M93,L93*G93*M93/(1+Stream1!L93*Stream1!M93)))</f>
        <v>1311561.6438356163</v>
      </c>
      <c r="O93" s="155">
        <f t="shared" ca="1" si="12"/>
        <v>613612.51665392716</v>
      </c>
      <c r="P93" s="177">
        <f>IF($B$2="FIXED",0,IF(Swap!$B$26="FRA",_xll.HLV5r3.Analytics.Swaps.Delta0DiscountCoupon( G93, L93, M93, I93),_xll.HLV5r3.Analytics.Swaps.Delta0Coupon( G93, L93, M93, I93)))</f>
        <v>0</v>
      </c>
      <c r="Q93" s="180">
        <f ca="1">IF(U93=0,0,_xll.HLV5r3.Analytics.Swaps.Delta1ForAnAmount( N93, I93, Stream1CompoundingPeriod, U93))</f>
        <v>838.48435269856418</v>
      </c>
      <c r="R93" s="79"/>
      <c r="S93" s="210">
        <f t="shared" ca="1" si="17"/>
        <v>48610</v>
      </c>
      <c r="T93" s="213">
        <f t="shared" ca="1" si="13"/>
        <v>48610</v>
      </c>
      <c r="U93" s="173">
        <f ca="1">IF(C93="#N/A",0,_xll.HLV5r3.Financial.Cache.YearFraction( ValuationDate, C93,"ACT/365.FIXED"))</f>
        <v>13.852054794520548</v>
      </c>
      <c r="V93" s="79"/>
      <c r="X93" s="207">
        <f ca="1"/>
        <v>48610</v>
      </c>
    </row>
    <row r="94" spans="1:24">
      <c r="A94" s="136">
        <f t="shared" ca="1" si="14"/>
        <v>48698</v>
      </c>
      <c r="B94" s="136">
        <f t="shared" ca="1" si="11"/>
        <v>48789</v>
      </c>
      <c r="C94" s="101">
        <f ca="1">IF(Swap!$B$26="Standard",B94,A94)</f>
        <v>48789</v>
      </c>
      <c r="D94" s="147">
        <v>0</v>
      </c>
      <c r="E94" s="112">
        <f t="shared" ca="1" si="9"/>
        <v>100000000</v>
      </c>
      <c r="F94" s="112">
        <f t="shared" ca="1" si="15"/>
        <v>100000000</v>
      </c>
      <c r="G94" s="112">
        <f t="shared" ca="1" si="16"/>
        <v>100000000</v>
      </c>
      <c r="H94" s="152" t="str">
        <f t="shared" ca="1" si="10"/>
        <v>Coupon</v>
      </c>
      <c r="I94" s="168">
        <f ca="1">IF(C94="#N/A",0,_xll.HLV5r3.Financial.Cache.GetValueFromBase( Stream1DiscountCurve, Swap!$F$4, Stream1!C94))</f>
        <v>0.46117029969387358</v>
      </c>
      <c r="J94" s="117">
        <f ca="1">IF(C94="#N/A","#N/A",_xll.HLV5r3.Financial.Cache.GetValueFromBase(Stream1ForwardCurve, Swap!$F$4, A94))</f>
        <v>0.4678487812890279</v>
      </c>
      <c r="K94" s="169">
        <f ca="1">IF(C94="#N/A","#N/A",_xll.HLV5r3.Financial.Cache.GetValueFromBase(Stream1ForwardCurve, Swap!$F$4, B94))</f>
        <v>0.46117029969387358</v>
      </c>
      <c r="L94" s="115">
        <f ca="1" xml:space="preserve"> IF(G94=0,0,_xll.HLV5r3.Financial.Cache.YearFraction( A94, B94,Swap!$B$25))</f>
        <v>0.24931506849315069</v>
      </c>
      <c r="M94" s="143">
        <f ca="1">IF(I94=0,0,IF($B$2="Fixed",Stream1FixedRate,_xll.HLV5r3.Analytics.Rates.GetRate(J94,K94,L94)+Stream1Spread))</f>
        <v>5.4399999999999997E-2</v>
      </c>
      <c r="N94" s="155">
        <f ca="1">IF(L94="#N/A",L94,IF(Swap!$B$26="Standard",L94*G94*M94,L94*G94*M94/(1+Stream1!L94*Stream1!M94)))</f>
        <v>1356273.9726027397</v>
      </c>
      <c r="O94" s="155">
        <f t="shared" ca="1" si="12"/>
        <v>625473.27441220591</v>
      </c>
      <c r="P94" s="177">
        <f>IF($B$2="FIXED",0,IF(Swap!$B$26="FRA",_xll.HLV5r3.Analytics.Swaps.Delta0DiscountCoupon( G94, L94, M94, I94),_xll.HLV5r3.Analytics.Swaps.Delta0Coupon( G94, L94, M94, I94)))</f>
        <v>0</v>
      </c>
      <c r="Q94" s="180">
        <f ca="1">IF(U94=0,0,_xll.HLV5r3.Analytics.Swaps.Delta1ForAnAmount( N94, I94, Stream1CompoundingPeriod, U94))</f>
        <v>870.06410348427892</v>
      </c>
      <c r="R94" s="79"/>
      <c r="S94" s="210">
        <f t="shared" ca="1" si="17"/>
        <v>48698</v>
      </c>
      <c r="T94" s="213">
        <f t="shared" ca="1" si="13"/>
        <v>48698</v>
      </c>
      <c r="U94" s="173">
        <f ca="1">IF(C94="#N/A",0,_xll.HLV5r3.Financial.Cache.YearFraction( ValuationDate, C94,"ACT/365.FIXED"))</f>
        <v>14.101369863013698</v>
      </c>
      <c r="V94" s="79"/>
      <c r="X94" s="207">
        <f ca="1"/>
        <v>48698</v>
      </c>
    </row>
    <row r="95" spans="1:24">
      <c r="A95" s="136">
        <f t="shared" ca="1" si="14"/>
        <v>48789</v>
      </c>
      <c r="B95" s="136">
        <f t="shared" ca="1" si="11"/>
        <v>48883</v>
      </c>
      <c r="C95" s="101">
        <f ca="1">IF(Swap!$B$26="Standard",B95,A95)</f>
        <v>48883</v>
      </c>
      <c r="D95" s="147">
        <v>0</v>
      </c>
      <c r="E95" s="112">
        <f t="shared" ca="1" si="9"/>
        <v>100000000</v>
      </c>
      <c r="F95" s="112">
        <f t="shared" ca="1" si="15"/>
        <v>100000000</v>
      </c>
      <c r="G95" s="112">
        <f t="shared" ca="1" si="16"/>
        <v>100000000</v>
      </c>
      <c r="H95" s="152" t="str">
        <f t="shared" ca="1" si="10"/>
        <v>Coupon</v>
      </c>
      <c r="I95" s="168">
        <f ca="1">IF(C95="#N/A",0,_xll.HLV5r3.Financial.Cache.GetValueFromBase( Stream1DiscountCurve, Swap!$F$4, Stream1!C95))</f>
        <v>0.45435982817633863</v>
      </c>
      <c r="J95" s="117">
        <f ca="1">IF(C95="#N/A","#N/A",_xll.HLV5r3.Financial.Cache.GetValueFromBase(Stream1ForwardCurve, Swap!$F$4, A95))</f>
        <v>0.46117029969387358</v>
      </c>
      <c r="K95" s="169">
        <f ca="1">IF(C95="#N/A","#N/A",_xll.HLV5r3.Financial.Cache.GetValueFromBase(Stream1ForwardCurve, Swap!$F$4, B95))</f>
        <v>0.45435982817633863</v>
      </c>
      <c r="L95" s="115">
        <f ca="1" xml:space="preserve"> IF(G95=0,0,_xll.HLV5r3.Financial.Cache.YearFraction( A95, B95,Swap!$B$25))</f>
        <v>0.25753424657534246</v>
      </c>
      <c r="M95" s="143">
        <f ca="1">IF(I95=0,0,IF($B$2="Fixed",Stream1FixedRate,_xll.HLV5r3.Analytics.Rates.GetRate(J95,K95,L95)+Stream1Spread))</f>
        <v>5.4399999999999997E-2</v>
      </c>
      <c r="N95" s="155">
        <f ca="1">IF(L95="#N/A",L95,IF(Swap!$B$26="Standard",L95*G95*M95,L95*G95*M95/(1+Stream1!L95*Stream1!M95)))</f>
        <v>1400986.3013698629</v>
      </c>
      <c r="O95" s="155">
        <f t="shared" ca="1" si="12"/>
        <v>636551.89516781503</v>
      </c>
      <c r="P95" s="177">
        <f>IF($B$2="FIXED",0,IF(Swap!$B$26="FRA",_xll.HLV5r3.Analytics.Swaps.Delta0DiscountCoupon( G95, L95, M95, I95),_xll.HLV5r3.Analytics.Swaps.Delta0Coupon( G95, L95, M95, I95)))</f>
        <v>0</v>
      </c>
      <c r="Q95" s="180">
        <f ca="1">IF(U95=0,0,_xll.HLV5r3.Analytics.Swaps.Delta1ForAnAmount( N95, I95, Stream1CompoundingPeriod, U95))</f>
        <v>901.63499981324048</v>
      </c>
      <c r="R95" s="79"/>
      <c r="S95" s="210">
        <f t="shared" ca="1" si="17"/>
        <v>48789</v>
      </c>
      <c r="T95" s="213">
        <f t="shared" ca="1" si="13"/>
        <v>48789</v>
      </c>
      <c r="U95" s="173">
        <f ca="1">IF(C95="#N/A",0,_xll.HLV5r3.Financial.Cache.YearFraction( ValuationDate, C95,"ACT/365.FIXED"))</f>
        <v>14.358904109589041</v>
      </c>
      <c r="V95" s="79"/>
      <c r="X95" s="207">
        <f ca="1"/>
        <v>48789</v>
      </c>
    </row>
    <row r="96" spans="1:24">
      <c r="A96" s="136">
        <f t="shared" ca="1" si="14"/>
        <v>48883</v>
      </c>
      <c r="B96" s="136">
        <f t="shared" ca="1" si="11"/>
        <v>48975</v>
      </c>
      <c r="C96" s="101">
        <f ca="1">IF(Swap!$B$26="Standard",B96,A96)</f>
        <v>48975</v>
      </c>
      <c r="D96" s="147">
        <v>0</v>
      </c>
      <c r="E96" s="112">
        <f t="shared" ca="1" si="9"/>
        <v>100000000</v>
      </c>
      <c r="F96" s="112">
        <f t="shared" ca="1" si="15"/>
        <v>100000000</v>
      </c>
      <c r="G96" s="112">
        <f t="shared" ca="1" si="16"/>
        <v>100000000</v>
      </c>
      <c r="H96" s="152" t="str">
        <f t="shared" ca="1" si="10"/>
        <v>Coupon</v>
      </c>
      <c r="I96" s="168">
        <f ca="1">IF(C96="#N/A",0,_xll.HLV5r3.Financial.Cache.GetValueFromBase( Stream1DiscountCurve, Swap!$F$4, Stream1!C96))</f>
        <v>0.44778011426330716</v>
      </c>
      <c r="J96" s="117">
        <f ca="1">IF(C96="#N/A","#N/A",_xll.HLV5r3.Financial.Cache.GetValueFromBase(Stream1ForwardCurve, Swap!$F$4, A96))</f>
        <v>0.45435982817633863</v>
      </c>
      <c r="K96" s="169">
        <f ca="1">IF(C96="#N/A","#N/A",_xll.HLV5r3.Financial.Cache.GetValueFromBase(Stream1ForwardCurve, Swap!$F$4, B96))</f>
        <v>0.44778011426330716</v>
      </c>
      <c r="L96" s="115">
        <f ca="1" xml:space="preserve"> IF(G96=0,0,_xll.HLV5r3.Financial.Cache.YearFraction( A96, B96,Swap!$B$25))</f>
        <v>0.25205479452054796</v>
      </c>
      <c r="M96" s="143">
        <f ca="1">IF(I96=0,0,IF($B$2="Fixed",Stream1FixedRate,_xll.HLV5r3.Analytics.Rates.GetRate(J96,K96,L96)+Stream1Spread))</f>
        <v>5.4399999999999997E-2</v>
      </c>
      <c r="N96" s="155">
        <f ca="1">IF(L96="#N/A",L96,IF(Swap!$B$26="Standard",L96*G96*M96,L96*G96*M96/(1+Stream1!L96*Stream1!M96)))</f>
        <v>1371178.0821917807</v>
      </c>
      <c r="O96" s="155">
        <f t="shared" ca="1" si="12"/>
        <v>613986.27831917792</v>
      </c>
      <c r="P96" s="177">
        <f>IF($B$2="FIXED",0,IF(Swap!$B$26="FRA",_xll.HLV5r3.Analytics.Swaps.Delta0DiscountCoupon( G96, L96, M96, I96),_xll.HLV5r3.Analytics.Swaps.Delta0Coupon( G96, L96, M96, I96)))</f>
        <v>0</v>
      </c>
      <c r="Q96" s="180">
        <f ca="1">IF(U96=0,0,_xll.HLV5r3.Analytics.Swaps.Delta1ForAnAmount( N96, I96, Stream1CompoundingPeriod, U96))</f>
        <v>884.92734456798337</v>
      </c>
      <c r="R96" s="79"/>
      <c r="S96" s="210">
        <f t="shared" ca="1" si="17"/>
        <v>48883</v>
      </c>
      <c r="T96" s="213">
        <f t="shared" ca="1" si="13"/>
        <v>48883</v>
      </c>
      <c r="U96" s="173">
        <f ca="1">IF(C96="#N/A",0,_xll.HLV5r3.Financial.Cache.YearFraction( ValuationDate, C96,"ACT/365.FIXED"))</f>
        <v>14.610958904109589</v>
      </c>
      <c r="V96" s="79"/>
      <c r="X96" s="207">
        <f ca="1"/>
        <v>48883</v>
      </c>
    </row>
    <row r="97" spans="1:24">
      <c r="A97" s="136">
        <f t="shared" ca="1" si="14"/>
        <v>48975</v>
      </c>
      <c r="B97" s="136">
        <f t="shared" ca="1" si="11"/>
        <v>49062</v>
      </c>
      <c r="C97" s="101">
        <f ca="1">IF(Swap!$B$26="Standard",B97,A97)</f>
        <v>49062</v>
      </c>
      <c r="D97" s="147">
        <v>0</v>
      </c>
      <c r="E97" s="112">
        <f t="shared" ca="1" si="9"/>
        <v>100000000</v>
      </c>
      <c r="F97" s="112">
        <f t="shared" ca="1" si="15"/>
        <v>100000000</v>
      </c>
      <c r="G97" s="112">
        <f t="shared" ca="1" si="16"/>
        <v>100000000</v>
      </c>
      <c r="H97" s="152" t="str">
        <f t="shared" ca="1" si="10"/>
        <v>Coupon</v>
      </c>
      <c r="I97" s="168">
        <f ca="1">IF(C97="#N/A",0,_xll.HLV5r3.Financial.Cache.GetValueFromBase( Stream1DiscountCurve, Swap!$F$4, Stream1!C97))</f>
        <v>0.44163531021409874</v>
      </c>
      <c r="J97" s="117">
        <f ca="1">IF(C97="#N/A","#N/A",_xll.HLV5r3.Financial.Cache.GetValueFromBase(Stream1ForwardCurve, Swap!$F$4, A97))</f>
        <v>0.44778011426330716</v>
      </c>
      <c r="K97" s="169">
        <f ca="1">IF(C97="#N/A","#N/A",_xll.HLV5r3.Financial.Cache.GetValueFromBase(Stream1ForwardCurve, Swap!$F$4, B97))</f>
        <v>0.44163531021409874</v>
      </c>
      <c r="L97" s="115">
        <f ca="1" xml:space="preserve"> IF(G97=0,0,_xll.HLV5r3.Financial.Cache.YearFraction( A97, B97,Swap!$B$25))</f>
        <v>0.23835616438356164</v>
      </c>
      <c r="M97" s="143">
        <f ca="1">IF(I97=0,0,IF($B$2="Fixed",Stream1FixedRate,_xll.HLV5r3.Analytics.Rates.GetRate(J97,K97,L97)+Stream1Spread))</f>
        <v>5.4399999999999997E-2</v>
      </c>
      <c r="N97" s="155">
        <f ca="1">IF(L97="#N/A",L97,IF(Swap!$B$26="Standard",L97*G97*M97,L97*G97*M97/(1+Stream1!L97*Stream1!M97)))</f>
        <v>1296657.5342465753</v>
      </c>
      <c r="O97" s="155">
        <f t="shared" ca="1" si="12"/>
        <v>572649.75237843464</v>
      </c>
      <c r="P97" s="177">
        <f>IF($B$2="FIXED",0,IF(Swap!$B$26="FRA",_xll.HLV5r3.Analytics.Swaps.Delta0DiscountCoupon( G97, L97, M97, I97),_xll.HLV5r3.Analytics.Swaps.Delta0Coupon( G97, L97, M97, I97)))</f>
        <v>0</v>
      </c>
      <c r="Q97" s="180">
        <f ca="1">IF(U97=0,0,_xll.HLV5r3.Analytics.Swaps.Delta1ForAnAmount( N97, I97, Stream1CompoundingPeriod, U97))</f>
        <v>838.80421466222231</v>
      </c>
      <c r="R97" s="79"/>
      <c r="S97" s="210">
        <f t="shared" ca="1" si="17"/>
        <v>48975</v>
      </c>
      <c r="T97" s="213">
        <f t="shared" ca="1" si="13"/>
        <v>48975</v>
      </c>
      <c r="U97" s="173">
        <f ca="1">IF(C97="#N/A",0,_xll.HLV5r3.Financial.Cache.YearFraction( ValuationDate, C97,"ACT/365.FIXED"))</f>
        <v>14.849315068493151</v>
      </c>
      <c r="V97" s="79"/>
      <c r="X97" s="207">
        <f ca="1"/>
        <v>48975</v>
      </c>
    </row>
    <row r="98" spans="1:24">
      <c r="A98" s="136">
        <f t="shared" ca="1" si="14"/>
        <v>49062</v>
      </c>
      <c r="B98" s="136">
        <f t="shared" ca="1" si="11"/>
        <v>49156</v>
      </c>
      <c r="C98" s="101">
        <f ca="1">IF(Swap!$B$26="Standard",B98,A98)</f>
        <v>49156</v>
      </c>
      <c r="D98" s="147">
        <v>0</v>
      </c>
      <c r="E98" s="112">
        <f t="shared" ca="1" si="9"/>
        <v>100000000</v>
      </c>
      <c r="F98" s="112">
        <f t="shared" ca="1" si="15"/>
        <v>100000000</v>
      </c>
      <c r="G98" s="112">
        <f t="shared" ca="1" si="16"/>
        <v>100000000</v>
      </c>
      <c r="H98" s="152" t="str">
        <f t="shared" ca="1" si="10"/>
        <v>Coupon</v>
      </c>
      <c r="I98" s="168">
        <f ca="1">IF(C98="#N/A",0,_xll.HLV5r3.Financial.Cache.GetValueFromBase( Stream1DiscountCurve, Swap!$F$4, Stream1!C98))</f>
        <v>0.43548884814285738</v>
      </c>
      <c r="J98" s="117">
        <f ca="1">IF(C98="#N/A","#N/A",_xll.HLV5r3.Financial.Cache.GetValueFromBase(Stream1ForwardCurve, Swap!$F$4, A98))</f>
        <v>0.44163531021409874</v>
      </c>
      <c r="K98" s="169">
        <f ca="1">IF(C98="#N/A","#N/A",_xll.HLV5r3.Financial.Cache.GetValueFromBase(Stream1ForwardCurve, Swap!$F$4, B98))</f>
        <v>0.43548884814285738</v>
      </c>
      <c r="L98" s="115">
        <f ca="1" xml:space="preserve"> IF(G98=0,0,_xll.HLV5r3.Financial.Cache.YearFraction( A98, B98,Swap!$B$25))</f>
        <v>0.25753424657534246</v>
      </c>
      <c r="M98" s="143">
        <f ca="1">IF(I98=0,0,IF($B$2="Fixed",Stream1FixedRate,_xll.HLV5r3.Analytics.Rates.GetRate(J98,K98,L98)+Stream1Spread))</f>
        <v>5.4399999999999997E-2</v>
      </c>
      <c r="N98" s="155">
        <f ca="1">IF(L98="#N/A",L98,IF(Swap!$B$26="Standard",L98*G98*M98,L98*G98*M98/(1+Stream1!L98*Stream1!M98)))</f>
        <v>1400986.3013698629</v>
      </c>
      <c r="O98" s="155">
        <f t="shared" ca="1" si="12"/>
        <v>610113.91064748366</v>
      </c>
      <c r="P98" s="177">
        <f>IF($B$2="FIXED",0,IF(Swap!$B$26="FRA",_xll.HLV5r3.Analytics.Swaps.Delta0DiscountCoupon( G98, L98, M98, I98),_xll.HLV5r3.Analytics.Swaps.Delta0Coupon( G98, L98, M98, I98)))</f>
        <v>0</v>
      </c>
      <c r="Q98" s="180">
        <f ca="1">IF(U98=0,0,_xll.HLV5r3.Analytics.Swaps.Delta1ForAnAmount( N98, I98, Stream1CompoundingPeriod, U98))</f>
        <v>909.18247287403813</v>
      </c>
      <c r="R98" s="79"/>
      <c r="S98" s="210">
        <f t="shared" ca="1" si="17"/>
        <v>49062</v>
      </c>
      <c r="T98" s="213">
        <f t="shared" ca="1" si="13"/>
        <v>49062</v>
      </c>
      <c r="U98" s="173">
        <f ca="1">IF(C98="#N/A",0,_xll.HLV5r3.Financial.Cache.YearFraction( ValuationDate, C98,"ACT/365.FIXED"))</f>
        <v>15.106849315068493</v>
      </c>
      <c r="V98" s="79"/>
      <c r="X98" s="207">
        <f ca="1"/>
        <v>49062</v>
      </c>
    </row>
    <row r="99" spans="1:24">
      <c r="A99" s="136">
        <f t="shared" ca="1" si="14"/>
        <v>49156</v>
      </c>
      <c r="B99" s="136">
        <f t="shared" ca="1" si="11"/>
        <v>49248</v>
      </c>
      <c r="C99" s="101">
        <f ca="1">IF(Swap!$B$26="Standard",B99,A99)</f>
        <v>49248</v>
      </c>
      <c r="D99" s="147">
        <v>0</v>
      </c>
      <c r="E99" s="112">
        <f t="shared" ca="1" si="9"/>
        <v>100000000</v>
      </c>
      <c r="F99" s="112">
        <f t="shared" ca="1" si="15"/>
        <v>100000000</v>
      </c>
      <c r="G99" s="112">
        <f t="shared" ca="1" si="16"/>
        <v>100000000</v>
      </c>
      <c r="H99" s="152" t="str">
        <f t="shared" ca="1" si="10"/>
        <v>Coupon</v>
      </c>
      <c r="I99" s="168">
        <f ca="1">IF(C99="#N/A",0,_xll.HLV5r3.Financial.Cache.GetValueFromBase( Stream1DiscountCurve, Swap!$F$4, Stream1!C99))</f>
        <v>0.43026789057611858</v>
      </c>
      <c r="J99" s="117">
        <f ca="1">IF(C99="#N/A","#N/A",_xll.HLV5r3.Financial.Cache.GetValueFromBase(Stream1ForwardCurve, Swap!$F$4, A99))</f>
        <v>0.43548884814285738</v>
      </c>
      <c r="K99" s="169">
        <f ca="1">IF(C99="#N/A","#N/A",_xll.HLV5r3.Financial.Cache.GetValueFromBase(Stream1ForwardCurve, Swap!$F$4, B99))</f>
        <v>0.43026789057611858</v>
      </c>
      <c r="L99" s="115">
        <f ca="1" xml:space="preserve"> IF(G99=0,0,_xll.HLV5r3.Financial.Cache.YearFraction( A99, B99,Swap!$B$25))</f>
        <v>0.25205479452054796</v>
      </c>
      <c r="M99" s="143">
        <f ca="1">IF(I99=0,0,IF($B$2="Fixed",Stream1FixedRate,_xll.HLV5r3.Analytics.Rates.GetRate(J99,K99,L99)+Stream1Spread))</f>
        <v>5.4399999999999997E-2</v>
      </c>
      <c r="N99" s="155">
        <f ca="1">IF(L99="#N/A",L99,IF(Swap!$B$26="Standard",L99*G99*M99,L99*G99*M99/(1+Stream1!L99*Stream1!M99)))</f>
        <v>1371178.0821917807</v>
      </c>
      <c r="O99" s="155">
        <f t="shared" ca="1" si="12"/>
        <v>589973.90102886525</v>
      </c>
      <c r="P99" s="177">
        <f>IF($B$2="FIXED",0,IF(Swap!$B$26="FRA",_xll.HLV5r3.Analytics.Swaps.Delta0DiscountCoupon( G99, L99, M99, I99),_xll.HLV5r3.Analytics.Swaps.Delta0Coupon( G99, L99, M99, I99)))</f>
        <v>0</v>
      </c>
      <c r="Q99" s="180">
        <f ca="1">IF(U99=0,0,_xll.HLV5r3.Analytics.Swaps.Delta1ForAnAmount( N99, I99, Stream1CompoundingPeriod, U99))</f>
        <v>893.86487508269033</v>
      </c>
      <c r="R99" s="79"/>
      <c r="S99" s="210">
        <f t="shared" ca="1" si="17"/>
        <v>49156</v>
      </c>
      <c r="T99" s="213">
        <f t="shared" ca="1" si="13"/>
        <v>49156</v>
      </c>
      <c r="U99" s="173">
        <f ca="1">IF(C99="#N/A",0,_xll.HLV5r3.Financial.Cache.YearFraction( ValuationDate, C99,"ACT/365.FIXED"))</f>
        <v>15.358904109589041</v>
      </c>
      <c r="V99" s="79"/>
      <c r="X99" s="207">
        <f ca="1"/>
        <v>49156</v>
      </c>
    </row>
    <row r="100" spans="1:24">
      <c r="A100" s="136">
        <f t="shared" ca="1" si="14"/>
        <v>49248</v>
      </c>
      <c r="B100" s="136">
        <f t="shared" ca="1" si="11"/>
        <v>49340</v>
      </c>
      <c r="C100" s="101">
        <f ca="1">IF(Swap!$B$26="Standard",B100,A100)</f>
        <v>49340</v>
      </c>
      <c r="D100" s="147">
        <v>0</v>
      </c>
      <c r="E100" s="112">
        <f t="shared" ca="1" si="9"/>
        <v>100000000</v>
      </c>
      <c r="F100" s="112">
        <f t="shared" ca="1" si="15"/>
        <v>100000000</v>
      </c>
      <c r="G100" s="112">
        <f t="shared" ca="1" si="16"/>
        <v>100000000</v>
      </c>
      <c r="H100" s="152" t="str">
        <f t="shared" ca="1" si="10"/>
        <v>Coupon</v>
      </c>
      <c r="I100" s="168">
        <f ca="1">IF(C100="#N/A",0,_xll.HLV5r3.Financial.Cache.GetValueFromBase( Stream1DiscountCurve, Swap!$F$4, Stream1!C100))</f>
        <v>0.4251347856819479</v>
      </c>
      <c r="J100" s="117">
        <f ca="1">IF(C100="#N/A","#N/A",_xll.HLV5r3.Financial.Cache.GetValueFromBase(Stream1ForwardCurve, Swap!$F$4, A100))</f>
        <v>0.43026789057611858</v>
      </c>
      <c r="K100" s="169">
        <f ca="1">IF(C100="#N/A","#N/A",_xll.HLV5r3.Financial.Cache.GetValueFromBase(Stream1ForwardCurve, Swap!$F$4, B100))</f>
        <v>0.4251347856819479</v>
      </c>
      <c r="L100" s="115">
        <f ca="1" xml:space="preserve"> IF(G100=0,0,_xll.HLV5r3.Financial.Cache.YearFraction( A100, B100,Swap!$B$25))</f>
        <v>0.25205479452054796</v>
      </c>
      <c r="M100" s="143">
        <f ca="1">IF(I100=0,0,IF($B$2="Fixed",Stream1FixedRate,_xll.HLV5r3.Analytics.Rates.GetRate(J100,K100,L100)+Stream1Spread))</f>
        <v>5.4399999999999997E-2</v>
      </c>
      <c r="N100" s="155">
        <f ca="1">IF(L100="#N/A",L100,IF(Swap!$B$26="Standard",L100*G100*M100,L100*G100*M100/(1+Stream1!L100*Stream1!M100)))</f>
        <v>1371178.0821917807</v>
      </c>
      <c r="O100" s="155">
        <f t="shared" ca="1" si="12"/>
        <v>582935.50010438706</v>
      </c>
      <c r="P100" s="177">
        <f>IF($B$2="FIXED",0,IF(Swap!$B$26="FRA",_xll.HLV5r3.Analytics.Swaps.Delta0DiscountCoupon( G100, L100, M100, I100),_xll.HLV5r3.Analytics.Swaps.Delta0Coupon( G100, L100, M100, I100)))</f>
        <v>0</v>
      </c>
      <c r="Q100" s="180">
        <f ca="1">IF(U100=0,0,_xll.HLV5r3.Analytics.Swaps.Delta1ForAnAmount( N100, I100, Stream1CompoundingPeriod, U100))</f>
        <v>897.72132241199006</v>
      </c>
      <c r="R100" s="79"/>
      <c r="S100" s="210">
        <f t="shared" ca="1" si="17"/>
        <v>49248</v>
      </c>
      <c r="T100" s="213">
        <f t="shared" ca="1" si="13"/>
        <v>49248</v>
      </c>
      <c r="U100" s="173">
        <f ca="1">IF(C100="#N/A",0,_xll.HLV5r3.Financial.Cache.YearFraction( ValuationDate, C100,"ACT/365.FIXED"))</f>
        <v>15.610958904109589</v>
      </c>
      <c r="V100" s="79"/>
      <c r="X100" s="207">
        <f ca="1"/>
        <v>49248</v>
      </c>
    </row>
    <row r="101" spans="1:24">
      <c r="A101" s="136">
        <f t="shared" ca="1" si="14"/>
        <v>49340</v>
      </c>
      <c r="B101" s="136">
        <f t="shared" ca="1" si="11"/>
        <v>49429</v>
      </c>
      <c r="C101" s="101">
        <f ca="1">IF(Swap!$B$26="Standard",B101,A101)</f>
        <v>49429</v>
      </c>
      <c r="D101" s="147">
        <v>0</v>
      </c>
      <c r="E101" s="112">
        <f t="shared" ca="1" si="9"/>
        <v>100000000</v>
      </c>
      <c r="F101" s="112">
        <f t="shared" ca="1" si="15"/>
        <v>100000000</v>
      </c>
      <c r="G101" s="112">
        <f t="shared" ca="1" si="16"/>
        <v>100000000</v>
      </c>
      <c r="H101" s="152" t="str">
        <f t="shared" ca="1" si="10"/>
        <v>Coupon</v>
      </c>
      <c r="I101" s="168">
        <f ca="1">IF(C101="#N/A",0,_xll.HLV5r3.Financial.Cache.GetValueFromBase( Stream1DiscountCurve, Swap!$F$4, Stream1!C101))</f>
        <v>0.42025111034515766</v>
      </c>
      <c r="J101" s="117">
        <f ca="1">IF(C101="#N/A","#N/A",_xll.HLV5r3.Financial.Cache.GetValueFromBase(Stream1ForwardCurve, Swap!$F$4, A101))</f>
        <v>0.4251347856819479</v>
      </c>
      <c r="K101" s="169">
        <f ca="1">IF(C101="#N/A","#N/A",_xll.HLV5r3.Financial.Cache.GetValueFromBase(Stream1ForwardCurve, Swap!$F$4, B101))</f>
        <v>0.42025111034515766</v>
      </c>
      <c r="L101" s="115">
        <f ca="1" xml:space="preserve"> IF(G101=0,0,_xll.HLV5r3.Financial.Cache.YearFraction( A101, B101,Swap!$B$25))</f>
        <v>0.24383561643835616</v>
      </c>
      <c r="M101" s="143">
        <f ca="1">IF(I101=0,0,IF($B$2="Fixed",Stream1FixedRate,_xll.HLV5r3.Analytics.Rates.GetRate(J101,K101,L101)+Stream1Spread))</f>
        <v>5.4399999999999997E-2</v>
      </c>
      <c r="N101" s="155">
        <f ca="1">IF(L101="#N/A",L101,IF(Swap!$B$26="Standard",L101*G101*M101,L101*G101*M101/(1+Stream1!L101*Stream1!M101)))</f>
        <v>1326465.7534246575</v>
      </c>
      <c r="O101" s="155">
        <f t="shared" ca="1" si="12"/>
        <v>557448.70571153844</v>
      </c>
      <c r="P101" s="177">
        <f>IF($B$2="FIXED",0,IF(Swap!$B$26="FRA",_xll.HLV5r3.Analytics.Swaps.Delta0DiscountCoupon( G101, L101, M101, I101),_xll.HLV5r3.Analytics.Swaps.Delta0Coupon( G101, L101, M101, I101)))</f>
        <v>0</v>
      </c>
      <c r="Q101" s="180">
        <f ca="1">IF(U101=0,0,_xll.HLV5r3.Analytics.Swaps.Delta1ForAnAmount( N101, I101, Stream1CompoundingPeriod, U101))</f>
        <v>871.90503939983375</v>
      </c>
      <c r="R101" s="79"/>
      <c r="S101" s="210">
        <f t="shared" ca="1" si="17"/>
        <v>49340</v>
      </c>
      <c r="T101" s="213">
        <f t="shared" ca="1" si="13"/>
        <v>49340</v>
      </c>
      <c r="U101" s="173">
        <f ca="1">IF(C101="#N/A",0,_xll.HLV5r3.Financial.Cache.YearFraction( ValuationDate, C101,"ACT/365.FIXED"))</f>
        <v>15.854794520547944</v>
      </c>
      <c r="V101" s="79"/>
      <c r="X101" s="207">
        <f ca="1"/>
        <v>49340</v>
      </c>
    </row>
    <row r="102" spans="1:24">
      <c r="A102" s="136">
        <f t="shared" ca="1" si="14"/>
        <v>49429</v>
      </c>
      <c r="B102" s="136">
        <f t="shared" ca="1" si="11"/>
        <v>49521</v>
      </c>
      <c r="C102" s="101">
        <f ca="1">IF(Swap!$B$26="Standard",B102,A102)</f>
        <v>49521</v>
      </c>
      <c r="D102" s="147">
        <v>0</v>
      </c>
      <c r="E102" s="112">
        <f t="shared" ca="1" si="9"/>
        <v>100000000</v>
      </c>
      <c r="F102" s="112">
        <f t="shared" ca="1" si="15"/>
        <v>100000000</v>
      </c>
      <c r="G102" s="112">
        <f t="shared" ca="1" si="16"/>
        <v>100000000</v>
      </c>
      <c r="H102" s="152" t="str">
        <f t="shared" ca="1" si="10"/>
        <v>Coupon</v>
      </c>
      <c r="I102" s="168">
        <f ca="1">IF(C102="#N/A",0,_xll.HLV5r3.Financial.Cache.GetValueFromBase( Stream1DiscountCurve, Swap!$F$4, Stream1!C102))</f>
        <v>0.41528605272407559</v>
      </c>
      <c r="J102" s="117">
        <f ca="1">IF(C102="#N/A","#N/A",_xll.HLV5r3.Financial.Cache.GetValueFromBase(Stream1ForwardCurve, Swap!$F$4, A102))</f>
        <v>0.42025111034515766</v>
      </c>
      <c r="K102" s="169">
        <f ca="1">IF(C102="#N/A","#N/A",_xll.HLV5r3.Financial.Cache.GetValueFromBase(Stream1ForwardCurve, Swap!$F$4, B102))</f>
        <v>0.41528605272407559</v>
      </c>
      <c r="L102" s="115">
        <f ca="1" xml:space="preserve"> IF(G102=0,0,_xll.HLV5r3.Financial.Cache.YearFraction( A102, B102,Swap!$B$25))</f>
        <v>0.25205479452054796</v>
      </c>
      <c r="M102" s="143">
        <f ca="1">IF(I102=0,0,IF($B$2="Fixed",Stream1FixedRate,_xll.HLV5r3.Analytics.Rates.GetRate(J102,K102,L102)+Stream1Spread))</f>
        <v>5.4399999999999997E-2</v>
      </c>
      <c r="N102" s="155">
        <f ca="1">IF(L102="#N/A",L102,IF(Swap!$B$26="Standard",L102*G102*M102,L102*G102*M102/(1+Stream1!L102*Stream1!M102)))</f>
        <v>1371178.0821917807</v>
      </c>
      <c r="O102" s="155">
        <f t="shared" ca="1" si="12"/>
        <v>569431.13333519269</v>
      </c>
      <c r="P102" s="177">
        <f>IF($B$2="FIXED",0,IF(Swap!$B$26="FRA",_xll.HLV5r3.Analytics.Swaps.Delta0DiscountCoupon( G102, L102, M102, I102),_xll.HLV5r3.Analytics.Swaps.Delta0Coupon( G102, L102, M102, I102)))</f>
        <v>0</v>
      </c>
      <c r="Q102" s="180">
        <f ca="1">IF(U102=0,0,_xll.HLV5r3.Analytics.Swaps.Delta1ForAnAmount( N102, I102, Stream1CompoundingPeriod, U102))</f>
        <v>904.83226183570048</v>
      </c>
      <c r="R102" s="79"/>
      <c r="S102" s="210">
        <f t="shared" ca="1" si="17"/>
        <v>49429</v>
      </c>
      <c r="T102" s="213">
        <f t="shared" ca="1" si="13"/>
        <v>49429</v>
      </c>
      <c r="U102" s="173">
        <f ca="1">IF(C102="#N/A",0,_xll.HLV5r3.Financial.Cache.YearFraction( ValuationDate, C102,"ACT/365.FIXED"))</f>
        <v>16.106849315068494</v>
      </c>
      <c r="V102" s="79"/>
      <c r="X102" s="207">
        <f ca="1"/>
        <v>49429</v>
      </c>
    </row>
    <row r="103" spans="1:24">
      <c r="A103" s="136">
        <f t="shared" ca="1" si="14"/>
        <v>49521</v>
      </c>
      <c r="B103" s="136">
        <f t="shared" ca="1" si="11"/>
        <v>49613</v>
      </c>
      <c r="C103" s="101">
        <f ca="1">IF(Swap!$B$26="Standard",B103,A103)</f>
        <v>49613</v>
      </c>
      <c r="D103" s="147">
        <v>0</v>
      </c>
      <c r="E103" s="112">
        <f t="shared" ca="1" si="9"/>
        <v>100000000</v>
      </c>
      <c r="F103" s="112">
        <f t="shared" ca="1" si="15"/>
        <v>100000000</v>
      </c>
      <c r="G103" s="112">
        <f t="shared" ca="1" si="16"/>
        <v>100000000</v>
      </c>
      <c r="H103" s="152" t="str">
        <f t="shared" ca="1" si="10"/>
        <v>Coupon</v>
      </c>
      <c r="I103" s="168">
        <f ca="1">IF(C103="#N/A",0,_xll.HLV5r3.Financial.Cache.GetValueFromBase( Stream1DiscountCurve, Swap!$F$4, Stream1!C103))</f>
        <v>0.410404042763583</v>
      </c>
      <c r="J103" s="117">
        <f ca="1">IF(C103="#N/A","#N/A",_xll.HLV5r3.Financial.Cache.GetValueFromBase(Stream1ForwardCurve, Swap!$F$4, A103))</f>
        <v>0.41528605272407559</v>
      </c>
      <c r="K103" s="169">
        <f ca="1">IF(C103="#N/A","#N/A",_xll.HLV5r3.Financial.Cache.GetValueFromBase(Stream1ForwardCurve, Swap!$F$4, B103))</f>
        <v>0.410404042763583</v>
      </c>
      <c r="L103" s="115">
        <f ca="1" xml:space="preserve"> IF(G103=0,0,_xll.HLV5r3.Financial.Cache.YearFraction( A103, B103,Swap!$B$25))</f>
        <v>0.25205479452054796</v>
      </c>
      <c r="M103" s="143">
        <f ca="1">IF(I103=0,0,IF($B$2="Fixed",Stream1FixedRate,_xll.HLV5r3.Analytics.Rates.GetRate(J103,K103,L103)+Stream1Spread))</f>
        <v>5.4399999999999997E-2</v>
      </c>
      <c r="N103" s="155">
        <f ca="1">IF(L103="#N/A",L103,IF(Swap!$B$26="Standard",L103*G103*M103,L103*G103*M103/(1+Stream1!L103*Stream1!M103)))</f>
        <v>1371178.0821917807</v>
      </c>
      <c r="O103" s="155">
        <f t="shared" ca="1" si="12"/>
        <v>562737.02828032325</v>
      </c>
      <c r="P103" s="177">
        <f>IF($B$2="FIXED",0,IF(Swap!$B$26="FRA",_xll.HLV5r3.Analytics.Swaps.Delta0DiscountCoupon( G103, L103, M103, I103),_xll.HLV5r3.Analytics.Swaps.Delta0Coupon( G103, L103, M103, I103)))</f>
        <v>0</v>
      </c>
      <c r="Q103" s="180">
        <f ca="1">IF(U103=0,0,_xll.HLV5r3.Analytics.Swaps.Delta1ForAnAmount( N103, I103, Stream1CompoundingPeriod, U103))</f>
        <v>908.2148272747778</v>
      </c>
      <c r="R103" s="79"/>
      <c r="S103" s="210">
        <f t="shared" ca="1" si="17"/>
        <v>49521</v>
      </c>
      <c r="T103" s="213">
        <f t="shared" ca="1" si="13"/>
        <v>49521</v>
      </c>
      <c r="U103" s="173">
        <f ca="1">IF(C103="#N/A",0,_xll.HLV5r3.Financial.Cache.YearFraction( ValuationDate, C103,"ACT/365.FIXED"))</f>
        <v>16.358904109589041</v>
      </c>
      <c r="V103" s="79"/>
      <c r="X103" s="207">
        <f ca="1"/>
        <v>49521</v>
      </c>
    </row>
    <row r="104" spans="1:24">
      <c r="A104" s="136">
        <f t="shared" ca="1" si="14"/>
        <v>49613</v>
      </c>
      <c r="B104" s="136">
        <f t="shared" ca="1" si="11"/>
        <v>49705</v>
      </c>
      <c r="C104" s="101">
        <f ca="1">IF(Swap!$B$26="Standard",B104,A104)</f>
        <v>49705</v>
      </c>
      <c r="D104" s="147">
        <v>0</v>
      </c>
      <c r="E104" s="112">
        <f t="shared" ca="1" si="9"/>
        <v>100000000</v>
      </c>
      <c r="F104" s="112">
        <f t="shared" ca="1" si="15"/>
        <v>100000000</v>
      </c>
      <c r="G104" s="112">
        <f t="shared" ca="1" si="16"/>
        <v>100000000</v>
      </c>
      <c r="H104" s="152" t="str">
        <f t="shared" ca="1" si="10"/>
        <v>Coupon</v>
      </c>
      <c r="I104" s="168">
        <f ca="1">IF(C104="#N/A",0,_xll.HLV5r3.Financial.Cache.GetValueFromBase( Stream1DiscountCurve, Swap!$F$4, Stream1!C104))</f>
        <v>0.40560352839489666</v>
      </c>
      <c r="J104" s="117">
        <f ca="1">IF(C104="#N/A","#N/A",_xll.HLV5r3.Financial.Cache.GetValueFromBase(Stream1ForwardCurve, Swap!$F$4, A104))</f>
        <v>0.410404042763583</v>
      </c>
      <c r="K104" s="169">
        <f ca="1">IF(C104="#N/A","#N/A",_xll.HLV5r3.Financial.Cache.GetValueFromBase(Stream1ForwardCurve, Swap!$F$4, B104))</f>
        <v>0.40560352839489666</v>
      </c>
      <c r="L104" s="115">
        <f ca="1" xml:space="preserve"> IF(G104=0,0,_xll.HLV5r3.Financial.Cache.YearFraction( A104, B104,Swap!$B$25))</f>
        <v>0.25205479452054796</v>
      </c>
      <c r="M104" s="143">
        <f ca="1">IF(I104=0,0,IF($B$2="Fixed",Stream1FixedRate,_xll.HLV5r3.Analytics.Rates.GetRate(J104,K104,L104)+Stream1Spread))</f>
        <v>5.4399999999999997E-2</v>
      </c>
      <c r="N104" s="155">
        <f ca="1">IF(L104="#N/A",L104,IF(Swap!$B$26="Standard",L104*G104*M104,L104*G104*M104/(1+Stream1!L104*Stream1!M104)))</f>
        <v>1371178.0821917807</v>
      </c>
      <c r="O104" s="155">
        <f t="shared" ca="1" si="12"/>
        <v>556154.66819473391</v>
      </c>
      <c r="P104" s="177">
        <f>IF($B$2="FIXED",0,IF(Swap!$B$26="FRA",_xll.HLV5r3.Analytics.Swaps.Delta0DiscountCoupon( G104, L104, M104, I104),_xll.HLV5r3.Analytics.Swaps.Delta0Coupon( G104, L104, M104, I104)))</f>
        <v>0</v>
      </c>
      <c r="Q104" s="180">
        <f ca="1">IF(U104=0,0,_xll.HLV5r3.Analytics.Swaps.Delta1ForAnAmount( N104, I104, Stream1CompoundingPeriod, U104))</f>
        <v>911.44778735062368</v>
      </c>
      <c r="R104" s="79"/>
      <c r="S104" s="210">
        <f t="shared" ca="1" si="17"/>
        <v>49613</v>
      </c>
      <c r="T104" s="213">
        <f t="shared" ca="1" si="13"/>
        <v>49613</v>
      </c>
      <c r="U104" s="173">
        <f ca="1">IF(C104="#N/A",0,_xll.HLV5r3.Financial.Cache.YearFraction( ValuationDate, C104,"ACT/365.FIXED"))</f>
        <v>16.610958904109587</v>
      </c>
      <c r="V104" s="79"/>
      <c r="X104" s="207">
        <f ca="1"/>
        <v>49613</v>
      </c>
    </row>
    <row r="105" spans="1:24">
      <c r="A105" s="136">
        <f t="shared" ca="1" si="14"/>
        <v>49705</v>
      </c>
      <c r="B105" s="136">
        <f t="shared" ca="1" si="11"/>
        <v>49795</v>
      </c>
      <c r="C105" s="101">
        <f ca="1">IF(Swap!$B$26="Standard",B105,A105)</f>
        <v>49795</v>
      </c>
      <c r="D105" s="147">
        <v>0</v>
      </c>
      <c r="E105" s="112">
        <f t="shared" ca="1" si="9"/>
        <v>100000000</v>
      </c>
      <c r="F105" s="112">
        <f t="shared" ca="1" si="15"/>
        <v>100000000</v>
      </c>
      <c r="G105" s="112">
        <f t="shared" ca="1" si="16"/>
        <v>100000000</v>
      </c>
      <c r="H105" s="152" t="str">
        <f t="shared" ca="1" si="10"/>
        <v>Coupon</v>
      </c>
      <c r="I105" s="168">
        <f ca="1">IF(C105="#N/A",0,_xll.HLV5r3.Financial.Cache.GetValueFromBase( Stream1DiscountCurve, Swap!$F$4, Stream1!C105))</f>
        <v>0.40098477063222043</v>
      </c>
      <c r="J105" s="117">
        <f ca="1">IF(C105="#N/A","#N/A",_xll.HLV5r3.Financial.Cache.GetValueFromBase(Stream1ForwardCurve, Swap!$F$4, A105))</f>
        <v>0.40560352839489666</v>
      </c>
      <c r="K105" s="169">
        <f ca="1">IF(C105="#N/A","#N/A",_xll.HLV5r3.Financial.Cache.GetValueFromBase(Stream1ForwardCurve, Swap!$F$4, B105))</f>
        <v>0.40098477063222043</v>
      </c>
      <c r="L105" s="115">
        <f ca="1" xml:space="preserve"> IF(G105=0,0,_xll.HLV5r3.Financial.Cache.YearFraction( A105, B105,Swap!$B$25))</f>
        <v>0.24657534246575341</v>
      </c>
      <c r="M105" s="143">
        <f ca="1">IF(I105=0,0,IF($B$2="Fixed",Stream1FixedRate,_xll.HLV5r3.Analytics.Rates.GetRate(J105,K105,L105)+Stream1Spread))</f>
        <v>5.4399999999999997E-2</v>
      </c>
      <c r="N105" s="155">
        <f ca="1">IF(L105="#N/A",L105,IF(Swap!$B$26="Standard",L105*G105*M105,L105*G105*M105/(1+Stream1!L105*Stream1!M105)))</f>
        <v>1341369.8630136985</v>
      </c>
      <c r="O105" s="155">
        <f t="shared" ca="1" si="12"/>
        <v>537868.88685352087</v>
      </c>
      <c r="P105" s="177">
        <f>IF($B$2="FIXED",0,IF(Swap!$B$26="FRA",_xll.HLV5r3.Analytics.Swaps.Delta0DiscountCoupon( G105, L105, M105, I105),_xll.HLV5r3.Analytics.Swaps.Delta0Coupon( G105, L105, M105, I105)))</f>
        <v>0</v>
      </c>
      <c r="Q105" s="180">
        <f ca="1">IF(U105=0,0,_xll.HLV5r3.Analytics.Swaps.Delta1ForAnAmount( N105, I105, Stream1CompoundingPeriod, U105))</f>
        <v>894.59057953986269</v>
      </c>
      <c r="R105" s="79"/>
      <c r="S105" s="210">
        <f t="shared" ca="1" si="17"/>
        <v>49705</v>
      </c>
      <c r="T105" s="213">
        <f t="shared" ca="1" si="13"/>
        <v>49705</v>
      </c>
      <c r="U105" s="173">
        <f ca="1">IF(C105="#N/A",0,_xll.HLV5r3.Financial.Cache.YearFraction( ValuationDate, C105,"ACT/365.FIXED"))</f>
        <v>16.857534246575341</v>
      </c>
      <c r="V105" s="79"/>
      <c r="X105" s="207">
        <f ca="1"/>
        <v>49705</v>
      </c>
    </row>
    <row r="106" spans="1:24">
      <c r="A106" s="136">
        <f t="shared" ca="1" si="14"/>
        <v>49795</v>
      </c>
      <c r="B106" s="136">
        <f t="shared" ca="1" si="11"/>
        <v>49887</v>
      </c>
      <c r="C106" s="101">
        <f ca="1">IF(Swap!$B$26="Standard",B106,A106)</f>
        <v>49887</v>
      </c>
      <c r="D106" s="147">
        <v>0</v>
      </c>
      <c r="E106" s="112">
        <f t="shared" ca="1" si="9"/>
        <v>100000000</v>
      </c>
      <c r="F106" s="112">
        <f t="shared" ca="1" si="15"/>
        <v>100000000</v>
      </c>
      <c r="G106" s="112">
        <f t="shared" ca="1" si="16"/>
        <v>100000000</v>
      </c>
      <c r="H106" s="152" t="str">
        <f t="shared" ca="1" si="10"/>
        <v>Coupon</v>
      </c>
      <c r="I106" s="168">
        <f ca="1">IF(C106="#N/A",0,_xll.HLV5r3.Financial.Cache.GetValueFromBase( Stream1DiscountCurve, Swap!$F$4, Stream1!C106))</f>
        <v>0.39634103025654838</v>
      </c>
      <c r="J106" s="117">
        <f ca="1">IF(C106="#N/A","#N/A",_xll.HLV5r3.Financial.Cache.GetValueFromBase(Stream1ForwardCurve, Swap!$F$4, A106))</f>
        <v>0.40098477063222043</v>
      </c>
      <c r="K106" s="169">
        <f ca="1">IF(C106="#N/A","#N/A",_xll.HLV5r3.Financial.Cache.GetValueFromBase(Stream1ForwardCurve, Swap!$F$4, B106))</f>
        <v>0.39634103025654838</v>
      </c>
      <c r="L106" s="115">
        <f ca="1" xml:space="preserve"> IF(G106=0,0,_xll.HLV5r3.Financial.Cache.YearFraction( A106, B106,Swap!$B$25))</f>
        <v>0.25205479452054796</v>
      </c>
      <c r="M106" s="143">
        <f ca="1">IF(I106=0,0,IF($B$2="Fixed",Stream1FixedRate,_xll.HLV5r3.Analytics.Rates.GetRate(J106,K106,L106)+Stream1Spread))</f>
        <v>5.4399999999999997E-2</v>
      </c>
      <c r="N106" s="155">
        <f ca="1">IF(L106="#N/A",L106,IF(Swap!$B$26="Standard",L106*G106*M106,L106*G106*M106/(1+Stream1!L106*Stream1!M106)))</f>
        <v>1371178.0821917807</v>
      </c>
      <c r="O106" s="155">
        <f t="shared" ca="1" si="12"/>
        <v>543454.13376108848</v>
      </c>
      <c r="P106" s="177">
        <f>IF($B$2="FIXED",0,IF(Swap!$B$26="FRA",_xll.HLV5r3.Analytics.Swaps.Delta0DiscountCoupon( G106, L106, M106, I106),_xll.HLV5r3.Analytics.Swaps.Delta0Coupon( G106, L106, M106, I106)))</f>
        <v>0</v>
      </c>
      <c r="Q106" s="180">
        <f ca="1">IF(U106=0,0,_xll.HLV5r3.Analytics.Swaps.Delta1ForAnAmount( N106, I106, Stream1CompoundingPeriod, U106))</f>
        <v>917.4215534954086</v>
      </c>
      <c r="R106" s="79"/>
      <c r="S106" s="210">
        <f t="shared" ca="1" si="17"/>
        <v>49795</v>
      </c>
      <c r="T106" s="213">
        <f t="shared" ca="1" si="13"/>
        <v>49795</v>
      </c>
      <c r="U106" s="173">
        <f ca="1">IF(C106="#N/A",0,_xll.HLV5r3.Financial.Cache.YearFraction( ValuationDate, C106,"ACT/365.FIXED"))</f>
        <v>17.109589041095891</v>
      </c>
      <c r="V106" s="79"/>
      <c r="X106" s="207">
        <f ca="1"/>
        <v>49795</v>
      </c>
    </row>
    <row r="107" spans="1:24">
      <c r="A107" s="136">
        <f t="shared" ca="1" si="14"/>
        <v>49887</v>
      </c>
      <c r="B107" s="136">
        <f t="shared" ca="1" si="11"/>
        <v>49979</v>
      </c>
      <c r="C107" s="101">
        <f ca="1">IF(Swap!$B$26="Standard",B107,A107)</f>
        <v>49979</v>
      </c>
      <c r="D107" s="147">
        <v>0</v>
      </c>
      <c r="E107" s="112">
        <f t="shared" ca="1" si="9"/>
        <v>100000000</v>
      </c>
      <c r="F107" s="112">
        <f t="shared" ca="1" si="15"/>
        <v>100000000</v>
      </c>
      <c r="G107" s="112">
        <f t="shared" ca="1" si="16"/>
        <v>100000000</v>
      </c>
      <c r="H107" s="152" t="str">
        <f t="shared" ca="1" si="10"/>
        <v>Coupon</v>
      </c>
      <c r="I107" s="168">
        <f ca="1">IF(C107="#N/A",0,_xll.HLV5r3.Financial.Cache.GetValueFromBase( Stream1DiscountCurve, Swap!$F$4, Stream1!C107))</f>
        <v>0.39177435330680344</v>
      </c>
      <c r="J107" s="117">
        <f ca="1">IF(C107="#N/A","#N/A",_xll.HLV5r3.Financial.Cache.GetValueFromBase(Stream1ForwardCurve, Swap!$F$4, A107))</f>
        <v>0.39634103025654838</v>
      </c>
      <c r="K107" s="169">
        <f ca="1">IF(C107="#N/A","#N/A",_xll.HLV5r3.Financial.Cache.GetValueFromBase(Stream1ForwardCurve, Swap!$F$4, B107))</f>
        <v>0.39177435330680344</v>
      </c>
      <c r="L107" s="115">
        <f ca="1" xml:space="preserve"> IF(G107=0,0,_xll.HLV5r3.Financial.Cache.YearFraction( A107, B107,Swap!$B$25))</f>
        <v>0.25205479452054796</v>
      </c>
      <c r="M107" s="143">
        <f ca="1">IF(I107=0,0,IF($B$2="Fixed",Stream1FixedRate,_xll.HLV5r3.Analytics.Rates.GetRate(J107,K107,L107)+Stream1Spread))</f>
        <v>5.4399999999999997E-2</v>
      </c>
      <c r="N107" s="155">
        <f ca="1">IF(L107="#N/A",L107,IF(Swap!$B$26="Standard",L107*G107*M107,L107*G107*M107/(1+Stream1!L107*Stream1!M107)))</f>
        <v>1371178.0821917807</v>
      </c>
      <c r="O107" s="155">
        <f t="shared" ca="1" si="12"/>
        <v>537192.40641914785</v>
      </c>
      <c r="P107" s="177">
        <f>IF($B$2="FIXED",0,IF(Swap!$B$26="FRA",_xll.HLV5r3.Analytics.Swaps.Delta0DiscountCoupon( G107, L107, M107, I107),_xll.HLV5r3.Analytics.Swaps.Delta0Coupon( G107, L107, M107, I107)))</f>
        <v>0</v>
      </c>
      <c r="Q107" s="180">
        <f ca="1">IF(U107=0,0,_xll.HLV5r3.Analytics.Swaps.Delta1ForAnAmount( N107, I107, Stream1CompoundingPeriod, U107))</f>
        <v>920.23721008292705</v>
      </c>
      <c r="R107" s="79"/>
      <c r="S107" s="210">
        <f t="shared" ca="1" si="17"/>
        <v>49887</v>
      </c>
      <c r="T107" s="213">
        <f t="shared" ca="1" si="13"/>
        <v>49887</v>
      </c>
      <c r="U107" s="173">
        <f ca="1">IF(C107="#N/A",0,_xll.HLV5r3.Financial.Cache.YearFraction( ValuationDate, C107,"ACT/365.FIXED"))</f>
        <v>17.361643835616437</v>
      </c>
      <c r="V107" s="79"/>
      <c r="X107" s="207">
        <f ca="1"/>
        <v>49887</v>
      </c>
    </row>
    <row r="108" spans="1:24">
      <c r="A108" s="136">
        <f t="shared" ca="1" si="14"/>
        <v>49979</v>
      </c>
      <c r="B108" s="136">
        <f t="shared" ca="1" si="11"/>
        <v>50070</v>
      </c>
      <c r="C108" s="101">
        <f ca="1">IF(Swap!$B$26="Standard",B108,A108)</f>
        <v>50070</v>
      </c>
      <c r="D108" s="147">
        <v>0</v>
      </c>
      <c r="E108" s="112">
        <f t="shared" ca="1" si="9"/>
        <v>100000000</v>
      </c>
      <c r="F108" s="112">
        <f t="shared" ca="1" si="15"/>
        <v>100000000</v>
      </c>
      <c r="G108" s="112">
        <f t="shared" ca="1" si="16"/>
        <v>100000000</v>
      </c>
      <c r="H108" s="152" t="str">
        <f t="shared" ca="1" si="10"/>
        <v>Coupon</v>
      </c>
      <c r="I108" s="168">
        <f ca="1">IF(C108="#N/A",0,_xll.HLV5r3.Financial.Cache.GetValueFromBase( Stream1DiscountCurve, Swap!$F$4, Stream1!C108))</f>
        <v>0.38733172718328823</v>
      </c>
      <c r="J108" s="117">
        <f ca="1">IF(C108="#N/A","#N/A",_xll.HLV5r3.Financial.Cache.GetValueFromBase(Stream1ForwardCurve, Swap!$F$4, A108))</f>
        <v>0.39177435330680344</v>
      </c>
      <c r="K108" s="169">
        <f ca="1">IF(C108="#N/A","#N/A",_xll.HLV5r3.Financial.Cache.GetValueFromBase(Stream1ForwardCurve, Swap!$F$4, B108))</f>
        <v>0.38733172718328823</v>
      </c>
      <c r="L108" s="115">
        <f ca="1" xml:space="preserve"> IF(G108=0,0,_xll.HLV5r3.Financial.Cache.YearFraction( A108, B108,Swap!$B$25))</f>
        <v>0.24931506849315069</v>
      </c>
      <c r="M108" s="143">
        <f ca="1">IF(I108=0,0,IF($B$2="Fixed",Stream1FixedRate,_xll.HLV5r3.Analytics.Rates.GetRate(J108,K108,L108)+Stream1Spread))</f>
        <v>5.4399999999999997E-2</v>
      </c>
      <c r="N108" s="155">
        <f ca="1">IF(L108="#N/A",L108,IF(Swap!$B$26="Standard",L108*G108*M108,L108*G108*M108/(1+Stream1!L108*Stream1!M108)))</f>
        <v>1356273.9726027397</v>
      </c>
      <c r="O108" s="155">
        <f t="shared" ca="1" si="12"/>
        <v>525327.94034195889</v>
      </c>
      <c r="P108" s="177">
        <f>IF($B$2="FIXED",0,IF(Swap!$B$26="FRA",_xll.HLV5r3.Analytics.Swaps.Delta0DiscountCoupon( G108, L108, M108, I108),_xll.HLV5r3.Analytics.Swaps.Delta0Coupon( G108, L108, M108, I108)))</f>
        <v>0</v>
      </c>
      <c r="Q108" s="180">
        <f ca="1">IF(U108=0,0,_xll.HLV5r3.Analytics.Swaps.Delta1ForAnAmount( N108, I108, Stream1CompoundingPeriod, U108))</f>
        <v>912.86187169129448</v>
      </c>
      <c r="R108" s="79"/>
      <c r="S108" s="210">
        <f t="shared" ca="1" si="17"/>
        <v>49979</v>
      </c>
      <c r="T108" s="213">
        <f t="shared" ca="1" si="13"/>
        <v>49979</v>
      </c>
      <c r="U108" s="173">
        <f ca="1">IF(C108="#N/A",0,_xll.HLV5r3.Financial.Cache.YearFraction( ValuationDate, C108,"ACT/365.FIXED"))</f>
        <v>17.610958904109587</v>
      </c>
      <c r="V108" s="79"/>
      <c r="X108" s="207">
        <f ca="1"/>
        <v>49979</v>
      </c>
    </row>
    <row r="109" spans="1:24">
      <c r="A109" s="136">
        <f t="shared" ca="1" si="14"/>
        <v>50070</v>
      </c>
      <c r="B109" s="136">
        <f t="shared" ca="1" si="11"/>
        <v>50160</v>
      </c>
      <c r="C109" s="101">
        <f ca="1">IF(Swap!$B$26="Standard",B109,A109)</f>
        <v>50160</v>
      </c>
      <c r="D109" s="147">
        <v>0</v>
      </c>
      <c r="E109" s="112">
        <f t="shared" ca="1" si="9"/>
        <v>100000000</v>
      </c>
      <c r="F109" s="112">
        <f t="shared" ca="1" si="15"/>
        <v>100000000</v>
      </c>
      <c r="G109" s="112">
        <f t="shared" ca="1" si="16"/>
        <v>100000000</v>
      </c>
      <c r="H109" s="152" t="str">
        <f t="shared" ca="1" si="10"/>
        <v>Coupon</v>
      </c>
      <c r="I109" s="168">
        <f ca="1">IF(C109="#N/A",0,_xll.HLV5r3.Financial.Cache.GetValueFromBase( Stream1DiscountCurve, Swap!$F$4, Stream1!C109))</f>
        <v>0.38300938218337016</v>
      </c>
      <c r="J109" s="117">
        <f ca="1">IF(C109="#N/A","#N/A",_xll.HLV5r3.Financial.Cache.GetValueFromBase(Stream1ForwardCurve, Swap!$F$4, A109))</f>
        <v>0.38733172718328823</v>
      </c>
      <c r="K109" s="169">
        <f ca="1">IF(C109="#N/A","#N/A",_xll.HLV5r3.Financial.Cache.GetValueFromBase(Stream1ForwardCurve, Swap!$F$4, B109))</f>
        <v>0.38300938218337016</v>
      </c>
      <c r="L109" s="115">
        <f ca="1" xml:space="preserve"> IF(G109=0,0,_xll.HLV5r3.Financial.Cache.YearFraction( A109, B109,Swap!$B$25))</f>
        <v>0.24657534246575341</v>
      </c>
      <c r="M109" s="143">
        <f ca="1">IF(I109=0,0,IF($B$2="Fixed",Stream1FixedRate,_xll.HLV5r3.Analytics.Rates.GetRate(J109,K109,L109)+Stream1Spread))</f>
        <v>5.4399999999999997E-2</v>
      </c>
      <c r="N109" s="155">
        <f ca="1">IF(L109="#N/A",L109,IF(Swap!$B$26="Standard",L109*G109*M109,L109*G109*M109/(1+Stream1!L109*Stream1!M109)))</f>
        <v>1341369.8630136985</v>
      </c>
      <c r="O109" s="155">
        <f t="shared" ca="1" si="12"/>
        <v>513757.24251226854</v>
      </c>
      <c r="P109" s="177">
        <f>IF($B$2="FIXED",0,IF(Swap!$B$26="FRA",_xll.HLV5r3.Analytics.Swaps.Delta0DiscountCoupon( G109, L109, M109, I109),_xll.HLV5r3.Analytics.Swaps.Delta0Coupon( G109, L109, M109, I109)))</f>
        <v>0</v>
      </c>
      <c r="Q109" s="180">
        <f ca="1">IF(U109=0,0,_xll.HLV5r3.Analytics.Swaps.Delta1ForAnAmount( N109, I109, Stream1CompoundingPeriod, U109))</f>
        <v>905.28090201113912</v>
      </c>
      <c r="R109" s="79"/>
      <c r="S109" s="210">
        <f t="shared" ca="1" si="17"/>
        <v>50070</v>
      </c>
      <c r="T109" s="213">
        <f t="shared" ca="1" si="13"/>
        <v>50070</v>
      </c>
      <c r="U109" s="173">
        <f ca="1">IF(C109="#N/A",0,_xll.HLV5r3.Financial.Cache.YearFraction( ValuationDate, C109,"ACT/365.FIXED"))</f>
        <v>17.857534246575341</v>
      </c>
      <c r="V109" s="79"/>
      <c r="X109" s="207">
        <f ca="1"/>
        <v>50070</v>
      </c>
    </row>
    <row r="110" spans="1:24">
      <c r="A110" s="136">
        <f t="shared" ca="1" si="14"/>
        <v>50160</v>
      </c>
      <c r="B110" s="136">
        <f t="shared" ca="1" si="11"/>
        <v>50252</v>
      </c>
      <c r="C110" s="101">
        <f ca="1">IF(Swap!$B$26="Standard",B110,A110)</f>
        <v>50252</v>
      </c>
      <c r="D110" s="147">
        <v>0</v>
      </c>
      <c r="E110" s="112">
        <f t="shared" ca="1" si="9"/>
        <v>100000000</v>
      </c>
      <c r="F110" s="112">
        <f t="shared" ca="1" si="15"/>
        <v>100000000</v>
      </c>
      <c r="G110" s="112">
        <f t="shared" ca="1" si="16"/>
        <v>100000000</v>
      </c>
      <c r="H110" s="152" t="str">
        <f t="shared" ca="1" si="10"/>
        <v>Coupon</v>
      </c>
      <c r="I110" s="168">
        <f ca="1">IF(C110="#N/A",0,_xll.HLV5r3.Financial.Cache.GetValueFromBase( Stream1DiscountCurve, Swap!$F$4, Stream1!C110))</f>
        <v>0.37866309899139911</v>
      </c>
      <c r="J110" s="117">
        <f ca="1">IF(C110="#N/A","#N/A",_xll.HLV5r3.Financial.Cache.GetValueFromBase(Stream1ForwardCurve, Swap!$F$4, A110))</f>
        <v>0.38300938218337016</v>
      </c>
      <c r="K110" s="169">
        <f ca="1">IF(C110="#N/A","#N/A",_xll.HLV5r3.Financial.Cache.GetValueFromBase(Stream1ForwardCurve, Swap!$F$4, B110))</f>
        <v>0.37866309899139911</v>
      </c>
      <c r="L110" s="115">
        <f ca="1" xml:space="preserve"> IF(G110=0,0,_xll.HLV5r3.Financial.Cache.YearFraction( A110, B110,Swap!$B$25))</f>
        <v>0.25205479452054796</v>
      </c>
      <c r="M110" s="143">
        <f ca="1">IF(I110=0,0,IF($B$2="Fixed",Stream1FixedRate,_xll.HLV5r3.Analytics.Rates.GetRate(J110,K110,L110)+Stream1Spread))</f>
        <v>5.4399999999999997E-2</v>
      </c>
      <c r="N110" s="155">
        <f ca="1">IF(L110="#N/A",L110,IF(Swap!$B$26="Standard",L110*G110*M110,L110*G110*M110/(1+Stream1!L110*Stream1!M110)))</f>
        <v>1371178.0821917807</v>
      </c>
      <c r="O110" s="155">
        <f t="shared" ca="1" si="12"/>
        <v>519214.54187182302</v>
      </c>
      <c r="P110" s="177">
        <f>IF($B$2="FIXED",0,IF(Swap!$B$26="FRA",_xll.HLV5r3.Analytics.Swaps.Delta0DiscountCoupon( G110, L110, M110, I110),_xll.HLV5r3.Analytics.Swaps.Delta0Coupon( G110, L110, M110, I110)))</f>
        <v>0</v>
      </c>
      <c r="Q110" s="180">
        <f ca="1">IF(U110=0,0,_xll.HLV5r3.Analytics.Swaps.Delta1ForAnAmount( N110, I110, Stream1CompoundingPeriod, U110))</f>
        <v>927.83760947705059</v>
      </c>
      <c r="R110" s="79"/>
      <c r="S110" s="210">
        <f t="shared" ca="1" si="17"/>
        <v>50160</v>
      </c>
      <c r="T110" s="213">
        <f t="shared" ca="1" si="13"/>
        <v>50160</v>
      </c>
      <c r="U110" s="173">
        <f ca="1">IF(C110="#N/A",0,_xll.HLV5r3.Financial.Cache.YearFraction( ValuationDate, C110,"ACT/365.FIXED"))</f>
        <v>18.109589041095891</v>
      </c>
      <c r="V110" s="79"/>
      <c r="X110" s="207">
        <f ca="1"/>
        <v>50160</v>
      </c>
    </row>
    <row r="111" spans="1:24">
      <c r="A111" s="136">
        <f t="shared" ca="1" si="14"/>
        <v>50252</v>
      </c>
      <c r="B111" s="136">
        <f t="shared" ca="1" si="11"/>
        <v>50343</v>
      </c>
      <c r="C111" s="101">
        <f ca="1">IF(Swap!$B$26="Standard",B111,A111)</f>
        <v>50343</v>
      </c>
      <c r="D111" s="147">
        <v>0</v>
      </c>
      <c r="E111" s="112">
        <f t="shared" ca="1" si="9"/>
        <v>100000000</v>
      </c>
      <c r="F111" s="112">
        <f t="shared" ca="1" si="15"/>
        <v>100000000</v>
      </c>
      <c r="G111" s="112">
        <f t="shared" ca="1" si="16"/>
        <v>100000000</v>
      </c>
      <c r="H111" s="153" t="str">
        <f t="shared" ca="1" si="10"/>
        <v>Coupon</v>
      </c>
      <c r="I111" s="168">
        <f ca="1">IF(C111="#N/A",0,_xll.HLV5r3.Financial.Cache.GetValueFromBase( Stream1DiscountCurve, Swap!$F$4, Stream1!C111))</f>
        <v>0.37443447592699131</v>
      </c>
      <c r="J111" s="117">
        <f ca="1">IF(C111="#N/A","#N/A",_xll.HLV5r3.Financial.Cache.GetValueFromBase(Stream1ForwardCurve, Swap!$F$4, A111))</f>
        <v>0.37866309899139911</v>
      </c>
      <c r="K111" s="169">
        <f ca="1">IF(C111="#N/A","#N/A",_xll.HLV5r3.Financial.Cache.GetValueFromBase(Stream1ForwardCurve, Swap!$F$4, B111))</f>
        <v>0.37443447592699131</v>
      </c>
      <c r="L111" s="115">
        <f ca="1" xml:space="preserve"> IF(G111=0,0,_xll.HLV5r3.Financial.Cache.YearFraction( A111, B111,Swap!$B$25))</f>
        <v>0.24931506849315069</v>
      </c>
      <c r="M111" s="143">
        <f ca="1">IF(I111=0,0,IF($B$2="Fixed",Stream1FixedRate,_xll.HLV5r3.Analytics.Rates.GetRate(J111,K111,L111)+Stream1Spread))</f>
        <v>5.4399999999999997E-2</v>
      </c>
      <c r="N111" s="155">
        <f ca="1">IF(L111="#N/A",L111,IF(Swap!$B$26="Standard",L111*G111*M111,L111*G111*M111/(1+Stream1!L111*Stream1!M111)))</f>
        <v>1356273.9726027397</v>
      </c>
      <c r="O111" s="155">
        <f t="shared" ca="1" si="12"/>
        <v>507835.73414492543</v>
      </c>
      <c r="P111" s="177">
        <f>IF($B$2="FIXED",0,IF(Swap!$B$26="FRA",_xll.HLV5r3.Analytics.Swaps.Delta0DiscountCoupon( G111, L111, M111, I111),_xll.HLV5r3.Analytics.Swaps.Delta0Coupon( G111, L111, M111, I111)))</f>
        <v>0</v>
      </c>
      <c r="Q111" s="180">
        <f ca="1">IF(U111=0,0,_xll.HLV5r3.Analytics.Swaps.Delta1ForAnAmount( N111, I111, Stream1CompoundingPeriod, U111))</f>
        <v>920.02371995428814</v>
      </c>
      <c r="R111" s="48"/>
      <c r="S111" s="210">
        <f t="shared" ca="1" si="17"/>
        <v>50252</v>
      </c>
      <c r="T111" s="213">
        <f t="shared" ca="1" si="13"/>
        <v>50252</v>
      </c>
      <c r="U111" s="173">
        <f ca="1">IF(C111="#N/A",0,_xll.HLV5r3.Financial.Cache.YearFraction( ValuationDate, C111,"ACT/365.FIXED"))</f>
        <v>18.358904109589041</v>
      </c>
      <c r="V111" s="48"/>
      <c r="X111" s="207">
        <f ca="1"/>
        <v>50252</v>
      </c>
    </row>
    <row r="112" spans="1:24">
      <c r="A112" s="136">
        <f t="shared" ca="1" si="14"/>
        <v>50343</v>
      </c>
      <c r="B112" s="136">
        <f t="shared" ca="1" si="11"/>
        <v>50434</v>
      </c>
      <c r="C112" s="101">
        <f ca="1">IF(Swap!$B$26="Standard",B112,A112)</f>
        <v>50434</v>
      </c>
      <c r="D112" s="147">
        <v>0</v>
      </c>
      <c r="E112" s="112">
        <f t="shared" ca="1" si="9"/>
        <v>100000000</v>
      </c>
      <c r="F112" s="112">
        <f t="shared" ca="1" si="15"/>
        <v>100000000</v>
      </c>
      <c r="G112" s="112">
        <f t="shared" ca="1" si="16"/>
        <v>100000000</v>
      </c>
      <c r="H112" s="153" t="str">
        <f t="shared" ca="1" si="10"/>
        <v>Coupon</v>
      </c>
      <c r="I112" s="168">
        <f ca="1">IF(C112="#N/A",0,_xll.HLV5r3.Financial.Cache.GetValueFromBase( Stream1DiscountCurve, Swap!$F$4, Stream1!C112))</f>
        <v>0.37027461102034503</v>
      </c>
      <c r="J112" s="117">
        <f ca="1">IF(C112="#N/A","#N/A",_xll.HLV5r3.Financial.Cache.GetValueFromBase(Stream1ForwardCurve, Swap!$F$4, A112))</f>
        <v>0.37443447592699131</v>
      </c>
      <c r="K112" s="169">
        <f ca="1">IF(C112="#N/A","#N/A",_xll.HLV5r3.Financial.Cache.GetValueFromBase(Stream1ForwardCurve, Swap!$F$4, B112))</f>
        <v>0.37027461102034503</v>
      </c>
      <c r="L112" s="115">
        <f ca="1" xml:space="preserve"> IF(G112=0,0,_xll.HLV5r3.Financial.Cache.YearFraction( A112, B112,Swap!$B$25))</f>
        <v>0.24931506849315069</v>
      </c>
      <c r="M112" s="143">
        <f ca="1">IF(I112=0,0,IF($B$2="Fixed",Stream1FixedRate,_xll.HLV5r3.Analytics.Rates.GetRate(J112,K112,L112)+Stream1Spread))</f>
        <v>5.4399999999999997E-2</v>
      </c>
      <c r="N112" s="155">
        <f ca="1">IF(L112="#N/A",L112,IF(Swap!$B$26="Standard",L112*G112*M112,L112*G112*M112/(1+Stream1!L112*Stream1!M112)))</f>
        <v>1356273.9726027397</v>
      </c>
      <c r="O112" s="155">
        <f t="shared" ca="1" si="12"/>
        <v>502193.81764249754</v>
      </c>
      <c r="P112" s="177">
        <f>IF($B$2="FIXED",0,IF(Swap!$B$26="FRA",_xll.HLV5r3.Analytics.Swaps.Delta0DiscountCoupon( G112, L112, M112, I112),_xll.HLV5r3.Analytics.Swaps.Delta0Coupon( G112, L112, M112, I112)))</f>
        <v>0</v>
      </c>
      <c r="Q112" s="180">
        <f ca="1">IF(U112=0,0,_xll.HLV5r3.Analytics.Swaps.Delta1ForAnAmount( N112, I112, Stream1CompoundingPeriod, U112))</f>
        <v>922.18419210625962</v>
      </c>
      <c r="R112" s="48"/>
      <c r="S112" s="210">
        <f t="shared" ca="1" si="17"/>
        <v>50343</v>
      </c>
      <c r="T112" s="213">
        <f t="shared" ca="1" si="13"/>
        <v>50343</v>
      </c>
      <c r="U112" s="173">
        <f ca="1">IF(C112="#N/A",0,_xll.HLV5r3.Financial.Cache.YearFraction( ValuationDate, C112,"ACT/365.FIXED"))</f>
        <v>18.608219178082191</v>
      </c>
      <c r="V112" s="48"/>
      <c r="X112" s="207">
        <f ca="1"/>
        <v>50343</v>
      </c>
    </row>
    <row r="113" spans="1:24">
      <c r="A113" s="136">
        <f t="shared" ca="1" si="14"/>
        <v>50434</v>
      </c>
      <c r="B113" s="136">
        <f t="shared" ca="1" si="11"/>
        <v>50525</v>
      </c>
      <c r="C113" s="101">
        <f ca="1">IF(Swap!$B$26="Standard",B113,A113)</f>
        <v>50525</v>
      </c>
      <c r="D113" s="147">
        <v>0</v>
      </c>
      <c r="E113" s="112">
        <f t="shared" ref="E113:E150" ca="1" si="18">IF(C113="#N/A",0,IF(NABPayReceiveInd="Pays",-PayerNotional,PayerNotional) )</f>
        <v>100000000</v>
      </c>
      <c r="F113" s="112">
        <f t="shared" ca="1" si="15"/>
        <v>100000000</v>
      </c>
      <c r="G113" s="112">
        <f t="shared" ca="1" si="16"/>
        <v>100000000</v>
      </c>
      <c r="H113" s="153" t="str">
        <f t="shared" ref="H113:H150" ca="1" si="19">IF(C113="#N/A","#NA","Coupon" )</f>
        <v>Coupon</v>
      </c>
      <c r="I113" s="168">
        <f ca="1">IF(C113="#N/A",0,_xll.HLV5r3.Financial.Cache.GetValueFromBase( Stream1DiscountCurve, Swap!$F$4, Stream1!C113))</f>
        <v>0.36618226008190291</v>
      </c>
      <c r="J113" s="117">
        <f ca="1">IF(C113="#N/A","#N/A",_xll.HLV5r3.Financial.Cache.GetValueFromBase(Stream1ForwardCurve, Swap!$F$4, A113))</f>
        <v>0.37027461102034503</v>
      </c>
      <c r="K113" s="169">
        <f ca="1">IF(C113="#N/A","#N/A",_xll.HLV5r3.Financial.Cache.GetValueFromBase(Stream1ForwardCurve, Swap!$F$4, B113))</f>
        <v>0.36618226008190291</v>
      </c>
      <c r="L113" s="115">
        <f ca="1" xml:space="preserve"> IF(G113=0,0,_xll.HLV5r3.Financial.Cache.YearFraction( A113, B113,Swap!$B$25))</f>
        <v>0.24931506849315069</v>
      </c>
      <c r="M113" s="143">
        <f ca="1">IF(I113=0,0,IF($B$2="Fixed",Stream1FixedRate,_xll.HLV5r3.Analytics.Rates.GetRate(J113,K113,L113)+Stream1Spread))</f>
        <v>5.4399999999999997E-2</v>
      </c>
      <c r="N113" s="155">
        <f ca="1">IF(L113="#N/A",L113,IF(Swap!$B$26="Standard",L113*G113*M113,L113*G113*M113/(1+Stream1!L113*Stream1!M113)))</f>
        <v>1356273.9726027397</v>
      </c>
      <c r="O113" s="155">
        <f t="shared" ca="1" si="12"/>
        <v>496643.4685779321</v>
      </c>
      <c r="P113" s="177">
        <f>IF($B$2="FIXED",0,IF(Swap!$B$26="FRA",_xll.HLV5r3.Analytics.Swaps.Delta0DiscountCoupon( G113, L113, M113, I113),_xll.HLV5r3.Analytics.Swaps.Delta0Coupon( G113, L113, M113, I113)))</f>
        <v>0</v>
      </c>
      <c r="Q113" s="180">
        <f ca="1">IF(U113=0,0,_xll.HLV5r3.Analytics.Swaps.Delta1ForAnAmount( N113, I113, Stream1CompoundingPeriod, U113))</f>
        <v>924.23756793992357</v>
      </c>
      <c r="R113" s="48"/>
      <c r="S113" s="210">
        <f t="shared" ref="S113:S150" ca="1" si="20">IF(ISERROR(T113), "#N/A",IF(T113="","#N/A",T113+D113))</f>
        <v>50434</v>
      </c>
      <c r="T113" s="213">
        <f t="shared" ref="T113:T150" ca="1" si="21">X113</f>
        <v>50434</v>
      </c>
      <c r="U113" s="173">
        <f ca="1">IF(C113="#N/A",0,_xll.HLV5r3.Financial.Cache.YearFraction( ValuationDate, C113,"ACT/365.FIXED"))</f>
        <v>18.857534246575341</v>
      </c>
      <c r="V113" s="48"/>
      <c r="X113" s="207">
        <f ca="1"/>
        <v>50434</v>
      </c>
    </row>
    <row r="114" spans="1:24">
      <c r="A114" s="136">
        <f t="shared" ca="1" si="14"/>
        <v>50525</v>
      </c>
      <c r="B114" s="136">
        <f t="shared" ca="1" si="11"/>
        <v>50616</v>
      </c>
      <c r="C114" s="101">
        <f ca="1">IF(Swap!$B$26="Standard",B114,A114)</f>
        <v>50616</v>
      </c>
      <c r="D114" s="147">
        <v>0</v>
      </c>
      <c r="E114" s="112">
        <f t="shared" ca="1" si="18"/>
        <v>100000000</v>
      </c>
      <c r="F114" s="112">
        <f t="shared" ca="1" si="15"/>
        <v>100000000</v>
      </c>
      <c r="G114" s="112">
        <f t="shared" ca="1" si="16"/>
        <v>100000000</v>
      </c>
      <c r="H114" s="153" t="str">
        <f t="shared" ca="1" si="19"/>
        <v>Coupon</v>
      </c>
      <c r="I114" s="168">
        <f ca="1">IF(C114="#N/A",0,_xll.HLV5r3.Financial.Cache.GetValueFromBase( Stream1DiscountCurve, Swap!$F$4, Stream1!C114))</f>
        <v>0.36215620439408336</v>
      </c>
      <c r="J114" s="117">
        <f ca="1">IF(C114="#N/A","#N/A",_xll.HLV5r3.Financial.Cache.GetValueFromBase(Stream1ForwardCurve, Swap!$F$4, A114))</f>
        <v>0.36618226008190291</v>
      </c>
      <c r="K114" s="169">
        <f ca="1">IF(C114="#N/A","#N/A",_xll.HLV5r3.Financial.Cache.GetValueFromBase(Stream1ForwardCurve, Swap!$F$4, B114))</f>
        <v>0.36215620439408336</v>
      </c>
      <c r="L114" s="115">
        <f ca="1" xml:space="preserve"> IF(G114=0,0,_xll.HLV5r3.Financial.Cache.YearFraction( A114, B114,Swap!$B$25))</f>
        <v>0.24931506849315069</v>
      </c>
      <c r="M114" s="143">
        <f ca="1">IF(I114=0,0,IF($B$2="Fixed",Stream1FixedRate,_xll.HLV5r3.Analytics.Rates.GetRate(J114,K114,L114)+Stream1Spread))</f>
        <v>5.4399999999999997E-2</v>
      </c>
      <c r="N114" s="155">
        <f ca="1">IF(L114="#N/A",L114,IF(Swap!$B$26="Standard",L114*G114*M114,L114*G114*M114/(1+Stream1!L114*Stream1!M114)))</f>
        <v>1356273.9726027397</v>
      </c>
      <c r="O114" s="155">
        <f t="shared" ca="1" si="12"/>
        <v>491183.03403629322</v>
      </c>
      <c r="P114" s="177">
        <f>IF($B$2="FIXED",0,IF(Swap!$B$26="FRA",_xll.HLV5r3.Analytics.Swaps.Delta0DiscountCoupon( G114, L114, M114, I114),_xll.HLV5r3.Analytics.Swaps.Delta0Coupon( G114, L114, M114, I114)))</f>
        <v>0</v>
      </c>
      <c r="Q114" s="180">
        <f ca="1">IF(U114=0,0,_xll.HLV5r3.Analytics.Swaps.Delta1ForAnAmount( N114, I114, Stream1CompoundingPeriod, U114))</f>
        <v>926.18748036427246</v>
      </c>
      <c r="R114" s="48"/>
      <c r="S114" s="210">
        <f t="shared" ca="1" si="20"/>
        <v>50525</v>
      </c>
      <c r="T114" s="213">
        <f t="shared" ca="1" si="21"/>
        <v>50525</v>
      </c>
      <c r="U114" s="173">
        <f ca="1">IF(C114="#N/A",0,_xll.HLV5r3.Financial.Cache.YearFraction( ValuationDate, C114,"ACT/365.FIXED"))</f>
        <v>19.106849315068494</v>
      </c>
      <c r="V114" s="48"/>
      <c r="X114" s="207">
        <f ca="1"/>
        <v>50525</v>
      </c>
    </row>
    <row r="115" spans="1:24">
      <c r="A115" s="136">
        <f t="shared" ca="1" si="14"/>
        <v>50616</v>
      </c>
      <c r="B115" s="136">
        <f t="shared" ca="1" si="11"/>
        <v>50707</v>
      </c>
      <c r="C115" s="101">
        <f ca="1">IF(Swap!$B$26="Standard",B115,A115)</f>
        <v>50707</v>
      </c>
      <c r="D115" s="147">
        <v>0</v>
      </c>
      <c r="E115" s="112">
        <f t="shared" ca="1" si="18"/>
        <v>100000000</v>
      </c>
      <c r="F115" s="112">
        <f t="shared" ca="1" si="15"/>
        <v>100000000</v>
      </c>
      <c r="G115" s="112">
        <f t="shared" ca="1" si="16"/>
        <v>100000000</v>
      </c>
      <c r="H115" s="153" t="str">
        <f t="shared" ca="1" si="19"/>
        <v>Coupon</v>
      </c>
      <c r="I115" s="168">
        <f ca="1">IF(C115="#N/A",0,_xll.HLV5r3.Financial.Cache.GetValueFromBase( Stream1DiscountCurve, Swap!$F$4, Stream1!C115))</f>
        <v>0.35819525014878029</v>
      </c>
      <c r="J115" s="117">
        <f ca="1">IF(C115="#N/A","#N/A",_xll.HLV5r3.Financial.Cache.GetValueFromBase(Stream1ForwardCurve, Swap!$F$4, A115))</f>
        <v>0.36215620439408336</v>
      </c>
      <c r="K115" s="169">
        <f ca="1">IF(C115="#N/A","#N/A",_xll.HLV5r3.Financial.Cache.GetValueFromBase(Stream1ForwardCurve, Swap!$F$4, B115))</f>
        <v>0.35819525014878029</v>
      </c>
      <c r="L115" s="115">
        <f ca="1" xml:space="preserve"> IF(G115=0,0,_xll.HLV5r3.Financial.Cache.YearFraction( A115, B115,Swap!$B$25))</f>
        <v>0.24931506849315069</v>
      </c>
      <c r="M115" s="143">
        <f ca="1">IF(I115=0,0,IF($B$2="Fixed",Stream1FixedRate,_xll.HLV5r3.Analytics.Rates.GetRate(J115,K115,L115)+Stream1Spread))</f>
        <v>5.4399999999999997E-2</v>
      </c>
      <c r="N115" s="155">
        <f ca="1">IF(L115="#N/A",L115,IF(Swap!$B$26="Standard",L115*G115*M115,L115*G115*M115/(1+Stream1!L115*Stream1!M115)))</f>
        <v>1356273.9726027397</v>
      </c>
      <c r="O115" s="155">
        <f t="shared" ca="1" si="12"/>
        <v>485810.89488671831</v>
      </c>
      <c r="P115" s="177">
        <f>IF($B$2="FIXED",0,IF(Swap!$B$26="FRA",_xll.HLV5r3.Analytics.Swaps.Delta0DiscountCoupon( G115, L115, M115, I115),_xll.HLV5r3.Analytics.Swaps.Delta0Coupon( G115, L115, M115, I115)))</f>
        <v>0</v>
      </c>
      <c r="Q115" s="180">
        <f ca="1">IF(U115=0,0,_xll.HLV5r3.Analytics.Swaps.Delta1ForAnAmount( N115, I115, Stream1CompoundingPeriod, U115))</f>
        <v>928.03746456137355</v>
      </c>
      <c r="R115" s="48"/>
      <c r="S115" s="210">
        <f t="shared" ca="1" si="20"/>
        <v>50616</v>
      </c>
      <c r="T115" s="213">
        <f t="shared" ca="1" si="21"/>
        <v>50616</v>
      </c>
      <c r="U115" s="173">
        <f ca="1">IF(C115="#N/A",0,_xll.HLV5r3.Financial.Cache.YearFraction( ValuationDate, C115,"ACT/365.FIXED"))</f>
        <v>19.356164383561644</v>
      </c>
      <c r="V115" s="48"/>
      <c r="X115" s="207">
        <f ca="1"/>
        <v>50616</v>
      </c>
    </row>
    <row r="116" spans="1:24">
      <c r="A116" s="136">
        <f t="shared" ca="1" si="14"/>
        <v>50707</v>
      </c>
      <c r="B116" s="136">
        <f t="shared" ca="1" si="11"/>
        <v>50801</v>
      </c>
      <c r="C116" s="101">
        <f ca="1">IF(Swap!$B$26="Standard",B116,A116)</f>
        <v>50801</v>
      </c>
      <c r="D116" s="147">
        <v>0</v>
      </c>
      <c r="E116" s="112">
        <f t="shared" ca="1" si="18"/>
        <v>100000000</v>
      </c>
      <c r="F116" s="112">
        <f t="shared" ca="1" si="15"/>
        <v>100000000</v>
      </c>
      <c r="G116" s="112">
        <f t="shared" ca="1" si="16"/>
        <v>100000000</v>
      </c>
      <c r="H116" s="153" t="str">
        <f t="shared" ca="1" si="19"/>
        <v>Coupon</v>
      </c>
      <c r="I116" s="168">
        <f ca="1">IF(C116="#N/A",0,_xll.HLV5r3.Financial.Cache.GetValueFromBase( Stream1DiscountCurve, Swap!$F$4, Stream1!C116))</f>
        <v>0.35417082991855114</v>
      </c>
      <c r="J116" s="117">
        <f ca="1">IF(C116="#N/A","#N/A",_xll.HLV5r3.Financial.Cache.GetValueFromBase(Stream1ForwardCurve, Swap!$F$4, A116))</f>
        <v>0.35819525014878029</v>
      </c>
      <c r="K116" s="169">
        <f ca="1">IF(C116="#N/A","#N/A",_xll.HLV5r3.Financial.Cache.GetValueFromBase(Stream1ForwardCurve, Swap!$F$4, B116))</f>
        <v>0.35417082991855114</v>
      </c>
      <c r="L116" s="115">
        <f ca="1" xml:space="preserve"> IF(G116=0,0,_xll.HLV5r3.Financial.Cache.YearFraction( A116, B116,Swap!$B$25))</f>
        <v>0.25753424657534246</v>
      </c>
      <c r="M116" s="143">
        <f ca="1">IF(I116=0,0,IF($B$2="Fixed",Stream1FixedRate,_xll.HLV5r3.Analytics.Rates.GetRate(J116,K116,L116)+Stream1Spread))</f>
        <v>5.4399999999999997E-2</v>
      </c>
      <c r="N116" s="155">
        <f ca="1">IF(L116="#N/A",L116,IF(Swap!$B$26="Standard",L116*G116*M116,L116*G116*M116/(1+Stream1!L116*Stream1!M116)))</f>
        <v>1400986.3013698629</v>
      </c>
      <c r="O116" s="155">
        <f t="shared" ca="1" si="12"/>
        <v>496188.48106068576</v>
      </c>
      <c r="P116" s="177">
        <f>IF($B$2="FIXED",0,IF(Swap!$B$26="FRA",_xll.HLV5r3.Analytics.Swaps.Delta0DiscountCoupon( G116, L116, M116, I116),_xll.HLV5r3.Analytics.Swaps.Delta0Coupon( G116, L116, M116, I116)))</f>
        <v>0</v>
      </c>
      <c r="Q116" s="180">
        <f ca="1">IF(U116=0,0,_xll.HLV5r3.Analytics.Swaps.Delta1ForAnAmount( N116, I116, Stream1CompoundingPeriod, U116))</f>
        <v>960.50146635564454</v>
      </c>
      <c r="R116" s="48"/>
      <c r="S116" s="210">
        <f t="shared" ca="1" si="20"/>
        <v>50707</v>
      </c>
      <c r="T116" s="213">
        <f t="shared" ca="1" si="21"/>
        <v>50707</v>
      </c>
      <c r="U116" s="173">
        <f ca="1">IF(C116="#N/A",0,_xll.HLV5r3.Financial.Cache.YearFraction( ValuationDate, C116,"ACT/365.FIXED"))</f>
        <v>19.613698630136987</v>
      </c>
      <c r="V116" s="48"/>
      <c r="X116" s="207">
        <f ca="1"/>
        <v>50707</v>
      </c>
    </row>
    <row r="117" spans="1:24">
      <c r="A117" s="136">
        <f t="shared" ca="1" si="14"/>
        <v>50801</v>
      </c>
      <c r="B117" s="136">
        <f t="shared" ca="1" si="11"/>
        <v>50889</v>
      </c>
      <c r="C117" s="101">
        <f ca="1">IF(Swap!$B$26="Standard",B117,A117)</f>
        <v>50889</v>
      </c>
      <c r="D117" s="147">
        <v>0</v>
      </c>
      <c r="E117" s="112">
        <f t="shared" ca="1" si="18"/>
        <v>100000000</v>
      </c>
      <c r="F117" s="112">
        <f t="shared" ca="1" si="15"/>
        <v>100000000</v>
      </c>
      <c r="G117" s="112">
        <f t="shared" ca="1" si="16"/>
        <v>100000000</v>
      </c>
      <c r="H117" s="153" t="str">
        <f t="shared" ca="1" si="19"/>
        <v>Coupon</v>
      </c>
      <c r="I117" s="168">
        <f ca="1">IF(C117="#N/A",0,_xll.HLV5r3.Financial.Cache.GetValueFromBase( Stream1DiscountCurve, Swap!$F$4, Stream1!C117))</f>
        <v>0.35046399201890888</v>
      </c>
      <c r="J117" s="117">
        <f ca="1">IF(C117="#N/A","#N/A",_xll.HLV5r3.Financial.Cache.GetValueFromBase(Stream1ForwardCurve, Swap!$F$4, A117))</f>
        <v>0.35417082991855114</v>
      </c>
      <c r="K117" s="169">
        <f ca="1">IF(C117="#N/A","#N/A",_xll.HLV5r3.Financial.Cache.GetValueFromBase(Stream1ForwardCurve, Swap!$F$4, B117))</f>
        <v>0.35046399201890888</v>
      </c>
      <c r="L117" s="115">
        <f ca="1" xml:space="preserve"> IF(G117=0,0,_xll.HLV5r3.Financial.Cache.YearFraction( A117, B117,Swap!$B$25))</f>
        <v>0.24109589041095891</v>
      </c>
      <c r="M117" s="143">
        <f ca="1">IF(I117=0,0,IF($B$2="Fixed",Stream1FixedRate,_xll.HLV5r3.Analytics.Rates.GetRate(J117,K117,L117)+Stream1Spread))</f>
        <v>5.4399999999999997E-2</v>
      </c>
      <c r="N117" s="155">
        <f ca="1">IF(L117="#N/A",L117,IF(Swap!$B$26="Standard",L117*G117*M117,L117*G117*M117/(1+Stream1!L117*Stream1!M117)))</f>
        <v>1311561.6438356163</v>
      </c>
      <c r="O117" s="155">
        <f t="shared" ca="1" si="12"/>
        <v>459655.12947751244</v>
      </c>
      <c r="P117" s="177">
        <f>IF($B$2="FIXED",0,IF(Swap!$B$26="FRA",_xll.HLV5r3.Analytics.Swaps.Delta0DiscountCoupon( G117, L117, M117, I117),_xll.HLV5r3.Analytics.Swaps.Delta0Coupon( G117, L117, M117, I117)))</f>
        <v>0</v>
      </c>
      <c r="Q117" s="180">
        <f ca="1">IF(U117=0,0,_xll.HLV5r3.Analytics.Swaps.Delta1ForAnAmount( N117, I117, Stream1CompoundingPeriod, U117))</f>
        <v>900.74413024230842</v>
      </c>
      <c r="R117" s="48"/>
      <c r="S117" s="210">
        <f t="shared" ca="1" si="20"/>
        <v>50801</v>
      </c>
      <c r="T117" s="213">
        <f t="shared" ca="1" si="21"/>
        <v>50801</v>
      </c>
      <c r="U117" s="173">
        <f ca="1">IF(C117="#N/A",0,_xll.HLV5r3.Financial.Cache.YearFraction( ValuationDate, C117,"ACT/365.FIXED"))</f>
        <v>19.854794520547944</v>
      </c>
      <c r="V117" s="48"/>
      <c r="X117" s="207">
        <f ca="1"/>
        <v>50801</v>
      </c>
    </row>
    <row r="118" spans="1:24">
      <c r="A118" s="136">
        <f t="shared" ca="1" si="14"/>
        <v>50889</v>
      </c>
      <c r="B118" s="136">
        <f t="shared" ca="1" si="11"/>
        <v>50980</v>
      </c>
      <c r="C118" s="101">
        <f ca="1">IF(Swap!$B$26="Standard",B118,A118)</f>
        <v>50980</v>
      </c>
      <c r="D118" s="147">
        <v>0</v>
      </c>
      <c r="E118" s="112">
        <f t="shared" ca="1" si="18"/>
        <v>100000000</v>
      </c>
      <c r="F118" s="112">
        <f t="shared" ca="1" si="15"/>
        <v>100000000</v>
      </c>
      <c r="G118" s="112">
        <f t="shared" ca="1" si="16"/>
        <v>100000000</v>
      </c>
      <c r="H118" s="153" t="str">
        <f t="shared" ca="1" si="19"/>
        <v>Coupon</v>
      </c>
      <c r="I118" s="168">
        <f ca="1">IF(C118="#N/A",0,_xll.HLV5r3.Financial.Cache.GetValueFromBase( Stream1DiscountCurve, Swap!$F$4, Stream1!C118))</f>
        <v>0.34667085595182617</v>
      </c>
      <c r="J118" s="117">
        <f ca="1">IF(C118="#N/A","#N/A",_xll.HLV5r3.Financial.Cache.GetValueFromBase(Stream1ForwardCurve, Swap!$F$4, A118))</f>
        <v>0.35046399201890888</v>
      </c>
      <c r="K118" s="169">
        <f ca="1">IF(C118="#N/A","#N/A",_xll.HLV5r3.Financial.Cache.GetValueFromBase(Stream1ForwardCurve, Swap!$F$4, B118))</f>
        <v>0.34667085595182617</v>
      </c>
      <c r="L118" s="115">
        <f ca="1" xml:space="preserve"> IF(G118=0,0,_xll.HLV5r3.Financial.Cache.YearFraction( A118, B118,Swap!$B$25))</f>
        <v>0.24931506849315069</v>
      </c>
      <c r="M118" s="143">
        <f ca="1">IF(I118=0,0,IF($B$2="Fixed",Stream1FixedRate,_xll.HLV5r3.Analytics.Rates.GetRate(J118,K118,L118)+Stream1Spread))</f>
        <v>5.4399999999999997E-2</v>
      </c>
      <c r="N118" s="155">
        <f ca="1">IF(L118="#N/A",L118,IF(Swap!$B$26="Standard",L118*G118*M118,L118*G118*M118/(1+Stream1!L118*Stream1!M118)))</f>
        <v>1356273.9726027397</v>
      </c>
      <c r="O118" s="155">
        <f t="shared" ca="1" si="12"/>
        <v>470180.65898737538</v>
      </c>
      <c r="P118" s="177">
        <f>IF($B$2="FIXED",0,IF(Swap!$B$26="FRA",_xll.HLV5r3.Analytics.Swaps.Delta0DiscountCoupon( G118, L118, M118, I118),_xll.HLV5r3.Analytics.Swaps.Delta0Coupon( G118, L118, M118, I118)))</f>
        <v>0</v>
      </c>
      <c r="Q118" s="180">
        <f ca="1">IF(U118=0,0,_xll.HLV5r3.Analytics.Swaps.Delta1ForAnAmount( N118, I118, Stream1CompoundingPeriod, U118))</f>
        <v>932.96576785840045</v>
      </c>
      <c r="R118" s="48"/>
      <c r="S118" s="210">
        <f t="shared" ca="1" si="20"/>
        <v>50889</v>
      </c>
      <c r="T118" s="213">
        <f t="shared" ca="1" si="21"/>
        <v>50889</v>
      </c>
      <c r="U118" s="173">
        <f ca="1">IF(C118="#N/A",0,_xll.HLV5r3.Financial.Cache.YearFraction( ValuationDate, C118,"ACT/365.FIXED"))</f>
        <v>20.104109589041094</v>
      </c>
      <c r="V118" s="48"/>
      <c r="X118" s="207">
        <f ca="1"/>
        <v>50889</v>
      </c>
    </row>
    <row r="119" spans="1:24">
      <c r="A119" s="136">
        <f t="shared" ca="1" si="14"/>
        <v>50980</v>
      </c>
      <c r="B119" s="136">
        <f t="shared" ca="1" si="11"/>
        <v>51074</v>
      </c>
      <c r="C119" s="101">
        <f ca="1">IF(Swap!$B$26="Standard",B119,A119)</f>
        <v>51074</v>
      </c>
      <c r="D119" s="147">
        <v>0</v>
      </c>
      <c r="E119" s="112">
        <f t="shared" ca="1" si="18"/>
        <v>100000000</v>
      </c>
      <c r="F119" s="112">
        <f t="shared" ca="1" si="15"/>
        <v>100000000</v>
      </c>
      <c r="G119" s="112">
        <f t="shared" ca="1" si="16"/>
        <v>100000000</v>
      </c>
      <c r="H119" s="153" t="str">
        <f t="shared" ca="1" si="19"/>
        <v>Coupon</v>
      </c>
      <c r="I119" s="168">
        <f ca="1">IF(C119="#N/A",0,_xll.HLV5r3.Financial.Cache.GetValueFromBase( Stream1DiscountCurve, Swap!$F$4, Stream1!C119))</f>
        <v>0.34277696041779365</v>
      </c>
      <c r="J119" s="117">
        <f ca="1">IF(C119="#N/A","#N/A",_xll.HLV5r3.Financial.Cache.GetValueFromBase(Stream1ForwardCurve, Swap!$F$4, A119))</f>
        <v>0.34667085595182617</v>
      </c>
      <c r="K119" s="169">
        <f ca="1">IF(C119="#N/A","#N/A",_xll.HLV5r3.Financial.Cache.GetValueFromBase(Stream1ForwardCurve, Swap!$F$4, B119))</f>
        <v>0.34277696041779365</v>
      </c>
      <c r="L119" s="115">
        <f ca="1" xml:space="preserve"> IF(G119=0,0,_xll.HLV5r3.Financial.Cache.YearFraction( A119, B119,Swap!$B$25))</f>
        <v>0.25753424657534246</v>
      </c>
      <c r="M119" s="143">
        <f ca="1">IF(I119=0,0,IF($B$2="Fixed",Stream1FixedRate,_xll.HLV5r3.Analytics.Rates.GetRate(J119,K119,L119)+Stream1Spread))</f>
        <v>5.4399999999999997E-2</v>
      </c>
      <c r="N119" s="155">
        <f ca="1">IF(L119="#N/A",L119,IF(Swap!$B$26="Standard",L119*G119*M119,L119*G119*M119/(1+Stream1!L119*Stream1!M119)))</f>
        <v>1400986.3013698629</v>
      </c>
      <c r="O119" s="155">
        <f t="shared" ca="1" si="12"/>
        <v>480225.82597052859</v>
      </c>
      <c r="P119" s="177">
        <f>IF($B$2="FIXED",0,IF(Swap!$B$26="FRA",_xll.HLV5r3.Analytics.Swaps.Delta0DiscountCoupon( G119, L119, M119, I119),_xll.HLV5r3.Analytics.Swaps.Delta0Coupon( G119, L119, M119, I119)))</f>
        <v>0</v>
      </c>
      <c r="Q119" s="180">
        <f ca="1">IF(U119=0,0,_xll.HLV5r3.Analytics.Swaps.Delta1ForAnAmount( N119, I119, Stream1CompoundingPeriod, U119))</f>
        <v>965.13135934807997</v>
      </c>
      <c r="R119" s="48"/>
      <c r="S119" s="210">
        <f t="shared" ca="1" si="20"/>
        <v>50980</v>
      </c>
      <c r="T119" s="213">
        <f t="shared" ca="1" si="21"/>
        <v>50980</v>
      </c>
      <c r="U119" s="173">
        <f ca="1">IF(C119="#N/A",0,_xll.HLV5r3.Financial.Cache.YearFraction( ValuationDate, C119,"ACT/365.FIXED"))</f>
        <v>20.361643835616437</v>
      </c>
      <c r="V119" s="48"/>
      <c r="X119" s="207">
        <f ca="1"/>
        <v>50980</v>
      </c>
    </row>
    <row r="120" spans="1:24">
      <c r="A120" s="136">
        <f t="shared" ca="1" si="14"/>
        <v>51074</v>
      </c>
      <c r="B120" s="136">
        <f t="shared" ca="1" si="11"/>
        <v>51166</v>
      </c>
      <c r="C120" s="101">
        <f ca="1">IF(Swap!$B$26="Standard",B120,A120)</f>
        <v>51166</v>
      </c>
      <c r="D120" s="147">
        <v>0</v>
      </c>
      <c r="E120" s="112">
        <f t="shared" ca="1" si="18"/>
        <v>100000000</v>
      </c>
      <c r="F120" s="112">
        <f t="shared" ca="1" si="15"/>
        <v>100000000</v>
      </c>
      <c r="G120" s="112">
        <f t="shared" ca="1" si="16"/>
        <v>100000000</v>
      </c>
      <c r="H120" s="153" t="str">
        <f t="shared" ca="1" si="19"/>
        <v>Coupon</v>
      </c>
      <c r="I120" s="168">
        <f ca="1">IF(C120="#N/A",0,_xll.HLV5r3.Financial.Cache.GetValueFromBase( Stream1DiscountCurve, Swap!$F$4, Stream1!C120))</f>
        <v>0.33902718010147492</v>
      </c>
      <c r="J120" s="117">
        <f ca="1">IF(C120="#N/A","#N/A",_xll.HLV5r3.Financial.Cache.GetValueFromBase(Stream1ForwardCurve, Swap!$F$4, A120))</f>
        <v>0.34277696041779365</v>
      </c>
      <c r="K120" s="169">
        <f ca="1">IF(C120="#N/A","#N/A",_xll.HLV5r3.Financial.Cache.GetValueFromBase(Stream1ForwardCurve, Swap!$F$4, B120))</f>
        <v>0.33902718010147492</v>
      </c>
      <c r="L120" s="115">
        <f ca="1" xml:space="preserve"> IF(G120=0,0,_xll.HLV5r3.Financial.Cache.YearFraction( A120, B120,Swap!$B$25))</f>
        <v>0.25205479452054796</v>
      </c>
      <c r="M120" s="143">
        <f ca="1">IF(I120=0,0,IF($B$2="Fixed",Stream1FixedRate,_xll.HLV5r3.Analytics.Rates.GetRate(J120,K120,L120)+Stream1Spread))</f>
        <v>5.4399999999999997E-2</v>
      </c>
      <c r="N120" s="155">
        <f ca="1">IF(L120="#N/A",L120,IF(Swap!$B$26="Standard",L120*G120*M120,L120*G120*M120/(1+Stream1!L120*Stream1!M120)))</f>
        <v>1371178.0821917807</v>
      </c>
      <c r="O120" s="155">
        <f t="shared" ca="1" si="12"/>
        <v>464866.63862242782</v>
      </c>
      <c r="P120" s="177">
        <f>IF($B$2="FIXED",0,IF(Swap!$B$26="FRA",_xll.HLV5r3.Analytics.Swaps.Delta0DiscountCoupon( G120, L120, M120, I120),_xll.HLV5r3.Analytics.Swaps.Delta0Coupon( G120, L120, M120, I120)))</f>
        <v>0</v>
      </c>
      <c r="Q120" s="180">
        <f ca="1">IF(U120=0,0,_xll.HLV5r3.Analytics.Swaps.Delta1ForAnAmount( N120, I120, Stream1CompoundingPeriod, U120))</f>
        <v>945.85398797895812</v>
      </c>
      <c r="R120" s="48"/>
      <c r="S120" s="210">
        <f t="shared" ca="1" si="20"/>
        <v>51074</v>
      </c>
      <c r="T120" s="213">
        <f t="shared" ca="1" si="21"/>
        <v>51074</v>
      </c>
      <c r="U120" s="173">
        <f ca="1">IF(C120="#N/A",0,_xll.HLV5r3.Financial.Cache.YearFraction( ValuationDate, C120,"ACT/365.FIXED"))</f>
        <v>20.613698630136987</v>
      </c>
      <c r="V120" s="48"/>
      <c r="X120" s="207">
        <f ca="1"/>
        <v>51074</v>
      </c>
    </row>
    <row r="121" spans="1:24">
      <c r="A121" s="136">
        <f t="shared" ca="1" si="14"/>
        <v>51166</v>
      </c>
      <c r="B121" s="136">
        <f t="shared" ca="1" si="11"/>
        <v>51256</v>
      </c>
      <c r="C121" s="101">
        <f ca="1">IF(Swap!$B$26="Standard",B121,A121)</f>
        <v>51256</v>
      </c>
      <c r="D121" s="147">
        <v>0</v>
      </c>
      <c r="E121" s="112">
        <f t="shared" ca="1" si="18"/>
        <v>100000000</v>
      </c>
      <c r="F121" s="112">
        <f t="shared" ca="1" si="15"/>
        <v>100000000</v>
      </c>
      <c r="G121" s="112">
        <f t="shared" ca="1" si="16"/>
        <v>100000000</v>
      </c>
      <c r="H121" s="153" t="str">
        <f t="shared" ca="1" si="19"/>
        <v>Coupon</v>
      </c>
      <c r="I121" s="168">
        <f ca="1">IF(C121="#N/A",0,_xll.HLV5r3.Financial.Cache.GetValueFromBase( Stream1DiscountCurve, Swap!$F$4, Stream1!C121))</f>
        <v>0.33541652309490522</v>
      </c>
      <c r="J121" s="117">
        <f ca="1">IF(C121="#N/A","#N/A",_xll.HLV5r3.Financial.Cache.GetValueFromBase(Stream1ForwardCurve, Swap!$F$4, A121))</f>
        <v>0.33902718010147492</v>
      </c>
      <c r="K121" s="169">
        <f ca="1">IF(C121="#N/A","#N/A",_xll.HLV5r3.Financial.Cache.GetValueFromBase(Stream1ForwardCurve, Swap!$F$4, B121))</f>
        <v>0.33541652309490522</v>
      </c>
      <c r="L121" s="115">
        <f ca="1" xml:space="preserve"> IF(G121=0,0,_xll.HLV5r3.Financial.Cache.YearFraction( A121, B121,Swap!$B$25))</f>
        <v>0.24657534246575341</v>
      </c>
      <c r="M121" s="143">
        <f ca="1">IF(I121=0,0,IF($B$2="Fixed",Stream1FixedRate,_xll.HLV5r3.Analytics.Rates.GetRate(J121,K121,L121)+Stream1Spread))</f>
        <v>5.4399999999999997E-2</v>
      </c>
      <c r="N121" s="155">
        <f ca="1">IF(L121="#N/A",L121,IF(Swap!$B$26="Standard",L121*G121*M121,L121*G121*M121/(1+Stream1!L121*Stream1!M121)))</f>
        <v>1341369.8630136985</v>
      </c>
      <c r="O121" s="155">
        <f t="shared" ca="1" si="12"/>
        <v>449917.61563634407</v>
      </c>
      <c r="P121" s="177">
        <f>IF($B$2="FIXED",0,IF(Swap!$B$26="FRA",_xll.HLV5r3.Analytics.Swaps.Delta0DiscountCoupon( G121, L121, M121, I121),_xll.HLV5r3.Analytics.Swaps.Delta0Coupon( G121, L121, M121, I121)))</f>
        <v>0</v>
      </c>
      <c r="Q121" s="180">
        <f ca="1">IF(U121=0,0,_xll.HLV5r3.Analytics.Swaps.Delta1ForAnAmount( N121, I121, Stream1CompoundingPeriod, U121))</f>
        <v>926.41220237897085</v>
      </c>
      <c r="R121" s="48"/>
      <c r="S121" s="210">
        <f t="shared" ca="1" si="20"/>
        <v>51166</v>
      </c>
      <c r="T121" s="213">
        <f t="shared" ca="1" si="21"/>
        <v>51166</v>
      </c>
      <c r="U121" s="173">
        <f ca="1">IF(C121="#N/A",0,_xll.HLV5r3.Financial.Cache.YearFraction( ValuationDate, C121,"ACT/365.FIXED"))</f>
        <v>20.860273972602741</v>
      </c>
      <c r="V121" s="48"/>
      <c r="X121" s="207">
        <f ca="1"/>
        <v>51166</v>
      </c>
    </row>
    <row r="122" spans="1:24">
      <c r="A122" s="136">
        <f t="shared" ca="1" si="14"/>
        <v>51256</v>
      </c>
      <c r="B122" s="136">
        <f t="shared" ca="1" si="11"/>
        <v>51348</v>
      </c>
      <c r="C122" s="101">
        <f ca="1">IF(Swap!$B$26="Standard",B122,A122)</f>
        <v>51348</v>
      </c>
      <c r="D122" s="147">
        <v>0</v>
      </c>
      <c r="E122" s="112">
        <f t="shared" ca="1" si="18"/>
        <v>100000000</v>
      </c>
      <c r="F122" s="112">
        <f t="shared" ca="1" si="15"/>
        <v>100000000</v>
      </c>
      <c r="G122" s="112">
        <f t="shared" ca="1" si="16"/>
        <v>100000000</v>
      </c>
      <c r="H122" s="153" t="str">
        <f t="shared" ca="1" si="19"/>
        <v>Coupon</v>
      </c>
      <c r="I122" s="168">
        <f ca="1">IF(C122="#N/A",0,_xll.HLV5r3.Financial.Cache.GetValueFromBase( Stream1DiscountCurve, Swap!$F$4, Stream1!C122))</f>
        <v>0.33178348223075338</v>
      </c>
      <c r="J122" s="117">
        <f ca="1">IF(C122="#N/A","#N/A",_xll.HLV5r3.Financial.Cache.GetValueFromBase(Stream1ForwardCurve, Swap!$F$4, A122))</f>
        <v>0.33541652309490522</v>
      </c>
      <c r="K122" s="169">
        <f ca="1">IF(C122="#N/A","#N/A",_xll.HLV5r3.Financial.Cache.GetValueFromBase(Stream1ForwardCurve, Swap!$F$4, B122))</f>
        <v>0.33178348223075338</v>
      </c>
      <c r="L122" s="115">
        <f ca="1" xml:space="preserve"> IF(G122=0,0,_xll.HLV5r3.Financial.Cache.YearFraction( A122, B122,Swap!$B$25))</f>
        <v>0.25205479452054796</v>
      </c>
      <c r="M122" s="143">
        <f ca="1">IF(I122=0,0,IF($B$2="Fixed",Stream1FixedRate,_xll.HLV5r3.Analytics.Rates.GetRate(J122,K122,L122)+Stream1Spread))</f>
        <v>5.4399999999999997E-2</v>
      </c>
      <c r="N122" s="155">
        <f ca="1">IF(L122="#N/A",L122,IF(Swap!$B$26="Standard",L122*G122*M122,L122*G122*M122/(1+Stream1!L122*Stream1!M122)))</f>
        <v>1371178.0821917807</v>
      </c>
      <c r="O122" s="155">
        <f t="shared" ca="1" si="12"/>
        <v>454934.23886807513</v>
      </c>
      <c r="P122" s="177">
        <f>IF($B$2="FIXED",0,IF(Swap!$B$26="FRA",_xll.HLV5r3.Analytics.Swaps.Delta0DiscountCoupon( G122, L122, M122, I122),_xll.HLV5r3.Analytics.Swaps.Delta0Coupon( G122, L122, M122, I122)))</f>
        <v>0</v>
      </c>
      <c r="Q122" s="180">
        <f ca="1">IF(U122=0,0,_xll.HLV5r3.Analytics.Swaps.Delta1ForAnAmount( N122, I122, Stream1CompoundingPeriod, U122))</f>
        <v>948.08602477027227</v>
      </c>
      <c r="R122" s="48"/>
      <c r="S122" s="210">
        <f t="shared" ca="1" si="20"/>
        <v>51256</v>
      </c>
      <c r="T122" s="213">
        <f t="shared" ca="1" si="21"/>
        <v>51256</v>
      </c>
      <c r="U122" s="173">
        <f ca="1">IF(C122="#N/A",0,_xll.HLV5r3.Financial.Cache.YearFraction( ValuationDate, C122,"ACT/365.FIXED"))</f>
        <v>21.112328767123287</v>
      </c>
      <c r="V122" s="48"/>
      <c r="X122" s="207">
        <f ca="1"/>
        <v>51256</v>
      </c>
    </row>
    <row r="123" spans="1:24">
      <c r="A123" s="136">
        <f t="shared" ca="1" si="14"/>
        <v>51348</v>
      </c>
      <c r="B123" s="136">
        <f t="shared" ca="1" si="11"/>
        <v>51440</v>
      </c>
      <c r="C123" s="101">
        <f ca="1">IF(Swap!$B$26="Standard",B123,A123)</f>
        <v>51440</v>
      </c>
      <c r="D123" s="147">
        <v>0</v>
      </c>
      <c r="E123" s="112">
        <f t="shared" ca="1" si="18"/>
        <v>100000000</v>
      </c>
      <c r="F123" s="112">
        <f t="shared" ca="1" si="15"/>
        <v>100000000</v>
      </c>
      <c r="G123" s="112">
        <f t="shared" ca="1" si="16"/>
        <v>100000000</v>
      </c>
      <c r="H123" s="153" t="str">
        <f t="shared" ca="1" si="19"/>
        <v>Coupon</v>
      </c>
      <c r="I123" s="168">
        <f ca="1">IF(C123="#N/A",0,_xll.HLV5r3.Financial.Cache.GetValueFromBase( Stream1DiscountCurve, Swap!$F$4, Stream1!C123))</f>
        <v>0.32820790596781418</v>
      </c>
      <c r="J123" s="117">
        <f ca="1">IF(C123="#N/A","#N/A",_xll.HLV5r3.Financial.Cache.GetValueFromBase(Stream1ForwardCurve, Swap!$F$4, A123))</f>
        <v>0.33178348223075338</v>
      </c>
      <c r="K123" s="169">
        <f ca="1">IF(C123="#N/A","#N/A",_xll.HLV5r3.Financial.Cache.GetValueFromBase(Stream1ForwardCurve, Swap!$F$4, B123))</f>
        <v>0.32820790596781418</v>
      </c>
      <c r="L123" s="115">
        <f ca="1" xml:space="preserve"> IF(G123=0,0,_xll.HLV5r3.Financial.Cache.YearFraction( A123, B123,Swap!$B$25))</f>
        <v>0.25205479452054796</v>
      </c>
      <c r="M123" s="143">
        <f ca="1">IF(I123=0,0,IF($B$2="Fixed",Stream1FixedRate,_xll.HLV5r3.Analytics.Rates.GetRate(J123,K123,L123)+Stream1Spread))</f>
        <v>5.4399999999999997E-2</v>
      </c>
      <c r="N123" s="155">
        <f ca="1">IF(L123="#N/A",L123,IF(Swap!$B$26="Standard",L123*G123*M123,L123*G123*M123/(1+Stream1!L123*Stream1!M123)))</f>
        <v>1371178.0821917807</v>
      </c>
      <c r="O123" s="155">
        <f t="shared" ca="1" si="12"/>
        <v>450031.48706512776</v>
      </c>
      <c r="P123" s="177">
        <f>IF($B$2="FIXED",0,IF(Swap!$B$26="FRA",_xll.HLV5r3.Analytics.Swaps.Delta0DiscountCoupon( G123, L123, M123, I123),_xll.HLV5r3.Analytics.Swaps.Delta0Coupon( G123, L123, M123, I123)))</f>
        <v>0</v>
      </c>
      <c r="Q123" s="180">
        <f ca="1">IF(U123=0,0,_xll.HLV5r3.Analytics.Swaps.Delta1ForAnAmount( N123, I123, Stream1CompoundingPeriod, U123))</f>
        <v>949.09124852255195</v>
      </c>
      <c r="R123" s="48"/>
      <c r="S123" s="210">
        <f t="shared" ca="1" si="20"/>
        <v>51348</v>
      </c>
      <c r="T123" s="213">
        <f t="shared" ca="1" si="21"/>
        <v>51348</v>
      </c>
      <c r="U123" s="173">
        <f ca="1">IF(C123="#N/A",0,_xll.HLV5r3.Financial.Cache.YearFraction( ValuationDate, C123,"ACT/365.FIXED"))</f>
        <v>21.364383561643837</v>
      </c>
      <c r="V123" s="48"/>
      <c r="X123" s="207">
        <f ca="1"/>
        <v>51348</v>
      </c>
    </row>
    <row r="124" spans="1:24">
      <c r="A124" s="136">
        <f t="shared" ca="1" si="14"/>
        <v>51440</v>
      </c>
      <c r="B124" s="136">
        <f t="shared" ca="1" si="11"/>
        <v>51532</v>
      </c>
      <c r="C124" s="101">
        <f ca="1">IF(Swap!$B$26="Standard",B124,A124)</f>
        <v>51532</v>
      </c>
      <c r="D124" s="147">
        <v>0</v>
      </c>
      <c r="E124" s="112">
        <f t="shared" ca="1" si="18"/>
        <v>100000000</v>
      </c>
      <c r="F124" s="112">
        <f t="shared" ca="1" si="15"/>
        <v>100000000</v>
      </c>
      <c r="G124" s="112">
        <f t="shared" ca="1" si="16"/>
        <v>100000000</v>
      </c>
      <c r="H124" s="153" t="str">
        <f t="shared" ca="1" si="19"/>
        <v>Coupon</v>
      </c>
      <c r="I124" s="168">
        <f ca="1">IF(C124="#N/A",0,_xll.HLV5r3.Financial.Cache.GetValueFromBase( Stream1DiscountCurve, Swap!$F$4, Stream1!C124))</f>
        <v>0.32468878319239752</v>
      </c>
      <c r="J124" s="117">
        <f ca="1">IF(C124="#N/A","#N/A",_xll.HLV5r3.Financial.Cache.GetValueFromBase(Stream1ForwardCurve, Swap!$F$4, A124))</f>
        <v>0.32820790596781418</v>
      </c>
      <c r="K124" s="169">
        <f ca="1">IF(C124="#N/A","#N/A",_xll.HLV5r3.Financial.Cache.GetValueFromBase(Stream1ForwardCurve, Swap!$F$4, B124))</f>
        <v>0.32468878319239752</v>
      </c>
      <c r="L124" s="115">
        <f ca="1" xml:space="preserve"> IF(G124=0,0,_xll.HLV5r3.Financial.Cache.YearFraction( A124, B124,Swap!$B$25))</f>
        <v>0.25205479452054796</v>
      </c>
      <c r="M124" s="143">
        <f ca="1">IF(I124=0,0,IF($B$2="Fixed",Stream1FixedRate,_xll.HLV5r3.Analytics.Rates.GetRate(J124,K124,L124)+Stream1Spread))</f>
        <v>5.4399999999999997E-2</v>
      </c>
      <c r="N124" s="155">
        <f ca="1">IF(L124="#N/A",L124,IF(Swap!$B$26="Standard",L124*G124*M124,L124*G124*M124/(1+Stream1!L124*Stream1!M124)))</f>
        <v>1371178.0821917807</v>
      </c>
      <c r="O124" s="155">
        <f t="shared" ca="1" si="12"/>
        <v>445206.14304693451</v>
      </c>
      <c r="P124" s="177">
        <f>IF($B$2="FIXED",0,IF(Swap!$B$26="FRA",_xll.HLV5r3.Analytics.Swaps.Delta0DiscountCoupon( G124, L124, M124, I124),_xll.HLV5r3.Analytics.Swaps.Delta0Coupon( G124, L124, M124, I124)))</f>
        <v>0</v>
      </c>
      <c r="Q124" s="180">
        <f ca="1">IF(U124=0,0,_xll.HLV5r3.Analytics.Swaps.Delta1ForAnAmount( N124, I124, Stream1CompoundingPeriod, U124))</f>
        <v>950.01772802495486</v>
      </c>
      <c r="R124" s="48"/>
      <c r="S124" s="210">
        <f t="shared" ca="1" si="20"/>
        <v>51440</v>
      </c>
      <c r="T124" s="213">
        <f t="shared" ca="1" si="21"/>
        <v>51440</v>
      </c>
      <c r="U124" s="173">
        <f ca="1">IF(C124="#N/A",0,_xll.HLV5r3.Financial.Cache.YearFraction( ValuationDate, C124,"ACT/365.FIXED"))</f>
        <v>21.616438356164384</v>
      </c>
      <c r="V124" s="48"/>
      <c r="X124" s="207">
        <f ca="1"/>
        <v>51440</v>
      </c>
    </row>
    <row r="125" spans="1:24">
      <c r="A125" s="136">
        <f t="shared" ca="1" si="14"/>
        <v>51532</v>
      </c>
      <c r="B125" s="136">
        <f t="shared" ca="1" si="11"/>
        <v>51621</v>
      </c>
      <c r="C125" s="101">
        <f ca="1">IF(Swap!$B$26="Standard",B125,A125)</f>
        <v>51621</v>
      </c>
      <c r="D125" s="147">
        <v>0</v>
      </c>
      <c r="E125" s="112">
        <f t="shared" ca="1" si="18"/>
        <v>100000000</v>
      </c>
      <c r="F125" s="112">
        <f t="shared" ca="1" si="15"/>
        <v>100000000</v>
      </c>
      <c r="G125" s="112">
        <f t="shared" ca="1" si="16"/>
        <v>100000000</v>
      </c>
      <c r="H125" s="153" t="str">
        <f t="shared" ca="1" si="19"/>
        <v>Coupon</v>
      </c>
      <c r="I125" s="168">
        <f ca="1">IF(C125="#N/A",0,_xll.HLV5r3.Financial.Cache.GetValueFromBase( Stream1DiscountCurve, Swap!$F$4, Stream1!C125))</f>
        <v>0.32133720368239177</v>
      </c>
      <c r="J125" s="117">
        <f ca="1">IF(C125="#N/A","#N/A",_xll.HLV5r3.Financial.Cache.GetValueFromBase(Stream1ForwardCurve, Swap!$F$4, A125))</f>
        <v>0.32468878319239752</v>
      </c>
      <c r="K125" s="169">
        <f ca="1">IF(C125="#N/A","#N/A",_xll.HLV5r3.Financial.Cache.GetValueFromBase(Stream1ForwardCurve, Swap!$F$4, B125))</f>
        <v>0.32133720368239177</v>
      </c>
      <c r="L125" s="115">
        <f ca="1" xml:space="preserve"> IF(G125=0,0,_xll.HLV5r3.Financial.Cache.YearFraction( A125, B125,Swap!$B$25))</f>
        <v>0.24383561643835616</v>
      </c>
      <c r="M125" s="143">
        <f ca="1">IF(I125=0,0,IF($B$2="Fixed",Stream1FixedRate,_xll.HLV5r3.Analytics.Rates.GetRate(J125,K125,L125)+Stream1Spread))</f>
        <v>5.4399999999999997E-2</v>
      </c>
      <c r="N125" s="155">
        <f ca="1">IF(L125="#N/A",L125,IF(Swap!$B$26="Standard",L125*G125*M125,L125*G125*M125/(1+Stream1!L125*Stream1!M125)))</f>
        <v>1326465.7534246575</v>
      </c>
      <c r="O125" s="155">
        <f t="shared" ca="1" si="12"/>
        <v>426242.79598593642</v>
      </c>
      <c r="P125" s="177">
        <f>IF($B$2="FIXED",0,IF(Swap!$B$26="FRA",_xll.HLV5r3.Analytics.Swaps.Delta0DiscountCoupon( G125, L125, M125, I125),_xll.HLV5r3.Analytics.Swaps.Delta0Coupon( G125, L125, M125, I125)))</f>
        <v>0</v>
      </c>
      <c r="Q125" s="180">
        <f ca="1">IF(U125=0,0,_xll.HLV5r3.Analytics.Swaps.Delta1ForAnAmount( N125, I125, Stream1CompoundingPeriod, U125))</f>
        <v>919.8360254253422</v>
      </c>
      <c r="R125" s="48"/>
      <c r="S125" s="210">
        <f t="shared" ca="1" si="20"/>
        <v>51532</v>
      </c>
      <c r="T125" s="213">
        <f t="shared" ca="1" si="21"/>
        <v>51532</v>
      </c>
      <c r="U125" s="173">
        <f ca="1">IF(C125="#N/A",0,_xll.HLV5r3.Financial.Cache.YearFraction( ValuationDate, C125,"ACT/365.FIXED"))</f>
        <v>21.860273972602741</v>
      </c>
      <c r="V125" s="48"/>
      <c r="X125" s="207">
        <f ca="1"/>
        <v>51532</v>
      </c>
    </row>
    <row r="126" spans="1:24">
      <c r="A126" s="136">
        <f t="shared" ca="1" si="14"/>
        <v>51621</v>
      </c>
      <c r="B126" s="136">
        <f t="shared" ca="1" si="11"/>
        <v>51713</v>
      </c>
      <c r="C126" s="101">
        <f ca="1">IF(Swap!$B$26="Standard",B126,A126)</f>
        <v>51713</v>
      </c>
      <c r="D126" s="147">
        <v>0</v>
      </c>
      <c r="E126" s="112">
        <f t="shared" ca="1" si="18"/>
        <v>100000000</v>
      </c>
      <c r="F126" s="112">
        <f t="shared" ca="1" si="15"/>
        <v>100000000</v>
      </c>
      <c r="G126" s="112">
        <f t="shared" ca="1" si="16"/>
        <v>100000000</v>
      </c>
      <c r="H126" s="153" t="str">
        <f t="shared" ca="1" si="19"/>
        <v>Coupon</v>
      </c>
      <c r="I126" s="168">
        <f ca="1">IF(C126="#N/A",0,_xll.HLV5r3.Financial.Cache.GetValueFromBase( Stream1DiscountCurve, Swap!$F$4, Stream1!C126))</f>
        <v>0.31792627290909498</v>
      </c>
      <c r="J126" s="117">
        <f ca="1">IF(C126="#N/A","#N/A",_xll.HLV5r3.Financial.Cache.GetValueFromBase(Stream1ForwardCurve, Swap!$F$4, A126))</f>
        <v>0.32133720368239177</v>
      </c>
      <c r="K126" s="169">
        <f ca="1">IF(C126="#N/A","#N/A",_xll.HLV5r3.Financial.Cache.GetValueFromBase(Stream1ForwardCurve, Swap!$F$4, B126))</f>
        <v>0.31792627290909498</v>
      </c>
      <c r="L126" s="115">
        <f ca="1" xml:space="preserve"> IF(G126=0,0,_xll.HLV5r3.Financial.Cache.YearFraction( A126, B126,Swap!$B$25))</f>
        <v>0.25205479452054796</v>
      </c>
      <c r="M126" s="143">
        <f ca="1">IF(I126=0,0,IF($B$2="Fixed",Stream1FixedRate,_xll.HLV5r3.Analytics.Rates.GetRate(J126,K126,L126)+Stream1Spread))</f>
        <v>5.4399999999999997E-2</v>
      </c>
      <c r="N126" s="155">
        <f ca="1">IF(L126="#N/A",L126,IF(Swap!$B$26="Standard",L126*G126*M126,L126*G126*M126/(1+Stream1!L126*Stream1!M126)))</f>
        <v>1371178.0821917807</v>
      </c>
      <c r="O126" s="155">
        <f t="shared" ca="1" si="12"/>
        <v>435933.53716587351</v>
      </c>
      <c r="P126" s="177">
        <f>IF($B$2="FIXED",0,IF(Swap!$B$26="FRA",_xll.HLV5r3.Analytics.Swaps.Delta0DiscountCoupon( G126, L126, M126, I126),_xll.HLV5r3.Analytics.Swaps.Delta0Coupon( G126, L126, M126, I126)))</f>
        <v>0</v>
      </c>
      <c r="Q126" s="180">
        <f ca="1">IF(U126=0,0,_xll.HLV5r3.Analytics.Swaps.Delta1ForAnAmount( N126, I126, Stream1CompoundingPeriod, U126))</f>
        <v>951.62150705361489</v>
      </c>
      <c r="R126" s="48"/>
      <c r="S126" s="210">
        <f t="shared" ca="1" si="20"/>
        <v>51621</v>
      </c>
      <c r="T126" s="213">
        <f t="shared" ca="1" si="21"/>
        <v>51621</v>
      </c>
      <c r="U126" s="173">
        <f ca="1">IF(C126="#N/A",0,_xll.HLV5r3.Financial.Cache.YearFraction( ValuationDate, C126,"ACT/365.FIXED"))</f>
        <v>22.112328767123287</v>
      </c>
      <c r="V126" s="48"/>
      <c r="X126" s="207">
        <f ca="1"/>
        <v>51621</v>
      </c>
    </row>
    <row r="127" spans="1:24">
      <c r="A127" s="136">
        <f t="shared" ca="1" si="14"/>
        <v>51713</v>
      </c>
      <c r="B127" s="136">
        <f t="shared" ca="1" si="11"/>
        <v>51805</v>
      </c>
      <c r="C127" s="101">
        <f ca="1">IF(Swap!$B$26="Standard",B127,A127)</f>
        <v>51805</v>
      </c>
      <c r="D127" s="147">
        <v>0</v>
      </c>
      <c r="E127" s="112">
        <f t="shared" ca="1" si="18"/>
        <v>100000000</v>
      </c>
      <c r="F127" s="112">
        <f t="shared" ca="1" si="15"/>
        <v>100000000</v>
      </c>
      <c r="G127" s="112">
        <f t="shared" ca="1" si="16"/>
        <v>100000000</v>
      </c>
      <c r="H127" s="153" t="str">
        <f t="shared" ca="1" si="19"/>
        <v>Coupon</v>
      </c>
      <c r="I127" s="168">
        <f ca="1">IF(C127="#N/A",0,_xll.HLV5r3.Financial.Cache.GetValueFromBase( Stream1DiscountCurve, Swap!$F$4, Stream1!C127))</f>
        <v>0.31456891216004679</v>
      </c>
      <c r="J127" s="117">
        <f ca="1">IF(C127="#N/A","#N/A",_xll.HLV5r3.Financial.Cache.GetValueFromBase(Stream1ForwardCurve, Swap!$F$4, A127))</f>
        <v>0.31792627290909498</v>
      </c>
      <c r="K127" s="169">
        <f ca="1">IF(C127="#N/A","#N/A",_xll.HLV5r3.Financial.Cache.GetValueFromBase(Stream1ForwardCurve, Swap!$F$4, B127))</f>
        <v>0.31456891216004679</v>
      </c>
      <c r="L127" s="115">
        <f ca="1" xml:space="preserve"> IF(G127=0,0,_xll.HLV5r3.Financial.Cache.YearFraction( A127, B127,Swap!$B$25))</f>
        <v>0.25205479452054796</v>
      </c>
      <c r="M127" s="143">
        <f ca="1">IF(I127=0,0,IF($B$2="Fixed",Stream1FixedRate,_xll.HLV5r3.Analytics.Rates.GetRate(J127,K127,L127)+Stream1Spread))</f>
        <v>5.4399999999999997E-2</v>
      </c>
      <c r="N127" s="155">
        <f ca="1">IF(L127="#N/A",L127,IF(Swap!$B$26="Standard",L127*G127*M127,L127*G127*M127/(1+Stream1!L127*Stream1!M127)))</f>
        <v>1371178.0821917807</v>
      </c>
      <c r="O127" s="155">
        <f t="shared" ca="1" si="12"/>
        <v>431329.99769276765</v>
      </c>
      <c r="P127" s="177">
        <f>IF($B$2="FIXED",0,IF(Swap!$B$26="FRA",_xll.HLV5r3.Analytics.Swaps.Delta0DiscountCoupon( G127, L127, M127, I127),_xll.HLV5r3.Analytics.Swaps.Delta0Coupon( G127, L127, M127, I127)))</f>
        <v>0</v>
      </c>
      <c r="Q127" s="180">
        <f ca="1">IF(U127=0,0,_xll.HLV5r3.Analytics.Swaps.Delta1ForAnAmount( N127, I127, Stream1CompoundingPeriod, U127))</f>
        <v>952.33073901282</v>
      </c>
      <c r="R127" s="48"/>
      <c r="S127" s="210">
        <f t="shared" ca="1" si="20"/>
        <v>51713</v>
      </c>
      <c r="T127" s="213">
        <f t="shared" ca="1" si="21"/>
        <v>51713</v>
      </c>
      <c r="U127" s="173">
        <f ca="1">IF(C127="#N/A",0,_xll.HLV5r3.Financial.Cache.YearFraction( ValuationDate, C127,"ACT/365.FIXED"))</f>
        <v>22.364383561643837</v>
      </c>
      <c r="V127" s="48"/>
      <c r="X127" s="207">
        <f ca="1"/>
        <v>51713</v>
      </c>
    </row>
    <row r="128" spans="1:24">
      <c r="A128" s="136">
        <f t="shared" ca="1" si="14"/>
        <v>51805</v>
      </c>
      <c r="B128" s="136">
        <f t="shared" ca="1" si="11"/>
        <v>51897</v>
      </c>
      <c r="C128" s="101">
        <f ca="1">IF(Swap!$B$26="Standard",B128,A128)</f>
        <v>51897</v>
      </c>
      <c r="D128" s="147">
        <v>0</v>
      </c>
      <c r="E128" s="112">
        <f t="shared" ca="1" si="18"/>
        <v>100000000</v>
      </c>
      <c r="F128" s="112">
        <f t="shared" ca="1" si="15"/>
        <v>100000000</v>
      </c>
      <c r="G128" s="112">
        <f t="shared" ca="1" si="16"/>
        <v>100000000</v>
      </c>
      <c r="H128" s="153" t="str">
        <f t="shared" ca="1" si="19"/>
        <v>Coupon</v>
      </c>
      <c r="I128" s="168">
        <f ca="1">IF(C128="#N/A",0,_xll.HLV5r3.Financial.Cache.GetValueFromBase( Stream1DiscountCurve, Swap!$F$4, Stream1!C128))</f>
        <v>0.3112641877262291</v>
      </c>
      <c r="J128" s="117">
        <f ca="1">IF(C128="#N/A","#N/A",_xll.HLV5r3.Financial.Cache.GetValueFromBase(Stream1ForwardCurve, Swap!$F$4, A128))</f>
        <v>0.31456891216004679</v>
      </c>
      <c r="K128" s="169">
        <f ca="1">IF(C128="#N/A","#N/A",_xll.HLV5r3.Financial.Cache.GetValueFromBase(Stream1ForwardCurve, Swap!$F$4, B128))</f>
        <v>0.3112641877262291</v>
      </c>
      <c r="L128" s="115">
        <f ca="1" xml:space="preserve"> IF(G128=0,0,_xll.HLV5r3.Financial.Cache.YearFraction( A128, B128,Swap!$B$25))</f>
        <v>0.25205479452054796</v>
      </c>
      <c r="M128" s="143">
        <f ca="1">IF(I128=0,0,IF($B$2="Fixed",Stream1FixedRate,_xll.HLV5r3.Analytics.Rates.GetRate(J128,K128,L128)+Stream1Spread))</f>
        <v>5.4399999999999997E-2</v>
      </c>
      <c r="N128" s="155">
        <f ca="1">IF(L128="#N/A",L128,IF(Swap!$B$26="Standard",L128*G128*M128,L128*G128*M128/(1+Stream1!L128*Stream1!M128)))</f>
        <v>1371178.0821917807</v>
      </c>
      <c r="O128" s="155">
        <f t="shared" ca="1" si="12"/>
        <v>426798.63198143319</v>
      </c>
      <c r="P128" s="177">
        <f>IF($B$2="FIXED",0,IF(Swap!$B$26="FRA",_xll.HLV5r3.Analytics.Swaps.Delta0DiscountCoupon( G128, L128, M128, I128),_xll.HLV5r3.Analytics.Swaps.Delta0Coupon( G128, L128, M128, I128)))</f>
        <v>0</v>
      </c>
      <c r="Q128" s="180">
        <f ca="1">IF(U128=0,0,_xll.HLV5r3.Analytics.Swaps.Delta1ForAnAmount( N128, I128, Stream1CompoundingPeriod, U128))</f>
        <v>952.97204924227242</v>
      </c>
      <c r="R128" s="48"/>
      <c r="S128" s="210">
        <f t="shared" ca="1" si="20"/>
        <v>51805</v>
      </c>
      <c r="T128" s="213">
        <f t="shared" ca="1" si="21"/>
        <v>51805</v>
      </c>
      <c r="U128" s="173">
        <f ca="1">IF(C128="#N/A",0,_xll.HLV5r3.Financial.Cache.YearFraction( ValuationDate, C128,"ACT/365.FIXED"))</f>
        <v>22.616438356164384</v>
      </c>
      <c r="V128" s="48"/>
      <c r="X128" s="207">
        <f ca="1"/>
        <v>51805</v>
      </c>
    </row>
    <row r="129" spans="1:24">
      <c r="A129" s="136">
        <f t="shared" ca="1" si="14"/>
        <v>51897</v>
      </c>
      <c r="B129" s="136">
        <f t="shared" ca="1" si="11"/>
        <v>51986</v>
      </c>
      <c r="C129" s="101">
        <f ca="1">IF(Swap!$B$26="Standard",B129,A129)</f>
        <v>51986</v>
      </c>
      <c r="D129" s="147">
        <v>0</v>
      </c>
      <c r="E129" s="112">
        <f t="shared" ca="1" si="18"/>
        <v>100000000</v>
      </c>
      <c r="F129" s="112">
        <f t="shared" ca="1" si="15"/>
        <v>100000000</v>
      </c>
      <c r="G129" s="112">
        <f t="shared" ca="1" si="16"/>
        <v>100000000</v>
      </c>
      <c r="H129" s="153" t="str">
        <f t="shared" ca="1" si="19"/>
        <v>Coupon</v>
      </c>
      <c r="I129" s="168">
        <f ca="1">IF(C129="#N/A",0,_xll.HLV5r3.Financial.Cache.GetValueFromBase( Stream1DiscountCurve, Swap!$F$4, Stream1!C129))</f>
        <v>0.30811645412509175</v>
      </c>
      <c r="J129" s="117">
        <f ca="1">IF(C129="#N/A","#N/A",_xll.HLV5r3.Financial.Cache.GetValueFromBase(Stream1ForwardCurve, Swap!$F$4, A129))</f>
        <v>0.3112641877262291</v>
      </c>
      <c r="K129" s="169">
        <f ca="1">IF(C129="#N/A","#N/A",_xll.HLV5r3.Financial.Cache.GetValueFromBase(Stream1ForwardCurve, Swap!$F$4, B129))</f>
        <v>0.30811645412509175</v>
      </c>
      <c r="L129" s="115">
        <f ca="1" xml:space="preserve"> IF(G129=0,0,_xll.HLV5r3.Financial.Cache.YearFraction( A129, B129,Swap!$B$25))</f>
        <v>0.24383561643835616</v>
      </c>
      <c r="M129" s="143">
        <f ca="1">IF(I129=0,0,IF($B$2="Fixed",Stream1FixedRate,_xll.HLV5r3.Analytics.Rates.GetRate(J129,K129,L129)+Stream1Spread))</f>
        <v>5.4399999999999997E-2</v>
      </c>
      <c r="N129" s="155">
        <f ca="1">IF(L129="#N/A",L129,IF(Swap!$B$26="Standard",L129*G129*M129,L129*G129*M129/(1+Stream1!L129*Stream1!M129)))</f>
        <v>1326465.7534246575</v>
      </c>
      <c r="O129" s="155">
        <f t="shared" ca="1" si="12"/>
        <v>408705.92446357373</v>
      </c>
      <c r="P129" s="177">
        <f>IF($B$2="FIXED",0,IF(Swap!$B$26="FRA",_xll.HLV5r3.Analytics.Swaps.Delta0DiscountCoupon( G129, L129, M129, I129),_xll.HLV5r3.Analytics.Swaps.Delta0Coupon( G129, L129, M129, I129)))</f>
        <v>0</v>
      </c>
      <c r="Q129" s="180">
        <f ca="1">IF(U129=0,0,_xll.HLV5r3.Analytics.Swaps.Delta1ForAnAmount( N129, I129, Stream1CompoundingPeriod, U129))</f>
        <v>922.43683523022423</v>
      </c>
      <c r="R129" s="48"/>
      <c r="S129" s="210">
        <f t="shared" ca="1" si="20"/>
        <v>51897</v>
      </c>
      <c r="T129" s="213">
        <f t="shared" ca="1" si="21"/>
        <v>51897</v>
      </c>
      <c r="U129" s="173">
        <f ca="1">IF(C129="#N/A",0,_xll.HLV5r3.Financial.Cache.YearFraction( ValuationDate, C129,"ACT/365.FIXED"))</f>
        <v>22.860273972602741</v>
      </c>
      <c r="V129" s="48"/>
      <c r="X129" s="207">
        <f ca="1"/>
        <v>51897</v>
      </c>
    </row>
    <row r="130" spans="1:24">
      <c r="A130" s="136">
        <f t="shared" ca="1" si="14"/>
        <v>51986</v>
      </c>
      <c r="B130" s="136">
        <f t="shared" ca="1" si="11"/>
        <v>52078</v>
      </c>
      <c r="C130" s="101">
        <f ca="1">IF(Swap!$B$26="Standard",B130,A130)</f>
        <v>52078</v>
      </c>
      <c r="D130" s="147">
        <v>0</v>
      </c>
      <c r="E130" s="112">
        <f t="shared" ca="1" si="18"/>
        <v>100000000</v>
      </c>
      <c r="F130" s="112">
        <f t="shared" ca="1" si="15"/>
        <v>100000000</v>
      </c>
      <c r="G130" s="112">
        <f t="shared" ca="1" si="16"/>
        <v>100000000</v>
      </c>
      <c r="H130" s="153" t="str">
        <f t="shared" ca="1" si="19"/>
        <v>Coupon</v>
      </c>
      <c r="I130" s="168">
        <f ca="1">IF(C130="#N/A",0,_xll.HLV5r3.Financial.Cache.GetValueFromBase( Stream1DiscountCurve, Swap!$F$4, Stream1!C130))</f>
        <v>0.30491263139748009</v>
      </c>
      <c r="J130" s="117">
        <f ca="1">IF(C130="#N/A","#N/A",_xll.HLV5r3.Financial.Cache.GetValueFromBase(Stream1ForwardCurve, Swap!$F$4, A130))</f>
        <v>0.30811645412509175</v>
      </c>
      <c r="K130" s="169">
        <f ca="1">IF(C130="#N/A","#N/A",_xll.HLV5r3.Financial.Cache.GetValueFromBase(Stream1ForwardCurve, Swap!$F$4, B130))</f>
        <v>0.30491263139748009</v>
      </c>
      <c r="L130" s="115">
        <f ca="1" xml:space="preserve"> IF(G130=0,0,_xll.HLV5r3.Financial.Cache.YearFraction( A130, B130,Swap!$B$25))</f>
        <v>0.25205479452054796</v>
      </c>
      <c r="M130" s="143">
        <f ca="1">IF(I130=0,0,IF($B$2="Fixed",Stream1FixedRate,_xll.HLV5r3.Analytics.Rates.GetRate(J130,K130,L130)+Stream1Spread))</f>
        <v>5.4399999999999997E-2</v>
      </c>
      <c r="N130" s="155">
        <f ca="1">IF(L130="#N/A",L130,IF(Swap!$B$26="Standard",L130*G130*M130,L130*G130*M130/(1+Stream1!L130*Stream1!M130)))</f>
        <v>1371178.0821917807</v>
      </c>
      <c r="O130" s="155">
        <f t="shared" ca="1" si="12"/>
        <v>418089.51715564611</v>
      </c>
      <c r="P130" s="177">
        <f>IF($B$2="FIXED",0,IF(Swap!$B$26="FRA",_xll.HLV5r3.Analytics.Swaps.Delta0DiscountCoupon( G130, L130, M130, I130),_xll.HLV5r3.Analytics.Swaps.Delta0Coupon( G130, L130, M130, I130)))</f>
        <v>0</v>
      </c>
      <c r="Q130" s="180">
        <f ca="1">IF(U130=0,0,_xll.HLV5r3.Analytics.Swaps.Delta1ForAnAmount( N130, I130, Stream1CompoundingPeriod, U130))</f>
        <v>954.04527063983232</v>
      </c>
      <c r="R130" s="48"/>
      <c r="S130" s="210">
        <f t="shared" ca="1" si="20"/>
        <v>51986</v>
      </c>
      <c r="T130" s="213">
        <f t="shared" ca="1" si="21"/>
        <v>51986</v>
      </c>
      <c r="U130" s="173">
        <f ca="1">IF(C130="#N/A",0,_xll.HLV5r3.Financial.Cache.YearFraction( ValuationDate, C130,"ACT/365.FIXED"))</f>
        <v>23.112328767123287</v>
      </c>
      <c r="V130" s="48"/>
      <c r="X130" s="207">
        <f ca="1"/>
        <v>51986</v>
      </c>
    </row>
    <row r="131" spans="1:24">
      <c r="A131" s="136">
        <f t="shared" ca="1" si="14"/>
        <v>52078</v>
      </c>
      <c r="B131" s="136">
        <f t="shared" ca="1" si="11"/>
        <v>49187</v>
      </c>
      <c r="C131" s="101">
        <f ca="1">IF(Swap!$B$26="Standard",B131,A131)</f>
        <v>49187</v>
      </c>
      <c r="D131" s="147">
        <v>0</v>
      </c>
      <c r="E131" s="112">
        <f t="shared" ca="1" si="18"/>
        <v>100000000</v>
      </c>
      <c r="F131" s="112">
        <f t="shared" ca="1" si="15"/>
        <v>100000000</v>
      </c>
      <c r="G131" s="112">
        <f t="shared" ca="1" si="16"/>
        <v>100000000</v>
      </c>
      <c r="H131" s="153" t="str">
        <f t="shared" ca="1" si="19"/>
        <v>Coupon</v>
      </c>
      <c r="I131" s="168">
        <f ca="1">IF(C131="#N/A",0,_xll.HLV5r3.Financial.Cache.GetValueFromBase( Stream1DiscountCurve, Swap!$F$4, Stream1!C131))</f>
        <v>0.43371969470972427</v>
      </c>
      <c r="J131" s="117">
        <f ca="1">IF(C131="#N/A","#N/A",_xll.HLV5r3.Financial.Cache.GetValueFromBase(Stream1ForwardCurve, Swap!$F$4, A131))</f>
        <v>0.30491263139748009</v>
      </c>
      <c r="K131" s="169">
        <f ca="1">IF(C131="#N/A","#N/A",_xll.HLV5r3.Financial.Cache.GetValueFromBase(Stream1ForwardCurve, Swap!$F$4, B131))</f>
        <v>0.43371969470972427</v>
      </c>
      <c r="L131" s="115">
        <f ca="1" xml:space="preserve"> IF(G131=0,0,_xll.HLV5r3.Financial.Cache.YearFraction( A131, B131,Swap!$B$25))</f>
        <v>-7.9205479452054792</v>
      </c>
      <c r="M131" s="143">
        <f ca="1">IF(I131=0,0,IF($B$2="Fixed",Stream1FixedRate,_xll.HLV5r3.Analytics.Rates.GetRate(J131,K131,L131)+Stream1Spread))</f>
        <v>5.4399999999999997E-2</v>
      </c>
      <c r="N131" s="155">
        <f ca="1">IF(L131="#N/A",L131,IF(Swap!$B$26="Standard",L131*G131*M131,L131*G131*M131/(1+Stream1!L131*Stream1!M131)))</f>
        <v>-43087780.821917802</v>
      </c>
      <c r="O131" s="155">
        <f t="shared" ca="1" si="12"/>
        <v>-18688019.1438017</v>
      </c>
      <c r="P131" s="177">
        <f>IF($B$2="FIXED",0,IF(Swap!$B$26="FRA",_xll.HLV5r3.Analytics.Swaps.Delta0DiscountCoupon( G131, L131, M131, I131),_xll.HLV5r3.Analytics.Swaps.Delta0Coupon( G131, L131, M131, I131)))</f>
        <v>0</v>
      </c>
      <c r="Q131" s="180">
        <f ca="1">IF(U131=0,0,_xll.HLV5r3.Analytics.Swaps.Delta1ForAnAmount( N131, I131, Stream1CompoundingPeriod, U131))</f>
        <v>-28005.442334468302</v>
      </c>
      <c r="R131" s="48"/>
      <c r="S131" s="210">
        <f t="shared" ca="1" si="20"/>
        <v>52078</v>
      </c>
      <c r="T131" s="213">
        <f t="shared" ca="1" si="21"/>
        <v>52078</v>
      </c>
      <c r="U131" s="173">
        <f ca="1">IF(C131="#N/A",0,_xll.HLV5r3.Financial.Cache.YearFraction( ValuationDate, C131,"ACT/365.FIXED"))</f>
        <v>15.191780821917808</v>
      </c>
      <c r="V131" s="48"/>
      <c r="X131" s="207">
        <f ca="1"/>
        <v>52078</v>
      </c>
    </row>
    <row r="132" spans="1:24">
      <c r="A132" s="136" t="str">
        <f t="shared" ca="1" si="14"/>
        <v>#N/A</v>
      </c>
      <c r="B132" s="136" t="str">
        <f t="shared" ca="1" si="11"/>
        <v>#N/A</v>
      </c>
      <c r="C132" s="101" t="str">
        <f ca="1">IF(Swap!$B$26="Standard",B132,A132)</f>
        <v>#N/A</v>
      </c>
      <c r="D132" s="147">
        <v>0</v>
      </c>
      <c r="E132" s="112">
        <f t="shared" ca="1" si="18"/>
        <v>0</v>
      </c>
      <c r="F132" s="112">
        <f t="shared" ca="1" si="15"/>
        <v>0</v>
      </c>
      <c r="G132" s="112">
        <f t="shared" ca="1" si="16"/>
        <v>0</v>
      </c>
      <c r="H132" s="153" t="str">
        <f t="shared" ca="1" si="19"/>
        <v>#NA</v>
      </c>
      <c r="I132" s="168">
        <f ca="1">IF(C132="#N/A",0,_xll.HLV5r3.Financial.Cache.GetValueFromBase( Stream1DiscountCurve, Swap!$F$4, Stream1!C132))</f>
        <v>0</v>
      </c>
      <c r="J132" s="117" t="str">
        <f ca="1">IF(C132="#N/A","#N/A",_xll.HLV5r3.Financial.Cache.GetValueFromBase(Stream1ForwardCurve, Swap!$F$4, A132))</f>
        <v>#N/A</v>
      </c>
      <c r="K132" s="169" t="str">
        <f ca="1">IF(C132="#N/A","#N/A",_xll.HLV5r3.Financial.Cache.GetValueFromBase(Stream1ForwardCurve, Swap!$F$4, B132))</f>
        <v>#N/A</v>
      </c>
      <c r="L132" s="115">
        <f ca="1" xml:space="preserve"> IF(G132=0,0,_xll.HLV5r3.Financial.Cache.YearFraction( A132, B132,Swap!$B$25))</f>
        <v>0</v>
      </c>
      <c r="M132" s="143">
        <f ca="1">IF(I132=0,0,IF($B$2="Fixed",Stream1FixedRate,_xll.HLV5r3.Analytics.Rates.GetRate(J132,K132,L132)+Stream1Spread))</f>
        <v>0</v>
      </c>
      <c r="N132" s="155">
        <f ca="1">IF(L132="#N/A",L132,IF(Swap!$B$26="Standard",L132*G132*M132,L132*G132*M132/(1+Stream1!L132*Stream1!M132)))</f>
        <v>0</v>
      </c>
      <c r="O132" s="155">
        <f t="shared" ca="1" si="12"/>
        <v>0</v>
      </c>
      <c r="P132" s="177">
        <f>IF($B$2="FIXED",0,IF(Swap!$B$26="FRA",_xll.HLV5r3.Analytics.Swaps.Delta0DiscountCoupon(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Stream1CompoundingPeriod, U132))</f>
        <v>0</v>
      </c>
      <c r="R132" s="48"/>
      <c r="S132" s="210">
        <f t="shared" ca="1" si="20"/>
        <v>52170</v>
      </c>
      <c r="T132" s="213">
        <f t="shared" ca="1" si="21"/>
        <v>52170</v>
      </c>
      <c r="U132" s="173">
        <f ca="1">IF(C132="#N/A",0,_xll.HLV5r3.Financial.Cache.YearFraction( ValuationDate, C132,"ACT/365.FIXED"))</f>
        <v>0</v>
      </c>
      <c r="V132" s="48"/>
      <c r="X132" s="207">
        <f ca="1"/>
        <v>52170</v>
      </c>
    </row>
    <row r="133" spans="1:24">
      <c r="A133" s="136" t="str">
        <f t="shared" ca="1" si="14"/>
        <v>#N/A</v>
      </c>
      <c r="B133" s="136" t="str">
        <f t="shared" ca="1" si="11"/>
        <v>#N/A</v>
      </c>
      <c r="C133" s="101" t="str">
        <f ca="1">IF(Swap!$B$26="Standard",B133,A133)</f>
        <v>#N/A</v>
      </c>
      <c r="D133" s="147">
        <v>0</v>
      </c>
      <c r="E133" s="112">
        <f t="shared" ca="1" si="18"/>
        <v>0</v>
      </c>
      <c r="F133" s="112">
        <f t="shared" ca="1" si="15"/>
        <v>0</v>
      </c>
      <c r="G133" s="112">
        <f t="shared" ca="1" si="16"/>
        <v>0</v>
      </c>
      <c r="H133" s="153" t="str">
        <f t="shared" ca="1" si="19"/>
        <v>#NA</v>
      </c>
      <c r="I133" s="168">
        <f ca="1">IF(C133="#N/A",0,_xll.HLV5r3.Financial.Cache.GetValueFromBase( Stream1DiscountCurve, Swap!$F$4, Stream1!C133))</f>
        <v>0</v>
      </c>
      <c r="J133" s="117" t="str">
        <f ca="1">IF(C133="#N/A","#N/A",_xll.HLV5r3.Financial.Cache.GetValueFromBase(Stream1ForwardCurve, Swap!$F$4, A133))</f>
        <v>#N/A</v>
      </c>
      <c r="K133" s="169" t="str">
        <f ca="1">IF(C133="#N/A","#N/A",_xll.HLV5r3.Financial.Cache.GetValueFromBase(Stream1ForwardCurve, Swap!$F$4, B133))</f>
        <v>#N/A</v>
      </c>
      <c r="L133" s="115">
        <f ca="1" xml:space="preserve"> IF(G133=0,0,_xll.HLV5r3.Financial.Cache.YearFraction( A133, B133,Swap!$B$25))</f>
        <v>0</v>
      </c>
      <c r="M133" s="143">
        <f ca="1">IF(I133=0,0,IF($B$2="Fixed",Stream1FixedRate,_xll.HLV5r3.Analytics.Rates.GetRate(J133,K133,L133)+Stream1Spread))</f>
        <v>0</v>
      </c>
      <c r="N133" s="155">
        <f ca="1">IF(L133="#N/A",L133,IF(Swap!$B$26="Standard",L133*G133*M133,L133*G133*M133/(1+Stream1!L133*Stream1!M133)))</f>
        <v>0</v>
      </c>
      <c r="O133" s="155">
        <f t="shared" ca="1" si="12"/>
        <v>0</v>
      </c>
      <c r="P133" s="177">
        <f>IF($B$2="FIXED",0,IF(Swap!$B$26="FRA",_xll.HLV5r3.Analytics.Swaps.Delta0DiscountCoupon(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Stream1CompoundingPeriod, U133))</f>
        <v>0</v>
      </c>
      <c r="R133" s="48"/>
      <c r="S133" s="210" t="str">
        <f t="shared" ca="1" si="20"/>
        <v>#N/A</v>
      </c>
      <c r="T133" s="101" t="e">
        <f t="shared" ca="1" si="21"/>
        <v>#N/A</v>
      </c>
      <c r="U133" s="173">
        <f ca="1">IF(C133="#N/A",0,_xll.HLV5r3.Financial.Cache.YearFraction( ValuationDate, C133,"ACT/365.FIXED"))</f>
        <v>0</v>
      </c>
      <c r="V133" s="48"/>
      <c r="X133" s="207" t="e">
        <f ca="1"/>
        <v>#N/A</v>
      </c>
    </row>
    <row r="134" spans="1:24">
      <c r="A134" s="136" t="str">
        <f t="shared" ca="1" si="14"/>
        <v>#N/A</v>
      </c>
      <c r="B134" s="136" t="str">
        <f t="shared" ca="1" si="11"/>
        <v>#N/A</v>
      </c>
      <c r="C134" s="101" t="str">
        <f ca="1">IF(Swap!$B$26="Standard",B134,A134)</f>
        <v>#N/A</v>
      </c>
      <c r="D134" s="147">
        <v>0</v>
      </c>
      <c r="E134" s="112">
        <f t="shared" ca="1" si="18"/>
        <v>0</v>
      </c>
      <c r="F134" s="112">
        <f t="shared" ca="1" si="15"/>
        <v>0</v>
      </c>
      <c r="G134" s="112">
        <f t="shared" ca="1" si="16"/>
        <v>0</v>
      </c>
      <c r="H134" s="153" t="str">
        <f t="shared" ca="1" si="19"/>
        <v>#NA</v>
      </c>
      <c r="I134" s="168">
        <f ca="1">IF(C134="#N/A",0,_xll.HLV5r3.Financial.Cache.GetValueFromBase( Stream1DiscountCurve, Swap!$F$4, Stream1!C134))</f>
        <v>0</v>
      </c>
      <c r="J134" s="117" t="str">
        <f ca="1">IF(C134="#N/A","#N/A",_xll.HLV5r3.Financial.Cache.GetValueFromBase(Stream1ForwardCurve, Swap!$F$4, A134))</f>
        <v>#N/A</v>
      </c>
      <c r="K134" s="169" t="str">
        <f ca="1">IF(C134="#N/A","#N/A",_xll.HLV5r3.Financial.Cache.GetValueFromBase(Stream1ForwardCurve, Swap!$F$4, B134))</f>
        <v>#N/A</v>
      </c>
      <c r="L134" s="115">
        <f ca="1" xml:space="preserve"> IF(G134=0,0,_xll.HLV5r3.Financial.Cache.YearFraction( A134, B134,Swap!$B$25))</f>
        <v>0</v>
      </c>
      <c r="M134" s="143">
        <f ca="1">IF(I134=0,0,IF($B$2="Fixed",Stream1FixedRate,_xll.HLV5r3.Analytics.Rates.GetRate(J134,K134,L134)+Stream1Spread))</f>
        <v>0</v>
      </c>
      <c r="N134" s="155">
        <f ca="1">IF(L134="#N/A",L134,IF(Swap!$B$26="Standard",L134*G134*M134,L134*G134*M134/(1+Stream1!L134*Stream1!M134)))</f>
        <v>0</v>
      </c>
      <c r="O134" s="155">
        <f t="shared" ca="1" si="12"/>
        <v>0</v>
      </c>
      <c r="P134" s="177">
        <f>IF($B$2="FIXED",0,IF(Swap!$B$26="FRA",_xll.HLV5r3.Analytics.Swaps.Delta0DiscountCoupon(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Stream1CompoundingPeriod, U134))</f>
        <v>0</v>
      </c>
      <c r="R134" s="48"/>
      <c r="S134" s="210" t="str">
        <f t="shared" ca="1" si="20"/>
        <v>#N/A</v>
      </c>
      <c r="T134" s="101" t="e">
        <f t="shared" ca="1" si="21"/>
        <v>#N/A</v>
      </c>
      <c r="U134" s="173">
        <f ca="1">IF(C134="#N/A",0,_xll.HLV5r3.Financial.Cache.YearFraction( ValuationDate, C134,"ACT/365.FIXED"))</f>
        <v>0</v>
      </c>
      <c r="V134" s="48"/>
      <c r="X134" s="207" t="e">
        <f ca="1"/>
        <v>#N/A</v>
      </c>
    </row>
    <row r="135" spans="1:24">
      <c r="A135" s="136" t="str">
        <f t="shared" ca="1" si="14"/>
        <v>#N/A</v>
      </c>
      <c r="B135" s="136" t="str">
        <f t="shared" ca="1" si="11"/>
        <v>#N/A</v>
      </c>
      <c r="C135" s="101" t="str">
        <f ca="1">IF(Swap!$B$26="Standard",B135,A135)</f>
        <v>#N/A</v>
      </c>
      <c r="D135" s="147">
        <v>0</v>
      </c>
      <c r="E135" s="112">
        <f t="shared" ca="1" si="18"/>
        <v>0</v>
      </c>
      <c r="F135" s="112">
        <f t="shared" ca="1" si="15"/>
        <v>0</v>
      </c>
      <c r="G135" s="112">
        <f t="shared" ca="1" si="16"/>
        <v>0</v>
      </c>
      <c r="H135" s="153" t="str">
        <f t="shared" ca="1" si="19"/>
        <v>#NA</v>
      </c>
      <c r="I135" s="168">
        <f ca="1">IF(C135="#N/A",0,_xll.HLV5r3.Financial.Cache.GetValueFromBase( Stream1DiscountCurve, Swap!$F$4, Stream1!C135))</f>
        <v>0</v>
      </c>
      <c r="J135" s="117" t="str">
        <f ca="1">IF(C135="#N/A","#N/A",_xll.HLV5r3.Financial.Cache.GetValueFromBase(Stream1ForwardCurve, Swap!$F$4, A135))</f>
        <v>#N/A</v>
      </c>
      <c r="K135" s="169" t="str">
        <f ca="1">IF(C135="#N/A","#N/A",_xll.HLV5r3.Financial.Cache.GetValueFromBase(Stream1ForwardCurve, Swap!$F$4, B135))</f>
        <v>#N/A</v>
      </c>
      <c r="L135" s="115">
        <f ca="1" xml:space="preserve"> IF(G135=0,0,_xll.HLV5r3.Financial.Cache.YearFraction( A135, B135,Swap!$B$25))</f>
        <v>0</v>
      </c>
      <c r="M135" s="143">
        <f ca="1">IF(I135=0,0,IF($B$2="Fixed",Stream1FixedRate,_xll.HLV5r3.Analytics.Rates.GetRate(J135,K135,L135)+Stream1Spread))</f>
        <v>0</v>
      </c>
      <c r="N135" s="155">
        <f ca="1">IF(L135="#N/A",L135,IF(Swap!$B$26="Standard",L135*G135*M135,L135*G135*M135/(1+Stream1!L135*Stream1!M135)))</f>
        <v>0</v>
      </c>
      <c r="O135" s="155">
        <f t="shared" ca="1" si="12"/>
        <v>0</v>
      </c>
      <c r="P135" s="177">
        <f>IF($B$2="FIXED",0,IF(Swap!$B$26="FRA",_xll.HLV5r3.Analytics.Swaps.Delta0DiscountCoupon(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Stream1CompoundingPeriod, U135))</f>
        <v>0</v>
      </c>
      <c r="R135" s="48"/>
      <c r="S135" s="210" t="str">
        <f t="shared" ca="1" si="20"/>
        <v>#N/A</v>
      </c>
      <c r="T135" s="101" t="e">
        <f t="shared" ca="1" si="21"/>
        <v>#N/A</v>
      </c>
      <c r="U135" s="173">
        <f ca="1">IF(C135="#N/A",0,_xll.HLV5r3.Financial.Cache.YearFraction( ValuationDate, C135,"ACT/365.FIXED"))</f>
        <v>0</v>
      </c>
      <c r="V135" s="48"/>
      <c r="X135" s="207" t="e">
        <f ca="1"/>
        <v>#N/A</v>
      </c>
    </row>
    <row r="136" spans="1:24">
      <c r="A136" s="136" t="str">
        <f t="shared" ca="1" si="14"/>
        <v>#N/A</v>
      </c>
      <c r="B136" s="136" t="str">
        <f t="shared" ca="1" si="11"/>
        <v>#N/A</v>
      </c>
      <c r="C136" s="101" t="str">
        <f ca="1">IF(Swap!$B$26="Standard",B136,A136)</f>
        <v>#N/A</v>
      </c>
      <c r="D136" s="147">
        <v>0</v>
      </c>
      <c r="E136" s="112">
        <f t="shared" ca="1" si="18"/>
        <v>0</v>
      </c>
      <c r="F136" s="112">
        <f t="shared" ca="1" si="15"/>
        <v>0</v>
      </c>
      <c r="G136" s="112">
        <f t="shared" ca="1" si="16"/>
        <v>0</v>
      </c>
      <c r="H136" s="153" t="str">
        <f t="shared" ca="1" si="19"/>
        <v>#NA</v>
      </c>
      <c r="I136" s="168">
        <f ca="1">IF(C136="#N/A",0,_xll.HLV5r3.Financial.Cache.GetValueFromBase( Stream1DiscountCurve, Swap!$F$4, Stream1!C136))</f>
        <v>0</v>
      </c>
      <c r="J136" s="117" t="str">
        <f ca="1">IF(C136="#N/A","#N/A",_xll.HLV5r3.Financial.Cache.GetValueFromBase(Stream1ForwardCurve, Swap!$F$4, A136))</f>
        <v>#N/A</v>
      </c>
      <c r="K136" s="169" t="str">
        <f ca="1">IF(C136="#N/A","#N/A",_xll.HLV5r3.Financial.Cache.GetValueFromBase(Stream1ForwardCurve, Swap!$F$4, B136))</f>
        <v>#N/A</v>
      </c>
      <c r="L136" s="115">
        <f ca="1" xml:space="preserve"> IF(G136=0,0,_xll.HLV5r3.Financial.Cache.YearFraction( A136, B136,Swap!$B$25))</f>
        <v>0</v>
      </c>
      <c r="M136" s="143">
        <f ca="1">IF(I136=0,0,IF($B$2="Fixed",Stream1FixedRate,_xll.HLV5r3.Analytics.Rates.GetRate(J136,K136,L136)+Stream1Spread))</f>
        <v>0</v>
      </c>
      <c r="N136" s="155">
        <f ca="1">IF(L136="#N/A",L136,IF(Swap!$B$26="Standard",L136*G136*M136,L136*G136*M136/(1+Stream1!L136*Stream1!M136)))</f>
        <v>0</v>
      </c>
      <c r="O136" s="155">
        <f t="shared" ca="1" si="12"/>
        <v>0</v>
      </c>
      <c r="P136" s="177">
        <f>IF($B$2="FIXED",0,IF(Swap!$B$26="FRA",_xll.HLV5r3.Analytics.Swaps.Delta0DiscountCoupon(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Stream1CompoundingPeriod, U136))</f>
        <v>0</v>
      </c>
      <c r="R136" s="48"/>
      <c r="S136" s="210" t="str">
        <f t="shared" ca="1" si="20"/>
        <v>#N/A</v>
      </c>
      <c r="T136" s="101" t="e">
        <f t="shared" ca="1" si="21"/>
        <v>#N/A</v>
      </c>
      <c r="U136" s="173">
        <f ca="1">IF(C136="#N/A",0,_xll.HLV5r3.Financial.Cache.YearFraction( ValuationDate, C136,"ACT/365.FIXED"))</f>
        <v>0</v>
      </c>
      <c r="V136" s="48"/>
      <c r="X136" s="207" t="e">
        <f ca="1"/>
        <v>#N/A</v>
      </c>
    </row>
    <row r="137" spans="1:24">
      <c r="A137" s="136" t="str">
        <f t="shared" ca="1" si="14"/>
        <v>#N/A</v>
      </c>
      <c r="B137" s="136" t="str">
        <f t="shared" ca="1" si="11"/>
        <v>#N/A</v>
      </c>
      <c r="C137" s="101" t="str">
        <f ca="1">IF(Swap!$B$26="Standard",B137,A137)</f>
        <v>#N/A</v>
      </c>
      <c r="D137" s="147">
        <v>0</v>
      </c>
      <c r="E137" s="112">
        <f t="shared" ca="1" si="18"/>
        <v>0</v>
      </c>
      <c r="F137" s="112">
        <f t="shared" ca="1" si="15"/>
        <v>0</v>
      </c>
      <c r="G137" s="112">
        <f t="shared" ca="1" si="16"/>
        <v>0</v>
      </c>
      <c r="H137" s="153" t="str">
        <f t="shared" ca="1" si="19"/>
        <v>#NA</v>
      </c>
      <c r="I137" s="168">
        <f ca="1">IF(C137="#N/A",0,_xll.HLV5r3.Financial.Cache.GetValueFromBase( Stream1DiscountCurve, Swap!$F$4, Stream1!C137))</f>
        <v>0</v>
      </c>
      <c r="J137" s="117" t="str">
        <f ca="1">IF(C137="#N/A","#N/A",_xll.HLV5r3.Financial.Cache.GetValueFromBase(Stream1ForwardCurve, Swap!$F$4, A137))</f>
        <v>#N/A</v>
      </c>
      <c r="K137" s="169" t="str">
        <f ca="1">IF(C137="#N/A","#N/A",_xll.HLV5r3.Financial.Cache.GetValueFromBase(Stream1ForwardCurve, Swap!$F$4, B137))</f>
        <v>#N/A</v>
      </c>
      <c r="L137" s="115">
        <f ca="1" xml:space="preserve"> IF(G137=0,0,_xll.HLV5r3.Financial.Cache.YearFraction( A137, B137,Swap!$B$25))</f>
        <v>0</v>
      </c>
      <c r="M137" s="143">
        <f ca="1">IF(I137=0,0,IF($B$2="Fixed",Stream1FixedRate,_xll.HLV5r3.Analytics.Rates.GetRate(J137,K137,L137)+Stream1Spread))</f>
        <v>0</v>
      </c>
      <c r="N137" s="155">
        <f ca="1">IF(L137="#N/A",L137,IF(Swap!$B$26="Standard",L137*G137*M137,L137*G137*M137/(1+Stream1!L137*Stream1!M137)))</f>
        <v>0</v>
      </c>
      <c r="O137" s="155">
        <f t="shared" ca="1" si="12"/>
        <v>0</v>
      </c>
      <c r="P137" s="177">
        <f>IF($B$2="FIXED",0,IF(Swap!$B$26="FRA",_xll.HLV5r3.Analytics.Swaps.Delta0DiscountCoupon(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Stream1CompoundingPeriod, U137))</f>
        <v>0</v>
      </c>
      <c r="R137" s="48"/>
      <c r="S137" s="210" t="str">
        <f t="shared" ca="1" si="20"/>
        <v>#N/A</v>
      </c>
      <c r="T137" s="101" t="e">
        <f t="shared" ca="1" si="21"/>
        <v>#N/A</v>
      </c>
      <c r="U137" s="173">
        <f ca="1">IF(C137="#N/A",0,_xll.HLV5r3.Financial.Cache.YearFraction( ValuationDate, C137,"ACT/365.FIXED"))</f>
        <v>0</v>
      </c>
      <c r="V137" s="48"/>
      <c r="X137" s="207" t="e">
        <f ca="1"/>
        <v>#N/A</v>
      </c>
    </row>
    <row r="138" spans="1:24">
      <c r="A138" s="136" t="str">
        <f t="shared" ca="1" si="14"/>
        <v>#N/A</v>
      </c>
      <c r="B138" s="136" t="str">
        <f t="shared" ca="1" si="11"/>
        <v>#N/A</v>
      </c>
      <c r="C138" s="101" t="str">
        <f ca="1">IF(Swap!$B$26="Standard",B138,A138)</f>
        <v>#N/A</v>
      </c>
      <c r="D138" s="147">
        <v>0</v>
      </c>
      <c r="E138" s="112">
        <f t="shared" ca="1" si="18"/>
        <v>0</v>
      </c>
      <c r="F138" s="112">
        <f t="shared" ca="1" si="15"/>
        <v>0</v>
      </c>
      <c r="G138" s="112">
        <f t="shared" ca="1" si="16"/>
        <v>0</v>
      </c>
      <c r="H138" s="153" t="str">
        <f t="shared" ca="1" si="19"/>
        <v>#NA</v>
      </c>
      <c r="I138" s="168">
        <f ca="1">IF(C138="#N/A",0,_xll.HLV5r3.Financial.Cache.GetValueFromBase( Stream1DiscountCurve, Swap!$F$4, Stream1!C138))</f>
        <v>0</v>
      </c>
      <c r="J138" s="117" t="str">
        <f ca="1">IF(C138="#N/A","#N/A",_xll.HLV5r3.Financial.Cache.GetValueFromBase(Stream1ForwardCurve, Swap!$F$4, A138))</f>
        <v>#N/A</v>
      </c>
      <c r="K138" s="169" t="str">
        <f ca="1">IF(C138="#N/A","#N/A",_xll.HLV5r3.Financial.Cache.GetValueFromBase(Stream1ForwardCurve, Swap!$F$4, B138))</f>
        <v>#N/A</v>
      </c>
      <c r="L138" s="115">
        <f ca="1" xml:space="preserve"> IF(G138=0,0,_xll.HLV5r3.Financial.Cache.YearFraction( A138, B138,Swap!$B$25))</f>
        <v>0</v>
      </c>
      <c r="M138" s="143">
        <f ca="1">IF(I138=0,0,IF($B$2="Fixed",Stream1FixedRate,_xll.HLV5r3.Analytics.Rates.GetRate(J138,K138,L138)+Stream1Spread))</f>
        <v>0</v>
      </c>
      <c r="N138" s="155">
        <f ca="1">IF(L138="#N/A",L138,IF(Swap!$B$26="Standard",L138*G138*M138,L138*G138*M138/(1+Stream1!L138*Stream1!M138)))</f>
        <v>0</v>
      </c>
      <c r="O138" s="155">
        <f t="shared" ca="1" si="12"/>
        <v>0</v>
      </c>
      <c r="P138" s="177">
        <f>IF($B$2="FIXED",0,IF(Swap!$B$26="FRA",_xll.HLV5r3.Analytics.Swaps.Delta0DiscountCoupon(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Stream1CompoundingPeriod, U138))</f>
        <v>0</v>
      </c>
      <c r="R138" s="48"/>
      <c r="S138" s="210" t="str">
        <f t="shared" ca="1" si="20"/>
        <v>#N/A</v>
      </c>
      <c r="T138" s="101" t="e">
        <f t="shared" ca="1" si="21"/>
        <v>#N/A</v>
      </c>
      <c r="U138" s="173">
        <f ca="1">IF(C138="#N/A",0,_xll.HLV5r3.Financial.Cache.YearFraction( ValuationDate, C138,"ACT/365.FIXED"))</f>
        <v>0</v>
      </c>
      <c r="V138" s="48"/>
      <c r="X138" s="207" t="e">
        <f ca="1"/>
        <v>#N/A</v>
      </c>
    </row>
    <row r="139" spans="1:24">
      <c r="A139" s="136" t="str">
        <f t="shared" ca="1" si="14"/>
        <v>#N/A</v>
      </c>
      <c r="B139" s="136" t="str">
        <f t="shared" ca="1" si="11"/>
        <v>#N/A</v>
      </c>
      <c r="C139" s="101" t="str">
        <f ca="1">IF(Swap!$B$26="Standard",B139,A139)</f>
        <v>#N/A</v>
      </c>
      <c r="D139" s="147">
        <v>0</v>
      </c>
      <c r="E139" s="112">
        <f t="shared" ca="1" si="18"/>
        <v>0</v>
      </c>
      <c r="F139" s="112">
        <f t="shared" ca="1" si="15"/>
        <v>0</v>
      </c>
      <c r="G139" s="112">
        <f t="shared" ca="1" si="16"/>
        <v>0</v>
      </c>
      <c r="H139" s="153" t="str">
        <f t="shared" ca="1" si="19"/>
        <v>#NA</v>
      </c>
      <c r="I139" s="168">
        <f ca="1">IF(C139="#N/A",0,_xll.HLV5r3.Financial.Cache.GetValueFromBase( Stream1DiscountCurve, Swap!$F$4, Stream1!C139))</f>
        <v>0</v>
      </c>
      <c r="J139" s="117" t="str">
        <f ca="1">IF(C139="#N/A","#N/A",_xll.HLV5r3.Financial.Cache.GetValueFromBase(Stream1ForwardCurve, Swap!$F$4, A139))</f>
        <v>#N/A</v>
      </c>
      <c r="K139" s="169" t="str">
        <f ca="1">IF(C139="#N/A","#N/A",_xll.HLV5r3.Financial.Cache.GetValueFromBase(Stream1ForwardCurve, Swap!$F$4, B139))</f>
        <v>#N/A</v>
      </c>
      <c r="L139" s="115">
        <f ca="1" xml:space="preserve"> IF(G139=0,0,_xll.HLV5r3.Financial.Cache.YearFraction( A139, B139,Swap!$B$25))</f>
        <v>0</v>
      </c>
      <c r="M139" s="143">
        <f ca="1">IF(I139=0,0,IF($B$2="Fixed",Stream1FixedRate,_xll.HLV5r3.Analytics.Rates.GetRate(J139,K139,L139)+Stream1Spread))</f>
        <v>0</v>
      </c>
      <c r="N139" s="155">
        <f ca="1">IF(L139="#N/A",L139,IF(Swap!$B$26="Standard",L139*G139*M139,L139*G139*M139/(1+Stream1!L139*Stream1!M139)))</f>
        <v>0</v>
      </c>
      <c r="O139" s="155">
        <f t="shared" ca="1" si="12"/>
        <v>0</v>
      </c>
      <c r="P139" s="177">
        <f>IF($B$2="FIXED",0,IF(Swap!$B$26="FRA",_xll.HLV5r3.Analytics.Swaps.Delta0DiscountCoupon(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Stream1CompoundingPeriod, U139))</f>
        <v>0</v>
      </c>
      <c r="R139" s="48"/>
      <c r="S139" s="210" t="str">
        <f t="shared" ca="1" si="20"/>
        <v>#N/A</v>
      </c>
      <c r="T139" s="101" t="e">
        <f t="shared" ca="1" si="21"/>
        <v>#N/A</v>
      </c>
      <c r="U139" s="173">
        <f ca="1">IF(C139="#N/A",0,_xll.HLV5r3.Financial.Cache.YearFraction( ValuationDate, C139,"ACT/365.FIXED"))</f>
        <v>0</v>
      </c>
      <c r="V139" s="48"/>
      <c r="X139" s="207" t="e">
        <f ca="1"/>
        <v>#N/A</v>
      </c>
    </row>
    <row r="140" spans="1:24">
      <c r="A140" s="136" t="str">
        <f t="shared" ca="1" si="14"/>
        <v>#N/A</v>
      </c>
      <c r="B140" s="136" t="str">
        <f t="shared" ca="1" si="11"/>
        <v>#N/A</v>
      </c>
      <c r="C140" s="101" t="str">
        <f ca="1">IF(Swap!$B$26="Standard",B140,A140)</f>
        <v>#N/A</v>
      </c>
      <c r="D140" s="147">
        <v>0</v>
      </c>
      <c r="E140" s="112">
        <f t="shared" ca="1" si="18"/>
        <v>0</v>
      </c>
      <c r="F140" s="112">
        <f t="shared" ca="1" si="15"/>
        <v>0</v>
      </c>
      <c r="G140" s="112">
        <f t="shared" ca="1" si="16"/>
        <v>0</v>
      </c>
      <c r="H140" s="153" t="str">
        <f t="shared" ca="1" si="19"/>
        <v>#NA</v>
      </c>
      <c r="I140" s="168">
        <f ca="1">IF(C140="#N/A",0,_xll.HLV5r3.Financial.Cache.GetValueFromBase( Stream1DiscountCurve, Swap!$F$4, Stream1!C140))</f>
        <v>0</v>
      </c>
      <c r="J140" s="117" t="str">
        <f ca="1">IF(C140="#N/A","#N/A",_xll.HLV5r3.Financial.Cache.GetValueFromBase(Stream1ForwardCurve, Swap!$F$4, A140))</f>
        <v>#N/A</v>
      </c>
      <c r="K140" s="169" t="str">
        <f ca="1">IF(C140="#N/A","#N/A",_xll.HLV5r3.Financial.Cache.GetValueFromBase(Stream1ForwardCurve, Swap!$F$4, B140))</f>
        <v>#N/A</v>
      </c>
      <c r="L140" s="115">
        <f ca="1" xml:space="preserve"> IF(G140=0,0,_xll.HLV5r3.Financial.Cache.YearFraction( A140, B140,Swap!$B$25))</f>
        <v>0</v>
      </c>
      <c r="M140" s="143">
        <f ca="1">IF(I140=0,0,IF($B$2="Fixed",Stream1FixedRate,_xll.HLV5r3.Analytics.Rates.GetRate(J140,K140,L140)+Stream1Spread))</f>
        <v>0</v>
      </c>
      <c r="N140" s="155">
        <f ca="1">IF(L140="#N/A",L140,IF(Swap!$B$26="Standard",L140*G140*M140,L140*G140*M140/(1+Stream1!L140*Stream1!M140)))</f>
        <v>0</v>
      </c>
      <c r="O140" s="155">
        <f t="shared" ca="1" si="12"/>
        <v>0</v>
      </c>
      <c r="P140" s="177">
        <f>IF($B$2="FIXED",0,IF(Swap!$B$26="FRA",_xll.HLV5r3.Analytics.Swaps.Delta0DiscountCoupon(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Stream1CompoundingPeriod, U140))</f>
        <v>0</v>
      </c>
      <c r="R140" s="48"/>
      <c r="S140" s="210" t="str">
        <f t="shared" ca="1" si="20"/>
        <v>#N/A</v>
      </c>
      <c r="T140" s="101" t="e">
        <f t="shared" ca="1" si="21"/>
        <v>#N/A</v>
      </c>
      <c r="U140" s="173">
        <f ca="1">IF(C140="#N/A",0,_xll.HLV5r3.Financial.Cache.YearFraction( ValuationDate, C140,"ACT/365.FIXED"))</f>
        <v>0</v>
      </c>
      <c r="V140" s="48"/>
      <c r="X140" s="207" t="e">
        <f ca="1"/>
        <v>#N/A</v>
      </c>
    </row>
    <row r="141" spans="1:24">
      <c r="A141" s="136" t="str">
        <f t="shared" ca="1" si="14"/>
        <v>#N/A</v>
      </c>
      <c r="B141" s="136" t="str">
        <f t="shared" ca="1" si="11"/>
        <v>#N/A</v>
      </c>
      <c r="C141" s="101" t="str">
        <f ca="1">IF(Swap!$B$26="Standard",B141,A141)</f>
        <v>#N/A</v>
      </c>
      <c r="D141" s="147">
        <v>0</v>
      </c>
      <c r="E141" s="112">
        <f t="shared" ca="1" si="18"/>
        <v>0</v>
      </c>
      <c r="F141" s="112">
        <f t="shared" ca="1" si="15"/>
        <v>0</v>
      </c>
      <c r="G141" s="112">
        <f t="shared" ca="1" si="16"/>
        <v>0</v>
      </c>
      <c r="H141" s="153" t="str">
        <f t="shared" ca="1" si="19"/>
        <v>#NA</v>
      </c>
      <c r="I141" s="168">
        <f ca="1">IF(C141="#N/A",0,_xll.HLV5r3.Financial.Cache.GetValueFromBase( Stream1DiscountCurve, Swap!$F$4, Stream1!C141))</f>
        <v>0</v>
      </c>
      <c r="J141" s="117" t="str">
        <f ca="1">IF(C141="#N/A","#N/A",_xll.HLV5r3.Financial.Cache.GetValueFromBase(Stream1ForwardCurve, Swap!$F$4, A141))</f>
        <v>#N/A</v>
      </c>
      <c r="K141" s="169" t="str">
        <f ca="1">IF(C141="#N/A","#N/A",_xll.HLV5r3.Financial.Cache.GetValueFromBase(Stream1ForwardCurve, Swap!$F$4, B141))</f>
        <v>#N/A</v>
      </c>
      <c r="L141" s="115">
        <f ca="1" xml:space="preserve"> IF(G141=0,0,_xll.HLV5r3.Financial.Cache.YearFraction( A141, B141,Swap!$B$25))</f>
        <v>0</v>
      </c>
      <c r="M141" s="143">
        <f ca="1">IF(I141=0,0,IF($B$2="Fixed",Stream1FixedRate,_xll.HLV5r3.Analytics.Rates.GetRate(J141,K141,L141)+Stream1Spread))</f>
        <v>0</v>
      </c>
      <c r="N141" s="155">
        <f ca="1">IF(L141="#N/A",L141,IF(Swap!$B$26="Standard",L141*G141*M141,L141*G141*M141/(1+Stream1!L141*Stream1!M141)))</f>
        <v>0</v>
      </c>
      <c r="O141" s="155">
        <f t="shared" ca="1" si="12"/>
        <v>0</v>
      </c>
      <c r="P141" s="177">
        <f>IF($B$2="FIXED",0,IF(Swap!$B$26="FRA",_xll.HLV5r3.Analytics.Swaps.Delta0DiscountCoupon(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Stream1CompoundingPeriod, U141))</f>
        <v>0</v>
      </c>
      <c r="R141" s="48"/>
      <c r="S141" s="210" t="str">
        <f t="shared" ca="1" si="20"/>
        <v>#N/A</v>
      </c>
      <c r="T141" s="101" t="e">
        <f t="shared" ca="1" si="21"/>
        <v>#N/A</v>
      </c>
      <c r="U141" s="173">
        <f ca="1">IF(C141="#N/A",0,_xll.HLV5r3.Financial.Cache.YearFraction( ValuationDate, C141,"ACT/365.FIXED"))</f>
        <v>0</v>
      </c>
      <c r="V141" s="48"/>
      <c r="X141" s="207" t="e">
        <f ca="1"/>
        <v>#N/A</v>
      </c>
    </row>
    <row r="142" spans="1:24">
      <c r="A142" s="136" t="str">
        <f t="shared" ca="1" si="14"/>
        <v>#N/A</v>
      </c>
      <c r="B142" s="136" t="str">
        <f t="shared" ca="1" si="11"/>
        <v>#N/A</v>
      </c>
      <c r="C142" s="101" t="str">
        <f ca="1">IF(Swap!$B$26="Standard",B142,A142)</f>
        <v>#N/A</v>
      </c>
      <c r="D142" s="147">
        <v>0</v>
      </c>
      <c r="E142" s="112">
        <f t="shared" ca="1" si="18"/>
        <v>0</v>
      </c>
      <c r="F142" s="112">
        <f t="shared" ca="1" si="15"/>
        <v>0</v>
      </c>
      <c r="G142" s="112">
        <f t="shared" ca="1" si="16"/>
        <v>0</v>
      </c>
      <c r="H142" s="153" t="str">
        <f t="shared" ca="1" si="19"/>
        <v>#NA</v>
      </c>
      <c r="I142" s="168">
        <f ca="1">IF(C142="#N/A",0,_xll.HLV5r3.Financial.Cache.GetValueFromBase( Stream1DiscountCurve, Swap!$F$4, Stream1!C142))</f>
        <v>0</v>
      </c>
      <c r="J142" s="117" t="str">
        <f ca="1">IF(C142="#N/A","#N/A",_xll.HLV5r3.Financial.Cache.GetValueFromBase(Stream1ForwardCurve, Swap!$F$4, A142))</f>
        <v>#N/A</v>
      </c>
      <c r="K142" s="169" t="str">
        <f ca="1">IF(C142="#N/A","#N/A",_xll.HLV5r3.Financial.Cache.GetValueFromBase(Stream1ForwardCurve, Swap!$F$4, B142))</f>
        <v>#N/A</v>
      </c>
      <c r="L142" s="115">
        <f ca="1" xml:space="preserve"> IF(G142=0,0,_xll.HLV5r3.Financial.Cache.YearFraction( A142, B142,Swap!$B$25))</f>
        <v>0</v>
      </c>
      <c r="M142" s="143">
        <f ca="1">IF(I142=0,0,IF($B$2="Fixed",Stream1FixedRate,_xll.HLV5r3.Analytics.Rates.GetRate(J142,K142,L142)+Stream1Spread))</f>
        <v>0</v>
      </c>
      <c r="N142" s="155">
        <f ca="1">IF(L142="#N/A",L142,IF(Swap!$B$26="Standard",L142*G142*M142,L142*G142*M142/(1+Stream1!L142*Stream1!M142)))</f>
        <v>0</v>
      </c>
      <c r="O142" s="155">
        <f t="shared" ca="1" si="12"/>
        <v>0</v>
      </c>
      <c r="P142" s="177">
        <f>IF($B$2="FIXED",0,IF(Swap!$B$26="FRA",_xll.HLV5r3.Analytics.Swaps.Delta0DiscountCoupon(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Stream1CompoundingPeriod, U142))</f>
        <v>0</v>
      </c>
      <c r="R142" s="48"/>
      <c r="S142" s="210" t="str">
        <f t="shared" ca="1" si="20"/>
        <v>#N/A</v>
      </c>
      <c r="T142" s="101" t="e">
        <f t="shared" ca="1" si="21"/>
        <v>#N/A</v>
      </c>
      <c r="U142" s="173">
        <f ca="1">IF(C142="#N/A",0,_xll.HLV5r3.Financial.Cache.YearFraction( ValuationDate, C142,"ACT/365.FIXED"))</f>
        <v>0</v>
      </c>
      <c r="V142" s="48"/>
      <c r="X142" s="207" t="e">
        <f ca="1"/>
        <v>#N/A</v>
      </c>
    </row>
    <row r="143" spans="1:24">
      <c r="A143" s="136" t="str">
        <f t="shared" ca="1" si="14"/>
        <v>#N/A</v>
      </c>
      <c r="B143" s="136" t="str">
        <f t="shared" ca="1" si="11"/>
        <v>#N/A</v>
      </c>
      <c r="C143" s="101" t="str">
        <f ca="1">IF(Swap!$B$26="Standard",B143,A143)</f>
        <v>#N/A</v>
      </c>
      <c r="D143" s="147">
        <v>0</v>
      </c>
      <c r="E143" s="112">
        <f t="shared" ca="1" si="18"/>
        <v>0</v>
      </c>
      <c r="F143" s="112">
        <f t="shared" ca="1" si="15"/>
        <v>0</v>
      </c>
      <c r="G143" s="112">
        <f t="shared" ca="1" si="16"/>
        <v>0</v>
      </c>
      <c r="H143" s="153" t="str">
        <f t="shared" ca="1" si="19"/>
        <v>#NA</v>
      </c>
      <c r="I143" s="168">
        <f ca="1">IF(C143="#N/A",0,_xll.HLV5r3.Financial.Cache.GetValueFromBase( Stream1DiscountCurve, Swap!$F$4, Stream1!C143))</f>
        <v>0</v>
      </c>
      <c r="J143" s="117" t="str">
        <f ca="1">IF(C143="#N/A","#N/A",_xll.HLV5r3.Financial.Cache.GetValueFromBase(Stream1ForwardCurve, Swap!$F$4, A143))</f>
        <v>#N/A</v>
      </c>
      <c r="K143" s="169" t="str">
        <f ca="1">IF(C143="#N/A","#N/A",_xll.HLV5r3.Financial.Cache.GetValueFromBase(Stream1ForwardCurve, Swap!$F$4, B143))</f>
        <v>#N/A</v>
      </c>
      <c r="L143" s="115">
        <f ca="1" xml:space="preserve"> IF(G143=0,0,_xll.HLV5r3.Financial.Cache.YearFraction( A143, B143,Swap!$B$25))</f>
        <v>0</v>
      </c>
      <c r="M143" s="143">
        <f ca="1">IF(I143=0,0,IF($B$2="Fixed",Stream1FixedRate,_xll.HLV5r3.Analytics.Rates.GetRate(J143,K143,L143)+Stream1Spread))</f>
        <v>0</v>
      </c>
      <c r="N143" s="155">
        <f ca="1">IF(L143="#N/A",L143,IF(Swap!$B$26="Standard",L143*G143*M143,L143*G143*M143/(1+Stream1!L143*Stream1!M143)))</f>
        <v>0</v>
      </c>
      <c r="O143" s="155">
        <f t="shared" ca="1" si="12"/>
        <v>0</v>
      </c>
      <c r="P143" s="177">
        <f>IF($B$2="FIXED",0,IF(Swap!$B$26="FRA",_xll.HLV5r3.Analytics.Swaps.Delta0DiscountCoupon(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Stream1CompoundingPeriod, U143))</f>
        <v>0</v>
      </c>
      <c r="R143" s="48"/>
      <c r="S143" s="210" t="str">
        <f t="shared" ca="1" si="20"/>
        <v>#N/A</v>
      </c>
      <c r="T143" s="101" t="e">
        <f t="shared" ca="1" si="21"/>
        <v>#N/A</v>
      </c>
      <c r="U143" s="173">
        <f ca="1">IF(C143="#N/A",0,_xll.HLV5r3.Financial.Cache.YearFraction( ValuationDate, C143,"ACT/365.FIXED"))</f>
        <v>0</v>
      </c>
      <c r="V143" s="48"/>
      <c r="X143" s="207" t="e">
        <f ca="1"/>
        <v>#N/A</v>
      </c>
    </row>
    <row r="144" spans="1:24">
      <c r="A144" s="136" t="str">
        <f t="shared" ca="1" si="14"/>
        <v>#N/A</v>
      </c>
      <c r="B144" s="136" t="str">
        <f t="shared" ca="1" si="11"/>
        <v>#N/A</v>
      </c>
      <c r="C144" s="101" t="str">
        <f ca="1">IF(Swap!$B$26="Standard",B144,A144)</f>
        <v>#N/A</v>
      </c>
      <c r="D144" s="147">
        <v>0</v>
      </c>
      <c r="E144" s="112">
        <f t="shared" ca="1" si="18"/>
        <v>0</v>
      </c>
      <c r="F144" s="112">
        <f t="shared" ca="1" si="15"/>
        <v>0</v>
      </c>
      <c r="G144" s="112">
        <f t="shared" ca="1" si="16"/>
        <v>0</v>
      </c>
      <c r="H144" s="153" t="str">
        <f t="shared" ca="1" si="19"/>
        <v>#NA</v>
      </c>
      <c r="I144" s="168">
        <f ca="1">IF(C144="#N/A",0,_xll.HLV5r3.Financial.Cache.GetValueFromBase( Stream1DiscountCurve, Swap!$F$4, Stream1!C144))</f>
        <v>0</v>
      </c>
      <c r="J144" s="117" t="str">
        <f ca="1">IF(C144="#N/A","#N/A",_xll.HLV5r3.Financial.Cache.GetValueFromBase(Stream1ForwardCurve, Swap!$F$4, A144))</f>
        <v>#N/A</v>
      </c>
      <c r="K144" s="169" t="str">
        <f ca="1">IF(C144="#N/A","#N/A",_xll.HLV5r3.Financial.Cache.GetValueFromBase(Stream1ForwardCurve, Swap!$F$4, B144))</f>
        <v>#N/A</v>
      </c>
      <c r="L144" s="115">
        <f ca="1" xml:space="preserve"> IF(G144=0,0,_xll.HLV5r3.Financial.Cache.YearFraction( A144, B144,Swap!$B$25))</f>
        <v>0</v>
      </c>
      <c r="M144" s="143">
        <f ca="1">IF(I144=0,0,IF($B$2="Fixed",Stream1FixedRate,_xll.HLV5r3.Analytics.Rates.GetRate(J144,K144,L144)+Stream1Spread))</f>
        <v>0</v>
      </c>
      <c r="N144" s="155">
        <f ca="1">IF(L144="#N/A",L144,IF(Swap!$B$26="Standard",L144*G144*M144,L144*G144*M144/(1+Stream1!L144*Stream1!M144)))</f>
        <v>0</v>
      </c>
      <c r="O144" s="155">
        <f t="shared" ca="1" si="12"/>
        <v>0</v>
      </c>
      <c r="P144" s="177">
        <f>IF($B$2="FIXED",0,IF(Swap!$B$26="FRA",_xll.HLV5r3.Analytics.Swaps.Delta0DiscountCoupon(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Stream1CompoundingPeriod, U144))</f>
        <v>0</v>
      </c>
      <c r="R144" s="48"/>
      <c r="S144" s="210" t="str">
        <f t="shared" ca="1" si="20"/>
        <v>#N/A</v>
      </c>
      <c r="T144" s="101" t="e">
        <f t="shared" ca="1" si="21"/>
        <v>#N/A</v>
      </c>
      <c r="U144" s="173">
        <f ca="1">IF(C144="#N/A",0,_xll.HLV5r3.Financial.Cache.YearFraction( ValuationDate, C144,"ACT/365.FIXED"))</f>
        <v>0</v>
      </c>
      <c r="V144" s="48"/>
      <c r="X144" s="207" t="e">
        <f ca="1"/>
        <v>#N/A</v>
      </c>
    </row>
    <row r="145" spans="1:24">
      <c r="A145" s="136" t="str">
        <f t="shared" ca="1" si="14"/>
        <v>#N/A</v>
      </c>
      <c r="B145" s="136" t="str">
        <f t="shared" ref="B145:B150" ca="1" si="22">IF(A145="#N/A", "#N/A",IF(A146="#N/A",$C$13,A146))</f>
        <v>#N/A</v>
      </c>
      <c r="C145" s="101" t="str">
        <f ca="1">IF(Swap!$B$26="Standard",B145,A145)</f>
        <v>#N/A</v>
      </c>
      <c r="D145" s="147">
        <v>0</v>
      </c>
      <c r="E145" s="112">
        <f t="shared" ca="1" si="18"/>
        <v>0</v>
      </c>
      <c r="F145" s="112">
        <f t="shared" ca="1" si="15"/>
        <v>0</v>
      </c>
      <c r="G145" s="112">
        <f t="shared" ca="1" si="16"/>
        <v>0</v>
      </c>
      <c r="H145" s="153" t="str">
        <f t="shared" ca="1" si="19"/>
        <v>#NA</v>
      </c>
      <c r="I145" s="168">
        <f ca="1">IF(C145="#N/A",0,_xll.HLV5r3.Financial.Cache.GetValueFromBase( Stream1DiscountCurve, Swap!$F$4, Stream1!C145))</f>
        <v>0</v>
      </c>
      <c r="J145" s="117" t="str">
        <f ca="1">IF(C145="#N/A","#N/A",_xll.HLV5r3.Financial.Cache.GetValueFromBase(Stream1ForwardCurve, Swap!$F$4, A145))</f>
        <v>#N/A</v>
      </c>
      <c r="K145" s="169" t="str">
        <f ca="1">IF(C145="#N/A","#N/A",_xll.HLV5r3.Financial.Cache.GetValueFromBase(Stream1ForwardCurve, Swap!$F$4, B145))</f>
        <v>#N/A</v>
      </c>
      <c r="L145" s="115">
        <f ca="1" xml:space="preserve"> IF(G145=0,0,_xll.HLV5r3.Financial.Cache.YearFraction( A145, B145,Swap!$B$25))</f>
        <v>0</v>
      </c>
      <c r="M145" s="143">
        <f ca="1">IF(I145=0,0,IF($B$2="Fixed",Stream1FixedRate,_xll.HLV5r3.Analytics.Rates.GetRate(J145,K145,L145)+Stream1Spread))</f>
        <v>0</v>
      </c>
      <c r="N145" s="155">
        <f ca="1">IF(L145="#N/A",L145,IF(Swap!$B$26="Standard",L145*G145*M145,L145*G145*M145/(1+Stream1!L145*Stream1!M145)))</f>
        <v>0</v>
      </c>
      <c r="O145" s="155">
        <f t="shared" ref="O145:O150" ca="1" si="23">IF(N145="#N/A",N145,N145*I145)</f>
        <v>0</v>
      </c>
      <c r="P145" s="177">
        <f>IF($B$2="FIXED",0,IF(Swap!$B$26="FRA",_xll.HLV5r3.Analytics.Swaps.Delta0DiscountCoupon(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Stream1CompoundingPeriod, U145))</f>
        <v>0</v>
      </c>
      <c r="R145" s="48"/>
      <c r="S145" s="210" t="str">
        <f t="shared" ca="1" si="20"/>
        <v>#N/A</v>
      </c>
      <c r="T145" s="101" t="e">
        <f t="shared" ca="1" si="21"/>
        <v>#N/A</v>
      </c>
      <c r="U145" s="173">
        <f ca="1">IF(C145="#N/A",0,_xll.HLV5r3.Financial.Cache.YearFraction( ValuationDate, C145,"ACT/365.FIXED"))</f>
        <v>0</v>
      </c>
      <c r="V145" s="48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2"/>
        <v>#N/A</v>
      </c>
      <c r="C146" s="101" t="str">
        <f ca="1">IF(Swap!$B$26="Standard",B146,A146)</f>
        <v>#N/A</v>
      </c>
      <c r="D146" s="147">
        <v>0</v>
      </c>
      <c r="E146" s="112">
        <f t="shared" ca="1" si="18"/>
        <v>0</v>
      </c>
      <c r="F146" s="112">
        <f t="shared" ref="F146:F150" ca="1" si="24">E146</f>
        <v>0</v>
      </c>
      <c r="G146" s="112">
        <f ca="1">F146</f>
        <v>0</v>
      </c>
      <c r="H146" s="153" t="str">
        <f t="shared" ca="1" si="19"/>
        <v>#NA</v>
      </c>
      <c r="I146" s="168">
        <f ca="1">IF(C146="#N/A",0,_xll.HLV5r3.Financial.Cache.GetValueFromBase( Stream1DiscountCurve, Swap!$F$4, Stream1!C146))</f>
        <v>0</v>
      </c>
      <c r="J146" s="117" t="str">
        <f ca="1">IF(C146="#N/A","#N/A",_xll.HLV5r3.Financial.Cache.GetValueFromBase(Stream1ForwardCurve, Swap!$F$4, A146))</f>
        <v>#N/A</v>
      </c>
      <c r="K146" s="169" t="str">
        <f ca="1">IF(C146="#N/A","#N/A",_xll.HLV5r3.Financial.Cache.GetValueFromBase(Stream1ForwardCurve, Swap!$F$4, B146))</f>
        <v>#N/A</v>
      </c>
      <c r="L146" s="115">
        <f ca="1" xml:space="preserve"> IF(G146=0,0,_xll.HLV5r3.Financial.Cache.YearFraction( A146, B146,Swap!$B$25))</f>
        <v>0</v>
      </c>
      <c r="M146" s="143">
        <f ca="1">IF(I146=0,0,IF($B$2="Fixed",Stream1FixedRate,_xll.HLV5r3.Analytics.Rates.GetRate(J146,K146,L146)+Stream1Spread))</f>
        <v>0</v>
      </c>
      <c r="N146" s="155">
        <f ca="1">IF(L146="#N/A",L146,IF(Swap!$B$26="Standard",L146*G146*M146,L146*G146*M146/(1+Stream1!L146*Stream1!M146)))</f>
        <v>0</v>
      </c>
      <c r="O146" s="155">
        <f t="shared" ca="1" si="23"/>
        <v>0</v>
      </c>
      <c r="P146" s="177">
        <f>IF($B$2="FIXED",0,IF(Swap!$B$26="FRA",_xll.HLV5r3.Analytics.Swaps.Delta0DiscountCoupon(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Stream1CompoundingPeriod, U146))</f>
        <v>0</v>
      </c>
      <c r="R146" s="48"/>
      <c r="S146" s="210" t="str">
        <f t="shared" ca="1" si="20"/>
        <v>#N/A</v>
      </c>
      <c r="T146" s="101" t="e">
        <f t="shared" ca="1" si="21"/>
        <v>#N/A</v>
      </c>
      <c r="U146" s="173">
        <f ca="1">IF(C146="#N/A",0,_xll.HLV5r3.Financial.Cache.YearFraction( ValuationDate, C146,"ACT/365.FIXED"))</f>
        <v>0</v>
      </c>
      <c r="V146" s="48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2"/>
        <v>#N/A</v>
      </c>
      <c r="C147" s="101" t="str">
        <f ca="1">IF(Swap!$B$26="Standard",B147,A147)</f>
        <v>#N/A</v>
      </c>
      <c r="D147" s="147">
        <v>0</v>
      </c>
      <c r="E147" s="112">
        <f t="shared" ca="1" si="18"/>
        <v>0</v>
      </c>
      <c r="F147" s="112">
        <f t="shared" ca="1" si="24"/>
        <v>0</v>
      </c>
      <c r="G147" s="112">
        <f ca="1">F147</f>
        <v>0</v>
      </c>
      <c r="H147" s="153" t="str">
        <f t="shared" ca="1" si="19"/>
        <v>#NA</v>
      </c>
      <c r="I147" s="168">
        <f ca="1">IF(C147="#N/A",0,_xll.HLV5r3.Financial.Cache.GetValueFromBase( Stream1DiscountCurve, Swap!$F$4, Stream1!C147))</f>
        <v>0</v>
      </c>
      <c r="J147" s="117" t="str">
        <f ca="1">IF(C147="#N/A","#N/A",_xll.HLV5r3.Financial.Cache.GetValueFromBase(Stream1ForwardCurve, Swap!$F$4, A147))</f>
        <v>#N/A</v>
      </c>
      <c r="K147" s="169" t="str">
        <f ca="1">IF(C147="#N/A","#N/A",_xll.HLV5r3.Financial.Cache.GetValueFromBase(Stream1ForwardCurve, Swap!$F$4, B147))</f>
        <v>#N/A</v>
      </c>
      <c r="L147" s="115">
        <f ca="1" xml:space="preserve"> IF(G147=0,0,_xll.HLV5r3.Financial.Cache.YearFraction( A147, B147,Swap!$B$25))</f>
        <v>0</v>
      </c>
      <c r="M147" s="143">
        <f ca="1">IF(I147=0,0,IF($B$2="Fixed",Stream1FixedRate,_xll.HLV5r3.Analytics.Rates.GetRate(J147,K147,L147)+Stream1Spread))</f>
        <v>0</v>
      </c>
      <c r="N147" s="155">
        <f ca="1">IF(L147="#N/A",L147,IF(Swap!$B$26="Standard",L147*G147*M147,L147*G147*M147/(1+Stream1!L147*Stream1!M147)))</f>
        <v>0</v>
      </c>
      <c r="O147" s="155">
        <f t="shared" ca="1" si="23"/>
        <v>0</v>
      </c>
      <c r="P147" s="177">
        <f>IF($B$2="FIXED",0,IF(Swap!$B$26="FRA",_xll.HLV5r3.Analytics.Swaps.Delta0DiscountCoupon(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Stream1CompoundingPeriod, U147))</f>
        <v>0</v>
      </c>
      <c r="R147" s="48"/>
      <c r="S147" s="210" t="str">
        <f t="shared" ca="1" si="20"/>
        <v>#N/A</v>
      </c>
      <c r="T147" s="101" t="e">
        <f t="shared" ca="1" si="21"/>
        <v>#N/A</v>
      </c>
      <c r="U147" s="173">
        <f ca="1">IF(C147="#N/A",0,_xll.HLV5r3.Financial.Cache.YearFraction( ValuationDate, C147,"ACT/365.FIXED"))</f>
        <v>0</v>
      </c>
      <c r="V147" s="48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2"/>
        <v>#N/A</v>
      </c>
      <c r="C148" s="101" t="str">
        <f ca="1">IF(Swap!$B$26="Standard",B148,A148)</f>
        <v>#N/A</v>
      </c>
      <c r="D148" s="147">
        <v>0</v>
      </c>
      <c r="E148" s="112">
        <f t="shared" ca="1" si="18"/>
        <v>0</v>
      </c>
      <c r="F148" s="112">
        <f t="shared" ca="1" si="24"/>
        <v>0</v>
      </c>
      <c r="G148" s="112">
        <f ca="1">F148</f>
        <v>0</v>
      </c>
      <c r="H148" s="153" t="str">
        <f t="shared" ca="1" si="19"/>
        <v>#NA</v>
      </c>
      <c r="I148" s="168">
        <f ca="1">IF(C148="#N/A",0,_xll.HLV5r3.Financial.Cache.GetValueFromBase( Stream1DiscountCurve, Swap!$F$4, Stream1!C148))</f>
        <v>0</v>
      </c>
      <c r="J148" s="117" t="str">
        <f ca="1">IF(C148="#N/A","#N/A",_xll.HLV5r3.Financial.Cache.GetValueFromBase(Stream1ForwardCurve, Swap!$F$4, A148))</f>
        <v>#N/A</v>
      </c>
      <c r="K148" s="169" t="str">
        <f ca="1">IF(C148="#N/A","#N/A",_xll.HLV5r3.Financial.Cache.GetValueFromBase(Stream1ForwardCurve, Swap!$F$4, B148))</f>
        <v>#N/A</v>
      </c>
      <c r="L148" s="115">
        <f ca="1" xml:space="preserve"> IF(G148=0,0,_xll.HLV5r3.Financial.Cache.YearFraction( A148, B148,Swap!$B$25))</f>
        <v>0</v>
      </c>
      <c r="M148" s="143">
        <f ca="1">IF(I148=0,0,IF($B$2="Fixed",Stream1FixedRate,_xll.HLV5r3.Analytics.Rates.GetRate(J148,K148,L148)+Stream1Spread))</f>
        <v>0</v>
      </c>
      <c r="N148" s="155">
        <f ca="1">IF(L148="#N/A",L148,IF(Swap!$B$26="Standard",L148*G148*M148,L148*G148*M148/(1+Stream1!L148*Stream1!M148)))</f>
        <v>0</v>
      </c>
      <c r="O148" s="155">
        <f t="shared" ca="1" si="23"/>
        <v>0</v>
      </c>
      <c r="P148" s="177">
        <f>IF($B$2="FIXED",0,IF(Swap!$B$26="FRA",_xll.HLV5r3.Analytics.Swaps.Delta0DiscountCoupon(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Stream1CompoundingPeriod, U148))</f>
        <v>0</v>
      </c>
      <c r="R148" s="48"/>
      <c r="S148" s="210" t="str">
        <f t="shared" ca="1" si="20"/>
        <v>#N/A</v>
      </c>
      <c r="T148" s="101" t="e">
        <f t="shared" ca="1" si="21"/>
        <v>#N/A</v>
      </c>
      <c r="U148" s="173">
        <f ca="1">IF(C148="#N/A",0,_xll.HLV5r3.Financial.Cache.YearFraction( ValuationDate, C148,"ACT/365.FIXED"))</f>
        <v>0</v>
      </c>
      <c r="V148" s="48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2"/>
        <v>#N/A</v>
      </c>
      <c r="C149" s="101" t="str">
        <f ca="1">IF(Swap!$B$26="Standard",B149,A149)</f>
        <v>#N/A</v>
      </c>
      <c r="D149" s="147">
        <v>0</v>
      </c>
      <c r="E149" s="112">
        <f t="shared" ca="1" si="18"/>
        <v>0</v>
      </c>
      <c r="F149" s="112">
        <f t="shared" ca="1" si="24"/>
        <v>0</v>
      </c>
      <c r="G149" s="112">
        <f ca="1">F149</f>
        <v>0</v>
      </c>
      <c r="H149" s="153" t="str">
        <f t="shared" ca="1" si="19"/>
        <v>#NA</v>
      </c>
      <c r="I149" s="168">
        <f ca="1">IF(C149="#N/A",0,_xll.HLV5r3.Financial.Cache.GetValueFromBase( Stream1DiscountCurve, Swap!$F$4, Stream1!C149))</f>
        <v>0</v>
      </c>
      <c r="J149" s="117" t="str">
        <f ca="1">IF(C149="#N/A","#N/A",_xll.HLV5r3.Financial.Cache.GetValueFromBase(Stream1ForwardCurve, Swap!$F$4, A149))</f>
        <v>#N/A</v>
      </c>
      <c r="K149" s="169" t="str">
        <f ca="1">IF(C149="#N/A","#N/A",_xll.HLV5r3.Financial.Cache.GetValueFromBase(Stream1ForwardCurve, Swap!$F$4, B149))</f>
        <v>#N/A</v>
      </c>
      <c r="L149" s="115">
        <f ca="1" xml:space="preserve"> IF(G149=0,0,_xll.HLV5r3.Financial.Cache.YearFraction( A149, B149,Swap!$B$25))</f>
        <v>0</v>
      </c>
      <c r="M149" s="143">
        <f ca="1">IF(I149=0,0,IF($B$2="Fixed",Stream1FixedRate,_xll.HLV5r3.Analytics.Rates.GetRate(J149,K149,L149)+Stream1Spread))</f>
        <v>0</v>
      </c>
      <c r="N149" s="155">
        <f ca="1">IF(L149="#N/A",L149,IF(Swap!$B$26="Standard",L149*G149*M149,L149*G149*M149/(1+Stream1!L149*Stream1!M149)))</f>
        <v>0</v>
      </c>
      <c r="O149" s="155">
        <f t="shared" ca="1" si="23"/>
        <v>0</v>
      </c>
      <c r="P149" s="177">
        <f>IF($B$2="FIXED",0,IF(Swap!$B$26="FRA",_xll.HLV5r3.Analytics.Swaps.Delta0DiscountCoupon(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Stream1CompoundingPeriod, U149))</f>
        <v>0</v>
      </c>
      <c r="R149" s="48"/>
      <c r="S149" s="210" t="str">
        <f t="shared" ca="1" si="20"/>
        <v>#N/A</v>
      </c>
      <c r="T149" s="101" t="e">
        <f t="shared" ca="1" si="21"/>
        <v>#N/A</v>
      </c>
      <c r="U149" s="173">
        <f ca="1">IF(C149="#N/A",0,_xll.HLV5r3.Financial.Cache.YearFraction( ValuationDate, C149,"ACT/365.FIXED"))</f>
        <v>0</v>
      </c>
      <c r="V149" s="48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2"/>
        <v>#N/A</v>
      </c>
      <c r="C150" s="101" t="str">
        <f ca="1">IF(Swap!$B$26="Standard",B150,A150)</f>
        <v>#N/A</v>
      </c>
      <c r="D150" s="147">
        <v>0</v>
      </c>
      <c r="E150" s="112">
        <f t="shared" ca="1" si="18"/>
        <v>0</v>
      </c>
      <c r="F150" s="112">
        <f t="shared" ca="1" si="24"/>
        <v>0</v>
      </c>
      <c r="G150" s="112">
        <f ca="1">F150</f>
        <v>0</v>
      </c>
      <c r="H150" s="153" t="str">
        <f t="shared" ca="1" si="19"/>
        <v>#NA</v>
      </c>
      <c r="I150" s="168">
        <f ca="1">IF(C150="#N/A",0,_xll.HLV5r3.Financial.Cache.GetValueFromBase( Stream1DiscountCurve, Swap!$F$4, Stream1!C150))</f>
        <v>0</v>
      </c>
      <c r="J150" s="117" t="str">
        <f ca="1">IF(C150="#N/A","#N/A",_xll.HLV5r3.Financial.Cache.GetValueFromBase(Stream1ForwardCurve, Swap!$F$4, A150))</f>
        <v>#N/A</v>
      </c>
      <c r="K150" s="169" t="str">
        <f ca="1">IF(C150="#N/A","#N/A",_xll.HLV5r3.Financial.Cache.GetValueFromBase(Stream1ForwardCurve, Swap!$F$4, B150))</f>
        <v>#N/A</v>
      </c>
      <c r="L150" s="115">
        <f ca="1" xml:space="preserve"> IF(G150=0,0,_xll.HLV5r3.Financial.Cache.YearFraction( A150, B150,Swap!$B$25))</f>
        <v>0</v>
      </c>
      <c r="M150" s="143">
        <f ca="1">IF(I150=0,0,IF($B$2="Fixed",Stream1FixedRate,_xll.HLV5r3.Analytics.Rates.GetRate(J150,K150,L150)+Stream1Spread))</f>
        <v>0</v>
      </c>
      <c r="N150" s="155">
        <f ca="1">IF(L150="#N/A",L150,IF(Swap!$B$26="Standard",L150*G150*M150,L150*G150*M150/(1+Stream1!L150*Stream1!M150)))</f>
        <v>0</v>
      </c>
      <c r="O150" s="155">
        <f t="shared" ca="1" si="23"/>
        <v>0</v>
      </c>
      <c r="P150" s="177">
        <f>IF($B$2="FIXED",0,IF(Swap!$B$26="FRA",_xll.HLV5r3.Analytics.Swaps.Delta0DiscountCoupon(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Stream1CompoundingPeriod, U150))</f>
        <v>0</v>
      </c>
      <c r="R150" s="48"/>
      <c r="S150" s="210" t="str">
        <f t="shared" ca="1" si="20"/>
        <v>#N/A</v>
      </c>
      <c r="T150" s="101" t="e">
        <f t="shared" ca="1" si="21"/>
        <v>#N/A</v>
      </c>
      <c r="U150" s="173">
        <f ca="1">IF(C150="#N/A",0,_xll.HLV5r3.Financial.Cache.YearFraction( ValuationDate, C150,"ACT/365.FIXED"))</f>
        <v>0</v>
      </c>
      <c r="V150" s="48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scale="5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F151"/>
  <sheetViews>
    <sheetView showGridLines="0" workbookViewId="0">
      <selection activeCell="C9" sqref="C9"/>
    </sheetView>
  </sheetViews>
  <sheetFormatPr defaultColWidth="9.140625" defaultRowHeight="11.25"/>
  <cols>
    <col min="1" max="1" width="15" style="140" bestFit="1" customWidth="1"/>
    <col min="2" max="2" width="14.140625" style="56" bestFit="1" customWidth="1"/>
    <col min="3" max="3" width="24" style="56" bestFit="1" customWidth="1"/>
    <col min="4" max="4" width="10" style="56" bestFit="1" customWidth="1"/>
    <col min="5" max="5" width="10.5703125" style="56" bestFit="1" customWidth="1"/>
    <col min="6" max="6" width="13.85546875" style="56" customWidth="1"/>
    <col min="7" max="7" width="15.85546875" style="56" bestFit="1" customWidth="1"/>
    <col min="8" max="8" width="11" style="56" bestFit="1" customWidth="1"/>
    <col min="9" max="11" width="7.42578125" style="57" bestFit="1" customWidth="1"/>
    <col min="12" max="12" width="10.85546875" style="56" bestFit="1" customWidth="1"/>
    <col min="13" max="13" width="11" style="11" bestFit="1" customWidth="1"/>
    <col min="14" max="14" width="12.5703125" style="11" bestFit="1" customWidth="1"/>
    <col min="15" max="15" width="12.5703125" style="46" bestFit="1" customWidth="1"/>
    <col min="16" max="16" width="7.140625" style="46" bestFit="1" customWidth="1"/>
    <col min="17" max="17" width="7.42578125" style="46" bestFit="1" customWidth="1"/>
    <col min="18" max="18" width="3.140625" style="46" customWidth="1"/>
    <col min="19" max="19" width="24" style="46" bestFit="1" customWidth="1"/>
    <col min="20" max="20" width="24" style="11" bestFit="1" customWidth="1"/>
    <col min="21" max="21" width="11.85546875" style="11" bestFit="1" customWidth="1"/>
    <col min="22" max="22" width="3.140625" style="46" customWidth="1"/>
    <col min="23" max="23" width="17.5703125" style="57" customWidth="1"/>
    <col min="24" max="24" width="15.140625" style="57" customWidth="1"/>
    <col min="25" max="25" width="17" style="57" customWidth="1"/>
    <col min="26" max="26" width="18.140625" style="57" customWidth="1"/>
    <col min="27" max="27" width="16.5703125" style="57" customWidth="1"/>
    <col min="28" max="28" width="16.7109375" style="11" customWidth="1"/>
    <col min="29" max="35" width="9.140625" style="11"/>
    <col min="36" max="36" width="13" style="11" customWidth="1"/>
    <col min="37" max="37" width="20.28515625" style="11" customWidth="1"/>
    <col min="38" max="38" width="12.5703125" style="11" customWidth="1"/>
    <col min="39" max="39" width="23.42578125" style="11" customWidth="1"/>
    <col min="40" max="40" width="23.28515625" style="11" customWidth="1"/>
    <col min="41" max="16384" width="9.140625" style="11"/>
  </cols>
  <sheetData>
    <row r="1" spans="1:32" ht="2.25" customHeight="1" thickBot="1">
      <c r="A1" s="132"/>
      <c r="B1" s="48"/>
      <c r="C1" s="48"/>
      <c r="D1" s="48"/>
      <c r="E1" s="48"/>
      <c r="F1" s="48"/>
      <c r="G1" s="48"/>
      <c r="H1" s="48"/>
      <c r="I1" s="72"/>
      <c r="J1" s="72"/>
      <c r="K1" s="72"/>
      <c r="L1" s="48"/>
      <c r="M1" s="48"/>
      <c r="N1" s="48"/>
      <c r="O1" s="48"/>
      <c r="P1" s="48"/>
      <c r="Q1" s="48"/>
      <c r="R1" s="48"/>
      <c r="V1" s="48"/>
    </row>
    <row r="2" spans="1:32" ht="24" customHeight="1">
      <c r="A2" s="133" t="str">
        <f>Swap!F17</f>
        <v>Pays</v>
      </c>
      <c r="B2" s="157" t="str">
        <f>Stream2Type</f>
        <v>Floating</v>
      </c>
      <c r="C2" s="48"/>
      <c r="D2" s="48"/>
      <c r="E2" s="48"/>
      <c r="F2" s="48"/>
      <c r="G2" s="48"/>
      <c r="H2" s="48"/>
      <c r="I2" s="72"/>
      <c r="J2" s="72"/>
      <c r="K2" s="72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X2" s="200" t="s">
        <v>136</v>
      </c>
      <c r="Y2" s="201">
        <f ca="1">EffectiveDate</f>
        <v>43645</v>
      </c>
      <c r="Z2" s="202"/>
      <c r="AA2" s="202"/>
    </row>
    <row r="3" spans="1:32" ht="13.5" thickBot="1">
      <c r="A3" s="132"/>
      <c r="B3" s="48"/>
      <c r="C3" s="48"/>
      <c r="D3" s="48"/>
      <c r="E3" s="48"/>
      <c r="F3" s="48"/>
      <c r="G3" s="48"/>
      <c r="H3" s="48"/>
      <c r="I3" s="72"/>
      <c r="J3" s="72"/>
      <c r="K3" s="72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X3" s="200" t="s">
        <v>137</v>
      </c>
      <c r="Y3" s="203" t="s">
        <v>53</v>
      </c>
      <c r="Z3" s="202"/>
      <c r="AA3" s="202"/>
      <c r="AB3" s="57">
        <f>_xll.HLV5r3.Analytics.Swaps.TimeFromInterval( Stream1Period)</f>
        <v>0.25</v>
      </c>
      <c r="AC3" s="49"/>
      <c r="AD3" s="49"/>
    </row>
    <row r="4" spans="1:32" ht="13.5" thickBot="1">
      <c r="A4" s="134" t="s">
        <v>78</v>
      </c>
      <c r="B4" s="64" t="s">
        <v>79</v>
      </c>
      <c r="C4" s="73" t="s">
        <v>80</v>
      </c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X4" s="204" t="s">
        <v>138</v>
      </c>
      <c r="Y4" s="205" t="s">
        <v>54</v>
      </c>
      <c r="Z4" s="202"/>
      <c r="AA4" s="202"/>
      <c r="AB4" s="49"/>
      <c r="AC4" s="49"/>
      <c r="AD4" s="49"/>
    </row>
    <row r="5" spans="1:32" ht="12.75">
      <c r="A5" s="135">
        <f ca="1">ValuationDate</f>
        <v>43642</v>
      </c>
      <c r="B5" s="161" t="s">
        <v>81</v>
      </c>
      <c r="C5" s="141">
        <f ca="1">_xll.HLV5r3.Analytics.Swaps.BreakEvenRate( G16:G158, M16:M158, I16:I158, L16:L158)</f>
        <v>5.7229463613235013E-2</v>
      </c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X5" s="204" t="s">
        <v>139</v>
      </c>
      <c r="Y5" s="205" t="str">
        <f>Stream1!Y5</f>
        <v>1M</v>
      </c>
      <c r="Z5" s="205" t="str">
        <f>Stream1!Z5</f>
        <v>2Y</v>
      </c>
      <c r="AA5" s="205" t="str">
        <f>Stream1!AA5</f>
        <v>EOM</v>
      </c>
      <c r="AB5" s="49"/>
      <c r="AC5" s="49"/>
      <c r="AD5" s="49"/>
    </row>
    <row r="6" spans="1:32" ht="12.75">
      <c r="A6" s="136">
        <f ca="1">ValuationDate</f>
        <v>43642</v>
      </c>
      <c r="B6" s="162" t="s">
        <v>21</v>
      </c>
      <c r="C6" s="181">
        <f ca="1">SUMIF(O12:O158,"&lt;&gt;#N/A")</f>
        <v>-56595163.720964253</v>
      </c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X6" s="204" t="s">
        <v>139</v>
      </c>
      <c r="Y6" s="205" t="str">
        <f>Stream1!Y6</f>
        <v>1M</v>
      </c>
      <c r="Z6" s="205" t="str">
        <f>Stream1!Z6</f>
        <v>10M</v>
      </c>
      <c r="AA6" s="205" t="str">
        <f>Stream1!AA6</f>
        <v>EOM</v>
      </c>
      <c r="AB6" s="49"/>
      <c r="AC6" s="49"/>
      <c r="AD6" s="49"/>
    </row>
    <row r="7" spans="1:32" ht="12.75">
      <c r="A7" s="136">
        <f ca="1">ValuationDate</f>
        <v>43642</v>
      </c>
      <c r="B7" s="162" t="s">
        <v>103</v>
      </c>
      <c r="C7" s="181">
        <f ca="1">C8+C9</f>
        <v>54614.248225119998</v>
      </c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X7" s="204" t="s">
        <v>139</v>
      </c>
      <c r="Y7" s="205" t="str">
        <f>Stream1!Y7</f>
        <v>3M</v>
      </c>
      <c r="Z7" s="205" t="str">
        <f>Stream1!Z7</f>
        <v>20Y</v>
      </c>
      <c r="AA7" s="205" t="str">
        <f>Stream1!AA7</f>
        <v>EOM</v>
      </c>
      <c r="AB7" s="49"/>
      <c r="AC7" s="49"/>
      <c r="AD7" s="49"/>
    </row>
    <row r="8" spans="1:32" ht="12.75">
      <c r="A8" s="136">
        <f ca="1">ValuationDate</f>
        <v>43642</v>
      </c>
      <c r="B8" s="162" t="s">
        <v>126</v>
      </c>
      <c r="C8" s="182">
        <f ca="1">SUMIF(P12:P158,"&lt;&gt;#N/A")</f>
        <v>98891.655010856892</v>
      </c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X8" s="204" t="s">
        <v>139</v>
      </c>
      <c r="Y8" s="205" t="str">
        <f>Stream1!Y8</f>
        <v>3M</v>
      </c>
      <c r="Z8" s="205" t="str">
        <f>Stream1!Z8</f>
        <v>6M</v>
      </c>
      <c r="AA8" s="205" t="str">
        <f>Stream1!AA8</f>
        <v>EOM</v>
      </c>
      <c r="AB8" s="49"/>
      <c r="AC8" s="49"/>
      <c r="AD8" s="49"/>
    </row>
    <row r="9" spans="1:32" ht="12" thickBot="1">
      <c r="A9" s="138">
        <f ca="1">ValuationDate</f>
        <v>43642</v>
      </c>
      <c r="B9" s="183" t="s">
        <v>124</v>
      </c>
      <c r="C9" s="184">
        <f ca="1">SUMIF(Q12:Q158,"&lt;&gt;#N/A")</f>
        <v>-44277.406785736894</v>
      </c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Z9" s="49"/>
      <c r="AA9" s="49"/>
      <c r="AB9" s="49"/>
      <c r="AC9" s="49"/>
      <c r="AD9" s="49"/>
    </row>
    <row r="10" spans="1:32" ht="12" thickBot="1">
      <c r="A10" s="132"/>
      <c r="B10" s="72"/>
      <c r="C10" s="72"/>
      <c r="D10" s="72"/>
      <c r="E10" s="72"/>
      <c r="F10" s="72"/>
      <c r="G10" s="72"/>
      <c r="H10" s="72"/>
      <c r="I10" s="72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Z10" s="49"/>
      <c r="AA10" s="49"/>
      <c r="AB10" s="49"/>
      <c r="AC10" s="49"/>
      <c r="AD10" s="49"/>
    </row>
    <row r="11" spans="1:32" ht="12" thickBot="1">
      <c r="A11" s="132"/>
      <c r="B11" s="72"/>
      <c r="C11" s="63" t="s">
        <v>93</v>
      </c>
      <c r="D11" s="48"/>
      <c r="E11" s="73" t="s">
        <v>56</v>
      </c>
      <c r="F11" s="73" t="s">
        <v>85</v>
      </c>
      <c r="G11" s="73" t="s">
        <v>86</v>
      </c>
      <c r="H11" s="73" t="s">
        <v>79</v>
      </c>
      <c r="I11" s="73" t="s">
        <v>94</v>
      </c>
      <c r="J11" s="66"/>
      <c r="K11" s="66"/>
      <c r="L11" s="66"/>
      <c r="M11" s="66"/>
      <c r="N11" s="65" t="s">
        <v>80</v>
      </c>
      <c r="O11" s="65" t="s">
        <v>21</v>
      </c>
      <c r="P11" s="171" t="s">
        <v>123</v>
      </c>
      <c r="Q11" s="171" t="s">
        <v>124</v>
      </c>
      <c r="R11" s="48"/>
      <c r="S11" s="48"/>
      <c r="T11" s="48"/>
      <c r="U11" s="63" t="s">
        <v>125</v>
      </c>
      <c r="V11" s="48"/>
      <c r="W11" s="11"/>
      <c r="X11" s="56"/>
      <c r="AB11" s="49"/>
      <c r="AC11" s="49"/>
      <c r="AD11" s="49"/>
      <c r="AE11" s="49"/>
      <c r="AF11" s="49"/>
    </row>
    <row r="12" spans="1:32">
      <c r="A12" s="132"/>
      <c r="B12" s="72"/>
      <c r="C12" s="100">
        <f ca="1">EffectiveDate</f>
        <v>43645</v>
      </c>
      <c r="D12" s="48"/>
      <c r="E12" s="108">
        <f>IF(Swap!$B$12=TRUE,IF($A$2="Pays",Stream2Notional,-Stream2Notional),0)</f>
        <v>0</v>
      </c>
      <c r="F12" s="108">
        <v>0</v>
      </c>
      <c r="G12" s="108">
        <f>E12+F12</f>
        <v>0</v>
      </c>
      <c r="H12" s="149" t="s">
        <v>83</v>
      </c>
      <c r="I12" s="118">
        <f ca="1">IF(ISERROR(C12),"#N/A",_xll.HLV5r3.Financial.Cache.GetValueFromBase(Stream2DiscountCurve, Swap!$F$4, Stream2!C12))</f>
        <v>0.9996713319193673</v>
      </c>
      <c r="J12" s="48"/>
      <c r="K12" s="48"/>
      <c r="L12" s="48"/>
      <c r="M12" s="48"/>
      <c r="N12" s="187">
        <f>G12</f>
        <v>0</v>
      </c>
      <c r="O12" s="187">
        <f ca="1">N12*I12</f>
        <v>0</v>
      </c>
      <c r="P12" s="187">
        <v>0</v>
      </c>
      <c r="Q12" s="187">
        <f ca="1">IF(U12=0,0,_xll.HLV5r3.Analytics.Swaps.Delta1ForAnAmount(N12, I12, Stream2CompoundingPeriod, U12))</f>
        <v>0</v>
      </c>
      <c r="R12" s="48"/>
      <c r="S12" s="48"/>
      <c r="T12" s="48"/>
      <c r="U12" s="174">
        <f ca="1">IF(C12="#N/A",0,_xll.HLV5r3.Financial.Cache.YearFraction( ValuationDate, C12,"ACT/365.FIXED"))</f>
        <v>8.21917808219178E-3</v>
      </c>
      <c r="V12" s="48"/>
      <c r="W12" s="11"/>
      <c r="X12" s="56"/>
      <c r="AB12" s="57"/>
      <c r="AC12" s="57"/>
    </row>
    <row r="13" spans="1:32" ht="12" thickBot="1">
      <c r="A13" s="132"/>
      <c r="B13" s="72"/>
      <c r="C13" s="101">
        <f>TreminationDate</f>
        <v>49187</v>
      </c>
      <c r="D13" s="48"/>
      <c r="E13" s="109">
        <f>IF(Swap!$B$13=TRUE,IF($A$2="Pays",-Stream2Notional,Stream2Notional),0)</f>
        <v>0</v>
      </c>
      <c r="F13" s="109">
        <v>0</v>
      </c>
      <c r="G13" s="109">
        <f>E13+F13</f>
        <v>0</v>
      </c>
      <c r="H13" s="150" t="s">
        <v>84</v>
      </c>
      <c r="I13" s="119">
        <f ca="1">IF(ISERROR(C13),"#N/A",_xll.HLV5r3.Financial.Cache.GetValueFromBase( Stream2DiscountCurve, Swap!$F$4, Stream2!C13))</f>
        <v>0.43371969470972427</v>
      </c>
      <c r="J13" s="66"/>
      <c r="K13" s="66"/>
      <c r="L13" s="66"/>
      <c r="M13" s="66"/>
      <c r="N13" s="188">
        <f>G13</f>
        <v>0</v>
      </c>
      <c r="O13" s="188">
        <f ca="1">N13*I13</f>
        <v>0</v>
      </c>
      <c r="P13" s="188">
        <v>0</v>
      </c>
      <c r="Q13" s="188">
        <f ca="1">IF(U13=0,0,_xll.HLV5r3.Analytics.Swaps.Delta1ForAnAmount( N13, I13, Stream2CompoundingPeriod, U13))</f>
        <v>0</v>
      </c>
      <c r="R13" s="48"/>
      <c r="S13" s="48"/>
      <c r="T13" s="48"/>
      <c r="U13" s="175">
        <f ca="1">IF(C13="#N/A",0,_xll.HLV5r3.Financial.Cache.YearFraction( ValuationDate, C13,"ACT/365.FIXED"))</f>
        <v>15.191780821917808</v>
      </c>
      <c r="V13" s="48"/>
      <c r="W13" s="11"/>
      <c r="X13" s="56"/>
      <c r="AB13" s="57"/>
      <c r="AC13" s="57"/>
    </row>
    <row r="14" spans="1:32" ht="12" thickBot="1">
      <c r="A14" s="137"/>
      <c r="B14" s="48"/>
      <c r="C14" s="48"/>
      <c r="D14" s="48"/>
      <c r="E14" s="110"/>
      <c r="F14" s="72"/>
      <c r="G14" s="72"/>
      <c r="H14" s="72"/>
      <c r="I14" s="72"/>
      <c r="J14" s="72"/>
      <c r="K14" s="72"/>
      <c r="L14" s="66"/>
      <c r="M14" s="66"/>
      <c r="N14" s="78"/>
      <c r="O14" s="78"/>
      <c r="P14" s="78"/>
      <c r="Q14" s="178"/>
      <c r="R14" s="48"/>
      <c r="S14" s="48"/>
      <c r="T14" s="48"/>
      <c r="U14" s="48"/>
      <c r="V14" s="48"/>
      <c r="W14" s="11"/>
      <c r="X14" s="56"/>
      <c r="AB14" s="57"/>
      <c r="AC14" s="57"/>
    </row>
    <row r="15" spans="1:32" ht="12" thickBot="1">
      <c r="A15" s="134" t="s">
        <v>90</v>
      </c>
      <c r="B15" s="63" t="s">
        <v>91</v>
      </c>
      <c r="C15" s="63" t="s">
        <v>82</v>
      </c>
      <c r="D15" s="63" t="s">
        <v>100</v>
      </c>
      <c r="E15" s="73" t="s">
        <v>56</v>
      </c>
      <c r="F15" s="73" t="s">
        <v>99</v>
      </c>
      <c r="G15" s="73" t="s">
        <v>86</v>
      </c>
      <c r="H15" s="148" t="s">
        <v>79</v>
      </c>
      <c r="I15" s="148" t="s">
        <v>94</v>
      </c>
      <c r="J15" s="73" t="s">
        <v>95</v>
      </c>
      <c r="K15" s="73" t="s">
        <v>96</v>
      </c>
      <c r="L15" s="73" t="s">
        <v>87</v>
      </c>
      <c r="M15" s="73" t="s">
        <v>88</v>
      </c>
      <c r="N15" s="73" t="s">
        <v>97</v>
      </c>
      <c r="O15" s="73" t="s">
        <v>21</v>
      </c>
      <c r="P15" s="176" t="s">
        <v>123</v>
      </c>
      <c r="Q15" s="179" t="s">
        <v>124</v>
      </c>
      <c r="R15" s="48"/>
      <c r="S15" s="63" t="s">
        <v>98</v>
      </c>
      <c r="T15" s="63" t="s">
        <v>92</v>
      </c>
      <c r="U15" s="172" t="s">
        <v>125</v>
      </c>
      <c r="V15" s="48"/>
      <c r="W15" s="80"/>
      <c r="X15" s="81"/>
      <c r="Y15" s="82"/>
      <c r="Z15" s="82"/>
      <c r="AA15" s="82"/>
      <c r="AB15" s="82"/>
      <c r="AC15" s="82"/>
    </row>
    <row r="16" spans="1:32" ht="12.75">
      <c r="A16" s="135">
        <f ca="1">C12</f>
        <v>43645</v>
      </c>
      <c r="B16" s="135">
        <f ca="1">IF(A16="#N/A","#N/A",IF(A17="#N/A",$C$13,A17))</f>
        <v>43677</v>
      </c>
      <c r="C16" s="100">
        <f ca="1">IF(Swap!$G$26="Standard",B16,A16)</f>
        <v>43677</v>
      </c>
      <c r="D16" s="146">
        <v>0</v>
      </c>
      <c r="E16" s="111">
        <f t="shared" ref="E16:E47" ca="1" si="0">IF(C16="#N/A",0,IF($A$2="Pays",-Stream2Notional,Stream2Notional) )</f>
        <v>-100000000</v>
      </c>
      <c r="F16" s="111">
        <v>0</v>
      </c>
      <c r="G16" s="111">
        <f ca="1">E16+F16</f>
        <v>-100000000</v>
      </c>
      <c r="H16" s="151" t="str">
        <f t="shared" ref="H16:H49" ca="1" si="1">IF(C16="#N/A","#NA","Coupon" )</f>
        <v>Coupon</v>
      </c>
      <c r="I16" s="166">
        <f ca="1">IF(C16="#N/A",0,_xll.HLV5r3.Financial.Cache.GetValueFromBase(Stream2DiscountCurve, Swap!$F$4, Stream2!C16))</f>
        <v>0.99617863357938652</v>
      </c>
      <c r="J16" s="116">
        <f ca="1">IF(C16="#N/A","#N/A",_xll.HLV5r3.Financial.Cache.GetValueFromBase( Stream2ForwardCurve, Swap!$F$4, A16))</f>
        <v>0.9996713319193673</v>
      </c>
      <c r="K16" s="167">
        <f ca="1">IF(C16="#N/A","#N/A",_xll.HLV5r3.Financial.Cache.GetValueFromBase( Stream2ForwardCurve, Swap!$F$4, B16))</f>
        <v>0.99617863357938652</v>
      </c>
      <c r="L16" s="114">
        <f ca="1" xml:space="preserve"> IF(G16=0,0,_xll.HLV5r3.Financial.Cache.YearFraction( A16, B16,Swap!$G$25))</f>
        <v>8.7671232876712329E-2</v>
      </c>
      <c r="M16" s="120">
        <f ca="1">IF(J16="#N/A",0,IF($B$2="Fixed",Stream2FixedRate,_xll.HLV5r3.Analytics.Rates.GetRate(J16,K16,L16)+Stream2Spread))</f>
        <v>3.9991412280398091E-2</v>
      </c>
      <c r="N16" s="185">
        <f ca="1">IF(L16="#N/A",L16,IF(Swap!$G$26="Standard",L16*G16*M16,L16*G16*M16/(1+Stream2!L16*Stream2!M16)))</f>
        <v>-350609.64191033941</v>
      </c>
      <c r="O16" s="185">
        <f t="shared" ref="O16" ca="1" si="2">IF(N16="#N/A",N16,N16*I16)</f>
        <v>-349269.8339979999</v>
      </c>
      <c r="P16" s="185">
        <f ca="1">IF($B$2="FIXED",0,IF(Swap!$G$26="FRA",_xll.HLV5r3.Analytics.Swaps.Delta0DiscountCoupon( G16, L16, M16, I16),_xll.HLV5r3.Analytics.Swaps.Delta0Coupon( G16, L16, M16, I16)))</f>
        <v>873.36208971343478</v>
      </c>
      <c r="Q16" s="180">
        <f ca="1">IF(U16=0,0,_xll.HLV5r3.Analytics.Swaps.Delta1ForAnAmount( N16, I16, Stream2CompoundingPeriod, U16))</f>
        <v>-3.3160620833838723</v>
      </c>
      <c r="R16" s="79"/>
      <c r="S16" s="100">
        <f ca="1">IF(ISERROR(T16), "#N/A",IF(T16="","#N/A",T16+D16))</f>
        <v>43645</v>
      </c>
      <c r="T16" s="100">
        <f ca="1">X16</f>
        <v>43645</v>
      </c>
      <c r="U16" s="173">
        <f ca="1">IF(C16="#N/A",0,_xll.HLV5r3.Financial.Cache.YearFraction( ValuationDate, C16,"ACT/365.FIXED"))</f>
        <v>9.5890410958904104E-2</v>
      </c>
      <c r="V16" s="79"/>
      <c r="W16" s="83"/>
      <c r="X16" s="208">
        <f ca="1">Y2</f>
        <v>43645</v>
      </c>
      <c r="AB16" s="86"/>
      <c r="AC16" s="82"/>
    </row>
    <row r="17" spans="1:29">
      <c r="A17" s="136">
        <f ca="1">IF(S18="#N/A", "#N/A",S17)</f>
        <v>43677</v>
      </c>
      <c r="B17" s="136">
        <f t="shared" ref="B17:B80" ca="1" si="3">IF(A17="#N/A", "#N/A",IF(A18="#N/A",$C$13,A18))</f>
        <v>43707</v>
      </c>
      <c r="C17" s="101">
        <f ca="1">IF(Swap!$G$26="Standard",B17,A17)</f>
        <v>43707</v>
      </c>
      <c r="D17" s="147">
        <v>0</v>
      </c>
      <c r="E17" s="112">
        <f t="shared" ca="1" si="0"/>
        <v>-100000000</v>
      </c>
      <c r="F17" s="112">
        <f ca="1">-Stream1!F17</f>
        <v>-100000000</v>
      </c>
      <c r="G17" s="112">
        <f ca="1">F17</f>
        <v>-100000000</v>
      </c>
      <c r="H17" s="152" t="str">
        <f t="shared" ca="1" si="1"/>
        <v>Coupon</v>
      </c>
      <c r="I17" s="168">
        <f ca="1">IF(C17="#N/A",0,_xll.HLV5r3.Financial.Cache.GetValueFromBase(Stream2DiscountCurve, Swap!$F$4, Stream2!C17))</f>
        <v>0.99292633470682357</v>
      </c>
      <c r="J17" s="117">
        <f ca="1">IF(C17="#N/A","#N/A",_xll.HLV5r3.Financial.Cache.GetValueFromBase( Stream2ForwardCurve, Swap!$F$4, A17))</f>
        <v>0.99617863357938652</v>
      </c>
      <c r="K17" s="169">
        <f ca="1">IF(C17="#N/A","#N/A",_xll.HLV5r3.Financial.Cache.GetValueFromBase( Stream2ForwardCurve, Swap!$F$4, B17))</f>
        <v>0.99292633470682357</v>
      </c>
      <c r="L17" s="115">
        <f ca="1" xml:space="preserve"> IF(G17=0,0,_xll.HLV5r3.Financial.Cache.YearFraction( A17, B17,Swap!$G$25))</f>
        <v>8.2191780821917804E-2</v>
      </c>
      <c r="M17" s="143">
        <f ca="1">IF(J17="#N/A",0,IF($B$2="Fixed",Stream2FixedRate,_xll.HLV5r3.Analytics.Rates.GetRate(J17,K17,L17)+Stream2Spread))</f>
        <v>3.9851532686494162E-2</v>
      </c>
      <c r="N17" s="186">
        <f ca="1">IF(L17="#N/A",L17,IF(Swap!$G$26="Standard",L17*G17*M17,L17*G17*M17/(1+Stream2!L17*Stream2!M17)))</f>
        <v>-327546.8439985821</v>
      </c>
      <c r="O17" s="186">
        <f t="shared" ref="O17:O80" ca="1" si="4">IF(N17="#N/A",N17,N17*I17)</f>
        <v>-325229.88725629984</v>
      </c>
      <c r="P17" s="186">
        <f ca="1">IF($B$2="FIXED",0,IF(Swap!$G$26="FRA",_xll.HLV5r3.Analytics.Swaps.Delta0DiscountCoupon( G17, L17, M17, I17),_xll.HLV5r3.Analytics.Swaps.Delta0Coupon( G17, L17, M17, I17)))</f>
        <v>816.10383674533443</v>
      </c>
      <c r="Q17" s="180">
        <f ca="1">IF(U17=0,0,_xll.HLV5r3.Analytics.Swaps.Delta1ForAnAmount( N17, I17, Stream2CompoundingPeriod, U17))</f>
        <v>-5.7346160749223234</v>
      </c>
      <c r="R17" s="79"/>
      <c r="S17" s="101">
        <f ca="1">IF(ISERROR(T17), "#N/A",IF(T17="","#N/A",T17+D17))</f>
        <v>43677</v>
      </c>
      <c r="T17" s="101">
        <f t="shared" ref="T17:T80" ca="1" si="5">X17</f>
        <v>43677</v>
      </c>
      <c r="U17" s="173">
        <f ca="1">IF(C17="#N/A",0,_xll.HLV5r3.Financial.Cache.YearFraction( ValuationDate, C17,"ACT/365.FIXED"))</f>
        <v>0.17808219178082191</v>
      </c>
      <c r="V17" s="79"/>
      <c r="W17" s="83"/>
      <c r="X17" s="207">
        <f t="array" aca="1" ref="X17:X150" ca="1">_xll.HLV5r3.Financial.Cache.GetMetaDatesSchedule( Y5:AA8, Y2, Y3, Y4)</f>
        <v>43677</v>
      </c>
      <c r="AB17" s="86"/>
      <c r="AC17" s="82"/>
    </row>
    <row r="18" spans="1:29">
      <c r="A18" s="136">
        <f t="shared" ref="A18:A81" ca="1" si="6">IF(S19="#N/A", "#N/A",S18)</f>
        <v>43707</v>
      </c>
      <c r="B18" s="136">
        <f t="shared" ca="1" si="3"/>
        <v>43738</v>
      </c>
      <c r="C18" s="101">
        <f ca="1">IF(Swap!$G$26="Standard",B18,A18)</f>
        <v>43738</v>
      </c>
      <c r="D18" s="147">
        <v>0</v>
      </c>
      <c r="E18" s="112">
        <f t="shared" ca="1" si="0"/>
        <v>-100000000</v>
      </c>
      <c r="F18" s="112">
        <f ca="1">-Stream1!F18</f>
        <v>-100000000</v>
      </c>
      <c r="G18" s="112">
        <f t="shared" ref="G18:G81" ca="1" si="7">F18</f>
        <v>-100000000</v>
      </c>
      <c r="H18" s="152" t="str">
        <f t="shared" ca="1" si="1"/>
        <v>Coupon</v>
      </c>
      <c r="I18" s="168">
        <f ca="1">IF(C18="#N/A",0,_xll.HLV5r3.Financial.Cache.GetValueFromBase(Stream2DiscountCurve, Swap!$F$4, Stream2!C18))</f>
        <v>0.98963426966915446</v>
      </c>
      <c r="J18" s="117">
        <f ca="1">IF(C18="#N/A","#N/A",_xll.HLV5r3.Financial.Cache.GetValueFromBase( Stream2ForwardCurve, Swap!$F$4, A18))</f>
        <v>0.99292633470682357</v>
      </c>
      <c r="K18" s="169">
        <f ca="1">IF(C18="#N/A","#N/A",_xll.HLV5r3.Financial.Cache.GetValueFromBase( Stream2ForwardCurve, Swap!$F$4, B18))</f>
        <v>0.98963426966915446</v>
      </c>
      <c r="L18" s="115">
        <f ca="1" xml:space="preserve"> IF(G18=0,0,_xll.HLV5r3.Financial.Cache.YearFraction( A18, B18,Swap!$G$25))</f>
        <v>8.4931506849315067E-2</v>
      </c>
      <c r="M18" s="143">
        <f ca="1">IF(J18="#N/A",0,IF($B$2="Fixed",Stream2FixedRate,_xll.HLV5r3.Analytics.Rates.GetRate(J18,K18,L18)+Stream2Spread))</f>
        <v>3.9167409734470096E-2</v>
      </c>
      <c r="N18" s="186">
        <f ca="1">IF(L18="#N/A",L18,IF(Swap!$G$26="Standard",L18*G18*M18,L18*G18*M18/(1+Stream2!L18*Stream2!M18)))</f>
        <v>-332654.71281330771</v>
      </c>
      <c r="O18" s="186">
        <f t="shared" ca="1" si="4"/>
        <v>-329206.5037670001</v>
      </c>
      <c r="P18" s="186">
        <f ca="1">IF($B$2="FIXED",0,IF(Swap!$G$26="FRA",_xll.HLV5r3.Analytics.Swaps.Delta0DiscountCoupon( G18, L18, M18, I18),_xll.HLV5r3.Analytics.Swaps.Delta0Coupon( G18, L18, M18, I18)))</f>
        <v>840.51129752722704</v>
      </c>
      <c r="Q18" s="180">
        <f ca="1">IF(U18=0,0,_xll.HLV5r3.Analytics.Swaps.Delta1ForAnAmount( N18, I18, Stream2CompoundingPeriod, U18))</f>
        <v>-8.5736661616796823</v>
      </c>
      <c r="R18" s="79"/>
      <c r="S18" s="101">
        <f t="shared" ref="S18:S81" ca="1" si="8">IF(ISERROR(T18), "#N/A",IF(T18="","#N/A",T18+D18))</f>
        <v>43707</v>
      </c>
      <c r="T18" s="101">
        <f t="shared" ca="1" si="5"/>
        <v>43707</v>
      </c>
      <c r="U18" s="173">
        <f ca="1">IF(C18="#N/A",0,_xll.HLV5r3.Financial.Cache.YearFraction( ValuationDate, C18,"ACT/365.FIXED"))</f>
        <v>0.26301369863013696</v>
      </c>
      <c r="V18" s="79"/>
      <c r="W18" s="83"/>
      <c r="X18" s="207">
        <f ca="1"/>
        <v>43707</v>
      </c>
      <c r="AB18" s="86"/>
      <c r="AC18" s="82"/>
    </row>
    <row r="19" spans="1:29">
      <c r="A19" s="136">
        <f t="shared" ca="1" si="6"/>
        <v>43738</v>
      </c>
      <c r="B19" s="136">
        <f t="shared" ca="1" si="3"/>
        <v>43769</v>
      </c>
      <c r="C19" s="101">
        <f ca="1">IF(Swap!$G$26="Standard",B19,A19)</f>
        <v>43769</v>
      </c>
      <c r="D19" s="147">
        <v>0</v>
      </c>
      <c r="E19" s="112">
        <f t="shared" ca="1" si="0"/>
        <v>-100000000</v>
      </c>
      <c r="F19" s="112">
        <f ca="1">-Stream1!F19</f>
        <v>-100000000</v>
      </c>
      <c r="G19" s="112">
        <f t="shared" ca="1" si="7"/>
        <v>-100000000</v>
      </c>
      <c r="H19" s="152" t="str">
        <f t="shared" ca="1" si="1"/>
        <v>Coupon</v>
      </c>
      <c r="I19" s="168">
        <f ca="1">IF(C19="#N/A",0,_xll.HLV5r3.Financial.Cache.GetValueFromBase(Stream2DiscountCurve, Swap!$F$4, Stream2!C19))</f>
        <v>0.9869656462110854</v>
      </c>
      <c r="J19" s="117">
        <f ca="1">IF(C19="#N/A","#N/A",_xll.HLV5r3.Financial.Cache.GetValueFromBase( Stream2ForwardCurve, Swap!$F$4, A19))</f>
        <v>0.98963426966915446</v>
      </c>
      <c r="K19" s="169">
        <f ca="1">IF(C19="#N/A","#N/A",_xll.HLV5r3.Financial.Cache.GetValueFromBase( Stream2ForwardCurve, Swap!$F$4, B19))</f>
        <v>0.9869656462110854</v>
      </c>
      <c r="L19" s="115">
        <f ca="1" xml:space="preserve"> IF(G19=0,0,_xll.HLV5r3.Financial.Cache.YearFraction( A19, B19,Swap!$G$25))</f>
        <v>8.4931506849315067E-2</v>
      </c>
      <c r="M19" s="143">
        <f ca="1">IF(J19="#N/A",0,IF($B$2="Fixed",Stream2FixedRate,_xll.HLV5r3.Analytics.Rates.GetRate(J19,K19,L19)+Stream2Spread))</f>
        <v>3.1835848819757609E-2</v>
      </c>
      <c r="N19" s="186">
        <f ca="1">IF(L19="#N/A",L19,IF(Swap!$G$26="Standard",L19*G19*M19,L19*G19*M19/(1+Stream2!L19*Stream2!M19)))</f>
        <v>-270386.66120890027</v>
      </c>
      <c r="O19" s="186">
        <f t="shared" ca="1" si="4"/>
        <v>-266862.34580690006</v>
      </c>
      <c r="P19" s="186">
        <f ca="1">IF($B$2="FIXED",0,IF(Swap!$G$26="FRA",_xll.HLV5r3.Analytics.Swaps.Delta0DiscountCoupon( G19, L19, M19, I19),_xll.HLV5r3.Analytics.Swaps.Delta0Coupon( G19, L19, M19, I19)))</f>
        <v>838.24479541215476</v>
      </c>
      <c r="Q19" s="180">
        <f ca="1">IF(U19=0,0,_xll.HLV5r3.Analytics.Swaps.Delta1ForAnAmount( N19, I19, Stream2CompoundingPeriod, U19))</f>
        <v>-9.1986336488848384</v>
      </c>
      <c r="R19" s="79"/>
      <c r="S19" s="101">
        <f t="shared" ca="1" si="8"/>
        <v>43738</v>
      </c>
      <c r="T19" s="101">
        <f t="shared" ca="1" si="5"/>
        <v>43738</v>
      </c>
      <c r="U19" s="173">
        <f ca="1">IF(C19="#N/A",0,_xll.HLV5r3.Financial.Cache.YearFraction( ValuationDate, C19,"ACT/365.FIXED"))</f>
        <v>0.34794520547945207</v>
      </c>
      <c r="V19" s="79"/>
      <c r="W19" s="83"/>
      <c r="X19" s="207">
        <f ca="1"/>
        <v>43738</v>
      </c>
      <c r="AB19" s="86"/>
      <c r="AC19" s="82"/>
    </row>
    <row r="20" spans="1:29">
      <c r="A20" s="136">
        <f t="shared" ca="1" si="6"/>
        <v>43769</v>
      </c>
      <c r="B20" s="136">
        <f t="shared" ca="1" si="3"/>
        <v>43798</v>
      </c>
      <c r="C20" s="101">
        <f ca="1">IF(Swap!$G$26="Standard",B20,A20)</f>
        <v>43798</v>
      </c>
      <c r="D20" s="147">
        <v>0</v>
      </c>
      <c r="E20" s="112">
        <f t="shared" ca="1" si="0"/>
        <v>-100000000</v>
      </c>
      <c r="F20" s="112">
        <f ca="1">-Stream1!F20</f>
        <v>-100000000</v>
      </c>
      <c r="G20" s="112">
        <f t="shared" ca="1" si="7"/>
        <v>-100000000</v>
      </c>
      <c r="H20" s="152" t="str">
        <f t="shared" ca="1" si="1"/>
        <v>Coupon</v>
      </c>
      <c r="I20" s="168">
        <f ca="1">IF(C20="#N/A",0,_xll.HLV5r3.Financial.Cache.GetValueFromBase(Stream2DiscountCurve, Swap!$F$4, Stream2!C20))</f>
        <v>0.98476522905882002</v>
      </c>
      <c r="J20" s="117">
        <f ca="1">IF(C20="#N/A","#N/A",_xll.HLV5r3.Financial.Cache.GetValueFromBase( Stream2ForwardCurve, Swap!$F$4, A20))</f>
        <v>0.9869656462110854</v>
      </c>
      <c r="K20" s="169">
        <f ca="1">IF(C20="#N/A","#N/A",_xll.HLV5r3.Financial.Cache.GetValueFromBase( Stream2ForwardCurve, Swap!$F$4, B20))</f>
        <v>0.98476522905882002</v>
      </c>
      <c r="L20" s="115">
        <f ca="1" xml:space="preserve"> IF(G20=0,0,_xll.HLV5r3.Financial.Cache.YearFraction( A20, B20,Swap!$G$25))</f>
        <v>7.9452054794520555E-2</v>
      </c>
      <c r="M20" s="143">
        <f ca="1">IF(J20="#N/A",0,IF($B$2="Fixed",Stream2FixedRate,_xll.HLV5r3.Analytics.Rates.GetRate(J20,K20,L20)+Stream2Spread))</f>
        <v>2.8123358461384317E-2</v>
      </c>
      <c r="N20" s="186">
        <f ca="1">IF(L20="#N/A",L20,IF(Swap!$G$26="Standard",L20*G20*M20,L20*G20*M20/(1+Stream2!L20*Stream2!M20)))</f>
        <v>-223445.86174798501</v>
      </c>
      <c r="O20" s="186">
        <f t="shared" ca="1" si="4"/>
        <v>-220041.71522649989</v>
      </c>
      <c r="P20" s="186">
        <f ca="1">IF($B$2="FIXED",0,IF(Swap!$G$26="FRA",_xll.HLV5r3.Analytics.Swaps.Delta0DiscountCoupon( G20, L20, M20, I20),_xll.HLV5r3.Analytics.Swaps.Delta0Coupon( G20, L20, M20, I20)))</f>
        <v>782.41620938919959</v>
      </c>
      <c r="Q20" s="180">
        <f ca="1">IF(U20=0,0,_xll.HLV5r3.Analytics.Swaps.Delta1ForAnAmount( N20, I20, Stream2CompoundingPeriod, U20))</f>
        <v>-9.3208221704321783</v>
      </c>
      <c r="R20" s="79"/>
      <c r="S20" s="101">
        <f t="shared" ca="1" si="8"/>
        <v>43769</v>
      </c>
      <c r="T20" s="101">
        <f t="shared" ca="1" si="5"/>
        <v>43769</v>
      </c>
      <c r="U20" s="173">
        <f ca="1">IF(C20="#N/A",0,_xll.HLV5r3.Financial.Cache.YearFraction( ValuationDate, C20,"ACT/365.FIXED"))</f>
        <v>0.42739726027397262</v>
      </c>
      <c r="V20" s="79"/>
      <c r="W20" s="83"/>
      <c r="X20" s="207">
        <f ca="1"/>
        <v>43769</v>
      </c>
      <c r="AB20" s="86"/>
      <c r="AC20" s="82"/>
    </row>
    <row r="21" spans="1:29">
      <c r="A21" s="136">
        <f t="shared" ca="1" si="6"/>
        <v>43798</v>
      </c>
      <c r="B21" s="136">
        <f t="shared" ca="1" si="3"/>
        <v>43830</v>
      </c>
      <c r="C21" s="101">
        <f ca="1">IF(Swap!$G$26="Standard",B21,A21)</f>
        <v>43830</v>
      </c>
      <c r="D21" s="147">
        <v>0</v>
      </c>
      <c r="E21" s="112">
        <f t="shared" ca="1" si="0"/>
        <v>-100000000</v>
      </c>
      <c r="F21" s="112">
        <f ca="1">-Stream1!F21</f>
        <v>-100000000</v>
      </c>
      <c r="G21" s="112">
        <f t="shared" ca="1" si="7"/>
        <v>-100000000</v>
      </c>
      <c r="H21" s="152" t="str">
        <f t="shared" ca="1" si="1"/>
        <v>Coupon</v>
      </c>
      <c r="I21" s="168">
        <f ca="1">IF(C21="#N/A",0,_xll.HLV5r3.Financial.Cache.GetValueFromBase(Stream2DiscountCurve, Swap!$F$4, Stream2!C21))</f>
        <v>0.98227062645615548</v>
      </c>
      <c r="J21" s="117">
        <f ca="1">IF(C21="#N/A","#N/A",_xll.HLV5r3.Financial.Cache.GetValueFromBase( Stream2ForwardCurve, Swap!$F$4, A21))</f>
        <v>0.98476522905882002</v>
      </c>
      <c r="K21" s="169">
        <f ca="1">IF(C21="#N/A","#N/A",_xll.HLV5r3.Financial.Cache.GetValueFromBase( Stream2ForwardCurve, Swap!$F$4, B21))</f>
        <v>0.98227062645615548</v>
      </c>
      <c r="L21" s="115">
        <f ca="1" xml:space="preserve"> IF(G21=0,0,_xll.HLV5r3.Financial.Cache.YearFraction( A21, B21,Swap!$G$25))</f>
        <v>8.7671232876712329E-2</v>
      </c>
      <c r="M21" s="143">
        <f ca="1">IF(J21="#N/A",0,IF($B$2="Fixed",Stream2FixedRate,_xll.HLV5r3.Analytics.Rates.GetRate(J21,K21,L21)+Stream2Spread))</f>
        <v>2.8967639029688273E-2</v>
      </c>
      <c r="N21" s="186">
        <f ca="1">IF(L21="#N/A",L21,IF(Swap!$G$26="Standard",L21*G21*M21,L21*G21*M21/(1+Stream2!L21*Stream2!M21)))</f>
        <v>-253962.86272603416</v>
      </c>
      <c r="O21" s="186">
        <f t="shared" ca="1" si="4"/>
        <v>-249460.26026650021</v>
      </c>
      <c r="P21" s="186">
        <f ca="1">IF($B$2="FIXED",0,IF(Swap!$G$26="FRA",_xll.HLV5r3.Analytics.Swaps.Delta0DiscountCoupon( G21, L21, M21, I21),_xll.HLV5r3.Analytics.Swaps.Delta0Coupon( G21, L21, M21, I21)))</f>
        <v>861.1687683999171</v>
      </c>
      <c r="Q21" s="180">
        <f ca="1">IF(U21=0,0,_xll.HLV5r3.Analytics.Swaps.Delta1ForAnAmount( N21, I21, Stream2CompoundingPeriod, U21))</f>
        <v>-12.738311075929955</v>
      </c>
      <c r="R21" s="79"/>
      <c r="S21" s="101">
        <f t="shared" ca="1" si="8"/>
        <v>43798</v>
      </c>
      <c r="T21" s="101">
        <f t="shared" ca="1" si="5"/>
        <v>43798</v>
      </c>
      <c r="U21" s="173">
        <f ca="1">IF(C21="#N/A",0,_xll.HLV5r3.Financial.Cache.YearFraction( ValuationDate, C21,"ACT/365.FIXED"))</f>
        <v>0.51506849315068493</v>
      </c>
      <c r="V21" s="79"/>
      <c r="W21" s="83"/>
      <c r="X21" s="207">
        <f ca="1"/>
        <v>43798</v>
      </c>
      <c r="AB21" s="86"/>
      <c r="AC21" s="82"/>
    </row>
    <row r="22" spans="1:29">
      <c r="A22" s="136">
        <f t="shared" ca="1" si="6"/>
        <v>43830</v>
      </c>
      <c r="B22" s="136">
        <f t="shared" ca="1" si="3"/>
        <v>43861</v>
      </c>
      <c r="C22" s="101">
        <f ca="1">IF(Swap!$G$26="Standard",B22,A22)</f>
        <v>43861</v>
      </c>
      <c r="D22" s="147">
        <v>0</v>
      </c>
      <c r="E22" s="112">
        <f t="shared" ca="1" si="0"/>
        <v>-100000000</v>
      </c>
      <c r="F22" s="112">
        <f ca="1">-Stream1!F22</f>
        <v>-100000000</v>
      </c>
      <c r="G22" s="112">
        <f t="shared" ca="1" si="7"/>
        <v>-100000000</v>
      </c>
      <c r="H22" s="152" t="str">
        <f t="shared" ca="1" si="1"/>
        <v>Coupon</v>
      </c>
      <c r="I22" s="168">
        <f ca="1">IF(C22="#N/A",0,_xll.HLV5r3.Financial.Cache.GetValueFromBase(Stream2DiscountCurve, Swap!$F$4, Stream2!C22))</f>
        <v>0.97974968246700678</v>
      </c>
      <c r="J22" s="117">
        <f ca="1">IF(C22="#N/A","#N/A",_xll.HLV5r3.Financial.Cache.GetValueFromBase( Stream2ForwardCurve, Swap!$F$4, A22))</f>
        <v>0.98227062645615548</v>
      </c>
      <c r="K22" s="169">
        <f ca="1">IF(C22="#N/A","#N/A",_xll.HLV5r3.Financial.Cache.GetValueFromBase( Stream2ForwardCurve, Swap!$F$4, B22))</f>
        <v>0.97974968246700678</v>
      </c>
      <c r="L22" s="115">
        <f ca="1" xml:space="preserve"> IF(G22=0,0,_xll.HLV5r3.Financial.Cache.YearFraction( A22, B22,Swap!$G$25))</f>
        <v>8.4931506849315067E-2</v>
      </c>
      <c r="M22" s="143">
        <f ca="1">IF(J22="#N/A",0,IF($B$2="Fixed",Stream2FixedRate,_xll.HLV5r3.Analytics.Rates.GetRate(J22,K22,L22)+Stream2Spread))</f>
        <v>3.0295577517445275E-2</v>
      </c>
      <c r="N22" s="186">
        <f ca="1">IF(L22="#N/A",L22,IF(Swap!$G$26="Standard",L22*G22*M22,L22*G22*M22/(1+Stream2!L22*Stream2!M22)))</f>
        <v>-257304.90494268591</v>
      </c>
      <c r="O22" s="186">
        <f t="shared" ca="1" si="4"/>
        <v>-252094.39891479988</v>
      </c>
      <c r="P22" s="186">
        <f ca="1">IF($B$2="FIXED",0,IF(Swap!$G$26="FRA",_xll.HLV5r3.Analytics.Swaps.Delta0DiscountCoupon( G22, L22, M22, I22),_xll.HLV5r3.Analytics.Swaps.Delta0Coupon( G22, L22, M22, I22)))</f>
        <v>832.11616867060843</v>
      </c>
      <c r="Q22" s="180">
        <f ca="1">IF(U22=0,0,_xll.HLV5r3.Analytics.Swaps.Delta1ForAnAmount( N22, I22, Stream2CompoundingPeriod, U22))</f>
        <v>-14.997818988851472</v>
      </c>
      <c r="R22" s="79"/>
      <c r="S22" s="101">
        <f t="shared" ca="1" si="8"/>
        <v>43830</v>
      </c>
      <c r="T22" s="101">
        <f t="shared" ca="1" si="5"/>
        <v>43830</v>
      </c>
      <c r="U22" s="173">
        <f ca="1">IF(C22="#N/A",0,_xll.HLV5r3.Financial.Cache.YearFraction( ValuationDate, C22,"ACT/365.FIXED"))</f>
        <v>0.6</v>
      </c>
      <c r="V22" s="79"/>
      <c r="W22" s="83"/>
      <c r="X22" s="207">
        <f ca="1"/>
        <v>43830</v>
      </c>
      <c r="AB22" s="86"/>
      <c r="AC22" s="82"/>
    </row>
    <row r="23" spans="1:29">
      <c r="A23" s="136">
        <f t="shared" ca="1" si="6"/>
        <v>43861</v>
      </c>
      <c r="B23" s="136">
        <f t="shared" ca="1" si="3"/>
        <v>43889</v>
      </c>
      <c r="C23" s="101">
        <f ca="1">IF(Swap!$G$26="Standard",B23,A23)</f>
        <v>43889</v>
      </c>
      <c r="D23" s="147">
        <v>0</v>
      </c>
      <c r="E23" s="112">
        <f t="shared" ca="1" si="0"/>
        <v>-100000000</v>
      </c>
      <c r="F23" s="112">
        <f ca="1">-Stream1!F23</f>
        <v>-100000000</v>
      </c>
      <c r="G23" s="112">
        <f t="shared" ca="1" si="7"/>
        <v>-100000000</v>
      </c>
      <c r="H23" s="152" t="str">
        <f t="shared" ca="1" si="1"/>
        <v>Coupon</v>
      </c>
      <c r="I23" s="168">
        <f ca="1">IF(C23="#N/A",0,_xll.HLV5r3.Financial.Cache.GetValueFromBase(Stream2DiscountCurve, Swap!$F$4, Stream2!C23))</f>
        <v>0.97756869436844129</v>
      </c>
      <c r="J23" s="117">
        <f ca="1">IF(C23="#N/A","#N/A",_xll.HLV5r3.Financial.Cache.GetValueFromBase( Stream2ForwardCurve, Swap!$F$4, A23))</f>
        <v>0.97974968246700678</v>
      </c>
      <c r="K23" s="169">
        <f ca="1">IF(C23="#N/A","#N/A",_xll.HLV5r3.Financial.Cache.GetValueFromBase( Stream2ForwardCurve, Swap!$F$4, B23))</f>
        <v>0.97756869436844129</v>
      </c>
      <c r="L23" s="115">
        <f ca="1" xml:space="preserve"> IF(G23=0,0,_xll.HLV5r3.Financial.Cache.YearFraction( A23, B23,Swap!$G$25))</f>
        <v>7.6712328767123292E-2</v>
      </c>
      <c r="M23" s="143">
        <f ca="1">IF(J23="#N/A",0,IF($B$2="Fixed",Stream2FixedRate,_xll.HLV5r3.Analytics.Rates.GetRate(J23,K23,L23)+Stream2Spread))</f>
        <v>2.9083109838963634E-2</v>
      </c>
      <c r="N23" s="186">
        <f ca="1">IF(L23="#N/A",L23,IF(Swap!$G$26="Standard",L23*G23*M23,L23*G23*M23/(1+Stream2!L23*Stream2!M23)))</f>
        <v>-223103.30835369363</v>
      </c>
      <c r="O23" s="186">
        <f t="shared" ca="1" si="4"/>
        <v>-218098.80985660004</v>
      </c>
      <c r="P23" s="186">
        <f ca="1">IF($B$2="FIXED",0,IF(Swap!$G$26="FRA",_xll.HLV5r3.Analytics.Swaps.Delta0DiscountCoupon( G23, L23, M23, I23),_xll.HLV5r3.Analytics.Swaps.Delta0Coupon( G23, L23, M23, I23)))</f>
        <v>749.91571074839339</v>
      </c>
      <c r="Q23" s="180">
        <f ca="1">IF(U23=0,0,_xll.HLV5r3.Analytics.Swaps.Delta1ForAnAmount( N23, I23, Stream2CompoundingPeriod, U23))</f>
        <v>-14.636344847874925</v>
      </c>
      <c r="R23" s="79"/>
      <c r="S23" s="101">
        <f t="shared" ca="1" si="8"/>
        <v>43861</v>
      </c>
      <c r="T23" s="101">
        <f t="shared" ca="1" si="5"/>
        <v>43861</v>
      </c>
      <c r="U23" s="173">
        <f ca="1">IF(C23="#N/A",0,_xll.HLV5r3.Financial.Cache.YearFraction( ValuationDate, C23,"ACT/365.FIXED"))</f>
        <v>0.67671232876712328</v>
      </c>
      <c r="V23" s="79"/>
      <c r="W23" s="83"/>
      <c r="X23" s="207">
        <f ca="1"/>
        <v>43861</v>
      </c>
      <c r="AB23" s="86"/>
      <c r="AC23" s="82"/>
    </row>
    <row r="24" spans="1:29">
      <c r="A24" s="136">
        <f t="shared" ca="1" si="6"/>
        <v>43889</v>
      </c>
      <c r="B24" s="136">
        <f t="shared" ca="1" si="3"/>
        <v>43921</v>
      </c>
      <c r="C24" s="101">
        <f ca="1">IF(Swap!$G$26="Standard",B24,A24)</f>
        <v>43921</v>
      </c>
      <c r="D24" s="147">
        <v>0</v>
      </c>
      <c r="E24" s="112">
        <f t="shared" ca="1" si="0"/>
        <v>-100000000</v>
      </c>
      <c r="F24" s="112">
        <f ca="1">-Stream1!F24</f>
        <v>-100000000</v>
      </c>
      <c r="G24" s="112">
        <f t="shared" ca="1" si="7"/>
        <v>-100000000</v>
      </c>
      <c r="H24" s="152" t="str">
        <f t="shared" ca="1" si="1"/>
        <v>Coupon</v>
      </c>
      <c r="I24" s="168">
        <f ca="1">IF(C24="#N/A",0,_xll.HLV5r3.Financial.Cache.GetValueFromBase(Stream2DiscountCurve, Swap!$F$4, Stream2!C24))</f>
        <v>0.9750095527214605</v>
      </c>
      <c r="J24" s="117">
        <f ca="1">IF(C24="#N/A","#N/A",_xll.HLV5r3.Financial.Cache.GetValueFromBase( Stream2ForwardCurve, Swap!$F$4, A24))</f>
        <v>0.97756869436844129</v>
      </c>
      <c r="K24" s="169">
        <f ca="1">IF(C24="#N/A","#N/A",_xll.HLV5r3.Financial.Cache.GetValueFromBase( Stream2ForwardCurve, Swap!$F$4, B24))</f>
        <v>0.9750095527214605</v>
      </c>
      <c r="L24" s="115">
        <f ca="1" xml:space="preserve"> IF(G24=0,0,_xll.HLV5r3.Financial.Cache.YearFraction( A24, B24,Swap!$G$25))</f>
        <v>8.7671232876712329E-2</v>
      </c>
      <c r="M24" s="143">
        <f ca="1">IF(J24="#N/A",0,IF($B$2="Fixed",Stream2FixedRate,_xll.HLV5r3.Analytics.Rates.GetRate(J24,K24,L24)+Stream2Spread))</f>
        <v>2.9938382992648119E-2</v>
      </c>
      <c r="N24" s="186">
        <f ca="1">IF(L24="#N/A",L24,IF(Swap!$G$26="Standard",L24*G24*M24,L24*G24*M24/(1+Stream2!L24*Stream2!M24)))</f>
        <v>-262473.49473006569</v>
      </c>
      <c r="O24" s="186">
        <f t="shared" ca="1" si="4"/>
        <v>-255914.16469799998</v>
      </c>
      <c r="P24" s="186">
        <f ca="1">IF($B$2="FIXED",0,IF(Swap!$G$26="FRA",_xll.HLV5r3.Analytics.Swaps.Delta0DiscountCoupon( G24, L24, M24, I24),_xll.HLV5r3.Analytics.Swaps.Delta0Coupon( G24, L24, M24, I24)))</f>
        <v>854.80289553662294</v>
      </c>
      <c r="Q24" s="180">
        <f ca="1">IF(U24=0,0,_xll.HLV5r3.Analytics.Swaps.Delta1ForAnAmount( N24, I24, Stream2CompoundingPeriod, U24))</f>
        <v>-19.40107033699298</v>
      </c>
      <c r="R24" s="79"/>
      <c r="S24" s="101">
        <f t="shared" ca="1" si="8"/>
        <v>43889</v>
      </c>
      <c r="T24" s="101">
        <f t="shared" ca="1" si="5"/>
        <v>43889</v>
      </c>
      <c r="U24" s="173">
        <f ca="1">IF(C24="#N/A",0,_xll.HLV5r3.Financial.Cache.YearFraction( ValuationDate, C24,"ACT/365.FIXED"))</f>
        <v>0.76438356164383559</v>
      </c>
      <c r="V24" s="79"/>
      <c r="W24" s="83"/>
      <c r="X24" s="207">
        <f ca="1"/>
        <v>43889</v>
      </c>
      <c r="AB24" s="86"/>
      <c r="AC24" s="82"/>
    </row>
    <row r="25" spans="1:29">
      <c r="A25" s="136">
        <f t="shared" ca="1" si="6"/>
        <v>43921</v>
      </c>
      <c r="B25" s="136">
        <f t="shared" ca="1" si="3"/>
        <v>43951</v>
      </c>
      <c r="C25" s="101">
        <f ca="1">IF(Swap!$G$26="Standard",B25,A25)</f>
        <v>43951</v>
      </c>
      <c r="D25" s="147">
        <v>0</v>
      </c>
      <c r="E25" s="112">
        <f t="shared" ca="1" si="0"/>
        <v>-100000000</v>
      </c>
      <c r="F25" s="112">
        <f ca="1">-Stream1!F25</f>
        <v>-100000000</v>
      </c>
      <c r="G25" s="112">
        <f t="shared" ca="1" si="7"/>
        <v>-100000000</v>
      </c>
      <c r="H25" s="152" t="str">
        <f t="shared" ca="1" si="1"/>
        <v>Coupon</v>
      </c>
      <c r="I25" s="168">
        <f ca="1">IF(C25="#N/A",0,_xll.HLV5r3.Financial.Cache.GetValueFromBase(Stream2DiscountCurve, Swap!$F$4, Stream2!C25))</f>
        <v>0.97255517392241531</v>
      </c>
      <c r="J25" s="117">
        <f ca="1">IF(C25="#N/A","#N/A",_xll.HLV5r3.Financial.Cache.GetValueFromBase( Stream2ForwardCurve, Swap!$F$4, A25))</f>
        <v>0.9750095527214605</v>
      </c>
      <c r="K25" s="169">
        <f ca="1">IF(C25="#N/A","#N/A",_xll.HLV5r3.Financial.Cache.GetValueFromBase( Stream2ForwardCurve, Swap!$F$4, B25))</f>
        <v>0.97255517392241531</v>
      </c>
      <c r="L25" s="115">
        <f ca="1" xml:space="preserve"> IF(G25=0,0,_xll.HLV5r3.Financial.Cache.YearFraction( A25, B25,Swap!$G$25))</f>
        <v>8.2191780821917804E-2</v>
      </c>
      <c r="M25" s="143">
        <f ca="1">IF(J25="#N/A",0,IF($B$2="Fixed",Stream2FixedRate,_xll.HLV5r3.Analytics.Rates.GetRate(J25,K25,L25)+Stream2Spread))</f>
        <v>3.0704282412370908E-2</v>
      </c>
      <c r="N25" s="186">
        <f ca="1">IF(L25="#N/A",L25,IF(Swap!$G$26="Standard",L25*G25*M25,L25*G25*M25/(1+Stream2!L25*Stream2!M25)))</f>
        <v>-252363.96503318552</v>
      </c>
      <c r="O25" s="186">
        <f t="shared" ca="1" si="4"/>
        <v>-245437.87990460009</v>
      </c>
      <c r="P25" s="186">
        <f ca="1">IF($B$2="FIXED",0,IF(Swap!$G$26="FRA",_xll.HLV5r3.Analytics.Swaps.Delta0DiscountCoupon( G25, L25, M25, I25),_xll.HLV5r3.Analytics.Swaps.Delta0Coupon( G25, L25, M25, I25)))</f>
        <v>799.36041692253309</v>
      </c>
      <c r="Q25" s="180">
        <f ca="1">IF(U25=0,0,_xll.HLV5r3.Analytics.Swaps.Delta1ForAnAmount( N25, I25, Stream2CompoundingPeriod, U25))</f>
        <v>-20.608803511393948</v>
      </c>
      <c r="R25" s="79"/>
      <c r="S25" s="101">
        <f t="shared" ca="1" si="8"/>
        <v>43921</v>
      </c>
      <c r="T25" s="101">
        <f t="shared" ca="1" si="5"/>
        <v>43921</v>
      </c>
      <c r="U25" s="173">
        <f ca="1">IF(C25="#N/A",0,_xll.HLV5r3.Financial.Cache.YearFraction( ValuationDate, C25,"ACT/365.FIXED"))</f>
        <v>0.84657534246575339</v>
      </c>
      <c r="V25" s="79"/>
      <c r="W25" s="83"/>
      <c r="X25" s="207">
        <f ca="1"/>
        <v>43921</v>
      </c>
      <c r="AB25" s="86"/>
      <c r="AC25" s="82"/>
    </row>
    <row r="26" spans="1:29">
      <c r="A26" s="136">
        <f t="shared" ca="1" si="6"/>
        <v>43951</v>
      </c>
      <c r="B26" s="136">
        <f t="shared" ca="1" si="3"/>
        <v>43980</v>
      </c>
      <c r="C26" s="101">
        <f ca="1">IF(Swap!$G$26="Standard",B26,A26)</f>
        <v>43980</v>
      </c>
      <c r="D26" s="147">
        <v>0</v>
      </c>
      <c r="E26" s="112">
        <f t="shared" ca="1" si="0"/>
        <v>-100000000</v>
      </c>
      <c r="F26" s="112">
        <f ca="1">-Stream1!F26</f>
        <v>-100000000</v>
      </c>
      <c r="G26" s="112">
        <f t="shared" ca="1" si="7"/>
        <v>-100000000</v>
      </c>
      <c r="H26" s="152" t="str">
        <f t="shared" ca="1" si="1"/>
        <v>Coupon</v>
      </c>
      <c r="I26" s="168">
        <f ca="1">IF(C26="#N/A",0,_xll.HLV5r3.Financial.Cache.GetValueFromBase(Stream2DiscountCurve, Swap!$F$4, Stream2!C26))</f>
        <v>0.97022445655555067</v>
      </c>
      <c r="J26" s="117">
        <f ca="1">IF(C26="#N/A","#N/A",_xll.HLV5r3.Financial.Cache.GetValueFromBase( Stream2ForwardCurve, Swap!$F$4, A26))</f>
        <v>0.97255517392241531</v>
      </c>
      <c r="K26" s="169">
        <f ca="1">IF(C26="#N/A","#N/A",_xll.HLV5r3.Financial.Cache.GetValueFromBase( Stream2ForwardCurve, Swap!$F$4, B26))</f>
        <v>0.97022445655555067</v>
      </c>
      <c r="L26" s="115">
        <f ca="1" xml:space="preserve"> IF(G26=0,0,_xll.HLV5r3.Financial.Cache.YearFraction( A26, B26,Swap!$G$25))</f>
        <v>7.9452054794520555E-2</v>
      </c>
      <c r="M26" s="143">
        <f ca="1">IF(J26="#N/A",0,IF($B$2="Fixed",Stream2FixedRate,_xll.HLV5r3.Analytics.Rates.GetRate(J26,K26,L26)+Stream2Spread))</f>
        <v>3.0235159295901481E-2</v>
      </c>
      <c r="N26" s="186">
        <f ca="1">IF(L26="#N/A",L26,IF(Swap!$G$26="Standard",L26*G26*M26,L26*G26*M26/(1+Stream2!L26*Stream2!M26)))</f>
        <v>-240224.5533099022</v>
      </c>
      <c r="O26" s="186">
        <f t="shared" ca="1" si="4"/>
        <v>-233071.73668639976</v>
      </c>
      <c r="P26" s="186">
        <f ca="1">IF($B$2="FIXED",0,IF(Swap!$G$26="FRA",_xll.HLV5r3.Analytics.Swaps.Delta0DiscountCoupon( G26, L26, M26, I26),_xll.HLV5r3.Analytics.Swaps.Delta0Coupon( G26, L26, M26, I26)))</f>
        <v>770.86326685235542</v>
      </c>
      <c r="Q26" s="180">
        <f ca="1">IF(U26=0,0,_xll.HLV5r3.Analytics.Swaps.Delta1ForAnAmount( N26, I26, Stream2CompoundingPeriod, U26))</f>
        <v>-21.408375722181379</v>
      </c>
      <c r="R26" s="79"/>
      <c r="S26" s="101">
        <f t="shared" ca="1" si="8"/>
        <v>43951</v>
      </c>
      <c r="T26" s="101">
        <f t="shared" ca="1" si="5"/>
        <v>43951</v>
      </c>
      <c r="U26" s="173">
        <f ca="1">IF(C26="#N/A",0,_xll.HLV5r3.Financial.Cache.YearFraction( ValuationDate, C26,"ACT/365.FIXED"))</f>
        <v>0.92602739726027394</v>
      </c>
      <c r="V26" s="79"/>
      <c r="W26" s="83"/>
      <c r="X26" s="207">
        <f ca="1"/>
        <v>43951</v>
      </c>
      <c r="AB26" s="86"/>
      <c r="AC26" s="82"/>
    </row>
    <row r="27" spans="1:29">
      <c r="A27" s="136">
        <f t="shared" ca="1" si="6"/>
        <v>43980</v>
      </c>
      <c r="B27" s="136">
        <f t="shared" ca="1" si="3"/>
        <v>44015</v>
      </c>
      <c r="C27" s="101">
        <f ca="1">IF(Swap!$G$26="Standard",B27,A27)</f>
        <v>44015</v>
      </c>
      <c r="D27" s="147">
        <v>0</v>
      </c>
      <c r="E27" s="112">
        <f t="shared" ca="1" si="0"/>
        <v>-100000000</v>
      </c>
      <c r="F27" s="112">
        <f ca="1">-Stream1!F27</f>
        <v>-100000000</v>
      </c>
      <c r="G27" s="112">
        <f t="shared" ca="1" si="7"/>
        <v>-100000000</v>
      </c>
      <c r="H27" s="152" t="str">
        <f t="shared" ca="1" si="1"/>
        <v>Coupon</v>
      </c>
      <c r="I27" s="168">
        <f ca="1">IF(C27="#N/A",0,_xll.HLV5r3.Financial.Cache.GetValueFromBase(Stream2DiscountCurve, Swap!$F$4, Stream2!C27))</f>
        <v>0.96726912252676078</v>
      </c>
      <c r="J27" s="117">
        <f ca="1">IF(C27="#N/A","#N/A",_xll.HLV5r3.Financial.Cache.GetValueFromBase( Stream2ForwardCurve, Swap!$F$4, A27))</f>
        <v>0.97022445655555067</v>
      </c>
      <c r="K27" s="169">
        <f ca="1">IF(C27="#N/A","#N/A",_xll.HLV5r3.Financial.Cache.GetValueFromBase( Stream2ForwardCurve, Swap!$F$4, B27))</f>
        <v>0.96726912252676078</v>
      </c>
      <c r="L27" s="115">
        <f ca="1" xml:space="preserve"> IF(G27=0,0,_xll.HLV5r3.Financial.Cache.YearFraction( A27, B27,Swap!$G$25))</f>
        <v>9.5890410958904104E-2</v>
      </c>
      <c r="M27" s="143">
        <f ca="1">IF(J27="#N/A",0,IF($B$2="Fixed",Stream2FixedRate,_xll.HLV5r3.Analytics.Rates.GetRate(J27,K27,L27)+Stream2Spread))</f>
        <v>3.1862809735944617E-2</v>
      </c>
      <c r="N27" s="186">
        <f ca="1">IF(L27="#N/A",L27,IF(Swap!$G$26="Standard",L27*G27*M27,L27*G27*M27/(1+Stream2!L27*Stream2!M27)))</f>
        <v>-305533.79198851</v>
      </c>
      <c r="O27" s="186">
        <f t="shared" ca="1" si="4"/>
        <v>-295533.40287899994</v>
      </c>
      <c r="P27" s="186">
        <f ca="1">IF($B$2="FIXED",0,IF(Swap!$G$26="FRA",_xll.HLV5r3.Analytics.Swaps.Delta0DiscountCoupon( G27, L27, M27, I27),_xll.HLV5r3.Analytics.Swaps.Delta0Coupon( G27, L27, M27, I27)))</f>
        <v>927.51833666949653</v>
      </c>
      <c r="Q27" s="180">
        <f ca="1">IF(U27=0,0,_xll.HLV5r3.Analytics.Swaps.Delta1ForAnAmount( N27, I27, Stream2CompoundingPeriod, U27))</f>
        <v>-29.957197441810759</v>
      </c>
      <c r="R27" s="79"/>
      <c r="S27" s="101">
        <f t="shared" ca="1" si="8"/>
        <v>43980</v>
      </c>
      <c r="T27" s="101">
        <f t="shared" ca="1" si="5"/>
        <v>43980</v>
      </c>
      <c r="U27" s="173">
        <f ca="1">IF(C27="#N/A",0,_xll.HLV5r3.Financial.Cache.YearFraction( ValuationDate, C27,"ACT/365.FIXED"))</f>
        <v>1.021917808219178</v>
      </c>
      <c r="V27" s="79"/>
      <c r="W27" s="83"/>
      <c r="X27" s="207">
        <f ca="1"/>
        <v>43980</v>
      </c>
      <c r="AB27" s="86"/>
      <c r="AC27" s="82"/>
    </row>
    <row r="28" spans="1:29">
      <c r="A28" s="136">
        <f t="shared" ca="1" si="6"/>
        <v>44015</v>
      </c>
      <c r="B28" s="136">
        <f t="shared" ca="1" si="3"/>
        <v>44043</v>
      </c>
      <c r="C28" s="101">
        <f ca="1">IF(Swap!$G$26="Standard",B28,A28)</f>
        <v>44043</v>
      </c>
      <c r="D28" s="147">
        <v>3</v>
      </c>
      <c r="E28" s="112">
        <f t="shared" ca="1" si="0"/>
        <v>-100000000</v>
      </c>
      <c r="F28" s="112">
        <f ca="1">-Stream1!F28</f>
        <v>-100000000</v>
      </c>
      <c r="G28" s="112">
        <f t="shared" ca="1" si="7"/>
        <v>-100000000</v>
      </c>
      <c r="H28" s="152" t="str">
        <f t="shared" ca="1" si="1"/>
        <v>Coupon</v>
      </c>
      <c r="I28" s="168">
        <f ca="1">IF(C28="#N/A",0,_xll.HLV5r3.Financial.Cache.GetValueFromBase(Stream2DiscountCurve, Swap!$F$4, Stream2!C28))</f>
        <v>0.96482193523502602</v>
      </c>
      <c r="J28" s="117">
        <f ca="1">IF(C28="#N/A","#N/A",_xll.HLV5r3.Financial.Cache.GetValueFromBase( Stream2ForwardCurve, Swap!$F$4, A28))</f>
        <v>0.96726912252676078</v>
      </c>
      <c r="K28" s="169">
        <f ca="1">IF(C28="#N/A","#N/A",_xll.HLV5r3.Financial.Cache.GetValueFromBase( Stream2ForwardCurve, Swap!$F$4, B28))</f>
        <v>0.96482193523502602</v>
      </c>
      <c r="L28" s="115">
        <f ca="1" xml:space="preserve"> IF(G28=0,0,_xll.HLV5r3.Financial.Cache.YearFraction( A28, B28,Swap!$G$25))</f>
        <v>7.6712328767123292E-2</v>
      </c>
      <c r="M28" s="143">
        <f ca="1">IF(J28="#N/A",0,IF($B$2="Fixed",Stream2FixedRate,_xll.HLV5r3.Analytics.Rates.GetRate(J28,K28,L28)+Stream2Spread))</f>
        <v>3.3063960481907469E-2</v>
      </c>
      <c r="N28" s="186">
        <f ca="1">IF(L28="#N/A",L28,IF(Swap!$G$26="Standard",L28*G28*M28,L28*G28*M28/(1+Stream2!L28*Stream2!M28)))</f>
        <v>-253641.34068312577</v>
      </c>
      <c r="O28" s="186">
        <f t="shared" ca="1" si="4"/>
        <v>-244718.72917349995</v>
      </c>
      <c r="P28" s="186">
        <f ca="1">IF($B$2="FIXED",0,IF(Swap!$G$26="FRA",_xll.HLV5r3.Analytics.Swaps.Delta0DiscountCoupon( G28, L28, M28, I28),_xll.HLV5r3.Analytics.Swaps.Delta0Coupon( G28, L28, M28, I28)))</f>
        <v>740.13737497481452</v>
      </c>
      <c r="Q28" s="180">
        <f ca="1">IF(U28=0,0,_xll.HLV5r3.Analytics.Swaps.Delta1ForAnAmount( N28, I28, Stream2CompoundingPeriod, U28))</f>
        <v>-26.668213154975568</v>
      </c>
      <c r="R28" s="79"/>
      <c r="S28" s="101">
        <f t="shared" ca="1" si="8"/>
        <v>44015</v>
      </c>
      <c r="T28" s="101">
        <f t="shared" ca="1" si="5"/>
        <v>44012</v>
      </c>
      <c r="U28" s="173">
        <f ca="1">IF(C28="#N/A",0,_xll.HLV5r3.Financial.Cache.YearFraction( ValuationDate, C28,"ACT/365.FIXED"))</f>
        <v>1.0986301369863014</v>
      </c>
      <c r="V28" s="79"/>
      <c r="W28" s="83"/>
      <c r="X28" s="207">
        <f ca="1"/>
        <v>44012</v>
      </c>
      <c r="AB28" s="86"/>
      <c r="AC28" s="82"/>
    </row>
    <row r="29" spans="1:29">
      <c r="A29" s="136">
        <f t="shared" ca="1" si="6"/>
        <v>44043</v>
      </c>
      <c r="B29" s="136">
        <f t="shared" ca="1" si="3"/>
        <v>44074</v>
      </c>
      <c r="C29" s="101">
        <f ca="1">IF(Swap!$G$26="Standard",B29,A29)</f>
        <v>44074</v>
      </c>
      <c r="D29" s="147">
        <v>0</v>
      </c>
      <c r="E29" s="112">
        <f t="shared" ca="1" si="0"/>
        <v>-100000000</v>
      </c>
      <c r="F29" s="112">
        <f ca="1">-Stream1!F29</f>
        <v>-100000000</v>
      </c>
      <c r="G29" s="112">
        <f t="shared" ca="1" si="7"/>
        <v>-100000000</v>
      </c>
      <c r="H29" s="152" t="str">
        <f t="shared" ca="1" si="1"/>
        <v>Coupon</v>
      </c>
      <c r="I29" s="168">
        <f ca="1">IF(C29="#N/A",0,_xll.HLV5r3.Financial.Cache.GetValueFromBase(Stream2DiscountCurve, Swap!$F$4, Stream2!C29))</f>
        <v>0.96211427254925352</v>
      </c>
      <c r="J29" s="117">
        <f ca="1">IF(C29="#N/A","#N/A",_xll.HLV5r3.Financial.Cache.GetValueFromBase( Stream2ForwardCurve, Swap!$F$4, A29))</f>
        <v>0.96482193523502602</v>
      </c>
      <c r="K29" s="169">
        <f ca="1">IF(C29="#N/A","#N/A",_xll.HLV5r3.Financial.Cache.GetValueFromBase( Stream2ForwardCurve, Swap!$F$4, B29))</f>
        <v>0.96211427254925352</v>
      </c>
      <c r="L29" s="115">
        <f ca="1" xml:space="preserve"> IF(G29=0,0,_xll.HLV5r3.Financial.Cache.YearFraction( A29, B29,Swap!$G$25))</f>
        <v>8.4931506849315067E-2</v>
      </c>
      <c r="M29" s="143">
        <f ca="1">IF(J29="#N/A",0,IF($B$2="Fixed",Stream2FixedRate,_xll.HLV5r3.Analytics.Rates.GetRate(J29,K29,L29)+Stream2Spread))</f>
        <v>3.3135923076531508E-2</v>
      </c>
      <c r="N29" s="186">
        <f ca="1">IF(L29="#N/A",L29,IF(Swap!$G$26="Standard",L29*G29*M29,L29*G29*M29/(1+Stream2!L29*Stream2!M29)))</f>
        <v>-281428.38777328131</v>
      </c>
      <c r="O29" s="186">
        <f t="shared" ca="1" si="4"/>
        <v>-270766.26857719978</v>
      </c>
      <c r="P29" s="186">
        <f ca="1">IF($B$2="FIXED",0,IF(Swap!$G$26="FRA",_xll.HLV5r3.Analytics.Swaps.Delta0DiscountCoupon( G29, L29, M29, I29),_xll.HLV5r3.Analytics.Swaps.Delta0Coupon( G29, L29, M29, I29)))</f>
        <v>817.13814928840713</v>
      </c>
      <c r="Q29" s="180">
        <f ca="1">IF(U29=0,0,_xll.HLV5r3.Analytics.Swaps.Delta1ForAnAmount( N29, I29, Stream2CompoundingPeriod, U29))</f>
        <v>-31.787533853116262</v>
      </c>
      <c r="R29" s="79"/>
      <c r="S29" s="101">
        <f t="shared" ca="1" si="8"/>
        <v>44043</v>
      </c>
      <c r="T29" s="101">
        <f t="shared" ca="1" si="5"/>
        <v>44043</v>
      </c>
      <c r="U29" s="173">
        <f ca="1">IF(C29="#N/A",0,_xll.HLV5r3.Financial.Cache.YearFraction( ValuationDate, C29,"ACT/365.FIXED"))</f>
        <v>1.1835616438356165</v>
      </c>
      <c r="V29" s="79"/>
      <c r="W29" s="83"/>
      <c r="X29" s="207">
        <f ca="1"/>
        <v>44043</v>
      </c>
      <c r="AB29" s="86"/>
      <c r="AC29" s="82"/>
    </row>
    <row r="30" spans="1:29">
      <c r="A30" s="136">
        <f t="shared" ca="1" si="6"/>
        <v>44074</v>
      </c>
      <c r="B30" s="136">
        <f t="shared" ca="1" si="3"/>
        <v>44104</v>
      </c>
      <c r="C30" s="101">
        <f ca="1">IF(Swap!$G$26="Standard",B30,A30)</f>
        <v>44104</v>
      </c>
      <c r="D30" s="147">
        <v>0</v>
      </c>
      <c r="E30" s="112">
        <f t="shared" ca="1" si="0"/>
        <v>-100000000</v>
      </c>
      <c r="F30" s="112">
        <f ca="1">-Stream1!F30</f>
        <v>-100000000</v>
      </c>
      <c r="G30" s="112">
        <f t="shared" ca="1" si="7"/>
        <v>-100000000</v>
      </c>
      <c r="H30" s="152" t="str">
        <f t="shared" ca="1" si="1"/>
        <v>Coupon</v>
      </c>
      <c r="I30" s="168">
        <f ca="1">IF(C30="#N/A",0,_xll.HLV5r3.Financial.Cache.GetValueFromBase(Stream2DiscountCurve, Swap!$F$4, Stream2!C30))</f>
        <v>0.95935263093771872</v>
      </c>
      <c r="J30" s="117">
        <f ca="1">IF(C30="#N/A","#N/A",_xll.HLV5r3.Financial.Cache.GetValueFromBase( Stream2ForwardCurve, Swap!$F$4, A30))</f>
        <v>0.96211427254925352</v>
      </c>
      <c r="K30" s="169">
        <f ca="1">IF(C30="#N/A","#N/A",_xll.HLV5r3.Financial.Cache.GetValueFromBase( Stream2ForwardCurve, Swap!$F$4, B30))</f>
        <v>0.95935263093771872</v>
      </c>
      <c r="L30" s="115">
        <f ca="1" xml:space="preserve"> IF(G30=0,0,_xll.HLV5r3.Financial.Cache.YearFraction( A30, B30,Swap!$G$25))</f>
        <v>8.2191780821917804E-2</v>
      </c>
      <c r="M30" s="143">
        <f ca="1">IF(J30="#N/A",0,IF($B$2="Fixed",Stream2FixedRate,_xll.HLV5r3.Analytics.Rates.GetRate(J30,K30,L30)+Stream2Spread))</f>
        <v>3.5023589717474608E-2</v>
      </c>
      <c r="N30" s="186">
        <f ca="1">IF(L30="#N/A",L30,IF(Swap!$G$26="Standard",L30*G30*M30,L30*G30*M30/(1+Stream2!L30*Stream2!M30)))</f>
        <v>-287865.12096554472</v>
      </c>
      <c r="O30" s="186">
        <f t="shared" ca="1" si="4"/>
        <v>-276164.16115349997</v>
      </c>
      <c r="P30" s="186">
        <f ca="1">IF($B$2="FIXED",0,IF(Swap!$G$26="FRA",_xll.HLV5r3.Analytics.Swaps.Delta0DiscountCoupon( G30, L30, M30, I30),_xll.HLV5r3.Analytics.Swaps.Delta0Coupon( G30, L30, M30, I30)))</f>
        <v>788.50901172963177</v>
      </c>
      <c r="Q30" s="180">
        <f ca="1">IF(U30=0,0,_xll.HLV5r3.Analytics.Swaps.Delta1ForAnAmount( N30, I30, Stream2CompoundingPeriod, U30))</f>
        <v>-34.671405717956389</v>
      </c>
      <c r="R30" s="79"/>
      <c r="S30" s="101">
        <f t="shared" ca="1" si="8"/>
        <v>44074</v>
      </c>
      <c r="T30" s="101">
        <f t="shared" ca="1" si="5"/>
        <v>44074</v>
      </c>
      <c r="U30" s="173">
        <f ca="1">IF(C30="#N/A",0,_xll.HLV5r3.Financial.Cache.YearFraction( ValuationDate, C30,"ACT/365.FIXED"))</f>
        <v>1.2657534246575342</v>
      </c>
      <c r="V30" s="79"/>
      <c r="W30" s="83"/>
      <c r="X30" s="207">
        <f ca="1"/>
        <v>44074</v>
      </c>
      <c r="AB30" s="86"/>
      <c r="AC30" s="82"/>
    </row>
    <row r="31" spans="1:29">
      <c r="A31" s="136">
        <f t="shared" ca="1" si="6"/>
        <v>44104</v>
      </c>
      <c r="B31" s="136">
        <f t="shared" ca="1" si="3"/>
        <v>44134</v>
      </c>
      <c r="C31" s="101">
        <f ca="1">IF(Swap!$G$26="Standard",B31,A31)</f>
        <v>44134</v>
      </c>
      <c r="D31" s="147">
        <v>0</v>
      </c>
      <c r="E31" s="112">
        <f t="shared" ca="1" si="0"/>
        <v>-100000000</v>
      </c>
      <c r="F31" s="112">
        <f ca="1">-Stream1!F31</f>
        <v>-100000000</v>
      </c>
      <c r="G31" s="112">
        <f t="shared" ca="1" si="7"/>
        <v>-100000000</v>
      </c>
      <c r="H31" s="152" t="str">
        <f t="shared" ca="1" si="1"/>
        <v>Coupon</v>
      </c>
      <c r="I31" s="168">
        <f ca="1">IF(C31="#N/A",0,_xll.HLV5r3.Financial.Cache.GetValueFromBase(Stream2DiscountCurve, Swap!$F$4, Stream2!C31))</f>
        <v>0.95649907045762239</v>
      </c>
      <c r="J31" s="117">
        <f ca="1">IF(C31="#N/A","#N/A",_xll.HLV5r3.Financial.Cache.GetValueFromBase( Stream2ForwardCurve, Swap!$F$4, A31))</f>
        <v>0.95935263093771872</v>
      </c>
      <c r="K31" s="169">
        <f ca="1">IF(C31="#N/A","#N/A",_xll.HLV5r3.Financial.Cache.GetValueFromBase( Stream2ForwardCurve, Swap!$F$4, B31))</f>
        <v>0.95649907045762239</v>
      </c>
      <c r="L31" s="115">
        <f ca="1" xml:space="preserve"> IF(G31=0,0,_xll.HLV5r3.Financial.Cache.YearFraction( A31, B31,Swap!$G$25))</f>
        <v>8.2191780821917804E-2</v>
      </c>
      <c r="M31" s="143">
        <f ca="1">IF(J31="#N/A",0,IF($B$2="Fixed",Stream2FixedRate,_xll.HLV5r3.Analytics.Rates.GetRate(J31,K31,L31)+Stream2Spread))</f>
        <v>3.6297284803322463E-2</v>
      </c>
      <c r="N31" s="186">
        <f ca="1">IF(L31="#N/A",L31,IF(Swap!$G$26="Standard",L31*G31*M31,L31*G31*M31/(1+Stream2!L31*Stream2!M31)))</f>
        <v>-298333.84769854078</v>
      </c>
      <c r="O31" s="186">
        <f t="shared" ca="1" si="4"/>
        <v>-285356.04800970014</v>
      </c>
      <c r="P31" s="186">
        <f ca="1">IF($B$2="FIXED",0,IF(Swap!$G$26="FRA",_xll.HLV5r3.Analytics.Swaps.Delta0DiscountCoupon( G31, L31, M31, I31),_xll.HLV5r3.Analytics.Swaps.Delta0Coupon( G31, L31, M31, I31)))</f>
        <v>786.16361955421019</v>
      </c>
      <c r="Q31" s="180">
        <f ca="1">IF(U31=0,0,_xll.HLV5r3.Analytics.Swaps.Delta1ForAnAmount( N31, I31, Stream2CompoundingPeriod, U31))</f>
        <v>-38.149743907078083</v>
      </c>
      <c r="R31" s="79"/>
      <c r="S31" s="101">
        <f t="shared" ca="1" si="8"/>
        <v>44104</v>
      </c>
      <c r="T31" s="101">
        <f t="shared" ca="1" si="5"/>
        <v>44104</v>
      </c>
      <c r="U31" s="173">
        <f ca="1">IF(C31="#N/A",0,_xll.HLV5r3.Financial.Cache.YearFraction( ValuationDate, C31,"ACT/365.FIXED"))</f>
        <v>1.3479452054794521</v>
      </c>
      <c r="V31" s="79"/>
      <c r="W31" s="83"/>
      <c r="X31" s="207">
        <f ca="1"/>
        <v>44104</v>
      </c>
      <c r="Y31" s="82"/>
      <c r="Z31" s="82"/>
      <c r="AA31" s="85"/>
      <c r="AB31" s="86"/>
      <c r="AC31" s="82"/>
    </row>
    <row r="32" spans="1:29">
      <c r="A32" s="136">
        <f t="shared" ca="1" si="6"/>
        <v>44134</v>
      </c>
      <c r="B32" s="136">
        <f t="shared" ca="1" si="3"/>
        <v>44165</v>
      </c>
      <c r="C32" s="101">
        <f ca="1">IF(Swap!$G$26="Standard",B32,A32)</f>
        <v>44165</v>
      </c>
      <c r="D32" s="147">
        <v>0</v>
      </c>
      <c r="E32" s="112">
        <f t="shared" ca="1" si="0"/>
        <v>-100000000</v>
      </c>
      <c r="F32" s="112">
        <f ca="1">-Stream1!F32</f>
        <v>-100000000</v>
      </c>
      <c r="G32" s="112">
        <f t="shared" ca="1" si="7"/>
        <v>-100000000</v>
      </c>
      <c r="H32" s="152" t="str">
        <f t="shared" ca="1" si="1"/>
        <v>Coupon</v>
      </c>
      <c r="I32" s="168">
        <f ca="1">IF(C32="#N/A",0,_xll.HLV5r3.Financial.Cache.GetValueFromBase(Stream2DiscountCurve, Swap!$F$4, Stream2!C32))</f>
        <v>0.95352459068550899</v>
      </c>
      <c r="J32" s="117">
        <f ca="1">IF(C32="#N/A","#N/A",_xll.HLV5r3.Financial.Cache.GetValueFromBase( Stream2ForwardCurve, Swap!$F$4, A32))</f>
        <v>0.95649907045762239</v>
      </c>
      <c r="K32" s="169">
        <f ca="1">IF(C32="#N/A","#N/A",_xll.HLV5r3.Financial.Cache.GetValueFromBase( Stream2ForwardCurve, Swap!$F$4, B32))</f>
        <v>0.95352459068550899</v>
      </c>
      <c r="L32" s="115">
        <f ca="1" xml:space="preserve"> IF(G32=0,0,_xll.HLV5r3.Financial.Cache.YearFraction( A32, B32,Swap!$G$25))</f>
        <v>8.4931506849315067E-2</v>
      </c>
      <c r="M32" s="143">
        <f ca="1">IF(J32="#N/A",0,IF($B$2="Fixed",Stream2FixedRate,_xll.HLV5r3.Analytics.Rates.GetRate(J32,K32,L32)+Stream2Spread))</f>
        <v>3.6729100523189097E-2</v>
      </c>
      <c r="N32" s="186">
        <f ca="1">IF(L32="#N/A",L32,IF(Swap!$G$26="Standard",L32*G32*M32,L32*G32*M32/(1+Stream2!L32*Stream2!M32)))</f>
        <v>-311945.78526544163</v>
      </c>
      <c r="O32" s="186">
        <f t="shared" ca="1" si="4"/>
        <v>-297447.97721129993</v>
      </c>
      <c r="P32" s="186">
        <f ca="1">IF($B$2="FIXED",0,IF(Swap!$G$26="FRA",_xll.HLV5r3.Analytics.Swaps.Delta0DiscountCoupon( G32, L32, M32, I32),_xll.HLV5r3.Analytics.Swaps.Delta0Coupon( G32, L32, M32, I32)))</f>
        <v>809.84280304796653</v>
      </c>
      <c r="Q32" s="180">
        <f ca="1">IF(U32=0,0,_xll.HLV5r3.Analytics.Swaps.Delta1ForAnAmount( N32, I32, Stream2CompoundingPeriod, U32))</f>
        <v>-42.269652986803017</v>
      </c>
      <c r="R32" s="79"/>
      <c r="S32" s="101">
        <f t="shared" ca="1" si="8"/>
        <v>44134</v>
      </c>
      <c r="T32" s="101">
        <f t="shared" ca="1" si="5"/>
        <v>44134</v>
      </c>
      <c r="U32" s="173">
        <f ca="1">IF(C32="#N/A",0,_xll.HLV5r3.Financial.Cache.YearFraction( ValuationDate, C32,"ACT/365.FIXED"))</f>
        <v>1.4328767123287671</v>
      </c>
      <c r="V32" s="79"/>
      <c r="W32" s="83"/>
      <c r="X32" s="207">
        <f ca="1"/>
        <v>44134</v>
      </c>
      <c r="Y32" s="82"/>
      <c r="Z32" s="82"/>
      <c r="AA32" s="85"/>
      <c r="AB32" s="86"/>
      <c r="AC32" s="82"/>
    </row>
    <row r="33" spans="1:29">
      <c r="A33" s="136">
        <f t="shared" ca="1" si="6"/>
        <v>44165</v>
      </c>
      <c r="B33" s="136">
        <f t="shared" ca="1" si="3"/>
        <v>44196</v>
      </c>
      <c r="C33" s="101">
        <f ca="1">IF(Swap!$G$26="Standard",B33,A33)</f>
        <v>44196</v>
      </c>
      <c r="D33" s="147">
        <v>0</v>
      </c>
      <c r="E33" s="112">
        <f t="shared" ca="1" si="0"/>
        <v>-100000000</v>
      </c>
      <c r="F33" s="112">
        <f ca="1">-Stream1!F33</f>
        <v>-100000000</v>
      </c>
      <c r="G33" s="112">
        <f t="shared" ca="1" si="7"/>
        <v>-100000000</v>
      </c>
      <c r="H33" s="152" t="str">
        <f t="shared" ca="1" si="1"/>
        <v>Coupon</v>
      </c>
      <c r="I33" s="168">
        <f ca="1">IF(C33="#N/A",0,_xll.HLV5r3.Financial.Cache.GetValueFromBase(Stream2DiscountCurve, Swap!$F$4, Stream2!C33))</f>
        <v>0.95039550617890023</v>
      </c>
      <c r="J33" s="117">
        <f ca="1">IF(C33="#N/A","#N/A",_xll.HLV5r3.Financial.Cache.GetValueFromBase( Stream2ForwardCurve, Swap!$F$4, A33))</f>
        <v>0.95352459068550899</v>
      </c>
      <c r="K33" s="169">
        <f ca="1">IF(C33="#N/A","#N/A",_xll.HLV5r3.Financial.Cache.GetValueFromBase( Stream2ForwardCurve, Swap!$F$4, B33))</f>
        <v>0.95039550617890023</v>
      </c>
      <c r="L33" s="115">
        <f ca="1" xml:space="preserve"> IF(G33=0,0,_xll.HLV5r3.Financial.Cache.YearFraction( A33, B33,Swap!$G$25))</f>
        <v>8.4931506849315067E-2</v>
      </c>
      <c r="M33" s="143">
        <f ca="1">IF(J33="#N/A",0,IF($B$2="Fixed",Stream2FixedRate,_xll.HLV5r3.Analytics.Rates.GetRate(J33,K33,L33)+Stream2Spread))</f>
        <v>3.8765383853928456E-2</v>
      </c>
      <c r="N33" s="186">
        <f ca="1">IF(L33="#N/A",L33,IF(Swap!$G$26="Standard",L33*G33*M33,L33*G33*M33/(1+Stream2!L33*Stream2!M33)))</f>
        <v>-329240.24643062527</v>
      </c>
      <c r="O33" s="186">
        <f t="shared" ca="1" si="4"/>
        <v>-312908.45066089992</v>
      </c>
      <c r="P33" s="186">
        <f ca="1">IF($B$2="FIXED",0,IF(Swap!$G$26="FRA",_xll.HLV5r3.Analytics.Swaps.Delta0DiscountCoupon( G33, L33, M33, I33),_xll.HLV5r3.Analytics.Swaps.Delta0Coupon( G33, L33, M33, I33)))</f>
        <v>807.18522442591529</v>
      </c>
      <c r="Q33" s="180">
        <f ca="1">IF(U33=0,0,_xll.HLV5r3.Analytics.Swaps.Delta1ForAnAmount( N33, I33, Stream2CompoundingPeriod, U33))</f>
        <v>-47.098812788199069</v>
      </c>
      <c r="R33" s="79"/>
      <c r="S33" s="101">
        <f t="shared" ca="1" si="8"/>
        <v>44165</v>
      </c>
      <c r="T33" s="101">
        <f t="shared" ca="1" si="5"/>
        <v>44165</v>
      </c>
      <c r="U33" s="173">
        <f ca="1">IF(C33="#N/A",0,_xll.HLV5r3.Financial.Cache.YearFraction( ValuationDate, C33,"ACT/365.FIXED"))</f>
        <v>1.5178082191780822</v>
      </c>
      <c r="V33" s="79"/>
      <c r="W33" s="83"/>
      <c r="X33" s="207">
        <f ca="1"/>
        <v>44165</v>
      </c>
      <c r="Y33" s="82"/>
      <c r="Z33" s="82"/>
      <c r="AA33" s="85"/>
      <c r="AB33" s="86"/>
      <c r="AC33" s="82"/>
    </row>
    <row r="34" spans="1:29">
      <c r="A34" s="136">
        <f t="shared" ca="1" si="6"/>
        <v>44196</v>
      </c>
      <c r="B34" s="136">
        <f t="shared" ca="1" si="3"/>
        <v>44225</v>
      </c>
      <c r="C34" s="101">
        <f ca="1">IF(Swap!$G$26="Standard",B34,A34)</f>
        <v>44225</v>
      </c>
      <c r="D34" s="147">
        <v>0</v>
      </c>
      <c r="E34" s="112">
        <f t="shared" ca="1" si="0"/>
        <v>-100000000</v>
      </c>
      <c r="F34" s="112">
        <f ca="1">-Stream1!F34</f>
        <v>-100000000</v>
      </c>
      <c r="G34" s="112">
        <f t="shared" ca="1" si="7"/>
        <v>-100000000</v>
      </c>
      <c r="H34" s="152" t="str">
        <f t="shared" ca="1" si="1"/>
        <v>Coupon</v>
      </c>
      <c r="I34" s="168">
        <f ca="1">IF(C34="#N/A",0,_xll.HLV5r3.Financial.Cache.GetValueFromBase(Stream2DiscountCurve, Swap!$F$4, Stream2!C34))</f>
        <v>0.94737275328878534</v>
      </c>
      <c r="J34" s="117">
        <f ca="1">IF(C34="#N/A","#N/A",_xll.HLV5r3.Financial.Cache.GetValueFromBase( Stream2ForwardCurve, Swap!$F$4, A34))</f>
        <v>0.95039550617890023</v>
      </c>
      <c r="K34" s="169">
        <f ca="1">IF(C34="#N/A","#N/A",_xll.HLV5r3.Financial.Cache.GetValueFromBase( Stream2ForwardCurve, Swap!$F$4, B34))</f>
        <v>0.94737275328878534</v>
      </c>
      <c r="L34" s="115">
        <f ca="1" xml:space="preserve"> IF(G34=0,0,_xll.HLV5r3.Financial.Cache.YearFraction( A34, B34,Swap!$G$25))</f>
        <v>7.9452054794520555E-2</v>
      </c>
      <c r="M34" s="143">
        <f ca="1">IF(J34="#N/A",0,IF($B$2="Fixed",Stream2FixedRate,_xll.HLV5r3.Analytics.Rates.GetRate(J34,K34,L34)+Stream2Spread))</f>
        <v>4.0158420368397375E-2</v>
      </c>
      <c r="N34" s="186">
        <f ca="1">IF(L34="#N/A",L34,IF(Swap!$G$26="Standard",L34*G34*M34,L34*G34*M34/(1+Stream2!L34*Stream2!M34)))</f>
        <v>-319066.90155712987</v>
      </c>
      <c r="O34" s="186">
        <f t="shared" ca="1" si="4"/>
        <v>-302275.28901149996</v>
      </c>
      <c r="P34" s="186">
        <f ca="1">IF($B$2="FIXED",0,IF(Swap!$G$26="FRA",_xll.HLV5r3.Analytics.Swaps.Delta0DiscountCoupon( G34, L34, M34, I34),_xll.HLV5r3.Analytics.Swaps.Delta0Coupon( G34, L34, M34, I34)))</f>
        <v>752.70711905136375</v>
      </c>
      <c r="Q34" s="180">
        <f ca="1">IF(U34=0,0,_xll.HLV5r3.Analytics.Swaps.Delta1ForAnAmount( N34, I34, Stream2CompoundingPeriod, U34))</f>
        <v>-47.876114038338216</v>
      </c>
      <c r="R34" s="79"/>
      <c r="S34" s="101">
        <f t="shared" ca="1" si="8"/>
        <v>44196</v>
      </c>
      <c r="T34" s="101">
        <f t="shared" ca="1" si="5"/>
        <v>44196</v>
      </c>
      <c r="U34" s="173">
        <f ca="1">IF(C34="#N/A",0,_xll.HLV5r3.Financial.Cache.YearFraction( ValuationDate, C34,"ACT/365.FIXED"))</f>
        <v>1.5972602739726027</v>
      </c>
      <c r="V34" s="79"/>
      <c r="W34" s="83"/>
      <c r="X34" s="207">
        <f ca="1"/>
        <v>44196</v>
      </c>
      <c r="Y34" s="82"/>
      <c r="Z34" s="82"/>
      <c r="AA34" s="85"/>
      <c r="AB34" s="86"/>
      <c r="AC34" s="82"/>
    </row>
    <row r="35" spans="1:29">
      <c r="A35" s="136">
        <f t="shared" ca="1" si="6"/>
        <v>44225</v>
      </c>
      <c r="B35" s="136">
        <f t="shared" ca="1" si="3"/>
        <v>44253</v>
      </c>
      <c r="C35" s="101">
        <f ca="1">IF(Swap!$G$26="Standard",B35,A35)</f>
        <v>44253</v>
      </c>
      <c r="D35" s="147">
        <v>0</v>
      </c>
      <c r="E35" s="112">
        <f t="shared" ca="1" si="0"/>
        <v>-100000000</v>
      </c>
      <c r="F35" s="112">
        <f ca="1">-Stream1!F35</f>
        <v>-100000000</v>
      </c>
      <c r="G35" s="112">
        <f t="shared" ca="1" si="7"/>
        <v>-100000000</v>
      </c>
      <c r="H35" s="152" t="str">
        <f t="shared" ca="1" si="1"/>
        <v>Coupon</v>
      </c>
      <c r="I35" s="168">
        <f ca="1">IF(C35="#N/A",0,_xll.HLV5r3.Financial.Cache.GetValueFromBase(Stream2DiscountCurve, Swap!$F$4, Stream2!C35))</f>
        <v>0.94441682647776093</v>
      </c>
      <c r="J35" s="117">
        <f ca="1">IF(C35="#N/A","#N/A",_xll.HLV5r3.Financial.Cache.GetValueFromBase( Stream2ForwardCurve, Swap!$F$4, A35))</f>
        <v>0.94737275328878534</v>
      </c>
      <c r="K35" s="169">
        <f ca="1">IF(C35="#N/A","#N/A",_xll.HLV5r3.Financial.Cache.GetValueFromBase( Stream2ForwardCurve, Swap!$F$4, B35))</f>
        <v>0.94441682647776093</v>
      </c>
      <c r="L35" s="115">
        <f ca="1" xml:space="preserve"> IF(G35=0,0,_xll.HLV5r3.Financial.Cache.YearFraction( A35, B35,Swap!$G$25))</f>
        <v>7.6712328767123292E-2</v>
      </c>
      <c r="M35" s="143">
        <f ca="1">IF(J35="#N/A",0,IF($B$2="Fixed",Stream2FixedRate,_xll.HLV5r3.Analytics.Rates.GetRate(J35,K35,L35)+Stream2Spread))</f>
        <v>4.0800435017343255E-2</v>
      </c>
      <c r="N35" s="186">
        <f ca="1">IF(L35="#N/A",L35,IF(Swap!$G$26="Standard",L35*G35*M35,L35*G35*M35/(1+Stream2!L35*Stream2!M35)))</f>
        <v>-312989.63848920853</v>
      </c>
      <c r="O35" s="186">
        <f t="shared" ca="1" si="4"/>
        <v>-295592.68110240001</v>
      </c>
      <c r="P35" s="186">
        <f ca="1">IF($B$2="FIXED",0,IF(Swap!$G$26="FRA",_xll.HLV5r3.Analytics.Swaps.Delta0DiscountCoupon( G35, L35, M35, I35),_xll.HLV5r3.Analytics.Swaps.Delta0Coupon( G35, L35, M35, I35)))</f>
        <v>724.48414085965226</v>
      </c>
      <c r="Q35" s="180">
        <f ca="1">IF(U35=0,0,_xll.HLV5r3.Analytics.Swaps.Delta1ForAnAmount( N35, I35, Stream2CompoundingPeriod, U35))</f>
        <v>-49.06237744595127</v>
      </c>
      <c r="R35" s="79"/>
      <c r="S35" s="101">
        <f t="shared" ca="1" si="8"/>
        <v>44225</v>
      </c>
      <c r="T35" s="101">
        <f t="shared" ca="1" si="5"/>
        <v>44225</v>
      </c>
      <c r="U35" s="173">
        <f ca="1">IF(C35="#N/A",0,_xll.HLV5r3.Financial.Cache.YearFraction( ValuationDate, C35,"ACT/365.FIXED"))</f>
        <v>1.6739726027397259</v>
      </c>
      <c r="V35" s="79"/>
      <c r="W35" s="83"/>
      <c r="X35" s="207">
        <f ca="1"/>
        <v>44225</v>
      </c>
      <c r="Y35" s="82"/>
      <c r="Z35" s="82"/>
      <c r="AA35" s="85"/>
      <c r="AB35" s="86"/>
      <c r="AC35" s="82"/>
    </row>
    <row r="36" spans="1:29">
      <c r="A36" s="136">
        <f t="shared" ca="1" si="6"/>
        <v>44253</v>
      </c>
      <c r="B36" s="136">
        <f t="shared" ca="1" si="3"/>
        <v>44286</v>
      </c>
      <c r="C36" s="101">
        <f ca="1">IF(Swap!$G$26="Standard",B36,A36)</f>
        <v>44286</v>
      </c>
      <c r="D36" s="147">
        <v>0</v>
      </c>
      <c r="E36" s="112">
        <f t="shared" ca="1" si="0"/>
        <v>-100000000</v>
      </c>
      <c r="F36" s="112">
        <f ca="1">-Stream1!F36</f>
        <v>-100000000</v>
      </c>
      <c r="G36" s="112">
        <f t="shared" ca="1" si="7"/>
        <v>-100000000</v>
      </c>
      <c r="H36" s="152" t="str">
        <f t="shared" ca="1" si="1"/>
        <v>Coupon</v>
      </c>
      <c r="I36" s="168">
        <f ca="1">IF(C36="#N/A",0,_xll.HLV5r3.Financial.Cache.GetValueFromBase(Stream2DiscountCurve, Swap!$F$4, Stream2!C36))</f>
        <v>0.94081815199927554</v>
      </c>
      <c r="J36" s="117">
        <f ca="1">IF(C36="#N/A","#N/A",_xll.HLV5r3.Financial.Cache.GetValueFromBase( Stream2ForwardCurve, Swap!$F$4, A36))</f>
        <v>0.94441682647776093</v>
      </c>
      <c r="K36" s="169">
        <f ca="1">IF(C36="#N/A","#N/A",_xll.HLV5r3.Financial.Cache.GetValueFromBase( Stream2ForwardCurve, Swap!$F$4, B36))</f>
        <v>0.94081815199927554</v>
      </c>
      <c r="L36" s="115">
        <f ca="1" xml:space="preserve"> IF(G36=0,0,_xll.HLV5r3.Financial.Cache.YearFraction( A36, B36,Swap!$G$25))</f>
        <v>9.0410958904109592E-2</v>
      </c>
      <c r="M36" s="143">
        <f ca="1">IF(J36="#N/A",0,IF($B$2="Fixed",Stream2FixedRate,_xll.HLV5r3.Analytics.Rates.GetRate(J36,K36,L36)+Stream2Spread))</f>
        <v>4.2307347772038068E-2</v>
      </c>
      <c r="N36" s="186">
        <f ca="1">IF(L36="#N/A",L36,IF(Swap!$G$26="Standard",L36*G36*M36,L36*G36*M36/(1+Stream2!L36*Stream2!M36)))</f>
        <v>-382504.78807596065</v>
      </c>
      <c r="O36" s="186">
        <f t="shared" ca="1" si="4"/>
        <v>-359867.44784849981</v>
      </c>
      <c r="P36" s="186">
        <f ca="1">IF($B$2="FIXED",0,IF(Swap!$G$26="FRA",_xll.HLV5r3.Analytics.Swaps.Delta0DiscountCoupon( G36, L36, M36, I36),_xll.HLV5r3.Analytics.Swaps.Delta0Coupon( G36, L36, M36, I36)))</f>
        <v>850.60271276646836</v>
      </c>
      <c r="Q36" s="180">
        <f ca="1">IF(U36=0,0,_xll.HLV5r3.Analytics.Swaps.Delta1ForAnAmount( N36, I36, Stream2CompoundingPeriod, U36))</f>
        <v>-62.950278002963692</v>
      </c>
      <c r="R36" s="79"/>
      <c r="S36" s="101">
        <f t="shared" ca="1" si="8"/>
        <v>44253</v>
      </c>
      <c r="T36" s="101">
        <f t="shared" ca="1" si="5"/>
        <v>44253</v>
      </c>
      <c r="U36" s="173">
        <f ca="1">IF(C36="#N/A",0,_xll.HLV5r3.Financial.Cache.YearFraction( ValuationDate, C36,"ACT/365.FIXED"))</f>
        <v>1.7643835616438357</v>
      </c>
      <c r="V36" s="79"/>
      <c r="W36" s="83"/>
      <c r="X36" s="207">
        <f ca="1"/>
        <v>44253</v>
      </c>
      <c r="Y36" s="82"/>
      <c r="Z36" s="82"/>
      <c r="AA36" s="85"/>
      <c r="AB36" s="86"/>
      <c r="AC36" s="82"/>
    </row>
    <row r="37" spans="1:29">
      <c r="A37" s="136">
        <f t="shared" ca="1" si="6"/>
        <v>44286</v>
      </c>
      <c r="B37" s="136">
        <f t="shared" ca="1" si="3"/>
        <v>44316</v>
      </c>
      <c r="C37" s="101">
        <f ca="1">IF(Swap!$G$26="Standard",B37,A37)</f>
        <v>44316</v>
      </c>
      <c r="D37" s="147">
        <v>0</v>
      </c>
      <c r="E37" s="112">
        <f t="shared" ca="1" si="0"/>
        <v>-100000000</v>
      </c>
      <c r="F37" s="112">
        <f ca="1">-Stream1!F37</f>
        <v>-100000000</v>
      </c>
      <c r="G37" s="112">
        <f t="shared" ca="1" si="7"/>
        <v>-100000000</v>
      </c>
      <c r="H37" s="152" t="str">
        <f t="shared" ca="1" si="1"/>
        <v>Coupon</v>
      </c>
      <c r="I37" s="168">
        <f ca="1">IF(C37="#N/A",0,_xll.HLV5r3.Financial.Cache.GetValueFromBase(Stream2DiscountCurve, Swap!$F$4, Stream2!C37))</f>
        <v>0.93745573619159894</v>
      </c>
      <c r="J37" s="117">
        <f ca="1">IF(C37="#N/A","#N/A",_xll.HLV5r3.Financial.Cache.GetValueFromBase( Stream2ForwardCurve, Swap!$F$4, A37))</f>
        <v>0.94081815199927554</v>
      </c>
      <c r="K37" s="169">
        <f ca="1">IF(C37="#N/A","#N/A",_xll.HLV5r3.Financial.Cache.GetValueFromBase( Stream2ForwardCurve, Swap!$F$4, B37))</f>
        <v>0.93745573619159894</v>
      </c>
      <c r="L37" s="115">
        <f ca="1" xml:space="preserve"> IF(G37=0,0,_xll.HLV5r3.Financial.Cache.YearFraction( A37, B37,Swap!$G$25))</f>
        <v>8.2191780821917804E-2</v>
      </c>
      <c r="M37" s="143">
        <f ca="1">IF(J37="#N/A",0,IF($B$2="Fixed",Stream2FixedRate,_xll.HLV5r3.Analytics.Rates.GetRate(J37,K37,L37)+Stream2Spread))</f>
        <v>4.3638745540062168E-2</v>
      </c>
      <c r="N37" s="186">
        <f ca="1">IF(L37="#N/A",L37,IF(Swap!$G$26="Standard",L37*G37*M37,L37*G37*M37/(1+Stream2!L37*Stream2!M37)))</f>
        <v>-358674.62087722326</v>
      </c>
      <c r="O37" s="186">
        <f t="shared" ca="1" si="4"/>
        <v>-336241.58076769998</v>
      </c>
      <c r="P37" s="186">
        <f ca="1">IF($B$2="FIXED",0,IF(Swap!$G$26="FRA",_xll.HLV5r3.Analytics.Swaps.Delta0DiscountCoupon( G37, L37, M37, I37),_xll.HLV5r3.Analytics.Swaps.Delta0Coupon( G37, L37, M37, I37)))</f>
        <v>770.51156399309502</v>
      </c>
      <c r="Q37" s="180">
        <f ca="1">IF(U37=0,0,_xll.HLV5r3.Analytics.Swaps.Delta1ForAnAmount( N37, I37, Stream2CompoundingPeriod, U37))</f>
        <v>-61.551337009880882</v>
      </c>
      <c r="R37" s="79"/>
      <c r="S37" s="101">
        <f t="shared" ca="1" si="8"/>
        <v>44286</v>
      </c>
      <c r="T37" s="101">
        <f t="shared" ca="1" si="5"/>
        <v>44286</v>
      </c>
      <c r="U37" s="173">
        <f ca="1">IF(C37="#N/A",0,_xll.HLV5r3.Financial.Cache.YearFraction( ValuationDate, C37,"ACT/365.FIXED"))</f>
        <v>1.8465753424657534</v>
      </c>
      <c r="V37" s="79"/>
      <c r="W37" s="83"/>
      <c r="X37" s="207">
        <f ca="1"/>
        <v>44286</v>
      </c>
      <c r="Y37" s="82"/>
      <c r="Z37" s="82"/>
      <c r="AA37" s="85"/>
      <c r="AB37" s="86"/>
      <c r="AC37" s="82"/>
    </row>
    <row r="38" spans="1:29">
      <c r="A38" s="136">
        <f t="shared" ca="1" si="6"/>
        <v>44316</v>
      </c>
      <c r="B38" s="136">
        <f t="shared" ca="1" si="3"/>
        <v>44347</v>
      </c>
      <c r="C38" s="101">
        <f ca="1">IF(Swap!$G$26="Standard",B38,A38)</f>
        <v>44347</v>
      </c>
      <c r="D38" s="147">
        <v>0</v>
      </c>
      <c r="E38" s="112">
        <f t="shared" ca="1" si="0"/>
        <v>-100000000</v>
      </c>
      <c r="F38" s="112">
        <f ca="1">-Stream1!F38</f>
        <v>-100000000</v>
      </c>
      <c r="G38" s="112">
        <f t="shared" ca="1" si="7"/>
        <v>-100000000</v>
      </c>
      <c r="H38" s="152" t="str">
        <f t="shared" ca="1" si="1"/>
        <v>Coupon</v>
      </c>
      <c r="I38" s="168">
        <f ca="1">IF(C38="#N/A",0,_xll.HLV5r3.Financial.Cache.GetValueFromBase(Stream2DiscountCurve, Swap!$F$4, Stream2!C38))</f>
        <v>0.93392943847904619</v>
      </c>
      <c r="J38" s="117">
        <f ca="1">IF(C38="#N/A","#N/A",_xll.HLV5r3.Financial.Cache.GetValueFromBase( Stream2ForwardCurve, Swap!$F$4, A38))</f>
        <v>0.93745573619159894</v>
      </c>
      <c r="K38" s="169">
        <f ca="1">IF(C38="#N/A","#N/A",_xll.HLV5r3.Financial.Cache.GetValueFromBase( Stream2ForwardCurve, Swap!$F$4, B38))</f>
        <v>0.93392943847904619</v>
      </c>
      <c r="L38" s="115">
        <f ca="1" xml:space="preserve"> IF(G38=0,0,_xll.HLV5r3.Financial.Cache.YearFraction( A38, B38,Swap!$G$25))</f>
        <v>8.4931506849315067E-2</v>
      </c>
      <c r="M38" s="143">
        <f ca="1">IF(J38="#N/A",0,IF($B$2="Fixed",Stream2FixedRate,_xll.HLV5r3.Analytics.Rates.GetRate(J38,K38,L38)+Stream2Spread))</f>
        <v>4.4456583191606114E-2</v>
      </c>
      <c r="N38" s="186">
        <f ca="1">IF(L38="#N/A",L38,IF(Swap!$G$26="Standard",L38*G38*M38,L38*G38*M38/(1+Stream2!L38*Stream2!M38)))</f>
        <v>-377576.45998350403</v>
      </c>
      <c r="O38" s="186">
        <f t="shared" ca="1" si="4"/>
        <v>-352629.77125529997</v>
      </c>
      <c r="P38" s="186">
        <f ca="1">IF($B$2="FIXED",0,IF(Swap!$G$26="FRA",_xll.HLV5r3.Analytics.Swaps.Delta0DiscountCoupon( G38, L38, M38, I38),_xll.HLV5r3.Analytics.Swaps.Delta0Coupon( G38, L38, M38, I38)))</f>
        <v>793.20034500960082</v>
      </c>
      <c r="Q38" s="180">
        <f ca="1">IF(U38=0,0,_xll.HLV5r3.Analytics.Swaps.Delta1ForAnAmount( N38, I38, Stream2CompoundingPeriod, U38))</f>
        <v>-67.513371587235753</v>
      </c>
      <c r="R38" s="79"/>
      <c r="S38" s="101">
        <f t="shared" ca="1" si="8"/>
        <v>44316</v>
      </c>
      <c r="T38" s="101">
        <f t="shared" ca="1" si="5"/>
        <v>44316</v>
      </c>
      <c r="U38" s="173">
        <f ca="1">IF(C38="#N/A",0,_xll.HLV5r3.Financial.Cache.YearFraction( ValuationDate, C38,"ACT/365.FIXED"))</f>
        <v>1.9315068493150684</v>
      </c>
      <c r="V38" s="79"/>
      <c r="W38" s="11"/>
      <c r="X38" s="207">
        <f ca="1"/>
        <v>44316</v>
      </c>
      <c r="AA38" s="88"/>
      <c r="AB38" s="57"/>
      <c r="AC38" s="57"/>
    </row>
    <row r="39" spans="1:29">
      <c r="A39" s="136">
        <f t="shared" ca="1" si="6"/>
        <v>44347</v>
      </c>
      <c r="B39" s="136">
        <f t="shared" ca="1" si="3"/>
        <v>44377</v>
      </c>
      <c r="C39" s="101">
        <f ca="1">IF(Swap!$G$26="Standard",B39,A39)</f>
        <v>44377</v>
      </c>
      <c r="D39" s="147">
        <v>0</v>
      </c>
      <c r="E39" s="112">
        <f t="shared" ca="1" si="0"/>
        <v>-100000000</v>
      </c>
      <c r="F39" s="112">
        <f ca="1">-Stream1!F39</f>
        <v>-100000000</v>
      </c>
      <c r="G39" s="112">
        <f t="shared" ca="1" si="7"/>
        <v>-100000000</v>
      </c>
      <c r="H39" s="152" t="str">
        <f t="shared" ca="1" si="1"/>
        <v>Coupon</v>
      </c>
      <c r="I39" s="168">
        <f ca="1">IF(C39="#N/A",0,_xll.HLV5r3.Financial.Cache.GetValueFromBase(Stream2DiscountCurve, Swap!$F$4, Stream2!C39))</f>
        <v>0.93043083978600327</v>
      </c>
      <c r="J39" s="117">
        <f ca="1">IF(C39="#N/A","#N/A",_xll.HLV5r3.Financial.Cache.GetValueFromBase( Stream2ForwardCurve, Swap!$F$4, A39))</f>
        <v>0.93392943847904619</v>
      </c>
      <c r="K39" s="169">
        <f ca="1">IF(C39="#N/A","#N/A",_xll.HLV5r3.Financial.Cache.GetValueFromBase( Stream2ForwardCurve, Swap!$F$4, B39))</f>
        <v>0.93043083978600327</v>
      </c>
      <c r="L39" s="115">
        <f ca="1" xml:space="preserve"> IF(G39=0,0,_xll.HLV5r3.Financial.Cache.YearFraction( A39, B39,Swap!$G$25))</f>
        <v>8.2191780821917804E-2</v>
      </c>
      <c r="M39" s="143">
        <f ca="1">IF(J39="#N/A",0,IF($B$2="Fixed",Stream2FixedRate,_xll.HLV5r3.Analytics.Rates.GetRate(J39,K39,L39)+Stream2Spread))</f>
        <v>4.5749003879192118E-2</v>
      </c>
      <c r="N39" s="186">
        <f ca="1">IF(L39="#N/A",L39,IF(Swap!$G$26="Standard",L39*G39*M39,L39*G39*M39/(1+Stream2!L39*Stream2!M39)))</f>
        <v>-376019.20996596257</v>
      </c>
      <c r="O39" s="186">
        <f t="shared" ca="1" si="4"/>
        <v>-349859.86930430005</v>
      </c>
      <c r="P39" s="186">
        <f ca="1">IF($B$2="FIXED",0,IF(Swap!$G$26="FRA",_xll.HLV5r3.Analytics.Swaps.Delta0DiscountCoupon( G39, L39, M39, I39),_xll.HLV5r3.Analytics.Swaps.Delta0Coupon( G39, L39, M39, I39)))</f>
        <v>764.73767653644097</v>
      </c>
      <c r="Q39" s="180">
        <f ca="1">IF(U39=0,0,_xll.HLV5r3.Analytics.Swaps.Delta1ForAnAmount( N39, I39, Stream2CompoundingPeriod, U39))</f>
        <v>-69.826141572403657</v>
      </c>
      <c r="R39" s="79"/>
      <c r="S39" s="101">
        <f t="shared" ca="1" si="8"/>
        <v>44347</v>
      </c>
      <c r="T39" s="101">
        <f t="shared" ca="1" si="5"/>
        <v>44347</v>
      </c>
      <c r="U39" s="173">
        <f ca="1">IF(C39="#N/A",0,_xll.HLV5r3.Financial.Cache.YearFraction( ValuationDate, C39,"ACT/365.FIXED"))</f>
        <v>2.0136986301369864</v>
      </c>
      <c r="V39" s="79"/>
      <c r="W39" s="11"/>
      <c r="X39" s="207">
        <f ca="1"/>
        <v>44347</v>
      </c>
      <c r="AA39" s="88"/>
      <c r="AB39" s="57"/>
      <c r="AC39" s="57"/>
    </row>
    <row r="40" spans="1:29">
      <c r="A40" s="136">
        <f t="shared" ca="1" si="6"/>
        <v>44377</v>
      </c>
      <c r="B40" s="136">
        <f t="shared" ca="1" si="3"/>
        <v>44407</v>
      </c>
      <c r="C40" s="101">
        <f ca="1">IF(Swap!$G$26="Standard",B40,A40)</f>
        <v>44407</v>
      </c>
      <c r="D40" s="147">
        <v>0</v>
      </c>
      <c r="E40" s="112">
        <f t="shared" ca="1" si="0"/>
        <v>-100000000</v>
      </c>
      <c r="F40" s="112">
        <f ca="1">-Stream1!F40</f>
        <v>-100000000</v>
      </c>
      <c r="G40" s="112">
        <f t="shared" ca="1" si="7"/>
        <v>-100000000</v>
      </c>
      <c r="H40" s="152" t="str">
        <f t="shared" ca="1" si="1"/>
        <v>Coupon</v>
      </c>
      <c r="I40" s="168">
        <f ca="1">IF(C40="#N/A",0,_xll.HLV5r3.Financial.Cache.GetValueFromBase(Stream2DiscountCurve, Swap!$F$4, Stream2!C40))</f>
        <v>0.92686257750489465</v>
      </c>
      <c r="J40" s="117">
        <f ca="1">IF(C40="#N/A","#N/A",_xll.HLV5r3.Financial.Cache.GetValueFromBase( Stream2ForwardCurve, Swap!$F$4, A40))</f>
        <v>0.93043083978600327</v>
      </c>
      <c r="K40" s="169">
        <f ca="1">IF(C40="#N/A","#N/A",_xll.HLV5r3.Financial.Cache.GetValueFromBase( Stream2ForwardCurve, Swap!$F$4, B40))</f>
        <v>0.92686257750489465</v>
      </c>
      <c r="L40" s="115">
        <f ca="1" xml:space="preserve"> IF(G40=0,0,_xll.HLV5r3.Financial.Cache.YearFraction( A40, B40,Swap!$G$25))</f>
        <v>8.2191780821917804E-2</v>
      </c>
      <c r="M40" s="143">
        <f ca="1">IF(J40="#N/A",0,IF($B$2="Fixed",Stream2FixedRate,_xll.HLV5r3.Analytics.Rates.GetRate(J40,K40,L40)+Stream2Spread))</f>
        <v>4.6839584213606247E-2</v>
      </c>
      <c r="N40" s="186">
        <f ca="1">IF(L40="#N/A",L40,IF(Swap!$G$26="Standard",L40*G40*M40,L40*G40*M40/(1+Stream2!L40*Stream2!M40)))</f>
        <v>-384982.88394744857</v>
      </c>
      <c r="O40" s="186">
        <f t="shared" ca="1" si="4"/>
        <v>-356826.22811079992</v>
      </c>
      <c r="P40" s="186">
        <f ca="1">IF($B$2="FIXED",0,IF(Swap!$G$26="FRA",_xll.HLV5r3.Analytics.Swaps.Delta0DiscountCoupon( G40, L40, M40, I40),_xll.HLV5r3.Analytics.Swaps.Delta0Coupon( G40, L40, M40, I40)))</f>
        <v>761.80485822320099</v>
      </c>
      <c r="Q40" s="180">
        <f ca="1">IF(U40=0,0,_xll.HLV5r3.Analytics.Swaps.Delta1ForAnAmount( N40, I40, Stream2CompoundingPeriod, U40))</f>
        <v>-74.115426309967617</v>
      </c>
      <c r="R40" s="79"/>
      <c r="S40" s="101">
        <f t="shared" ca="1" si="8"/>
        <v>44377</v>
      </c>
      <c r="T40" s="101">
        <f t="shared" ca="1" si="5"/>
        <v>44377</v>
      </c>
      <c r="U40" s="173">
        <f ca="1">IF(C40="#N/A",0,_xll.HLV5r3.Financial.Cache.YearFraction( ValuationDate, C40,"ACT/365.FIXED"))</f>
        <v>2.095890410958904</v>
      </c>
      <c r="V40" s="79"/>
      <c r="W40" s="11"/>
      <c r="X40" s="207">
        <f ca="1"/>
        <v>44377</v>
      </c>
      <c r="AA40" s="88"/>
      <c r="AB40" s="57"/>
      <c r="AC40" s="57"/>
    </row>
    <row r="41" spans="1:29">
      <c r="A41" s="136">
        <f t="shared" ca="1" si="6"/>
        <v>44407</v>
      </c>
      <c r="B41" s="136">
        <f t="shared" ca="1" si="3"/>
        <v>44439</v>
      </c>
      <c r="C41" s="101">
        <f ca="1">IF(Swap!$G$26="Standard",B41,A41)</f>
        <v>44439</v>
      </c>
      <c r="D41" s="147">
        <v>0</v>
      </c>
      <c r="E41" s="112">
        <f t="shared" ca="1" si="0"/>
        <v>-100000000</v>
      </c>
      <c r="F41" s="112">
        <f ca="1">-Stream1!F41</f>
        <v>-100000000</v>
      </c>
      <c r="G41" s="112">
        <f t="shared" ca="1" si="7"/>
        <v>-100000000</v>
      </c>
      <c r="H41" s="152" t="str">
        <f t="shared" ca="1" si="1"/>
        <v>Coupon</v>
      </c>
      <c r="I41" s="168">
        <f ca="1">IF(C41="#N/A",0,_xll.HLV5r3.Financial.Cache.GetValueFromBase(Stream2DiscountCurve, Swap!$F$4, Stream2!C41))</f>
        <v>0.92299985763768166</v>
      </c>
      <c r="J41" s="117">
        <f ca="1">IF(C41="#N/A","#N/A",_xll.HLV5r3.Financial.Cache.GetValueFromBase( Stream2ForwardCurve, Swap!$F$4, A41))</f>
        <v>0.92686257750489465</v>
      </c>
      <c r="K41" s="169">
        <f ca="1">IF(C41="#N/A","#N/A",_xll.HLV5r3.Financial.Cache.GetValueFromBase( Stream2ForwardCurve, Swap!$F$4, B41))</f>
        <v>0.92299985763768166</v>
      </c>
      <c r="L41" s="115">
        <f ca="1" xml:space="preserve"> IF(G41=0,0,_xll.HLV5r3.Financial.Cache.YearFraction( A41, B41,Swap!$G$25))</f>
        <v>8.7671232876712329E-2</v>
      </c>
      <c r="M41" s="143">
        <f ca="1">IF(J41="#N/A",0,IF($B$2="Fixed",Stream2FixedRate,_xll.HLV5r3.Analytics.Rates.GetRate(J41,K41,L41)+Stream2Spread))</f>
        <v>4.7734729448564495E-2</v>
      </c>
      <c r="N41" s="186">
        <f ca="1">IF(L41="#N/A",L41,IF(Swap!$G$26="Standard",L41*G41*M41,L41*G41*M41/(1+Stream2!L41*Stream2!M41)))</f>
        <v>-418496.25817919557</v>
      </c>
      <c r="O41" s="186">
        <f t="shared" ca="1" si="4"/>
        <v>-386271.9867213</v>
      </c>
      <c r="P41" s="186">
        <f ca="1">IF($B$2="FIXED",0,IF(Swap!$G$26="FRA",_xll.HLV5r3.Analytics.Swaps.Delta0DiscountCoupon( G41, L41, M41, I41),_xll.HLV5r3.Analytics.Swaps.Delta0Coupon( G41, L41, M41, I41)))</f>
        <v>809.20535464125521</v>
      </c>
      <c r="Q41" s="180">
        <f ca="1">IF(U41=0,0,_xll.HLV5r3.Analytics.Swaps.Delta1ForAnAmount( N41, I41, Stream2CompoundingPeriod, U41))</f>
        <v>-83.578140594233147</v>
      </c>
      <c r="R41" s="79"/>
      <c r="S41" s="101">
        <f t="shared" ca="1" si="8"/>
        <v>44407</v>
      </c>
      <c r="T41" s="101">
        <f t="shared" ca="1" si="5"/>
        <v>44407</v>
      </c>
      <c r="U41" s="173">
        <f ca="1">IF(C41="#N/A",0,_xll.HLV5r3.Financial.Cache.YearFraction( ValuationDate, C41,"ACT/365.FIXED"))</f>
        <v>2.1835616438356165</v>
      </c>
      <c r="V41" s="79"/>
      <c r="W41" s="11"/>
      <c r="X41" s="207">
        <f ca="1"/>
        <v>44407</v>
      </c>
      <c r="AA41" s="88"/>
      <c r="AB41" s="57"/>
      <c r="AC41" s="57"/>
    </row>
    <row r="42" spans="1:29">
      <c r="A42" s="136">
        <f t="shared" ca="1" si="6"/>
        <v>44439</v>
      </c>
      <c r="B42" s="136">
        <f t="shared" ca="1" si="3"/>
        <v>44469</v>
      </c>
      <c r="C42" s="101">
        <f ca="1">IF(Swap!$G$26="Standard",B42,A42)</f>
        <v>44469</v>
      </c>
      <c r="D42" s="147">
        <v>0</v>
      </c>
      <c r="E42" s="112">
        <f t="shared" ca="1" si="0"/>
        <v>-100000000</v>
      </c>
      <c r="F42" s="112">
        <f ca="1">-Stream1!F42</f>
        <v>-100000000</v>
      </c>
      <c r="G42" s="112">
        <f t="shared" ca="1" si="7"/>
        <v>-100000000</v>
      </c>
      <c r="H42" s="152" t="str">
        <f t="shared" ca="1" si="1"/>
        <v>Coupon</v>
      </c>
      <c r="I42" s="168">
        <f ca="1">IF(C42="#N/A",0,_xll.HLV5r3.Financial.Cache.GetValueFromBase(Stream2DiscountCurve, Swap!$F$4, Stream2!C42))</f>
        <v>0.91923725254811495</v>
      </c>
      <c r="J42" s="117">
        <f ca="1">IF(C42="#N/A","#N/A",_xll.HLV5r3.Financial.Cache.GetValueFromBase( Stream2ForwardCurve, Swap!$F$4, A42))</f>
        <v>0.92299985763768166</v>
      </c>
      <c r="K42" s="169">
        <f ca="1">IF(C42="#N/A","#N/A",_xll.HLV5r3.Financial.Cache.GetValueFromBase( Stream2ForwardCurve, Swap!$F$4, B42))</f>
        <v>0.91923725254811495</v>
      </c>
      <c r="L42" s="115">
        <f ca="1" xml:space="preserve"> IF(G42=0,0,_xll.HLV5r3.Financial.Cache.YearFraction( A42, B42,Swap!$G$25))</f>
        <v>8.2191780821917804E-2</v>
      </c>
      <c r="M42" s="143">
        <f ca="1">IF(J42="#N/A",0,IF($B$2="Fixed",Stream2FixedRate,_xll.HLV5r3.Analytics.Rates.GetRate(J42,K42,L42)+Stream2Spread))</f>
        <v>4.9800377210745192E-2</v>
      </c>
      <c r="N42" s="186">
        <f ca="1">IF(L42="#N/A",L42,IF(Swap!$G$26="Standard",L42*G42*M42,L42*G42*M42/(1+Stream2!L42*Stream2!M42)))</f>
        <v>-409318.16885543993</v>
      </c>
      <c r="O42" s="186">
        <f t="shared" ca="1" si="4"/>
        <v>-376260.50895669998</v>
      </c>
      <c r="P42" s="186">
        <f ca="1">IF($B$2="FIXED",0,IF(Swap!$G$26="FRA",_xll.HLV5r3.Analytics.Swaps.Delta0DiscountCoupon( G42, L42, M42, I42),_xll.HLV5r3.Analytics.Swaps.Delta0Coupon( G42, L42, M42, I42)))</f>
        <v>755.5374678477657</v>
      </c>
      <c r="Q42" s="180">
        <f ca="1">IF(U42=0,0,_xll.HLV5r3.Analytics.Swaps.Delta1ForAnAmount( N42, I42, Stream2CompoundingPeriod, U42))</f>
        <v>-84.466514097526769</v>
      </c>
      <c r="R42" s="79"/>
      <c r="S42" s="101">
        <f t="shared" ca="1" si="8"/>
        <v>44439</v>
      </c>
      <c r="T42" s="101">
        <f t="shared" ca="1" si="5"/>
        <v>44439</v>
      </c>
      <c r="U42" s="173">
        <f ca="1">IF(C42="#N/A",0,_xll.HLV5r3.Financial.Cache.YearFraction( ValuationDate, C42,"ACT/365.FIXED"))</f>
        <v>2.2657534246575342</v>
      </c>
      <c r="V42" s="79"/>
      <c r="W42" s="11"/>
      <c r="X42" s="207">
        <f ca="1"/>
        <v>44439</v>
      </c>
      <c r="AA42" s="88"/>
      <c r="AB42" s="57"/>
      <c r="AC42" s="57"/>
    </row>
    <row r="43" spans="1:29">
      <c r="A43" s="136">
        <f t="shared" ca="1" si="6"/>
        <v>44469</v>
      </c>
      <c r="B43" s="136">
        <f t="shared" ca="1" si="3"/>
        <v>44498</v>
      </c>
      <c r="C43" s="101">
        <f ca="1">IF(Swap!$G$26="Standard",B43,A43)</f>
        <v>44498</v>
      </c>
      <c r="D43" s="147">
        <v>0</v>
      </c>
      <c r="E43" s="112">
        <f t="shared" ca="1" si="0"/>
        <v>-100000000</v>
      </c>
      <c r="F43" s="112">
        <f ca="1">-Stream1!F43</f>
        <v>-100000000</v>
      </c>
      <c r="G43" s="112">
        <f t="shared" ca="1" si="7"/>
        <v>-100000000</v>
      </c>
      <c r="H43" s="152" t="str">
        <f t="shared" ca="1" si="1"/>
        <v>Coupon</v>
      </c>
      <c r="I43" s="168">
        <f ca="1">IF(C43="#N/A",0,_xll.HLV5r3.Financial.Cache.GetValueFromBase(Stream2DiscountCurve, Swap!$F$4, Stream2!C43))</f>
        <v>0.91550926023328261</v>
      </c>
      <c r="J43" s="117">
        <f ca="1">IF(C43="#N/A","#N/A",_xll.HLV5r3.Financial.Cache.GetValueFromBase( Stream2ForwardCurve, Swap!$F$4, A43))</f>
        <v>0.91923725254811495</v>
      </c>
      <c r="K43" s="169">
        <f ca="1">IF(C43="#N/A","#N/A",_xll.HLV5r3.Financial.Cache.GetValueFromBase( Stream2ForwardCurve, Swap!$F$4, B43))</f>
        <v>0.91550926023328261</v>
      </c>
      <c r="L43" s="115">
        <f ca="1" xml:space="preserve"> IF(G43=0,0,_xll.HLV5r3.Financial.Cache.YearFraction( A43, B43,Swap!$G$25))</f>
        <v>7.9452054794520555E-2</v>
      </c>
      <c r="M43" s="143">
        <f ca="1">IF(J43="#N/A",0,IF($B$2="Fixed",Stream2FixedRate,_xll.HLV5r3.Analytics.Rates.GetRate(J43,K43,L43)+Stream2Spread))</f>
        <v>5.1251565244980916E-2</v>
      </c>
      <c r="N43" s="186">
        <f ca="1">IF(L43="#N/A",L43,IF(Swap!$G$26="Standard",L43*G43*M43,L43*G43*M43/(1+Stream2!L43*Stream2!M43)))</f>
        <v>-407204.21701491694</v>
      </c>
      <c r="O43" s="186">
        <f t="shared" ca="1" si="4"/>
        <v>-372799.23148319969</v>
      </c>
      <c r="P43" s="186">
        <f ca="1">IF($B$2="FIXED",0,IF(Swap!$G$26="FRA",_xll.HLV5r3.Analytics.Swaps.Delta0DiscountCoupon( G43, L43, M43, I43),_xll.HLV5r3.Analytics.Swaps.Delta0Coupon( G43, L43, M43, I43)))</f>
        <v>727.3909190894575</v>
      </c>
      <c r="Q43" s="180">
        <f ca="1">IF(U43=0,0,_xll.HLV5r3.Analytics.Swaps.Delta1ForAnAmount( N43, I43, Stream2CompoundingPeriod, U43))</f>
        <v>-86.614030329026363</v>
      </c>
      <c r="R43" s="79"/>
      <c r="S43" s="101">
        <f t="shared" ca="1" si="8"/>
        <v>44469</v>
      </c>
      <c r="T43" s="101">
        <f t="shared" ca="1" si="5"/>
        <v>44469</v>
      </c>
      <c r="U43" s="173">
        <f ca="1">IF(C43="#N/A",0,_xll.HLV5r3.Financial.Cache.YearFraction( ValuationDate, C43,"ACT/365.FIXED"))</f>
        <v>2.3452054794520549</v>
      </c>
      <c r="V43" s="79"/>
      <c r="W43" s="11"/>
      <c r="X43" s="207">
        <f ca="1"/>
        <v>44469</v>
      </c>
      <c r="AA43" s="88"/>
      <c r="AB43" s="57"/>
      <c r="AC43" s="57"/>
    </row>
    <row r="44" spans="1:29">
      <c r="A44" s="136">
        <f t="shared" ca="1" si="6"/>
        <v>44498</v>
      </c>
      <c r="B44" s="136">
        <f t="shared" ca="1" si="3"/>
        <v>44530</v>
      </c>
      <c r="C44" s="101">
        <f ca="1">IF(Swap!$G$26="Standard",B44,A44)</f>
        <v>44530</v>
      </c>
      <c r="D44" s="147">
        <v>0</v>
      </c>
      <c r="E44" s="112">
        <f t="shared" ca="1" si="0"/>
        <v>-100000000</v>
      </c>
      <c r="F44" s="112">
        <f ca="1">-Stream1!F44</f>
        <v>-100000000</v>
      </c>
      <c r="G44" s="112">
        <f t="shared" ca="1" si="7"/>
        <v>-100000000</v>
      </c>
      <c r="H44" s="152" t="str">
        <f t="shared" ca="1" si="1"/>
        <v>Coupon</v>
      </c>
      <c r="I44" s="168">
        <f ca="1">IF(C44="#N/A",0,_xll.HLV5r3.Financial.Cache.GetValueFromBase(Stream2DiscountCurve, Swap!$F$4, Stream2!C44))</f>
        <v>0.91133369721643054</v>
      </c>
      <c r="J44" s="117">
        <f ca="1">IF(C44="#N/A","#N/A",_xll.HLV5r3.Financial.Cache.GetValueFromBase( Stream2ForwardCurve, Swap!$F$4, A44))</f>
        <v>0.91550926023328261</v>
      </c>
      <c r="K44" s="169">
        <f ca="1">IF(C44="#N/A","#N/A",_xll.HLV5r3.Financial.Cache.GetValueFromBase( Stream2ForwardCurve, Swap!$F$4, B44))</f>
        <v>0.91133369721643054</v>
      </c>
      <c r="L44" s="115">
        <f ca="1" xml:space="preserve"> IF(G44=0,0,_xll.HLV5r3.Financial.Cache.YearFraction( A44, B44,Swap!$G$25))</f>
        <v>8.7671232876712329E-2</v>
      </c>
      <c r="M44" s="143">
        <f ca="1">IF(J44="#N/A",0,IF($B$2="Fixed",Stream2FixedRate,_xll.HLV5r3.Analytics.Rates.GetRate(J44,K44,L44)+Stream2Spread))</f>
        <v>5.2261335015309079E-2</v>
      </c>
      <c r="N44" s="186">
        <f ca="1">IF(L44="#N/A",L44,IF(Swap!$G$26="Standard",L44*G44*M44,L44*G44*M44/(1+Stream2!L44*Stream2!M44)))</f>
        <v>-458181.56725750427</v>
      </c>
      <c r="O44" s="186">
        <f t="shared" ca="1" si="4"/>
        <v>-417556.30168520001</v>
      </c>
      <c r="P44" s="186">
        <f ca="1">IF($B$2="FIXED",0,IF(Swap!$G$26="FRA",_xll.HLV5r3.Analytics.Swaps.Delta0DiscountCoupon( G44, L44, M44, I44),_xll.HLV5r3.Analytics.Swaps.Delta0Coupon( G44, L44, M44, I44)))</f>
        <v>798.9774879705692</v>
      </c>
      <c r="Q44" s="180">
        <f ca="1">IF(U44=0,0,_xll.HLV5r3.Analytics.Swaps.Delta1ForAnAmount( N44, I44, Stream2CompoundingPeriod, U44))</f>
        <v>-100.62624750932027</v>
      </c>
      <c r="R44" s="79"/>
      <c r="S44" s="101">
        <f t="shared" ca="1" si="8"/>
        <v>44498</v>
      </c>
      <c r="T44" s="101">
        <f t="shared" ca="1" si="5"/>
        <v>44498</v>
      </c>
      <c r="U44" s="173">
        <f ca="1">IF(C44="#N/A",0,_xll.HLV5r3.Financial.Cache.YearFraction( ValuationDate, C44,"ACT/365.FIXED"))</f>
        <v>2.4328767123287673</v>
      </c>
      <c r="V44" s="79"/>
      <c r="W44" s="11"/>
      <c r="X44" s="207">
        <f ca="1"/>
        <v>44498</v>
      </c>
      <c r="AA44" s="88"/>
      <c r="AB44" s="57"/>
      <c r="AC44" s="57"/>
    </row>
    <row r="45" spans="1:29">
      <c r="A45" s="136">
        <f t="shared" ca="1" si="6"/>
        <v>44530</v>
      </c>
      <c r="B45" s="136">
        <f t="shared" ca="1" si="3"/>
        <v>44561</v>
      </c>
      <c r="C45" s="101">
        <f ca="1">IF(Swap!$G$26="Standard",B45,A45)</f>
        <v>44561</v>
      </c>
      <c r="D45" s="147">
        <v>0</v>
      </c>
      <c r="E45" s="112">
        <f t="shared" ca="1" si="0"/>
        <v>-100000000</v>
      </c>
      <c r="F45" s="112">
        <f ca="1">-Stream1!F45</f>
        <v>-100000000</v>
      </c>
      <c r="G45" s="112">
        <f t="shared" ca="1" si="7"/>
        <v>-100000000</v>
      </c>
      <c r="H45" s="152" t="str">
        <f t="shared" ca="1" si="1"/>
        <v>Coupon</v>
      </c>
      <c r="I45" s="168">
        <f ca="1">IF(C45="#N/A",0,_xll.HLV5r3.Financial.Cache.GetValueFromBase(Stream2DiscountCurve, Swap!$F$4, Stream2!C45))</f>
        <v>0.90722765494732915</v>
      </c>
      <c r="J45" s="117">
        <f ca="1">IF(C45="#N/A","#N/A",_xll.HLV5r3.Financial.Cache.GetValueFromBase( Stream2ForwardCurve, Swap!$F$4, A45))</f>
        <v>0.91133369721643054</v>
      </c>
      <c r="K45" s="169">
        <f ca="1">IF(C45="#N/A","#N/A",_xll.HLV5r3.Financial.Cache.GetValueFromBase( Stream2ForwardCurve, Swap!$F$4, B45))</f>
        <v>0.90722765494732915</v>
      </c>
      <c r="L45" s="115">
        <f ca="1" xml:space="preserve"> IF(G45=0,0,_xll.HLV5r3.Financial.Cache.YearFraction( A45, B45,Swap!$G$25))</f>
        <v>8.4931506849315067E-2</v>
      </c>
      <c r="M45" s="143">
        <f ca="1">IF(J45="#N/A",0,IF($B$2="Fixed",Stream2FixedRate,_xll.HLV5r3.Analytics.Rates.GetRate(J45,K45,L45)+Stream2Spread))</f>
        <v>5.3289090263757728E-2</v>
      </c>
      <c r="N45" s="186">
        <f ca="1">IF(L45="#N/A",L45,IF(Swap!$G$26="Standard",L45*G45*M45,L45*G45*M45/(1+Stream2!L45*Stream2!M45)))</f>
        <v>-452592.27347301086</v>
      </c>
      <c r="O45" s="186">
        <f t="shared" ca="1" si="4"/>
        <v>-410604.22691019991</v>
      </c>
      <c r="P45" s="186">
        <f ca="1">IF($B$2="FIXED",0,IF(Swap!$G$26="FRA",_xll.HLV5r3.Analytics.Swaps.Delta0DiscountCoupon( G45, L45, M45, I45),_xll.HLV5r3.Analytics.Swaps.Delta0Coupon( G45, L45, M45, I45)))</f>
        <v>770.52211790047136</v>
      </c>
      <c r="Q45" s="180">
        <f ca="1">IF(U45=0,0,_xll.HLV5r3.Analytics.Swaps.Delta1ForAnAmount( N45, I45, Stream2CompoundingPeriod, U45))</f>
        <v>-102.39240922741953</v>
      </c>
      <c r="R45" s="79"/>
      <c r="S45" s="101">
        <f t="shared" ca="1" si="8"/>
        <v>44530</v>
      </c>
      <c r="T45" s="101">
        <f t="shared" ca="1" si="5"/>
        <v>44530</v>
      </c>
      <c r="U45" s="173">
        <f ca="1">IF(C45="#N/A",0,_xll.HLV5r3.Financial.Cache.YearFraction( ValuationDate, C45,"ACT/365.FIXED"))</f>
        <v>2.5178082191780824</v>
      </c>
      <c r="V45" s="79"/>
      <c r="W45" s="11"/>
      <c r="X45" s="207">
        <f ca="1"/>
        <v>44530</v>
      </c>
      <c r="AA45" s="88"/>
      <c r="AB45" s="57"/>
      <c r="AC45" s="57"/>
    </row>
    <row r="46" spans="1:29">
      <c r="A46" s="136">
        <f t="shared" ca="1" si="6"/>
        <v>44561</v>
      </c>
      <c r="B46" s="136">
        <f t="shared" ca="1" si="3"/>
        <v>44592</v>
      </c>
      <c r="C46" s="101">
        <f ca="1">IF(Swap!$G$26="Standard",B46,A46)</f>
        <v>44592</v>
      </c>
      <c r="D46" s="147">
        <v>0</v>
      </c>
      <c r="E46" s="112">
        <f t="shared" ca="1" si="0"/>
        <v>-100000000</v>
      </c>
      <c r="F46" s="112">
        <f ca="1">-Stream1!F46</f>
        <v>-100000000</v>
      </c>
      <c r="G46" s="112">
        <f t="shared" ca="1" si="7"/>
        <v>-100000000</v>
      </c>
      <c r="H46" s="152" t="str">
        <f t="shared" ca="1" si="1"/>
        <v>Coupon</v>
      </c>
      <c r="I46" s="168">
        <f ca="1">IF(C46="#N/A",0,_xll.HLV5r3.Financial.Cache.GetValueFromBase(Stream2DiscountCurve, Swap!$F$4, Stream2!C46))</f>
        <v>0.90306261353513972</v>
      </c>
      <c r="J46" s="117">
        <f ca="1">IF(C46="#N/A","#N/A",_xll.HLV5r3.Financial.Cache.GetValueFromBase( Stream2ForwardCurve, Swap!$F$4, A46))</f>
        <v>0.90722765494732915</v>
      </c>
      <c r="K46" s="169">
        <f ca="1">IF(C46="#N/A","#N/A",_xll.HLV5r3.Financial.Cache.GetValueFromBase( Stream2ForwardCurve, Swap!$F$4, B46))</f>
        <v>0.90306261353513972</v>
      </c>
      <c r="L46" s="115">
        <f ca="1" xml:space="preserve"> IF(G46=0,0,_xll.HLV5r3.Financial.Cache.YearFraction( A46, B46,Swap!$G$25))</f>
        <v>8.4931506849315067E-2</v>
      </c>
      <c r="M46" s="143">
        <f ca="1">IF(J46="#N/A",0,IF($B$2="Fixed",Stream2FixedRate,_xll.HLV5r3.Analytics.Rates.GetRate(J46,K46,L46)+Stream2Spread))</f>
        <v>5.430410138693284E-2</v>
      </c>
      <c r="N46" s="186">
        <f ca="1">IF(L46="#N/A",L46,IF(Swap!$G$26="Standard",L46*G46*M46,L46*G46*M46/(1+Stream2!L46*Stream2!M46)))</f>
        <v>-461212.91588901868</v>
      </c>
      <c r="O46" s="186">
        <f t="shared" ca="1" si="4"/>
        <v>-416504.14121889981</v>
      </c>
      <c r="P46" s="186">
        <f ca="1">IF($B$2="FIXED",0,IF(Swap!$G$26="FRA",_xll.HLV5r3.Analytics.Swaps.Delta0DiscountCoupon( G46, L46, M46, I46),_xll.HLV5r3.Analytics.Swaps.Delta0Coupon( G46, L46, M46, I46)))</f>
        <v>766.98468546820084</v>
      </c>
      <c r="Q46" s="180">
        <f ca="1">IF(U46=0,0,_xll.HLV5r3.Analytics.Swaps.Delta1ForAnAmount( N46, I46, Stream2CompoundingPeriod, U46))</f>
        <v>-107.35378042587273</v>
      </c>
      <c r="R46" s="79"/>
      <c r="S46" s="101">
        <f t="shared" ca="1" si="8"/>
        <v>44561</v>
      </c>
      <c r="T46" s="101">
        <f t="shared" ca="1" si="5"/>
        <v>44561</v>
      </c>
      <c r="U46" s="173">
        <f ca="1">IF(C46="#N/A",0,_xll.HLV5r3.Financial.Cache.YearFraction( ValuationDate, C46,"ACT/365.FIXED"))</f>
        <v>2.6027397260273974</v>
      </c>
      <c r="V46" s="79"/>
      <c r="W46" s="11"/>
      <c r="X46" s="207">
        <f ca="1"/>
        <v>44561</v>
      </c>
      <c r="AA46" s="88"/>
      <c r="AB46" s="57"/>
      <c r="AC46" s="57"/>
    </row>
    <row r="47" spans="1:29">
      <c r="A47" s="136">
        <f t="shared" ca="1" si="6"/>
        <v>44592</v>
      </c>
      <c r="B47" s="136">
        <f t="shared" ca="1" si="3"/>
        <v>44620</v>
      </c>
      <c r="C47" s="101">
        <f ca="1">IF(Swap!$G$26="Standard",B47,A47)</f>
        <v>44620</v>
      </c>
      <c r="D47" s="147">
        <v>0</v>
      </c>
      <c r="E47" s="112">
        <f t="shared" ca="1" si="0"/>
        <v>-100000000</v>
      </c>
      <c r="F47" s="112">
        <f ca="1">-Stream1!F47</f>
        <v>-100000000</v>
      </c>
      <c r="G47" s="112">
        <f t="shared" ca="1" si="7"/>
        <v>-100000000</v>
      </c>
      <c r="H47" s="152" t="str">
        <f t="shared" ca="1" si="1"/>
        <v>Coupon</v>
      </c>
      <c r="I47" s="168">
        <f ca="1">IF(C47="#N/A",0,_xll.HLV5r3.Financial.Cache.GetValueFromBase(Stream2DiscountCurve, Swap!$F$4, Stream2!C47))</f>
        <v>0.89925076010082639</v>
      </c>
      <c r="J47" s="117">
        <f ca="1">IF(C47="#N/A","#N/A",_xll.HLV5r3.Financial.Cache.GetValueFromBase( Stream2ForwardCurve, Swap!$F$4, A47))</f>
        <v>0.90306261353513972</v>
      </c>
      <c r="K47" s="169">
        <f ca="1">IF(C47="#N/A","#N/A",_xll.HLV5r3.Financial.Cache.GetValueFromBase( Stream2ForwardCurve, Swap!$F$4, B47))</f>
        <v>0.89925076010082639</v>
      </c>
      <c r="L47" s="115">
        <f ca="1" xml:space="preserve"> IF(G47=0,0,_xll.HLV5r3.Financial.Cache.YearFraction( A47, B47,Swap!$G$25))</f>
        <v>7.6712328767123292E-2</v>
      </c>
      <c r="M47" s="143">
        <f ca="1">IF(J47="#N/A",0,IF($B$2="Fixed",Stream2FixedRate,_xll.HLV5r3.Analytics.Rates.GetRate(J47,K47,L47)+Stream2Spread))</f>
        <v>5.5257370328121475E-2</v>
      </c>
      <c r="N47" s="186">
        <f ca="1">IF(L47="#N/A",L47,IF(Swap!$G$26="Standard",L47*G47*M47,L47*G47*M47/(1+Stream2!L47*Stream2!M47)))</f>
        <v>-423892.15594175376</v>
      </c>
      <c r="O47" s="186">
        <f t="shared" ca="1" si="4"/>
        <v>-381185.34343140008</v>
      </c>
      <c r="P47" s="186">
        <f ca="1">IF($B$2="FIXED",0,IF(Swap!$G$26="FRA",_xll.HLV5r3.Analytics.Swaps.Delta0DiscountCoupon( G47, L47, M47, I47),_xll.HLV5r3.Analytics.Swaps.Delta0Coupon( G47, L47, M47, I47)))</f>
        <v>689.83619952940114</v>
      </c>
      <c r="Q47" s="180">
        <f ca="1">IF(U47=0,0,_xll.HLV5r3.Analytics.Swaps.Delta1ForAnAmount( N47, I47, Stream2CompoundingPeriod, U47))</f>
        <v>-101.13472993136028</v>
      </c>
      <c r="R47" s="79"/>
      <c r="S47" s="101">
        <f t="shared" ca="1" si="8"/>
        <v>44592</v>
      </c>
      <c r="T47" s="101">
        <f t="shared" ca="1" si="5"/>
        <v>44592</v>
      </c>
      <c r="U47" s="173">
        <f ca="1">IF(C47="#N/A",0,_xll.HLV5r3.Financial.Cache.YearFraction( ValuationDate, C47,"ACT/365.FIXED"))</f>
        <v>2.6794520547945204</v>
      </c>
      <c r="V47" s="79"/>
      <c r="W47" s="11"/>
      <c r="X47" s="207">
        <f ca="1"/>
        <v>44592</v>
      </c>
      <c r="AA47" s="88"/>
      <c r="AB47" s="57"/>
      <c r="AC47" s="57"/>
    </row>
    <row r="48" spans="1:29">
      <c r="A48" s="136">
        <f t="shared" ca="1" si="6"/>
        <v>44620</v>
      </c>
      <c r="B48" s="136">
        <f t="shared" ca="1" si="3"/>
        <v>44651</v>
      </c>
      <c r="C48" s="101">
        <f ca="1">IF(Swap!$G$26="Standard",B48,A48)</f>
        <v>44651</v>
      </c>
      <c r="D48" s="147">
        <v>0</v>
      </c>
      <c r="E48" s="112">
        <f t="shared" ref="E48:E79" ca="1" si="9">IF(C48="#N/A",0,IF($A$2="Pays",-Stream2Notional,Stream2Notional) )</f>
        <v>-100000000</v>
      </c>
      <c r="F48" s="112">
        <f ca="1">-Stream1!F48</f>
        <v>-100000000</v>
      </c>
      <c r="G48" s="112">
        <f t="shared" ca="1" si="7"/>
        <v>-100000000</v>
      </c>
      <c r="H48" s="152" t="str">
        <f t="shared" ca="1" si="1"/>
        <v>Coupon</v>
      </c>
      <c r="I48" s="168">
        <f ca="1">IF(C48="#N/A",0,_xll.HLV5r3.Financial.Cache.GetValueFromBase(Stream2DiscountCurve, Swap!$F$4, Stream2!C48))</f>
        <v>0.89497619741570478</v>
      </c>
      <c r="J48" s="117">
        <f ca="1">IF(C48="#N/A","#N/A",_xll.HLV5r3.Financial.Cache.GetValueFromBase( Stream2ForwardCurve, Swap!$F$4, A48))</f>
        <v>0.89925076010082639</v>
      </c>
      <c r="K48" s="169">
        <f ca="1">IF(C48="#N/A","#N/A",_xll.HLV5r3.Financial.Cache.GetValueFromBase( Stream2ForwardCurve, Swap!$F$4, B48))</f>
        <v>0.89497619741570478</v>
      </c>
      <c r="L48" s="115">
        <f ca="1" xml:space="preserve"> IF(G48=0,0,_xll.HLV5r3.Financial.Cache.YearFraction( A48, B48,Swap!$G$25))</f>
        <v>8.4931506849315067E-2</v>
      </c>
      <c r="M48" s="143">
        <f ca="1">IF(J48="#N/A",0,IF($B$2="Fixed",Stream2FixedRate,_xll.HLV5r3.Analytics.Rates.GetRate(J48,K48,L48)+Stream2Spread))</f>
        <v>5.6235605521864469E-2</v>
      </c>
      <c r="N48" s="186">
        <f ca="1">IF(L48="#N/A",L48,IF(Swap!$G$26="Standard",L48*G48*M48,L48*G48*M48/(1+Stream2!L48*Stream2!M48)))</f>
        <v>-477617.47155556129</v>
      </c>
      <c r="O48" s="186">
        <f t="shared" ca="1" si="4"/>
        <v>-427456.26851209981</v>
      </c>
      <c r="P48" s="186">
        <f ca="1">IF($B$2="FIXED",0,IF(Swap!$G$26="FRA",_xll.HLV5r3.Analytics.Swaps.Delta0DiscountCoupon( G48, L48, M48, I48),_xll.HLV5r3.Analytics.Swaps.Delta0Coupon( G48, L48, M48, I48)))</f>
        <v>760.11677040785878</v>
      </c>
      <c r="Q48" s="180">
        <f ca="1">IF(U48=0,0,_xll.HLV5r3.Analytics.Swaps.Delta1ForAnAmount( N48, I48, Stream2CompoundingPeriod, U48))</f>
        <v>-116.99134449503188</v>
      </c>
      <c r="R48" s="79"/>
      <c r="S48" s="101">
        <f t="shared" ca="1" si="8"/>
        <v>44620</v>
      </c>
      <c r="T48" s="101">
        <f t="shared" ca="1" si="5"/>
        <v>44620</v>
      </c>
      <c r="U48" s="173">
        <f ca="1">IF(C48="#N/A",0,_xll.HLV5r3.Financial.Cache.YearFraction( ValuationDate, C48,"ACT/365.FIXED"))</f>
        <v>2.7643835616438355</v>
      </c>
      <c r="V48" s="79"/>
      <c r="W48" s="11"/>
      <c r="X48" s="207">
        <f ca="1"/>
        <v>44620</v>
      </c>
      <c r="AB48" s="57"/>
      <c r="AC48" s="57"/>
    </row>
    <row r="49" spans="1:29">
      <c r="A49" s="136">
        <f t="shared" ca="1" si="6"/>
        <v>44651</v>
      </c>
      <c r="B49" s="136">
        <f t="shared" ca="1" si="3"/>
        <v>44680</v>
      </c>
      <c r="C49" s="101">
        <f ca="1">IF(Swap!$G$26="Standard",B49,A49)</f>
        <v>44680</v>
      </c>
      <c r="D49" s="147">
        <v>0</v>
      </c>
      <c r="E49" s="112">
        <f t="shared" ca="1" si="9"/>
        <v>-100000000</v>
      </c>
      <c r="F49" s="112">
        <f ca="1">-Stream1!F49</f>
        <v>-100000000</v>
      </c>
      <c r="G49" s="112">
        <f t="shared" ca="1" si="7"/>
        <v>-100000000</v>
      </c>
      <c r="H49" s="152" t="str">
        <f t="shared" ca="1" si="1"/>
        <v>Coupon</v>
      </c>
      <c r="I49" s="168">
        <f ca="1">IF(C49="#N/A",0,_xll.HLV5r3.Financial.Cache.GetValueFromBase(Stream2DiscountCurve, Swap!$F$4, Stream2!C49))</f>
        <v>0.89092663033327402</v>
      </c>
      <c r="J49" s="117">
        <f ca="1">IF(C49="#N/A","#N/A",_xll.HLV5r3.Financial.Cache.GetValueFromBase( Stream2ForwardCurve, Swap!$F$4, A49))</f>
        <v>0.89497619741570478</v>
      </c>
      <c r="K49" s="169">
        <f ca="1">IF(C49="#N/A","#N/A",_xll.HLV5r3.Financial.Cache.GetValueFromBase( Stream2ForwardCurve, Swap!$F$4, B49))</f>
        <v>0.89092663033327402</v>
      </c>
      <c r="L49" s="115">
        <f ca="1" xml:space="preserve"> IF(G49=0,0,_xll.HLV5r3.Financial.Cache.YearFraction( A49, B49,Swap!$G$25))</f>
        <v>7.9452054794520555E-2</v>
      </c>
      <c r="M49" s="143">
        <f ca="1">IF(J49="#N/A",0,IF($B$2="Fixed",Stream2FixedRate,_xll.HLV5r3.Analytics.Rates.GetRate(J49,K49,L49)+Stream2Spread))</f>
        <v>5.7208626844924046E-2</v>
      </c>
      <c r="N49" s="186">
        <f ca="1">IF(L49="#N/A",L49,IF(Swap!$G$26="Standard",L49*G49*M49,L49*G49*M49/(1+Stream2!L49*Stream2!M49)))</f>
        <v>-454534.29548021848</v>
      </c>
      <c r="O49" s="186">
        <f t="shared" ca="1" si="4"/>
        <v>-404956.70824309974</v>
      </c>
      <c r="P49" s="186">
        <f ca="1">IF($B$2="FIXED",0,IF(Swap!$G$26="FRA",_xll.HLV5r3.Analytics.Swaps.Delta0DiscountCoupon( G49, L49, M49, I49),_xll.HLV5r3.Analytics.Swaps.Delta0Coupon( G49, L49, M49, I49)))</f>
        <v>707.8595145113685</v>
      </c>
      <c r="Q49" s="180">
        <f ca="1">IF(U49=0,0,_xll.HLV5r3.Analytics.Swaps.Delta1ForAnAmount( N49, I49, Stream2CompoundingPeriod, U49))</f>
        <v>-114.00553929420867</v>
      </c>
      <c r="R49" s="79"/>
      <c r="S49" s="101">
        <f t="shared" ca="1" si="8"/>
        <v>44651</v>
      </c>
      <c r="T49" s="101">
        <f t="shared" ca="1" si="5"/>
        <v>44651</v>
      </c>
      <c r="U49" s="173">
        <f ca="1">IF(C49="#N/A",0,_xll.HLV5r3.Financial.Cache.YearFraction( ValuationDate, C49,"ACT/365.FIXED"))</f>
        <v>2.8438356164383563</v>
      </c>
      <c r="V49" s="79"/>
      <c r="W49" s="11"/>
      <c r="X49" s="207">
        <f ca="1"/>
        <v>44651</v>
      </c>
      <c r="AB49" s="57"/>
      <c r="AC49" s="57"/>
    </row>
    <row r="50" spans="1:29">
      <c r="A50" s="136">
        <f t="shared" ca="1" si="6"/>
        <v>44680</v>
      </c>
      <c r="B50" s="136">
        <f t="shared" ca="1" si="3"/>
        <v>44771</v>
      </c>
      <c r="C50" s="101">
        <f ca="1">IF(Swap!$G$26="Standard",B50,A50)</f>
        <v>44771</v>
      </c>
      <c r="D50" s="147">
        <v>0</v>
      </c>
      <c r="E50" s="112">
        <f t="shared" ca="1" si="9"/>
        <v>-100000000</v>
      </c>
      <c r="F50" s="112">
        <f ca="1">-Stream1!F50</f>
        <v>-100000000</v>
      </c>
      <c r="G50" s="112">
        <f t="shared" ca="1" si="7"/>
        <v>-100000000</v>
      </c>
      <c r="H50" s="152" t="str">
        <f t="shared" ref="H50:H108" ca="1" si="10">IF(C50="#N/A","#NA","Coupon" )</f>
        <v>Coupon</v>
      </c>
      <c r="I50" s="168">
        <f ca="1">IF(C50="#N/A",0,_xll.HLV5r3.Financial.Cache.GetValueFromBase(Stream2DiscountCurve, Swap!$F$4, Stream2!C50))</f>
        <v>0.87836290577228482</v>
      </c>
      <c r="J50" s="117">
        <f ca="1">IF(C50="#N/A","#N/A",_xll.HLV5r3.Financial.Cache.GetValueFromBase( Stream2ForwardCurve, Swap!$F$4, A50))</f>
        <v>0.89092663033327402</v>
      </c>
      <c r="K50" s="169">
        <f ca="1">IF(C50="#N/A","#N/A",_xll.HLV5r3.Financial.Cache.GetValueFromBase( Stream2ForwardCurve, Swap!$F$4, B50))</f>
        <v>0.87836290577228482</v>
      </c>
      <c r="L50" s="115">
        <f ca="1" xml:space="preserve"> IF(G50=0,0,_xll.HLV5r3.Financial.Cache.YearFraction( A50, B50,Swap!$G$25))</f>
        <v>0.24931506849315069</v>
      </c>
      <c r="M50" s="143">
        <f ca="1">IF(J50="#N/A",0,IF($B$2="Fixed",Stream2FixedRate,_xll.HLV5r3.Analytics.Rates.GetRate(J50,K50,L50)+Stream2Spread))</f>
        <v>5.7371458676197661E-2</v>
      </c>
      <c r="N50" s="186">
        <f ca="1">IF(L50="#N/A",L50,IF(Swap!$G$26="Standard",L50*G50*M50,L50*G50*M50/(1+Stream2!L50*Stream2!M50)))</f>
        <v>-1430356.9149408184</v>
      </c>
      <c r="O50" s="186">
        <f t="shared" ca="1" si="4"/>
        <v>-1256372.4560988981</v>
      </c>
      <c r="P50" s="186">
        <f ca="1">IF($B$2="FIXED",0,IF(Swap!$G$26="FRA",_xll.HLV5r3.Analytics.Swaps.Delta0DiscountCoupon( G50, L50, M50, I50),_xll.HLV5r3.Analytics.Swaps.Delta0Coupon( G50, L50, M50, I50)))</f>
        <v>2189.8910801446004</v>
      </c>
      <c r="Q50" s="180">
        <f ca="1">IF(U50=0,0,_xll.HLV5r3.Analytics.Swaps.Delta1ForAnAmount( N50, I50, Stream2CompoundingPeriod, U50))</f>
        <v>-384.58354677637061</v>
      </c>
      <c r="R50" s="79"/>
      <c r="S50" s="101">
        <f t="shared" ca="1" si="8"/>
        <v>44680</v>
      </c>
      <c r="T50" s="101">
        <f t="shared" ca="1" si="5"/>
        <v>44680</v>
      </c>
      <c r="U50" s="173">
        <f ca="1">IF(C50="#N/A",0,_xll.HLV5r3.Financial.Cache.YearFraction( ValuationDate, C50,"ACT/365.FIXED"))</f>
        <v>3.0931506849315067</v>
      </c>
      <c r="V50" s="79"/>
      <c r="W50" s="11"/>
      <c r="X50" s="207">
        <f ca="1"/>
        <v>44680</v>
      </c>
      <c r="AB50" s="57"/>
      <c r="AC50" s="57"/>
    </row>
    <row r="51" spans="1:29">
      <c r="A51" s="136">
        <f t="shared" ca="1" si="6"/>
        <v>44771</v>
      </c>
      <c r="B51" s="136">
        <f t="shared" ca="1" si="3"/>
        <v>44865</v>
      </c>
      <c r="C51" s="101">
        <f ca="1">IF(Swap!$G$26="Standard",B51,A51)</f>
        <v>44865</v>
      </c>
      <c r="D51" s="147">
        <v>0</v>
      </c>
      <c r="E51" s="112">
        <f t="shared" ca="1" si="9"/>
        <v>-100000000</v>
      </c>
      <c r="F51" s="112">
        <f ca="1">-Stream1!F51</f>
        <v>-100000000</v>
      </c>
      <c r="G51" s="112">
        <f t="shared" ca="1" si="7"/>
        <v>-100000000</v>
      </c>
      <c r="H51" s="152" t="str">
        <f t="shared" ca="1" si="10"/>
        <v>Coupon</v>
      </c>
      <c r="I51" s="168">
        <f ca="1">IF(C51="#N/A",0,_xll.HLV5r3.Financial.Cache.GetValueFromBase(Stream2DiscountCurve, Swap!$F$4, Stream2!C51))</f>
        <v>0.86589545288486869</v>
      </c>
      <c r="J51" s="117">
        <f ca="1">IF(C51="#N/A","#N/A",_xll.HLV5r3.Financial.Cache.GetValueFromBase( Stream2ForwardCurve, Swap!$F$4, A51))</f>
        <v>0.87836290577228482</v>
      </c>
      <c r="K51" s="169">
        <f ca="1">IF(C51="#N/A","#N/A",_xll.HLV5r3.Financial.Cache.GetValueFromBase( Stream2ForwardCurve, Swap!$F$4, B51))</f>
        <v>0.86589545288486869</v>
      </c>
      <c r="L51" s="115">
        <f ca="1" xml:space="preserve"> IF(G51=0,0,_xll.HLV5r3.Financial.Cache.YearFraction( A51, B51,Swap!$G$25))</f>
        <v>0.25753424657534246</v>
      </c>
      <c r="M51" s="143">
        <f ca="1">IF(J51="#N/A",0,IF($B$2="Fixed",Stream2FixedRate,_xll.HLV5r3.Analytics.Rates.GetRate(J51,K51,L51)+Stream2Spread))</f>
        <v>5.5908428824279967E-2</v>
      </c>
      <c r="N51" s="186">
        <f ca="1">IF(L51="#N/A",L51,IF(Swap!$G$26="Standard",L51*G51*M51,L51*G51*M51/(1+Stream2!L51*Stream2!M51)))</f>
        <v>-1439833.50944721</v>
      </c>
      <c r="O51" s="186">
        <f t="shared" ca="1" si="4"/>
        <v>-1246745.2887416019</v>
      </c>
      <c r="P51" s="186">
        <f ca="1">IF($B$2="FIXED",0,IF(Swap!$G$26="FRA",_xll.HLV5r3.Analytics.Swaps.Delta0DiscountCoupon( G51, L51, M51, I51),_xll.HLV5r3.Analytics.Swaps.Delta0Coupon( G51, L51, M51, I51)))</f>
        <v>2229.9773307171959</v>
      </c>
      <c r="Q51" s="180">
        <f ca="1">IF(U51=0,0,_xll.HLV5r3.Analytics.Swaps.Delta1ForAnAmount( N51, I51, Stream2CompoundingPeriod, U51))</f>
        <v>-413.30476351805925</v>
      </c>
      <c r="R51" s="79"/>
      <c r="S51" s="101">
        <f t="shared" ca="1" si="8"/>
        <v>44771</v>
      </c>
      <c r="T51" s="101">
        <f t="shared" ca="1" si="5"/>
        <v>44771</v>
      </c>
      <c r="U51" s="173">
        <f ca="1">IF(C51="#N/A",0,_xll.HLV5r3.Financial.Cache.YearFraction( ValuationDate, C51,"ACT/365.FIXED"))</f>
        <v>3.3506849315068492</v>
      </c>
      <c r="V51" s="79"/>
      <c r="X51" s="207">
        <f ca="1"/>
        <v>44771</v>
      </c>
    </row>
    <row r="52" spans="1:29">
      <c r="A52" s="136">
        <f t="shared" ca="1" si="6"/>
        <v>44865</v>
      </c>
      <c r="B52" s="136">
        <f t="shared" ca="1" si="3"/>
        <v>44957</v>
      </c>
      <c r="C52" s="101">
        <f ca="1">IF(Swap!$G$26="Standard",B52,A52)</f>
        <v>44957</v>
      </c>
      <c r="D52" s="147">
        <v>0</v>
      </c>
      <c r="E52" s="112">
        <f t="shared" ca="1" si="9"/>
        <v>-100000000</v>
      </c>
      <c r="F52" s="112">
        <f ca="1">-Stream1!F52</f>
        <v>-100000000</v>
      </c>
      <c r="G52" s="112">
        <f t="shared" ca="1" si="7"/>
        <v>-100000000</v>
      </c>
      <c r="H52" s="152" t="str">
        <f t="shared" ca="1" si="10"/>
        <v>Coupon</v>
      </c>
      <c r="I52" s="168">
        <f ca="1">IF(C52="#N/A",0,_xll.HLV5r3.Financial.Cache.GetValueFromBase(Stream2DiscountCurve, Swap!$F$4, Stream2!C52))</f>
        <v>0.85342106909707593</v>
      </c>
      <c r="J52" s="117">
        <f ca="1">IF(C52="#N/A","#N/A",_xll.HLV5r3.Financial.Cache.GetValueFromBase( Stream2ForwardCurve, Swap!$F$4, A52))</f>
        <v>0.86589545288486869</v>
      </c>
      <c r="K52" s="169">
        <f ca="1">IF(C52="#N/A","#N/A",_xll.HLV5r3.Financial.Cache.GetValueFromBase( Stream2ForwardCurve, Swap!$F$4, B52))</f>
        <v>0.85342106909707593</v>
      </c>
      <c r="L52" s="115">
        <f ca="1" xml:space="preserve"> IF(G52=0,0,_xll.HLV5r3.Financial.Cache.YearFraction( A52, B52,Swap!$G$25))</f>
        <v>0.25205479452054796</v>
      </c>
      <c r="M52" s="143">
        <f ca="1">IF(J52="#N/A",0,IF($B$2="Fixed",Stream2FixedRate,_xll.HLV5r3.Analytics.Rates.GetRate(J52,K52,L52)+Stream2Spread))</f>
        <v>5.7991024078124676E-2</v>
      </c>
      <c r="N52" s="186">
        <f ca="1">IF(L52="#N/A",L52,IF(Swap!$G$26="Standard",L52*G52*M52,L52*G52*M52/(1+Stream2!L52*Stream2!M52)))</f>
        <v>-1461691.5658047863</v>
      </c>
      <c r="O52" s="186">
        <f t="shared" ca="1" si="4"/>
        <v>-1247438.3787792996</v>
      </c>
      <c r="P52" s="186">
        <f ca="1">IF($B$2="FIXED",0,IF(Swap!$G$26="FRA",_xll.HLV5r3.Analytics.Swaps.Delta0DiscountCoupon( G52, L52, M52, I52),_xll.HLV5r3.Analytics.Swaps.Delta0Coupon( G52, L52, M52, I52)))</f>
        <v>2151.0887221076982</v>
      </c>
      <c r="Q52" s="180">
        <f ca="1">IF(U52=0,0,_xll.HLV5r3.Analytics.Swaps.Delta1ForAnAmount( N52, I52, Stream2CompoundingPeriod, U52))</f>
        <v>-444.53031221838728</v>
      </c>
      <c r="R52" s="79"/>
      <c r="S52" s="101">
        <f t="shared" ca="1" si="8"/>
        <v>44865</v>
      </c>
      <c r="T52" s="101">
        <f t="shared" ca="1" si="5"/>
        <v>44865</v>
      </c>
      <c r="U52" s="173">
        <f ca="1">IF(C52="#N/A",0,_xll.HLV5r3.Financial.Cache.YearFraction( ValuationDate, C52,"ACT/365.FIXED"))</f>
        <v>3.6027397260273974</v>
      </c>
      <c r="V52" s="79"/>
      <c r="X52" s="207">
        <f ca="1"/>
        <v>44865</v>
      </c>
    </row>
    <row r="53" spans="1:29">
      <c r="A53" s="136">
        <f t="shared" ca="1" si="6"/>
        <v>44957</v>
      </c>
      <c r="B53" s="136">
        <f t="shared" ca="1" si="3"/>
        <v>45044</v>
      </c>
      <c r="C53" s="101">
        <f ca="1">IF(Swap!$G$26="Standard",B53,A53)</f>
        <v>45044</v>
      </c>
      <c r="D53" s="147">
        <v>0</v>
      </c>
      <c r="E53" s="112">
        <f t="shared" ca="1" si="9"/>
        <v>-100000000</v>
      </c>
      <c r="F53" s="112">
        <f ca="1">-Stream1!F53</f>
        <v>-100000000</v>
      </c>
      <c r="G53" s="112">
        <f t="shared" ca="1" si="7"/>
        <v>-100000000</v>
      </c>
      <c r="H53" s="152" t="str">
        <f t="shared" ca="1" si="10"/>
        <v>Coupon</v>
      </c>
      <c r="I53" s="168">
        <f ca="1">IF(C53="#N/A",0,_xll.HLV5r3.Financial.Cache.GetValueFromBase(Stream2DiscountCurve, Swap!$F$4, Stream2!C53))</f>
        <v>0.84139218437584806</v>
      </c>
      <c r="J53" s="117">
        <f ca="1">IF(C53="#N/A","#N/A",_xll.HLV5r3.Financial.Cache.GetValueFromBase( Stream2ForwardCurve, Swap!$F$4, A53))</f>
        <v>0.85342106909707593</v>
      </c>
      <c r="K53" s="169">
        <f ca="1">IF(C53="#N/A","#N/A",_xll.HLV5r3.Financial.Cache.GetValueFromBase( Stream2ForwardCurve, Swap!$F$4, B53))</f>
        <v>0.84139218437584806</v>
      </c>
      <c r="L53" s="115">
        <f ca="1" xml:space="preserve"> IF(G53=0,0,_xll.HLV5r3.Financial.Cache.YearFraction( A53, B53,Swap!$G$25))</f>
        <v>0.23835616438356164</v>
      </c>
      <c r="M53" s="143">
        <f ca="1">IF(J53="#N/A",0,IF($B$2="Fixed",Stream2FixedRate,_xll.HLV5r3.Analytics.Rates.GetRate(J53,K53,L53)+Stream2Spread))</f>
        <v>5.9979176832364513E-2</v>
      </c>
      <c r="N53" s="186">
        <f ca="1">IF(L53="#N/A",L53,IF(Swap!$G$26="Standard",L53*G53*M53,L53*G53*M53/(1+Stream2!L53*Stream2!M53)))</f>
        <v>-1429640.6532645789</v>
      </c>
      <c r="O53" s="186">
        <f t="shared" ca="1" si="4"/>
        <v>-1202888.4721227984</v>
      </c>
      <c r="P53" s="186">
        <f ca="1">IF($B$2="FIXED",0,IF(Swap!$G$26="FRA",_xll.HLV5r3.Analytics.Swaps.Delta0DiscountCoupon( G53, L53, M53, I53),_xll.HLV5r3.Analytics.Swaps.Delta0Coupon( G53, L53, M53, I53)))</f>
        <v>2005.5101381013365</v>
      </c>
      <c r="Q53" s="180">
        <f ca="1">IF(U53=0,0,_xll.HLV5r3.Analytics.Swaps.Delta1ForAnAmount( N53, I53, Stream2CompoundingPeriod, U53))</f>
        <v>-456.90532947415107</v>
      </c>
      <c r="R53" s="79"/>
      <c r="S53" s="101">
        <f t="shared" ca="1" si="8"/>
        <v>44957</v>
      </c>
      <c r="T53" s="101">
        <f t="shared" ca="1" si="5"/>
        <v>44957</v>
      </c>
      <c r="U53" s="173">
        <f ca="1">IF(C53="#N/A",0,_xll.HLV5r3.Financial.Cache.YearFraction( ValuationDate, C53,"ACT/365.FIXED"))</f>
        <v>3.8410958904109589</v>
      </c>
      <c r="V53" s="79"/>
      <c r="X53" s="207">
        <f ca="1"/>
        <v>44957</v>
      </c>
    </row>
    <row r="54" spans="1:29">
      <c r="A54" s="136">
        <f t="shared" ca="1" si="6"/>
        <v>45044</v>
      </c>
      <c r="B54" s="136">
        <f t="shared" ca="1" si="3"/>
        <v>45138</v>
      </c>
      <c r="C54" s="101">
        <f ca="1">IF(Swap!$G$26="Standard",B54,A54)</f>
        <v>45138</v>
      </c>
      <c r="D54" s="147">
        <v>0</v>
      </c>
      <c r="E54" s="112">
        <f t="shared" ca="1" si="9"/>
        <v>-100000000</v>
      </c>
      <c r="F54" s="112">
        <f ca="1">-Stream1!F54</f>
        <v>-100000000</v>
      </c>
      <c r="G54" s="112">
        <f t="shared" ca="1" si="7"/>
        <v>-100000000</v>
      </c>
      <c r="H54" s="152" t="str">
        <f t="shared" ca="1" si="10"/>
        <v>Coupon</v>
      </c>
      <c r="I54" s="168">
        <f ca="1">IF(C54="#N/A",0,_xll.HLV5r3.Financial.Cache.GetValueFromBase(Stream2DiscountCurve, Swap!$F$4, Stream2!C54))</f>
        <v>0.82872081229900696</v>
      </c>
      <c r="J54" s="117">
        <f ca="1">IF(C54="#N/A","#N/A",_xll.HLV5r3.Financial.Cache.GetValueFromBase( Stream2ForwardCurve, Swap!$F$4, A54))</f>
        <v>0.84139218437584806</v>
      </c>
      <c r="K54" s="169">
        <f ca="1">IF(C54="#N/A","#N/A",_xll.HLV5r3.Financial.Cache.GetValueFromBase( Stream2ForwardCurve, Swap!$F$4, B54))</f>
        <v>0.82872081229900696</v>
      </c>
      <c r="L54" s="115">
        <f ca="1" xml:space="preserve"> IF(G54=0,0,_xll.HLV5r3.Financial.Cache.YearFraction( A54, B54,Swap!$G$25))</f>
        <v>0.25753424657534246</v>
      </c>
      <c r="M54" s="143">
        <f ca="1">IF(J54="#N/A",0,IF($B$2="Fixed",Stream2FixedRate,_xll.HLV5r3.Analytics.Rates.GetRate(J54,K54,L54)+Stream2Spread))</f>
        <v>5.9371826362386436E-2</v>
      </c>
      <c r="N54" s="186">
        <f ca="1">IF(L54="#N/A",L54,IF(Swap!$G$26="Standard",L54*G54*M54,L54*G54*M54/(1+Stream2!L54*Stream2!M54)))</f>
        <v>-1529027.8570039247</v>
      </c>
      <c r="O54" s="186">
        <f t="shared" ca="1" si="4"/>
        <v>-1267137.2076841022</v>
      </c>
      <c r="P54" s="186">
        <f ca="1">IF($B$2="FIXED",0,IF(Swap!$G$26="FRA",_xll.HLV5r3.Analytics.Swaps.Delta0DiscountCoupon( G54, L54, M54, I54),_xll.HLV5r3.Analytics.Swaps.Delta0Coupon( G54, L54, M54, I54)))</f>
        <v>2134.2399001673057</v>
      </c>
      <c r="Q54" s="180">
        <f ca="1">IF(U54=0,0,_xll.HLV5r3.Analytics.Swaps.Delta1ForAnAmount( N54, I54, Stream2CompoundingPeriod, U54))</f>
        <v>-513.46861405055472</v>
      </c>
      <c r="R54" s="79"/>
      <c r="S54" s="101">
        <f t="shared" ca="1" si="8"/>
        <v>45044</v>
      </c>
      <c r="T54" s="101">
        <f t="shared" ca="1" si="5"/>
        <v>45044</v>
      </c>
      <c r="U54" s="173">
        <f ca="1">IF(C54="#N/A",0,_xll.HLV5r3.Financial.Cache.YearFraction( ValuationDate, C54,"ACT/365.FIXED"))</f>
        <v>4.0986301369863014</v>
      </c>
      <c r="V54" s="79"/>
      <c r="X54" s="207">
        <f ca="1"/>
        <v>45044</v>
      </c>
    </row>
    <row r="55" spans="1:29">
      <c r="A55" s="136">
        <f t="shared" ca="1" si="6"/>
        <v>45138</v>
      </c>
      <c r="B55" s="136">
        <f t="shared" ca="1" si="3"/>
        <v>45230</v>
      </c>
      <c r="C55" s="101">
        <f ca="1">IF(Swap!$G$26="Standard",B55,A55)</f>
        <v>45230</v>
      </c>
      <c r="D55" s="147">
        <v>0</v>
      </c>
      <c r="E55" s="112">
        <f t="shared" ca="1" si="9"/>
        <v>-100000000</v>
      </c>
      <c r="F55" s="112">
        <f ca="1">-Stream1!F55</f>
        <v>-100000000</v>
      </c>
      <c r="G55" s="112">
        <f t="shared" ca="1" si="7"/>
        <v>-100000000</v>
      </c>
      <c r="H55" s="152" t="str">
        <f t="shared" ca="1" si="10"/>
        <v>Coupon</v>
      </c>
      <c r="I55" s="168">
        <f ca="1">IF(C55="#N/A",0,_xll.HLV5r3.Financial.Cache.GetValueFromBase(Stream2DiscountCurve, Swap!$F$4, Stream2!C55))</f>
        <v>0.81716380165254521</v>
      </c>
      <c r="J55" s="117">
        <f ca="1">IF(C55="#N/A","#N/A",_xll.HLV5r3.Financial.Cache.GetValueFromBase( Stream2ForwardCurve, Swap!$F$4, A55))</f>
        <v>0.82872081229900696</v>
      </c>
      <c r="K55" s="169">
        <f ca="1">IF(C55="#N/A","#N/A",_xll.HLV5r3.Financial.Cache.GetValueFromBase( Stream2ForwardCurve, Swap!$F$4, B55))</f>
        <v>0.81716380165254521</v>
      </c>
      <c r="L55" s="115">
        <f ca="1" xml:space="preserve"> IF(G55=0,0,_xll.HLV5r3.Financial.Cache.YearFraction( A55, B55,Swap!$G$25))</f>
        <v>0.25205479452054796</v>
      </c>
      <c r="M55" s="143">
        <f ca="1">IF(J55="#N/A",0,IF($B$2="Fixed",Stream2FixedRate,_xll.HLV5r3.Analytics.Rates.GetRate(J55,K55,L55)+Stream2Spread))</f>
        <v>5.6110150070651725E-2</v>
      </c>
      <c r="N55" s="186">
        <f ca="1">IF(L55="#N/A",L55,IF(Swap!$G$26="Standard",L55*G55*M55,L55*G55*M55/(1+Stream2!L55*Stream2!M55)))</f>
        <v>-1414283.234657523</v>
      </c>
      <c r="O55" s="186">
        <f t="shared" ca="1" si="4"/>
        <v>-1155701.0646462003</v>
      </c>
      <c r="P55" s="186">
        <f ca="1">IF($B$2="FIXED",0,IF(Swap!$G$26="FRA",_xll.HLV5r3.Analytics.Swaps.Delta0DiscountCoupon( G55, L55, M55, I55),_xll.HLV5r3.Analytics.Swaps.Delta0Coupon( G55, L55, M55, I55)))</f>
        <v>2059.7005411516211</v>
      </c>
      <c r="Q55" s="180">
        <f ca="1">IF(U55=0,0,_xll.HLV5r3.Analytics.Swaps.Delta1ForAnAmount( N55, I55, Stream2CompoundingPeriod, U55))</f>
        <v>-497.04217673625544</v>
      </c>
      <c r="R55" s="79"/>
      <c r="S55" s="101">
        <f t="shared" ca="1" si="8"/>
        <v>45138</v>
      </c>
      <c r="T55" s="101">
        <f t="shared" ca="1" si="5"/>
        <v>45138</v>
      </c>
      <c r="U55" s="173">
        <f ca="1">IF(C55="#N/A",0,_xll.HLV5r3.Financial.Cache.YearFraction( ValuationDate, C55,"ACT/365.FIXED"))</f>
        <v>4.3506849315068497</v>
      </c>
      <c r="V55" s="79"/>
      <c r="X55" s="207">
        <f ca="1"/>
        <v>45138</v>
      </c>
    </row>
    <row r="56" spans="1:29">
      <c r="A56" s="136">
        <f t="shared" ca="1" si="6"/>
        <v>45230</v>
      </c>
      <c r="B56" s="136">
        <f t="shared" ca="1" si="3"/>
        <v>45322</v>
      </c>
      <c r="C56" s="101">
        <f ca="1">IF(Swap!$G$26="Standard",B56,A56)</f>
        <v>45322</v>
      </c>
      <c r="D56" s="147">
        <v>0</v>
      </c>
      <c r="E56" s="112">
        <f t="shared" ca="1" si="9"/>
        <v>-100000000</v>
      </c>
      <c r="F56" s="112">
        <f ca="1">-Stream1!F56</f>
        <v>-100000000</v>
      </c>
      <c r="G56" s="112">
        <f t="shared" ca="1" si="7"/>
        <v>-100000000</v>
      </c>
      <c r="H56" s="152" t="str">
        <f t="shared" ca="1" si="10"/>
        <v>Coupon</v>
      </c>
      <c r="I56" s="168">
        <f ca="1">IF(C56="#N/A",0,_xll.HLV5r3.Financial.Cache.GetValueFromBase(Stream2DiscountCurve, Swap!$F$4, Stream2!C56))</f>
        <v>0.80553581002605479</v>
      </c>
      <c r="J56" s="117">
        <f ca="1">IF(C56="#N/A","#N/A",_xll.HLV5r3.Financial.Cache.GetValueFromBase( Stream2ForwardCurve, Swap!$F$4, A56))</f>
        <v>0.81716380165254521</v>
      </c>
      <c r="K56" s="169">
        <f ca="1">IF(C56="#N/A","#N/A",_xll.HLV5r3.Financial.Cache.GetValueFromBase( Stream2ForwardCurve, Swap!$F$4, B56))</f>
        <v>0.80553581002605479</v>
      </c>
      <c r="L56" s="115">
        <f ca="1" xml:space="preserve"> IF(G56=0,0,_xll.HLV5r3.Financial.Cache.YearFraction( A56, B56,Swap!$G$25))</f>
        <v>0.25205479452054796</v>
      </c>
      <c r="M56" s="143">
        <f ca="1">IF(J56="#N/A",0,IF($B$2="Fixed",Stream2FixedRate,_xll.HLV5r3.Analytics.Rates.GetRate(J56,K56,L56)+Stream2Spread))</f>
        <v>5.7269698369428905E-2</v>
      </c>
      <c r="N56" s="186">
        <f ca="1">IF(L56="#N/A",L56,IF(Swap!$G$26="Standard",L56*G56*M56,L56*G56*M56/(1+Stream2!L56*Stream2!M56)))</f>
        <v>-1443510.2054760163</v>
      </c>
      <c r="O56" s="186">
        <f t="shared" ca="1" si="4"/>
        <v>-1162799.1626489996</v>
      </c>
      <c r="P56" s="186">
        <f ca="1">IF($B$2="FIXED",0,IF(Swap!$G$26="FRA",_xll.HLV5r3.Analytics.Swaps.Delta0DiscountCoupon( G56, L56, M56, I56),_xll.HLV5r3.Analytics.Swaps.Delta0Coupon( G56, L56, M56, I56)))</f>
        <v>2030.391630750604</v>
      </c>
      <c r="Q56" s="180">
        <f ca="1">IF(U56=0,0,_xll.HLV5r3.Analytics.Swaps.Delta1ForAnAmount( N56, I56, Stream2CompoundingPeriod, U56))</f>
        <v>-528.99285542668679</v>
      </c>
      <c r="R56" s="79"/>
      <c r="S56" s="101">
        <f t="shared" ca="1" si="8"/>
        <v>45230</v>
      </c>
      <c r="T56" s="101">
        <f t="shared" ca="1" si="5"/>
        <v>45230</v>
      </c>
      <c r="U56" s="173">
        <f ca="1">IF(C56="#N/A",0,_xll.HLV5r3.Financial.Cache.YearFraction( ValuationDate, C56,"ACT/365.FIXED"))</f>
        <v>4.602739726027397</v>
      </c>
      <c r="V56" s="79"/>
      <c r="X56" s="207">
        <f ca="1"/>
        <v>45230</v>
      </c>
    </row>
    <row r="57" spans="1:29">
      <c r="A57" s="136">
        <f t="shared" ca="1" si="6"/>
        <v>45322</v>
      </c>
      <c r="B57" s="136">
        <f t="shared" ca="1" si="3"/>
        <v>45412</v>
      </c>
      <c r="C57" s="101">
        <f ca="1">IF(Swap!$G$26="Standard",B57,A57)</f>
        <v>45412</v>
      </c>
      <c r="D57" s="147">
        <v>0</v>
      </c>
      <c r="E57" s="112">
        <f t="shared" ca="1" si="9"/>
        <v>-100000000</v>
      </c>
      <c r="F57" s="112">
        <f ca="1">-Stream1!F57</f>
        <v>-100000000</v>
      </c>
      <c r="G57" s="112">
        <f t="shared" ca="1" si="7"/>
        <v>-100000000</v>
      </c>
      <c r="H57" s="152" t="str">
        <f t="shared" ca="1" si="10"/>
        <v>Coupon</v>
      </c>
      <c r="I57" s="168">
        <f ca="1">IF(C57="#N/A",0,_xll.HLV5r3.Financial.Cache.GetValueFromBase(Stream2DiscountCurve, Swap!$F$4, Stream2!C57))</f>
        <v>0.79409932597838651</v>
      </c>
      <c r="J57" s="117">
        <f ca="1">IF(C57="#N/A","#N/A",_xll.HLV5r3.Financial.Cache.GetValueFromBase( Stream2ForwardCurve, Swap!$F$4, A57))</f>
        <v>0.80553581002605479</v>
      </c>
      <c r="K57" s="169">
        <f ca="1">IF(C57="#N/A","#N/A",_xll.HLV5r3.Financial.Cache.GetValueFromBase( Stream2ForwardCurve, Swap!$F$4, B57))</f>
        <v>0.79409932597838651</v>
      </c>
      <c r="L57" s="115">
        <f ca="1" xml:space="preserve"> IF(G57=0,0,_xll.HLV5r3.Financial.Cache.YearFraction( A57, B57,Swap!$G$25))</f>
        <v>0.24657534246575341</v>
      </c>
      <c r="M57" s="143">
        <f ca="1">IF(J57="#N/A",0,IF($B$2="Fixed",Stream2FixedRate,_xll.HLV5r3.Analytics.Rates.GetRate(J57,K57,L57)+Stream2Spread))</f>
        <v>5.8407424484836906E-2</v>
      </c>
      <c r="N57" s="186">
        <f ca="1">IF(L57="#N/A",L57,IF(Swap!$G$26="Standard",L57*G57*M57,L57*G57*M57/(1+Stream2!L57*Stream2!M57)))</f>
        <v>-1440183.0694891291</v>
      </c>
      <c r="O57" s="186">
        <f t="shared" ca="1" si="4"/>
        <v>-1143648.4047668013</v>
      </c>
      <c r="P57" s="186">
        <f ca="1">IF($B$2="FIXED",0,IF(Swap!$G$26="FRA",_xll.HLV5r3.Analytics.Swaps.Delta0DiscountCoupon( G57, L57, M57, I57),_xll.HLV5r3.Analytics.Swaps.Delta0Coupon( G57, L57, M57, I57)))</f>
        <v>1958.053132549446</v>
      </c>
      <c r="Q57" s="180">
        <f ca="1">IF(U57=0,0,_xll.HLV5r3.Analytics.Swaps.Delta1ForAnAmount( N57, I57, Stream2CompoundingPeriod, U57))</f>
        <v>-548.07695878365519</v>
      </c>
      <c r="R57" s="79"/>
      <c r="S57" s="101">
        <f t="shared" ca="1" si="8"/>
        <v>45322</v>
      </c>
      <c r="T57" s="101">
        <f t="shared" ca="1" si="5"/>
        <v>45322</v>
      </c>
      <c r="U57" s="173">
        <f ca="1">IF(C57="#N/A",0,_xll.HLV5r3.Financial.Cache.YearFraction( ValuationDate, C57,"ACT/365.FIXED"))</f>
        <v>4.8493150684931505</v>
      </c>
      <c r="V57" s="79"/>
      <c r="X57" s="207">
        <f ca="1"/>
        <v>45322</v>
      </c>
    </row>
    <row r="58" spans="1:29">
      <c r="A58" s="136">
        <f t="shared" ca="1" si="6"/>
        <v>45412</v>
      </c>
      <c r="B58" s="136">
        <f t="shared" ca="1" si="3"/>
        <v>45504</v>
      </c>
      <c r="C58" s="101">
        <f ca="1">IF(Swap!$G$26="Standard",B58,A58)</f>
        <v>45504</v>
      </c>
      <c r="D58" s="147">
        <v>0</v>
      </c>
      <c r="E58" s="112">
        <f t="shared" ca="1" si="9"/>
        <v>-100000000</v>
      </c>
      <c r="F58" s="112">
        <f ca="1">-Stream1!F58</f>
        <v>-100000000</v>
      </c>
      <c r="G58" s="112">
        <f t="shared" ca="1" si="7"/>
        <v>-100000000</v>
      </c>
      <c r="H58" s="152" t="str">
        <f t="shared" ca="1" si="10"/>
        <v>Coupon</v>
      </c>
      <c r="I58" s="168">
        <f ca="1">IF(C58="#N/A",0,_xll.HLV5r3.Financial.Cache.GetValueFromBase(Stream2DiscountCurve, Swap!$F$4, Stream2!C58))</f>
        <v>0.78244444122642487</v>
      </c>
      <c r="J58" s="117">
        <f ca="1">IF(C58="#N/A","#N/A",_xll.HLV5r3.Financial.Cache.GetValueFromBase( Stream2ForwardCurve, Swap!$F$4, A58))</f>
        <v>0.79409932597838651</v>
      </c>
      <c r="K58" s="169">
        <f ca="1">IF(C58="#N/A","#N/A",_xll.HLV5r3.Financial.Cache.GetValueFromBase( Stream2ForwardCurve, Swap!$F$4, B58))</f>
        <v>0.78244444122642487</v>
      </c>
      <c r="L58" s="115">
        <f ca="1" xml:space="preserve"> IF(G58=0,0,_xll.HLV5r3.Financial.Cache.YearFraction( A58, B58,Swap!$G$25))</f>
        <v>0.25205479452054796</v>
      </c>
      <c r="M58" s="143">
        <f ca="1">IF(J58="#N/A",0,IF($B$2="Fixed",Stream2FixedRate,_xll.HLV5r3.Analytics.Rates.GetRate(J58,K58,L58)+Stream2Spread))</f>
        <v>5.9096193904365983E-2</v>
      </c>
      <c r="N58" s="186">
        <f ca="1">IF(L58="#N/A",L58,IF(Swap!$G$26="Standard",L58*G58*M58,L58*G58*M58/(1+Stream2!L58*Stream2!M58)))</f>
        <v>-1489547.9011511425</v>
      </c>
      <c r="O58" s="186">
        <f t="shared" ca="1" si="4"/>
        <v>-1165488.4751961997</v>
      </c>
      <c r="P58" s="186">
        <f ca="1">IF($B$2="FIXED",0,IF(Swap!$G$26="FRA",_xll.HLV5r3.Analytics.Swaps.Delta0DiscountCoupon( G58, L58, M58, I58),_xll.HLV5r3.Analytics.Swaps.Delta0Coupon( G58, L58, M58, I58)))</f>
        <v>1972.1887285707148</v>
      </c>
      <c r="Q58" s="180">
        <f ca="1">IF(U58=0,0,_xll.HLV5r3.Analytics.Swaps.Delta1ForAnAmount( N58, I58, Stream2CompoundingPeriod, U58))</f>
        <v>-587.49539939394595</v>
      </c>
      <c r="R58" s="79"/>
      <c r="S58" s="101">
        <f t="shared" ca="1" si="8"/>
        <v>45412</v>
      </c>
      <c r="T58" s="101">
        <f t="shared" ca="1" si="5"/>
        <v>45412</v>
      </c>
      <c r="U58" s="173">
        <f ca="1">IF(C58="#N/A",0,_xll.HLV5r3.Financial.Cache.YearFraction( ValuationDate, C58,"ACT/365.FIXED"))</f>
        <v>5.1013698630136988</v>
      </c>
      <c r="V58" s="79"/>
      <c r="X58" s="207">
        <f ca="1"/>
        <v>45412</v>
      </c>
    </row>
    <row r="59" spans="1:29">
      <c r="A59" s="136">
        <f t="shared" ca="1" si="6"/>
        <v>45504</v>
      </c>
      <c r="B59" s="136">
        <f t="shared" ca="1" si="3"/>
        <v>45596</v>
      </c>
      <c r="C59" s="101">
        <f ca="1">IF(Swap!$G$26="Standard",B59,A59)</f>
        <v>45596</v>
      </c>
      <c r="D59" s="147">
        <v>0</v>
      </c>
      <c r="E59" s="112">
        <f t="shared" ca="1" si="9"/>
        <v>-100000000</v>
      </c>
      <c r="F59" s="112">
        <f ca="1">-Stream1!F59</f>
        <v>-100000000</v>
      </c>
      <c r="G59" s="112">
        <f t="shared" ca="1" si="7"/>
        <v>-100000000</v>
      </c>
      <c r="H59" s="152" t="str">
        <f t="shared" ca="1" si="10"/>
        <v>Coupon</v>
      </c>
      <c r="I59" s="168">
        <f ca="1">IF(C59="#N/A",0,_xll.HLV5r3.Financial.Cache.GetValueFromBase(Stream2DiscountCurve, Swap!$F$4, Stream2!C59))</f>
        <v>0.7709076880948631</v>
      </c>
      <c r="J59" s="117">
        <f ca="1">IF(C59="#N/A","#N/A",_xll.HLV5r3.Financial.Cache.GetValueFromBase( Stream2ForwardCurve, Swap!$F$4, A59))</f>
        <v>0.78244444122642487</v>
      </c>
      <c r="K59" s="169">
        <f ca="1">IF(C59="#N/A","#N/A",_xll.HLV5r3.Financial.Cache.GetValueFromBase( Stream2ForwardCurve, Swap!$F$4, B59))</f>
        <v>0.7709076880948631</v>
      </c>
      <c r="L59" s="115">
        <f ca="1" xml:space="preserve"> IF(G59=0,0,_xll.HLV5r3.Financial.Cache.YearFraction( A59, B59,Swap!$G$25))</f>
        <v>0.25205479452054796</v>
      </c>
      <c r="M59" s="143">
        <f ca="1">IF(J59="#N/A",0,IF($B$2="Fixed",Stream2FixedRate,_xll.HLV5r3.Analytics.Rates.GetRate(J59,K59,L59)+Stream2Spread))</f>
        <v>5.937262627083096E-2</v>
      </c>
      <c r="N59" s="186">
        <f ca="1">IF(L59="#N/A",L59,IF(Swap!$G$26="Standard",L59*G59*M59,L59*G59*M59/(1+Stream2!L59*Stream2!M59)))</f>
        <v>-1496515.5114839585</v>
      </c>
      <c r="O59" s="186">
        <f t="shared" ca="1" si="4"/>
        <v>-1153675.3131561999</v>
      </c>
      <c r="P59" s="186">
        <f ca="1">IF($B$2="FIXED",0,IF(Swap!$G$26="FRA",_xll.HLV5r3.Analytics.Swaps.Delta0DiscountCoupon( G59, L59, M59, I59),_xll.HLV5r3.Analytics.Swaps.Delta0Coupon( G59, L59, M59, I59)))</f>
        <v>1943.109789170614</v>
      </c>
      <c r="Q59" s="180">
        <f ca="1">IF(U59=0,0,_xll.HLV5r3.Analytics.Swaps.Delta1ForAnAmount( N59, I59, Stream2CompoundingPeriod, U59))</f>
        <v>-610.19720006417572</v>
      </c>
      <c r="R59" s="79"/>
      <c r="S59" s="101">
        <f t="shared" ca="1" si="8"/>
        <v>45504</v>
      </c>
      <c r="T59" s="101">
        <f t="shared" ca="1" si="5"/>
        <v>45504</v>
      </c>
      <c r="U59" s="173">
        <f ca="1">IF(C59="#N/A",0,_xll.HLV5r3.Financial.Cache.YearFraction( ValuationDate, C59,"ACT/365.FIXED"))</f>
        <v>5.353424657534247</v>
      </c>
      <c r="V59" s="79"/>
      <c r="X59" s="207">
        <f ca="1"/>
        <v>45504</v>
      </c>
    </row>
    <row r="60" spans="1:29">
      <c r="A60" s="136">
        <f t="shared" ca="1" si="6"/>
        <v>45596</v>
      </c>
      <c r="B60" s="136">
        <f t="shared" ca="1" si="3"/>
        <v>45688</v>
      </c>
      <c r="C60" s="101">
        <f ca="1">IF(Swap!$G$26="Standard",B60,A60)</f>
        <v>45688</v>
      </c>
      <c r="D60" s="147">
        <v>0</v>
      </c>
      <c r="E60" s="112">
        <f t="shared" ca="1" si="9"/>
        <v>-100000000</v>
      </c>
      <c r="F60" s="112">
        <f ca="1">-Stream1!F60</f>
        <v>-100000000</v>
      </c>
      <c r="G60" s="112">
        <f t="shared" ca="1" si="7"/>
        <v>-100000000</v>
      </c>
      <c r="H60" s="152" t="str">
        <f t="shared" ca="1" si="10"/>
        <v>Coupon</v>
      </c>
      <c r="I60" s="168">
        <f ca="1">IF(C60="#N/A",0,_xll.HLV5r3.Financial.Cache.GetValueFromBase(Stream2DiscountCurve, Swap!$F$4, Stream2!C60))</f>
        <v>0.75934589800175389</v>
      </c>
      <c r="J60" s="117">
        <f ca="1">IF(C60="#N/A","#N/A",_xll.HLV5r3.Financial.Cache.GetValueFromBase( Stream2ForwardCurve, Swap!$F$4, A60))</f>
        <v>0.7709076880948631</v>
      </c>
      <c r="K60" s="169">
        <f ca="1">IF(C60="#N/A","#N/A",_xll.HLV5r3.Financial.Cache.GetValueFromBase( Stream2ForwardCurve, Swap!$F$4, B60))</f>
        <v>0.75934589800175389</v>
      </c>
      <c r="L60" s="115">
        <f ca="1" xml:space="preserve"> IF(G60=0,0,_xll.HLV5r3.Financial.Cache.YearFraction( A60, B60,Swap!$G$25))</f>
        <v>0.25205479452054796</v>
      </c>
      <c r="M60" s="143">
        <f ca="1">IF(J60="#N/A",0,IF($B$2="Fixed",Stream2FixedRate,_xll.HLV5r3.Analytics.Rates.GetRate(J60,K60,L60)+Stream2Spread))</f>
        <v>6.0407444879605483E-2</v>
      </c>
      <c r="N60" s="186">
        <f ca="1">IF(L60="#N/A",L60,IF(Swap!$G$26="Standard",L60*G60*M60,L60*G60*M60/(1+Stream2!L60*Stream2!M60)))</f>
        <v>-1522598.6106640287</v>
      </c>
      <c r="O60" s="186">
        <f t="shared" ca="1" si="4"/>
        <v>-1156179.0093108998</v>
      </c>
      <c r="P60" s="186">
        <f ca="1">IF($B$2="FIXED",0,IF(Swap!$G$26="FRA",_xll.HLV5r3.Analytics.Swaps.Delta0DiscountCoupon( G60, L60, M60, I60),_xll.HLV5r3.Analytics.Swaps.Delta0Coupon( G60, L60, M60, I60)))</f>
        <v>1913.9677429085305</v>
      </c>
      <c r="Q60" s="180">
        <f ca="1">IF(U60=0,0,_xll.HLV5r3.Analytics.Swaps.Delta1ForAnAmount( N60, I60, Stream2CompoundingPeriod, U60))</f>
        <v>-640.23294305570596</v>
      </c>
      <c r="R60" s="79"/>
      <c r="S60" s="101">
        <f t="shared" ca="1" si="8"/>
        <v>45596</v>
      </c>
      <c r="T60" s="101">
        <f t="shared" ca="1" si="5"/>
        <v>45596</v>
      </c>
      <c r="U60" s="173">
        <f ca="1">IF(C60="#N/A",0,_xll.HLV5r3.Financial.Cache.YearFraction( ValuationDate, C60,"ACT/365.FIXED"))</f>
        <v>5.6054794520547944</v>
      </c>
      <c r="V60" s="79"/>
      <c r="X60" s="207">
        <f ca="1"/>
        <v>45596</v>
      </c>
    </row>
    <row r="61" spans="1:29">
      <c r="A61" s="136">
        <f t="shared" ca="1" si="6"/>
        <v>45688</v>
      </c>
      <c r="B61" s="136">
        <f t="shared" ca="1" si="3"/>
        <v>45777</v>
      </c>
      <c r="C61" s="101">
        <f ca="1">IF(Swap!$G$26="Standard",B61,A61)</f>
        <v>45777</v>
      </c>
      <c r="D61" s="147">
        <v>0</v>
      </c>
      <c r="E61" s="112">
        <f t="shared" ca="1" si="9"/>
        <v>-100000000</v>
      </c>
      <c r="F61" s="112">
        <f ca="1">-Stream1!F61</f>
        <v>-100000000</v>
      </c>
      <c r="G61" s="112">
        <f t="shared" ca="1" si="7"/>
        <v>-100000000</v>
      </c>
      <c r="H61" s="152" t="str">
        <f t="shared" ca="1" si="10"/>
        <v>Coupon</v>
      </c>
      <c r="I61" s="168">
        <f ca="1">IF(C61="#N/A",0,_xll.HLV5r3.Financial.Cache.GetValueFromBase(Stream2DiscountCurve, Swap!$F$4, Stream2!C61))</f>
        <v>0.74814323590811682</v>
      </c>
      <c r="J61" s="117">
        <f ca="1">IF(C61="#N/A","#N/A",_xll.HLV5r3.Financial.Cache.GetValueFromBase( Stream2ForwardCurve, Swap!$F$4, A61))</f>
        <v>0.75934589800175389</v>
      </c>
      <c r="K61" s="169">
        <f ca="1">IF(C61="#N/A","#N/A",_xll.HLV5r3.Financial.Cache.GetValueFromBase( Stream2ForwardCurve, Swap!$F$4, B61))</f>
        <v>0.74814323590811682</v>
      </c>
      <c r="L61" s="115">
        <f ca="1" xml:space="preserve"> IF(G61=0,0,_xll.HLV5r3.Financial.Cache.YearFraction( A61, B61,Swap!$G$25))</f>
        <v>0.24383561643835616</v>
      </c>
      <c r="M61" s="143">
        <f ca="1">IF(J61="#N/A",0,IF($B$2="Fixed",Stream2FixedRate,_xll.HLV5r3.Analytics.Rates.GetRate(J61,K61,L61)+Stream2Spread))</f>
        <v>6.1410034388566778E-2</v>
      </c>
      <c r="N61" s="186">
        <f ca="1">IF(L61="#N/A",L61,IF(Swap!$G$26="Standard",L61*G61*M61,L61*G61*M61/(1+Stream2!L61*Stream2!M61)))</f>
        <v>-1497395.3590636831</v>
      </c>
      <c r="O61" s="186">
        <f t="shared" ca="1" si="4"/>
        <v>-1120266.2093637004</v>
      </c>
      <c r="P61" s="186">
        <f ca="1">IF($B$2="FIXED",0,IF(Swap!$G$26="FRA",_xll.HLV5r3.Analytics.Swaps.Delta0DiscountCoupon( G61, L61, M61, I61),_xll.HLV5r3.Analytics.Swaps.Delta0Coupon( G61, L61, M61, I61)))</f>
        <v>1824.2396711184217</v>
      </c>
      <c r="Q61" s="180">
        <f ca="1">IF(U61=0,0,_xll.HLV5r3.Analytics.Swaps.Delta1ForAnAmount( N61, I61, Stream2CompoundingPeriod, U61))</f>
        <v>-647.25211301886316</v>
      </c>
      <c r="R61" s="79"/>
      <c r="S61" s="101">
        <f t="shared" ca="1" si="8"/>
        <v>45688</v>
      </c>
      <c r="T61" s="101">
        <f t="shared" ca="1" si="5"/>
        <v>45688</v>
      </c>
      <c r="U61" s="173">
        <f ca="1">IF(C61="#N/A",0,_xll.HLV5r3.Financial.Cache.YearFraction( ValuationDate, C61,"ACT/365.FIXED"))</f>
        <v>5.8493150684931505</v>
      </c>
      <c r="V61" s="79"/>
      <c r="X61" s="207">
        <f ca="1"/>
        <v>45688</v>
      </c>
    </row>
    <row r="62" spans="1:29">
      <c r="A62" s="136">
        <f t="shared" ca="1" si="6"/>
        <v>45777</v>
      </c>
      <c r="B62" s="136">
        <f t="shared" ca="1" si="3"/>
        <v>45869</v>
      </c>
      <c r="C62" s="101">
        <f ca="1">IF(Swap!$G$26="Standard",B62,A62)</f>
        <v>45869</v>
      </c>
      <c r="D62" s="147">
        <v>0</v>
      </c>
      <c r="E62" s="112">
        <f t="shared" ca="1" si="9"/>
        <v>-100000000</v>
      </c>
      <c r="F62" s="112">
        <f ca="1">-Stream1!F62</f>
        <v>-100000000</v>
      </c>
      <c r="G62" s="112">
        <f t="shared" ca="1" si="7"/>
        <v>-100000000</v>
      </c>
      <c r="H62" s="152" t="str">
        <f t="shared" ca="1" si="10"/>
        <v>Coupon</v>
      </c>
      <c r="I62" s="168">
        <f ca="1">IF(C62="#N/A",0,_xll.HLV5r3.Financial.Cache.GetValueFromBase(Stream2DiscountCurve, Swap!$F$4, Stream2!C62))</f>
        <v>0.73675858449556297</v>
      </c>
      <c r="J62" s="117">
        <f ca="1">IF(C62="#N/A","#N/A",_xll.HLV5r3.Financial.Cache.GetValueFromBase( Stream2ForwardCurve, Swap!$F$4, A62))</f>
        <v>0.74814323590811682</v>
      </c>
      <c r="K62" s="169">
        <f ca="1">IF(C62="#N/A","#N/A",_xll.HLV5r3.Financial.Cache.GetValueFromBase( Stream2ForwardCurve, Swap!$F$4, B62))</f>
        <v>0.73675858449556297</v>
      </c>
      <c r="L62" s="115">
        <f ca="1" xml:space="preserve"> IF(G62=0,0,_xll.HLV5r3.Financial.Cache.YearFraction( A62, B62,Swap!$G$25))</f>
        <v>0.25205479452054796</v>
      </c>
      <c r="M62" s="143">
        <f ca="1">IF(J62="#N/A",0,IF($B$2="Fixed",Stream2FixedRate,_xll.HLV5r3.Analytics.Rates.GetRate(J62,K62,L62)+Stream2Spread))</f>
        <v>6.1305518480144622E-2</v>
      </c>
      <c r="N62" s="186">
        <f ca="1">IF(L62="#N/A",L62,IF(Swap!$G$26="Standard",L62*G62*M62,L62*G62*M62/(1+Stream2!L62*Stream2!M62)))</f>
        <v>-1545234.9863488507</v>
      </c>
      <c r="O62" s="186">
        <f t="shared" ca="1" si="4"/>
        <v>-1138465.1412553997</v>
      </c>
      <c r="P62" s="186">
        <f ca="1">IF($B$2="FIXED",0,IF(Swap!$G$26="FRA",_xll.HLV5r3.Analytics.Swaps.Delta0DiscountCoupon( G62, L62, M62, I62),_xll.HLV5r3.Analytics.Swaps.Delta0Coupon( G62, L62, M62, I62)))</f>
        <v>1857.0353362627891</v>
      </c>
      <c r="Q62" s="180">
        <f ca="1">IF(U62=0,0,_xll.HLV5r3.Analytics.Swaps.Delta1ForAnAmount( N62, I62, Stream2CompoundingPeriod, U62))</f>
        <v>-686.0322974125753</v>
      </c>
      <c r="R62" s="79"/>
      <c r="S62" s="101">
        <f t="shared" ca="1" si="8"/>
        <v>45777</v>
      </c>
      <c r="T62" s="101">
        <f t="shared" ca="1" si="5"/>
        <v>45777</v>
      </c>
      <c r="U62" s="173">
        <f ca="1">IF(C62="#N/A",0,_xll.HLV5r3.Financial.Cache.YearFraction( ValuationDate, C62,"ACT/365.FIXED"))</f>
        <v>6.1013698630136988</v>
      </c>
      <c r="V62" s="79"/>
      <c r="X62" s="207">
        <f ca="1"/>
        <v>45777</v>
      </c>
    </row>
    <row r="63" spans="1:29">
      <c r="A63" s="136">
        <f t="shared" ca="1" si="6"/>
        <v>45869</v>
      </c>
      <c r="B63" s="136">
        <f t="shared" ca="1" si="3"/>
        <v>45961</v>
      </c>
      <c r="C63" s="101">
        <f ca="1">IF(Swap!$G$26="Standard",B63,A63)</f>
        <v>45961</v>
      </c>
      <c r="D63" s="147">
        <v>0</v>
      </c>
      <c r="E63" s="112">
        <f t="shared" ca="1" si="9"/>
        <v>-100000000</v>
      </c>
      <c r="F63" s="112">
        <f ca="1">-Stream1!F63</f>
        <v>-100000000</v>
      </c>
      <c r="G63" s="112">
        <f t="shared" ca="1" si="7"/>
        <v>-100000000</v>
      </c>
      <c r="H63" s="152" t="str">
        <f t="shared" ca="1" si="10"/>
        <v>Coupon</v>
      </c>
      <c r="I63" s="168">
        <f ca="1">IF(C63="#N/A",0,_xll.HLV5r3.Financial.Cache.GetValueFromBase(Stream2DiscountCurve, Swap!$F$4, Stream2!C63))</f>
        <v>0.72574173356990435</v>
      </c>
      <c r="J63" s="117">
        <f ca="1">IF(C63="#N/A","#N/A",_xll.HLV5r3.Financial.Cache.GetValueFromBase( Stream2ForwardCurve, Swap!$F$4, A63))</f>
        <v>0.73675858449556297</v>
      </c>
      <c r="K63" s="169">
        <f ca="1">IF(C63="#N/A","#N/A",_xll.HLV5r3.Financial.Cache.GetValueFromBase( Stream2ForwardCurve, Swap!$F$4, B63))</f>
        <v>0.72574173356990435</v>
      </c>
      <c r="L63" s="115">
        <f ca="1" xml:space="preserve"> IF(G63=0,0,_xll.HLV5r3.Financial.Cache.YearFraction( A63, B63,Swap!$G$25))</f>
        <v>0.25205479452054796</v>
      </c>
      <c r="M63" s="143">
        <f ca="1">IF(J63="#N/A",0,IF($B$2="Fixed",Stream2FixedRate,_xll.HLV5r3.Analytics.Rates.GetRate(J63,K63,L63)+Stream2Spread))</f>
        <v>6.0225499708769066E-2</v>
      </c>
      <c r="N63" s="186">
        <f ca="1">IF(L63="#N/A",L63,IF(Swap!$G$26="Standard",L63*G63*M63,L63*G63*M63/(1+Stream2!L63*Stream2!M63)))</f>
        <v>-1518012.5953991108</v>
      </c>
      <c r="O63" s="186">
        <f t="shared" ca="1" si="4"/>
        <v>-1101685.0925659004</v>
      </c>
      <c r="P63" s="186">
        <f ca="1">IF($B$2="FIXED",0,IF(Swap!$G$26="FRA",_xll.HLV5r3.Analytics.Swaps.Delta0DiscountCoupon( G63, L63, M63, I63),_xll.HLV5r3.Analytics.Swaps.Delta0Coupon( G63, L63, M63, I63)))</f>
        <v>1829.2668352994851</v>
      </c>
      <c r="Q63" s="180">
        <f ca="1">IF(U63=0,0,_xll.HLV5r3.Analytics.Swaps.Delta1ForAnAmount( N63, I63, Stream2CompoundingPeriod, U63))</f>
        <v>-691.22836788189113</v>
      </c>
      <c r="R63" s="79"/>
      <c r="S63" s="101">
        <f t="shared" ca="1" si="8"/>
        <v>45869</v>
      </c>
      <c r="T63" s="101">
        <f t="shared" ca="1" si="5"/>
        <v>45869</v>
      </c>
      <c r="U63" s="173">
        <f ca="1">IF(C63="#N/A",0,_xll.HLV5r3.Financial.Cache.YearFraction( ValuationDate, C63,"ACT/365.FIXED"))</f>
        <v>6.353424657534247</v>
      </c>
      <c r="V63" s="79"/>
      <c r="X63" s="207">
        <f ca="1"/>
        <v>45869</v>
      </c>
    </row>
    <row r="64" spans="1:29">
      <c r="A64" s="136">
        <f t="shared" ca="1" si="6"/>
        <v>45961</v>
      </c>
      <c r="B64" s="136">
        <f t="shared" ca="1" si="3"/>
        <v>46052</v>
      </c>
      <c r="C64" s="101">
        <f ca="1">IF(Swap!$G$26="Standard",B64,A64)</f>
        <v>46052</v>
      </c>
      <c r="D64" s="147">
        <v>0</v>
      </c>
      <c r="E64" s="112">
        <f t="shared" ca="1" si="9"/>
        <v>-100000000</v>
      </c>
      <c r="F64" s="112">
        <f ca="1">-Stream1!F64</f>
        <v>-100000000</v>
      </c>
      <c r="G64" s="112">
        <f t="shared" ca="1" si="7"/>
        <v>-100000000</v>
      </c>
      <c r="H64" s="152" t="str">
        <f t="shared" ca="1" si="10"/>
        <v>Coupon</v>
      </c>
      <c r="I64" s="168">
        <f ca="1">IF(C64="#N/A",0,_xll.HLV5r3.Financial.Cache.GetValueFromBase(Stream2DiscountCurve, Swap!$F$4, Stream2!C64))</f>
        <v>0.71487038992447449</v>
      </c>
      <c r="J64" s="117">
        <f ca="1">IF(C64="#N/A","#N/A",_xll.HLV5r3.Financial.Cache.GetValueFromBase( Stream2ForwardCurve, Swap!$F$4, A64))</f>
        <v>0.72574173356990435</v>
      </c>
      <c r="K64" s="169">
        <f ca="1">IF(C64="#N/A","#N/A",_xll.HLV5r3.Financial.Cache.GetValueFromBase( Stream2ForwardCurve, Swap!$F$4, B64))</f>
        <v>0.71487038992447449</v>
      </c>
      <c r="L64" s="115">
        <f ca="1" xml:space="preserve"> IF(G64=0,0,_xll.HLV5r3.Financial.Cache.YearFraction( A64, B64,Swap!$G$25))</f>
        <v>0.24931506849315069</v>
      </c>
      <c r="M64" s="143">
        <f ca="1">IF(J64="#N/A",0,IF($B$2="Fixed",Stream2FixedRate,_xll.HLV5r3.Analytics.Rates.GetRate(J64,K64,L64)+Stream2Spread))</f>
        <v>6.0996847136320385E-2</v>
      </c>
      <c r="N64" s="186">
        <f ca="1">IF(L64="#N/A",L64,IF(Swap!$G$26="Standard",L64*G64*M64,L64*G64*M64/(1+Stream2!L64*Stream2!M64)))</f>
        <v>-1520743.3121657961</v>
      </c>
      <c r="O64" s="186">
        <f t="shared" ca="1" si="4"/>
        <v>-1087134.3645429995</v>
      </c>
      <c r="P64" s="186">
        <f ca="1">IF($B$2="FIXED",0,IF(Swap!$G$26="FRA",_xll.HLV5r3.Analytics.Swaps.Delta0DiscountCoupon( G64, L64, M64, I64),_xll.HLV5r3.Analytics.Swaps.Delta0Coupon( G64, L64, M64, I64)))</f>
        <v>1782.2796022774569</v>
      </c>
      <c r="Q64" s="180">
        <f ca="1">IF(U64=0,0,_xll.HLV5r3.Analytics.Swaps.Delta1ForAnAmount( N64, I64, Stream2CompoundingPeriod, U64))</f>
        <v>-708.79848223640147</v>
      </c>
      <c r="R64" s="79"/>
      <c r="S64" s="101">
        <f t="shared" ca="1" si="8"/>
        <v>45961</v>
      </c>
      <c r="T64" s="101">
        <f t="shared" ca="1" si="5"/>
        <v>45961</v>
      </c>
      <c r="U64" s="173">
        <f ca="1">IF(C64="#N/A",0,_xll.HLV5r3.Financial.Cache.YearFraction( ValuationDate, C64,"ACT/365.FIXED"))</f>
        <v>6.602739726027397</v>
      </c>
      <c r="V64" s="79"/>
      <c r="X64" s="207">
        <f ca="1"/>
        <v>45961</v>
      </c>
    </row>
    <row r="65" spans="1:24">
      <c r="A65" s="136">
        <f t="shared" ca="1" si="6"/>
        <v>46052</v>
      </c>
      <c r="B65" s="136">
        <f t="shared" ca="1" si="3"/>
        <v>46142</v>
      </c>
      <c r="C65" s="101">
        <f ca="1">IF(Swap!$G$26="Standard",B65,A65)</f>
        <v>46142</v>
      </c>
      <c r="D65" s="147">
        <v>0</v>
      </c>
      <c r="E65" s="112">
        <f t="shared" ca="1" si="9"/>
        <v>-100000000</v>
      </c>
      <c r="F65" s="112">
        <f ca="1">-Stream1!F65</f>
        <v>-100000000</v>
      </c>
      <c r="G65" s="112">
        <f t="shared" ca="1" si="7"/>
        <v>-100000000</v>
      </c>
      <c r="H65" s="152" t="str">
        <f t="shared" ca="1" si="10"/>
        <v>Coupon</v>
      </c>
      <c r="I65" s="168">
        <f ca="1">IF(C65="#N/A",0,_xll.HLV5r3.Financial.Cache.GetValueFromBase(Stream2DiscountCurve, Swap!$F$4, Stream2!C65))</f>
        <v>0.70414737482677936</v>
      </c>
      <c r="J65" s="117">
        <f ca="1">IF(C65="#N/A","#N/A",_xll.HLV5r3.Financial.Cache.GetValueFromBase( Stream2ForwardCurve, Swap!$F$4, A65))</f>
        <v>0.71487038992447449</v>
      </c>
      <c r="K65" s="169">
        <f ca="1">IF(C65="#N/A","#N/A",_xll.HLV5r3.Financial.Cache.GetValueFromBase( Stream2ForwardCurve, Swap!$F$4, B65))</f>
        <v>0.70414737482677936</v>
      </c>
      <c r="L65" s="115">
        <f ca="1" xml:space="preserve"> IF(G65=0,0,_xll.HLV5r3.Financial.Cache.YearFraction( A65, B65,Swap!$G$25))</f>
        <v>0.24657534246575341</v>
      </c>
      <c r="M65" s="143">
        <f ca="1">IF(J65="#N/A",0,IF($B$2="Fixed",Stream2FixedRate,_xll.HLV5r3.Analytics.Rates.GetRate(J65,K65,L65)+Stream2Spread))</f>
        <v>6.1759490990733544E-2</v>
      </c>
      <c r="N65" s="186">
        <f ca="1">IF(L65="#N/A",L65,IF(Swap!$G$26="Standard",L65*G65*M65,L65*G65*M65/(1+Stream2!L65*Stream2!M65)))</f>
        <v>-1522836.7641550736</v>
      </c>
      <c r="O65" s="186">
        <f t="shared" ca="1" si="4"/>
        <v>-1072301.5097695023</v>
      </c>
      <c r="P65" s="186">
        <f ca="1">IF($B$2="FIXED",0,IF(Swap!$G$26="FRA",_xll.HLV5r3.Analytics.Swaps.Delta0DiscountCoupon( G65, L65, M65, I65),_xll.HLV5r3.Analytics.Swaps.Delta0Coupon( G65, L65, M65, I65)))</f>
        <v>1736.2538009427435</v>
      </c>
      <c r="Q65" s="180">
        <f ca="1">IF(U65=0,0,_xll.HLV5r3.Analytics.Swaps.Delta1ForAnAmount( N65, I65, Stream2CompoundingPeriod, U65))</f>
        <v>-725.1687407323775</v>
      </c>
      <c r="R65" s="79"/>
      <c r="S65" s="101">
        <f t="shared" ca="1" si="8"/>
        <v>46052</v>
      </c>
      <c r="T65" s="101">
        <f t="shared" ca="1" si="5"/>
        <v>46052</v>
      </c>
      <c r="U65" s="173">
        <f ca="1">IF(C65="#N/A",0,_xll.HLV5r3.Financial.Cache.YearFraction( ValuationDate, C65,"ACT/365.FIXED"))</f>
        <v>6.8493150684931505</v>
      </c>
      <c r="V65" s="79"/>
      <c r="X65" s="207">
        <f ca="1"/>
        <v>46052</v>
      </c>
    </row>
    <row r="66" spans="1:24">
      <c r="A66" s="136">
        <f t="shared" ca="1" si="6"/>
        <v>46142</v>
      </c>
      <c r="B66" s="136">
        <f t="shared" ca="1" si="3"/>
        <v>46234</v>
      </c>
      <c r="C66" s="101">
        <f ca="1">IF(Swap!$G$26="Standard",B66,A66)</f>
        <v>46234</v>
      </c>
      <c r="D66" s="147">
        <v>0</v>
      </c>
      <c r="E66" s="112">
        <f t="shared" ca="1" si="9"/>
        <v>-100000000</v>
      </c>
      <c r="F66" s="112">
        <f ca="1">-Stream1!F66</f>
        <v>-100000000</v>
      </c>
      <c r="G66" s="112">
        <f t="shared" ca="1" si="7"/>
        <v>-100000000</v>
      </c>
      <c r="H66" s="152" t="str">
        <f t="shared" ca="1" si="10"/>
        <v>Coupon</v>
      </c>
      <c r="I66" s="168">
        <f ca="1">IF(C66="#N/A",0,_xll.HLV5r3.Financial.Cache.GetValueFromBase(Stream2DiscountCurve, Swap!$F$4, Stream2!C66))</f>
        <v>0.69337192123606661</v>
      </c>
      <c r="J66" s="117">
        <f ca="1">IF(C66="#N/A","#N/A",_xll.HLV5r3.Financial.Cache.GetValueFromBase( Stream2ForwardCurve, Swap!$F$4, A66))</f>
        <v>0.70414737482677936</v>
      </c>
      <c r="K66" s="169">
        <f ca="1">IF(C66="#N/A","#N/A",_xll.HLV5r3.Financial.Cache.GetValueFromBase( Stream2ForwardCurve, Swap!$F$4, B66))</f>
        <v>0.69337192123606661</v>
      </c>
      <c r="L66" s="115">
        <f ca="1" xml:space="preserve"> IF(G66=0,0,_xll.HLV5r3.Financial.Cache.YearFraction( A66, B66,Swap!$G$25))</f>
        <v>0.25205479452054796</v>
      </c>
      <c r="M66" s="143">
        <f ca="1">IF(J66="#N/A",0,IF($B$2="Fixed",Stream2FixedRate,_xll.HLV5r3.Analytics.Rates.GetRate(J66,K66,L66)+Stream2Spread))</f>
        <v>6.1655858229712514E-2</v>
      </c>
      <c r="N66" s="186">
        <f ca="1">IF(L66="#N/A",L66,IF(Swap!$G$26="Standard",L66*G66*M66,L66*G66*M66/(1+Stream2!L66*Stream2!M66)))</f>
        <v>-1554065.4677078223</v>
      </c>
      <c r="O66" s="186">
        <f t="shared" ca="1" si="4"/>
        <v>-1077545.3590711993</v>
      </c>
      <c r="P66" s="186">
        <f ca="1">IF($B$2="FIXED",0,IF(Swap!$G$26="FRA",_xll.HLV5r3.Analytics.Swaps.Delta0DiscountCoupon( G66, L66, M66, I66),_xll.HLV5r3.Analytics.Swaps.Delta0Coupon( G66, L66, M66, I66)))</f>
        <v>1747.6771713347434</v>
      </c>
      <c r="Q66" s="180">
        <f ca="1">IF(U66=0,0,_xll.HLV5r3.Analytics.Swaps.Delta1ForAnAmount( N66, I66, Stream2CompoundingPeriod, U66))</f>
        <v>-755.46574053070356</v>
      </c>
      <c r="R66" s="79"/>
      <c r="S66" s="101">
        <f t="shared" ca="1" si="8"/>
        <v>46142</v>
      </c>
      <c r="T66" s="101">
        <f t="shared" ca="1" si="5"/>
        <v>46142</v>
      </c>
      <c r="U66" s="173">
        <f ca="1">IF(C66="#N/A",0,_xll.HLV5r3.Financial.Cache.YearFraction( ValuationDate, C66,"ACT/365.FIXED"))</f>
        <v>7.1013698630136988</v>
      </c>
      <c r="V66" s="79"/>
      <c r="X66" s="207">
        <f ca="1"/>
        <v>46142</v>
      </c>
    </row>
    <row r="67" spans="1:24">
      <c r="A67" s="136">
        <f t="shared" ca="1" si="6"/>
        <v>46234</v>
      </c>
      <c r="B67" s="136">
        <f t="shared" ca="1" si="3"/>
        <v>46325</v>
      </c>
      <c r="C67" s="101">
        <f ca="1">IF(Swap!$G$26="Standard",B67,A67)</f>
        <v>46325</v>
      </c>
      <c r="D67" s="147">
        <v>0</v>
      </c>
      <c r="E67" s="112">
        <f t="shared" ca="1" si="9"/>
        <v>-100000000</v>
      </c>
      <c r="F67" s="112">
        <f ca="1">-Stream1!F67</f>
        <v>-100000000</v>
      </c>
      <c r="G67" s="112">
        <f t="shared" ca="1" si="7"/>
        <v>-100000000</v>
      </c>
      <c r="H67" s="152" t="str">
        <f t="shared" ca="1" si="10"/>
        <v>Coupon</v>
      </c>
      <c r="I67" s="168">
        <f ca="1">IF(C67="#N/A",0,_xll.HLV5r3.Financial.Cache.GetValueFromBase(Stream2DiscountCurve, Swap!$F$4, Stream2!C67))</f>
        <v>0.68304447519689682</v>
      </c>
      <c r="J67" s="117">
        <f ca="1">IF(C67="#N/A","#N/A",_xll.HLV5r3.Financial.Cache.GetValueFromBase( Stream2ForwardCurve, Swap!$F$4, A67))</f>
        <v>0.69337192123606661</v>
      </c>
      <c r="K67" s="169">
        <f ca="1">IF(C67="#N/A","#N/A",_xll.HLV5r3.Financial.Cache.GetValueFromBase( Stream2ForwardCurve, Swap!$F$4, B67))</f>
        <v>0.68304447519689682</v>
      </c>
      <c r="L67" s="115">
        <f ca="1" xml:space="preserve"> IF(G67=0,0,_xll.HLV5r3.Financial.Cache.YearFraction( A67, B67,Swap!$G$25))</f>
        <v>0.24931506849315069</v>
      </c>
      <c r="M67" s="143">
        <f ca="1">IF(J67="#N/A",0,IF($B$2="Fixed",Stream2FixedRate,_xll.HLV5r3.Analytics.Rates.GetRate(J67,K67,L67)+Stream2Spread))</f>
        <v>6.0645059112368893E-2</v>
      </c>
      <c r="N67" s="186">
        <f ca="1">IF(L67="#N/A",L67,IF(Swap!$G$26="Standard",L67*G67*M67,L67*G67*M67/(1+Stream2!L67*Stream2!M67)))</f>
        <v>-1511972.7066371422</v>
      </c>
      <c r="O67" s="186">
        <f t="shared" ca="1" si="4"/>
        <v>-1032744.6039169985</v>
      </c>
      <c r="P67" s="186">
        <f ca="1">IF($B$2="FIXED",0,IF(Swap!$G$26="FRA",_xll.HLV5r3.Analytics.Swaps.Delta0DiscountCoupon( G67, L67, M67, I67),_xll.HLV5r3.Analytics.Swaps.Delta0Coupon( G67, L67, M67, I67)))</f>
        <v>1702.932801175825</v>
      </c>
      <c r="Q67" s="180">
        <f ca="1">IF(U67=0,0,_xll.HLV5r3.Analytics.Swaps.Delta1ForAnAmount( N67, I67, Stream2CompoundingPeriod, U67))</f>
        <v>-749.42204883404895</v>
      </c>
      <c r="R67" s="79"/>
      <c r="S67" s="101">
        <f t="shared" ca="1" si="8"/>
        <v>46234</v>
      </c>
      <c r="T67" s="101">
        <f t="shared" ca="1" si="5"/>
        <v>46234</v>
      </c>
      <c r="U67" s="173">
        <f ca="1">IF(C67="#N/A",0,_xll.HLV5r3.Financial.Cache.YearFraction( ValuationDate, C67,"ACT/365.FIXED"))</f>
        <v>7.3506849315068497</v>
      </c>
      <c r="V67" s="79"/>
      <c r="X67" s="207">
        <f ca="1"/>
        <v>46234</v>
      </c>
    </row>
    <row r="68" spans="1:24">
      <c r="A68" s="136">
        <f t="shared" ca="1" si="6"/>
        <v>46325</v>
      </c>
      <c r="B68" s="136">
        <f t="shared" ca="1" si="3"/>
        <v>46416</v>
      </c>
      <c r="C68" s="101">
        <f ca="1">IF(Swap!$G$26="Standard",B68,A68)</f>
        <v>46416</v>
      </c>
      <c r="D68" s="147">
        <v>0</v>
      </c>
      <c r="E68" s="112">
        <f t="shared" ca="1" si="9"/>
        <v>-100000000</v>
      </c>
      <c r="F68" s="112">
        <f ca="1">-Stream1!F68</f>
        <v>-100000000</v>
      </c>
      <c r="G68" s="112">
        <f t="shared" ca="1" si="7"/>
        <v>-100000000</v>
      </c>
      <c r="H68" s="152" t="str">
        <f t="shared" ca="1" si="10"/>
        <v>Coupon</v>
      </c>
      <c r="I68" s="168">
        <f ca="1">IF(C68="#N/A",0,_xll.HLV5r3.Financial.Cache.GetValueFromBase(Stream2DiscountCurve, Swap!$F$4, Stream2!C68))</f>
        <v>0.67277281555150137</v>
      </c>
      <c r="J68" s="117">
        <f ca="1">IF(C68="#N/A","#N/A",_xll.HLV5r3.Financial.Cache.GetValueFromBase( Stream2ForwardCurve, Swap!$F$4, A68))</f>
        <v>0.68304447519689682</v>
      </c>
      <c r="K68" s="169">
        <f ca="1">IF(C68="#N/A","#N/A",_xll.HLV5r3.Financial.Cache.GetValueFromBase( Stream2ForwardCurve, Swap!$F$4, B68))</f>
        <v>0.67277281555150137</v>
      </c>
      <c r="L68" s="115">
        <f ca="1" xml:space="preserve"> IF(G68=0,0,_xll.HLV5r3.Financial.Cache.YearFraction( A68, B68,Swap!$G$25))</f>
        <v>0.24931506849315069</v>
      </c>
      <c r="M68" s="143">
        <f ca="1">IF(J68="#N/A",0,IF($B$2="Fixed",Stream2FixedRate,_xll.HLV5r3.Analytics.Rates.GetRate(J68,K68,L68)+Stream2Spread))</f>
        <v>6.1238374990715938E-2</v>
      </c>
      <c r="N68" s="186">
        <f ca="1">IF(L68="#N/A",L68,IF(Swap!$G$26="Standard",L68*G68*M68,L68*G68*M68/(1+Stream2!L68*Stream2!M68)))</f>
        <v>-1526764.9655219591</v>
      </c>
      <c r="O68" s="186">
        <f t="shared" ca="1" si="4"/>
        <v>-1027165.9645395994</v>
      </c>
      <c r="P68" s="186">
        <f ca="1">IF($B$2="FIXED",0,IF(Swap!$G$26="FRA",_xll.HLV5r3.Analytics.Swaps.Delta0DiscountCoupon( G68, L68, M68, I68),_xll.HLV5r3.Analytics.Swaps.Delta0Coupon( G68, L68, M68, I68)))</f>
        <v>1677.3240058955239</v>
      </c>
      <c r="Q68" s="180">
        <f ca="1">IF(U68=0,0,_xll.HLV5r3.Analytics.Swaps.Delta1ForAnAmount( N68, I68, Stream2CompoundingPeriod, U68))</f>
        <v>-770.59925324229982</v>
      </c>
      <c r="R68" s="79"/>
      <c r="S68" s="101">
        <f t="shared" ca="1" si="8"/>
        <v>46325</v>
      </c>
      <c r="T68" s="101">
        <f t="shared" ca="1" si="5"/>
        <v>46325</v>
      </c>
      <c r="U68" s="173">
        <f ca="1">IF(C68="#N/A",0,_xll.HLV5r3.Financial.Cache.YearFraction( ValuationDate, C68,"ACT/365.FIXED"))</f>
        <v>7.6</v>
      </c>
      <c r="V68" s="79"/>
      <c r="X68" s="207">
        <f ca="1"/>
        <v>46325</v>
      </c>
    </row>
    <row r="69" spans="1:24">
      <c r="A69" s="136">
        <f t="shared" ca="1" si="6"/>
        <v>46416</v>
      </c>
      <c r="B69" s="136">
        <f t="shared" ca="1" si="3"/>
        <v>46507</v>
      </c>
      <c r="C69" s="101">
        <f ca="1">IF(Swap!$G$26="Standard",B69,A69)</f>
        <v>46507</v>
      </c>
      <c r="D69" s="147">
        <v>0</v>
      </c>
      <c r="E69" s="112">
        <f t="shared" ca="1" si="9"/>
        <v>-100000000</v>
      </c>
      <c r="F69" s="112">
        <f ca="1">-Stream1!F69</f>
        <v>-100000000</v>
      </c>
      <c r="G69" s="112">
        <f t="shared" ca="1" si="7"/>
        <v>-100000000</v>
      </c>
      <c r="H69" s="152" t="str">
        <f t="shared" ca="1" si="10"/>
        <v>Coupon</v>
      </c>
      <c r="I69" s="168">
        <f ca="1">IF(C69="#N/A",0,_xll.HLV5r3.Financial.Cache.GetValueFromBase(Stream2DiscountCurve, Swap!$F$4, Stream2!C69))</f>
        <v>0.66255908458440926</v>
      </c>
      <c r="J69" s="117">
        <f ca="1">IF(C69="#N/A","#N/A",_xll.HLV5r3.Financial.Cache.GetValueFromBase( Stream2ForwardCurve, Swap!$F$4, A69))</f>
        <v>0.67277281555150137</v>
      </c>
      <c r="K69" s="169">
        <f ca="1">IF(C69="#N/A","#N/A",_xll.HLV5r3.Financial.Cache.GetValueFromBase( Stream2ForwardCurve, Swap!$F$4, B69))</f>
        <v>0.66255908458440926</v>
      </c>
      <c r="L69" s="115">
        <f ca="1" xml:space="preserve"> IF(G69=0,0,_xll.HLV5r3.Financial.Cache.YearFraction( A69, B69,Swap!$G$25))</f>
        <v>0.24931506849315069</v>
      </c>
      <c r="M69" s="143">
        <f ca="1">IF(J69="#N/A",0,IF($B$2="Fixed",Stream2FixedRate,_xll.HLV5r3.Analytics.Rates.GetRate(J69,K69,L69)+Stream2Spread))</f>
        <v>6.1831712255369389E-2</v>
      </c>
      <c r="N69" s="186">
        <f ca="1">IF(L69="#N/A",L69,IF(Swap!$G$26="Standard",L69*G69*M69,L69*G69*M69/(1+Stream2!L69*Stream2!M69)))</f>
        <v>-1541557.7575996204</v>
      </c>
      <c r="O69" s="186">
        <f t="shared" ca="1" si="4"/>
        <v>-1021373.0967091991</v>
      </c>
      <c r="P69" s="186">
        <f ca="1">IF($B$2="FIXED",0,IF(Swap!$G$26="FRA",_xll.HLV5r3.Analytics.Swaps.Delta0DiscountCoupon( G69, L69, M69, I69),_xll.HLV5r3.Analytics.Swaps.Delta0Coupon( G69, L69, M69, I69)))</f>
        <v>1651.8596355392121</v>
      </c>
      <c r="Q69" s="180">
        <f ca="1">IF(U69=0,0,_xll.HLV5r3.Analytics.Swaps.Delta1ForAnAmount( N69, I69, Stream2CompoundingPeriod, U69))</f>
        <v>-791.33285802258592</v>
      </c>
      <c r="R69" s="79"/>
      <c r="S69" s="101">
        <f t="shared" ca="1" si="8"/>
        <v>46416</v>
      </c>
      <c r="T69" s="101">
        <f t="shared" ca="1" si="5"/>
        <v>46416</v>
      </c>
      <c r="U69" s="173">
        <f ca="1">IF(C69="#N/A",0,_xll.HLV5r3.Financial.Cache.YearFraction( ValuationDate, C69,"ACT/365.FIXED"))</f>
        <v>7.8493150684931505</v>
      </c>
      <c r="V69" s="79"/>
      <c r="X69" s="207">
        <f ca="1"/>
        <v>46416</v>
      </c>
    </row>
    <row r="70" spans="1:24">
      <c r="A70" s="136">
        <f t="shared" ca="1" si="6"/>
        <v>46507</v>
      </c>
      <c r="B70" s="136">
        <f t="shared" ca="1" si="3"/>
        <v>46598</v>
      </c>
      <c r="C70" s="101">
        <f ca="1">IF(Swap!$G$26="Standard",B70,A70)</f>
        <v>46598</v>
      </c>
      <c r="D70" s="147">
        <v>0</v>
      </c>
      <c r="E70" s="112">
        <f t="shared" ca="1" si="9"/>
        <v>-100000000</v>
      </c>
      <c r="F70" s="112">
        <f ca="1">-Stream1!F70</f>
        <v>-100000000</v>
      </c>
      <c r="G70" s="112">
        <f t="shared" ca="1" si="7"/>
        <v>-100000000</v>
      </c>
      <c r="H70" s="152" t="str">
        <f t="shared" ca="1" si="10"/>
        <v>Coupon</v>
      </c>
      <c r="I70" s="168">
        <f ca="1">IF(C70="#N/A",0,_xll.HLV5r3.Financial.Cache.GetValueFromBase(Stream2DiscountCurve, Swap!$F$4, Stream2!C70))</f>
        <v>0.65260270456442293</v>
      </c>
      <c r="J70" s="117">
        <f ca="1">IF(C70="#N/A","#N/A",_xll.HLV5r3.Financial.Cache.GetValueFromBase( Stream2ForwardCurve, Swap!$F$4, A70))</f>
        <v>0.66255908458440926</v>
      </c>
      <c r="K70" s="169">
        <f ca="1">IF(C70="#N/A","#N/A",_xll.HLV5r3.Financial.Cache.GetValueFromBase( Stream2ForwardCurve, Swap!$F$4, B70))</f>
        <v>0.65260270456442293</v>
      </c>
      <c r="L70" s="115">
        <f ca="1" xml:space="preserve"> IF(G70=0,0,_xll.HLV5r3.Financial.Cache.YearFraction( A70, B70,Swap!$G$25))</f>
        <v>0.24931506849315069</v>
      </c>
      <c r="M70" s="143">
        <f ca="1">IF(J70="#N/A",0,IF($B$2="Fixed",Stream2FixedRate,_xll.HLV5r3.Analytics.Rates.GetRate(J70,K70,L70)+Stream2Spread))</f>
        <v>6.1193327226629797E-2</v>
      </c>
      <c r="N70" s="186">
        <f ca="1">IF(L70="#N/A",L70,IF(Swap!$G$26="Standard",L70*G70*M70,L70*G70*M70/(1+Stream2!L70*Stream2!M70)))</f>
        <v>-1525641.8568830991</v>
      </c>
      <c r="O70" s="186">
        <f t="shared" ca="1" si="4"/>
        <v>-995638.00199859869</v>
      </c>
      <c r="P70" s="186">
        <f ca="1">IF($B$2="FIXED",0,IF(Swap!$G$26="FRA",_xll.HLV5r3.Analytics.Swaps.Delta0DiscountCoupon( G70, L70, M70, I70),_xll.HLV5r3.Analytics.Swaps.Delta0Coupon( G70, L70, M70, I70)))</f>
        <v>1627.0368798729448</v>
      </c>
      <c r="Q70" s="180">
        <f ca="1">IF(U70=0,0,_xll.HLV5r3.Analytics.Swaps.Delta1ForAnAmount( N70, I70, Stream2CompoundingPeriod, U70))</f>
        <v>-795.8454013458778</v>
      </c>
      <c r="R70" s="79"/>
      <c r="S70" s="101">
        <f t="shared" ca="1" si="8"/>
        <v>46507</v>
      </c>
      <c r="T70" s="101">
        <f t="shared" ca="1" si="5"/>
        <v>46507</v>
      </c>
      <c r="U70" s="173">
        <f ca="1">IF(C70="#N/A",0,_xll.HLV5r3.Financial.Cache.YearFraction( ValuationDate, C70,"ACT/365.FIXED"))</f>
        <v>8.0986301369863014</v>
      </c>
      <c r="V70" s="79"/>
      <c r="X70" s="207">
        <f ca="1"/>
        <v>46507</v>
      </c>
    </row>
    <row r="71" spans="1:24">
      <c r="A71" s="136">
        <f t="shared" ca="1" si="6"/>
        <v>46598</v>
      </c>
      <c r="B71" s="136">
        <f t="shared" ca="1" si="3"/>
        <v>46689</v>
      </c>
      <c r="C71" s="101">
        <f ca="1">IF(Swap!$G$26="Standard",B71,A71)</f>
        <v>46689</v>
      </c>
      <c r="D71" s="147">
        <v>0</v>
      </c>
      <c r="E71" s="112">
        <f t="shared" ca="1" si="9"/>
        <v>-100000000</v>
      </c>
      <c r="F71" s="112">
        <f ca="1">-Stream1!F71</f>
        <v>-100000000</v>
      </c>
      <c r="G71" s="112">
        <f t="shared" ca="1" si="7"/>
        <v>-100000000</v>
      </c>
      <c r="H71" s="152" t="str">
        <f t="shared" ca="1" si="10"/>
        <v>Coupon</v>
      </c>
      <c r="I71" s="168">
        <f ca="1">IF(C71="#N/A",0,_xll.HLV5r3.Financial.Cache.GetValueFromBase(Stream2DiscountCurve, Swap!$F$4, Stream2!C71))</f>
        <v>0.6430837607836184</v>
      </c>
      <c r="J71" s="117">
        <f ca="1">IF(C71="#N/A","#N/A",_xll.HLV5r3.Financial.Cache.GetValueFromBase( Stream2ForwardCurve, Swap!$F$4, A71))</f>
        <v>0.65260270456442293</v>
      </c>
      <c r="K71" s="169">
        <f ca="1">IF(C71="#N/A","#N/A",_xll.HLV5r3.Financial.Cache.GetValueFromBase( Stream2ForwardCurve, Swap!$F$4, B71))</f>
        <v>0.6430837607836184</v>
      </c>
      <c r="L71" s="115">
        <f ca="1" xml:space="preserve"> IF(G71=0,0,_xll.HLV5r3.Financial.Cache.YearFraction( A71, B71,Swap!$G$25))</f>
        <v>0.24931506849315069</v>
      </c>
      <c r="M71" s="143">
        <f ca="1">IF(J71="#N/A",0,IF($B$2="Fixed",Stream2FixedRate,_xll.HLV5r3.Analytics.Rates.GetRate(J71,K71,L71)+Stream2Spread))</f>
        <v>5.9370771319908609E-2</v>
      </c>
      <c r="N71" s="186">
        <f ca="1">IF(L71="#N/A",L71,IF(Swap!$G$26="Standard",L71*G71*M71,L71*G71*M71/(1+Stream2!L71*Stream2!M71)))</f>
        <v>-1480202.7918114201</v>
      </c>
      <c r="O71" s="186">
        <f t="shared" ca="1" si="4"/>
        <v>-951894.37808049936</v>
      </c>
      <c r="P71" s="186">
        <f ca="1">IF($B$2="FIXED",0,IF(Swap!$G$26="FRA",_xll.HLV5r3.Analytics.Swaps.Delta0DiscountCoupon( G71, L71, M71, I71),_xll.HLV5r3.Analytics.Swaps.Delta0Coupon( G71, L71, M71, I71)))</f>
        <v>1603.3047186660076</v>
      </c>
      <c r="Q71" s="180">
        <f ca="1">IF(U71=0,0,_xll.HLV5r3.Analytics.Swaps.Delta1ForAnAmount( N71, I71, Stream2CompoundingPeriod, U71))</f>
        <v>-784.26723619249947</v>
      </c>
      <c r="R71" s="79"/>
      <c r="S71" s="101">
        <f t="shared" ca="1" si="8"/>
        <v>46598</v>
      </c>
      <c r="T71" s="101">
        <f t="shared" ca="1" si="5"/>
        <v>46598</v>
      </c>
      <c r="U71" s="173">
        <f ca="1">IF(C71="#N/A",0,_xll.HLV5r3.Financial.Cache.YearFraction( ValuationDate, C71,"ACT/365.FIXED"))</f>
        <v>8.3479452054794514</v>
      </c>
      <c r="V71" s="79"/>
      <c r="X71" s="207">
        <f ca="1"/>
        <v>46598</v>
      </c>
    </row>
    <row r="72" spans="1:24">
      <c r="A72" s="136">
        <f t="shared" ca="1" si="6"/>
        <v>46689</v>
      </c>
      <c r="B72" s="136">
        <f t="shared" ca="1" si="3"/>
        <v>46783</v>
      </c>
      <c r="C72" s="101">
        <f ca="1">IF(Swap!$G$26="Standard",B72,A72)</f>
        <v>46783</v>
      </c>
      <c r="D72" s="147">
        <v>0</v>
      </c>
      <c r="E72" s="112">
        <f t="shared" ca="1" si="9"/>
        <v>-100000000</v>
      </c>
      <c r="F72" s="112">
        <f ca="1">-Stream1!F72</f>
        <v>-100000000</v>
      </c>
      <c r="G72" s="112">
        <f t="shared" ca="1" si="7"/>
        <v>-100000000</v>
      </c>
      <c r="H72" s="152" t="str">
        <f t="shared" ca="1" si="10"/>
        <v>Coupon</v>
      </c>
      <c r="I72" s="168">
        <f ca="1">IF(C72="#N/A",0,_xll.HLV5r3.Financial.Cache.GetValueFromBase(Stream2DiscountCurve, Swap!$F$4, Stream2!C72))</f>
        <v>0.633335049362028</v>
      </c>
      <c r="J72" s="117">
        <f ca="1">IF(C72="#N/A","#N/A",_xll.HLV5r3.Financial.Cache.GetValueFromBase( Stream2ForwardCurve, Swap!$F$4, A72))</f>
        <v>0.6430837607836184</v>
      </c>
      <c r="K72" s="169">
        <f ca="1">IF(C72="#N/A","#N/A",_xll.HLV5r3.Financial.Cache.GetValueFromBase( Stream2ForwardCurve, Swap!$F$4, B72))</f>
        <v>0.633335049362028</v>
      </c>
      <c r="L72" s="115">
        <f ca="1" xml:space="preserve"> IF(G72=0,0,_xll.HLV5r3.Financial.Cache.YearFraction( A72, B72,Swap!$G$25))</f>
        <v>0.25753424657534246</v>
      </c>
      <c r="M72" s="143">
        <f ca="1">IF(J72="#N/A",0,IF($B$2="Fixed",Stream2FixedRate,_xll.HLV5r3.Analytics.Rates.GetRate(J72,K72,L72)+Stream2Spread))</f>
        <v>5.9769373365287898E-2</v>
      </c>
      <c r="N72" s="186">
        <f ca="1">IF(L72="#N/A",L72,IF(Swap!$G$26="Standard",L72*G72*M72,L72*G72*M72/(1+Stream2!L72*Stream2!M72)))</f>
        <v>-1539266.0537909758</v>
      </c>
      <c r="O72" s="186">
        <f t="shared" ca="1" si="4"/>
        <v>-974871.14215900167</v>
      </c>
      <c r="P72" s="186">
        <f ca="1">IF($B$2="FIXED",0,IF(Swap!$G$26="FRA",_xll.HLV5r3.Analytics.Swaps.Delta0DiscountCoupon( G72, L72, M72, I72),_xll.HLV5r3.Analytics.Swaps.Delta0Coupon( G72, L72, M72, I72)))</f>
        <v>1631.0546476720722</v>
      </c>
      <c r="Q72" s="180">
        <f ca="1">IF(U72=0,0,_xll.HLV5r3.Analytics.Swaps.Delta1ForAnAmount( N72, I72, Stream2CompoundingPeriod, U72))</f>
        <v>-827.93718870141777</v>
      </c>
      <c r="R72" s="79"/>
      <c r="S72" s="101">
        <f t="shared" ca="1" si="8"/>
        <v>46689</v>
      </c>
      <c r="T72" s="101">
        <f t="shared" ca="1" si="5"/>
        <v>46689</v>
      </c>
      <c r="U72" s="173">
        <f ca="1">IF(C72="#N/A",0,_xll.HLV5r3.Financial.Cache.YearFraction( ValuationDate, C72,"ACT/365.FIXED"))</f>
        <v>8.6054794520547944</v>
      </c>
      <c r="V72" s="79"/>
      <c r="X72" s="207">
        <f ca="1"/>
        <v>46689</v>
      </c>
    </row>
    <row r="73" spans="1:24">
      <c r="A73" s="136">
        <f t="shared" ca="1" si="6"/>
        <v>46783</v>
      </c>
      <c r="B73" s="136">
        <f t="shared" ca="1" si="3"/>
        <v>46871</v>
      </c>
      <c r="C73" s="101">
        <f ca="1">IF(Swap!$G$26="Standard",B73,A73)</f>
        <v>46871</v>
      </c>
      <c r="D73" s="147">
        <v>0</v>
      </c>
      <c r="E73" s="112">
        <f t="shared" ca="1" si="9"/>
        <v>-100000000</v>
      </c>
      <c r="F73" s="112">
        <f ca="1">-Stream1!F73</f>
        <v>-100000000</v>
      </c>
      <c r="G73" s="112">
        <f t="shared" ca="1" si="7"/>
        <v>-100000000</v>
      </c>
      <c r="H73" s="152" t="str">
        <f t="shared" ca="1" si="10"/>
        <v>Coupon</v>
      </c>
      <c r="I73" s="168">
        <f ca="1">IF(C73="#N/A",0,_xll.HLV5r3.Financial.Cache.GetValueFromBase(Stream2DiscountCurve, Swap!$F$4, Stream2!C73))</f>
        <v>0.62428654880667822</v>
      </c>
      <c r="J73" s="117">
        <f ca="1">IF(C73="#N/A","#N/A",_xll.HLV5r3.Financial.Cache.GetValueFromBase( Stream2ForwardCurve, Swap!$F$4, A73))</f>
        <v>0.633335049362028</v>
      </c>
      <c r="K73" s="169">
        <f ca="1">IF(C73="#N/A","#N/A",_xll.HLV5r3.Financial.Cache.GetValueFromBase( Stream2ForwardCurve, Swap!$F$4, B73))</f>
        <v>0.62428654880667822</v>
      </c>
      <c r="L73" s="115">
        <f ca="1" xml:space="preserve"> IF(G73=0,0,_xll.HLV5r3.Financial.Cache.YearFraction( A73, B73,Swap!$G$25))</f>
        <v>0.24109589041095891</v>
      </c>
      <c r="M73" s="143">
        <f ca="1">IF(J73="#N/A",0,IF($B$2="Fixed",Stream2FixedRate,_xll.HLV5r3.Analytics.Rates.GetRate(J73,K73,L73)+Stream2Spread))</f>
        <v>6.0117765795936022E-2</v>
      </c>
      <c r="N73" s="186">
        <f ca="1">IF(L73="#N/A",L73,IF(Swap!$G$26="Standard",L73*G73*M73,L73*G73*M73/(1+Stream2!L73*Stream2!M73)))</f>
        <v>-1449414.6274088684</v>
      </c>
      <c r="O73" s="186">
        <f t="shared" ca="1" si="4"/>
        <v>-904850.05553499982</v>
      </c>
      <c r="P73" s="186">
        <f ca="1">IF($B$2="FIXED",0,IF(Swap!$G$26="FRA",_xll.HLV5r3.Analytics.Swaps.Delta0DiscountCoupon( G73, L73, M73, I73),_xll.HLV5r3.Analytics.Swaps.Delta0Coupon( G73, L73, M73, I73)))</f>
        <v>1505.1292135613064</v>
      </c>
      <c r="Q73" s="180">
        <f ca="1">IF(U73=0,0,_xll.HLV5r3.Analytics.Swaps.Delta1ForAnAmount( N73, I73, Stream2CompoundingPeriod, U73))</f>
        <v>-789.96454998708543</v>
      </c>
      <c r="R73" s="79"/>
      <c r="S73" s="101">
        <f t="shared" ca="1" si="8"/>
        <v>46783</v>
      </c>
      <c r="T73" s="101">
        <f t="shared" ca="1" si="5"/>
        <v>46783</v>
      </c>
      <c r="U73" s="173">
        <f ca="1">IF(C73="#N/A",0,_xll.HLV5r3.Financial.Cache.YearFraction( ValuationDate, C73,"ACT/365.FIXED"))</f>
        <v>8.8465753424657532</v>
      </c>
      <c r="V73" s="79"/>
      <c r="X73" s="207">
        <f ca="1"/>
        <v>46783</v>
      </c>
    </row>
    <row r="74" spans="1:24">
      <c r="A74" s="136">
        <f t="shared" ca="1" si="6"/>
        <v>46871</v>
      </c>
      <c r="B74" s="136">
        <f t="shared" ca="1" si="3"/>
        <v>46965</v>
      </c>
      <c r="C74" s="101">
        <f ca="1">IF(Swap!$G$26="Standard",B74,A74)</f>
        <v>46965</v>
      </c>
      <c r="D74" s="147">
        <v>0</v>
      </c>
      <c r="E74" s="112">
        <f t="shared" ca="1" si="9"/>
        <v>-100000000</v>
      </c>
      <c r="F74" s="112">
        <f ca="1">-Stream1!F74</f>
        <v>-100000000</v>
      </c>
      <c r="G74" s="112">
        <f t="shared" ca="1" si="7"/>
        <v>-100000000</v>
      </c>
      <c r="H74" s="152" t="str">
        <f t="shared" ca="1" si="10"/>
        <v>Coupon</v>
      </c>
      <c r="I74" s="168">
        <f ca="1">IF(C74="#N/A",0,_xll.HLV5r3.Financial.Cache.GetValueFromBase(Stream2DiscountCurve, Swap!$F$4, Stream2!C74))</f>
        <v>0.61473683977489413</v>
      </c>
      <c r="J74" s="117">
        <f ca="1">IF(C74="#N/A","#N/A",_xll.HLV5r3.Financial.Cache.GetValueFromBase( Stream2ForwardCurve, Swap!$F$4, A74))</f>
        <v>0.62428654880667822</v>
      </c>
      <c r="K74" s="169">
        <f ca="1">IF(C74="#N/A","#N/A",_xll.HLV5r3.Financial.Cache.GetValueFromBase( Stream2ForwardCurve, Swap!$F$4, B74))</f>
        <v>0.61473683977489413</v>
      </c>
      <c r="L74" s="115">
        <f ca="1" xml:space="preserve"> IF(G74=0,0,_xll.HLV5r3.Financial.Cache.YearFraction( A74, B74,Swap!$G$25))</f>
        <v>0.25753424657534246</v>
      </c>
      <c r="M74" s="143">
        <f ca="1">IF(J74="#N/A",0,IF($B$2="Fixed",Stream2FixedRate,_xll.HLV5r3.Analytics.Rates.GetRate(J74,K74,L74)+Stream2Spread))</f>
        <v>6.0320635735280362E-2</v>
      </c>
      <c r="N74" s="186">
        <f ca="1">IF(L74="#N/A",L74,IF(Swap!$G$26="Standard",L74*G74*M74,L74*G74*M74/(1+Stream2!L74*Stream2!M74)))</f>
        <v>-1553462.9477031105</v>
      </c>
      <c r="O74" s="186">
        <f t="shared" ca="1" si="4"/>
        <v>-954970.90317840176</v>
      </c>
      <c r="P74" s="186">
        <f ca="1">IF($B$2="FIXED",0,IF(Swap!$G$26="FRA",_xll.HLV5r3.Analytics.Swaps.Delta0DiscountCoupon( G74, L74, M74, I74),_xll.HLV5r3.Analytics.Swaps.Delta0Coupon( G74, L74, M74, I74)))</f>
        <v>1583.1578887353437</v>
      </c>
      <c r="Q74" s="180">
        <f ca="1">IF(U74=0,0,_xll.HLV5r3.Analytics.Swaps.Delta1ForAnAmount( N74, I74, Stream2CompoundingPeriod, U74))</f>
        <v>-857.95284481276929</v>
      </c>
      <c r="R74" s="79"/>
      <c r="S74" s="101">
        <f t="shared" ca="1" si="8"/>
        <v>46871</v>
      </c>
      <c r="T74" s="101">
        <f t="shared" ca="1" si="5"/>
        <v>46871</v>
      </c>
      <c r="U74" s="173">
        <f ca="1">IF(C74="#N/A",0,_xll.HLV5r3.Financial.Cache.YearFraction( ValuationDate, C74,"ACT/365.FIXED"))</f>
        <v>9.1041095890410961</v>
      </c>
      <c r="V74" s="79"/>
      <c r="X74" s="207">
        <f ca="1"/>
        <v>46871</v>
      </c>
    </row>
    <row r="75" spans="1:24">
      <c r="A75" s="136">
        <f t="shared" ca="1" si="6"/>
        <v>46965</v>
      </c>
      <c r="B75" s="136">
        <f t="shared" ca="1" si="3"/>
        <v>47057</v>
      </c>
      <c r="C75" s="101">
        <f ca="1">IF(Swap!$G$26="Standard",B75,A75)</f>
        <v>47057</v>
      </c>
      <c r="D75" s="147">
        <v>0</v>
      </c>
      <c r="E75" s="112">
        <f t="shared" ca="1" si="9"/>
        <v>-100000000</v>
      </c>
      <c r="F75" s="112">
        <f ca="1">-Stream1!F75</f>
        <v>-100000000</v>
      </c>
      <c r="G75" s="112">
        <f t="shared" ca="1" si="7"/>
        <v>-100000000</v>
      </c>
      <c r="H75" s="152" t="str">
        <f t="shared" ca="1" si="10"/>
        <v>Coupon</v>
      </c>
      <c r="I75" s="168">
        <f ca="1">IF(C75="#N/A",0,_xll.HLV5r3.Financial.Cache.GetValueFromBase(Stream2DiscountCurve, Swap!$F$4, Stream2!C75))</f>
        <v>0.60553123597848746</v>
      </c>
      <c r="J75" s="117">
        <f ca="1">IF(C75="#N/A","#N/A",_xll.HLV5r3.Financial.Cache.GetValueFromBase( Stream2ForwardCurve, Swap!$F$4, A75))</f>
        <v>0.61473683977489413</v>
      </c>
      <c r="K75" s="169">
        <f ca="1">IF(C75="#N/A","#N/A",_xll.HLV5r3.Financial.Cache.GetValueFromBase( Stream2ForwardCurve, Swap!$F$4, B75))</f>
        <v>0.60553123597848746</v>
      </c>
      <c r="L75" s="115">
        <f ca="1" xml:space="preserve"> IF(G75=0,0,_xll.HLV5r3.Financial.Cache.YearFraction( A75, B75,Swap!$G$25))</f>
        <v>0.25205479452054796</v>
      </c>
      <c r="M75" s="143">
        <f ca="1">IF(J75="#N/A",0,IF($B$2="Fixed",Stream2FixedRate,_xll.HLV5r3.Analytics.Rates.GetRate(J75,K75,L75)+Stream2Spread))</f>
        <v>6.0314365771931881E-2</v>
      </c>
      <c r="N75" s="186">
        <f ca="1">IF(L75="#N/A",L75,IF(Swap!$G$26="Standard",L75*G75*M75,L75*G75*M75/(1+Stream2!L75*Stream2!M75)))</f>
        <v>-1520252.507128146</v>
      </c>
      <c r="O75" s="186">
        <f t="shared" ca="1" si="4"/>
        <v>-920560.37964070053</v>
      </c>
      <c r="P75" s="186">
        <f ca="1">IF($B$2="FIXED",0,IF(Swap!$G$26="FRA",_xll.HLV5r3.Analytics.Swaps.Delta0DiscountCoupon( G75, L75, M75, I75),_xll.HLV5r3.Analytics.Swaps.Delta0Coupon( G75, L75, M75, I75)))</f>
        <v>1526.2705126033109</v>
      </c>
      <c r="Q75" s="180">
        <f ca="1">IF(U75=0,0,_xll.HLV5r3.Analytics.Swaps.Delta1ForAnAmount( N75, I75, Stream2CompoundingPeriod, U75))</f>
        <v>-849.899170356426</v>
      </c>
      <c r="R75" s="79"/>
      <c r="S75" s="101">
        <f t="shared" ca="1" si="8"/>
        <v>46965</v>
      </c>
      <c r="T75" s="101">
        <f t="shared" ca="1" si="5"/>
        <v>46965</v>
      </c>
      <c r="U75" s="173">
        <f ca="1">IF(C75="#N/A",0,_xll.HLV5r3.Financial.Cache.YearFraction( ValuationDate, C75,"ACT/365.FIXED"))</f>
        <v>9.3561643835616444</v>
      </c>
      <c r="V75" s="79"/>
      <c r="X75" s="207">
        <f ca="1"/>
        <v>46965</v>
      </c>
    </row>
    <row r="76" spans="1:24">
      <c r="A76" s="136">
        <f t="shared" ca="1" si="6"/>
        <v>47057</v>
      </c>
      <c r="B76" s="136">
        <f t="shared" ca="1" si="3"/>
        <v>47149</v>
      </c>
      <c r="C76" s="101">
        <f ca="1">IF(Swap!$G$26="Standard",B76,A76)</f>
        <v>47149</v>
      </c>
      <c r="D76" s="147">
        <v>0</v>
      </c>
      <c r="E76" s="112">
        <f t="shared" ca="1" si="9"/>
        <v>-100000000</v>
      </c>
      <c r="F76" s="112">
        <f ca="1">-Stream1!F76</f>
        <v>-100000000</v>
      </c>
      <c r="G76" s="112">
        <f t="shared" ca="1" si="7"/>
        <v>-100000000</v>
      </c>
      <c r="H76" s="152" t="str">
        <f t="shared" ca="1" si="10"/>
        <v>Coupon</v>
      </c>
      <c r="I76" s="168">
        <f ca="1">IF(C76="#N/A",0,_xll.HLV5r3.Financial.Cache.GetValueFromBase(Stream2DiscountCurve, Swap!$F$4, Stream2!C76))</f>
        <v>0.59641155471890395</v>
      </c>
      <c r="J76" s="117">
        <f ca="1">IF(C76="#N/A","#N/A",_xll.HLV5r3.Financial.Cache.GetValueFromBase( Stream2ForwardCurve, Swap!$F$4, A76))</f>
        <v>0.60553123597848746</v>
      </c>
      <c r="K76" s="169">
        <f ca="1">IF(C76="#N/A","#N/A",_xll.HLV5r3.Financial.Cache.GetValueFromBase( Stream2ForwardCurve, Swap!$F$4, B76))</f>
        <v>0.59641155471890395</v>
      </c>
      <c r="L76" s="115">
        <f ca="1" xml:space="preserve"> IF(G76=0,0,_xll.HLV5r3.Financial.Cache.YearFraction( A76, B76,Swap!$G$25))</f>
        <v>0.25205479452054796</v>
      </c>
      <c r="M76" s="143">
        <f ca="1">IF(J76="#N/A",0,IF($B$2="Fixed",Stream2FixedRate,_xll.HLV5r3.Analytics.Rates.GetRate(J76,K76,L76)+Stream2Spread))</f>
        <v>6.0665062307094515E-2</v>
      </c>
      <c r="N76" s="186">
        <f ca="1">IF(L76="#N/A",L76,IF(Swap!$G$26="Standard",L76*G76*M76,L76*G76*M76/(1+Stream2!L76*Stream2!M76)))</f>
        <v>-1529091.9814390948</v>
      </c>
      <c r="O76" s="186">
        <f t="shared" ca="1" si="4"/>
        <v>-911968.12595829996</v>
      </c>
      <c r="P76" s="186">
        <f ca="1">IF($B$2="FIXED",0,IF(Swap!$G$26="FRA",_xll.HLV5r3.Analytics.Swaps.Delta0DiscountCoupon( G76, L76, M76, I76),_xll.HLV5r3.Analytics.Swaps.Delta0Coupon( G76, L76, M76, I76)))</f>
        <v>1503.2839187435388</v>
      </c>
      <c r="Q76" s="180">
        <f ca="1">IF(U76=0,0,_xll.HLV5r3.Analytics.Swaps.Delta1ForAnAmount( N76, I76, Stream2CompoundingPeriod, U76))</f>
        <v>-864.61213232478428</v>
      </c>
      <c r="R76" s="79"/>
      <c r="S76" s="101">
        <f t="shared" ca="1" si="8"/>
        <v>47057</v>
      </c>
      <c r="T76" s="101">
        <f t="shared" ca="1" si="5"/>
        <v>47057</v>
      </c>
      <c r="U76" s="173">
        <f ca="1">IF(C76="#N/A",0,_xll.HLV5r3.Financial.Cache.YearFraction( ValuationDate, C76,"ACT/365.FIXED"))</f>
        <v>9.6082191780821926</v>
      </c>
      <c r="V76" s="79"/>
      <c r="X76" s="207">
        <f ca="1"/>
        <v>47057</v>
      </c>
    </row>
    <row r="77" spans="1:24">
      <c r="A77" s="136">
        <f t="shared" ca="1" si="6"/>
        <v>47149</v>
      </c>
      <c r="B77" s="136">
        <f t="shared" ca="1" si="3"/>
        <v>47238</v>
      </c>
      <c r="C77" s="101">
        <f ca="1">IF(Swap!$G$26="Standard",B77,A77)</f>
        <v>47238</v>
      </c>
      <c r="D77" s="147">
        <v>0</v>
      </c>
      <c r="E77" s="112">
        <f t="shared" ca="1" si="9"/>
        <v>-100000000</v>
      </c>
      <c r="F77" s="112">
        <f ca="1">-Stream1!F77</f>
        <v>-100000000</v>
      </c>
      <c r="G77" s="112">
        <f t="shared" ca="1" si="7"/>
        <v>-100000000</v>
      </c>
      <c r="H77" s="152" t="str">
        <f t="shared" ca="1" si="10"/>
        <v>Coupon</v>
      </c>
      <c r="I77" s="168">
        <f ca="1">IF(C77="#N/A",0,_xll.HLV5r3.Financial.Cache.GetValueFromBase(Stream2DiscountCurve, Swap!$F$4, Stream2!C77))</f>
        <v>0.58767128859889806</v>
      </c>
      <c r="J77" s="117">
        <f ca="1">IF(C77="#N/A","#N/A",_xll.HLV5r3.Financial.Cache.GetValueFromBase( Stream2ForwardCurve, Swap!$F$4, A77))</f>
        <v>0.59641155471890395</v>
      </c>
      <c r="K77" s="169">
        <f ca="1">IF(C77="#N/A","#N/A",_xll.HLV5r3.Financial.Cache.GetValueFromBase( Stream2ForwardCurve, Swap!$F$4, B77))</f>
        <v>0.58767128859889806</v>
      </c>
      <c r="L77" s="115">
        <f ca="1" xml:space="preserve"> IF(G77=0,0,_xll.HLV5r3.Financial.Cache.YearFraction( A77, B77,Swap!$G$25))</f>
        <v>0.24383561643835616</v>
      </c>
      <c r="M77" s="143">
        <f ca="1">IF(J77="#N/A",0,IF($B$2="Fixed",Stream2FixedRate,_xll.HLV5r3.Analytics.Rates.GetRate(J77,K77,L77)+Stream2Spread))</f>
        <v>6.0994832164108191E-2</v>
      </c>
      <c r="N77" s="186">
        <f ca="1">IF(L77="#N/A",L77,IF(Swap!$G$26="Standard",L77*G77*M77,L77*G77*M77/(1+Stream2!L77*Stream2!M77)))</f>
        <v>-1487271.2500289395</v>
      </c>
      <c r="O77" s="186">
        <f t="shared" ca="1" si="4"/>
        <v>-874026.61200060078</v>
      </c>
      <c r="P77" s="186">
        <f ca="1">IF($B$2="FIXED",0,IF(Swap!$G$26="FRA",_xll.HLV5r3.Analytics.Swaps.Delta0DiscountCoupon( G77, L77, M77, I77),_xll.HLV5r3.Analytics.Swaps.Delta0Coupon( G77, L77, M77, I77)))</f>
        <v>1432.9519091863542</v>
      </c>
      <c r="Q77" s="180">
        <f ca="1">IF(U77=0,0,_xll.HLV5r3.Analytics.Swaps.Delta1ForAnAmount( N77, I77, Stream2CompoundingPeriod, U77))</f>
        <v>-849.63486590629316</v>
      </c>
      <c r="R77" s="79"/>
      <c r="S77" s="101">
        <f t="shared" ca="1" si="8"/>
        <v>47149</v>
      </c>
      <c r="T77" s="101">
        <f t="shared" ca="1" si="5"/>
        <v>47149</v>
      </c>
      <c r="U77" s="173">
        <f ca="1">IF(C77="#N/A",0,_xll.HLV5r3.Financial.Cache.YearFraction( ValuationDate, C77,"ACT/365.FIXED"))</f>
        <v>9.8520547945205479</v>
      </c>
      <c r="V77" s="79"/>
      <c r="X77" s="207">
        <f ca="1"/>
        <v>47149</v>
      </c>
    </row>
    <row r="78" spans="1:24">
      <c r="A78" s="136">
        <f t="shared" ca="1" si="6"/>
        <v>47238</v>
      </c>
      <c r="B78" s="136">
        <f t="shared" ca="1" si="3"/>
        <v>47330</v>
      </c>
      <c r="C78" s="101">
        <f ca="1">IF(Swap!$G$26="Standard",B78,A78)</f>
        <v>47330</v>
      </c>
      <c r="D78" s="147">
        <v>0</v>
      </c>
      <c r="E78" s="112">
        <f t="shared" ca="1" si="9"/>
        <v>-100000000</v>
      </c>
      <c r="F78" s="112">
        <f ca="1">-Stream1!F78</f>
        <v>-100000000</v>
      </c>
      <c r="G78" s="112">
        <f t="shared" ca="1" si="7"/>
        <v>-100000000</v>
      </c>
      <c r="H78" s="152" t="str">
        <f t="shared" ca="1" si="10"/>
        <v>Coupon</v>
      </c>
      <c r="I78" s="168">
        <f ca="1">IF(C78="#N/A",0,_xll.HLV5r3.Financial.Cache.GetValueFromBase(Stream2DiscountCurve, Swap!$F$4, Stream2!C78))</f>
        <v>0.57898561581270835</v>
      </c>
      <c r="J78" s="117">
        <f ca="1">IF(C78="#N/A","#N/A",_xll.HLV5r3.Financial.Cache.GetValueFromBase( Stream2ForwardCurve, Swap!$F$4, A78))</f>
        <v>0.58767128859889806</v>
      </c>
      <c r="K78" s="169">
        <f ca="1">IF(C78="#N/A","#N/A",_xll.HLV5r3.Financial.Cache.GetValueFromBase( Stream2ForwardCurve, Swap!$F$4, B78))</f>
        <v>0.57898561581270835</v>
      </c>
      <c r="L78" s="115">
        <f ca="1" xml:space="preserve"> IF(G78=0,0,_xll.HLV5r3.Financial.Cache.YearFraction( A78, B78,Swap!$G$25))</f>
        <v>0.25205479452054796</v>
      </c>
      <c r="M78" s="143">
        <f ca="1">IF(J78="#N/A",0,IF($B$2="Fixed",Stream2FixedRate,_xll.HLV5r3.Analytics.Rates.GetRate(J78,K78,L78)+Stream2Spread))</f>
        <v>5.9516958182062686E-2</v>
      </c>
      <c r="N78" s="186">
        <f ca="1">IF(L78="#N/A",L78,IF(Swap!$G$26="Standard",L78*G78*M78,L78*G78*M78/(1+Stream2!L78*Stream2!M78)))</f>
        <v>-1500153.4665067855</v>
      </c>
      <c r="O78" s="186">
        <f t="shared" ca="1" si="4"/>
        <v>-868567.27861900034</v>
      </c>
      <c r="P78" s="186">
        <f ca="1">IF($B$2="FIXED",0,IF(Swap!$G$26="FRA",_xll.HLV5r3.Analytics.Swaps.Delta0DiscountCoupon( G78, L78, M78, I78),_xll.HLV5r3.Analytics.Swaps.Delta0Coupon( G78, L78, M78, I78)))</f>
        <v>1459.3610042402513</v>
      </c>
      <c r="Q78" s="180">
        <f ca="1">IF(U78=0,0,_xll.HLV5r3.Analytics.Swaps.Delta1ForAnAmount( N78, I78, Stream2CompoundingPeriod, U78))</f>
        <v>-865.90188785364523</v>
      </c>
      <c r="R78" s="79"/>
      <c r="S78" s="101">
        <f t="shared" ca="1" si="8"/>
        <v>47238</v>
      </c>
      <c r="T78" s="101">
        <f t="shared" ca="1" si="5"/>
        <v>47238</v>
      </c>
      <c r="U78" s="173">
        <f ca="1">IF(C78="#N/A",0,_xll.HLV5r3.Financial.Cache.YearFraction( ValuationDate, C78,"ACT/365.FIXED"))</f>
        <v>10.104109589041096</v>
      </c>
      <c r="V78" s="79"/>
      <c r="X78" s="207">
        <f ca="1"/>
        <v>47238</v>
      </c>
    </row>
    <row r="79" spans="1:24">
      <c r="A79" s="136">
        <f t="shared" ca="1" si="6"/>
        <v>47330</v>
      </c>
      <c r="B79" s="136">
        <f t="shared" ca="1" si="3"/>
        <v>47422</v>
      </c>
      <c r="C79" s="101">
        <f ca="1">IF(Swap!$G$26="Standard",B79,A79)</f>
        <v>47422</v>
      </c>
      <c r="D79" s="147">
        <v>0</v>
      </c>
      <c r="E79" s="112">
        <f t="shared" ca="1" si="9"/>
        <v>-100000000</v>
      </c>
      <c r="F79" s="112">
        <f ca="1">-Stream1!F79</f>
        <v>-100000000</v>
      </c>
      <c r="G79" s="112">
        <f t="shared" ca="1" si="7"/>
        <v>-100000000</v>
      </c>
      <c r="H79" s="153" t="str">
        <f t="shared" ca="1" si="10"/>
        <v>Coupon</v>
      </c>
      <c r="I79" s="168">
        <f ca="1">IF(C79="#N/A",0,_xll.HLV5r3.Financial.Cache.GetValueFromBase(Stream2DiscountCurve, Swap!$F$4, Stream2!C79))</f>
        <v>0.57084691353023498</v>
      </c>
      <c r="J79" s="117">
        <f ca="1">IF(C79="#N/A","#N/A",_xll.HLV5r3.Financial.Cache.GetValueFromBase( Stream2ForwardCurve, Swap!$F$4, A79))</f>
        <v>0.57898561581270835</v>
      </c>
      <c r="K79" s="169">
        <f ca="1">IF(C79="#N/A","#N/A",_xll.HLV5r3.Financial.Cache.GetValueFromBase( Stream2ForwardCurve, Swap!$F$4, B79))</f>
        <v>0.57084691353023498</v>
      </c>
      <c r="L79" s="115">
        <f ca="1" xml:space="preserve"> IF(G79=0,0,_xll.HLV5r3.Financial.Cache.YearFraction( A79, B79,Swap!$G$25))</f>
        <v>0.25205479452054796</v>
      </c>
      <c r="M79" s="143">
        <f ca="1">IF(J79="#N/A",0,IF($B$2="Fixed",Stream2FixedRate,_xll.HLV5r3.Analytics.Rates.GetRate(J79,K79,L79)+Stream2Spread))</f>
        <v>5.6564055789449348E-2</v>
      </c>
      <c r="N79" s="186">
        <f ca="1">IF(L79="#N/A",L79,IF(Swap!$G$26="Standard",L79*G79*M79,L79*G79*M79/(1+Stream2!L79*Stream2!M79)))</f>
        <v>-1425724.1459258466</v>
      </c>
      <c r="O79" s="186">
        <f t="shared" ca="1" si="4"/>
        <v>-813870.22824729991</v>
      </c>
      <c r="P79" s="186">
        <f ca="1">IF($B$2="FIXED",0,IF(Swap!$G$26="FRA",_xll.HLV5r3.Analytics.Swaps.Delta0DiscountCoupon( G79, L79, M79, I79),_xll.HLV5r3.Analytics.Swaps.Delta0Coupon( G79, L79, M79, I79)))</f>
        <v>1438.8470149255238</v>
      </c>
      <c r="Q79" s="180">
        <f ca="1">IF(U79=0,0,_xll.HLV5r3.Analytics.Swaps.Delta1ForAnAmount( N79, I79, Stream2CompoundingPeriod, U79))</f>
        <v>-831.60261988551326</v>
      </c>
      <c r="R79" s="48"/>
      <c r="S79" s="101">
        <f t="shared" ca="1" si="8"/>
        <v>47330</v>
      </c>
      <c r="T79" s="101">
        <f t="shared" ca="1" si="5"/>
        <v>47330</v>
      </c>
      <c r="U79" s="173">
        <f ca="1">IF(C79="#N/A",0,_xll.HLV5r3.Financial.Cache.YearFraction( ValuationDate, C79,"ACT/365.FIXED"))</f>
        <v>10.356164383561644</v>
      </c>
      <c r="V79" s="48"/>
      <c r="X79" s="207">
        <f ca="1"/>
        <v>47330</v>
      </c>
    </row>
    <row r="80" spans="1:24">
      <c r="A80" s="136">
        <f t="shared" ca="1" si="6"/>
        <v>47422</v>
      </c>
      <c r="B80" s="136">
        <f t="shared" ca="1" si="3"/>
        <v>47514</v>
      </c>
      <c r="C80" s="101">
        <f ca="1">IF(Swap!$G$26="Standard",B80,A80)</f>
        <v>47514</v>
      </c>
      <c r="D80" s="147">
        <v>0</v>
      </c>
      <c r="E80" s="112">
        <f t="shared" ref="E80:E111" ca="1" si="11">IF(C80="#N/A",0,IF($A$2="Pays",-Stream2Notional,Stream2Notional) )</f>
        <v>-100000000</v>
      </c>
      <c r="F80" s="112">
        <f ca="1">-Stream1!F80</f>
        <v>-100000000</v>
      </c>
      <c r="G80" s="112">
        <f t="shared" ca="1" si="7"/>
        <v>-100000000</v>
      </c>
      <c r="H80" s="152" t="str">
        <f t="shared" ca="1" si="10"/>
        <v>Coupon</v>
      </c>
      <c r="I80" s="168">
        <f ca="1">IF(C80="#N/A",0,_xll.HLV5r3.Financial.Cache.GetValueFromBase(Stream2DiscountCurve, Swap!$F$4, Stream2!C80))</f>
        <v>0.56280825671685741</v>
      </c>
      <c r="J80" s="117">
        <f ca="1">IF(C80="#N/A","#N/A",_xll.HLV5r3.Financial.Cache.GetValueFromBase( Stream2ForwardCurve, Swap!$F$4, A80))</f>
        <v>0.57084691353023498</v>
      </c>
      <c r="K80" s="169">
        <f ca="1">IF(C80="#N/A","#N/A",_xll.HLV5r3.Financial.Cache.GetValueFromBase( Stream2ForwardCurve, Swap!$F$4, B80))</f>
        <v>0.56280825671685741</v>
      </c>
      <c r="L80" s="115">
        <f ca="1" xml:space="preserve"> IF(G80=0,0,_xll.HLV5r3.Financial.Cache.YearFraction( A80, B80,Swap!$G$25))</f>
        <v>0.25205479452054796</v>
      </c>
      <c r="M80" s="143">
        <f ca="1">IF(J80="#N/A",0,IF($B$2="Fixed",Stream2FixedRate,_xll.HLV5r3.Analytics.Rates.GetRate(J80,K80,L80)+Stream2Spread))</f>
        <v>5.6666718654906058E-2</v>
      </c>
      <c r="N80" s="186">
        <f ca="1">IF(L80="#N/A",L80,IF(Swap!$G$26="Standard",L80*G80*M80,L80*G80*M80/(1+Stream2!L80*Stream2!M80)))</f>
        <v>-1428311.8126716048</v>
      </c>
      <c r="O80" s="186">
        <f t="shared" ca="1" si="4"/>
        <v>-803865.68133780046</v>
      </c>
      <c r="P80" s="186">
        <f ca="1">IF($B$2="FIXED",0,IF(Swap!$G$26="FRA",_xll.HLV5r3.Analytics.Swaps.Delta0DiscountCoupon( G80, L80, M80, I80),_xll.HLV5r3.Analytics.Swaps.Delta0Coupon( G80, L80, M80, I80)))</f>
        <v>1418.5851950123531</v>
      </c>
      <c r="Q80" s="180">
        <f ca="1">IF(U80=0,0,_xll.HLV5r3.Analytics.Swaps.Delta1ForAnAmount( N80, I80, Stream2CompoundingPeriod, U80))</f>
        <v>-841.36085245833885</v>
      </c>
      <c r="R80" s="79"/>
      <c r="S80" s="101">
        <f t="shared" ca="1" si="8"/>
        <v>47422</v>
      </c>
      <c r="T80" s="101">
        <f t="shared" ca="1" si="5"/>
        <v>47422</v>
      </c>
      <c r="U80" s="173">
        <f ca="1">IF(C80="#N/A",0,_xll.HLV5r3.Financial.Cache.YearFraction( ValuationDate, C80,"ACT/365.FIXED"))</f>
        <v>10.608219178082193</v>
      </c>
      <c r="V80" s="79"/>
      <c r="X80" s="207">
        <f ca="1"/>
        <v>47422</v>
      </c>
    </row>
    <row r="81" spans="1:24">
      <c r="A81" s="136">
        <f t="shared" ca="1" si="6"/>
        <v>47514</v>
      </c>
      <c r="B81" s="136">
        <f t="shared" ref="B81:B144" ca="1" si="12">IF(A81="#N/A", "#N/A",IF(A82="#N/A",$C$13,A82))</f>
        <v>47603</v>
      </c>
      <c r="C81" s="101">
        <f ca="1">IF(Swap!$G$26="Standard",B81,A81)</f>
        <v>47603</v>
      </c>
      <c r="D81" s="147">
        <v>0</v>
      </c>
      <c r="E81" s="112">
        <f t="shared" ca="1" si="11"/>
        <v>-100000000</v>
      </c>
      <c r="F81" s="112">
        <f ca="1">-Stream1!F81</f>
        <v>-100000000</v>
      </c>
      <c r="G81" s="112">
        <f t="shared" ca="1" si="7"/>
        <v>-100000000</v>
      </c>
      <c r="H81" s="152" t="str">
        <f t="shared" ca="1" si="10"/>
        <v>Coupon</v>
      </c>
      <c r="I81" s="168">
        <f ca="1">IF(C81="#N/A",0,_xll.HLV5r3.Financial.Cache.GetValueFromBase(Stream2DiscountCurve, Swap!$F$4, Stream2!C81))</f>
        <v>0.55512599260940743</v>
      </c>
      <c r="J81" s="117">
        <f ca="1">IF(C81="#N/A","#N/A",_xll.HLV5r3.Financial.Cache.GetValueFromBase( Stream2ForwardCurve, Swap!$F$4, A81))</f>
        <v>0.56280825671685741</v>
      </c>
      <c r="K81" s="169">
        <f ca="1">IF(C81="#N/A","#N/A",_xll.HLV5r3.Financial.Cache.GetValueFromBase( Stream2ForwardCurve, Swap!$F$4, B81))</f>
        <v>0.55512599260940743</v>
      </c>
      <c r="L81" s="115">
        <f ca="1" xml:space="preserve"> IF(G81=0,0,_xll.HLV5r3.Financial.Cache.YearFraction( A81, B81,Swap!$G$25))</f>
        <v>0.24383561643835616</v>
      </c>
      <c r="M81" s="143">
        <f ca="1">IF(J81="#N/A",0,IF($B$2="Fixed",Stream2FixedRate,_xll.HLV5r3.Analytics.Rates.GetRate(J81,K81,L81)+Stream2Spread))</f>
        <v>5.6754529633666506E-2</v>
      </c>
      <c r="N81" s="186">
        <f ca="1">IF(L81="#N/A",L81,IF(Swap!$G$26="Standard",L81*G81*M81,L81*G81*M81/(1+Stream2!L81*Stream2!M81)))</f>
        <v>-1383877.5718894023</v>
      </c>
      <c r="O81" s="186">
        <f t="shared" ref="O81:O144" ca="1" si="13">IF(N81="#N/A",N81,N81*I81)</f>
        <v>-768226.41074500105</v>
      </c>
      <c r="P81" s="186">
        <f ca="1">IF($B$2="FIXED",0,IF(Swap!$G$26="FRA",_xll.HLV5r3.Analytics.Swaps.Delta0DiscountCoupon( G81, L81, M81, I81),_xll.HLV5r3.Analytics.Swaps.Delta0Coupon( G81, L81, M81, I81)))</f>
        <v>1353.594886088692</v>
      </c>
      <c r="Q81" s="180">
        <f ca="1">IF(U81=0,0,_xll.HLV5r3.Analytics.Swaps.Delta1ForAnAmount( N81, I81, Stream2CompoundingPeriod, U81))</f>
        <v>-822.53103692667605</v>
      </c>
      <c r="R81" s="79"/>
      <c r="S81" s="101">
        <f t="shared" ca="1" si="8"/>
        <v>47514</v>
      </c>
      <c r="T81" s="101">
        <f t="shared" ref="T81:T108" ca="1" si="14">X81</f>
        <v>47514</v>
      </c>
      <c r="U81" s="173">
        <f ca="1">IF(C81="#N/A",0,_xll.HLV5r3.Financial.Cache.YearFraction( ValuationDate, C81,"ACT/365.FIXED"))</f>
        <v>10.852054794520548</v>
      </c>
      <c r="V81" s="79"/>
      <c r="X81" s="207">
        <f ca="1"/>
        <v>47514</v>
      </c>
    </row>
    <row r="82" spans="1:24">
      <c r="A82" s="136">
        <f t="shared" ref="A82:A145" ca="1" si="15">IF(S83="#N/A", "#N/A",S82)</f>
        <v>47603</v>
      </c>
      <c r="B82" s="136">
        <f t="shared" ca="1" si="12"/>
        <v>47695</v>
      </c>
      <c r="C82" s="101">
        <f ca="1">IF(Swap!$G$26="Standard",B82,A82)</f>
        <v>47695</v>
      </c>
      <c r="D82" s="147">
        <v>0</v>
      </c>
      <c r="E82" s="112">
        <f t="shared" ca="1" si="11"/>
        <v>-100000000</v>
      </c>
      <c r="F82" s="112">
        <f ca="1">-Stream1!F82</f>
        <v>-100000000</v>
      </c>
      <c r="G82" s="112">
        <f t="shared" ref="G82:G145" ca="1" si="16">F82</f>
        <v>-100000000</v>
      </c>
      <c r="H82" s="152" t="str">
        <f t="shared" ca="1" si="10"/>
        <v>Coupon</v>
      </c>
      <c r="I82" s="168">
        <f ca="1">IF(C82="#N/A",0,_xll.HLV5r3.Financial.Cache.GetValueFromBase(Stream2DiscountCurve, Swap!$F$4, Stream2!C82))</f>
        <v>0.54728124779721554</v>
      </c>
      <c r="J82" s="117">
        <f ca="1">IF(C82="#N/A","#N/A",_xll.HLV5r3.Financial.Cache.GetValueFromBase( Stream2ForwardCurve, Swap!$F$4, A82))</f>
        <v>0.55512599260940743</v>
      </c>
      <c r="K82" s="169">
        <f ca="1">IF(C82="#N/A","#N/A",_xll.HLV5r3.Financial.Cache.GetValueFromBase( Stream2ForwardCurve, Swap!$F$4, B82))</f>
        <v>0.54728124779721554</v>
      </c>
      <c r="L82" s="115">
        <f ca="1" xml:space="preserve"> IF(G82=0,0,_xll.HLV5r3.Financial.Cache.YearFraction( A82, B82,Swap!$G$25))</f>
        <v>0.25205479452054796</v>
      </c>
      <c r="M82" s="143">
        <f ca="1">IF(J82="#N/A",0,IF($B$2="Fixed",Stream2FixedRate,_xll.HLV5r3.Analytics.Rates.GetRate(J82,K82,L82)+Stream2Spread))</f>
        <v>5.686869864075144E-2</v>
      </c>
      <c r="N82" s="186">
        <f ca="1">IF(L82="#N/A",L82,IF(Swap!$G$26="Standard",L82*G82*M82,L82*G82*M82/(1+Stream2!L82*Stream2!M82)))</f>
        <v>-1433402.8150545568</v>
      </c>
      <c r="O82" s="186">
        <f t="shared" ca="1" si="13"/>
        <v>-784474.48121909925</v>
      </c>
      <c r="P82" s="186">
        <f ca="1">IF($B$2="FIXED",0,IF(Swap!$G$26="FRA",_xll.HLV5r3.Analytics.Swaps.Delta0DiscountCoupon( G82, L82, M82, I82),_xll.HLV5r3.Analytics.Swaps.Delta0Coupon( G82, L82, M82, I82)))</f>
        <v>1379.4486245847625</v>
      </c>
      <c r="Q82" s="180">
        <f ca="1">IF(U82=0,0,_xll.HLV5r3.Analytics.Swaps.Delta1ForAnAmount( N82, I82, Stream2CompoundingPeriod, U82))</f>
        <v>-859.42546972086325</v>
      </c>
      <c r="R82" s="79"/>
      <c r="S82" s="101">
        <f t="shared" ref="S82:S108" ca="1" si="17">IF(ISERROR(T82), "#N/A",IF(T82="","#N/A",T82+D82))</f>
        <v>47603</v>
      </c>
      <c r="T82" s="101">
        <f t="shared" ca="1" si="14"/>
        <v>47603</v>
      </c>
      <c r="U82" s="173">
        <f ca="1">IF(C82="#N/A",0,_xll.HLV5r3.Financial.Cache.YearFraction( ValuationDate, C82,"ACT/365.FIXED"))</f>
        <v>11.104109589041096</v>
      </c>
      <c r="V82" s="79"/>
      <c r="X82" s="207">
        <f ca="1"/>
        <v>47603</v>
      </c>
    </row>
    <row r="83" spans="1:24">
      <c r="A83" s="136">
        <f t="shared" ca="1" si="15"/>
        <v>47695</v>
      </c>
      <c r="B83" s="136">
        <f t="shared" ca="1" si="12"/>
        <v>47787</v>
      </c>
      <c r="C83" s="101">
        <f ca="1">IF(Swap!$G$26="Standard",B83,A83)</f>
        <v>47787</v>
      </c>
      <c r="D83" s="147">
        <v>0</v>
      </c>
      <c r="E83" s="112">
        <f t="shared" ca="1" si="11"/>
        <v>-100000000</v>
      </c>
      <c r="F83" s="112">
        <f ca="1">-Stream1!F83</f>
        <v>-100000000</v>
      </c>
      <c r="G83" s="112">
        <f t="shared" ca="1" si="16"/>
        <v>-100000000</v>
      </c>
      <c r="H83" s="152" t="str">
        <f t="shared" ca="1" si="10"/>
        <v>Coupon</v>
      </c>
      <c r="I83" s="168">
        <f ca="1">IF(C83="#N/A",0,_xll.HLV5r3.Financial.Cache.GetValueFromBase(Stream2DiscountCurve, Swap!$F$4, Stream2!C83))</f>
        <v>0.53953359643572851</v>
      </c>
      <c r="J83" s="117">
        <f ca="1">IF(C83="#N/A","#N/A",_xll.HLV5r3.Financial.Cache.GetValueFromBase( Stream2ForwardCurve, Swap!$F$4, A83))</f>
        <v>0.54728124779721554</v>
      </c>
      <c r="K83" s="169">
        <f ca="1">IF(C83="#N/A","#N/A",_xll.HLV5r3.Financial.Cache.GetValueFromBase( Stream2ForwardCurve, Swap!$F$4, B83))</f>
        <v>0.53953359643572851</v>
      </c>
      <c r="L83" s="115">
        <f ca="1" xml:space="preserve"> IF(G83=0,0,_xll.HLV5r3.Financial.Cache.YearFraction( A83, B83,Swap!$G$25))</f>
        <v>0.25205479452054796</v>
      </c>
      <c r="M83" s="143">
        <f ca="1">IF(J83="#N/A",0,IF($B$2="Fixed",Stream2FixedRate,_xll.HLV5r3.Analytics.Rates.GetRate(J83,K83,L83)+Stream2Spread))</f>
        <v>5.6971363495699791E-2</v>
      </c>
      <c r="N83" s="186">
        <f ca="1">IF(L83="#N/A",L83,IF(Swap!$G$26="Standard",L83*G83*M83,L83*G83*M83/(1+Stream2!L83*Stream2!M83)))</f>
        <v>-1435990.5319464058</v>
      </c>
      <c r="O83" s="186">
        <f t="shared" ca="1" si="13"/>
        <v>-774765.13614869921</v>
      </c>
      <c r="P83" s="186">
        <f ca="1">IF($B$2="FIXED",0,IF(Swap!$G$26="FRA",_xll.HLV5r3.Analytics.Swaps.Delta0DiscountCoupon( G83, L83, M83, I83),_xll.HLV5r3.Analytics.Swaps.Delta0Coupon( G83, L83, M83, I83)))</f>
        <v>1359.920297865398</v>
      </c>
      <c r="Q83" s="180">
        <f ca="1">IF(U83=0,0,_xll.HLV5r3.Analytics.Swaps.Delta1ForAnAmount( N83, I83, Stream2CompoundingPeriod, U83))</f>
        <v>-868.04447630123934</v>
      </c>
      <c r="R83" s="79"/>
      <c r="S83" s="101">
        <f t="shared" ca="1" si="17"/>
        <v>47695</v>
      </c>
      <c r="T83" s="101">
        <f t="shared" ca="1" si="14"/>
        <v>47695</v>
      </c>
      <c r="U83" s="173">
        <f ca="1">IF(C83="#N/A",0,_xll.HLV5r3.Financial.Cache.YearFraction( ValuationDate, C83,"ACT/365.FIXED"))</f>
        <v>11.356164383561644</v>
      </c>
      <c r="V83" s="79"/>
      <c r="X83" s="207">
        <f ca="1"/>
        <v>47695</v>
      </c>
    </row>
    <row r="84" spans="1:24">
      <c r="A84" s="136">
        <f t="shared" ca="1" si="15"/>
        <v>47787</v>
      </c>
      <c r="B84" s="136">
        <f t="shared" ca="1" si="12"/>
        <v>47879</v>
      </c>
      <c r="C84" s="101">
        <f ca="1">IF(Swap!$G$26="Standard",B84,A84)</f>
        <v>47879</v>
      </c>
      <c r="D84" s="147">
        <v>0</v>
      </c>
      <c r="E84" s="112">
        <f t="shared" ca="1" si="11"/>
        <v>-100000000</v>
      </c>
      <c r="F84" s="112">
        <f ca="1">-Stream1!F84</f>
        <v>-100000000</v>
      </c>
      <c r="G84" s="112">
        <f t="shared" ca="1" si="16"/>
        <v>-100000000</v>
      </c>
      <c r="H84" s="152" t="str">
        <f t="shared" ca="1" si="10"/>
        <v>Coupon</v>
      </c>
      <c r="I84" s="168">
        <f ca="1">IF(C84="#N/A",0,_xll.HLV5r3.Financial.Cache.GetValueFromBase(Stream2DiscountCurve, Swap!$F$4, Stream2!C84))</f>
        <v>0.53188205676772227</v>
      </c>
      <c r="J84" s="117">
        <f ca="1">IF(C84="#N/A","#N/A",_xll.HLV5r3.Financial.Cache.GetValueFromBase( Stream2ForwardCurve, Swap!$F$4, A84))</f>
        <v>0.53953359643572851</v>
      </c>
      <c r="K84" s="169">
        <f ca="1">IF(C84="#N/A","#N/A",_xll.HLV5r3.Financial.Cache.GetValueFromBase( Stream2ForwardCurve, Swap!$F$4, B84))</f>
        <v>0.53188205676772227</v>
      </c>
      <c r="L84" s="115">
        <f ca="1" xml:space="preserve"> IF(G84=0,0,_xll.HLV5r3.Financial.Cache.YearFraction( A84, B84,Swap!$G$25))</f>
        <v>0.25205479452054796</v>
      </c>
      <c r="M84" s="143">
        <f ca="1">IF(J84="#N/A",0,IF($B$2="Fixed",Stream2FixedRate,_xll.HLV5r3.Analytics.Rates.GetRate(J84,K84,L84)+Stream2Spread))</f>
        <v>5.7074029021024972E-2</v>
      </c>
      <c r="N84" s="186">
        <f ca="1">IF(L84="#N/A",L84,IF(Swap!$G$26="Standard",L84*G84*M84,L84*G84*M84/(1+Stream2!L84*Stream2!M84)))</f>
        <v>-1438578.2657354239</v>
      </c>
      <c r="O84" s="186">
        <f t="shared" ca="1" si="13"/>
        <v>-765153.96680070017</v>
      </c>
      <c r="P84" s="186">
        <f ca="1">IF($B$2="FIXED",0,IF(Swap!$G$26="FRA",_xll.HLV5r3.Analytics.Swaps.Delta0DiscountCoupon( G84, L84, M84, I84),_xll.HLV5r3.Analytics.Swaps.Delta0Coupon( G84, L84, M84, I84)))</f>
        <v>1340.6342252775466</v>
      </c>
      <c r="Q84" s="180">
        <f ca="1">IF(U84=0,0,_xll.HLV5r3.Analytics.Swaps.Delta1ForAnAmount( N84, I84, Stream2CompoundingPeriod, U84))</f>
        <v>-876.29281190822121</v>
      </c>
      <c r="R84" s="79"/>
      <c r="S84" s="101">
        <f t="shared" ca="1" si="17"/>
        <v>47787</v>
      </c>
      <c r="T84" s="101">
        <f t="shared" ca="1" si="14"/>
        <v>47787</v>
      </c>
      <c r="U84" s="173">
        <f ca="1">IF(C84="#N/A",0,_xll.HLV5r3.Financial.Cache.YearFraction( ValuationDate, C84,"ACT/365.FIXED"))</f>
        <v>11.608219178082193</v>
      </c>
      <c r="V84" s="79"/>
      <c r="X84" s="207">
        <f ca="1"/>
        <v>47787</v>
      </c>
    </row>
    <row r="85" spans="1:24">
      <c r="A85" s="136">
        <f t="shared" ca="1" si="15"/>
        <v>47879</v>
      </c>
      <c r="B85" s="136">
        <f t="shared" ca="1" si="12"/>
        <v>47968</v>
      </c>
      <c r="C85" s="101">
        <f ca="1">IF(Swap!$G$26="Standard",B85,A85)</f>
        <v>47968</v>
      </c>
      <c r="D85" s="147">
        <v>0</v>
      </c>
      <c r="E85" s="112">
        <f t="shared" ca="1" si="11"/>
        <v>-100000000</v>
      </c>
      <c r="F85" s="112">
        <f ca="1">-Stream1!F85</f>
        <v>-100000000</v>
      </c>
      <c r="G85" s="112">
        <f t="shared" ca="1" si="16"/>
        <v>-100000000</v>
      </c>
      <c r="H85" s="152" t="str">
        <f t="shared" ca="1" si="10"/>
        <v>Coupon</v>
      </c>
      <c r="I85" s="168">
        <f ca="1">IF(C85="#N/A",0,_xll.HLV5r3.Financial.Cache.GetValueFromBase(Stream2DiscountCurve, Swap!$F$4, Stream2!C85))</f>
        <v>0.52457056755986153</v>
      </c>
      <c r="J85" s="117">
        <f ca="1">IF(C85="#N/A","#N/A",_xll.HLV5r3.Financial.Cache.GetValueFromBase( Stream2ForwardCurve, Swap!$F$4, A85))</f>
        <v>0.53188205676772227</v>
      </c>
      <c r="K85" s="169">
        <f ca="1">IF(C85="#N/A","#N/A",_xll.HLV5r3.Financial.Cache.GetValueFromBase( Stream2ForwardCurve, Swap!$F$4, B85))</f>
        <v>0.52457056755986153</v>
      </c>
      <c r="L85" s="115">
        <f ca="1" xml:space="preserve"> IF(G85=0,0,_xll.HLV5r3.Financial.Cache.YearFraction( A85, B85,Swap!$G$25))</f>
        <v>0.24383561643835616</v>
      </c>
      <c r="M85" s="143">
        <f ca="1">IF(J85="#N/A",0,IF($B$2="Fixed",Stream2FixedRate,_xll.HLV5r3.Analytics.Rates.GetRate(J85,K85,L85)+Stream2Spread))</f>
        <v>5.7161653289321331E-2</v>
      </c>
      <c r="N85" s="186">
        <f ca="1">IF(L85="#N/A",L85,IF(Swap!$G$26="Standard",L85*G85*M85,L85*G85*M85/(1+Stream2!L85*Stream2!M85)))</f>
        <v>-1393804.6966437255</v>
      </c>
      <c r="O85" s="186">
        <f t="shared" ca="1" si="13"/>
        <v>-731148.92078599974</v>
      </c>
      <c r="P85" s="186">
        <f ca="1">IF($B$2="FIXED",0,IF(Swap!$G$26="FRA",_xll.HLV5r3.Analytics.Swaps.Delta0DiscountCoupon( G85, L85, M85, I85),_xll.HLV5r3.Analytics.Swaps.Delta0Coupon( G85, L85, M85, I85)))</f>
        <v>1279.0898770637718</v>
      </c>
      <c r="Q85" s="180">
        <f ca="1">IF(U85=0,0,_xll.HLV5r3.Analytics.Swaps.Delta1ForAnAmount( N85, I85, Stream2CompoundingPeriod, U85))</f>
        <v>-854.92706140526877</v>
      </c>
      <c r="R85" s="79"/>
      <c r="S85" s="101">
        <f t="shared" ca="1" si="17"/>
        <v>47879</v>
      </c>
      <c r="T85" s="101">
        <f t="shared" ca="1" si="14"/>
        <v>47879</v>
      </c>
      <c r="U85" s="173">
        <f ca="1">IF(C85="#N/A",0,_xll.HLV5r3.Financial.Cache.YearFraction( ValuationDate, C85,"ACT/365.FIXED"))</f>
        <v>11.852054794520548</v>
      </c>
      <c r="V85" s="79"/>
      <c r="X85" s="207">
        <f ca="1"/>
        <v>47879</v>
      </c>
    </row>
    <row r="86" spans="1:24">
      <c r="A86" s="136">
        <f t="shared" ca="1" si="15"/>
        <v>47968</v>
      </c>
      <c r="B86" s="136">
        <f t="shared" ca="1" si="12"/>
        <v>48060</v>
      </c>
      <c r="C86" s="101">
        <f ca="1">IF(Swap!$G$26="Standard",B86,A86)</f>
        <v>48060</v>
      </c>
      <c r="D86" s="147">
        <v>0</v>
      </c>
      <c r="E86" s="112">
        <f t="shared" ca="1" si="11"/>
        <v>-100000000</v>
      </c>
      <c r="F86" s="112">
        <f ca="1">-Stream1!F86</f>
        <v>-100000000</v>
      </c>
      <c r="G86" s="112">
        <f t="shared" ca="1" si="16"/>
        <v>-100000000</v>
      </c>
      <c r="H86" s="152" t="str">
        <f t="shared" ca="1" si="10"/>
        <v>Coupon</v>
      </c>
      <c r="I86" s="168">
        <f ca="1">IF(C86="#N/A",0,_xll.HLV5r3.Financial.Cache.GetValueFromBase(Stream2DiscountCurve, Swap!$F$4, Stream2!C86))</f>
        <v>0.51710527691122687</v>
      </c>
      <c r="J86" s="117">
        <f ca="1">IF(C86="#N/A","#N/A",_xll.HLV5r3.Financial.Cache.GetValueFromBase( Stream2ForwardCurve, Swap!$F$4, A86))</f>
        <v>0.52457056755986153</v>
      </c>
      <c r="K86" s="169">
        <f ca="1">IF(C86="#N/A","#N/A",_xll.HLV5r3.Financial.Cache.GetValueFromBase( Stream2ForwardCurve, Swap!$F$4, B86))</f>
        <v>0.51710527691122687</v>
      </c>
      <c r="L86" s="115">
        <f ca="1" xml:space="preserve"> IF(G86=0,0,_xll.HLV5r3.Financial.Cache.YearFraction( A86, B86,Swap!$G$25))</f>
        <v>0.25205479452054796</v>
      </c>
      <c r="M86" s="143">
        <f ca="1">IF(J86="#N/A",0,IF($B$2="Fixed",Stream2FixedRate,_xll.HLV5r3.Analytics.Rates.GetRate(J86,K86,L86)+Stream2Spread))</f>
        <v>5.7276014239762245E-2</v>
      </c>
      <c r="N86" s="186">
        <f ca="1">IF(L86="#N/A",L86,IF(Swap!$G$26="Standard",L86*G86*M86,L86*G86*M86/(1+Stream2!L86*Stream2!M86)))</f>
        <v>-1443669.4000159251</v>
      </c>
      <c r="O86" s="186">
        <f t="shared" ca="1" si="13"/>
        <v>-746529.06486349972</v>
      </c>
      <c r="P86" s="186">
        <f ca="1">IF($B$2="FIXED",0,IF(Swap!$G$26="FRA",_xll.HLV5r3.Analytics.Swaps.Delta0DiscountCoupon( G86, L86, M86, I86),_xll.HLV5r3.Analytics.Swaps.Delta0Coupon( G86, L86, M86, I86)))</f>
        <v>1303.3886431735034</v>
      </c>
      <c r="Q86" s="180">
        <f ca="1">IF(U86=0,0,_xll.HLV5r3.Analytics.Swaps.Delta1ForAnAmount( N86, I86, Stream2CompoundingPeriod, U86))</f>
        <v>-891.46380818751175</v>
      </c>
      <c r="R86" s="79"/>
      <c r="S86" s="101">
        <f t="shared" ca="1" si="17"/>
        <v>47968</v>
      </c>
      <c r="T86" s="101">
        <f t="shared" ca="1" si="14"/>
        <v>47968</v>
      </c>
      <c r="U86" s="173">
        <f ca="1">IF(C86="#N/A",0,_xll.HLV5r3.Financial.Cache.YearFraction( ValuationDate, C86,"ACT/365.FIXED"))</f>
        <v>12.104109589041096</v>
      </c>
      <c r="V86" s="79"/>
      <c r="X86" s="207">
        <f ca="1"/>
        <v>47968</v>
      </c>
    </row>
    <row r="87" spans="1:24">
      <c r="A87" s="136">
        <f t="shared" ca="1" si="15"/>
        <v>48060</v>
      </c>
      <c r="B87" s="136">
        <f t="shared" ca="1" si="12"/>
        <v>48152</v>
      </c>
      <c r="C87" s="101">
        <f ca="1">IF(Swap!$G$26="Standard",B87,A87)</f>
        <v>48152</v>
      </c>
      <c r="D87" s="147">
        <v>0</v>
      </c>
      <c r="E87" s="112">
        <f t="shared" ca="1" si="11"/>
        <v>-100000000</v>
      </c>
      <c r="F87" s="112">
        <f ca="1">-Stream1!F87</f>
        <v>-100000000</v>
      </c>
      <c r="G87" s="112">
        <f t="shared" ca="1" si="16"/>
        <v>-100000000</v>
      </c>
      <c r="H87" s="152" t="str">
        <f t="shared" ca="1" si="10"/>
        <v>Coupon</v>
      </c>
      <c r="I87" s="168">
        <f ca="1">IF(C87="#N/A",0,_xll.HLV5r3.Financial.Cache.GetValueFromBase(Stream2DiscountCurve, Swap!$F$4, Stream2!C87))</f>
        <v>0.50973322354671291</v>
      </c>
      <c r="J87" s="117">
        <f ca="1">IF(C87="#N/A","#N/A",_xll.HLV5r3.Financial.Cache.GetValueFromBase( Stream2ForwardCurve, Swap!$F$4, A87))</f>
        <v>0.51710527691122687</v>
      </c>
      <c r="K87" s="169">
        <f ca="1">IF(C87="#N/A","#N/A",_xll.HLV5r3.Financial.Cache.GetValueFromBase( Stream2ForwardCurve, Swap!$F$4, B87))</f>
        <v>0.50973322354671291</v>
      </c>
      <c r="L87" s="115">
        <f ca="1" xml:space="preserve"> IF(G87=0,0,_xll.HLV5r3.Financial.Cache.YearFraction( A87, B87,Swap!$G$25))</f>
        <v>0.25205479452054796</v>
      </c>
      <c r="M87" s="143">
        <f ca="1">IF(J87="#N/A",0,IF($B$2="Fixed",Stream2FixedRate,_xll.HLV5r3.Analytics.Rates.GetRate(J87,K87,L87)+Stream2Spread))</f>
        <v>5.7378681754458254E-2</v>
      </c>
      <c r="N87" s="186">
        <f ca="1">IF(L87="#N/A",L87,IF(Swap!$G$26="Standard",L87*G87*M87,L87*G87*M87/(1+Stream2!L87*Stream2!M87)))</f>
        <v>-1446257.1839479888</v>
      </c>
      <c r="O87" s="186">
        <f t="shared" ca="1" si="13"/>
        <v>-737205.33645139961</v>
      </c>
      <c r="P87" s="186">
        <f ca="1">IF($B$2="FIXED",0,IF(Swap!$G$26="FRA",_xll.HLV5r3.Analytics.Swaps.Delta0DiscountCoupon( G87, L87, M87, I87),_xll.HLV5r3.Analytics.Swaps.Delta0Coupon( G87, L87, M87, I87)))</f>
        <v>1284.8070292136326</v>
      </c>
      <c r="Q87" s="180">
        <f ca="1">IF(U87=0,0,_xll.HLV5r3.Analytics.Swaps.Delta1ForAnAmount( N87, I87, Stream2CompoundingPeriod, U87))</f>
        <v>-898.6506115317934</v>
      </c>
      <c r="R87" s="79"/>
      <c r="S87" s="101">
        <f t="shared" ca="1" si="17"/>
        <v>48060</v>
      </c>
      <c r="T87" s="101">
        <f t="shared" ca="1" si="14"/>
        <v>48060</v>
      </c>
      <c r="U87" s="173">
        <f ca="1">IF(C87="#N/A",0,_xll.HLV5r3.Financial.Cache.YearFraction( ValuationDate, C87,"ACT/365.FIXED"))</f>
        <v>12.356164383561644</v>
      </c>
      <c r="V87" s="79"/>
      <c r="X87" s="207">
        <f ca="1"/>
        <v>48060</v>
      </c>
    </row>
    <row r="88" spans="1:24">
      <c r="A88" s="136">
        <f t="shared" ca="1" si="15"/>
        <v>48152</v>
      </c>
      <c r="B88" s="136">
        <f t="shared" ca="1" si="12"/>
        <v>48243</v>
      </c>
      <c r="C88" s="101">
        <f ca="1">IF(Swap!$G$26="Standard",B88,A88)</f>
        <v>48243</v>
      </c>
      <c r="D88" s="147">
        <v>0</v>
      </c>
      <c r="E88" s="112">
        <f t="shared" ca="1" si="11"/>
        <v>-100000000</v>
      </c>
      <c r="F88" s="112">
        <f ca="1">-Stream1!F88</f>
        <v>-100000000</v>
      </c>
      <c r="G88" s="112">
        <f t="shared" ca="1" si="16"/>
        <v>-100000000</v>
      </c>
      <c r="H88" s="152" t="str">
        <f t="shared" ca="1" si="10"/>
        <v>Coupon</v>
      </c>
      <c r="I88" s="168">
        <f ca="1">IF(C88="#N/A",0,_xll.HLV5r3.Financial.Cache.GetValueFromBase(Stream2DiscountCurve, Swap!$F$4, Stream2!C88))</f>
        <v>0.50253208716912889</v>
      </c>
      <c r="J88" s="117">
        <f ca="1">IF(C88="#N/A","#N/A",_xll.HLV5r3.Financial.Cache.GetValueFromBase( Stream2ForwardCurve, Swap!$F$4, A88))</f>
        <v>0.50973322354671291</v>
      </c>
      <c r="K88" s="169">
        <f ca="1">IF(C88="#N/A","#N/A",_xll.HLV5r3.Financial.Cache.GetValueFromBase( Stream2ForwardCurve, Swap!$F$4, B88))</f>
        <v>0.50253208716912889</v>
      </c>
      <c r="L88" s="115">
        <f ca="1" xml:space="preserve"> IF(G88=0,0,_xll.HLV5r3.Financial.Cache.YearFraction( A88, B88,Swap!$G$25))</f>
        <v>0.24931506849315069</v>
      </c>
      <c r="M88" s="143">
        <f ca="1">IF(J88="#N/A",0,IF($B$2="Fixed",Stream2FixedRate,_xll.HLV5r3.Analytics.Rates.GetRate(J88,K88,L88)+Stream2Spread))</f>
        <v>5.7476287812447076E-2</v>
      </c>
      <c r="N88" s="186">
        <f ca="1">IF(L88="#N/A",L88,IF(Swap!$G$26="Standard",L88*G88*M88,L88*G88*M88/(1+Stream2!L88*Stream2!M88)))</f>
        <v>-1432970.4632692286</v>
      </c>
      <c r="O88" s="186">
        <f t="shared" ca="1" si="13"/>
        <v>-720113.63775839901</v>
      </c>
      <c r="P88" s="186">
        <f ca="1">IF($B$2="FIXED",0,IF(Swap!$G$26="FRA",_xll.HLV5r3.Analytics.Swaps.Delta0DiscountCoupon( G88, L88, M88, I88),_xll.HLV5r3.Analytics.Swaps.Delta0Coupon( G88, L88, M88, I88)))</f>
        <v>1252.8882173257734</v>
      </c>
      <c r="Q88" s="180">
        <f ca="1">IF(U88=0,0,_xll.HLV5r3.Analytics.Swaps.Delta1ForAnAmount( N88, I88, Stream2CompoundingPeriod, U88))</f>
        <v>-895.51686312851621</v>
      </c>
      <c r="R88" s="79"/>
      <c r="S88" s="101">
        <f t="shared" ca="1" si="17"/>
        <v>48152</v>
      </c>
      <c r="T88" s="101">
        <f t="shared" ca="1" si="14"/>
        <v>48152</v>
      </c>
      <c r="U88" s="173">
        <f ca="1">IF(C88="#N/A",0,_xll.HLV5r3.Financial.Cache.YearFraction( ValuationDate, C88,"ACT/365.FIXED"))</f>
        <v>12.605479452054794</v>
      </c>
      <c r="V88" s="79"/>
      <c r="X88" s="207">
        <f ca="1"/>
        <v>48152</v>
      </c>
    </row>
    <row r="89" spans="1:24">
      <c r="A89" s="136">
        <f t="shared" ca="1" si="15"/>
        <v>48243</v>
      </c>
      <c r="B89" s="136">
        <f t="shared" ca="1" si="12"/>
        <v>48334</v>
      </c>
      <c r="C89" s="101">
        <f ca="1">IF(Swap!$G$26="Standard",B89,A89)</f>
        <v>48334</v>
      </c>
      <c r="D89" s="147">
        <v>0</v>
      </c>
      <c r="E89" s="112">
        <f t="shared" ca="1" si="11"/>
        <v>-100000000</v>
      </c>
      <c r="F89" s="112">
        <f ca="1">-Stream1!F89</f>
        <v>-100000000</v>
      </c>
      <c r="G89" s="112">
        <f t="shared" ca="1" si="16"/>
        <v>-100000000</v>
      </c>
      <c r="H89" s="152" t="str">
        <f t="shared" ca="1" si="10"/>
        <v>Coupon</v>
      </c>
      <c r="I89" s="168">
        <f ca="1">IF(C89="#N/A",0,_xll.HLV5r3.Financial.Cache.GetValueFromBase(Stream2DiscountCurve, Swap!$F$4, Stream2!C89))</f>
        <v>0.49542031891232685</v>
      </c>
      <c r="J89" s="117">
        <f ca="1">IF(C89="#N/A","#N/A",_xll.HLV5r3.Financial.Cache.GetValueFromBase( Stream2ForwardCurve, Swap!$F$4, A89))</f>
        <v>0.50253208716912889</v>
      </c>
      <c r="K89" s="169">
        <f ca="1">IF(C89="#N/A","#N/A",_xll.HLV5r3.Financial.Cache.GetValueFromBase( Stream2ForwardCurve, Swap!$F$4, B89))</f>
        <v>0.49542031891232685</v>
      </c>
      <c r="L89" s="115">
        <f ca="1" xml:space="preserve"> IF(G89=0,0,_xll.HLV5r3.Financial.Cache.YearFraction( A89, B89,Swap!$G$25))</f>
        <v>0.24931506849315069</v>
      </c>
      <c r="M89" s="143">
        <f ca="1">IF(J89="#N/A",0,IF($B$2="Fixed",Stream2FixedRate,_xll.HLV5r3.Analytics.Rates.GetRate(J89,K89,L89)+Stream2Spread))</f>
        <v>5.7577824804116044E-2</v>
      </c>
      <c r="N89" s="186">
        <f ca="1">IF(L89="#N/A",L89,IF(Swap!$G$26="Standard",L89*G89*M89,L89*G89*M89/(1+Stream2!L89*Stream2!M89)))</f>
        <v>-1435501.9334724823</v>
      </c>
      <c r="O89" s="186">
        <f t="shared" ca="1" si="13"/>
        <v>-711176.82568019896</v>
      </c>
      <c r="P89" s="186">
        <f ca="1">IF($B$2="FIXED",0,IF(Swap!$G$26="FRA",_xll.HLV5r3.Analytics.Swaps.Delta0DiscountCoupon( G89, L89, M89, I89),_xll.HLV5r3.Analytics.Swaps.Delta0Coupon( G89, L89, M89, I89)))</f>
        <v>1235.1575074252532</v>
      </c>
      <c r="Q89" s="180">
        <f ca="1">IF(U89=0,0,_xll.HLV5r3.Analytics.Swaps.Delta1ForAnAmount( N89, I89, Stream2CompoundingPeriod, U89))</f>
        <v>-901.8841121381364</v>
      </c>
      <c r="R89" s="79"/>
      <c r="S89" s="101">
        <f t="shared" ca="1" si="17"/>
        <v>48243</v>
      </c>
      <c r="T89" s="101">
        <f t="shared" ca="1" si="14"/>
        <v>48243</v>
      </c>
      <c r="U89" s="173">
        <f ca="1">IF(C89="#N/A",0,_xll.HLV5r3.Financial.Cache.YearFraction( ValuationDate, C89,"ACT/365.FIXED"))</f>
        <v>12.854794520547944</v>
      </c>
      <c r="V89" s="79"/>
      <c r="X89" s="207">
        <f ca="1"/>
        <v>48243</v>
      </c>
    </row>
    <row r="90" spans="1:24">
      <c r="A90" s="136">
        <f t="shared" ca="1" si="15"/>
        <v>48334</v>
      </c>
      <c r="B90" s="136">
        <f t="shared" ca="1" si="12"/>
        <v>48425</v>
      </c>
      <c r="C90" s="101">
        <f ca="1">IF(Swap!$G$26="Standard",B90,A90)</f>
        <v>48425</v>
      </c>
      <c r="D90" s="147">
        <v>0</v>
      </c>
      <c r="E90" s="112">
        <f t="shared" ca="1" si="11"/>
        <v>-100000000</v>
      </c>
      <c r="F90" s="112">
        <f ca="1">-Stream1!F90</f>
        <v>-100000000</v>
      </c>
      <c r="G90" s="112">
        <f t="shared" ca="1" si="16"/>
        <v>-100000000</v>
      </c>
      <c r="H90" s="152" t="str">
        <f t="shared" ca="1" si="10"/>
        <v>Coupon</v>
      </c>
      <c r="I90" s="168">
        <f ca="1">IF(C90="#N/A",0,_xll.HLV5r3.Financial.Cache.GetValueFromBase(Stream2DiscountCurve, Swap!$F$4, Stream2!C90))</f>
        <v>0.48839700673645076</v>
      </c>
      <c r="J90" s="117">
        <f ca="1">IF(C90="#N/A","#N/A",_xll.HLV5r3.Financial.Cache.GetValueFromBase( Stream2ForwardCurve, Swap!$F$4, A90))</f>
        <v>0.49542031891232685</v>
      </c>
      <c r="K90" s="169">
        <f ca="1">IF(C90="#N/A","#N/A",_xll.HLV5r3.Financial.Cache.GetValueFromBase( Stream2ForwardCurve, Swap!$F$4, B90))</f>
        <v>0.48839700673645076</v>
      </c>
      <c r="L90" s="115">
        <f ca="1" xml:space="preserve"> IF(G90=0,0,_xll.HLV5r3.Financial.Cache.YearFraction( A90, B90,Swap!$G$25))</f>
        <v>0.24931506849315069</v>
      </c>
      <c r="M90" s="143">
        <f ca="1">IF(J90="#N/A",0,IF($B$2="Fixed",Stream2FixedRate,_xll.HLV5r3.Analytics.Rates.GetRate(J90,K90,L90)+Stream2Spread))</f>
        <v>5.7679362423662971E-2</v>
      </c>
      <c r="N90" s="186">
        <f ca="1">IF(L90="#N/A",L90,IF(Swap!$G$26="Standard",L90*G90*M90,L90*G90*M90/(1+Stream2!L90*Stream2!M90)))</f>
        <v>-1438033.4193296796</v>
      </c>
      <c r="O90" s="186">
        <f t="shared" ca="1" si="13"/>
        <v>-702331.21758759883</v>
      </c>
      <c r="P90" s="186">
        <f ca="1">IF($B$2="FIXED",0,IF(Swap!$G$26="FRA",_xll.HLV5r3.Analytics.Swaps.Delta0DiscountCoupon( G90, L90, M90, I90),_xll.HLV5r3.Analytics.Swaps.Delta0Coupon( G90, L90, M90, I90)))</f>
        <v>1217.6473318634801</v>
      </c>
      <c r="Q90" s="180">
        <f ca="1">IF(U90=0,0,_xll.HLV5r3.Analytics.Swaps.Delta1ForAnAmount( N90, I90, Stream2CompoundingPeriod, U90))</f>
        <v>-907.92950062750208</v>
      </c>
      <c r="R90" s="79"/>
      <c r="S90" s="101">
        <f t="shared" ca="1" si="17"/>
        <v>48334</v>
      </c>
      <c r="T90" s="101">
        <f t="shared" ca="1" si="14"/>
        <v>48334</v>
      </c>
      <c r="U90" s="173">
        <f ca="1">IF(C90="#N/A",0,_xll.HLV5r3.Financial.Cache.YearFraction( ValuationDate, C90,"ACT/365.FIXED"))</f>
        <v>13.104109589041096</v>
      </c>
      <c r="V90" s="79"/>
      <c r="X90" s="207">
        <f ca="1"/>
        <v>48334</v>
      </c>
    </row>
    <row r="91" spans="1:24">
      <c r="A91" s="136">
        <f t="shared" ca="1" si="15"/>
        <v>48425</v>
      </c>
      <c r="B91" s="136">
        <f t="shared" ca="1" si="12"/>
        <v>48516</v>
      </c>
      <c r="C91" s="101">
        <f ca="1">IF(Swap!$G$26="Standard",B91,A91)</f>
        <v>48516</v>
      </c>
      <c r="D91" s="147">
        <v>0</v>
      </c>
      <c r="E91" s="112">
        <f t="shared" ca="1" si="11"/>
        <v>-100000000</v>
      </c>
      <c r="F91" s="112">
        <f ca="1">-Stream1!F91</f>
        <v>-100000000</v>
      </c>
      <c r="G91" s="112">
        <f t="shared" ca="1" si="16"/>
        <v>-100000000</v>
      </c>
      <c r="H91" s="152" t="str">
        <f t="shared" ca="1" si="10"/>
        <v>Coupon</v>
      </c>
      <c r="I91" s="168">
        <f ca="1">IF(C91="#N/A",0,_xll.HLV5r3.Financial.Cache.GetValueFromBase(Stream2DiscountCurve, Swap!$F$4, Stream2!C91))</f>
        <v>0.481461244934483</v>
      </c>
      <c r="J91" s="117">
        <f ca="1">IF(C91="#N/A","#N/A",_xll.HLV5r3.Financial.Cache.GetValueFromBase( Stream2ForwardCurve, Swap!$F$4, A91))</f>
        <v>0.48839700673645076</v>
      </c>
      <c r="K91" s="169">
        <f ca="1">IF(C91="#N/A","#N/A",_xll.HLV5r3.Financial.Cache.GetValueFromBase( Stream2ForwardCurve, Swap!$F$4, B91))</f>
        <v>0.481461244934483</v>
      </c>
      <c r="L91" s="115">
        <f ca="1" xml:space="preserve"> IF(G91=0,0,_xll.HLV5r3.Financial.Cache.YearFraction( A91, B91,Swap!$G$25))</f>
        <v>0.24931506849315069</v>
      </c>
      <c r="M91" s="143">
        <f ca="1">IF(J91="#N/A",0,IF($B$2="Fixed",Stream2FixedRate,_xll.HLV5r3.Analytics.Rates.GetRate(J91,K91,L91)+Stream2Spread))</f>
        <v>5.7780900671073922E-2</v>
      </c>
      <c r="N91" s="186">
        <f ca="1">IF(L91="#N/A",L91,IF(Swap!$G$26="Standard",L91*G91*M91,L91*G91*M91/(1+Stream2!L91*Stream2!M91)))</f>
        <v>-1440564.9208404731</v>
      </c>
      <c r="O91" s="186">
        <f t="shared" ca="1" si="13"/>
        <v>-693576.18019679911</v>
      </c>
      <c r="P91" s="186">
        <f ca="1">IF($B$2="FIXED",0,IF(Swap!$G$26="FRA",_xll.HLV5r3.Analytics.Swaps.Delta0DiscountCoupon( G91, L91, M91, I91),_xll.HLV5r3.Analytics.Swaps.Delta0Coupon( G91, L91, M91, I91)))</f>
        <v>1200.3554325763823</v>
      </c>
      <c r="Q91" s="180">
        <f ca="1">IF(U91=0,0,_xll.HLV5r3.Analytics.Swaps.Delta1ForAnAmount( N91, I91, Stream2CompoundingPeriod, U91))</f>
        <v>-913.65893575725977</v>
      </c>
      <c r="R91" s="79"/>
      <c r="S91" s="101">
        <f t="shared" ca="1" si="17"/>
        <v>48425</v>
      </c>
      <c r="T91" s="101">
        <f t="shared" ca="1" si="14"/>
        <v>48425</v>
      </c>
      <c r="U91" s="173">
        <f ca="1">IF(C91="#N/A",0,_xll.HLV5r3.Financial.Cache.YearFraction( ValuationDate, C91,"ACT/365.FIXED"))</f>
        <v>13.353424657534246</v>
      </c>
      <c r="V91" s="79"/>
      <c r="X91" s="207">
        <f ca="1"/>
        <v>48425</v>
      </c>
    </row>
    <row r="92" spans="1:24">
      <c r="A92" s="136">
        <f t="shared" ca="1" si="15"/>
        <v>48516</v>
      </c>
      <c r="B92" s="136">
        <f t="shared" ca="1" si="12"/>
        <v>48610</v>
      </c>
      <c r="C92" s="101">
        <f ca="1">IF(Swap!$G$26="Standard",B92,A92)</f>
        <v>48610</v>
      </c>
      <c r="D92" s="147">
        <v>0</v>
      </c>
      <c r="E92" s="112">
        <f t="shared" ca="1" si="11"/>
        <v>-100000000</v>
      </c>
      <c r="F92" s="112">
        <f ca="1">-Stream1!F92</f>
        <v>-100000000</v>
      </c>
      <c r="G92" s="112">
        <f t="shared" ca="1" si="16"/>
        <v>-100000000</v>
      </c>
      <c r="H92" s="152" t="str">
        <f t="shared" ca="1" si="10"/>
        <v>Coupon</v>
      </c>
      <c r="I92" s="168">
        <f ca="1">IF(C92="#N/A",0,_xll.HLV5r3.Financial.Cache.GetValueFromBase(Stream2DiscountCurve, Swap!$F$4, Stream2!C92))</f>
        <v>0.47438780434938654</v>
      </c>
      <c r="J92" s="117">
        <f ca="1">IF(C92="#N/A","#N/A",_xll.HLV5r3.Financial.Cache.GetValueFromBase( Stream2ForwardCurve, Swap!$F$4, A92))</f>
        <v>0.481461244934483</v>
      </c>
      <c r="K92" s="169">
        <f ca="1">IF(C92="#N/A","#N/A",_xll.HLV5r3.Financial.Cache.GetValueFromBase( Stream2ForwardCurve, Swap!$F$4, B92))</f>
        <v>0.47438780434938654</v>
      </c>
      <c r="L92" s="115">
        <f ca="1" xml:space="preserve"> IF(G92=0,0,_xll.HLV5r3.Financial.Cache.YearFraction( A92, B92,Swap!$G$25))</f>
        <v>0.25753424657534246</v>
      </c>
      <c r="M92" s="143">
        <f ca="1">IF(J92="#N/A",0,IF($B$2="Fixed",Stream2FixedRate,_xll.HLV5r3.Analytics.Rates.GetRate(J92,K92,L92)+Stream2Spread))</f>
        <v>5.7897819128931952E-2</v>
      </c>
      <c r="N92" s="186">
        <f ca="1">IF(L92="#N/A",L92,IF(Swap!$G$26="Standard",L92*G92*M92,L92*G92*M92/(1+Stream2!L92*Stream2!M92)))</f>
        <v>-1491067.1227724941</v>
      </c>
      <c r="O92" s="186">
        <f t="shared" ca="1" si="13"/>
        <v>-707344.0585096007</v>
      </c>
      <c r="P92" s="186">
        <f ca="1">IF($B$2="FIXED",0,IF(Swap!$G$26="FRA",_xll.HLV5r3.Analytics.Swaps.Delta0DiscountCoupon( G92, L92, M92, I92),_xll.HLV5r3.Analytics.Swaps.Delta0Coupon( G92, L92, M92, I92)))</f>
        <v>1221.7110577765022</v>
      </c>
      <c r="Q92" s="180">
        <f ca="1">IF(U92=0,0,_xll.HLV5r3.Analytics.Swaps.Delta1ForAnAmount( N92, I92, Stream2CompoundingPeriod, U92))</f>
        <v>-949.75408402278458</v>
      </c>
      <c r="R92" s="79"/>
      <c r="S92" s="101">
        <f t="shared" ca="1" si="17"/>
        <v>48516</v>
      </c>
      <c r="T92" s="101">
        <f t="shared" ca="1" si="14"/>
        <v>48516</v>
      </c>
      <c r="U92" s="173">
        <f ca="1">IF(C92="#N/A",0,_xll.HLV5r3.Financial.Cache.YearFraction( ValuationDate, C92,"ACT/365.FIXED"))</f>
        <v>13.610958904109589</v>
      </c>
      <c r="V92" s="79"/>
      <c r="X92" s="207">
        <f ca="1"/>
        <v>48516</v>
      </c>
    </row>
    <row r="93" spans="1:24">
      <c r="A93" s="136">
        <f t="shared" ca="1" si="15"/>
        <v>48610</v>
      </c>
      <c r="B93" s="136">
        <f t="shared" ca="1" si="12"/>
        <v>48698</v>
      </c>
      <c r="C93" s="101">
        <f ca="1">IF(Swap!$G$26="Standard",B93,A93)</f>
        <v>48698</v>
      </c>
      <c r="D93" s="147">
        <v>0</v>
      </c>
      <c r="E93" s="112">
        <f t="shared" ca="1" si="11"/>
        <v>-100000000</v>
      </c>
      <c r="F93" s="112">
        <f ca="1">-Stream1!F93</f>
        <v>-100000000</v>
      </c>
      <c r="G93" s="112">
        <f t="shared" ca="1" si="16"/>
        <v>-100000000</v>
      </c>
      <c r="H93" s="152" t="str">
        <f t="shared" ca="1" si="10"/>
        <v>Coupon</v>
      </c>
      <c r="I93" s="168">
        <f ca="1">IF(C93="#N/A",0,_xll.HLV5r3.Financial.Cache.GetValueFromBase(Stream2DiscountCurve, Swap!$F$4, Stream2!C93))</f>
        <v>0.4678487812890279</v>
      </c>
      <c r="J93" s="117">
        <f ca="1">IF(C93="#N/A","#N/A",_xll.HLV5r3.Financial.Cache.GetValueFromBase( Stream2ForwardCurve, Swap!$F$4, A93))</f>
        <v>0.47438780434938654</v>
      </c>
      <c r="K93" s="169">
        <f ca="1">IF(C93="#N/A","#N/A",_xll.HLV5r3.Financial.Cache.GetValueFromBase( Stream2ForwardCurve, Swap!$F$4, B93))</f>
        <v>0.4678487812890279</v>
      </c>
      <c r="L93" s="115">
        <f ca="1" xml:space="preserve"> IF(G93=0,0,_xll.HLV5r3.Financial.Cache.YearFraction( A93, B93,Swap!$G$25))</f>
        <v>0.24109589041095891</v>
      </c>
      <c r="M93" s="143">
        <f ca="1">IF(J93="#N/A",0,IF($B$2="Fixed",Stream2FixedRate,_xll.HLV5r3.Analytics.Rates.GetRate(J93,K93,L93)+Stream2Spread))</f>
        <v>5.7971903249841035E-2</v>
      </c>
      <c r="N93" s="186">
        <f ca="1">IF(L93="#N/A",L93,IF(Swap!$G$26="Standard",L93*G93*M93,L93*G93*M93/(1+Stream2!L93*Stream2!M93)))</f>
        <v>-1397678.7632838385</v>
      </c>
      <c r="O93" s="186">
        <f t="shared" ca="1" si="13"/>
        <v>-653902.30603589956</v>
      </c>
      <c r="P93" s="186">
        <f ca="1">IF($B$2="FIXED",0,IF(Swap!$G$26="FRA",_xll.HLV5r3.Analytics.Swaps.Delta0DiscountCoupon( G93, L93, M93, I93),_xll.HLV5r3.Analytics.Swaps.Delta0Coupon( G93, L93, M93, I93)))</f>
        <v>1127.9641850256016</v>
      </c>
      <c r="Q93" s="180">
        <f ca="1">IF(U93=0,0,_xll.HLV5r3.Analytics.Swaps.Delta1ForAnAmount( N93, I93, Stream2CompoundingPeriod, U93))</f>
        <v>-893.53922373431521</v>
      </c>
      <c r="R93" s="79"/>
      <c r="S93" s="101">
        <f t="shared" ca="1" si="17"/>
        <v>48610</v>
      </c>
      <c r="T93" s="101">
        <f t="shared" ca="1" si="14"/>
        <v>48610</v>
      </c>
      <c r="U93" s="173">
        <f ca="1">IF(C93="#N/A",0,_xll.HLV5r3.Financial.Cache.YearFraction( ValuationDate, C93,"ACT/365.FIXED"))</f>
        <v>13.852054794520548</v>
      </c>
      <c r="V93" s="79"/>
      <c r="X93" s="207">
        <f ca="1"/>
        <v>48610</v>
      </c>
    </row>
    <row r="94" spans="1:24">
      <c r="A94" s="136">
        <f t="shared" ca="1" si="15"/>
        <v>48698</v>
      </c>
      <c r="B94" s="136">
        <f t="shared" ca="1" si="12"/>
        <v>48789</v>
      </c>
      <c r="C94" s="101">
        <f ca="1">IF(Swap!$G$26="Standard",B94,A94)</f>
        <v>48789</v>
      </c>
      <c r="D94" s="147">
        <v>0</v>
      </c>
      <c r="E94" s="112">
        <f t="shared" ca="1" si="11"/>
        <v>-100000000</v>
      </c>
      <c r="F94" s="112">
        <f ca="1">-Stream1!F94</f>
        <v>-100000000</v>
      </c>
      <c r="G94" s="112">
        <f t="shared" ca="1" si="16"/>
        <v>-100000000</v>
      </c>
      <c r="H94" s="152" t="str">
        <f t="shared" ca="1" si="10"/>
        <v>Coupon</v>
      </c>
      <c r="I94" s="168">
        <f ca="1">IF(C94="#N/A",0,_xll.HLV5r3.Financial.Cache.GetValueFromBase(Stream2DiscountCurve, Swap!$F$4, Stream2!C94))</f>
        <v>0.46117029969387358</v>
      </c>
      <c r="J94" s="117">
        <f ca="1">IF(C94="#N/A","#N/A",_xll.HLV5r3.Financial.Cache.GetValueFromBase( Stream2ForwardCurve, Swap!$F$4, A94))</f>
        <v>0.4678487812890279</v>
      </c>
      <c r="K94" s="169">
        <f ca="1">IF(C94="#N/A","#N/A",_xll.HLV5r3.Financial.Cache.GetValueFromBase( Stream2ForwardCurve, Swap!$F$4, B94))</f>
        <v>0.46117029969387358</v>
      </c>
      <c r="L94" s="115">
        <f ca="1" xml:space="preserve"> IF(G94=0,0,_xll.HLV5r3.Financial.Cache.YearFraction( A94, B94,Swap!$G$25))</f>
        <v>0.24931506849315069</v>
      </c>
      <c r="M94" s="143">
        <f ca="1">IF(J94="#N/A",0,IF($B$2="Fixed",Stream2FixedRate,_xll.HLV5r3.Analytics.Rates.GetRate(J94,K94,L94)+Stream2Spread))</f>
        <v>5.8085519180303913E-2</v>
      </c>
      <c r="N94" s="186">
        <f ca="1">IF(L94="#N/A",L94,IF(Swap!$G$26="Standard",L94*G94*M94,L94*G94*M94/(1+Stream2!L94*Stream2!M94)))</f>
        <v>-1448159.5192897688</v>
      </c>
      <c r="O94" s="186">
        <f t="shared" ca="1" si="13"/>
        <v>-667848.15951539855</v>
      </c>
      <c r="P94" s="186">
        <f ca="1">IF($B$2="FIXED",0,IF(Swap!$G$26="FRA",_xll.HLV5r3.Analytics.Swaps.Delta0DiscountCoupon( G94, L94, M94, I94),_xll.HLV5r3.Analytics.Swaps.Delta0Coupon( G94, L94, M94, I94)))</f>
        <v>1149.7670485518493</v>
      </c>
      <c r="Q94" s="180">
        <f ca="1">IF(U94=0,0,_xll.HLV5r3.Analytics.Swaps.Delta1ForAnAmount( N94, I94, Stream2CompoundingPeriod, U94))</f>
        <v>-929.00965387922815</v>
      </c>
      <c r="R94" s="79"/>
      <c r="S94" s="101">
        <f t="shared" ca="1" si="17"/>
        <v>48698</v>
      </c>
      <c r="T94" s="101">
        <f t="shared" ca="1" si="14"/>
        <v>48698</v>
      </c>
      <c r="U94" s="173">
        <f ca="1">IF(C94="#N/A",0,_xll.HLV5r3.Financial.Cache.YearFraction( ValuationDate, C94,"ACT/365.FIXED"))</f>
        <v>14.101369863013698</v>
      </c>
      <c r="V94" s="79"/>
      <c r="X94" s="207">
        <f ca="1"/>
        <v>48698</v>
      </c>
    </row>
    <row r="95" spans="1:24">
      <c r="A95" s="136">
        <f t="shared" ca="1" si="15"/>
        <v>48789</v>
      </c>
      <c r="B95" s="136">
        <f t="shared" ca="1" si="12"/>
        <v>48883</v>
      </c>
      <c r="C95" s="101">
        <f ca="1">IF(Swap!$G$26="Standard",B95,A95)</f>
        <v>48883</v>
      </c>
      <c r="D95" s="147">
        <v>0</v>
      </c>
      <c r="E95" s="112">
        <f t="shared" ca="1" si="11"/>
        <v>-100000000</v>
      </c>
      <c r="F95" s="112">
        <f ca="1">-Stream1!F95</f>
        <v>-100000000</v>
      </c>
      <c r="G95" s="112">
        <f t="shared" ca="1" si="16"/>
        <v>-100000000</v>
      </c>
      <c r="H95" s="152" t="str">
        <f t="shared" ca="1" si="10"/>
        <v>Coupon</v>
      </c>
      <c r="I95" s="168">
        <f ca="1">IF(C95="#N/A",0,_xll.HLV5r3.Financial.Cache.GetValueFromBase(Stream2DiscountCurve, Swap!$F$4, Stream2!C95))</f>
        <v>0.45435982817633863</v>
      </c>
      <c r="J95" s="117">
        <f ca="1">IF(C95="#N/A","#N/A",_xll.HLV5r3.Financial.Cache.GetValueFromBase( Stream2ForwardCurve, Swap!$F$4, A95))</f>
        <v>0.46117029969387358</v>
      </c>
      <c r="K95" s="169">
        <f ca="1">IF(C95="#N/A","#N/A",_xll.HLV5r3.Financial.Cache.GetValueFromBase( Stream2ForwardCurve, Swap!$F$4, B95))</f>
        <v>0.45435982817633863</v>
      </c>
      <c r="L95" s="115">
        <f ca="1" xml:space="preserve"> IF(G95=0,0,_xll.HLV5r3.Financial.Cache.YearFraction( A95, B95,Swap!$G$25))</f>
        <v>0.25753424657534246</v>
      </c>
      <c r="M95" s="143">
        <f ca="1">IF(J95="#N/A",0,IF($B$2="Fixed",Stream2FixedRate,_xll.HLV5r3.Analytics.Rates.GetRate(J95,K95,L95)+Stream2Spread))</f>
        <v>5.8202583853156485E-2</v>
      </c>
      <c r="N95" s="186">
        <f ca="1">IF(L95="#N/A",L95,IF(Swap!$G$26="Standard",L95*G95*M95,L95*G95*M95/(1+Stream2!L95*Stream2!M95)))</f>
        <v>-1498915.8581360849</v>
      </c>
      <c r="O95" s="186">
        <f t="shared" ca="1" si="13"/>
        <v>-681047.15175350069</v>
      </c>
      <c r="P95" s="186">
        <f ca="1">IF($B$2="FIXED",0,IF(Swap!$G$26="FRA",_xll.HLV5r3.Analytics.Swaps.Delta0DiscountCoupon( G95, L95, M95, I95),_xll.HLV5r3.Analytics.Swaps.Delta0Coupon( G95, L95, M95, I95)))</f>
        <v>1170.1321602349542</v>
      </c>
      <c r="Q95" s="180">
        <f ca="1">IF(U95=0,0,_xll.HLV5r3.Analytics.Swaps.Delta1ForAnAmount( N95, I95, Stream2CompoundingPeriod, U95))</f>
        <v>-964.65968164652327</v>
      </c>
      <c r="R95" s="79"/>
      <c r="S95" s="101">
        <f t="shared" ca="1" si="17"/>
        <v>48789</v>
      </c>
      <c r="T95" s="101">
        <f t="shared" ca="1" si="14"/>
        <v>48789</v>
      </c>
      <c r="U95" s="173">
        <f ca="1">IF(C95="#N/A",0,_xll.HLV5r3.Financial.Cache.YearFraction( ValuationDate, C95,"ACT/365.FIXED"))</f>
        <v>14.358904109589041</v>
      </c>
      <c r="V95" s="79"/>
      <c r="X95" s="207">
        <f ca="1"/>
        <v>48789</v>
      </c>
    </row>
    <row r="96" spans="1:24">
      <c r="A96" s="136">
        <f t="shared" ca="1" si="15"/>
        <v>48883</v>
      </c>
      <c r="B96" s="136">
        <f t="shared" ca="1" si="12"/>
        <v>48975</v>
      </c>
      <c r="C96" s="101">
        <f ca="1">IF(Swap!$G$26="Standard",B96,A96)</f>
        <v>48975</v>
      </c>
      <c r="D96" s="147">
        <v>0</v>
      </c>
      <c r="E96" s="112">
        <f t="shared" ca="1" si="11"/>
        <v>-100000000</v>
      </c>
      <c r="F96" s="112">
        <f ca="1">-Stream1!F96</f>
        <v>-100000000</v>
      </c>
      <c r="G96" s="112">
        <f t="shared" ca="1" si="16"/>
        <v>-100000000</v>
      </c>
      <c r="H96" s="152" t="str">
        <f t="shared" ca="1" si="10"/>
        <v>Coupon</v>
      </c>
      <c r="I96" s="168">
        <f ca="1">IF(C96="#N/A",0,_xll.HLV5r3.Financial.Cache.GetValueFromBase(Stream2DiscountCurve, Swap!$F$4, Stream2!C96))</f>
        <v>0.44778011426330716</v>
      </c>
      <c r="J96" s="117">
        <f ca="1">IF(C96="#N/A","#N/A",_xll.HLV5r3.Financial.Cache.GetValueFromBase( Stream2ForwardCurve, Swap!$F$4, A96))</f>
        <v>0.45435982817633863</v>
      </c>
      <c r="K96" s="169">
        <f ca="1">IF(C96="#N/A","#N/A",_xll.HLV5r3.Financial.Cache.GetValueFromBase( Stream2ForwardCurve, Swap!$F$4, B96))</f>
        <v>0.44778011426330716</v>
      </c>
      <c r="L96" s="115">
        <f ca="1" xml:space="preserve"> IF(G96=0,0,_xll.HLV5r3.Financial.Cache.YearFraction( A96, B96,Swap!$G$25))</f>
        <v>0.25205479452054796</v>
      </c>
      <c r="M96" s="143">
        <f ca="1">IF(J96="#N/A",0,IF($B$2="Fixed",Stream2FixedRate,_xll.HLV5r3.Analytics.Rates.GetRate(J96,K96,L96)+Stream2Spread))</f>
        <v>5.8297139448916027E-2</v>
      </c>
      <c r="N96" s="186">
        <f ca="1">IF(L96="#N/A",L96,IF(Swap!$G$26="Standard",L96*G96*M96,L96*G96*M96/(1+Stream2!L96*Stream2!M96)))</f>
        <v>-1469407.350493226</v>
      </c>
      <c r="O96" s="186">
        <f t="shared" ca="1" si="13"/>
        <v>-657971.39130320016</v>
      </c>
      <c r="P96" s="186">
        <f ca="1">IF($B$2="FIXED",0,IF(Swap!$G$26="FRA",_xll.HLV5r3.Analytics.Swaps.Delta0DiscountCoupon( G96, L96, M96, I96),_xll.HLV5r3.Analytics.Swaps.Delta0Coupon( G96, L96, M96, I96)))</f>
        <v>1128.6512469102538</v>
      </c>
      <c r="Q96" s="180">
        <f ca="1">IF(U96=0,0,_xll.HLV5r3.Analytics.Swaps.Delta1ForAnAmount( N96, I96, Stream2CompoundingPeriod, U96))</f>
        <v>-948.32229427277014</v>
      </c>
      <c r="R96" s="79"/>
      <c r="S96" s="101">
        <f t="shared" ca="1" si="17"/>
        <v>48883</v>
      </c>
      <c r="T96" s="101">
        <f t="shared" ca="1" si="14"/>
        <v>48883</v>
      </c>
      <c r="U96" s="173">
        <f ca="1">IF(C96="#N/A",0,_xll.HLV5r3.Financial.Cache.YearFraction( ValuationDate, C96,"ACT/365.FIXED"))</f>
        <v>14.610958904109589</v>
      </c>
      <c r="V96" s="79"/>
      <c r="X96" s="207">
        <f ca="1"/>
        <v>48883</v>
      </c>
    </row>
    <row r="97" spans="1:24">
      <c r="A97" s="136">
        <f t="shared" ca="1" si="15"/>
        <v>48975</v>
      </c>
      <c r="B97" s="136">
        <f t="shared" ca="1" si="12"/>
        <v>49062</v>
      </c>
      <c r="C97" s="101">
        <f ca="1">IF(Swap!$G$26="Standard",B97,A97)</f>
        <v>49062</v>
      </c>
      <c r="D97" s="147">
        <v>0</v>
      </c>
      <c r="E97" s="112">
        <f t="shared" ca="1" si="11"/>
        <v>-100000000</v>
      </c>
      <c r="F97" s="112">
        <f ca="1">-Stream1!F97</f>
        <v>-100000000</v>
      </c>
      <c r="G97" s="112">
        <f t="shared" ca="1" si="16"/>
        <v>-100000000</v>
      </c>
      <c r="H97" s="152" t="str">
        <f t="shared" ca="1" si="10"/>
        <v>Coupon</v>
      </c>
      <c r="I97" s="168">
        <f ca="1">IF(C97="#N/A",0,_xll.HLV5r3.Financial.Cache.GetValueFromBase(Stream2DiscountCurve, Swap!$F$4, Stream2!C97))</f>
        <v>0.44163531021409874</v>
      </c>
      <c r="J97" s="117">
        <f ca="1">IF(C97="#N/A","#N/A",_xll.HLV5r3.Financial.Cache.GetValueFromBase( Stream2ForwardCurve, Swap!$F$4, A97))</f>
        <v>0.44778011426330716</v>
      </c>
      <c r="K97" s="169">
        <f ca="1">IF(C97="#N/A","#N/A",_xll.HLV5r3.Financial.Cache.GetValueFromBase( Stream2ForwardCurve, Swap!$F$4, B97))</f>
        <v>0.44163531021409874</v>
      </c>
      <c r="L97" s="115">
        <f ca="1" xml:space="preserve"> IF(G97=0,0,_xll.HLV5r3.Financial.Cache.YearFraction( A97, B97,Swap!$G$25))</f>
        <v>0.23835616438356164</v>
      </c>
      <c r="M97" s="143">
        <f ca="1">IF(J97="#N/A",0,IF($B$2="Fixed",Stream2FixedRate,_xll.HLV5r3.Analytics.Rates.GetRate(J97,K97,L97)+Stream2Spread))</f>
        <v>5.8373785876712971E-2</v>
      </c>
      <c r="N97" s="186">
        <f ca="1">IF(L97="#N/A",L97,IF(Swap!$G$26="Standard",L97*G97*M97,L97*G97*M97/(1+Stream2!L97*Stream2!M97)))</f>
        <v>-1391375.1702120625</v>
      </c>
      <c r="O97" s="186">
        <f t="shared" ca="1" si="13"/>
        <v>-614480.40492079873</v>
      </c>
      <c r="P97" s="186">
        <f ca="1">IF($B$2="FIXED",0,IF(Swap!$G$26="FRA",_xll.HLV5r3.Analytics.Swaps.Delta0DiscountCoupon( G97, L97, M97, I97),_xll.HLV5r3.Analytics.Swaps.Delta0Coupon( G97, L97, M97, I97)))</f>
        <v>1052.6649859897695</v>
      </c>
      <c r="Q97" s="180">
        <f ca="1">IF(U97=0,0,_xll.HLV5r3.Analytics.Swaps.Delta1ForAnAmount( N97, I97, Stream2CompoundingPeriod, U97))</f>
        <v>-900.07679447016449</v>
      </c>
      <c r="R97" s="79"/>
      <c r="S97" s="101">
        <f t="shared" ca="1" si="17"/>
        <v>48975</v>
      </c>
      <c r="T97" s="101">
        <f t="shared" ca="1" si="14"/>
        <v>48975</v>
      </c>
      <c r="U97" s="173">
        <f ca="1">IF(C97="#N/A",0,_xll.HLV5r3.Financial.Cache.YearFraction( ValuationDate, C97,"ACT/365.FIXED"))</f>
        <v>14.849315068493151</v>
      </c>
      <c r="V97" s="79"/>
      <c r="X97" s="207">
        <f ca="1"/>
        <v>48975</v>
      </c>
    </row>
    <row r="98" spans="1:24">
      <c r="A98" s="136">
        <f t="shared" ca="1" si="15"/>
        <v>49062</v>
      </c>
      <c r="B98" s="136">
        <f t="shared" ca="1" si="12"/>
        <v>49156</v>
      </c>
      <c r="C98" s="101">
        <f ca="1">IF(Swap!$G$26="Standard",B98,A98)</f>
        <v>49156</v>
      </c>
      <c r="D98" s="147">
        <v>0</v>
      </c>
      <c r="E98" s="112">
        <f t="shared" ca="1" si="11"/>
        <v>-100000000</v>
      </c>
      <c r="F98" s="112">
        <f ca="1">-Stream1!F98</f>
        <v>-100000000</v>
      </c>
      <c r="G98" s="112">
        <f t="shared" ca="1" si="16"/>
        <v>-100000000</v>
      </c>
      <c r="H98" s="152" t="str">
        <f t="shared" ca="1" si="10"/>
        <v>Coupon</v>
      </c>
      <c r="I98" s="168">
        <f ca="1">IF(C98="#N/A",0,_xll.HLV5r3.Financial.Cache.GetValueFromBase(Stream2DiscountCurve, Swap!$F$4, Stream2!C98))</f>
        <v>0.43548884814285738</v>
      </c>
      <c r="J98" s="117">
        <f ca="1">IF(C98="#N/A","#N/A",_xll.HLV5r3.Financial.Cache.GetValueFromBase( Stream2ForwardCurve, Swap!$F$4, A98))</f>
        <v>0.44163531021409874</v>
      </c>
      <c r="K98" s="169">
        <f ca="1">IF(C98="#N/A","#N/A",_xll.HLV5r3.Financial.Cache.GetValueFromBase( Stream2ForwardCurve, Swap!$F$4, B98))</f>
        <v>0.43548884814285738</v>
      </c>
      <c r="L98" s="115">
        <f ca="1" xml:space="preserve"> IF(G98=0,0,_xll.HLV5r3.Financial.Cache.YearFraction( A98, B98,Swap!$G$25))</f>
        <v>0.25753424657534246</v>
      </c>
      <c r="M98" s="143">
        <f ca="1">IF(J98="#N/A",0,IF($B$2="Fixed",Stream2FixedRate,_xll.HLV5r3.Analytics.Rates.GetRate(J98,K98,L98)+Stream2Spread))</f>
        <v>5.4804116221627855E-2</v>
      </c>
      <c r="N98" s="186">
        <f ca="1">IF(L98="#N/A",L98,IF(Swap!$G$26="Standard",L98*G98*M98,L98*G98*M98/(1+Stream2!L98*Stream2!M98)))</f>
        <v>-1411393.6780364434</v>
      </c>
      <c r="O98" s="186">
        <f t="shared" ca="1" si="13"/>
        <v>-614646.2071242017</v>
      </c>
      <c r="P98" s="186">
        <f ca="1">IF($B$2="FIXED",0,IF(Swap!$G$26="FRA",_xll.HLV5r3.Analytics.Swaps.Delta0DiscountCoupon( G98, L98, M98, I98),_xll.HLV5r3.Analytics.Swaps.Delta0Coupon( G98, L98, M98, I98)))</f>
        <v>1121.532923984345</v>
      </c>
      <c r="Q98" s="180">
        <f ca="1">IF(U98=0,0,_xll.HLV5r3.Analytics.Swaps.Delta1ForAnAmount( N98, I98, Stream2CompoundingPeriod, U98))</f>
        <v>-915.93643217014346</v>
      </c>
      <c r="R98" s="79"/>
      <c r="S98" s="101">
        <f t="shared" ca="1" si="17"/>
        <v>49062</v>
      </c>
      <c r="T98" s="101">
        <f t="shared" ca="1" si="14"/>
        <v>49062</v>
      </c>
      <c r="U98" s="173">
        <f ca="1">IF(C98="#N/A",0,_xll.HLV5r3.Financial.Cache.YearFraction( ValuationDate, C98,"ACT/365.FIXED"))</f>
        <v>15.106849315068493</v>
      </c>
      <c r="V98" s="79"/>
      <c r="X98" s="207">
        <f ca="1"/>
        <v>49062</v>
      </c>
    </row>
    <row r="99" spans="1:24">
      <c r="A99" s="136">
        <f t="shared" ca="1" si="15"/>
        <v>49156</v>
      </c>
      <c r="B99" s="136">
        <f t="shared" ca="1" si="12"/>
        <v>49248</v>
      </c>
      <c r="C99" s="101">
        <f ca="1">IF(Swap!$G$26="Standard",B99,A99)</f>
        <v>49248</v>
      </c>
      <c r="D99" s="147">
        <v>0</v>
      </c>
      <c r="E99" s="112">
        <f t="shared" ca="1" si="11"/>
        <v>-100000000</v>
      </c>
      <c r="F99" s="112">
        <f ca="1">-Stream1!F99</f>
        <v>-100000000</v>
      </c>
      <c r="G99" s="112">
        <f t="shared" ca="1" si="16"/>
        <v>-100000000</v>
      </c>
      <c r="H99" s="152" t="str">
        <f t="shared" ca="1" si="10"/>
        <v>Coupon</v>
      </c>
      <c r="I99" s="168">
        <f ca="1">IF(C99="#N/A",0,_xll.HLV5r3.Financial.Cache.GetValueFromBase(Stream2DiscountCurve, Swap!$F$4, Stream2!C99))</f>
        <v>0.43026789057611858</v>
      </c>
      <c r="J99" s="117">
        <f ca="1">IF(C99="#N/A","#N/A",_xll.HLV5r3.Financial.Cache.GetValueFromBase( Stream2ForwardCurve, Swap!$F$4, A99))</f>
        <v>0.43548884814285738</v>
      </c>
      <c r="K99" s="169">
        <f ca="1">IF(C99="#N/A","#N/A",_xll.HLV5r3.Financial.Cache.GetValueFromBase( Stream2ForwardCurve, Swap!$F$4, B99))</f>
        <v>0.43026789057611858</v>
      </c>
      <c r="L99" s="115">
        <f ca="1" xml:space="preserve"> IF(G99=0,0,_xll.HLV5r3.Financial.Cache.YearFraction( A99, B99,Swap!$G$25))</f>
        <v>0.25205479452054796</v>
      </c>
      <c r="M99" s="143">
        <f ca="1">IF(J99="#N/A",0,IF($B$2="Fixed",Stream2FixedRate,_xll.HLV5r3.Analytics.Rates.GetRate(J99,K99,L99)+Stream2Spread))</f>
        <v>4.8141128130454507E-2</v>
      </c>
      <c r="N99" s="186">
        <f ca="1">IF(L99="#N/A",L99,IF(Swap!$G$26="Standard",L99*G99*M99,L99*G99*M99/(1+Stream2!L99*Stream2!M99)))</f>
        <v>-1213420.2158909081</v>
      </c>
      <c r="O99" s="186">
        <f t="shared" ca="1" si="13"/>
        <v>-522095.75667379948</v>
      </c>
      <c r="P99" s="186">
        <f ca="1">IF($B$2="FIXED",0,IF(Swap!$G$26="FRA",_xll.HLV5r3.Analytics.Swaps.Delta0DiscountCoupon( G99, L99, M99, I99),_xll.HLV5r3.Analytics.Swaps.Delta0Coupon( G99, L99, M99, I99)))</f>
        <v>1084.5108474795318</v>
      </c>
      <c r="Q99" s="180">
        <f ca="1">IF(U99=0,0,_xll.HLV5r3.Analytics.Swaps.Delta1ForAnAmount( N99, I99, Stream2CompoundingPeriod, U99))</f>
        <v>-791.02322578434769</v>
      </c>
      <c r="R99" s="79"/>
      <c r="S99" s="101">
        <f t="shared" ca="1" si="17"/>
        <v>49156</v>
      </c>
      <c r="T99" s="101">
        <f t="shared" ca="1" si="14"/>
        <v>49156</v>
      </c>
      <c r="U99" s="173">
        <f ca="1">IF(C99="#N/A",0,_xll.HLV5r3.Financial.Cache.YearFraction( ValuationDate, C99,"ACT/365.FIXED"))</f>
        <v>15.358904109589041</v>
      </c>
      <c r="V99" s="79"/>
      <c r="X99" s="207">
        <f ca="1"/>
        <v>49156</v>
      </c>
    </row>
    <row r="100" spans="1:24">
      <c r="A100" s="136">
        <f t="shared" ca="1" si="15"/>
        <v>49248</v>
      </c>
      <c r="B100" s="136">
        <f t="shared" ca="1" si="12"/>
        <v>49340</v>
      </c>
      <c r="C100" s="101">
        <f ca="1">IF(Swap!$G$26="Standard",B100,A100)</f>
        <v>49340</v>
      </c>
      <c r="D100" s="147">
        <v>0</v>
      </c>
      <c r="E100" s="112">
        <f t="shared" ca="1" si="11"/>
        <v>-100000000</v>
      </c>
      <c r="F100" s="112">
        <f ca="1">-Stream1!F100</f>
        <v>-100000000</v>
      </c>
      <c r="G100" s="112">
        <f t="shared" ca="1" si="16"/>
        <v>-100000000</v>
      </c>
      <c r="H100" s="152" t="str">
        <f t="shared" ca="1" si="10"/>
        <v>Coupon</v>
      </c>
      <c r="I100" s="168">
        <f ca="1">IF(C100="#N/A",0,_xll.HLV5r3.Financial.Cache.GetValueFromBase(Stream2DiscountCurve, Swap!$F$4, Stream2!C100))</f>
        <v>0.4251347856819479</v>
      </c>
      <c r="J100" s="117">
        <f ca="1">IF(C100="#N/A","#N/A",_xll.HLV5r3.Financial.Cache.GetValueFromBase( Stream2ForwardCurve, Swap!$F$4, A100))</f>
        <v>0.43026789057611858</v>
      </c>
      <c r="K100" s="169">
        <f ca="1">IF(C100="#N/A","#N/A",_xll.HLV5r3.Financial.Cache.GetValueFromBase( Stream2ForwardCurve, Swap!$F$4, B100))</f>
        <v>0.4251347856819479</v>
      </c>
      <c r="L100" s="115">
        <f ca="1" xml:space="preserve"> IF(G100=0,0,_xll.HLV5r3.Financial.Cache.YearFraction( A100, B100,Swap!$G$25))</f>
        <v>0.25205479452054796</v>
      </c>
      <c r="M100" s="143">
        <f ca="1">IF(J100="#N/A",0,IF($B$2="Fixed",Stream2FixedRate,_xll.HLV5r3.Analytics.Rates.GetRate(J100,K100,L100)+Stream2Spread))</f>
        <v>4.790253916477865E-2</v>
      </c>
      <c r="N100" s="186">
        <f ca="1">IF(L100="#N/A",L100,IF(Swap!$G$26="Standard",L100*G100*M100,L100*G100*M100/(1+Stream2!L100*Stream2!M100)))</f>
        <v>-1207406.4666190783</v>
      </c>
      <c r="O100" s="186">
        <f t="shared" ca="1" si="13"/>
        <v>-513310.48941709986</v>
      </c>
      <c r="P100" s="186">
        <f ca="1">IF($B$2="FIXED",0,IF(Swap!$G$26="FRA",_xll.HLV5r3.Analytics.Swaps.Delta0DiscountCoupon( G100, L100, M100, I100),_xll.HLV5r3.Analytics.Swaps.Delta0Coupon( G100, L100, M100, I100)))</f>
        <v>1071.5726104860057</v>
      </c>
      <c r="Q100" s="180">
        <f ca="1">IF(U100=0,0,_xll.HLV5r3.Analytics.Swaps.Delta1ForAnAmount( N100, I100, Stream2CompoundingPeriod, U100))</f>
        <v>-790.4987280495817</v>
      </c>
      <c r="R100" s="79"/>
      <c r="S100" s="101">
        <f t="shared" ca="1" si="17"/>
        <v>49248</v>
      </c>
      <c r="T100" s="101">
        <f t="shared" ca="1" si="14"/>
        <v>49248</v>
      </c>
      <c r="U100" s="173">
        <f ca="1">IF(C100="#N/A",0,_xll.HLV5r3.Financial.Cache.YearFraction( ValuationDate, C100,"ACT/365.FIXED"))</f>
        <v>15.610958904109589</v>
      </c>
      <c r="V100" s="79"/>
      <c r="X100" s="207">
        <f ca="1"/>
        <v>49248</v>
      </c>
    </row>
    <row r="101" spans="1:24">
      <c r="A101" s="136">
        <f t="shared" ca="1" si="15"/>
        <v>49340</v>
      </c>
      <c r="B101" s="136">
        <f t="shared" ca="1" si="12"/>
        <v>49429</v>
      </c>
      <c r="C101" s="101">
        <f ca="1">IF(Swap!$G$26="Standard",B101,A101)</f>
        <v>49429</v>
      </c>
      <c r="D101" s="147">
        <v>0</v>
      </c>
      <c r="E101" s="112">
        <f t="shared" ca="1" si="11"/>
        <v>-100000000</v>
      </c>
      <c r="F101" s="112">
        <f ca="1">-Stream1!F101</f>
        <v>-100000000</v>
      </c>
      <c r="G101" s="112">
        <f t="shared" ca="1" si="16"/>
        <v>-100000000</v>
      </c>
      <c r="H101" s="152" t="str">
        <f t="shared" ca="1" si="10"/>
        <v>Coupon</v>
      </c>
      <c r="I101" s="168">
        <f ca="1">IF(C101="#N/A",0,_xll.HLV5r3.Financial.Cache.GetValueFromBase(Stream2DiscountCurve, Swap!$F$4, Stream2!C101))</f>
        <v>0.42025111034515766</v>
      </c>
      <c r="J101" s="117">
        <f ca="1">IF(C101="#N/A","#N/A",_xll.HLV5r3.Financial.Cache.GetValueFromBase( Stream2ForwardCurve, Swap!$F$4, A101))</f>
        <v>0.4251347856819479</v>
      </c>
      <c r="K101" s="169">
        <f ca="1">IF(C101="#N/A","#N/A",_xll.HLV5r3.Financial.Cache.GetValueFromBase( Stream2ForwardCurve, Swap!$F$4, B101))</f>
        <v>0.42025111034515766</v>
      </c>
      <c r="L101" s="115">
        <f ca="1" xml:space="preserve"> IF(G101=0,0,_xll.HLV5r3.Financial.Cache.YearFraction( A101, B101,Swap!$G$25))</f>
        <v>0.24383561643835616</v>
      </c>
      <c r="M101" s="143">
        <f ca="1">IF(J101="#N/A",0,IF($B$2="Fixed",Stream2FixedRate,_xll.HLV5r3.Analytics.Rates.GetRate(J101,K101,L101)+Stream2Spread))</f>
        <v>4.7658544292836259E-2</v>
      </c>
      <c r="N101" s="186">
        <f ca="1">IF(L101="#N/A",L101,IF(Swap!$G$26="Standard",L101*G101*M101,L101*G101*M101/(1+Stream2!L101*Stream2!M101)))</f>
        <v>-1162085.052619843</v>
      </c>
      <c r="O101" s="186">
        <f t="shared" ca="1" si="13"/>
        <v>-488367.53367899999</v>
      </c>
      <c r="P101" s="186">
        <f ca="1">IF($B$2="FIXED",0,IF(Swap!$G$26="FRA",_xll.HLV5r3.Analytics.Swaps.Delta0DiscountCoupon( G101, L101, M101, I101),_xll.HLV5r3.Analytics.Swaps.Delta0Coupon( G101, L101, M101, I101)))</f>
        <v>1024.7218854991515</v>
      </c>
      <c r="Q101" s="180">
        <f ca="1">IF(U101=0,0,_xll.HLV5r3.Analytics.Swaps.Delta1ForAnAmount( N101, I101, Stream2CompoundingPeriod, U101))</f>
        <v>-763.85523785632574</v>
      </c>
      <c r="R101" s="79"/>
      <c r="S101" s="101">
        <f t="shared" ca="1" si="17"/>
        <v>49340</v>
      </c>
      <c r="T101" s="101">
        <f t="shared" ca="1" si="14"/>
        <v>49340</v>
      </c>
      <c r="U101" s="173">
        <f ca="1">IF(C101="#N/A",0,_xll.HLV5r3.Financial.Cache.YearFraction( ValuationDate, C101,"ACT/365.FIXED"))</f>
        <v>15.854794520547944</v>
      </c>
      <c r="V101" s="79"/>
      <c r="X101" s="207">
        <f ca="1"/>
        <v>49340</v>
      </c>
    </row>
    <row r="102" spans="1:24">
      <c r="A102" s="136">
        <f t="shared" ca="1" si="15"/>
        <v>49429</v>
      </c>
      <c r="B102" s="136">
        <f t="shared" ca="1" si="12"/>
        <v>49521</v>
      </c>
      <c r="C102" s="101">
        <f ca="1">IF(Swap!$G$26="Standard",B102,A102)</f>
        <v>49521</v>
      </c>
      <c r="D102" s="147">
        <v>0</v>
      </c>
      <c r="E102" s="112">
        <f t="shared" ca="1" si="11"/>
        <v>-100000000</v>
      </c>
      <c r="F102" s="112">
        <f ca="1">-Stream1!F102</f>
        <v>-100000000</v>
      </c>
      <c r="G102" s="112">
        <f t="shared" ca="1" si="16"/>
        <v>-100000000</v>
      </c>
      <c r="H102" s="152" t="str">
        <f t="shared" ca="1" si="10"/>
        <v>Coupon</v>
      </c>
      <c r="I102" s="168">
        <f ca="1">IF(C102="#N/A",0,_xll.HLV5r3.Financial.Cache.GetValueFromBase(Stream2DiscountCurve, Swap!$F$4, Stream2!C102))</f>
        <v>0.41528605272407559</v>
      </c>
      <c r="J102" s="117">
        <f ca="1">IF(C102="#N/A","#N/A",_xll.HLV5r3.Financial.Cache.GetValueFromBase( Stream2ForwardCurve, Swap!$F$4, A102))</f>
        <v>0.42025111034515766</v>
      </c>
      <c r="K102" s="169">
        <f ca="1">IF(C102="#N/A","#N/A",_xll.HLV5r3.Financial.Cache.GetValueFromBase( Stream2ForwardCurve, Swap!$F$4, B102))</f>
        <v>0.41528605272407559</v>
      </c>
      <c r="L102" s="115">
        <f ca="1" xml:space="preserve"> IF(G102=0,0,_xll.HLV5r3.Financial.Cache.YearFraction( A102, B102,Swap!$G$25))</f>
        <v>0.25205479452054796</v>
      </c>
      <c r="M102" s="143">
        <f ca="1">IF(J102="#N/A",0,IF($B$2="Fixed",Stream2FixedRate,_xll.HLV5r3.Analytics.Rates.GetRate(J102,K102,L102)+Stream2Spread))</f>
        <v>4.7433151925654893E-2</v>
      </c>
      <c r="N102" s="186">
        <f ca="1">IF(L102="#N/A",L102,IF(Swap!$G$26="Standard",L102*G102*M102,L102*G102*M102/(1+Stream2!L102*Stream2!M102)))</f>
        <v>-1195575.3362082876</v>
      </c>
      <c r="O102" s="186">
        <f t="shared" ca="1" si="13"/>
        <v>-496505.76210819936</v>
      </c>
      <c r="P102" s="186">
        <f ca="1">IF($B$2="FIXED",0,IF(Swap!$G$26="FRA",_xll.HLV5r3.Analytics.Swaps.Delta0DiscountCoupon( G102, L102, M102, I102),_xll.HLV5r3.Analytics.Swaps.Delta0Coupon( G102, L102, M102, I102)))</f>
        <v>1046.7484068661631</v>
      </c>
      <c r="Q102" s="180">
        <f ca="1">IF(U102=0,0,_xll.HLV5r3.Analytics.Swaps.Delta1ForAnAmount( N102, I102, Stream2CompoundingPeriod, U102))</f>
        <v>-788.95305409718253</v>
      </c>
      <c r="R102" s="79"/>
      <c r="S102" s="101">
        <f t="shared" ca="1" si="17"/>
        <v>49429</v>
      </c>
      <c r="T102" s="101">
        <f t="shared" ca="1" si="14"/>
        <v>49429</v>
      </c>
      <c r="U102" s="173">
        <f ca="1">IF(C102="#N/A",0,_xll.HLV5r3.Financial.Cache.YearFraction( ValuationDate, C102,"ACT/365.FIXED"))</f>
        <v>16.106849315068494</v>
      </c>
      <c r="V102" s="79"/>
      <c r="X102" s="207">
        <f ca="1"/>
        <v>49429</v>
      </c>
    </row>
    <row r="103" spans="1:24">
      <c r="A103" s="136">
        <f t="shared" ca="1" si="15"/>
        <v>49521</v>
      </c>
      <c r="B103" s="136">
        <f t="shared" ca="1" si="12"/>
        <v>49613</v>
      </c>
      <c r="C103" s="101">
        <f ca="1">IF(Swap!$G$26="Standard",B103,A103)</f>
        <v>49613</v>
      </c>
      <c r="D103" s="147">
        <v>0</v>
      </c>
      <c r="E103" s="112">
        <f t="shared" ca="1" si="11"/>
        <v>-100000000</v>
      </c>
      <c r="F103" s="112">
        <f ca="1">-Stream1!F103</f>
        <v>-100000000</v>
      </c>
      <c r="G103" s="112">
        <f t="shared" ca="1" si="16"/>
        <v>-100000000</v>
      </c>
      <c r="H103" s="152" t="str">
        <f t="shared" ca="1" si="10"/>
        <v>Coupon</v>
      </c>
      <c r="I103" s="168">
        <f ca="1">IF(C103="#N/A",0,_xll.HLV5r3.Financial.Cache.GetValueFromBase(Stream2DiscountCurve, Swap!$F$4, Stream2!C103))</f>
        <v>0.410404042763583</v>
      </c>
      <c r="J103" s="117">
        <f ca="1">IF(C103="#N/A","#N/A",_xll.HLV5r3.Financial.Cache.GetValueFromBase( Stream2ForwardCurve, Swap!$F$4, A103))</f>
        <v>0.41528605272407559</v>
      </c>
      <c r="K103" s="169">
        <f ca="1">IF(C103="#N/A","#N/A",_xll.HLV5r3.Financial.Cache.GetValueFromBase( Stream2ForwardCurve, Swap!$F$4, B103))</f>
        <v>0.410404042763583</v>
      </c>
      <c r="L103" s="115">
        <f ca="1" xml:space="preserve"> IF(G103=0,0,_xll.HLV5r3.Financial.Cache.YearFraction( A103, B103,Swap!$G$25))</f>
        <v>0.25205479452054796</v>
      </c>
      <c r="M103" s="143">
        <f ca="1">IF(J103="#N/A",0,IF($B$2="Fixed",Stream2FixedRate,_xll.HLV5r3.Analytics.Rates.GetRate(J103,K103,L103)+Stream2Spread))</f>
        <v>4.7194573753643554E-2</v>
      </c>
      <c r="N103" s="186">
        <f ca="1">IF(L103="#N/A",L103,IF(Swap!$G$26="Standard",L103*G103*M103,L103*G103*M103/(1+Stream2!L103*Stream2!M103)))</f>
        <v>-1189561.8589959471</v>
      </c>
      <c r="O103" s="186">
        <f t="shared" ca="1" si="13"/>
        <v>-488200.99604929995</v>
      </c>
      <c r="P103" s="186">
        <f ca="1">IF($B$2="FIXED",0,IF(Swap!$G$26="FRA",_xll.HLV5r3.Analytics.Swaps.Delta0DiscountCoupon( G103, L103, M103, I103),_xll.HLV5r3.Analytics.Swaps.Delta0Coupon( G103, L103, M103, I103)))</f>
        <v>1034.443066691771</v>
      </c>
      <c r="Q103" s="180">
        <f ca="1">IF(U103=0,0,_xll.HLV5r3.Analytics.Swaps.Delta1ForAnAmount( N103, I103, Stream2CompoundingPeriod, U103))</f>
        <v>-787.9193318009585</v>
      </c>
      <c r="R103" s="79"/>
      <c r="S103" s="101">
        <f t="shared" ca="1" si="17"/>
        <v>49521</v>
      </c>
      <c r="T103" s="101">
        <f t="shared" ca="1" si="14"/>
        <v>49521</v>
      </c>
      <c r="U103" s="173">
        <f ca="1">IF(C103="#N/A",0,_xll.HLV5r3.Financial.Cache.YearFraction( ValuationDate, C103,"ACT/365.FIXED"))</f>
        <v>16.358904109589041</v>
      </c>
      <c r="V103" s="79"/>
      <c r="X103" s="207">
        <f ca="1"/>
        <v>49521</v>
      </c>
    </row>
    <row r="104" spans="1:24">
      <c r="A104" s="136">
        <f t="shared" ca="1" si="15"/>
        <v>49613</v>
      </c>
      <c r="B104" s="136">
        <f t="shared" ca="1" si="12"/>
        <v>49705</v>
      </c>
      <c r="C104" s="101">
        <f ca="1">IF(Swap!$G$26="Standard",B104,A104)</f>
        <v>49705</v>
      </c>
      <c r="D104" s="147">
        <v>0</v>
      </c>
      <c r="E104" s="112">
        <f t="shared" ca="1" si="11"/>
        <v>-100000000</v>
      </c>
      <c r="F104" s="112">
        <f ca="1">-Stream1!F104</f>
        <v>-100000000</v>
      </c>
      <c r="G104" s="112">
        <f t="shared" ca="1" si="16"/>
        <v>-100000000</v>
      </c>
      <c r="H104" s="152" t="str">
        <f t="shared" ca="1" si="10"/>
        <v>Coupon</v>
      </c>
      <c r="I104" s="168">
        <f ca="1">IF(C104="#N/A",0,_xll.HLV5r3.Financial.Cache.GetValueFromBase(Stream2DiscountCurve, Swap!$F$4, Stream2!C104))</f>
        <v>0.40560352839489666</v>
      </c>
      <c r="J104" s="117">
        <f ca="1">IF(C104="#N/A","#N/A",_xll.HLV5r3.Financial.Cache.GetValueFromBase( Stream2ForwardCurve, Swap!$F$4, A104))</f>
        <v>0.410404042763583</v>
      </c>
      <c r="K104" s="169">
        <f ca="1">IF(C104="#N/A","#N/A",_xll.HLV5r3.Financial.Cache.GetValueFromBase( Stream2ForwardCurve, Swap!$F$4, B104))</f>
        <v>0.40560352839489666</v>
      </c>
      <c r="L104" s="115">
        <f ca="1" xml:space="preserve"> IF(G104=0,0,_xll.HLV5r3.Financial.Cache.YearFraction( A104, B104,Swap!$G$25))</f>
        <v>0.25205479452054796</v>
      </c>
      <c r="M104" s="143">
        <f ca="1">IF(J104="#N/A",0,IF($B$2="Fixed",Stream2FixedRate,_xll.HLV5r3.Analytics.Rates.GetRate(J104,K104,L104)+Stream2Spread))</f>
        <v>4.6955999219461537E-2</v>
      </c>
      <c r="N104" s="186">
        <f ca="1">IF(L104="#N/A",L104,IF(Swap!$G$26="Standard",L104*G104*M104,L104*G104*M104/(1+Stream2!L104*Stream2!M104)))</f>
        <v>-1183548.4734768388</v>
      </c>
      <c r="O104" s="186">
        <f t="shared" ca="1" si="13"/>
        <v>-480051.43686859956</v>
      </c>
      <c r="P104" s="186">
        <f ca="1">IF($B$2="FIXED",0,IF(Swap!$G$26="FRA",_xll.HLV5r3.Analytics.Swaps.Delta0DiscountCoupon( G104, L104, M104, I104),_xll.HLV5r3.Analytics.Swaps.Delta0Coupon( G104, L104, M104, I104)))</f>
        <v>1022.3431400638492</v>
      </c>
      <c r="Q104" s="180">
        <f ca="1">IF(U104=0,0,_xll.HLV5r3.Analytics.Swaps.Delta1ForAnAmount( N104, I104, Stream2CompoundingPeriod, U104))</f>
        <v>-786.72686748926174</v>
      </c>
      <c r="R104" s="79"/>
      <c r="S104" s="101">
        <f t="shared" ca="1" si="17"/>
        <v>49613</v>
      </c>
      <c r="T104" s="101">
        <f t="shared" ca="1" si="14"/>
        <v>49613</v>
      </c>
      <c r="U104" s="173">
        <f ca="1">IF(C104="#N/A",0,_xll.HLV5r3.Financial.Cache.YearFraction( ValuationDate, C104,"ACT/365.FIXED"))</f>
        <v>16.610958904109587</v>
      </c>
      <c r="V104" s="79"/>
      <c r="X104" s="207">
        <f ca="1"/>
        <v>49613</v>
      </c>
    </row>
    <row r="105" spans="1:24">
      <c r="A105" s="136">
        <f t="shared" ca="1" si="15"/>
        <v>49705</v>
      </c>
      <c r="B105" s="136">
        <f t="shared" ca="1" si="12"/>
        <v>49795</v>
      </c>
      <c r="C105" s="101">
        <f ca="1">IF(Swap!$G$26="Standard",B105,A105)</f>
        <v>49795</v>
      </c>
      <c r="D105" s="147">
        <v>0</v>
      </c>
      <c r="E105" s="112">
        <f t="shared" ca="1" si="11"/>
        <v>-100000000</v>
      </c>
      <c r="F105" s="112">
        <f ca="1">-Stream1!F105</f>
        <v>-100000000</v>
      </c>
      <c r="G105" s="112">
        <f t="shared" ca="1" si="16"/>
        <v>-100000000</v>
      </c>
      <c r="H105" s="152" t="str">
        <f t="shared" ca="1" si="10"/>
        <v>Coupon</v>
      </c>
      <c r="I105" s="168">
        <f ca="1">IF(C105="#N/A",0,_xll.HLV5r3.Financial.Cache.GetValueFromBase(Stream2DiscountCurve, Swap!$F$4, Stream2!C105))</f>
        <v>0.40098477063222043</v>
      </c>
      <c r="J105" s="117">
        <f ca="1">IF(C105="#N/A","#N/A",_xll.HLV5r3.Financial.Cache.GetValueFromBase( Stream2ForwardCurve, Swap!$F$4, A105))</f>
        <v>0.40560352839489666</v>
      </c>
      <c r="K105" s="169">
        <f ca="1">IF(C105="#N/A","#N/A",_xll.HLV5r3.Financial.Cache.GetValueFromBase( Stream2ForwardCurve, Swap!$F$4, B105))</f>
        <v>0.40098477063222043</v>
      </c>
      <c r="L105" s="115">
        <f ca="1" xml:space="preserve"> IF(G105=0,0,_xll.HLV5r3.Financial.Cache.YearFraction( A105, B105,Swap!$G$25))</f>
        <v>0.24657534246575341</v>
      </c>
      <c r="M105" s="143">
        <f ca="1">IF(J105="#N/A",0,IF($B$2="Fixed",Stream2FixedRate,_xll.HLV5r3.Analytics.Rates.GetRate(J105,K105,L105)+Stream2Spread))</f>
        <v>4.6714065161767918E-2</v>
      </c>
      <c r="N105" s="186">
        <f ca="1">IF(L105="#N/A",L105,IF(Swap!$G$26="Standard",L105*G105*M105,L105*G105*M105/(1+Stream2!L105*Stream2!M105)))</f>
        <v>-1151853.6615230443</v>
      </c>
      <c r="O105" s="186">
        <f t="shared" ca="1" si="13"/>
        <v>-461875.77626770118</v>
      </c>
      <c r="P105" s="186">
        <f ca="1">IF($B$2="FIXED",0,IF(Swap!$G$26="FRA",_xll.HLV5r3.Analytics.Swaps.Delta0DiscountCoupon( G105, L105, M105, I105),_xll.HLV5r3.Analytics.Swaps.Delta0Coupon( G105, L105, M105, I105)))</f>
        <v>988.72957142191331</v>
      </c>
      <c r="Q105" s="180">
        <f ca="1">IF(U105=0,0,_xll.HLV5r3.Analytics.Swaps.Delta1ForAnAmount( N105, I105, Stream2CompoundingPeriod, U105))</f>
        <v>-768.19784238472175</v>
      </c>
      <c r="R105" s="79"/>
      <c r="S105" s="101">
        <f t="shared" ca="1" si="17"/>
        <v>49705</v>
      </c>
      <c r="T105" s="101">
        <f t="shared" ca="1" si="14"/>
        <v>49705</v>
      </c>
      <c r="U105" s="173">
        <f ca="1">IF(C105="#N/A",0,_xll.HLV5r3.Financial.Cache.YearFraction( ValuationDate, C105,"ACT/365.FIXED"))</f>
        <v>16.857534246575341</v>
      </c>
      <c r="V105" s="79"/>
      <c r="X105" s="207">
        <f ca="1"/>
        <v>49705</v>
      </c>
    </row>
    <row r="106" spans="1:24">
      <c r="A106" s="136">
        <f t="shared" ca="1" si="15"/>
        <v>49795</v>
      </c>
      <c r="B106" s="136">
        <f t="shared" ca="1" si="12"/>
        <v>49887</v>
      </c>
      <c r="C106" s="101">
        <f ca="1">IF(Swap!$G$26="Standard",B106,A106)</f>
        <v>49887</v>
      </c>
      <c r="D106" s="147">
        <v>0</v>
      </c>
      <c r="E106" s="112">
        <f t="shared" ca="1" si="11"/>
        <v>-100000000</v>
      </c>
      <c r="F106" s="112">
        <f ca="1">-Stream1!F106</f>
        <v>-100000000</v>
      </c>
      <c r="G106" s="112">
        <f t="shared" ca="1" si="16"/>
        <v>-100000000</v>
      </c>
      <c r="H106" s="152" t="str">
        <f t="shared" ca="1" si="10"/>
        <v>Coupon</v>
      </c>
      <c r="I106" s="168">
        <f ca="1">IF(C106="#N/A",0,_xll.HLV5r3.Financial.Cache.GetValueFromBase(Stream2DiscountCurve, Swap!$F$4, Stream2!C106))</f>
        <v>0.39634103025654838</v>
      </c>
      <c r="J106" s="117">
        <f ca="1">IF(C106="#N/A","#N/A",_xll.HLV5r3.Financial.Cache.GetValueFromBase( Stream2ForwardCurve, Swap!$F$4, A106))</f>
        <v>0.40098477063222043</v>
      </c>
      <c r="K106" s="169">
        <f ca="1">IF(C106="#N/A","#N/A",_xll.HLV5r3.Financial.Cache.GetValueFromBase( Stream2ForwardCurve, Swap!$F$4, B106))</f>
        <v>0.39634103025654838</v>
      </c>
      <c r="L106" s="115">
        <f ca="1" xml:space="preserve"> IF(G106=0,0,_xll.HLV5r3.Financial.Cache.YearFraction( A106, B106,Swap!$G$25))</f>
        <v>0.25205479452054796</v>
      </c>
      <c r="M106" s="143">
        <f ca="1">IF(J106="#N/A",0,IF($B$2="Fixed",Stream2FixedRate,_xll.HLV5r3.Analytics.Rates.GetRate(J106,K106,L106)+Stream2Spread))</f>
        <v>4.6484047271524241E-2</v>
      </c>
      <c r="N106" s="186">
        <f ca="1">IF(L106="#N/A",L106,IF(Swap!$G$26="Standard",L106*G106*M106,L106*G106*M106/(1+Stream2!L106*Stream2!M106)))</f>
        <v>-1171652.698350748</v>
      </c>
      <c r="O106" s="186">
        <f t="shared" ca="1" si="13"/>
        <v>-464374.03756720037</v>
      </c>
      <c r="P106" s="186">
        <f ca="1">IF($B$2="FIXED",0,IF(Swap!$G$26="FRA",_xll.HLV5r3.Analytics.Swaps.Delta0DiscountCoupon( G106, L106, M106, I106),_xll.HLV5r3.Analytics.Swaps.Delta0Coupon( G106, L106, M106, I106)))</f>
        <v>998.99656941376588</v>
      </c>
      <c r="Q106" s="180">
        <f ca="1">IF(U106=0,0,_xll.HLV5r3.Analytics.Swaps.Delta1ForAnAmount( N106, I106, Stream2CompoundingPeriod, U106))</f>
        <v>-783.9240231727166</v>
      </c>
      <c r="R106" s="79"/>
      <c r="S106" s="101">
        <f t="shared" ca="1" si="17"/>
        <v>49795</v>
      </c>
      <c r="T106" s="101">
        <f t="shared" ca="1" si="14"/>
        <v>49795</v>
      </c>
      <c r="U106" s="173">
        <f ca="1">IF(C106="#N/A",0,_xll.HLV5r3.Financial.Cache.YearFraction( ValuationDate, C106,"ACT/365.FIXED"))</f>
        <v>17.109589041095891</v>
      </c>
      <c r="V106" s="79"/>
      <c r="X106" s="207">
        <f ca="1"/>
        <v>49795</v>
      </c>
    </row>
    <row r="107" spans="1:24">
      <c r="A107" s="136">
        <f t="shared" ca="1" si="15"/>
        <v>49887</v>
      </c>
      <c r="B107" s="136">
        <f t="shared" ca="1" si="12"/>
        <v>49979</v>
      </c>
      <c r="C107" s="101">
        <f ca="1">IF(Swap!$G$26="Standard",B107,A107)</f>
        <v>49979</v>
      </c>
      <c r="D107" s="147">
        <v>0</v>
      </c>
      <c r="E107" s="112">
        <f t="shared" ca="1" si="11"/>
        <v>-100000000</v>
      </c>
      <c r="F107" s="112">
        <f ca="1">-Stream1!F107</f>
        <v>-100000000</v>
      </c>
      <c r="G107" s="112">
        <f t="shared" ca="1" si="16"/>
        <v>-100000000</v>
      </c>
      <c r="H107" s="152" t="str">
        <f t="shared" ca="1" si="10"/>
        <v>Coupon</v>
      </c>
      <c r="I107" s="168">
        <f ca="1">IF(C107="#N/A",0,_xll.HLV5r3.Financial.Cache.GetValueFromBase(Stream2DiscountCurve, Swap!$F$4, Stream2!C107))</f>
        <v>0.39177435330680344</v>
      </c>
      <c r="J107" s="117">
        <f ca="1">IF(C107="#N/A","#N/A",_xll.HLV5r3.Financial.Cache.GetValueFromBase( Stream2ForwardCurve, Swap!$F$4, A107))</f>
        <v>0.39634103025654838</v>
      </c>
      <c r="K107" s="169">
        <f ca="1">IF(C107="#N/A","#N/A",_xll.HLV5r3.Financial.Cache.GetValueFromBase( Stream2ForwardCurve, Swap!$F$4, B107))</f>
        <v>0.39177435330680344</v>
      </c>
      <c r="L107" s="115">
        <f ca="1" xml:space="preserve"> IF(G107=0,0,_xll.HLV5r3.Financial.Cache.YearFraction( A107, B107,Swap!$G$25))</f>
        <v>0.25205479452054796</v>
      </c>
      <c r="M107" s="143">
        <f ca="1">IF(J107="#N/A",0,IF($B$2="Fixed",Stream2FixedRate,_xll.HLV5r3.Analytics.Rates.GetRate(J107,K107,L107)+Stream2Spread))</f>
        <v>4.6245483573029371E-2</v>
      </c>
      <c r="N107" s="186">
        <f ca="1">IF(L107="#N/A",L107,IF(Swap!$G$26="Standard",L107*G107*M107,L107*G107*M107/(1+Stream2!L107*Stream2!M107)))</f>
        <v>-1165639.5859503294</v>
      </c>
      <c r="O107" s="186">
        <f t="shared" ca="1" si="13"/>
        <v>-456667.69497450045</v>
      </c>
      <c r="P107" s="186">
        <f ca="1">IF($B$2="FIXED",0,IF(Swap!$G$26="FRA",_xll.HLV5r3.Analytics.Swaps.Delta0DiscountCoupon( G107, L107, M107, I107),_xll.HLV5r3.Analytics.Swaps.Delta0Coupon( G107, L107, M107, I107)))</f>
        <v>987.48604121166898</v>
      </c>
      <c r="Q107" s="180">
        <f ca="1">IF(U107=0,0,_xll.HLV5r3.Analytics.Swaps.Delta1ForAnAmount( N107, I107, Stream2CompoundingPeriod, U107))</f>
        <v>-782.29438937831594</v>
      </c>
      <c r="R107" s="79"/>
      <c r="S107" s="101">
        <f t="shared" ca="1" si="17"/>
        <v>49887</v>
      </c>
      <c r="T107" s="101">
        <f t="shared" ca="1" si="14"/>
        <v>49887</v>
      </c>
      <c r="U107" s="173">
        <f ca="1">IF(C107="#N/A",0,_xll.HLV5r3.Financial.Cache.YearFraction( ValuationDate, C107,"ACT/365.FIXED"))</f>
        <v>17.361643835616437</v>
      </c>
      <c r="V107" s="79"/>
      <c r="X107" s="207">
        <f ca="1"/>
        <v>49887</v>
      </c>
    </row>
    <row r="108" spans="1:24">
      <c r="A108" s="136">
        <f t="shared" ca="1" si="15"/>
        <v>49979</v>
      </c>
      <c r="B108" s="136">
        <f t="shared" ca="1" si="12"/>
        <v>50070</v>
      </c>
      <c r="C108" s="101">
        <f ca="1">IF(Swap!$G$26="Standard",B108,A108)</f>
        <v>50070</v>
      </c>
      <c r="D108" s="147">
        <v>0</v>
      </c>
      <c r="E108" s="112">
        <f t="shared" ca="1" si="11"/>
        <v>-100000000</v>
      </c>
      <c r="F108" s="112">
        <f ca="1">-Stream1!F108</f>
        <v>-100000000</v>
      </c>
      <c r="G108" s="112">
        <f t="shared" ca="1" si="16"/>
        <v>-100000000</v>
      </c>
      <c r="H108" s="152" t="str">
        <f t="shared" ca="1" si="10"/>
        <v>Coupon</v>
      </c>
      <c r="I108" s="168">
        <f ca="1">IF(C108="#N/A",0,_xll.HLV5r3.Financial.Cache.GetValueFromBase(Stream2DiscountCurve, Swap!$F$4, Stream2!C108))</f>
        <v>0.38733172718328823</v>
      </c>
      <c r="J108" s="117">
        <f ca="1">IF(C108="#N/A","#N/A",_xll.HLV5r3.Financial.Cache.GetValueFromBase( Stream2ForwardCurve, Swap!$F$4, A108))</f>
        <v>0.39177435330680344</v>
      </c>
      <c r="K108" s="169">
        <f ca="1">IF(C108="#N/A","#N/A",_xll.HLV5r3.Financial.Cache.GetValueFromBase( Stream2ForwardCurve, Swap!$F$4, B108))</f>
        <v>0.38733172718328823</v>
      </c>
      <c r="L108" s="115">
        <f ca="1" xml:space="preserve"> IF(G108=0,0,_xll.HLV5r3.Financial.Cache.YearFraction( A108, B108,Swap!$G$25))</f>
        <v>0.24931506849315069</v>
      </c>
      <c r="M108" s="143">
        <f ca="1">IF(J108="#N/A",0,IF($B$2="Fixed",Stream2FixedRate,_xll.HLV5r3.Analytics.Rates.GetRate(J108,K108,L108)+Stream2Spread))</f>
        <v>4.6005331633778415E-2</v>
      </c>
      <c r="N108" s="186">
        <f ca="1">IF(L108="#N/A",L108,IF(Swap!$G$26="Standard",L108*G108*M108,L108*G108*M108/(1+Stream2!L108*Stream2!M108)))</f>
        <v>-1146982.2407325578</v>
      </c>
      <c r="O108" s="186">
        <f t="shared" ca="1" si="13"/>
        <v>-444262.61235149973</v>
      </c>
      <c r="P108" s="186">
        <f ca="1">IF($B$2="FIXED",0,IF(Swap!$G$26="FRA",_xll.HLV5r3.Analytics.Swaps.Delta0DiscountCoupon( G108, L108, M108, I108),_xll.HLV5r3.Analytics.Swaps.Delta0Coupon( G108, L108, M108, I108)))</f>
        <v>965.67636092271857</v>
      </c>
      <c r="Q108" s="180">
        <f ca="1">IF(U108=0,0,_xll.HLV5r3.Analytics.Swaps.Delta1ForAnAmount( N108, I108, Stream2CompoundingPeriod, U108))</f>
        <v>-771.99472689319271</v>
      </c>
      <c r="R108" s="79"/>
      <c r="S108" s="101">
        <f t="shared" ca="1" si="17"/>
        <v>49979</v>
      </c>
      <c r="T108" s="101">
        <f t="shared" ca="1" si="14"/>
        <v>49979</v>
      </c>
      <c r="U108" s="173">
        <f ca="1">IF(C108="#N/A",0,_xll.HLV5r3.Financial.Cache.YearFraction( ValuationDate, C108,"ACT/365.FIXED"))</f>
        <v>17.610958904109587</v>
      </c>
      <c r="V108" s="79"/>
      <c r="X108" s="207">
        <f ca="1"/>
        <v>49979</v>
      </c>
    </row>
    <row r="109" spans="1:24">
      <c r="A109" s="136">
        <f t="shared" ca="1" si="15"/>
        <v>50070</v>
      </c>
      <c r="B109" s="136">
        <f t="shared" ca="1" si="12"/>
        <v>50160</v>
      </c>
      <c r="C109" s="101">
        <f ca="1">IF(Swap!$G$26="Standard",B109,A109)</f>
        <v>50160</v>
      </c>
      <c r="D109" s="147">
        <v>0</v>
      </c>
      <c r="E109" s="112">
        <f t="shared" ca="1" si="11"/>
        <v>-100000000</v>
      </c>
      <c r="F109" s="112">
        <f ca="1">-Stream1!F109</f>
        <v>-100000000</v>
      </c>
      <c r="G109" s="112">
        <f t="shared" ca="1" si="16"/>
        <v>-100000000</v>
      </c>
      <c r="H109" s="152" t="str">
        <f t="shared" ref="H109:H150" ca="1" si="18">IF(C109="#N/A","#NA","Coupon" )</f>
        <v>Coupon</v>
      </c>
      <c r="I109" s="168">
        <f ca="1">IF(C109="#N/A",0,_xll.HLV5r3.Financial.Cache.GetValueFromBase(Stream2DiscountCurve, Swap!$F$4, Stream2!C109))</f>
        <v>0.38300938218337016</v>
      </c>
      <c r="J109" s="117">
        <f ca="1">IF(C109="#N/A","#N/A",_xll.HLV5r3.Financial.Cache.GetValueFromBase( Stream2ForwardCurve, Swap!$F$4, A109))</f>
        <v>0.38733172718328823</v>
      </c>
      <c r="K109" s="169">
        <f ca="1">IF(C109="#N/A","#N/A",_xll.HLV5r3.Financial.Cache.GetValueFromBase( Stream2ForwardCurve, Swap!$F$4, B109))</f>
        <v>0.38300938218337016</v>
      </c>
      <c r="L109" s="115">
        <f ca="1" xml:space="preserve"> IF(G109=0,0,_xll.HLV5r3.Financial.Cache.YearFraction( A109, B109,Swap!$G$25))</f>
        <v>0.24657534246575341</v>
      </c>
      <c r="M109" s="143">
        <f ca="1">IF(J109="#N/A",0,IF($B$2="Fixed",Stream2FixedRate,_xll.HLV5r3.Analytics.Rates.GetRate(J109,K109,L109)+Stream2Spread))</f>
        <v>4.5767835183350168E-2</v>
      </c>
      <c r="N109" s="186">
        <f ca="1">IF(L109="#N/A",L109,IF(Swap!$G$26="Standard",L109*G109*M109,L109*G109*M109/(1+Stream2!L109*Stream2!M109)))</f>
        <v>-1128521.9634250726</v>
      </c>
      <c r="O109" s="186">
        <f t="shared" ca="1" si="13"/>
        <v>-432234.49999180093</v>
      </c>
      <c r="P109" s="186">
        <f ca="1">IF($B$2="FIXED",0,IF(Swap!$G$26="FRA",_xll.HLV5r3.Analytics.Swaps.Delta0DiscountCoupon( G109, L109, M109, I109),_xll.HLV5r3.Analytics.Swaps.Delta0Coupon( G109, L109, M109, I109)))</f>
        <v>944.40669579461132</v>
      </c>
      <c r="Q109" s="180">
        <f ca="1">IF(U109=0,0,_xll.HLV5r3.Analytics.Swaps.Delta1ForAnAmount( N109, I109, Stream2CompoundingPeriod, U109))</f>
        <v>-761.63138084338959</v>
      </c>
      <c r="R109" s="79"/>
      <c r="S109" s="101">
        <f t="shared" ref="S109:S150" ca="1" si="19">IF(ISERROR(T109), "#N/A",IF(T109="","#N/A",T109+D109))</f>
        <v>50070</v>
      </c>
      <c r="T109" s="101">
        <f t="shared" ref="T109:T150" ca="1" si="20">X109</f>
        <v>50070</v>
      </c>
      <c r="U109" s="173">
        <f ca="1">IF(C109="#N/A",0,_xll.HLV5r3.Financial.Cache.YearFraction( ValuationDate, C109,"ACT/365.FIXED"))</f>
        <v>17.857534246575341</v>
      </c>
      <c r="V109" s="79"/>
      <c r="X109" s="207">
        <f ca="1"/>
        <v>50070</v>
      </c>
    </row>
    <row r="110" spans="1:24">
      <c r="A110" s="136">
        <f t="shared" ca="1" si="15"/>
        <v>50160</v>
      </c>
      <c r="B110" s="136">
        <f t="shared" ca="1" si="12"/>
        <v>50252</v>
      </c>
      <c r="C110" s="101">
        <f ca="1">IF(Swap!$G$26="Standard",B110,A110)</f>
        <v>50252</v>
      </c>
      <c r="D110" s="147">
        <v>0</v>
      </c>
      <c r="E110" s="112">
        <f t="shared" ca="1" si="11"/>
        <v>-100000000</v>
      </c>
      <c r="F110" s="112">
        <f ca="1">-Stream1!F110</f>
        <v>-100000000</v>
      </c>
      <c r="G110" s="112">
        <f t="shared" ca="1" si="16"/>
        <v>-100000000</v>
      </c>
      <c r="H110" s="152" t="str">
        <f t="shared" ca="1" si="18"/>
        <v>Coupon</v>
      </c>
      <c r="I110" s="168">
        <f ca="1">IF(C110="#N/A",0,_xll.HLV5r3.Financial.Cache.GetValueFromBase(Stream2DiscountCurve, Swap!$F$4, Stream2!C110))</f>
        <v>0.37866309899139911</v>
      </c>
      <c r="J110" s="117">
        <f ca="1">IF(C110="#N/A","#N/A",_xll.HLV5r3.Financial.Cache.GetValueFromBase( Stream2ForwardCurve, Swap!$F$4, A110))</f>
        <v>0.38300938218337016</v>
      </c>
      <c r="K110" s="169">
        <f ca="1">IF(C110="#N/A","#N/A",_xll.HLV5r3.Financial.Cache.GetValueFromBase( Stream2ForwardCurve, Swap!$F$4, B110))</f>
        <v>0.37866309899139911</v>
      </c>
      <c r="L110" s="115">
        <f ca="1" xml:space="preserve"> IF(G110=0,0,_xll.HLV5r3.Financial.Cache.YearFraction( A110, B110,Swap!$G$25))</f>
        <v>0.25205479452054796</v>
      </c>
      <c r="M110" s="143">
        <f ca="1">IF(J110="#N/A",0,IF($B$2="Fixed",Stream2FixedRate,_xll.HLV5r3.Analytics.Rates.GetRate(J110,K110,L110)+Stream2Spread))</f>
        <v>4.5537593148073097E-2</v>
      </c>
      <c r="N110" s="186">
        <f ca="1">IF(L110="#N/A",L110,IF(Swap!$G$26="Standard",L110*G110*M110,L110*G110*M110/(1+Stream2!L110*Stream2!M110)))</f>
        <v>-1147796.8683897876</v>
      </c>
      <c r="O110" s="186">
        <f t="shared" ca="1" si="13"/>
        <v>-434628.31919710006</v>
      </c>
      <c r="P110" s="186">
        <f ca="1">IF($B$2="FIXED",0,IF(Swap!$G$26="FRA",_xll.HLV5r3.Analytics.Swaps.Delta0DiscountCoupon( G110, L110, M110, I110),_xll.HLV5r3.Analytics.Swaps.Delta0Coupon( G110, L110, M110, I110)))</f>
        <v>954.43849608791015</v>
      </c>
      <c r="Q110" s="180">
        <f ca="1">IF(U110=0,0,_xll.HLV5r3.Analytics.Swaps.Delta1ForAnAmount( N110, I110, Stream2CompoundingPeriod, U110))</f>
        <v>-776.68183029129898</v>
      </c>
      <c r="R110" s="79"/>
      <c r="S110" s="101">
        <f t="shared" ca="1" si="19"/>
        <v>50160</v>
      </c>
      <c r="T110" s="101">
        <f t="shared" ca="1" si="20"/>
        <v>50160</v>
      </c>
      <c r="U110" s="173">
        <f ca="1">IF(C110="#N/A",0,_xll.HLV5r3.Financial.Cache.YearFraction( ValuationDate, C110,"ACT/365.FIXED"))</f>
        <v>18.109589041095891</v>
      </c>
      <c r="V110" s="79"/>
      <c r="X110" s="207">
        <f ca="1"/>
        <v>50160</v>
      </c>
    </row>
    <row r="111" spans="1:24">
      <c r="A111" s="136">
        <f t="shared" ca="1" si="15"/>
        <v>50252</v>
      </c>
      <c r="B111" s="136">
        <f t="shared" ca="1" si="12"/>
        <v>50343</v>
      </c>
      <c r="C111" s="101">
        <f ca="1">IF(Swap!$G$26="Standard",B111,A111)</f>
        <v>50343</v>
      </c>
      <c r="D111" s="147">
        <v>0</v>
      </c>
      <c r="E111" s="112">
        <f t="shared" ca="1" si="11"/>
        <v>-100000000</v>
      </c>
      <c r="F111" s="112">
        <f ca="1">-Stream1!F111</f>
        <v>-100000000</v>
      </c>
      <c r="G111" s="112">
        <f t="shared" ca="1" si="16"/>
        <v>-100000000</v>
      </c>
      <c r="H111" s="152" t="str">
        <f t="shared" ca="1" si="18"/>
        <v>Coupon</v>
      </c>
      <c r="I111" s="168">
        <f ca="1">IF(C111="#N/A",0,_xll.HLV5r3.Financial.Cache.GetValueFromBase(Stream2DiscountCurve, Swap!$F$4, Stream2!C111))</f>
        <v>0.37443447592699131</v>
      </c>
      <c r="J111" s="117">
        <f ca="1">IF(C111="#N/A","#N/A",_xll.HLV5r3.Financial.Cache.GetValueFromBase( Stream2ForwardCurve, Swap!$F$4, A111))</f>
        <v>0.37866309899139911</v>
      </c>
      <c r="K111" s="169">
        <f ca="1">IF(C111="#N/A","#N/A",_xll.HLV5r3.Financial.Cache.GetValueFromBase( Stream2ForwardCurve, Swap!$F$4, B111))</f>
        <v>0.37443447592699131</v>
      </c>
      <c r="L111" s="115">
        <f ca="1" xml:space="preserve"> IF(G111=0,0,_xll.HLV5r3.Financial.Cache.YearFraction( A111, B111,Swap!$G$25))</f>
        <v>0.24931506849315069</v>
      </c>
      <c r="M111" s="143">
        <f ca="1">IF(J111="#N/A",0,IF($B$2="Fixed",Stream2FixedRate,_xll.HLV5r3.Analytics.Rates.GetRate(J111,K111,L111)+Stream2Spread))</f>
        <v>4.5297539979364171E-2</v>
      </c>
      <c r="N111" s="186">
        <f ca="1">IF(L111="#N/A",L111,IF(Swap!$G$26="Standard",L111*G111*M111,L111*G111*M111/(1+Stream2!L111*Stream2!M111)))</f>
        <v>-1129335.9282526411</v>
      </c>
      <c r="O111" s="186">
        <f t="shared" ca="1" si="13"/>
        <v>-422862.3064407999</v>
      </c>
      <c r="P111" s="186">
        <f ca="1">IF($B$2="FIXED",0,IF(Swap!$G$26="FRA",_xll.HLV5r3.Analytics.Swaps.Delta0DiscountCoupon( G111, L111, M111, I111),_xll.HLV5r3.Analytics.Swaps.Delta0Coupon( G111, L111, M111, I111)))</f>
        <v>933.52157011934821</v>
      </c>
      <c r="Q111" s="180">
        <f ca="1">IF(U111=0,0,_xll.HLV5r3.Analytics.Swaps.Delta1ForAnAmount( N111, I111, Stream2CompoundingPeriod, U111))</f>
        <v>-766.08108890795438</v>
      </c>
      <c r="R111" s="79"/>
      <c r="S111" s="101">
        <f t="shared" ca="1" si="19"/>
        <v>50252</v>
      </c>
      <c r="T111" s="101">
        <f t="shared" ca="1" si="20"/>
        <v>50252</v>
      </c>
      <c r="U111" s="173">
        <f ca="1">IF(C111="#N/A",0,_xll.HLV5r3.Financial.Cache.YearFraction( ValuationDate, C111,"ACT/365.FIXED"))</f>
        <v>18.358904109589041</v>
      </c>
      <c r="V111" s="48"/>
      <c r="X111" s="207">
        <f ca="1"/>
        <v>50252</v>
      </c>
    </row>
    <row r="112" spans="1:24">
      <c r="A112" s="136">
        <f t="shared" ca="1" si="15"/>
        <v>50343</v>
      </c>
      <c r="B112" s="136">
        <f t="shared" ca="1" si="12"/>
        <v>50434</v>
      </c>
      <c r="C112" s="101">
        <f ca="1">IF(Swap!$G$26="Standard",B112,A112)</f>
        <v>50434</v>
      </c>
      <c r="D112" s="147">
        <v>0</v>
      </c>
      <c r="E112" s="112">
        <f t="shared" ref="E112:E143" ca="1" si="21">IF(C112="#N/A",0,IF($A$2="Pays",-Stream2Notional,Stream2Notional) )</f>
        <v>-100000000</v>
      </c>
      <c r="F112" s="112">
        <f ca="1">-Stream1!F112</f>
        <v>-100000000</v>
      </c>
      <c r="G112" s="112">
        <f t="shared" ca="1" si="16"/>
        <v>-100000000</v>
      </c>
      <c r="H112" s="152" t="str">
        <f t="shared" ca="1" si="18"/>
        <v>Coupon</v>
      </c>
      <c r="I112" s="168">
        <f ca="1">IF(C112="#N/A",0,_xll.HLV5r3.Financial.Cache.GetValueFromBase(Stream2DiscountCurve, Swap!$F$4, Stream2!C112))</f>
        <v>0.37027461102034503</v>
      </c>
      <c r="J112" s="117">
        <f ca="1">IF(C112="#N/A","#N/A",_xll.HLV5r3.Financial.Cache.GetValueFromBase( Stream2ForwardCurve, Swap!$F$4, A112))</f>
        <v>0.37443447592699131</v>
      </c>
      <c r="K112" s="169">
        <f ca="1">IF(C112="#N/A","#N/A",_xll.HLV5r3.Financial.Cache.GetValueFromBase( Stream2ForwardCurve, Swap!$F$4, B112))</f>
        <v>0.37027461102034503</v>
      </c>
      <c r="L112" s="115">
        <f ca="1" xml:space="preserve"> IF(G112=0,0,_xll.HLV5r3.Financial.Cache.YearFraction( A112, B112,Swap!$G$25))</f>
        <v>0.24931506849315069</v>
      </c>
      <c r="M112" s="143">
        <f ca="1">IF(J112="#N/A",0,IF($B$2="Fixed",Stream2FixedRate,_xll.HLV5r3.Analytics.Rates.GetRate(J112,K112,L112)+Stream2Spread))</f>
        <v>4.5061616246864777E-2</v>
      </c>
      <c r="N112" s="186">
        <f ca="1">IF(L112="#N/A",L112,IF(Swap!$G$26="Standard",L112*G112*M112,L112*G112*M112/(1+Stream2!L112*Stream2!M112)))</f>
        <v>-1123453.9940999164</v>
      </c>
      <c r="O112" s="186">
        <f t="shared" ca="1" si="13"/>
        <v>-415986.49066459958</v>
      </c>
      <c r="P112" s="186">
        <f ca="1">IF($B$2="FIXED",0,IF(Swap!$G$26="FRA",_xll.HLV5r3.Analytics.Swaps.Delta0DiscountCoupon( G112, L112, M112, I112),_xll.HLV5r3.Analytics.Swaps.Delta0Coupon( G112, L112, M112, I112)))</f>
        <v>923.15040007812047</v>
      </c>
      <c r="Q112" s="180">
        <f ca="1">IF(U112=0,0,_xll.HLV5r3.Analytics.Swaps.Delta1ForAnAmount( N112, I112, Stream2CompoundingPeriod, U112))</f>
        <v>-763.88070172090625</v>
      </c>
      <c r="R112" s="79"/>
      <c r="S112" s="101">
        <f t="shared" ca="1" si="19"/>
        <v>50343</v>
      </c>
      <c r="T112" s="101">
        <f t="shared" ca="1" si="20"/>
        <v>50343</v>
      </c>
      <c r="U112" s="173">
        <f ca="1">IF(C112="#N/A",0,_xll.HLV5r3.Financial.Cache.YearFraction( ValuationDate, C112,"ACT/365.FIXED"))</f>
        <v>18.608219178082191</v>
      </c>
      <c r="V112" s="79"/>
      <c r="X112" s="207">
        <f ca="1"/>
        <v>50343</v>
      </c>
    </row>
    <row r="113" spans="1:24">
      <c r="A113" s="136">
        <f t="shared" ca="1" si="15"/>
        <v>50434</v>
      </c>
      <c r="B113" s="136">
        <f t="shared" ca="1" si="12"/>
        <v>50525</v>
      </c>
      <c r="C113" s="101">
        <f ca="1">IF(Swap!$G$26="Standard",B113,A113)</f>
        <v>50525</v>
      </c>
      <c r="D113" s="147">
        <v>0</v>
      </c>
      <c r="E113" s="112">
        <f t="shared" ca="1" si="21"/>
        <v>-100000000</v>
      </c>
      <c r="F113" s="112">
        <f ca="1">-Stream1!F113</f>
        <v>-100000000</v>
      </c>
      <c r="G113" s="112">
        <f t="shared" ca="1" si="16"/>
        <v>-100000000</v>
      </c>
      <c r="H113" s="152" t="str">
        <f t="shared" ca="1" si="18"/>
        <v>Coupon</v>
      </c>
      <c r="I113" s="168">
        <f ca="1">IF(C113="#N/A",0,_xll.HLV5r3.Financial.Cache.GetValueFromBase(Stream2DiscountCurve, Swap!$F$4, Stream2!C113))</f>
        <v>0.36618226008190291</v>
      </c>
      <c r="J113" s="117">
        <f ca="1">IF(C113="#N/A","#N/A",_xll.HLV5r3.Financial.Cache.GetValueFromBase( Stream2ForwardCurve, Swap!$F$4, A113))</f>
        <v>0.37027461102034503</v>
      </c>
      <c r="K113" s="169">
        <f ca="1">IF(C113="#N/A","#N/A",_xll.HLV5r3.Financial.Cache.GetValueFromBase( Stream2ForwardCurve, Swap!$F$4, B113))</f>
        <v>0.36618226008190291</v>
      </c>
      <c r="L113" s="115">
        <f ca="1" xml:space="preserve"> IF(G113=0,0,_xll.HLV5r3.Financial.Cache.YearFraction( A113, B113,Swap!$G$25))</f>
        <v>0.24931506849315069</v>
      </c>
      <c r="M113" s="143">
        <f ca="1">IF(J113="#N/A",0,IF($B$2="Fixed",Stream2FixedRate,_xll.HLV5r3.Analytics.Rates.GetRate(J113,K113,L113)+Stream2Spread))</f>
        <v>4.482569592401895E-2</v>
      </c>
      <c r="N113" s="186">
        <f ca="1">IF(L113="#N/A",L113,IF(Swap!$G$26="Standard",L113*G113*M113,L113*G113*M113/(1+Stream2!L113*Stream2!M113)))</f>
        <v>-1117572.1449549932</v>
      </c>
      <c r="O113" s="186">
        <f t="shared" ca="1" si="13"/>
        <v>-409235.09384419938</v>
      </c>
      <c r="P113" s="186">
        <f ca="1">IF($B$2="FIXED",0,IF(Swap!$G$26="FRA",_xll.HLV5r3.Analytics.Swaps.Delta0DiscountCoupon( G113, L113, M113, I113),_xll.HLV5r3.Analytics.Swaps.Delta0Coupon( G113, L113, M113, I113)))</f>
        <v>912.94755253296341</v>
      </c>
      <c r="Q113" s="180">
        <f ca="1">IF(U113=0,0,_xll.HLV5r3.Analytics.Swaps.Delta1ForAnAmount( N113, I113, Stream2CompoundingPeriod, U113))</f>
        <v>-761.57338569907768</v>
      </c>
      <c r="R113" s="79"/>
      <c r="S113" s="101">
        <f t="shared" ca="1" si="19"/>
        <v>50434</v>
      </c>
      <c r="T113" s="101">
        <f t="shared" ca="1" si="20"/>
        <v>50434</v>
      </c>
      <c r="U113" s="173">
        <f ca="1">IF(C113="#N/A",0,_xll.HLV5r3.Financial.Cache.YearFraction( ValuationDate, C113,"ACT/365.FIXED"))</f>
        <v>18.857534246575341</v>
      </c>
      <c r="V113" s="79"/>
      <c r="X113" s="207">
        <f ca="1"/>
        <v>50434</v>
      </c>
    </row>
    <row r="114" spans="1:24">
      <c r="A114" s="136">
        <f t="shared" ca="1" si="15"/>
        <v>50525</v>
      </c>
      <c r="B114" s="136">
        <f t="shared" ca="1" si="12"/>
        <v>50616</v>
      </c>
      <c r="C114" s="101">
        <f ca="1">IF(Swap!$G$26="Standard",B114,A114)</f>
        <v>50616</v>
      </c>
      <c r="D114" s="147">
        <v>0</v>
      </c>
      <c r="E114" s="112">
        <f t="shared" ca="1" si="21"/>
        <v>-100000000</v>
      </c>
      <c r="F114" s="112">
        <f ca="1">-Stream1!F114</f>
        <v>-100000000</v>
      </c>
      <c r="G114" s="112">
        <f t="shared" ca="1" si="16"/>
        <v>-100000000</v>
      </c>
      <c r="H114" s="152" t="str">
        <f t="shared" ca="1" si="18"/>
        <v>Coupon</v>
      </c>
      <c r="I114" s="168">
        <f ca="1">IF(C114="#N/A",0,_xll.HLV5r3.Financial.Cache.GetValueFromBase(Stream2DiscountCurve, Swap!$F$4, Stream2!C114))</f>
        <v>0.36215620439408336</v>
      </c>
      <c r="J114" s="117">
        <f ca="1">IF(C114="#N/A","#N/A",_xll.HLV5r3.Financial.Cache.GetValueFromBase( Stream2ForwardCurve, Swap!$F$4, A114))</f>
        <v>0.36618226008190291</v>
      </c>
      <c r="K114" s="169">
        <f ca="1">IF(C114="#N/A","#N/A",_xll.HLV5r3.Financial.Cache.GetValueFromBase( Stream2ForwardCurve, Swap!$F$4, B114))</f>
        <v>0.36215620439408336</v>
      </c>
      <c r="L114" s="115">
        <f ca="1" xml:space="preserve"> IF(G114=0,0,_xll.HLV5r3.Financial.Cache.YearFraction( A114, B114,Swap!$G$25))</f>
        <v>0.24931506849315069</v>
      </c>
      <c r="M114" s="143">
        <f ca="1">IF(J114="#N/A",0,IF($B$2="Fixed",Stream2FixedRate,_xll.HLV5r3.Analytics.Rates.GetRate(J114,K114,L114)+Stream2Spread))</f>
        <v>4.4589779011223928E-2</v>
      </c>
      <c r="N114" s="186">
        <f ca="1">IF(L114="#N/A",L114,IF(Swap!$G$26="Standard",L114*G114*M114,L114*G114*M114/(1+Stream2!L114*Stream2!M114)))</f>
        <v>-1111690.3808277748</v>
      </c>
      <c r="O114" s="186">
        <f t="shared" ca="1" si="13"/>
        <v>-402605.56878199999</v>
      </c>
      <c r="P114" s="186">
        <f ca="1">IF($B$2="FIXED",0,IF(Swap!$G$26="FRA",_xll.HLV5r3.Analytics.Swaps.Delta0DiscountCoupon( G114, L114, M114, I114),_xll.HLV5r3.Analytics.Swaps.Delta0Coupon( G114, L114, M114, I114)))</f>
        <v>902.90998903730372</v>
      </c>
      <c r="Q114" s="180">
        <f ca="1">IF(U114=0,0,_xll.HLV5r3.Analytics.Swaps.Delta1ForAnAmount( N114, I114, Stream2CompoundingPeriod, U114))</f>
        <v>-759.16351236038997</v>
      </c>
      <c r="R114" s="79"/>
      <c r="S114" s="101">
        <f t="shared" ca="1" si="19"/>
        <v>50525</v>
      </c>
      <c r="T114" s="101">
        <f t="shared" ca="1" si="20"/>
        <v>50525</v>
      </c>
      <c r="U114" s="173">
        <f ca="1">IF(C114="#N/A",0,_xll.HLV5r3.Financial.Cache.YearFraction( ValuationDate, C114,"ACT/365.FIXED"))</f>
        <v>19.106849315068494</v>
      </c>
      <c r="V114" s="79"/>
      <c r="X114" s="207">
        <f ca="1"/>
        <v>50525</v>
      </c>
    </row>
    <row r="115" spans="1:24">
      <c r="A115" s="136">
        <f t="shared" ca="1" si="15"/>
        <v>50616</v>
      </c>
      <c r="B115" s="136">
        <f t="shared" ca="1" si="12"/>
        <v>50707</v>
      </c>
      <c r="C115" s="101">
        <f ca="1">IF(Swap!$G$26="Standard",B115,A115)</f>
        <v>50707</v>
      </c>
      <c r="D115" s="147">
        <v>0</v>
      </c>
      <c r="E115" s="112">
        <f t="shared" ca="1" si="21"/>
        <v>-100000000</v>
      </c>
      <c r="F115" s="112">
        <f ca="1">-Stream1!F115</f>
        <v>-100000000</v>
      </c>
      <c r="G115" s="112">
        <f t="shared" ca="1" si="16"/>
        <v>-100000000</v>
      </c>
      <c r="H115" s="152" t="str">
        <f t="shared" ca="1" si="18"/>
        <v>Coupon</v>
      </c>
      <c r="I115" s="168">
        <f ca="1">IF(C115="#N/A",0,_xll.HLV5r3.Financial.Cache.GetValueFromBase(Stream2DiscountCurve, Swap!$F$4, Stream2!C115))</f>
        <v>0.35819525014878029</v>
      </c>
      <c r="J115" s="117">
        <f ca="1">IF(C115="#N/A","#N/A",_xll.HLV5r3.Financial.Cache.GetValueFromBase( Stream2ForwardCurve, Swap!$F$4, A115))</f>
        <v>0.36215620439408336</v>
      </c>
      <c r="K115" s="169">
        <f ca="1">IF(C115="#N/A","#N/A",_xll.HLV5r3.Financial.Cache.GetValueFromBase( Stream2ForwardCurve, Swap!$F$4, B115))</f>
        <v>0.35819525014878029</v>
      </c>
      <c r="L115" s="115">
        <f ca="1" xml:space="preserve"> IF(G115=0,0,_xll.HLV5r3.Financial.Cache.YearFraction( A115, B115,Swap!$G$25))</f>
        <v>0.24931506849315069</v>
      </c>
      <c r="M115" s="143">
        <f ca="1">IF(J115="#N/A",0,IF($B$2="Fixed",Stream2FixedRate,_xll.HLV5r3.Analytics.Rates.GetRate(J115,K115,L115)+Stream2Spread))</f>
        <v>4.4353865508662153E-2</v>
      </c>
      <c r="N115" s="186">
        <f ca="1">IF(L115="#N/A",L115,IF(Swap!$G$26="Standard",L115*G115*M115,L115*G115*M115/(1+Stream2!L115*Stream2!M115)))</f>
        <v>-1105808.7017228098</v>
      </c>
      <c r="O115" s="186">
        <f t="shared" ca="1" si="13"/>
        <v>-396095.42453029985</v>
      </c>
      <c r="P115" s="186">
        <f ca="1">IF($B$2="FIXED",0,IF(Swap!$G$26="FRA",_xll.HLV5r3.Analytics.Swaps.Delta0DiscountCoupon( G115, L115, M115, I115),_xll.HLV5r3.Analytics.Swaps.Delta0Coupon( G115, L115, M115, I115)))</f>
        <v>893.034733247644</v>
      </c>
      <c r="Q115" s="180">
        <f ca="1">IF(U115=0,0,_xll.HLV5r3.Analytics.Swaps.Delta1ForAnAmount( N115, I115, Stream2CompoundingPeriod, U115))</f>
        <v>-756.65531048079004</v>
      </c>
      <c r="R115" s="79"/>
      <c r="S115" s="101">
        <f t="shared" ca="1" si="19"/>
        <v>50616</v>
      </c>
      <c r="T115" s="101">
        <f t="shared" ca="1" si="20"/>
        <v>50616</v>
      </c>
      <c r="U115" s="173">
        <f ca="1">IF(C115="#N/A",0,_xll.HLV5r3.Financial.Cache.YearFraction( ValuationDate, C115,"ACT/365.FIXED"))</f>
        <v>19.356164383561644</v>
      </c>
      <c r="V115" s="79"/>
      <c r="X115" s="207">
        <f ca="1"/>
        <v>50616</v>
      </c>
    </row>
    <row r="116" spans="1:24">
      <c r="A116" s="136">
        <f t="shared" ca="1" si="15"/>
        <v>50707</v>
      </c>
      <c r="B116" s="136">
        <f t="shared" ca="1" si="12"/>
        <v>50801</v>
      </c>
      <c r="C116" s="101">
        <f ca="1">IF(Swap!$G$26="Standard",B116,A116)</f>
        <v>50801</v>
      </c>
      <c r="D116" s="147">
        <v>0</v>
      </c>
      <c r="E116" s="112">
        <f t="shared" ca="1" si="21"/>
        <v>-100000000</v>
      </c>
      <c r="F116" s="112">
        <f ca="1">-Stream1!F116</f>
        <v>-100000000</v>
      </c>
      <c r="G116" s="112">
        <f t="shared" ca="1" si="16"/>
        <v>-100000000</v>
      </c>
      <c r="H116" s="152" t="str">
        <f t="shared" ca="1" si="18"/>
        <v>Coupon</v>
      </c>
      <c r="I116" s="168">
        <f ca="1">IF(C116="#N/A",0,_xll.HLV5r3.Financial.Cache.GetValueFromBase(Stream2DiscountCurve, Swap!$F$4, Stream2!C116))</f>
        <v>0.35417082991855114</v>
      </c>
      <c r="J116" s="117">
        <f ca="1">IF(C116="#N/A","#N/A",_xll.HLV5r3.Financial.Cache.GetValueFromBase( Stream2ForwardCurve, Swap!$F$4, A116))</f>
        <v>0.35819525014878029</v>
      </c>
      <c r="K116" s="169">
        <f ca="1">IF(C116="#N/A","#N/A",_xll.HLV5r3.Financial.Cache.GetValueFromBase( Stream2ForwardCurve, Swap!$F$4, B116))</f>
        <v>0.35417082991855114</v>
      </c>
      <c r="L116" s="115">
        <f ca="1" xml:space="preserve"> IF(G116=0,0,_xll.HLV5r3.Financial.Cache.YearFraction( A116, B116,Swap!$G$25))</f>
        <v>0.25753424657534246</v>
      </c>
      <c r="M116" s="143">
        <f ca="1">IF(J116="#N/A",0,IF($B$2="Fixed",Stream2FixedRate,_xll.HLV5r3.Analytics.Rates.GetRate(J116,K116,L116)+Stream2Spread))</f>
        <v>4.4122036057036622E-2</v>
      </c>
      <c r="N116" s="186">
        <f ca="1">IF(L116="#N/A",L116,IF(Swap!$G$26="Standard",L116*G116*M116,L116*G116*M116/(1+Stream2!L116*Stream2!M116)))</f>
        <v>-1136293.5313319019</v>
      </c>
      <c r="O116" s="186">
        <f t="shared" ca="1" si="13"/>
        <v>-402442.02302290092</v>
      </c>
      <c r="P116" s="186">
        <f ca="1">IF($B$2="FIXED",0,IF(Swap!$G$26="FRA",_xll.HLV5r3.Analytics.Swaps.Delta0DiscountCoupon( G116, L116, M116, I116),_xll.HLV5r3.Analytics.Swaps.Delta0Coupon( G116, L116, M116, I116)))</f>
        <v>912.11117842037822</v>
      </c>
      <c r="Q116" s="180">
        <f ca="1">IF(U116=0,0,_xll.HLV5r3.Analytics.Swaps.Delta1ForAnAmount( N116, I116, Stream2CompoundingPeriod, U116))</f>
        <v>-779.03088844449076</v>
      </c>
      <c r="R116" s="79"/>
      <c r="S116" s="101">
        <f t="shared" ca="1" si="19"/>
        <v>50707</v>
      </c>
      <c r="T116" s="101">
        <f t="shared" ca="1" si="20"/>
        <v>50707</v>
      </c>
      <c r="U116" s="173">
        <f ca="1">IF(C116="#N/A",0,_xll.HLV5r3.Financial.Cache.YearFraction( ValuationDate, C116,"ACT/365.FIXED"))</f>
        <v>19.613698630136987</v>
      </c>
      <c r="V116" s="79"/>
      <c r="X116" s="207">
        <f ca="1"/>
        <v>50707</v>
      </c>
    </row>
    <row r="117" spans="1:24">
      <c r="A117" s="136">
        <f t="shared" ca="1" si="15"/>
        <v>50801</v>
      </c>
      <c r="B117" s="136">
        <f t="shared" ca="1" si="12"/>
        <v>50889</v>
      </c>
      <c r="C117" s="101">
        <f ca="1">IF(Swap!$G$26="Standard",B117,A117)</f>
        <v>50889</v>
      </c>
      <c r="D117" s="147">
        <v>0</v>
      </c>
      <c r="E117" s="112">
        <f t="shared" ca="1" si="21"/>
        <v>-100000000</v>
      </c>
      <c r="F117" s="112">
        <f ca="1">-Stream1!F117</f>
        <v>-100000000</v>
      </c>
      <c r="G117" s="112">
        <f t="shared" ca="1" si="16"/>
        <v>-100000000</v>
      </c>
      <c r="H117" s="152" t="str">
        <f t="shared" ca="1" si="18"/>
        <v>Coupon</v>
      </c>
      <c r="I117" s="168">
        <f ca="1">IF(C117="#N/A",0,_xll.HLV5r3.Financial.Cache.GetValueFromBase(Stream2DiscountCurve, Swap!$F$4, Stream2!C117))</f>
        <v>0.35046399201890888</v>
      </c>
      <c r="J117" s="117">
        <f ca="1">IF(C117="#N/A","#N/A",_xll.HLV5r3.Financial.Cache.GetValueFromBase( Stream2ForwardCurve, Swap!$F$4, A117))</f>
        <v>0.35417082991855114</v>
      </c>
      <c r="K117" s="169">
        <f ca="1">IF(C117="#N/A","#N/A",_xll.HLV5r3.Financial.Cache.GetValueFromBase( Stream2ForwardCurve, Swap!$F$4, B117))</f>
        <v>0.35046399201890888</v>
      </c>
      <c r="L117" s="115">
        <f ca="1" xml:space="preserve"> IF(G117=0,0,_xll.HLV5r3.Financial.Cache.YearFraction( A117, B117,Swap!$G$25))</f>
        <v>0.24109589041095891</v>
      </c>
      <c r="M117" s="143">
        <f ca="1">IF(J117="#N/A",0,IF($B$2="Fixed",Stream2FixedRate,_xll.HLV5r3.Analytics.Rates.GetRate(J117,K117,L117)+Stream2Spread))</f>
        <v>4.387027769487558E-2</v>
      </c>
      <c r="N117" s="186">
        <f ca="1">IF(L117="#N/A",L117,IF(Swap!$G$26="Standard",L117*G117*M117,L117*G117*M117/(1+Stream2!L117*Stream2!M117)))</f>
        <v>-1057694.3663422058</v>
      </c>
      <c r="O117" s="186">
        <f t="shared" ca="1" si="13"/>
        <v>-370683.78996419971</v>
      </c>
      <c r="P117" s="186">
        <f ca="1">IF($B$2="FIXED",0,IF(Swap!$G$26="FRA",_xll.HLV5r3.Analytics.Swaps.Delta0DiscountCoupon( G117, L117, M117, I117),_xll.HLV5r3.Analytics.Swaps.Delta0Coupon( G117, L117, M117, I117)))</f>
        <v>844.95428212778029</v>
      </c>
      <c r="Q117" s="180">
        <f ca="1">IF(U117=0,0,_xll.HLV5r3.Analytics.Swaps.Delta1ForAnAmount( N117, I117, Stream2CompoundingPeriod, U117))</f>
        <v>-726.39513098822158</v>
      </c>
      <c r="R117" s="79"/>
      <c r="S117" s="101">
        <f t="shared" ca="1" si="19"/>
        <v>50801</v>
      </c>
      <c r="T117" s="101">
        <f t="shared" ca="1" si="20"/>
        <v>50801</v>
      </c>
      <c r="U117" s="173">
        <f ca="1">IF(C117="#N/A",0,_xll.HLV5r3.Financial.Cache.YearFraction( ValuationDate, C117,"ACT/365.FIXED"))</f>
        <v>19.854794520547944</v>
      </c>
      <c r="V117" s="79"/>
      <c r="X117" s="207">
        <f ca="1"/>
        <v>50801</v>
      </c>
    </row>
    <row r="118" spans="1:24">
      <c r="A118" s="136">
        <f t="shared" ca="1" si="15"/>
        <v>50889</v>
      </c>
      <c r="B118" s="136">
        <f t="shared" ca="1" si="12"/>
        <v>50980</v>
      </c>
      <c r="C118" s="101">
        <f ca="1">IF(Swap!$G$26="Standard",B118,A118)</f>
        <v>50980</v>
      </c>
      <c r="D118" s="147">
        <v>0</v>
      </c>
      <c r="E118" s="112">
        <f t="shared" ca="1" si="21"/>
        <v>-100000000</v>
      </c>
      <c r="F118" s="112">
        <f ca="1">-Stream1!F118</f>
        <v>-100000000</v>
      </c>
      <c r="G118" s="112">
        <f t="shared" ca="1" si="16"/>
        <v>-100000000</v>
      </c>
      <c r="H118" s="152" t="str">
        <f t="shared" ca="1" si="18"/>
        <v>Coupon</v>
      </c>
      <c r="I118" s="168">
        <f ca="1">IF(C118="#N/A",0,_xll.HLV5r3.Financial.Cache.GetValueFromBase(Stream2DiscountCurve, Swap!$F$4, Stream2!C118))</f>
        <v>0.34667085595182617</v>
      </c>
      <c r="J118" s="117">
        <f ca="1">IF(C118="#N/A","#N/A",_xll.HLV5r3.Financial.Cache.GetValueFromBase( Stream2ForwardCurve, Swap!$F$4, A118))</f>
        <v>0.35046399201890888</v>
      </c>
      <c r="K118" s="169">
        <f ca="1">IF(C118="#N/A","#N/A",_xll.HLV5r3.Financial.Cache.GetValueFromBase( Stream2ForwardCurve, Swap!$F$4, B118))</f>
        <v>0.34667085595182617</v>
      </c>
      <c r="L118" s="115">
        <f ca="1" xml:space="preserve"> IF(G118=0,0,_xll.HLV5r3.Financial.Cache.YearFraction( A118, B118,Swap!$G$25))</f>
        <v>0.24931506849315069</v>
      </c>
      <c r="M118" s="143">
        <f ca="1">IF(J118="#N/A",0,IF($B$2="Fixed",Stream2FixedRate,_xll.HLV5r3.Analytics.Rates.GetRate(J118,K118,L118)+Stream2Spread))</f>
        <v>4.3886663159161461E-2</v>
      </c>
      <c r="N118" s="186">
        <f ca="1">IF(L118="#N/A",L118,IF(Swap!$G$26="Standard",L118*G118*M118,L118*G118*M118/(1+Stream2!L118*Stream2!M118)))</f>
        <v>-1094160.6431462173</v>
      </c>
      <c r="O118" s="186">
        <f t="shared" ca="1" si="13"/>
        <v>-379313.60670829978</v>
      </c>
      <c r="P118" s="186">
        <f ca="1">IF($B$2="FIXED",0,IF(Swap!$G$26="FRA",_xll.HLV5r3.Analytics.Swaps.Delta0DiscountCoupon( G118, L118, M118, I118),_xll.HLV5r3.Analytics.Swaps.Delta0Coupon( G118, L118, M118, I118)))</f>
        <v>864.30268196208715</v>
      </c>
      <c r="Q118" s="180">
        <f ca="1">IF(U118=0,0,_xll.HLV5r3.Analytics.Swaps.Delta1ForAnAmount( N118, I118, Stream2CompoundingPeriod, U118))</f>
        <v>-752.66092634246411</v>
      </c>
      <c r="R118" s="79"/>
      <c r="S118" s="101">
        <f t="shared" ca="1" si="19"/>
        <v>50889</v>
      </c>
      <c r="T118" s="101">
        <f t="shared" ca="1" si="20"/>
        <v>50889</v>
      </c>
      <c r="U118" s="173">
        <f ca="1">IF(C118="#N/A",0,_xll.HLV5r3.Financial.Cache.YearFraction( ValuationDate, C118,"ACT/365.FIXED"))</f>
        <v>20.104109589041094</v>
      </c>
      <c r="V118" s="79"/>
      <c r="X118" s="207">
        <f ca="1"/>
        <v>50889</v>
      </c>
    </row>
    <row r="119" spans="1:24">
      <c r="A119" s="136">
        <f t="shared" ca="1" si="15"/>
        <v>50980</v>
      </c>
      <c r="B119" s="136">
        <f t="shared" ca="1" si="12"/>
        <v>51074</v>
      </c>
      <c r="C119" s="101">
        <f ca="1">IF(Swap!$G$26="Standard",B119,A119)</f>
        <v>51074</v>
      </c>
      <c r="D119" s="147">
        <v>0</v>
      </c>
      <c r="E119" s="112">
        <f t="shared" ca="1" si="21"/>
        <v>-100000000</v>
      </c>
      <c r="F119" s="112">
        <f ca="1">-Stream1!F119</f>
        <v>-100000000</v>
      </c>
      <c r="G119" s="112">
        <f t="shared" ca="1" si="16"/>
        <v>-100000000</v>
      </c>
      <c r="H119" s="152" t="str">
        <f t="shared" ca="1" si="18"/>
        <v>Coupon</v>
      </c>
      <c r="I119" s="168">
        <f ca="1">IF(C119="#N/A",0,_xll.HLV5r3.Financial.Cache.GetValueFromBase(Stream2DiscountCurve, Swap!$F$4, Stream2!C119))</f>
        <v>0.34277696041779365</v>
      </c>
      <c r="J119" s="117">
        <f ca="1">IF(C119="#N/A","#N/A",_xll.HLV5r3.Financial.Cache.GetValueFromBase( Stream2ForwardCurve, Swap!$F$4, A119))</f>
        <v>0.34667085595182617</v>
      </c>
      <c r="K119" s="169">
        <f ca="1">IF(C119="#N/A","#N/A",_xll.HLV5r3.Financial.Cache.GetValueFromBase( Stream2ForwardCurve, Swap!$F$4, B119))</f>
        <v>0.34277696041779365</v>
      </c>
      <c r="L119" s="115">
        <f ca="1" xml:space="preserve"> IF(G119=0,0,_xll.HLV5r3.Financial.Cache.YearFraction( A119, B119,Swap!$G$25))</f>
        <v>0.25753424657534246</v>
      </c>
      <c r="M119" s="143">
        <f ca="1">IF(J119="#N/A",0,IF($B$2="Fixed",Stream2FixedRate,_xll.HLV5r3.Analytics.Rates.GetRate(J119,K119,L119)+Stream2Spread))</f>
        <v>4.4110063556711092E-2</v>
      </c>
      <c r="N119" s="186">
        <f ca="1">IF(L119="#N/A",L119,IF(Swap!$G$26="Standard",L119*G119*M119,L119*G119*M119/(1+Stream2!L119*Stream2!M119)))</f>
        <v>-1135985.1984468061</v>
      </c>
      <c r="O119" s="186">
        <f t="shared" ca="1" si="13"/>
        <v>-389389.55340320029</v>
      </c>
      <c r="P119" s="186">
        <f ca="1">IF($B$2="FIXED",0,IF(Swap!$G$26="FRA",_xll.HLV5r3.Analytics.Swaps.Delta0DiscountCoupon( G119, L119, M119, I119),_xll.HLV5r3.Analytics.Swaps.Delta0Coupon( G119, L119, M119, I119)))</f>
        <v>882.76806244582474</v>
      </c>
      <c r="Q119" s="180">
        <f ca="1">IF(U119=0,0,_xll.HLV5r3.Analytics.Swaps.Delta1ForAnAmount( N119, I119, Stream2CompoundingPeriod, U119))</f>
        <v>-782.57363237902166</v>
      </c>
      <c r="R119" s="79"/>
      <c r="S119" s="101">
        <f t="shared" ca="1" si="19"/>
        <v>50980</v>
      </c>
      <c r="T119" s="101">
        <f t="shared" ca="1" si="20"/>
        <v>50980</v>
      </c>
      <c r="U119" s="173">
        <f ca="1">IF(C119="#N/A",0,_xll.HLV5r3.Financial.Cache.YearFraction( ValuationDate, C119,"ACT/365.FIXED"))</f>
        <v>20.361643835616437</v>
      </c>
      <c r="V119" s="79"/>
      <c r="X119" s="207">
        <f ca="1"/>
        <v>50980</v>
      </c>
    </row>
    <row r="120" spans="1:24">
      <c r="A120" s="136">
        <f t="shared" ca="1" si="15"/>
        <v>51074</v>
      </c>
      <c r="B120" s="136">
        <f t="shared" ca="1" si="12"/>
        <v>51166</v>
      </c>
      <c r="C120" s="101">
        <f ca="1">IF(Swap!$G$26="Standard",B120,A120)</f>
        <v>51166</v>
      </c>
      <c r="D120" s="147">
        <v>0</v>
      </c>
      <c r="E120" s="112">
        <f t="shared" ca="1" si="21"/>
        <v>-100000000</v>
      </c>
      <c r="F120" s="112">
        <f ca="1">-Stream1!F120</f>
        <v>-100000000</v>
      </c>
      <c r="G120" s="112">
        <f t="shared" ca="1" si="16"/>
        <v>-100000000</v>
      </c>
      <c r="H120" s="152" t="str">
        <f t="shared" ca="1" si="18"/>
        <v>Coupon</v>
      </c>
      <c r="I120" s="168">
        <f ca="1">IF(C120="#N/A",0,_xll.HLV5r3.Financial.Cache.GetValueFromBase(Stream2DiscountCurve, Swap!$F$4, Stream2!C120))</f>
        <v>0.33902718010147492</v>
      </c>
      <c r="J120" s="117">
        <f ca="1">IF(C120="#N/A","#N/A",_xll.HLV5r3.Financial.Cache.GetValueFromBase( Stream2ForwardCurve, Swap!$F$4, A120))</f>
        <v>0.34277696041779365</v>
      </c>
      <c r="K120" s="169">
        <f ca="1">IF(C120="#N/A","#N/A",_xll.HLV5r3.Financial.Cache.GetValueFromBase( Stream2ForwardCurve, Swap!$F$4, B120))</f>
        <v>0.33902718010147492</v>
      </c>
      <c r="L120" s="115">
        <f ca="1" xml:space="preserve"> IF(G120=0,0,_xll.HLV5r3.Financial.Cache.YearFraction( A120, B120,Swap!$G$25))</f>
        <v>0.25205479452054796</v>
      </c>
      <c r="M120" s="143">
        <f ca="1">IF(J120="#N/A",0,IF($B$2="Fixed",Stream2FixedRate,_xll.HLV5r3.Analytics.Rates.GetRate(J120,K120,L120)+Stream2Spread))</f>
        <v>4.3880982686184088E-2</v>
      </c>
      <c r="N120" s="186">
        <f ca="1">IF(L120="#N/A",L120,IF(Swap!$G$26="Standard",L120*G120*M120,L120*G120*M120/(1+Stream2!L120*Stream2!M120)))</f>
        <v>-1106041.2074325853</v>
      </c>
      <c r="O120" s="186">
        <f t="shared" ca="1" si="13"/>
        <v>-374978.03163189988</v>
      </c>
      <c r="P120" s="186">
        <f ca="1">IF($B$2="FIXED",0,IF(Swap!$G$26="FRA",_xll.HLV5r3.Analytics.Swaps.Delta0DiscountCoupon( G120, L120, M120, I120),_xll.HLV5r3.Analytics.Swaps.Delta0Coupon( G120, L120, M120, I120)))</f>
        <v>854.53426217358071</v>
      </c>
      <c r="Q120" s="180">
        <f ca="1">IF(U120=0,0,_xll.HLV5r3.Analytics.Swaps.Delta1ForAnAmount( N120, I120, Stream2CompoundingPeriod, U120))</f>
        <v>-762.95960423093459</v>
      </c>
      <c r="R120" s="79"/>
      <c r="S120" s="101">
        <f t="shared" ca="1" si="19"/>
        <v>51074</v>
      </c>
      <c r="T120" s="101">
        <f t="shared" ca="1" si="20"/>
        <v>51074</v>
      </c>
      <c r="U120" s="173">
        <f ca="1">IF(C120="#N/A",0,_xll.HLV5r3.Financial.Cache.YearFraction( ValuationDate, C120,"ACT/365.FIXED"))</f>
        <v>20.613698630136987</v>
      </c>
      <c r="V120" s="79"/>
      <c r="X120" s="207">
        <f ca="1"/>
        <v>51074</v>
      </c>
    </row>
    <row r="121" spans="1:24">
      <c r="A121" s="136">
        <f t="shared" ca="1" si="15"/>
        <v>51166</v>
      </c>
      <c r="B121" s="136">
        <f t="shared" ca="1" si="12"/>
        <v>51256</v>
      </c>
      <c r="C121" s="101">
        <f ca="1">IF(Swap!$G$26="Standard",B121,A121)</f>
        <v>51256</v>
      </c>
      <c r="D121" s="147">
        <v>0</v>
      </c>
      <c r="E121" s="112">
        <f t="shared" ca="1" si="21"/>
        <v>-100000000</v>
      </c>
      <c r="F121" s="112">
        <f ca="1">-Stream1!F121</f>
        <v>-100000000</v>
      </c>
      <c r="G121" s="112">
        <f t="shared" ca="1" si="16"/>
        <v>-100000000</v>
      </c>
      <c r="H121" s="152" t="str">
        <f t="shared" ca="1" si="18"/>
        <v>Coupon</v>
      </c>
      <c r="I121" s="168">
        <f ca="1">IF(C121="#N/A",0,_xll.HLV5r3.Financial.Cache.GetValueFromBase(Stream2DiscountCurve, Swap!$F$4, Stream2!C121))</f>
        <v>0.33541652309490522</v>
      </c>
      <c r="J121" s="117">
        <f ca="1">IF(C121="#N/A","#N/A",_xll.HLV5r3.Financial.Cache.GetValueFromBase( Stream2ForwardCurve, Swap!$F$4, A121))</f>
        <v>0.33902718010147492</v>
      </c>
      <c r="K121" s="169">
        <f ca="1">IF(C121="#N/A","#N/A",_xll.HLV5r3.Financial.Cache.GetValueFromBase( Stream2ForwardCurve, Swap!$F$4, B121))</f>
        <v>0.33541652309490522</v>
      </c>
      <c r="L121" s="115">
        <f ca="1" xml:space="preserve"> IF(G121=0,0,_xll.HLV5r3.Financial.Cache.YearFraction( A121, B121,Swap!$G$25))</f>
        <v>0.24657534246575341</v>
      </c>
      <c r="M121" s="143">
        <f ca="1">IF(J121="#N/A",0,IF($B$2="Fixed",Stream2FixedRate,_xll.HLV5r3.Analytics.Rates.GetRate(J121,K121,L121)+Stream2Spread))</f>
        <v>4.3656823900882574E-2</v>
      </c>
      <c r="N121" s="186">
        <f ca="1">IF(L121="#N/A",L121,IF(Swap!$G$26="Standard",L121*G121*M121,L121*G121*M121/(1+Stream2!L121*Stream2!M121)))</f>
        <v>-1076469.630432721</v>
      </c>
      <c r="O121" s="186">
        <f t="shared" ca="1" si="13"/>
        <v>-361065.70065700082</v>
      </c>
      <c r="P121" s="186">
        <f ca="1">IF($B$2="FIXED",0,IF(Swap!$G$26="FRA",_xll.HLV5r3.Analytics.Swaps.Delta0DiscountCoupon( G121, L121, M121, I121),_xll.HLV5r3.Analytics.Swaps.Delta0Coupon( G121, L121, M121, I121)))</f>
        <v>827.05444050798542</v>
      </c>
      <c r="Q121" s="180">
        <f ca="1">IF(U121=0,0,_xll.HLV5r3.Analytics.Swaps.Delta1ForAnAmount( N121, I121, Stream2CompoundingPeriod, U121))</f>
        <v>-743.45982314131481</v>
      </c>
      <c r="R121" s="79"/>
      <c r="S121" s="101">
        <f t="shared" ca="1" si="19"/>
        <v>51166</v>
      </c>
      <c r="T121" s="101">
        <f t="shared" ca="1" si="20"/>
        <v>51166</v>
      </c>
      <c r="U121" s="173">
        <f ca="1">IF(C121="#N/A",0,_xll.HLV5r3.Financial.Cache.YearFraction( ValuationDate, C121,"ACT/365.FIXED"))</f>
        <v>20.860273972602741</v>
      </c>
      <c r="V121" s="79"/>
      <c r="X121" s="207">
        <f ca="1"/>
        <v>51166</v>
      </c>
    </row>
    <row r="122" spans="1:24">
      <c r="A122" s="136">
        <f t="shared" ca="1" si="15"/>
        <v>51256</v>
      </c>
      <c r="B122" s="136">
        <f t="shared" ca="1" si="12"/>
        <v>51348</v>
      </c>
      <c r="C122" s="101">
        <f ca="1">IF(Swap!$G$26="Standard",B122,A122)</f>
        <v>51348</v>
      </c>
      <c r="D122" s="147">
        <v>0</v>
      </c>
      <c r="E122" s="112">
        <f t="shared" ca="1" si="21"/>
        <v>-100000000</v>
      </c>
      <c r="F122" s="112">
        <f ca="1">-Stream1!F122</f>
        <v>-100000000</v>
      </c>
      <c r="G122" s="112">
        <f t="shared" ca="1" si="16"/>
        <v>-100000000</v>
      </c>
      <c r="H122" s="152" t="str">
        <f t="shared" ca="1" si="18"/>
        <v>Coupon</v>
      </c>
      <c r="I122" s="168">
        <f ca="1">IF(C122="#N/A",0,_xll.HLV5r3.Financial.Cache.GetValueFromBase(Stream2DiscountCurve, Swap!$F$4, Stream2!C122))</f>
        <v>0.33178348223075338</v>
      </c>
      <c r="J122" s="117">
        <f ca="1">IF(C122="#N/A","#N/A",_xll.HLV5r3.Financial.Cache.GetValueFromBase( Stream2ForwardCurve, Swap!$F$4, A122))</f>
        <v>0.33541652309490522</v>
      </c>
      <c r="K122" s="169">
        <f ca="1">IF(C122="#N/A","#N/A",_xll.HLV5r3.Financial.Cache.GetValueFromBase( Stream2ForwardCurve, Swap!$F$4, B122))</f>
        <v>0.33178348223075338</v>
      </c>
      <c r="L122" s="115">
        <f ca="1" xml:space="preserve"> IF(G122=0,0,_xll.HLV5r3.Financial.Cache.YearFraction( A122, B122,Swap!$G$25))</f>
        <v>0.25205479452054796</v>
      </c>
      <c r="M122" s="143">
        <f ca="1">IF(J122="#N/A",0,IF($B$2="Fixed",Stream2FixedRate,_xll.HLV5r3.Analytics.Rates.GetRate(J122,K122,L122)+Stream2Spread))</f>
        <v>4.3443075091822485E-2</v>
      </c>
      <c r="N122" s="186">
        <f ca="1">IF(L122="#N/A",L122,IF(Swap!$G$26="Standard",L122*G122*M122,L122*G122*M122/(1+Stream2!L122*Stream2!M122)))</f>
        <v>-1095003.5365610051</v>
      </c>
      <c r="O122" s="186">
        <f t="shared" ca="1" si="13"/>
        <v>-363304.08641520032</v>
      </c>
      <c r="P122" s="186">
        <f ca="1">IF($B$2="FIXED",0,IF(Swap!$G$26="FRA",_xll.HLV5r3.Analytics.Swaps.Delta0DiscountCoupon( G122, L122, M122, I122),_xll.HLV5r3.Analytics.Swaps.Delta0Coupon( G122, L122, M122, I122)))</f>
        <v>836.27617438984419</v>
      </c>
      <c r="Q122" s="180">
        <f ca="1">IF(U122=0,0,_xll.HLV5r3.Analytics.Swaps.Delta1ForAnAmount( N122, I122, Stream2CompoundingPeriod, U122))</f>
        <v>-757.12816852210324</v>
      </c>
      <c r="R122" s="79"/>
      <c r="S122" s="101">
        <f t="shared" ca="1" si="19"/>
        <v>51256</v>
      </c>
      <c r="T122" s="101">
        <f t="shared" ca="1" si="20"/>
        <v>51256</v>
      </c>
      <c r="U122" s="173">
        <f ca="1">IF(C122="#N/A",0,_xll.HLV5r3.Financial.Cache.YearFraction( ValuationDate, C122,"ACT/365.FIXED"))</f>
        <v>21.112328767123287</v>
      </c>
      <c r="V122" s="79"/>
      <c r="X122" s="207">
        <f ca="1"/>
        <v>51256</v>
      </c>
    </row>
    <row r="123" spans="1:24">
      <c r="A123" s="136">
        <f t="shared" ca="1" si="15"/>
        <v>51348</v>
      </c>
      <c r="B123" s="136">
        <f t="shared" ca="1" si="12"/>
        <v>51440</v>
      </c>
      <c r="C123" s="101">
        <f ca="1">IF(Swap!$G$26="Standard",B123,A123)</f>
        <v>51440</v>
      </c>
      <c r="D123" s="147">
        <v>0</v>
      </c>
      <c r="E123" s="112">
        <f t="shared" ca="1" si="21"/>
        <v>-100000000</v>
      </c>
      <c r="F123" s="112">
        <f ca="1">-Stream1!F123</f>
        <v>-100000000</v>
      </c>
      <c r="G123" s="112">
        <f t="shared" ca="1" si="16"/>
        <v>-100000000</v>
      </c>
      <c r="H123" s="152" t="str">
        <f t="shared" ca="1" si="18"/>
        <v>Coupon</v>
      </c>
      <c r="I123" s="168">
        <f ca="1">IF(C123="#N/A",0,_xll.HLV5r3.Financial.Cache.GetValueFromBase(Stream2DiscountCurve, Swap!$F$4, Stream2!C123))</f>
        <v>0.32820790596781418</v>
      </c>
      <c r="J123" s="117">
        <f ca="1">IF(C123="#N/A","#N/A",_xll.HLV5r3.Financial.Cache.GetValueFromBase( Stream2ForwardCurve, Swap!$F$4, A123))</f>
        <v>0.33178348223075338</v>
      </c>
      <c r="K123" s="169">
        <f ca="1">IF(C123="#N/A","#N/A",_xll.HLV5r3.Financial.Cache.GetValueFromBase( Stream2ForwardCurve, Swap!$F$4, B123))</f>
        <v>0.32820790596781418</v>
      </c>
      <c r="L123" s="115">
        <f ca="1" xml:space="preserve"> IF(G123=0,0,_xll.HLV5r3.Financial.Cache.YearFraction( A123, B123,Swap!$G$25))</f>
        <v>0.25205479452054796</v>
      </c>
      <c r="M123" s="143">
        <f ca="1">IF(J123="#N/A",0,IF($B$2="Fixed",Stream2FixedRate,_xll.HLV5r3.Analytics.Rates.GetRate(J123,K123,L123)+Stream2Spread))</f>
        <v>4.3221719878398714E-2</v>
      </c>
      <c r="N123" s="186">
        <f ca="1">IF(L123="#N/A",L123,IF(Swap!$G$26="Standard",L123*G123*M123,L123*G123*M123/(1+Stream2!L123*Stream2!M123)))</f>
        <v>-1089424.1722774471</v>
      </c>
      <c r="O123" s="186">
        <f t="shared" ca="1" si="13"/>
        <v>-357557.62629390013</v>
      </c>
      <c r="P123" s="186">
        <f ca="1">IF($B$2="FIXED",0,IF(Swap!$G$26="FRA",_xll.HLV5r3.Analytics.Swaps.Delta0DiscountCoupon( G123, L123, M123, I123),_xll.HLV5r3.Analytics.Swaps.Delta0Coupon( G123, L123, M123, I123)))</f>
        <v>827.26376298736727</v>
      </c>
      <c r="Q123" s="180">
        <f ca="1">IF(U123=0,0,_xll.HLV5r3.Analytics.Swaps.Delta1ForAnAmount( N123, I123, Stream2CompoundingPeriod, U123))</f>
        <v>-754.06904563752653</v>
      </c>
      <c r="R123" s="79"/>
      <c r="S123" s="101">
        <f t="shared" ca="1" si="19"/>
        <v>51348</v>
      </c>
      <c r="T123" s="101">
        <f t="shared" ca="1" si="20"/>
        <v>51348</v>
      </c>
      <c r="U123" s="173">
        <f ca="1">IF(C123="#N/A",0,_xll.HLV5r3.Financial.Cache.YearFraction( ValuationDate, C123,"ACT/365.FIXED"))</f>
        <v>21.364383561643837</v>
      </c>
      <c r="V123" s="79"/>
      <c r="X123" s="207">
        <f ca="1"/>
        <v>51348</v>
      </c>
    </row>
    <row r="124" spans="1:24">
      <c r="A124" s="136">
        <f t="shared" ca="1" si="15"/>
        <v>51440</v>
      </c>
      <c r="B124" s="136">
        <f t="shared" ca="1" si="12"/>
        <v>51532</v>
      </c>
      <c r="C124" s="101">
        <f ca="1">IF(Swap!$G$26="Standard",B124,A124)</f>
        <v>51532</v>
      </c>
      <c r="D124" s="147">
        <v>0</v>
      </c>
      <c r="E124" s="112">
        <f t="shared" ca="1" si="21"/>
        <v>-100000000</v>
      </c>
      <c r="F124" s="112">
        <f ca="1">-Stream1!F124</f>
        <v>-100000000</v>
      </c>
      <c r="G124" s="112">
        <f t="shared" ca="1" si="16"/>
        <v>-100000000</v>
      </c>
      <c r="H124" s="152" t="str">
        <f t="shared" ca="1" si="18"/>
        <v>Coupon</v>
      </c>
      <c r="I124" s="168">
        <f ca="1">IF(C124="#N/A",0,_xll.HLV5r3.Financial.Cache.GetValueFromBase(Stream2DiscountCurve, Swap!$F$4, Stream2!C124))</f>
        <v>0.32468878319239752</v>
      </c>
      <c r="J124" s="117">
        <f ca="1">IF(C124="#N/A","#N/A",_xll.HLV5r3.Financial.Cache.GetValueFromBase( Stream2ForwardCurve, Swap!$F$4, A124))</f>
        <v>0.32820790596781418</v>
      </c>
      <c r="K124" s="169">
        <f ca="1">IF(C124="#N/A","#N/A",_xll.HLV5r3.Financial.Cache.GetValueFromBase( Stream2ForwardCurve, Swap!$F$4, B124))</f>
        <v>0.32468878319239752</v>
      </c>
      <c r="L124" s="115">
        <f ca="1" xml:space="preserve"> IF(G124=0,0,_xll.HLV5r3.Financial.Cache.YearFraction( A124, B124,Swap!$G$25))</f>
        <v>0.25205479452054796</v>
      </c>
      <c r="M124" s="143">
        <f ca="1">IF(J124="#N/A",0,IF($B$2="Fixed",Stream2FixedRate,_xll.HLV5r3.Analytics.Rates.GetRate(J124,K124,L124)+Stream2Spread))</f>
        <v>4.3000367800955536E-2</v>
      </c>
      <c r="N124" s="186">
        <f ca="1">IF(L124="#N/A",L124,IF(Swap!$G$26="Standard",L124*G124*M124,L124*G124*M124/(1+Stream2!L124*Stream2!M124)))</f>
        <v>-1083844.8870377834</v>
      </c>
      <c r="O124" s="186">
        <f t="shared" ca="1" si="13"/>
        <v>-351912.27754159941</v>
      </c>
      <c r="P124" s="186">
        <f ca="1">IF($B$2="FIXED",0,IF(Swap!$G$26="FRA",_xll.HLV5r3.Analytics.Swaps.Delta0DiscountCoupon( G124, L124, M124, I124),_xll.HLV5r3.Analytics.Swaps.Delta0Coupon( G124, L124, M124, I124)))</f>
        <v>818.3936453068651</v>
      </c>
      <c r="Q124" s="180">
        <f ca="1">IF(U124=0,0,_xll.HLV5r3.Analytics.Swaps.Delta1ForAnAmount( N124, I124, Stream2CompoundingPeriod, U124))</f>
        <v>-750.93955372244864</v>
      </c>
      <c r="R124" s="79"/>
      <c r="S124" s="101">
        <f t="shared" ca="1" si="19"/>
        <v>51440</v>
      </c>
      <c r="T124" s="101">
        <f t="shared" ca="1" si="20"/>
        <v>51440</v>
      </c>
      <c r="U124" s="173">
        <f ca="1">IF(C124="#N/A",0,_xll.HLV5r3.Financial.Cache.YearFraction( ValuationDate, C124,"ACT/365.FIXED"))</f>
        <v>21.616438356164384</v>
      </c>
      <c r="V124" s="79"/>
      <c r="X124" s="207">
        <f ca="1"/>
        <v>51440</v>
      </c>
    </row>
    <row r="125" spans="1:24">
      <c r="A125" s="136">
        <f t="shared" ca="1" si="15"/>
        <v>51532</v>
      </c>
      <c r="B125" s="136">
        <f t="shared" ca="1" si="12"/>
        <v>51621</v>
      </c>
      <c r="C125" s="101">
        <f ca="1">IF(Swap!$G$26="Standard",B125,A125)</f>
        <v>51621</v>
      </c>
      <c r="D125" s="147">
        <v>0</v>
      </c>
      <c r="E125" s="112">
        <f t="shared" ca="1" si="21"/>
        <v>-100000000</v>
      </c>
      <c r="F125" s="112">
        <f ca="1">-Stream1!F125</f>
        <v>-100000000</v>
      </c>
      <c r="G125" s="112">
        <f t="shared" ca="1" si="16"/>
        <v>-100000000</v>
      </c>
      <c r="H125" s="152" t="str">
        <f t="shared" ca="1" si="18"/>
        <v>Coupon</v>
      </c>
      <c r="I125" s="168">
        <f ca="1">IF(C125="#N/A",0,_xll.HLV5r3.Financial.Cache.GetValueFromBase(Stream2DiscountCurve, Swap!$F$4, Stream2!C125))</f>
        <v>0.32133720368239177</v>
      </c>
      <c r="J125" s="117">
        <f ca="1">IF(C125="#N/A","#N/A",_xll.HLV5r3.Financial.Cache.GetValueFromBase( Stream2ForwardCurve, Swap!$F$4, A125))</f>
        <v>0.32468878319239752</v>
      </c>
      <c r="K125" s="169">
        <f ca="1">IF(C125="#N/A","#N/A",_xll.HLV5r3.Financial.Cache.GetValueFromBase( Stream2ForwardCurve, Swap!$F$4, B125))</f>
        <v>0.32133720368239177</v>
      </c>
      <c r="L125" s="115">
        <f ca="1" xml:space="preserve"> IF(G125=0,0,_xll.HLV5r3.Financial.Cache.YearFraction( A125, B125,Swap!$G$25))</f>
        <v>0.24383561643835616</v>
      </c>
      <c r="M125" s="143">
        <f ca="1">IF(J125="#N/A",0,IF($B$2="Fixed",Stream2FixedRate,_xll.HLV5r3.Analytics.Rates.GetRate(J125,K125,L125)+Stream2Spread))</f>
        <v>4.2775133576765975E-2</v>
      </c>
      <c r="N125" s="186">
        <f ca="1">IF(L125="#N/A",L125,IF(Swap!$G$26="Standard",L125*G125*M125,L125*G125*M125/(1+Stream2!L125*Stream2!M125)))</f>
        <v>-1043010.1063923758</v>
      </c>
      <c r="O125" s="186">
        <f t="shared" ca="1" si="13"/>
        <v>-335157.95100059995</v>
      </c>
      <c r="P125" s="186">
        <f ca="1">IF($B$2="FIXED",0,IF(Swap!$G$26="FRA",_xll.HLV5r3.Analytics.Swaps.Delta0DiscountCoupon( G125, L125, M125, I125),_xll.HLV5r3.Analytics.Swaps.Delta0Coupon( G125, L125, M125, I125)))</f>
        <v>783.53455144473605</v>
      </c>
      <c r="Q125" s="180">
        <f ca="1">IF(U125=0,0,_xll.HLV5r3.Analytics.Swaps.Delta1ForAnAmount( N125, I125, Stream2CompoundingPeriod, U125))</f>
        <v>-723.27405985828159</v>
      </c>
      <c r="R125" s="79"/>
      <c r="S125" s="101">
        <f t="shared" ca="1" si="19"/>
        <v>51532</v>
      </c>
      <c r="T125" s="101">
        <f t="shared" ca="1" si="20"/>
        <v>51532</v>
      </c>
      <c r="U125" s="173">
        <f ca="1">IF(C125="#N/A",0,_xll.HLV5r3.Financial.Cache.YearFraction( ValuationDate, C125,"ACT/365.FIXED"))</f>
        <v>21.860273972602741</v>
      </c>
      <c r="V125" s="79"/>
      <c r="X125" s="207">
        <f ca="1"/>
        <v>51532</v>
      </c>
    </row>
    <row r="126" spans="1:24">
      <c r="A126" s="136">
        <f t="shared" ca="1" si="15"/>
        <v>51621</v>
      </c>
      <c r="B126" s="136">
        <f t="shared" ca="1" si="12"/>
        <v>51713</v>
      </c>
      <c r="C126" s="101">
        <f ca="1">IF(Swap!$G$26="Standard",B126,A126)</f>
        <v>51713</v>
      </c>
      <c r="D126" s="147">
        <v>0</v>
      </c>
      <c r="E126" s="112">
        <f t="shared" ca="1" si="21"/>
        <v>-100000000</v>
      </c>
      <c r="F126" s="112">
        <f ca="1">-Stream1!F126</f>
        <v>-100000000</v>
      </c>
      <c r="G126" s="112">
        <f t="shared" ca="1" si="16"/>
        <v>-100000000</v>
      </c>
      <c r="H126" s="152" t="str">
        <f t="shared" ca="1" si="18"/>
        <v>Coupon</v>
      </c>
      <c r="I126" s="168">
        <f ca="1">IF(C126="#N/A",0,_xll.HLV5r3.Financial.Cache.GetValueFromBase(Stream2DiscountCurve, Swap!$F$4, Stream2!C126))</f>
        <v>0.31792627290909498</v>
      </c>
      <c r="J126" s="117">
        <f ca="1">IF(C126="#N/A","#N/A",_xll.HLV5r3.Financial.Cache.GetValueFromBase( Stream2ForwardCurve, Swap!$F$4, A126))</f>
        <v>0.32133720368239177</v>
      </c>
      <c r="K126" s="169">
        <f ca="1">IF(C126="#N/A","#N/A",_xll.HLV5r3.Financial.Cache.GetValueFromBase( Stream2ForwardCurve, Swap!$F$4, B126))</f>
        <v>0.31792627290909498</v>
      </c>
      <c r="L126" s="115">
        <f ca="1" xml:space="preserve"> IF(G126=0,0,_xll.HLV5r3.Financial.Cache.YearFraction( A126, B126,Swap!$G$25))</f>
        <v>0.25205479452054796</v>
      </c>
      <c r="M126" s="143">
        <f ca="1">IF(J126="#N/A",0,IF($B$2="Fixed",Stream2FixedRate,_xll.HLV5r3.Analytics.Rates.GetRate(J126,K126,L126)+Stream2Spread))</f>
        <v>4.256489080278144E-2</v>
      </c>
      <c r="N126" s="186">
        <f ca="1">IF(L126="#N/A",L126,IF(Swap!$G$26="Standard",L126*G126*M126,L126*G126*M126/(1+Stream2!L126*Stream2!M126)))</f>
        <v>-1072868.4805084637</v>
      </c>
      <c r="O126" s="186">
        <f t="shared" ca="1" si="13"/>
        <v>-341093.07732969988</v>
      </c>
      <c r="P126" s="186">
        <f ca="1">IF($B$2="FIXED",0,IF(Swap!$G$26="FRA",_xll.HLV5r3.Analytics.Swaps.Delta0DiscountCoupon( G126, L126, M126, I126),_xll.HLV5r3.Analytics.Swaps.Delta0Coupon( G126, L126, M126, I126)))</f>
        <v>801.34841390785584</v>
      </c>
      <c r="Q126" s="180">
        <f ca="1">IF(U126=0,0,_xll.HLV5r3.Analytics.Swaps.Delta1ForAnAmount( N126, I126, Stream2CompoundingPeriod, U126))</f>
        <v>-744.58943995065124</v>
      </c>
      <c r="R126" s="79"/>
      <c r="S126" s="101">
        <f t="shared" ca="1" si="19"/>
        <v>51621</v>
      </c>
      <c r="T126" s="101">
        <f t="shared" ca="1" si="20"/>
        <v>51621</v>
      </c>
      <c r="U126" s="173">
        <f ca="1">IF(C126="#N/A",0,_xll.HLV5r3.Financial.Cache.YearFraction( ValuationDate, C126,"ACT/365.FIXED"))</f>
        <v>22.112328767123287</v>
      </c>
      <c r="V126" s="79"/>
      <c r="X126" s="207">
        <f ca="1"/>
        <v>51621</v>
      </c>
    </row>
    <row r="127" spans="1:24">
      <c r="A127" s="136">
        <f t="shared" ca="1" si="15"/>
        <v>51713</v>
      </c>
      <c r="B127" s="136">
        <f t="shared" ca="1" si="12"/>
        <v>51805</v>
      </c>
      <c r="C127" s="101">
        <f ca="1">IF(Swap!$G$26="Standard",B127,A127)</f>
        <v>51805</v>
      </c>
      <c r="D127" s="147">
        <v>0</v>
      </c>
      <c r="E127" s="112">
        <f t="shared" ca="1" si="21"/>
        <v>-100000000</v>
      </c>
      <c r="F127" s="112">
        <f ca="1">-Stream1!F127</f>
        <v>-100000000</v>
      </c>
      <c r="G127" s="112">
        <f t="shared" ca="1" si="16"/>
        <v>-100000000</v>
      </c>
      <c r="H127" s="152" t="str">
        <f t="shared" ca="1" si="18"/>
        <v>Coupon</v>
      </c>
      <c r="I127" s="168">
        <f ca="1">IF(C127="#N/A",0,_xll.HLV5r3.Financial.Cache.GetValueFromBase(Stream2DiscountCurve, Swap!$F$4, Stream2!C127))</f>
        <v>0.31456891216004679</v>
      </c>
      <c r="J127" s="117">
        <f ca="1">IF(C127="#N/A","#N/A",_xll.HLV5r3.Financial.Cache.GetValueFromBase( Stream2ForwardCurve, Swap!$F$4, A127))</f>
        <v>0.31792627290909498</v>
      </c>
      <c r="K127" s="169">
        <f ca="1">IF(C127="#N/A","#N/A",_xll.HLV5r3.Financial.Cache.GetValueFromBase( Stream2ForwardCurve, Swap!$F$4, B127))</f>
        <v>0.31456891216004679</v>
      </c>
      <c r="L127" s="115">
        <f ca="1" xml:space="preserve"> IF(G127=0,0,_xll.HLV5r3.Financial.Cache.YearFraction( A127, B127,Swap!$G$25))</f>
        <v>0.25205479452054796</v>
      </c>
      <c r="M127" s="143">
        <f ca="1">IF(J127="#N/A",0,IF($B$2="Fixed",Stream2FixedRate,_xll.HLV5r3.Analytics.Rates.GetRate(J127,K127,L127)+Stream2Spread))</f>
        <v>4.2343548031710074E-2</v>
      </c>
      <c r="N127" s="186">
        <f ca="1">IF(L127="#N/A",L127,IF(Swap!$G$26="Standard",L127*G127*M127,L127*G127*M127/(1+Stream2!L127*Stream2!M127)))</f>
        <v>-1067289.4298403636</v>
      </c>
      <c r="O127" s="186">
        <f t="shared" ca="1" si="13"/>
        <v>-335736.07490479975</v>
      </c>
      <c r="P127" s="186">
        <f ca="1">IF($B$2="FIXED",0,IF(Swap!$G$26="FRA",_xll.HLV5r3.Analytics.Swaps.Delta0DiscountCoupon( G127, L127, M127, I127),_xll.HLV5r3.Analytics.Swaps.Delta0Coupon( G127, L127, M127, I127)))</f>
        <v>792.88602517052891</v>
      </c>
      <c r="Q127" s="180">
        <f ca="1">IF(U127=0,0,_xll.HLV5r3.Analytics.Swaps.Delta1ForAnAmount( N127, I127, Stream2CompoundingPeriod, U127))</f>
        <v>-741.26952921807538</v>
      </c>
      <c r="R127" s="79"/>
      <c r="S127" s="101">
        <f t="shared" ca="1" si="19"/>
        <v>51713</v>
      </c>
      <c r="T127" s="101">
        <f t="shared" ca="1" si="20"/>
        <v>51713</v>
      </c>
      <c r="U127" s="173">
        <f ca="1">IF(C127="#N/A",0,_xll.HLV5r3.Financial.Cache.YearFraction( ValuationDate, C127,"ACT/365.FIXED"))</f>
        <v>22.364383561643837</v>
      </c>
      <c r="V127" s="79"/>
      <c r="X127" s="207">
        <f ca="1"/>
        <v>51713</v>
      </c>
    </row>
    <row r="128" spans="1:24">
      <c r="A128" s="136">
        <f t="shared" ca="1" si="15"/>
        <v>51805</v>
      </c>
      <c r="B128" s="136">
        <f t="shared" ca="1" si="12"/>
        <v>51897</v>
      </c>
      <c r="C128" s="101">
        <f ca="1">IF(Swap!$G$26="Standard",B128,A128)</f>
        <v>51897</v>
      </c>
      <c r="D128" s="147">
        <v>0</v>
      </c>
      <c r="E128" s="112">
        <f t="shared" ca="1" si="21"/>
        <v>-100000000</v>
      </c>
      <c r="F128" s="112">
        <f ca="1">-Stream1!F128</f>
        <v>-100000000</v>
      </c>
      <c r="G128" s="112">
        <f t="shared" ca="1" si="16"/>
        <v>-100000000</v>
      </c>
      <c r="H128" s="152" t="str">
        <f t="shared" ca="1" si="18"/>
        <v>Coupon</v>
      </c>
      <c r="I128" s="168">
        <f ca="1">IF(C128="#N/A",0,_xll.HLV5r3.Financial.Cache.GetValueFromBase(Stream2DiscountCurve, Swap!$F$4, Stream2!C128))</f>
        <v>0.3112641877262291</v>
      </c>
      <c r="J128" s="117">
        <f ca="1">IF(C128="#N/A","#N/A",_xll.HLV5r3.Financial.Cache.GetValueFromBase( Stream2ForwardCurve, Swap!$F$4, A128))</f>
        <v>0.31456891216004679</v>
      </c>
      <c r="K128" s="169">
        <f ca="1">IF(C128="#N/A","#N/A",_xll.HLV5r3.Financial.Cache.GetValueFromBase( Stream2ForwardCurve, Swap!$F$4, B128))</f>
        <v>0.3112641877262291</v>
      </c>
      <c r="L128" s="115">
        <f ca="1" xml:space="preserve"> IF(G128=0,0,_xll.HLV5r3.Financial.Cache.YearFraction( A128, B128,Swap!$G$25))</f>
        <v>0.25205479452054796</v>
      </c>
      <c r="M128" s="143">
        <f ca="1">IF(J128="#N/A",0,IF($B$2="Fixed",Stream2FixedRate,_xll.HLV5r3.Analytics.Rates.GetRate(J128,K128,L128)+Stream2Spread))</f>
        <v>4.212220839721903E-2</v>
      </c>
      <c r="N128" s="186">
        <f ca="1">IF(L128="#N/A",L128,IF(Swap!$G$26="Standard",L128*G128*M128,L128*G128*M128/(1+Stream2!L128*Stream2!M128)))</f>
        <v>-1061710.4582312743</v>
      </c>
      <c r="O128" s="186">
        <f t="shared" ca="1" si="13"/>
        <v>-330472.44338180008</v>
      </c>
      <c r="P128" s="186">
        <f ca="1">IF($B$2="FIXED",0,IF(Swap!$G$26="FRA",_xll.HLV5r3.Analytics.Swaps.Delta0DiscountCoupon( G128, L128, M128, I128),_xll.HLV5r3.Analytics.Swaps.Delta0Coupon( G128, L128, M128, I128)))</f>
        <v>784.5563087893994</v>
      </c>
      <c r="Q128" s="180">
        <f ca="1">IF(U128=0,0,_xll.HLV5r3.Analytics.Swaps.Delta1ForAnAmount( N128, I128, Stream2CompoundingPeriod, U128))</f>
        <v>-737.89130983286543</v>
      </c>
      <c r="R128" s="79"/>
      <c r="S128" s="101">
        <f t="shared" ca="1" si="19"/>
        <v>51805</v>
      </c>
      <c r="T128" s="101">
        <f t="shared" ca="1" si="20"/>
        <v>51805</v>
      </c>
      <c r="U128" s="173">
        <f ca="1">IF(C128="#N/A",0,_xll.HLV5r3.Financial.Cache.YearFraction( ValuationDate, C128,"ACT/365.FIXED"))</f>
        <v>22.616438356164384</v>
      </c>
      <c r="V128" s="79"/>
      <c r="X128" s="207">
        <f ca="1"/>
        <v>51805</v>
      </c>
    </row>
    <row r="129" spans="1:24">
      <c r="A129" s="136">
        <f t="shared" ca="1" si="15"/>
        <v>51897</v>
      </c>
      <c r="B129" s="136">
        <f t="shared" ca="1" si="12"/>
        <v>51986</v>
      </c>
      <c r="C129" s="101">
        <f ca="1">IF(Swap!$G$26="Standard",B129,A129)</f>
        <v>51986</v>
      </c>
      <c r="D129" s="147">
        <v>0</v>
      </c>
      <c r="E129" s="112">
        <f t="shared" ca="1" si="21"/>
        <v>-100000000</v>
      </c>
      <c r="F129" s="112">
        <f ca="1">-Stream1!F129</f>
        <v>-100000000</v>
      </c>
      <c r="G129" s="112">
        <f t="shared" ca="1" si="16"/>
        <v>-100000000</v>
      </c>
      <c r="H129" s="152" t="str">
        <f t="shared" ca="1" si="18"/>
        <v>Coupon</v>
      </c>
      <c r="I129" s="168">
        <f ca="1">IF(C129="#N/A",0,_xll.HLV5r3.Financial.Cache.GetValueFromBase(Stream2DiscountCurve, Swap!$F$4, Stream2!C129))</f>
        <v>0.30811645412509175</v>
      </c>
      <c r="J129" s="117">
        <f ca="1">IF(C129="#N/A","#N/A",_xll.HLV5r3.Financial.Cache.GetValueFromBase( Stream2ForwardCurve, Swap!$F$4, A129))</f>
        <v>0.3112641877262291</v>
      </c>
      <c r="K129" s="169">
        <f ca="1">IF(C129="#N/A","#N/A",_xll.HLV5r3.Financial.Cache.GetValueFromBase( Stream2ForwardCurve, Swap!$F$4, B129))</f>
        <v>0.30811645412509175</v>
      </c>
      <c r="L129" s="115">
        <f ca="1" xml:space="preserve"> IF(G129=0,0,_xll.HLV5r3.Financial.Cache.YearFraction( A129, B129,Swap!$G$25))</f>
        <v>0.24383561643835616</v>
      </c>
      <c r="M129" s="143">
        <f ca="1">IF(J129="#N/A",0,IF($B$2="Fixed",Stream2FixedRate,_xll.HLV5r3.Analytics.Rates.GetRate(J129,K129,L129)+Stream2Spread))</f>
        <v>4.1897290362649095E-2</v>
      </c>
      <c r="N129" s="186">
        <f ca="1">IF(L129="#N/A",L129,IF(Swap!$G$26="Standard",L129*G129*M129,L129*G129*M129/(1+Stream2!L129*Stream2!M129)))</f>
        <v>-1021605.1622673341</v>
      </c>
      <c r="O129" s="186">
        <f t="shared" ca="1" si="13"/>
        <v>-314773.36011369998</v>
      </c>
      <c r="P129" s="186">
        <f ca="1">IF($B$2="FIXED",0,IF(Swap!$G$26="FRA",_xll.HLV5r3.Analytics.Swaps.Delta0DiscountCoupon( G129, L129, M129, I129),_xll.HLV5r3.Analytics.Swaps.Delta0Coupon( G129, L129, M129, I129)))</f>
        <v>751.29765526392237</v>
      </c>
      <c r="Q129" s="180">
        <f ca="1">IF(U129=0,0,_xll.HLV5r3.Analytics.Swaps.Delta1ForAnAmount( N129, I129, Stream2CompoundingPeriod, U129))</f>
        <v>-710.43389571404055</v>
      </c>
      <c r="R129" s="79"/>
      <c r="S129" s="101">
        <f t="shared" ca="1" si="19"/>
        <v>51897</v>
      </c>
      <c r="T129" s="101">
        <f t="shared" ca="1" si="20"/>
        <v>51897</v>
      </c>
      <c r="U129" s="173">
        <f ca="1">IF(C129="#N/A",0,_xll.HLV5r3.Financial.Cache.YearFraction( ValuationDate, C129,"ACT/365.FIXED"))</f>
        <v>22.860273972602741</v>
      </c>
      <c r="V129" s="79"/>
      <c r="X129" s="207">
        <f ca="1"/>
        <v>51897</v>
      </c>
    </row>
    <row r="130" spans="1:24">
      <c r="A130" s="136">
        <f t="shared" ca="1" si="15"/>
        <v>51986</v>
      </c>
      <c r="B130" s="136">
        <f t="shared" ca="1" si="12"/>
        <v>52078</v>
      </c>
      <c r="C130" s="101">
        <f ca="1">IF(Swap!$G$26="Standard",B130,A130)</f>
        <v>52078</v>
      </c>
      <c r="D130" s="147">
        <v>0</v>
      </c>
      <c r="E130" s="112">
        <f t="shared" ca="1" si="21"/>
        <v>-100000000</v>
      </c>
      <c r="F130" s="112">
        <f ca="1">-Stream1!F130</f>
        <v>-100000000</v>
      </c>
      <c r="G130" s="112">
        <f t="shared" ca="1" si="16"/>
        <v>-100000000</v>
      </c>
      <c r="H130" s="152" t="str">
        <f t="shared" ca="1" si="18"/>
        <v>Coupon</v>
      </c>
      <c r="I130" s="168">
        <f ca="1">IF(C130="#N/A",0,_xll.HLV5r3.Financial.Cache.GetValueFromBase(Stream2DiscountCurve, Swap!$F$4, Stream2!C130))</f>
        <v>0.30491263139748009</v>
      </c>
      <c r="J130" s="117">
        <f ca="1">IF(C130="#N/A","#N/A",_xll.HLV5r3.Financial.Cache.GetValueFromBase( Stream2ForwardCurve, Swap!$F$4, A130))</f>
        <v>0.30811645412509175</v>
      </c>
      <c r="K130" s="169">
        <f ca="1">IF(C130="#N/A","#N/A",_xll.HLV5r3.Financial.Cache.GetValueFromBase( Stream2ForwardCurve, Swap!$F$4, B130))</f>
        <v>0.30491263139748009</v>
      </c>
      <c r="L130" s="115">
        <f ca="1" xml:space="preserve"> IF(G130=0,0,_xll.HLV5r3.Financial.Cache.YearFraction( A130, B130,Swap!$G$25))</f>
        <v>0.25205479452054796</v>
      </c>
      <c r="M130" s="143">
        <f ca="1">IF(J130="#N/A",0,IF($B$2="Fixed",Stream2FixedRate,_xll.HLV5r3.Analytics.Rates.GetRate(J130,K130,L130)+Stream2Spread))</f>
        <v>4.1686755881326962E-2</v>
      </c>
      <c r="N130" s="186">
        <f ca="1">IF(L130="#N/A",L130,IF(Swap!$G$26="Standard",L130*G130*M130,L130*G130*M130/(1+Stream2!L130*Stream2!M130)))</f>
        <v>-1050734.6687896112</v>
      </c>
      <c r="O130" s="186">
        <f t="shared" ca="1" si="13"/>
        <v>-320382.27276120003</v>
      </c>
      <c r="P130" s="186">
        <f ca="1">IF($B$2="FIXED",0,IF(Swap!$G$26="FRA",_xll.HLV5r3.Analytics.Swaps.Delta0DiscountCoupon( G130, L130, M130, I130),_xll.HLV5r3.Analytics.Swaps.Delta0Coupon( G130, L130, M130, I130)))</f>
        <v>768.54690653611431</v>
      </c>
      <c r="Q130" s="180">
        <f ca="1">IF(U130=0,0,_xll.HLV5r3.Analytics.Swaps.Delta1ForAnAmount( N130, I130, Stream2CompoundingPeriod, U130))</f>
        <v>-731.08552016355168</v>
      </c>
      <c r="R130" s="79"/>
      <c r="S130" s="101">
        <f t="shared" ca="1" si="19"/>
        <v>51986</v>
      </c>
      <c r="T130" s="101">
        <f t="shared" ca="1" si="20"/>
        <v>51986</v>
      </c>
      <c r="U130" s="173">
        <f ca="1">IF(C130="#N/A",0,_xll.HLV5r3.Financial.Cache.YearFraction( ValuationDate, C130,"ACT/365.FIXED"))</f>
        <v>23.112328767123287</v>
      </c>
      <c r="V130" s="79"/>
      <c r="X130" s="207">
        <f ca="1"/>
        <v>51986</v>
      </c>
    </row>
    <row r="131" spans="1:24">
      <c r="A131" s="136">
        <f t="shared" ca="1" si="15"/>
        <v>52078</v>
      </c>
      <c r="B131" s="136">
        <f t="shared" ca="1" si="12"/>
        <v>49187</v>
      </c>
      <c r="C131" s="101">
        <f ca="1">IF(Swap!$G$26="Standard",B131,A131)</f>
        <v>49187</v>
      </c>
      <c r="D131" s="147">
        <v>0</v>
      </c>
      <c r="E131" s="112">
        <f t="shared" ca="1" si="21"/>
        <v>-100000000</v>
      </c>
      <c r="F131" s="112">
        <f ca="1">-Stream1!F131</f>
        <v>-100000000</v>
      </c>
      <c r="G131" s="112">
        <f t="shared" ca="1" si="16"/>
        <v>-100000000</v>
      </c>
      <c r="H131" s="152" t="str">
        <f t="shared" ca="1" si="18"/>
        <v>Coupon</v>
      </c>
      <c r="I131" s="168">
        <f ca="1">IF(C131="#N/A",0,_xll.HLV5r3.Financial.Cache.GetValueFromBase(Stream2DiscountCurve, Swap!$F$4, Stream2!C131))</f>
        <v>0.43371969470972427</v>
      </c>
      <c r="J131" s="117">
        <f ca="1">IF(C131="#N/A","#N/A",_xll.HLV5r3.Financial.Cache.GetValueFromBase( Stream2ForwardCurve, Swap!$F$4, A131))</f>
        <v>0.30491263139748009</v>
      </c>
      <c r="K131" s="169">
        <f ca="1">IF(C131="#N/A","#N/A",_xll.HLV5r3.Financial.Cache.GetValueFromBase( Stream2ForwardCurve, Swap!$F$4, B131))</f>
        <v>0.43371969470972427</v>
      </c>
      <c r="L131" s="115">
        <f ca="1" xml:space="preserve"> IF(G131=0,0,_xll.HLV5r3.Financial.Cache.YearFraction( A131, B131,Swap!$G$25))</f>
        <v>-7.9205479452054792</v>
      </c>
      <c r="M131" s="143">
        <f ca="1">IF(J131="#N/A",0,IF($B$2="Fixed",Stream2FixedRate,_xll.HLV5r3.Analytics.Rates.GetRate(J131,K131,L131)+Stream2Spread))</f>
        <v>3.749516837642014E-2</v>
      </c>
      <c r="N131" s="186">
        <f ca="1">IF(L131="#N/A",L131,IF(Swap!$G$26="Standard",L131*G131*M131,L131*G131*M131/(1+Stream2!L131*Stream2!M131)))</f>
        <v>29698227.883898798</v>
      </c>
      <c r="O131" s="186">
        <f t="shared" ca="1" si="13"/>
        <v>12880706.331224408</v>
      </c>
      <c r="P131" s="186">
        <f ca="1">IF($B$2="FIXED",0,IF(Swap!$G$26="FRA",_xll.HLV5r3.Analytics.Swaps.Delta0DiscountCoupon( G131, L131, M131, I131),_xll.HLV5r3.Analytics.Swaps.Delta0Coupon( G131, L131, M131, I131)))</f>
        <v>-34352.976367282543</v>
      </c>
      <c r="Q131" s="180">
        <f ca="1">IF(U131=0,0,_xll.HLV5r3.Analytics.Swaps.Delta1ForAnAmount( N131, I131, Stream2CompoundingPeriod, U131))</f>
        <v>19302.734849025986</v>
      </c>
      <c r="R131" s="79"/>
      <c r="S131" s="101">
        <f t="shared" ca="1" si="19"/>
        <v>52078</v>
      </c>
      <c r="T131" s="101">
        <f t="shared" ca="1" si="20"/>
        <v>52078</v>
      </c>
      <c r="U131" s="173">
        <f ca="1">IF(C131="#N/A",0,_xll.HLV5r3.Financial.Cache.YearFraction( ValuationDate, C131,"ACT/365.FIXED"))</f>
        <v>15.191780821917808</v>
      </c>
      <c r="V131" s="79"/>
      <c r="X131" s="207">
        <f ca="1"/>
        <v>52078</v>
      </c>
    </row>
    <row r="132" spans="1:24">
      <c r="A132" s="136" t="str">
        <f t="shared" ca="1" si="15"/>
        <v>#N/A</v>
      </c>
      <c r="B132" s="136" t="str">
        <f t="shared" ca="1" si="12"/>
        <v>#N/A</v>
      </c>
      <c r="C132" s="101" t="str">
        <f ca="1">IF(Swap!$G$26="Standard",B132,A132)</f>
        <v>#N/A</v>
      </c>
      <c r="D132" s="147">
        <v>0</v>
      </c>
      <c r="E132" s="112">
        <f t="shared" ca="1" si="21"/>
        <v>0</v>
      </c>
      <c r="F132" s="112">
        <f ca="1">-Stream1!F132</f>
        <v>0</v>
      </c>
      <c r="G132" s="112">
        <f t="shared" ca="1" si="16"/>
        <v>0</v>
      </c>
      <c r="H132" s="152" t="str">
        <f t="shared" ca="1" si="18"/>
        <v>#NA</v>
      </c>
      <c r="I132" s="168">
        <f ca="1">IF(C132="#N/A",0,_xll.HLV5r3.Financial.Cache.GetValueFromBase(Stream2DiscountCurve, Swap!$F$4, Stream2!C132))</f>
        <v>0</v>
      </c>
      <c r="J132" s="117" t="str">
        <f ca="1">IF(C132="#N/A","#N/A",_xll.HLV5r3.Financial.Cache.GetValueFromBase( Stream2ForwardCurve, Swap!$F$4, A132))</f>
        <v>#N/A</v>
      </c>
      <c r="K132" s="169" t="str">
        <f ca="1">IF(C132="#N/A","#N/A",_xll.HLV5r3.Financial.Cache.GetValueFromBase( Stream2ForwardCurve, Swap!$F$4, B132))</f>
        <v>#N/A</v>
      </c>
      <c r="L132" s="115">
        <f ca="1" xml:space="preserve"> IF(G132=0,0,_xll.HLV5r3.Financial.Cache.YearFraction( A132, B132,Swap!$G$25))</f>
        <v>0</v>
      </c>
      <c r="M132" s="143">
        <f ca="1">IF(J132="#N/A",0,IF($B$2="Fixed",Stream2FixedRate,_xll.HLV5r3.Analytics.Rates.GetRate(J132,K132,L132)+Stream2Spread))</f>
        <v>0</v>
      </c>
      <c r="N132" s="186">
        <f ca="1">IF(L132="#N/A",L132,IF(Swap!$G$26="Standard",L132*G132*M132,L132*G132*M132/(1+Stream2!L132*Stream2!M132)))</f>
        <v>0</v>
      </c>
      <c r="O132" s="186">
        <f t="shared" ca="1" si="13"/>
        <v>0</v>
      </c>
      <c r="P132" s="186">
        <f ca="1">IF($B$2="FIXED",0,IF(Swap!$G$26="FRA",_xll.HLV5r3.Analytics.Swaps.Delta0DiscountCoupon( G132, L132, M132, I132),_xll.HLV5r3.Analytics.Swaps.Delta0Coupon( G132, L132, M132, I132)))</f>
        <v>0</v>
      </c>
      <c r="Q132" s="180">
        <f ca="1">IF(U132=0,0,_xll.HLV5r3.Analytics.Swaps.Delta1ForAnAmount( N132, I132, Stream2CompoundingPeriod, U132))</f>
        <v>0</v>
      </c>
      <c r="R132" s="79"/>
      <c r="S132" s="101">
        <f t="shared" ca="1" si="19"/>
        <v>52170</v>
      </c>
      <c r="T132" s="101">
        <f t="shared" ca="1" si="20"/>
        <v>52170</v>
      </c>
      <c r="U132" s="173">
        <f ca="1">IF(C132="#N/A",0,_xll.HLV5r3.Financial.Cache.YearFraction( ValuationDate, C132,"ACT/365.FIXED"))</f>
        <v>0</v>
      </c>
      <c r="V132" s="79"/>
      <c r="X132" s="207">
        <f ca="1"/>
        <v>52170</v>
      </c>
    </row>
    <row r="133" spans="1:24">
      <c r="A133" s="136" t="str">
        <f t="shared" ca="1" si="15"/>
        <v>#N/A</v>
      </c>
      <c r="B133" s="136" t="str">
        <f t="shared" ca="1" si="12"/>
        <v>#N/A</v>
      </c>
      <c r="C133" s="101" t="str">
        <f ca="1">IF(Swap!$G$26="Standard",B133,A133)</f>
        <v>#N/A</v>
      </c>
      <c r="D133" s="147">
        <v>0</v>
      </c>
      <c r="E133" s="112">
        <f t="shared" ca="1" si="21"/>
        <v>0</v>
      </c>
      <c r="F133" s="112">
        <f ca="1">-Stream1!F133</f>
        <v>0</v>
      </c>
      <c r="G133" s="112">
        <f t="shared" ca="1" si="16"/>
        <v>0</v>
      </c>
      <c r="H133" s="152" t="str">
        <f t="shared" ca="1" si="18"/>
        <v>#NA</v>
      </c>
      <c r="I133" s="168">
        <f ca="1">IF(C133="#N/A",0,_xll.HLV5r3.Financial.Cache.GetValueFromBase(Stream2DiscountCurve, Swap!$F$4, Stream2!C133))</f>
        <v>0</v>
      </c>
      <c r="J133" s="117" t="str">
        <f ca="1">IF(C133="#N/A","#N/A",_xll.HLV5r3.Financial.Cache.GetValueFromBase( Stream2ForwardCurve, Swap!$F$4, A133))</f>
        <v>#N/A</v>
      </c>
      <c r="K133" s="169" t="str">
        <f ca="1">IF(C133="#N/A","#N/A",_xll.HLV5r3.Financial.Cache.GetValueFromBase( Stream2ForwardCurve, Swap!$F$4, B133))</f>
        <v>#N/A</v>
      </c>
      <c r="L133" s="115">
        <f ca="1" xml:space="preserve"> IF(G133=0,0,_xll.HLV5r3.Financial.Cache.YearFraction( A133, B133,Swap!$G$25))</f>
        <v>0</v>
      </c>
      <c r="M133" s="143">
        <f ca="1">IF(J133="#N/A",0,IF($B$2="Fixed",Stream2FixedRate,_xll.HLV5r3.Analytics.Rates.GetRate(J133,K133,L133)+Stream2Spread))</f>
        <v>0</v>
      </c>
      <c r="N133" s="186">
        <f ca="1">IF(L133="#N/A",L133,IF(Swap!$G$26="Standard",L133*G133*M133,L133*G133*M133/(1+Stream2!L133*Stream2!M133)))</f>
        <v>0</v>
      </c>
      <c r="O133" s="186">
        <f t="shared" ca="1" si="13"/>
        <v>0</v>
      </c>
      <c r="P133" s="186">
        <f ca="1">IF($B$2="FIXED",0,IF(Swap!$G$26="FRA",_xll.HLV5r3.Analytics.Swaps.Delta0DiscountCoupon( G133, L133, M133, I133),_xll.HLV5r3.Analytics.Swaps.Delta0Coupon( G133, L133, M133, I133)))</f>
        <v>0</v>
      </c>
      <c r="Q133" s="180">
        <f ca="1">IF(U133=0,0,_xll.HLV5r3.Analytics.Swaps.Delta1ForAnAmount( N133, I133, Stream2CompoundingPeriod, U133))</f>
        <v>0</v>
      </c>
      <c r="R133" s="79"/>
      <c r="S133" s="101" t="str">
        <f t="shared" ca="1" si="19"/>
        <v>#N/A</v>
      </c>
      <c r="T133" s="101" t="e">
        <f t="shared" ca="1" si="20"/>
        <v>#N/A</v>
      </c>
      <c r="U133" s="173">
        <f ca="1">IF(C133="#N/A",0,_xll.HLV5r3.Financial.Cache.YearFraction( ValuationDate, C133,"ACT/365.FIXED"))</f>
        <v>0</v>
      </c>
      <c r="V133" s="79"/>
      <c r="X133" s="207" t="e">
        <f ca="1"/>
        <v>#N/A</v>
      </c>
    </row>
    <row r="134" spans="1:24">
      <c r="A134" s="136" t="str">
        <f t="shared" ca="1" si="15"/>
        <v>#N/A</v>
      </c>
      <c r="B134" s="136" t="str">
        <f t="shared" ca="1" si="12"/>
        <v>#N/A</v>
      </c>
      <c r="C134" s="101" t="str">
        <f ca="1">IF(Swap!$G$26="Standard",B134,A134)</f>
        <v>#N/A</v>
      </c>
      <c r="D134" s="147">
        <v>0</v>
      </c>
      <c r="E134" s="112">
        <f t="shared" ca="1" si="21"/>
        <v>0</v>
      </c>
      <c r="F134" s="112">
        <f ca="1">-Stream1!F134</f>
        <v>0</v>
      </c>
      <c r="G134" s="112">
        <f t="shared" ca="1" si="16"/>
        <v>0</v>
      </c>
      <c r="H134" s="152" t="str">
        <f t="shared" ca="1" si="18"/>
        <v>#NA</v>
      </c>
      <c r="I134" s="168">
        <f ca="1">IF(C134="#N/A",0,_xll.HLV5r3.Financial.Cache.GetValueFromBase(Stream2DiscountCurve, Swap!$F$4, Stream2!C134))</f>
        <v>0</v>
      </c>
      <c r="J134" s="117" t="str">
        <f ca="1">IF(C134="#N/A","#N/A",_xll.HLV5r3.Financial.Cache.GetValueFromBase( Stream2ForwardCurve, Swap!$F$4, A134))</f>
        <v>#N/A</v>
      </c>
      <c r="K134" s="169" t="str">
        <f ca="1">IF(C134="#N/A","#N/A",_xll.HLV5r3.Financial.Cache.GetValueFromBase( Stream2ForwardCurve, Swap!$F$4, B134))</f>
        <v>#N/A</v>
      </c>
      <c r="L134" s="115">
        <f ca="1" xml:space="preserve"> IF(G134=0,0,_xll.HLV5r3.Financial.Cache.YearFraction( A134, B134,Swap!$G$25))</f>
        <v>0</v>
      </c>
      <c r="M134" s="143">
        <f ca="1">IF(J134="#N/A",0,IF($B$2="Fixed",Stream2FixedRate,_xll.HLV5r3.Analytics.Rates.GetRate(J134,K134,L134)+Stream2Spread))</f>
        <v>0</v>
      </c>
      <c r="N134" s="186">
        <f ca="1">IF(L134="#N/A",L134,IF(Swap!$G$26="Standard",L134*G134*M134,L134*G134*M134/(1+Stream2!L134*Stream2!M134)))</f>
        <v>0</v>
      </c>
      <c r="O134" s="186">
        <f t="shared" ca="1" si="13"/>
        <v>0</v>
      </c>
      <c r="P134" s="186">
        <f ca="1">IF($B$2="FIXED",0,IF(Swap!$G$26="FRA",_xll.HLV5r3.Analytics.Swaps.Delta0DiscountCoupon( G134, L134, M134, I134),_xll.HLV5r3.Analytics.Swaps.Delta0Coupon( G134, L134, M134, I134)))</f>
        <v>0</v>
      </c>
      <c r="Q134" s="180">
        <f ca="1">IF(U134=0,0,_xll.HLV5r3.Analytics.Swaps.Delta1ForAnAmount( N134, I134, Stream2CompoundingPeriod, U134))</f>
        <v>0</v>
      </c>
      <c r="R134" s="79"/>
      <c r="S134" s="101" t="str">
        <f t="shared" ca="1" si="19"/>
        <v>#N/A</v>
      </c>
      <c r="T134" s="101" t="e">
        <f t="shared" ca="1" si="20"/>
        <v>#N/A</v>
      </c>
      <c r="U134" s="173">
        <f ca="1">IF(C134="#N/A",0,_xll.HLV5r3.Financial.Cache.YearFraction( ValuationDate, C134,"ACT/365.FIXED"))</f>
        <v>0</v>
      </c>
      <c r="V134" s="79"/>
      <c r="X134" s="207" t="e">
        <f ca="1"/>
        <v>#N/A</v>
      </c>
    </row>
    <row r="135" spans="1:24">
      <c r="A135" s="136" t="str">
        <f t="shared" ca="1" si="15"/>
        <v>#N/A</v>
      </c>
      <c r="B135" s="136" t="str">
        <f t="shared" ca="1" si="12"/>
        <v>#N/A</v>
      </c>
      <c r="C135" s="101" t="str">
        <f ca="1">IF(Swap!$G$26="Standard",B135,A135)</f>
        <v>#N/A</v>
      </c>
      <c r="D135" s="147">
        <v>0</v>
      </c>
      <c r="E135" s="112">
        <f t="shared" ca="1" si="21"/>
        <v>0</v>
      </c>
      <c r="F135" s="112">
        <f ca="1">-Stream1!F135</f>
        <v>0</v>
      </c>
      <c r="G135" s="112">
        <f t="shared" ca="1" si="16"/>
        <v>0</v>
      </c>
      <c r="H135" s="152" t="str">
        <f t="shared" ca="1" si="18"/>
        <v>#NA</v>
      </c>
      <c r="I135" s="168">
        <f ca="1">IF(C135="#N/A",0,_xll.HLV5r3.Financial.Cache.GetValueFromBase(Stream2DiscountCurve, Swap!$F$4, Stream2!C135))</f>
        <v>0</v>
      </c>
      <c r="J135" s="117" t="str">
        <f ca="1">IF(C135="#N/A","#N/A",_xll.HLV5r3.Financial.Cache.GetValueFromBase( Stream2ForwardCurve, Swap!$F$4, A135))</f>
        <v>#N/A</v>
      </c>
      <c r="K135" s="169" t="str">
        <f ca="1">IF(C135="#N/A","#N/A",_xll.HLV5r3.Financial.Cache.GetValueFromBase( Stream2ForwardCurve, Swap!$F$4, B135))</f>
        <v>#N/A</v>
      </c>
      <c r="L135" s="115">
        <f ca="1" xml:space="preserve"> IF(G135=0,0,_xll.HLV5r3.Financial.Cache.YearFraction( A135, B135,Swap!$G$25))</f>
        <v>0</v>
      </c>
      <c r="M135" s="143">
        <f ca="1">IF(J135="#N/A",0,IF($B$2="Fixed",Stream2FixedRate,_xll.HLV5r3.Analytics.Rates.GetRate(J135,K135,L135)+Stream2Spread))</f>
        <v>0</v>
      </c>
      <c r="N135" s="186">
        <f ca="1">IF(L135="#N/A",L135,IF(Swap!$G$26="Standard",L135*G135*M135,L135*G135*M135/(1+Stream2!L135*Stream2!M135)))</f>
        <v>0</v>
      </c>
      <c r="O135" s="186">
        <f t="shared" ca="1" si="13"/>
        <v>0</v>
      </c>
      <c r="P135" s="186">
        <f ca="1">IF($B$2="FIXED",0,IF(Swap!$G$26="FRA",_xll.HLV5r3.Analytics.Swaps.Delta0DiscountCoupon( G135, L135, M135, I135),_xll.HLV5r3.Analytics.Swaps.Delta0Coupon( G135, L135, M135, I135)))</f>
        <v>0</v>
      </c>
      <c r="Q135" s="180">
        <f ca="1">IF(U135=0,0,_xll.HLV5r3.Analytics.Swaps.Delta1ForAnAmount( N135, I135, Stream2CompoundingPeriod, U135))</f>
        <v>0</v>
      </c>
      <c r="R135" s="79"/>
      <c r="S135" s="101" t="str">
        <f t="shared" ca="1" si="19"/>
        <v>#N/A</v>
      </c>
      <c r="T135" s="101" t="e">
        <f t="shared" ca="1" si="20"/>
        <v>#N/A</v>
      </c>
      <c r="U135" s="173">
        <f ca="1">IF(C135="#N/A",0,_xll.HLV5r3.Financial.Cache.YearFraction( ValuationDate, C135,"ACT/365.FIXED"))</f>
        <v>0</v>
      </c>
      <c r="V135" s="79"/>
      <c r="X135" s="207" t="e">
        <f ca="1"/>
        <v>#N/A</v>
      </c>
    </row>
    <row r="136" spans="1:24">
      <c r="A136" s="136" t="str">
        <f t="shared" ca="1" si="15"/>
        <v>#N/A</v>
      </c>
      <c r="B136" s="136" t="str">
        <f t="shared" ca="1" si="12"/>
        <v>#N/A</v>
      </c>
      <c r="C136" s="101" t="str">
        <f ca="1">IF(Swap!$G$26="Standard",B136,A136)</f>
        <v>#N/A</v>
      </c>
      <c r="D136" s="147">
        <v>0</v>
      </c>
      <c r="E136" s="112">
        <f t="shared" ca="1" si="21"/>
        <v>0</v>
      </c>
      <c r="F136" s="112">
        <f ca="1">-Stream1!F136</f>
        <v>0</v>
      </c>
      <c r="G136" s="112">
        <f t="shared" ca="1" si="16"/>
        <v>0</v>
      </c>
      <c r="H136" s="152" t="str">
        <f t="shared" ca="1" si="18"/>
        <v>#NA</v>
      </c>
      <c r="I136" s="168">
        <f ca="1">IF(C136="#N/A",0,_xll.HLV5r3.Financial.Cache.GetValueFromBase(Stream2DiscountCurve, Swap!$F$4, Stream2!C136))</f>
        <v>0</v>
      </c>
      <c r="J136" s="117" t="str">
        <f ca="1">IF(C136="#N/A","#N/A",_xll.HLV5r3.Financial.Cache.GetValueFromBase( Stream2ForwardCurve, Swap!$F$4, A136))</f>
        <v>#N/A</v>
      </c>
      <c r="K136" s="169" t="str">
        <f ca="1">IF(C136="#N/A","#N/A",_xll.HLV5r3.Financial.Cache.GetValueFromBase( Stream2ForwardCurve, Swap!$F$4, B136))</f>
        <v>#N/A</v>
      </c>
      <c r="L136" s="115">
        <f ca="1" xml:space="preserve"> IF(G136=0,0,_xll.HLV5r3.Financial.Cache.YearFraction( A136, B136,Swap!$G$25))</f>
        <v>0</v>
      </c>
      <c r="M136" s="143">
        <f ca="1">IF(J136="#N/A",0,IF($B$2="Fixed",Stream2FixedRate,_xll.HLV5r3.Analytics.Rates.GetRate(J136,K136,L136)+Stream2Spread))</f>
        <v>0</v>
      </c>
      <c r="N136" s="186">
        <f ca="1">IF(L136="#N/A",L136,IF(Swap!$G$26="Standard",L136*G136*M136,L136*G136*M136/(1+Stream2!L136*Stream2!M136)))</f>
        <v>0</v>
      </c>
      <c r="O136" s="186">
        <f t="shared" ca="1" si="13"/>
        <v>0</v>
      </c>
      <c r="P136" s="186">
        <f ca="1">IF($B$2="FIXED",0,IF(Swap!$G$26="FRA",_xll.HLV5r3.Analytics.Swaps.Delta0DiscountCoupon( G136, L136, M136, I136),_xll.HLV5r3.Analytics.Swaps.Delta0Coupon( G136, L136, M136, I136)))</f>
        <v>0</v>
      </c>
      <c r="Q136" s="180">
        <f ca="1">IF(U136=0,0,_xll.HLV5r3.Analytics.Swaps.Delta1ForAnAmount( N136, I136, Stream2CompoundingPeriod, U136))</f>
        <v>0</v>
      </c>
      <c r="R136" s="79"/>
      <c r="S136" s="101" t="str">
        <f t="shared" ca="1" si="19"/>
        <v>#N/A</v>
      </c>
      <c r="T136" s="101" t="e">
        <f t="shared" ca="1" si="20"/>
        <v>#N/A</v>
      </c>
      <c r="U136" s="173">
        <f ca="1">IF(C136="#N/A",0,_xll.HLV5r3.Financial.Cache.YearFraction( ValuationDate, C136,"ACT/365.FIXED"))</f>
        <v>0</v>
      </c>
      <c r="V136" s="79"/>
      <c r="X136" s="207" t="e">
        <f ca="1"/>
        <v>#N/A</v>
      </c>
    </row>
    <row r="137" spans="1:24">
      <c r="A137" s="136" t="str">
        <f t="shared" ca="1" si="15"/>
        <v>#N/A</v>
      </c>
      <c r="B137" s="136" t="str">
        <f t="shared" ca="1" si="12"/>
        <v>#N/A</v>
      </c>
      <c r="C137" s="101" t="str">
        <f ca="1">IF(Swap!$G$26="Standard",B137,A137)</f>
        <v>#N/A</v>
      </c>
      <c r="D137" s="147">
        <v>0</v>
      </c>
      <c r="E137" s="112">
        <f t="shared" ca="1" si="21"/>
        <v>0</v>
      </c>
      <c r="F137" s="112">
        <f ca="1">-Stream1!F137</f>
        <v>0</v>
      </c>
      <c r="G137" s="112">
        <f t="shared" ca="1" si="16"/>
        <v>0</v>
      </c>
      <c r="H137" s="152" t="str">
        <f t="shared" ca="1" si="18"/>
        <v>#NA</v>
      </c>
      <c r="I137" s="168">
        <f ca="1">IF(C137="#N/A",0,_xll.HLV5r3.Financial.Cache.GetValueFromBase(Stream2DiscountCurve, Swap!$F$4, Stream2!C137))</f>
        <v>0</v>
      </c>
      <c r="J137" s="117" t="str">
        <f ca="1">IF(C137="#N/A","#N/A",_xll.HLV5r3.Financial.Cache.GetValueFromBase( Stream2ForwardCurve, Swap!$F$4, A137))</f>
        <v>#N/A</v>
      </c>
      <c r="K137" s="169" t="str">
        <f ca="1">IF(C137="#N/A","#N/A",_xll.HLV5r3.Financial.Cache.GetValueFromBase( Stream2ForwardCurve, Swap!$F$4, B137))</f>
        <v>#N/A</v>
      </c>
      <c r="L137" s="115">
        <f ca="1" xml:space="preserve"> IF(G137=0,0,_xll.HLV5r3.Financial.Cache.YearFraction( A137, B137,Swap!$G$25))</f>
        <v>0</v>
      </c>
      <c r="M137" s="143">
        <f ca="1">IF(J137="#N/A",0,IF($B$2="Fixed",Stream2FixedRate,_xll.HLV5r3.Analytics.Rates.GetRate(J137,K137,L137)+Stream2Spread))</f>
        <v>0</v>
      </c>
      <c r="N137" s="186">
        <f ca="1">IF(L137="#N/A",L137,IF(Swap!$G$26="Standard",L137*G137*M137,L137*G137*M137/(1+Stream2!L137*Stream2!M137)))</f>
        <v>0</v>
      </c>
      <c r="O137" s="186">
        <f t="shared" ca="1" si="13"/>
        <v>0</v>
      </c>
      <c r="P137" s="186">
        <f ca="1">IF($B$2="FIXED",0,IF(Swap!$G$26="FRA",_xll.HLV5r3.Analytics.Swaps.Delta0DiscountCoupon( G137, L137, M137, I137),_xll.HLV5r3.Analytics.Swaps.Delta0Coupon( G137, L137, M137, I137)))</f>
        <v>0</v>
      </c>
      <c r="Q137" s="180">
        <f ca="1">IF(U137=0,0,_xll.HLV5r3.Analytics.Swaps.Delta1ForAnAmount( N137, I137, Stream2CompoundingPeriod, U137))</f>
        <v>0</v>
      </c>
      <c r="R137" s="79"/>
      <c r="S137" s="101" t="str">
        <f t="shared" ca="1" si="19"/>
        <v>#N/A</v>
      </c>
      <c r="T137" s="101" t="e">
        <f t="shared" ca="1" si="20"/>
        <v>#N/A</v>
      </c>
      <c r="U137" s="173">
        <f ca="1">IF(C137="#N/A",0,_xll.HLV5r3.Financial.Cache.YearFraction( ValuationDate, C137,"ACT/365.FIXED"))</f>
        <v>0</v>
      </c>
      <c r="V137" s="79"/>
      <c r="X137" s="207" t="e">
        <f ca="1"/>
        <v>#N/A</v>
      </c>
    </row>
    <row r="138" spans="1:24">
      <c r="A138" s="136" t="str">
        <f t="shared" ca="1" si="15"/>
        <v>#N/A</v>
      </c>
      <c r="B138" s="136" t="str">
        <f t="shared" ca="1" si="12"/>
        <v>#N/A</v>
      </c>
      <c r="C138" s="101" t="str">
        <f ca="1">IF(Swap!$G$26="Standard",B138,A138)</f>
        <v>#N/A</v>
      </c>
      <c r="D138" s="147">
        <v>0</v>
      </c>
      <c r="E138" s="112">
        <f t="shared" ca="1" si="21"/>
        <v>0</v>
      </c>
      <c r="F138" s="112">
        <f ca="1">-Stream1!F138</f>
        <v>0</v>
      </c>
      <c r="G138" s="112">
        <f t="shared" ca="1" si="16"/>
        <v>0</v>
      </c>
      <c r="H138" s="152" t="str">
        <f t="shared" ca="1" si="18"/>
        <v>#NA</v>
      </c>
      <c r="I138" s="168">
        <f ca="1">IF(C138="#N/A",0,_xll.HLV5r3.Financial.Cache.GetValueFromBase(Stream2DiscountCurve, Swap!$F$4, Stream2!C138))</f>
        <v>0</v>
      </c>
      <c r="J138" s="117" t="str">
        <f ca="1">IF(C138="#N/A","#N/A",_xll.HLV5r3.Financial.Cache.GetValueFromBase( Stream2ForwardCurve, Swap!$F$4, A138))</f>
        <v>#N/A</v>
      </c>
      <c r="K138" s="169" t="str">
        <f ca="1">IF(C138="#N/A","#N/A",_xll.HLV5r3.Financial.Cache.GetValueFromBase( Stream2ForwardCurve, Swap!$F$4, B138))</f>
        <v>#N/A</v>
      </c>
      <c r="L138" s="115">
        <f ca="1" xml:space="preserve"> IF(G138=0,0,_xll.HLV5r3.Financial.Cache.YearFraction( A138, B138,Swap!$G$25))</f>
        <v>0</v>
      </c>
      <c r="M138" s="143">
        <f ca="1">IF(J138="#N/A",0,IF($B$2="Fixed",Stream2FixedRate,_xll.HLV5r3.Analytics.Rates.GetRate(J138,K138,L138)+Stream2Spread))</f>
        <v>0</v>
      </c>
      <c r="N138" s="186">
        <f ca="1">IF(L138="#N/A",L138,IF(Swap!$G$26="Standard",L138*G138*M138,L138*G138*M138/(1+Stream2!L138*Stream2!M138)))</f>
        <v>0</v>
      </c>
      <c r="O138" s="186">
        <f t="shared" ca="1" si="13"/>
        <v>0</v>
      </c>
      <c r="P138" s="186">
        <f ca="1">IF($B$2="FIXED",0,IF(Swap!$G$26="FRA",_xll.HLV5r3.Analytics.Swaps.Delta0DiscountCoupon( G138, L138, M138, I138),_xll.HLV5r3.Analytics.Swaps.Delta0Coupon( G138, L138, M138, I138)))</f>
        <v>0</v>
      </c>
      <c r="Q138" s="180">
        <f ca="1">IF(U138=0,0,_xll.HLV5r3.Analytics.Swaps.Delta1ForAnAmount( N138, I138, Stream2CompoundingPeriod, U138))</f>
        <v>0</v>
      </c>
      <c r="R138" s="79"/>
      <c r="S138" s="101" t="str">
        <f t="shared" ca="1" si="19"/>
        <v>#N/A</v>
      </c>
      <c r="T138" s="101" t="e">
        <f t="shared" ca="1" si="20"/>
        <v>#N/A</v>
      </c>
      <c r="U138" s="173">
        <f ca="1">IF(C138="#N/A",0,_xll.HLV5r3.Financial.Cache.YearFraction( ValuationDate, C138,"ACT/365.FIXED"))</f>
        <v>0</v>
      </c>
      <c r="V138" s="79"/>
      <c r="X138" s="207" t="e">
        <f ca="1"/>
        <v>#N/A</v>
      </c>
    </row>
    <row r="139" spans="1:24">
      <c r="A139" s="136" t="str">
        <f t="shared" ca="1" si="15"/>
        <v>#N/A</v>
      </c>
      <c r="B139" s="136" t="str">
        <f t="shared" ca="1" si="12"/>
        <v>#N/A</v>
      </c>
      <c r="C139" s="101" t="str">
        <f ca="1">IF(Swap!$G$26="Standard",B139,A139)</f>
        <v>#N/A</v>
      </c>
      <c r="D139" s="147">
        <v>0</v>
      </c>
      <c r="E139" s="112">
        <f t="shared" ca="1" si="21"/>
        <v>0</v>
      </c>
      <c r="F139" s="112">
        <f ca="1">-Stream1!F139</f>
        <v>0</v>
      </c>
      <c r="G139" s="112">
        <f t="shared" ca="1" si="16"/>
        <v>0</v>
      </c>
      <c r="H139" s="152" t="str">
        <f t="shared" ca="1" si="18"/>
        <v>#NA</v>
      </c>
      <c r="I139" s="168">
        <f ca="1">IF(C139="#N/A",0,_xll.HLV5r3.Financial.Cache.GetValueFromBase(Stream2DiscountCurve, Swap!$F$4, Stream2!C139))</f>
        <v>0</v>
      </c>
      <c r="J139" s="117" t="str">
        <f ca="1">IF(C139="#N/A","#N/A",_xll.HLV5r3.Financial.Cache.GetValueFromBase( Stream2ForwardCurve, Swap!$F$4, A139))</f>
        <v>#N/A</v>
      </c>
      <c r="K139" s="169" t="str">
        <f ca="1">IF(C139="#N/A","#N/A",_xll.HLV5r3.Financial.Cache.GetValueFromBase( Stream2ForwardCurve, Swap!$F$4, B139))</f>
        <v>#N/A</v>
      </c>
      <c r="L139" s="115">
        <f ca="1" xml:space="preserve"> IF(G139=0,0,_xll.HLV5r3.Financial.Cache.YearFraction( A139, B139,Swap!$G$25))</f>
        <v>0</v>
      </c>
      <c r="M139" s="143">
        <f ca="1">IF(J139="#N/A",0,IF($B$2="Fixed",Stream2FixedRate,_xll.HLV5r3.Analytics.Rates.GetRate(J139,K139,L139)+Stream2Spread))</f>
        <v>0</v>
      </c>
      <c r="N139" s="186">
        <f ca="1">IF(L139="#N/A",L139,IF(Swap!$G$26="Standard",L139*G139*M139,L139*G139*M139/(1+Stream2!L139*Stream2!M139)))</f>
        <v>0</v>
      </c>
      <c r="O139" s="186">
        <f t="shared" ca="1" si="13"/>
        <v>0</v>
      </c>
      <c r="P139" s="186">
        <f ca="1">IF($B$2="FIXED",0,IF(Swap!$G$26="FRA",_xll.HLV5r3.Analytics.Swaps.Delta0DiscountCoupon( G139, L139, M139, I139),_xll.HLV5r3.Analytics.Swaps.Delta0Coupon( G139, L139, M139, I139)))</f>
        <v>0</v>
      </c>
      <c r="Q139" s="180">
        <f ca="1">IF(U139=0,0,_xll.HLV5r3.Analytics.Swaps.Delta1ForAnAmount( N139, I139, Stream2CompoundingPeriod, U139))</f>
        <v>0</v>
      </c>
      <c r="R139" s="79"/>
      <c r="S139" s="101" t="str">
        <f t="shared" ca="1" si="19"/>
        <v>#N/A</v>
      </c>
      <c r="T139" s="101" t="e">
        <f t="shared" ca="1" si="20"/>
        <v>#N/A</v>
      </c>
      <c r="U139" s="173">
        <f ca="1">IF(C139="#N/A",0,_xll.HLV5r3.Financial.Cache.YearFraction( ValuationDate, C139,"ACT/365.FIXED"))</f>
        <v>0</v>
      </c>
      <c r="V139" s="79"/>
      <c r="X139" s="207" t="e">
        <f ca="1"/>
        <v>#N/A</v>
      </c>
    </row>
    <row r="140" spans="1:24">
      <c r="A140" s="136" t="str">
        <f t="shared" ca="1" si="15"/>
        <v>#N/A</v>
      </c>
      <c r="B140" s="136" t="str">
        <f t="shared" ca="1" si="12"/>
        <v>#N/A</v>
      </c>
      <c r="C140" s="101" t="str">
        <f ca="1">IF(Swap!$G$26="Standard",B140,A140)</f>
        <v>#N/A</v>
      </c>
      <c r="D140" s="147">
        <v>0</v>
      </c>
      <c r="E140" s="112">
        <f t="shared" ca="1" si="21"/>
        <v>0</v>
      </c>
      <c r="F140" s="112">
        <f ca="1">-Stream1!F140</f>
        <v>0</v>
      </c>
      <c r="G140" s="112">
        <f t="shared" ca="1" si="16"/>
        <v>0</v>
      </c>
      <c r="H140" s="152" t="str">
        <f t="shared" ca="1" si="18"/>
        <v>#NA</v>
      </c>
      <c r="I140" s="168">
        <f ca="1">IF(C140="#N/A",0,_xll.HLV5r3.Financial.Cache.GetValueFromBase(Stream2DiscountCurve, Swap!$F$4, Stream2!C140))</f>
        <v>0</v>
      </c>
      <c r="J140" s="117" t="str">
        <f ca="1">IF(C140="#N/A","#N/A",_xll.HLV5r3.Financial.Cache.GetValueFromBase( Stream2ForwardCurve, Swap!$F$4, A140))</f>
        <v>#N/A</v>
      </c>
      <c r="K140" s="169" t="str">
        <f ca="1">IF(C140="#N/A","#N/A",_xll.HLV5r3.Financial.Cache.GetValueFromBase( Stream2ForwardCurve, Swap!$F$4, B140))</f>
        <v>#N/A</v>
      </c>
      <c r="L140" s="115">
        <f ca="1" xml:space="preserve"> IF(G140=0,0,_xll.HLV5r3.Financial.Cache.YearFraction( A140, B140,Swap!$G$25))</f>
        <v>0</v>
      </c>
      <c r="M140" s="143">
        <f ca="1">IF(J140="#N/A",0,IF($B$2="Fixed",Stream2FixedRate,_xll.HLV5r3.Analytics.Rates.GetRate(J140,K140,L140)+Stream2Spread))</f>
        <v>0</v>
      </c>
      <c r="N140" s="186">
        <f ca="1">IF(L140="#N/A",L140,IF(Swap!$G$26="Standard",L140*G140*M140,L140*G140*M140/(1+Stream2!L140*Stream2!M140)))</f>
        <v>0</v>
      </c>
      <c r="O140" s="186">
        <f t="shared" ca="1" si="13"/>
        <v>0</v>
      </c>
      <c r="P140" s="186">
        <f ca="1">IF($B$2="FIXED",0,IF(Swap!$G$26="FRA",_xll.HLV5r3.Analytics.Swaps.Delta0DiscountCoupon( G140, L140, M140, I140),_xll.HLV5r3.Analytics.Swaps.Delta0Coupon( G140, L140, M140, I140)))</f>
        <v>0</v>
      </c>
      <c r="Q140" s="180">
        <f ca="1">IF(U140=0,0,_xll.HLV5r3.Analytics.Swaps.Delta1ForAnAmount( N140, I140, Stream2CompoundingPeriod, U140))</f>
        <v>0</v>
      </c>
      <c r="R140" s="79"/>
      <c r="S140" s="101" t="str">
        <f t="shared" ca="1" si="19"/>
        <v>#N/A</v>
      </c>
      <c r="T140" s="101" t="e">
        <f t="shared" ca="1" si="20"/>
        <v>#N/A</v>
      </c>
      <c r="U140" s="173">
        <f ca="1">IF(C140="#N/A",0,_xll.HLV5r3.Financial.Cache.YearFraction( ValuationDate, C140,"ACT/365.FIXED"))</f>
        <v>0</v>
      </c>
      <c r="V140" s="79"/>
      <c r="X140" s="207" t="e">
        <f ca="1"/>
        <v>#N/A</v>
      </c>
    </row>
    <row r="141" spans="1:24">
      <c r="A141" s="136" t="str">
        <f t="shared" ca="1" si="15"/>
        <v>#N/A</v>
      </c>
      <c r="B141" s="136" t="str">
        <f t="shared" ca="1" si="12"/>
        <v>#N/A</v>
      </c>
      <c r="C141" s="101" t="str">
        <f ca="1">IF(Swap!$G$26="Standard",B141,A141)</f>
        <v>#N/A</v>
      </c>
      <c r="D141" s="147">
        <v>0</v>
      </c>
      <c r="E141" s="112">
        <f t="shared" ca="1" si="21"/>
        <v>0</v>
      </c>
      <c r="F141" s="112">
        <f ca="1">-Stream1!F141</f>
        <v>0</v>
      </c>
      <c r="G141" s="112">
        <f t="shared" ca="1" si="16"/>
        <v>0</v>
      </c>
      <c r="H141" s="152" t="str">
        <f t="shared" ca="1" si="18"/>
        <v>#NA</v>
      </c>
      <c r="I141" s="168">
        <f ca="1">IF(C141="#N/A",0,_xll.HLV5r3.Financial.Cache.GetValueFromBase(Stream2DiscountCurve, Swap!$F$4, Stream2!C141))</f>
        <v>0</v>
      </c>
      <c r="J141" s="117" t="str">
        <f ca="1">IF(C141="#N/A","#N/A",_xll.HLV5r3.Financial.Cache.GetValueFromBase( Stream2ForwardCurve, Swap!$F$4, A141))</f>
        <v>#N/A</v>
      </c>
      <c r="K141" s="169" t="str">
        <f ca="1">IF(C141="#N/A","#N/A",_xll.HLV5r3.Financial.Cache.GetValueFromBase( Stream2ForwardCurve, Swap!$F$4, B141))</f>
        <v>#N/A</v>
      </c>
      <c r="L141" s="115">
        <f ca="1" xml:space="preserve"> IF(G141=0,0,_xll.HLV5r3.Financial.Cache.YearFraction( A141, B141,Swap!$G$25))</f>
        <v>0</v>
      </c>
      <c r="M141" s="143">
        <f ca="1">IF(J141="#N/A",0,IF($B$2="Fixed",Stream2FixedRate,_xll.HLV5r3.Analytics.Rates.GetRate(J141,K141,L141)+Stream2Spread))</f>
        <v>0</v>
      </c>
      <c r="N141" s="186">
        <f ca="1">IF(L141="#N/A",L141,IF(Swap!$G$26="Standard",L141*G141*M141,L141*G141*M141/(1+Stream2!L141*Stream2!M141)))</f>
        <v>0</v>
      </c>
      <c r="O141" s="186">
        <f t="shared" ca="1" si="13"/>
        <v>0</v>
      </c>
      <c r="P141" s="186">
        <f ca="1">IF($B$2="FIXED",0,IF(Swap!$G$26="FRA",_xll.HLV5r3.Analytics.Swaps.Delta0DiscountCoupon( G141, L141, M141, I141),_xll.HLV5r3.Analytics.Swaps.Delta0Coupon( G141, L141, M141, I141)))</f>
        <v>0</v>
      </c>
      <c r="Q141" s="180">
        <f ca="1">IF(U141=0,0,_xll.HLV5r3.Analytics.Swaps.Delta1ForAnAmount( N141, I141, Stream2CompoundingPeriod, U141))</f>
        <v>0</v>
      </c>
      <c r="R141" s="79"/>
      <c r="S141" s="101" t="str">
        <f t="shared" ca="1" si="19"/>
        <v>#N/A</v>
      </c>
      <c r="T141" s="101" t="e">
        <f t="shared" ca="1" si="20"/>
        <v>#N/A</v>
      </c>
      <c r="U141" s="173">
        <f ca="1">IF(C141="#N/A",0,_xll.HLV5r3.Financial.Cache.YearFraction( ValuationDate, C141,"ACT/365.FIXED"))</f>
        <v>0</v>
      </c>
      <c r="V141" s="79"/>
      <c r="X141" s="207" t="e">
        <f ca="1"/>
        <v>#N/A</v>
      </c>
    </row>
    <row r="142" spans="1:24">
      <c r="A142" s="136" t="str">
        <f t="shared" ca="1" si="15"/>
        <v>#N/A</v>
      </c>
      <c r="B142" s="136" t="str">
        <f t="shared" ca="1" si="12"/>
        <v>#N/A</v>
      </c>
      <c r="C142" s="101" t="str">
        <f ca="1">IF(Swap!$G$26="Standard",B142,A142)</f>
        <v>#N/A</v>
      </c>
      <c r="D142" s="147">
        <v>0</v>
      </c>
      <c r="E142" s="112">
        <f t="shared" ca="1" si="21"/>
        <v>0</v>
      </c>
      <c r="F142" s="112">
        <f ca="1">-Stream1!F142</f>
        <v>0</v>
      </c>
      <c r="G142" s="112">
        <f t="shared" ca="1" si="16"/>
        <v>0</v>
      </c>
      <c r="H142" s="152" t="str">
        <f t="shared" ca="1" si="18"/>
        <v>#NA</v>
      </c>
      <c r="I142" s="168">
        <f ca="1">IF(C142="#N/A",0,_xll.HLV5r3.Financial.Cache.GetValueFromBase(Stream2DiscountCurve, Swap!$F$4, Stream2!C142))</f>
        <v>0</v>
      </c>
      <c r="J142" s="117" t="str">
        <f ca="1">IF(C142="#N/A","#N/A",_xll.HLV5r3.Financial.Cache.GetValueFromBase( Stream2ForwardCurve, Swap!$F$4, A142))</f>
        <v>#N/A</v>
      </c>
      <c r="K142" s="169" t="str">
        <f ca="1">IF(C142="#N/A","#N/A",_xll.HLV5r3.Financial.Cache.GetValueFromBase( Stream2ForwardCurve, Swap!$F$4, B142))</f>
        <v>#N/A</v>
      </c>
      <c r="L142" s="115">
        <f ca="1" xml:space="preserve"> IF(G142=0,0,_xll.HLV5r3.Financial.Cache.YearFraction( A142, B142,Swap!$G$25))</f>
        <v>0</v>
      </c>
      <c r="M142" s="143">
        <f ca="1">IF(J142="#N/A",0,IF($B$2="Fixed",Stream2FixedRate,_xll.HLV5r3.Analytics.Rates.GetRate(J142,K142,L142)+Stream2Spread))</f>
        <v>0</v>
      </c>
      <c r="N142" s="186">
        <f ca="1">IF(L142="#N/A",L142,IF(Swap!$G$26="Standard",L142*G142*M142,L142*G142*M142/(1+Stream2!L142*Stream2!M142)))</f>
        <v>0</v>
      </c>
      <c r="O142" s="186">
        <f t="shared" ca="1" si="13"/>
        <v>0</v>
      </c>
      <c r="P142" s="186">
        <f ca="1">IF($B$2="FIXED",0,IF(Swap!$G$26="FRA",_xll.HLV5r3.Analytics.Swaps.Delta0DiscountCoupon( G142, L142, M142, I142),_xll.HLV5r3.Analytics.Swaps.Delta0Coupon( G142, L142, M142, I142)))</f>
        <v>0</v>
      </c>
      <c r="Q142" s="180">
        <f ca="1">IF(U142=0,0,_xll.HLV5r3.Analytics.Swaps.Delta1ForAnAmount( N142, I142, Stream2CompoundingPeriod, U142))</f>
        <v>0</v>
      </c>
      <c r="R142" s="79"/>
      <c r="S142" s="101" t="str">
        <f t="shared" ca="1" si="19"/>
        <v>#N/A</v>
      </c>
      <c r="T142" s="101" t="e">
        <f t="shared" ca="1" si="20"/>
        <v>#N/A</v>
      </c>
      <c r="U142" s="173">
        <f ca="1">IF(C142="#N/A",0,_xll.HLV5r3.Financial.Cache.YearFraction( ValuationDate, C142,"ACT/365.FIXED"))</f>
        <v>0</v>
      </c>
      <c r="V142" s="79"/>
      <c r="X142" s="207" t="e">
        <f ca="1"/>
        <v>#N/A</v>
      </c>
    </row>
    <row r="143" spans="1:24">
      <c r="A143" s="136" t="str">
        <f t="shared" ca="1" si="15"/>
        <v>#N/A</v>
      </c>
      <c r="B143" s="136" t="str">
        <f t="shared" ca="1" si="12"/>
        <v>#N/A</v>
      </c>
      <c r="C143" s="101" t="str">
        <f ca="1">IF(Swap!$G$26="Standard",B143,A143)</f>
        <v>#N/A</v>
      </c>
      <c r="D143" s="147">
        <v>0</v>
      </c>
      <c r="E143" s="112">
        <f t="shared" ca="1" si="21"/>
        <v>0</v>
      </c>
      <c r="F143" s="112">
        <f ca="1">-Stream1!F143</f>
        <v>0</v>
      </c>
      <c r="G143" s="112">
        <f t="shared" ca="1" si="16"/>
        <v>0</v>
      </c>
      <c r="H143" s="152" t="str">
        <f t="shared" ca="1" si="18"/>
        <v>#NA</v>
      </c>
      <c r="I143" s="168">
        <f ca="1">IF(C143="#N/A",0,_xll.HLV5r3.Financial.Cache.GetValueFromBase(Stream2DiscountCurve, Swap!$F$4, Stream2!C143))</f>
        <v>0</v>
      </c>
      <c r="J143" s="117" t="str">
        <f ca="1">IF(C143="#N/A","#N/A",_xll.HLV5r3.Financial.Cache.GetValueFromBase( Stream2ForwardCurve, Swap!$F$4, A143))</f>
        <v>#N/A</v>
      </c>
      <c r="K143" s="169" t="str">
        <f ca="1">IF(C143="#N/A","#N/A",_xll.HLV5r3.Financial.Cache.GetValueFromBase( Stream2ForwardCurve, Swap!$F$4, B143))</f>
        <v>#N/A</v>
      </c>
      <c r="L143" s="115">
        <f ca="1" xml:space="preserve"> IF(G143=0,0,_xll.HLV5r3.Financial.Cache.YearFraction( A143, B143,Swap!$G$25))</f>
        <v>0</v>
      </c>
      <c r="M143" s="143">
        <f ca="1">IF(J143="#N/A",0,IF($B$2="Fixed",Stream2FixedRate,_xll.HLV5r3.Analytics.Rates.GetRate(J143,K143,L143)+Stream2Spread))</f>
        <v>0</v>
      </c>
      <c r="N143" s="186">
        <f ca="1">IF(L143="#N/A",L143,IF(Swap!$G$26="Standard",L143*G143*M143,L143*G143*M143/(1+Stream2!L143*Stream2!M143)))</f>
        <v>0</v>
      </c>
      <c r="O143" s="186">
        <f t="shared" ca="1" si="13"/>
        <v>0</v>
      </c>
      <c r="P143" s="186">
        <f ca="1">IF($B$2="FIXED",0,IF(Swap!$G$26="FRA",_xll.HLV5r3.Analytics.Swaps.Delta0DiscountCoupon( G143, L143, M143, I143),_xll.HLV5r3.Analytics.Swaps.Delta0Coupon( G143, L143, M143, I143)))</f>
        <v>0</v>
      </c>
      <c r="Q143" s="180">
        <f ca="1">IF(U143=0,0,_xll.HLV5r3.Analytics.Swaps.Delta1ForAnAmount( N143, I143, Stream2CompoundingPeriod, U143))</f>
        <v>0</v>
      </c>
      <c r="R143" s="79"/>
      <c r="S143" s="101" t="str">
        <f t="shared" ca="1" si="19"/>
        <v>#N/A</v>
      </c>
      <c r="T143" s="101" t="e">
        <f t="shared" ca="1" si="20"/>
        <v>#N/A</v>
      </c>
      <c r="U143" s="173">
        <f ca="1">IF(C143="#N/A",0,_xll.HLV5r3.Financial.Cache.YearFraction( ValuationDate, C143,"ACT/365.FIXED"))</f>
        <v>0</v>
      </c>
      <c r="V143" s="79"/>
      <c r="X143" s="207" t="e">
        <f ca="1"/>
        <v>#N/A</v>
      </c>
    </row>
    <row r="144" spans="1:24">
      <c r="A144" s="136" t="str">
        <f t="shared" ca="1" si="15"/>
        <v>#N/A</v>
      </c>
      <c r="B144" s="136" t="str">
        <f t="shared" ca="1" si="12"/>
        <v>#N/A</v>
      </c>
      <c r="C144" s="101" t="str">
        <f ca="1">IF(Swap!$G$26="Standard",B144,A144)</f>
        <v>#N/A</v>
      </c>
      <c r="D144" s="147">
        <v>0</v>
      </c>
      <c r="E144" s="112">
        <f t="shared" ref="E144:E150" ca="1" si="22">IF(C144="#N/A",0,IF($A$2="Pays",-Stream2Notional,Stream2Notional) )</f>
        <v>0</v>
      </c>
      <c r="F144" s="112">
        <f ca="1">-Stream1!F144</f>
        <v>0</v>
      </c>
      <c r="G144" s="112">
        <f t="shared" ca="1" si="16"/>
        <v>0</v>
      </c>
      <c r="H144" s="152" t="str">
        <f t="shared" ca="1" si="18"/>
        <v>#NA</v>
      </c>
      <c r="I144" s="168">
        <f ca="1">IF(C144="#N/A",0,_xll.HLV5r3.Financial.Cache.GetValueFromBase(Stream2DiscountCurve, Swap!$F$4, Stream2!C144))</f>
        <v>0</v>
      </c>
      <c r="J144" s="117" t="str">
        <f ca="1">IF(C144="#N/A","#N/A",_xll.HLV5r3.Financial.Cache.GetValueFromBase( Stream2ForwardCurve, Swap!$F$4, A144))</f>
        <v>#N/A</v>
      </c>
      <c r="K144" s="169" t="str">
        <f ca="1">IF(C144="#N/A","#N/A",_xll.HLV5r3.Financial.Cache.GetValueFromBase( Stream2ForwardCurve, Swap!$F$4, B144))</f>
        <v>#N/A</v>
      </c>
      <c r="L144" s="115">
        <f ca="1" xml:space="preserve"> IF(G144=0,0,_xll.HLV5r3.Financial.Cache.YearFraction( A144, B144,Swap!$G$25))</f>
        <v>0</v>
      </c>
      <c r="M144" s="143">
        <f ca="1">IF(J144="#N/A",0,IF($B$2="Fixed",Stream2FixedRate,_xll.HLV5r3.Analytics.Rates.GetRate(J144,K144,L144)+Stream2Spread))</f>
        <v>0</v>
      </c>
      <c r="N144" s="186">
        <f ca="1">IF(L144="#N/A",L144,IF(Swap!$G$26="Standard",L144*G144*M144,L144*G144*M144/(1+Stream2!L144*Stream2!M144)))</f>
        <v>0</v>
      </c>
      <c r="O144" s="186">
        <f t="shared" ca="1" si="13"/>
        <v>0</v>
      </c>
      <c r="P144" s="186">
        <f ca="1">IF($B$2="FIXED",0,IF(Swap!$G$26="FRA",_xll.HLV5r3.Analytics.Swaps.Delta0DiscountCoupon( G144, L144, M144, I144),_xll.HLV5r3.Analytics.Swaps.Delta0Coupon( G144, L144, M144, I144)))</f>
        <v>0</v>
      </c>
      <c r="Q144" s="180">
        <f ca="1">IF(U144=0,0,_xll.HLV5r3.Analytics.Swaps.Delta1ForAnAmount( N144, I144, Stream2CompoundingPeriod, U144))</f>
        <v>0</v>
      </c>
      <c r="R144" s="79"/>
      <c r="S144" s="101" t="str">
        <f t="shared" ca="1" si="19"/>
        <v>#N/A</v>
      </c>
      <c r="T144" s="101" t="e">
        <f t="shared" ca="1" si="20"/>
        <v>#N/A</v>
      </c>
      <c r="U144" s="173">
        <f ca="1">IF(C144="#N/A",0,_xll.HLV5r3.Financial.Cache.YearFraction( ValuationDate, C144,"ACT/365.FIXED"))</f>
        <v>0</v>
      </c>
      <c r="V144" s="79"/>
      <c r="X144" s="207" t="e">
        <f ca="1"/>
        <v>#N/A</v>
      </c>
    </row>
    <row r="145" spans="1:24">
      <c r="A145" s="136" t="str">
        <f t="shared" ca="1" si="15"/>
        <v>#N/A</v>
      </c>
      <c r="B145" s="136" t="str">
        <f t="shared" ref="B145:B150" ca="1" si="23">IF(A145="#N/A", "#N/A",IF(A146="#N/A",$C$13,A146))</f>
        <v>#N/A</v>
      </c>
      <c r="C145" s="101" t="str">
        <f ca="1">IF(Swap!$G$26="Standard",B145,A145)</f>
        <v>#N/A</v>
      </c>
      <c r="D145" s="147">
        <v>0</v>
      </c>
      <c r="E145" s="112">
        <f t="shared" ca="1" si="22"/>
        <v>0</v>
      </c>
      <c r="F145" s="112">
        <f ca="1">-Stream1!F145</f>
        <v>0</v>
      </c>
      <c r="G145" s="112">
        <f t="shared" ca="1" si="16"/>
        <v>0</v>
      </c>
      <c r="H145" s="152" t="str">
        <f t="shared" ca="1" si="18"/>
        <v>#NA</v>
      </c>
      <c r="I145" s="168">
        <f ca="1">IF(C145="#N/A",0,_xll.HLV5r3.Financial.Cache.GetValueFromBase(Stream2DiscountCurve, Swap!$F$4, Stream2!C145))</f>
        <v>0</v>
      </c>
      <c r="J145" s="117" t="str">
        <f ca="1">IF(C145="#N/A","#N/A",_xll.HLV5r3.Financial.Cache.GetValueFromBase( Stream2ForwardCurve, Swap!$F$4, A145))</f>
        <v>#N/A</v>
      </c>
      <c r="K145" s="169" t="str">
        <f ca="1">IF(C145="#N/A","#N/A",_xll.HLV5r3.Financial.Cache.GetValueFromBase( Stream2ForwardCurve, Swap!$F$4, B145))</f>
        <v>#N/A</v>
      </c>
      <c r="L145" s="115">
        <f ca="1" xml:space="preserve"> IF(G145=0,0,_xll.HLV5r3.Financial.Cache.YearFraction( A145, B145,Swap!$G$25))</f>
        <v>0</v>
      </c>
      <c r="M145" s="143">
        <f ca="1">IF(J145="#N/A",0,IF($B$2="Fixed",Stream2FixedRate,_xll.HLV5r3.Analytics.Rates.GetRate(J145,K145,L145)+Stream2Spread))</f>
        <v>0</v>
      </c>
      <c r="N145" s="186">
        <f ca="1">IF(L145="#N/A",L145,IF(Swap!$G$26="Standard",L145*G145*M145,L145*G145*M145/(1+Stream2!L145*Stream2!M145)))</f>
        <v>0</v>
      </c>
      <c r="O145" s="186">
        <f t="shared" ref="O145:O150" ca="1" si="24">IF(N145="#N/A",N145,N145*I145)</f>
        <v>0</v>
      </c>
      <c r="P145" s="186">
        <f ca="1">IF($B$2="FIXED",0,IF(Swap!$G$26="FRA",_xll.HLV5r3.Analytics.Swaps.Delta0DiscountCoupon( G145, L145, M145, I145),_xll.HLV5r3.Analytics.Swaps.Delta0Coupon( G145, L145, M145, I145)))</f>
        <v>0</v>
      </c>
      <c r="Q145" s="180">
        <f ca="1">IF(U145=0,0,_xll.HLV5r3.Analytics.Swaps.Delta1ForAnAmount( N145, I145, Stream2CompoundingPeriod, U145))</f>
        <v>0</v>
      </c>
      <c r="R145" s="79"/>
      <c r="S145" s="101" t="str">
        <f t="shared" ca="1" si="19"/>
        <v>#N/A</v>
      </c>
      <c r="T145" s="101" t="e">
        <f t="shared" ca="1" si="20"/>
        <v>#N/A</v>
      </c>
      <c r="U145" s="173">
        <f ca="1">IF(C145="#N/A",0,_xll.HLV5r3.Financial.Cache.YearFraction( ValuationDate, C145,"ACT/365.FIXED"))</f>
        <v>0</v>
      </c>
      <c r="V145" s="79"/>
      <c r="X145" s="207" t="e">
        <f ca="1"/>
        <v>#N/A</v>
      </c>
    </row>
    <row r="146" spans="1:24">
      <c r="A146" s="136" t="str">
        <f ca="1">IF(S147="#N/A", "#N/A",S146)</f>
        <v>#N/A</v>
      </c>
      <c r="B146" s="136" t="str">
        <f t="shared" ca="1" si="23"/>
        <v>#N/A</v>
      </c>
      <c r="C146" s="101" t="str">
        <f ca="1">IF(Swap!$G$26="Standard",B146,A146)</f>
        <v>#N/A</v>
      </c>
      <c r="D146" s="147">
        <v>0</v>
      </c>
      <c r="E146" s="112">
        <f t="shared" ca="1" si="22"/>
        <v>0</v>
      </c>
      <c r="F146" s="112">
        <f ca="1">-Stream1!F146</f>
        <v>0</v>
      </c>
      <c r="G146" s="112">
        <f ca="1">F146</f>
        <v>0</v>
      </c>
      <c r="H146" s="152" t="str">
        <f t="shared" ca="1" si="18"/>
        <v>#NA</v>
      </c>
      <c r="I146" s="168">
        <f ca="1">IF(C146="#N/A",0,_xll.HLV5r3.Financial.Cache.GetValueFromBase(Stream2DiscountCurve, Swap!$F$4, Stream2!C146))</f>
        <v>0</v>
      </c>
      <c r="J146" s="117" t="str">
        <f ca="1">IF(C146="#N/A","#N/A",_xll.HLV5r3.Financial.Cache.GetValueFromBase( Stream2ForwardCurve, Swap!$F$4, A146))</f>
        <v>#N/A</v>
      </c>
      <c r="K146" s="169" t="str">
        <f ca="1">IF(C146="#N/A","#N/A",_xll.HLV5r3.Financial.Cache.GetValueFromBase( Stream2ForwardCurve, Swap!$F$4, B146))</f>
        <v>#N/A</v>
      </c>
      <c r="L146" s="115">
        <f ca="1" xml:space="preserve"> IF(G146=0,0,_xll.HLV5r3.Financial.Cache.YearFraction( A146, B146,Swap!$G$25))</f>
        <v>0</v>
      </c>
      <c r="M146" s="143">
        <f ca="1">IF(J146="#N/A",0,IF($B$2="Fixed",Stream2FixedRate,_xll.HLV5r3.Analytics.Rates.GetRate(J146,K146,L146)+Stream2Spread))</f>
        <v>0</v>
      </c>
      <c r="N146" s="186">
        <f ca="1">IF(L146="#N/A",L146,IF(Swap!$G$26="Standard",L146*G146*M146,L146*G146*M146/(1+Stream2!L146*Stream2!M146)))</f>
        <v>0</v>
      </c>
      <c r="O146" s="186">
        <f t="shared" ca="1" si="24"/>
        <v>0</v>
      </c>
      <c r="P146" s="186">
        <f ca="1">IF($B$2="FIXED",0,IF(Swap!$G$26="FRA",_xll.HLV5r3.Analytics.Swaps.Delta0DiscountCoupon( G146, L146, M146, I146),_xll.HLV5r3.Analytics.Swaps.Delta0Coupon( G146, L146, M146, I146)))</f>
        <v>0</v>
      </c>
      <c r="Q146" s="180">
        <f ca="1">IF(U146=0,0,_xll.HLV5r3.Analytics.Swaps.Delta1ForAnAmount( N146, I146, Stream2CompoundingPeriod, U146))</f>
        <v>0</v>
      </c>
      <c r="R146" s="79"/>
      <c r="S146" s="101" t="str">
        <f t="shared" ca="1" si="19"/>
        <v>#N/A</v>
      </c>
      <c r="T146" s="101" t="e">
        <f t="shared" ca="1" si="20"/>
        <v>#N/A</v>
      </c>
      <c r="U146" s="173">
        <f ca="1">IF(C146="#N/A",0,_xll.HLV5r3.Financial.Cache.YearFraction( ValuationDate, C146,"ACT/365.FIXED"))</f>
        <v>0</v>
      </c>
      <c r="V146" s="79"/>
      <c r="X146" s="207" t="e">
        <f ca="1"/>
        <v>#N/A</v>
      </c>
    </row>
    <row r="147" spans="1:24">
      <c r="A147" s="136" t="str">
        <f ca="1">IF(S148="#N/A", "#N/A",S147)</f>
        <v>#N/A</v>
      </c>
      <c r="B147" s="136" t="str">
        <f t="shared" ca="1" si="23"/>
        <v>#N/A</v>
      </c>
      <c r="C147" s="101" t="str">
        <f ca="1">IF(Swap!$G$26="Standard",B147,A147)</f>
        <v>#N/A</v>
      </c>
      <c r="D147" s="147">
        <v>0</v>
      </c>
      <c r="E147" s="112">
        <f t="shared" ca="1" si="22"/>
        <v>0</v>
      </c>
      <c r="F147" s="112">
        <f ca="1">-Stream1!F147</f>
        <v>0</v>
      </c>
      <c r="G147" s="112">
        <f ca="1">F147</f>
        <v>0</v>
      </c>
      <c r="H147" s="152" t="str">
        <f t="shared" ca="1" si="18"/>
        <v>#NA</v>
      </c>
      <c r="I147" s="168">
        <f ca="1">IF(C147="#N/A",0,_xll.HLV5r3.Financial.Cache.GetValueFromBase(Stream2DiscountCurve, Swap!$F$4, Stream2!C147))</f>
        <v>0</v>
      </c>
      <c r="J147" s="117" t="str">
        <f ca="1">IF(C147="#N/A","#N/A",_xll.HLV5r3.Financial.Cache.GetValueFromBase( Stream2ForwardCurve, Swap!$F$4, A147))</f>
        <v>#N/A</v>
      </c>
      <c r="K147" s="169" t="str">
        <f ca="1">IF(C147="#N/A","#N/A",_xll.HLV5r3.Financial.Cache.GetValueFromBase( Stream2ForwardCurve, Swap!$F$4, B147))</f>
        <v>#N/A</v>
      </c>
      <c r="L147" s="115">
        <f ca="1" xml:space="preserve"> IF(G147=0,0,_xll.HLV5r3.Financial.Cache.YearFraction( A147, B147,Swap!$G$25))</f>
        <v>0</v>
      </c>
      <c r="M147" s="143">
        <f ca="1">IF(J147="#N/A",0,IF($B$2="Fixed",Stream2FixedRate,_xll.HLV5r3.Analytics.Rates.GetRate(J147,K147,L147)+Stream2Spread))</f>
        <v>0</v>
      </c>
      <c r="N147" s="186">
        <f ca="1">IF(L147="#N/A",L147,IF(Swap!$G$26="Standard",L147*G147*M147,L147*G147*M147/(1+Stream2!L147*Stream2!M147)))</f>
        <v>0</v>
      </c>
      <c r="O147" s="186">
        <f t="shared" ca="1" si="24"/>
        <v>0</v>
      </c>
      <c r="P147" s="186">
        <f ca="1">IF($B$2="FIXED",0,IF(Swap!$G$26="FRA",_xll.HLV5r3.Analytics.Swaps.Delta0DiscountCoupon( G147, L147, M147, I147),_xll.HLV5r3.Analytics.Swaps.Delta0Coupon( G147, L147, M147, I147)))</f>
        <v>0</v>
      </c>
      <c r="Q147" s="180">
        <f ca="1">IF(U147=0,0,_xll.HLV5r3.Analytics.Swaps.Delta1ForAnAmount( N147, I147, Stream2CompoundingPeriod, U147))</f>
        <v>0</v>
      </c>
      <c r="R147" s="79"/>
      <c r="S147" s="101" t="str">
        <f t="shared" ca="1" si="19"/>
        <v>#N/A</v>
      </c>
      <c r="T147" s="101" t="e">
        <f t="shared" ca="1" si="20"/>
        <v>#N/A</v>
      </c>
      <c r="U147" s="173">
        <f ca="1">IF(C147="#N/A",0,_xll.HLV5r3.Financial.Cache.YearFraction( ValuationDate, C147,"ACT/365.FIXED"))</f>
        <v>0</v>
      </c>
      <c r="V147" s="79"/>
      <c r="X147" s="207" t="e">
        <f ca="1"/>
        <v>#N/A</v>
      </c>
    </row>
    <row r="148" spans="1:24">
      <c r="A148" s="136" t="str">
        <f ca="1">IF(S149="#N/A", "#N/A",S148)</f>
        <v>#N/A</v>
      </c>
      <c r="B148" s="136" t="str">
        <f t="shared" ca="1" si="23"/>
        <v>#N/A</v>
      </c>
      <c r="C148" s="101" t="str">
        <f ca="1">IF(Swap!$G$26="Standard",B148,A148)</f>
        <v>#N/A</v>
      </c>
      <c r="D148" s="147">
        <v>0</v>
      </c>
      <c r="E148" s="112">
        <f t="shared" ca="1" si="22"/>
        <v>0</v>
      </c>
      <c r="F148" s="112">
        <f ca="1">-Stream1!F148</f>
        <v>0</v>
      </c>
      <c r="G148" s="112">
        <f ca="1">F148</f>
        <v>0</v>
      </c>
      <c r="H148" s="152" t="str">
        <f t="shared" ca="1" si="18"/>
        <v>#NA</v>
      </c>
      <c r="I148" s="168">
        <f ca="1">IF(C148="#N/A",0,_xll.HLV5r3.Financial.Cache.GetValueFromBase(Stream2DiscountCurve, Swap!$F$4, Stream2!C148))</f>
        <v>0</v>
      </c>
      <c r="J148" s="117" t="str">
        <f ca="1">IF(C148="#N/A","#N/A",_xll.HLV5r3.Financial.Cache.GetValueFromBase( Stream2ForwardCurve, Swap!$F$4, A148))</f>
        <v>#N/A</v>
      </c>
      <c r="K148" s="169" t="str">
        <f ca="1">IF(C148="#N/A","#N/A",_xll.HLV5r3.Financial.Cache.GetValueFromBase( Stream2ForwardCurve, Swap!$F$4, B148))</f>
        <v>#N/A</v>
      </c>
      <c r="L148" s="115">
        <f ca="1" xml:space="preserve"> IF(G148=0,0,_xll.HLV5r3.Financial.Cache.YearFraction( A148, B148,Swap!$G$25))</f>
        <v>0</v>
      </c>
      <c r="M148" s="143">
        <f ca="1">IF(J148="#N/A",0,IF($B$2="Fixed",Stream2FixedRate,_xll.HLV5r3.Analytics.Rates.GetRate(J148,K148,L148)+Stream2Spread))</f>
        <v>0</v>
      </c>
      <c r="N148" s="186">
        <f ca="1">IF(L148="#N/A",L148,IF(Swap!$G$26="Standard",L148*G148*M148,L148*G148*M148/(1+Stream2!L148*Stream2!M148)))</f>
        <v>0</v>
      </c>
      <c r="O148" s="186">
        <f t="shared" ca="1" si="24"/>
        <v>0</v>
      </c>
      <c r="P148" s="186">
        <f ca="1">IF($B$2="FIXED",0,IF(Swap!$G$26="FRA",_xll.HLV5r3.Analytics.Swaps.Delta0DiscountCoupon( G148, L148, M148, I148),_xll.HLV5r3.Analytics.Swaps.Delta0Coupon( G148, L148, M148, I148)))</f>
        <v>0</v>
      </c>
      <c r="Q148" s="180">
        <f ca="1">IF(U148=0,0,_xll.HLV5r3.Analytics.Swaps.Delta1ForAnAmount( N148, I148, Stream2CompoundingPeriod, U148))</f>
        <v>0</v>
      </c>
      <c r="R148" s="79"/>
      <c r="S148" s="101" t="str">
        <f t="shared" ca="1" si="19"/>
        <v>#N/A</v>
      </c>
      <c r="T148" s="101" t="e">
        <f t="shared" ca="1" si="20"/>
        <v>#N/A</v>
      </c>
      <c r="U148" s="173">
        <f ca="1">IF(C148="#N/A",0,_xll.HLV5r3.Financial.Cache.YearFraction( ValuationDate, C148,"ACT/365.FIXED"))</f>
        <v>0</v>
      </c>
      <c r="V148" s="79"/>
      <c r="X148" s="207" t="e">
        <f ca="1"/>
        <v>#N/A</v>
      </c>
    </row>
    <row r="149" spans="1:24">
      <c r="A149" s="136" t="str">
        <f ca="1">IF(S150="#N/A", "#N/A",S149)</f>
        <v>#N/A</v>
      </c>
      <c r="B149" s="136" t="str">
        <f t="shared" ca="1" si="23"/>
        <v>#N/A</v>
      </c>
      <c r="C149" s="101" t="str">
        <f ca="1">IF(Swap!$G$26="Standard",B149,A149)</f>
        <v>#N/A</v>
      </c>
      <c r="D149" s="147">
        <v>0</v>
      </c>
      <c r="E149" s="112">
        <f t="shared" ca="1" si="22"/>
        <v>0</v>
      </c>
      <c r="F149" s="112">
        <f ca="1">-Stream1!F149</f>
        <v>0</v>
      </c>
      <c r="G149" s="112">
        <f ca="1">F149</f>
        <v>0</v>
      </c>
      <c r="H149" s="152" t="str">
        <f t="shared" ca="1" si="18"/>
        <v>#NA</v>
      </c>
      <c r="I149" s="168">
        <f ca="1">IF(C149="#N/A",0,_xll.HLV5r3.Financial.Cache.GetValueFromBase(Stream2DiscountCurve, Swap!$F$4, Stream2!C149))</f>
        <v>0</v>
      </c>
      <c r="J149" s="117" t="str">
        <f ca="1">IF(C149="#N/A","#N/A",_xll.HLV5r3.Financial.Cache.GetValueFromBase( Stream2ForwardCurve, Swap!$F$4, A149))</f>
        <v>#N/A</v>
      </c>
      <c r="K149" s="169" t="str">
        <f ca="1">IF(C149="#N/A","#N/A",_xll.HLV5r3.Financial.Cache.GetValueFromBase( Stream2ForwardCurve, Swap!$F$4, B149))</f>
        <v>#N/A</v>
      </c>
      <c r="L149" s="115">
        <f ca="1" xml:space="preserve"> IF(G149=0,0,_xll.HLV5r3.Financial.Cache.YearFraction( A149, B149,Swap!$G$25))</f>
        <v>0</v>
      </c>
      <c r="M149" s="143">
        <f ca="1">IF(J149="#N/A",0,IF($B$2="Fixed",Stream2FixedRate,_xll.HLV5r3.Analytics.Rates.GetRate(J149,K149,L149)+Stream2Spread))</f>
        <v>0</v>
      </c>
      <c r="N149" s="186">
        <f ca="1">IF(L149="#N/A",L149,IF(Swap!$G$26="Standard",L149*G149*M149,L149*G149*M149/(1+Stream2!L149*Stream2!M149)))</f>
        <v>0</v>
      </c>
      <c r="O149" s="186">
        <f t="shared" ca="1" si="24"/>
        <v>0</v>
      </c>
      <c r="P149" s="186">
        <f ca="1">IF($B$2="FIXED",0,IF(Swap!$G$26="FRA",_xll.HLV5r3.Analytics.Swaps.Delta0DiscountCoupon( G149, L149, M149, I149),_xll.HLV5r3.Analytics.Swaps.Delta0Coupon( G149, L149, M149, I149)))</f>
        <v>0</v>
      </c>
      <c r="Q149" s="180">
        <f ca="1">IF(U149=0,0,_xll.HLV5r3.Analytics.Swaps.Delta1ForAnAmount( N149, I149, Stream2CompoundingPeriod, U149))</f>
        <v>0</v>
      </c>
      <c r="R149" s="79"/>
      <c r="S149" s="101" t="str">
        <f t="shared" ca="1" si="19"/>
        <v>#N/A</v>
      </c>
      <c r="T149" s="101" t="e">
        <f t="shared" ca="1" si="20"/>
        <v>#N/A</v>
      </c>
      <c r="U149" s="173">
        <f ca="1">IF(C149="#N/A",0,_xll.HLV5r3.Financial.Cache.YearFraction( ValuationDate, C149,"ACT/365.FIXED"))</f>
        <v>0</v>
      </c>
      <c r="V149" s="79"/>
      <c r="X149" s="207" t="e">
        <f ca="1"/>
        <v>#N/A</v>
      </c>
    </row>
    <row r="150" spans="1:24">
      <c r="A150" s="136" t="str">
        <f ca="1">IF(S151="#N/A", "#N/A",S150)</f>
        <v>#N/A</v>
      </c>
      <c r="B150" s="136" t="str">
        <f t="shared" ca="1" si="23"/>
        <v>#N/A</v>
      </c>
      <c r="C150" s="101" t="str">
        <f ca="1">IF(Swap!$G$26="Standard",B150,A150)</f>
        <v>#N/A</v>
      </c>
      <c r="D150" s="147">
        <v>0</v>
      </c>
      <c r="E150" s="112">
        <f t="shared" ca="1" si="22"/>
        <v>0</v>
      </c>
      <c r="F150" s="112">
        <f ca="1">-Stream1!F150</f>
        <v>0</v>
      </c>
      <c r="G150" s="112">
        <f ca="1">F150</f>
        <v>0</v>
      </c>
      <c r="H150" s="152" t="str">
        <f t="shared" ca="1" si="18"/>
        <v>#NA</v>
      </c>
      <c r="I150" s="168">
        <f ca="1">IF(C150="#N/A",0,_xll.HLV5r3.Financial.Cache.GetValueFromBase(Stream2DiscountCurve, Swap!$F$4, Stream2!C150))</f>
        <v>0</v>
      </c>
      <c r="J150" s="117" t="str">
        <f ca="1">IF(C150="#N/A","#N/A",_xll.HLV5r3.Financial.Cache.GetValueFromBase( Stream2ForwardCurve, Swap!$F$4, A150))</f>
        <v>#N/A</v>
      </c>
      <c r="K150" s="169" t="str">
        <f ca="1">IF(C150="#N/A","#N/A",_xll.HLV5r3.Financial.Cache.GetValueFromBase( Stream2ForwardCurve, Swap!$F$4, B150))</f>
        <v>#N/A</v>
      </c>
      <c r="L150" s="115">
        <f ca="1" xml:space="preserve"> IF(G150=0,0,_xll.HLV5r3.Financial.Cache.YearFraction( A150, B150,Swap!$G$25))</f>
        <v>0</v>
      </c>
      <c r="M150" s="143">
        <f ca="1">IF(J150="#N/A",0,IF($B$2="Fixed",Stream2FixedRate,_xll.HLV5r3.Analytics.Rates.GetRate(J150,K150,L150)+Stream2Spread))</f>
        <v>0</v>
      </c>
      <c r="N150" s="186">
        <f ca="1">IF(L150="#N/A",L150,IF(Swap!$G$26="Standard",L150*G150*M150,L150*G150*M150/(1+Stream2!L150*Stream2!M150)))</f>
        <v>0</v>
      </c>
      <c r="O150" s="186">
        <f t="shared" ca="1" si="24"/>
        <v>0</v>
      </c>
      <c r="P150" s="186">
        <f ca="1">IF($B$2="FIXED",0,IF(Swap!$G$26="FRA",_xll.HLV5r3.Analytics.Swaps.Delta0DiscountCoupon( G150, L150, M150, I150),_xll.HLV5r3.Analytics.Swaps.Delta0Coupon( G150, L150, M150, I150)))</f>
        <v>0</v>
      </c>
      <c r="Q150" s="180">
        <f ca="1">IF(U150=0,0,_xll.HLV5r3.Analytics.Swaps.Delta1ForAnAmount( N150, I150, Stream2CompoundingPeriod, U150))</f>
        <v>0</v>
      </c>
      <c r="R150" s="79"/>
      <c r="S150" s="101" t="str">
        <f t="shared" ca="1" si="19"/>
        <v>#N/A</v>
      </c>
      <c r="T150" s="101" t="e">
        <f t="shared" ca="1" si="20"/>
        <v>#N/A</v>
      </c>
      <c r="U150" s="173">
        <f ca="1">IF(C150="#N/A",0,_xll.HLV5r3.Financial.Cache.YearFraction( ValuationDate, C150,"ACT/365.FIXED"))</f>
        <v>0</v>
      </c>
      <c r="V150" s="79"/>
      <c r="X150" s="207" t="e">
        <f ca="1"/>
        <v>#N/A</v>
      </c>
    </row>
    <row r="151" spans="1:24" ht="12" thickBot="1">
      <c r="A151" s="139"/>
      <c r="B151" s="90"/>
      <c r="C151" s="90"/>
      <c r="D151" s="90"/>
      <c r="E151" s="90"/>
      <c r="F151" s="90"/>
      <c r="G151" s="90"/>
      <c r="H151" s="90"/>
      <c r="I151" s="142"/>
      <c r="J151" s="142"/>
      <c r="K151" s="142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</row>
  </sheetData>
  <dataConsolidate/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47</vt:i4>
      </vt:variant>
    </vt:vector>
  </HeadingPairs>
  <TitlesOfParts>
    <vt:vector size="51" baseType="lpstr">
      <vt:lpstr>AUDCurve</vt:lpstr>
      <vt:lpstr>Swap</vt:lpstr>
      <vt:lpstr>Stream1</vt:lpstr>
      <vt:lpstr>Stream2</vt:lpstr>
      <vt:lpstr>CouponDiganostics</vt:lpstr>
      <vt:lpstr>CreateDeal</vt:lpstr>
      <vt:lpstr>EffectiveDate</vt:lpstr>
      <vt:lpstr>NABPayReceiveInd</vt:lpstr>
      <vt:lpstr>NotionalAmount</vt:lpstr>
      <vt:lpstr>NotionalCcy</vt:lpstr>
      <vt:lpstr>PayerCcy</vt:lpstr>
      <vt:lpstr>PayerNotional</vt:lpstr>
      <vt:lpstr>PayerStream</vt:lpstr>
      <vt:lpstr>AUDCurve!Print_Area</vt:lpstr>
      <vt:lpstr>QuotedCcyPair</vt:lpstr>
      <vt:lpstr>SpotRate</vt:lpstr>
      <vt:lpstr>Sream2Delat0</vt:lpstr>
      <vt:lpstr>Sream2Delta1</vt:lpstr>
      <vt:lpstr>Sream2DV01</vt:lpstr>
      <vt:lpstr>Sream2NPV</vt:lpstr>
      <vt:lpstr>Stream1BDConv</vt:lpstr>
      <vt:lpstr>Stream1BER</vt:lpstr>
      <vt:lpstr>Stream1Calendar</vt:lpstr>
      <vt:lpstr>Stream1CompoundingPeriod</vt:lpstr>
      <vt:lpstr>Stream1DiscountCurve</vt:lpstr>
      <vt:lpstr>Stream1DV01</vt:lpstr>
      <vt:lpstr>Stream1FixedRate</vt:lpstr>
      <vt:lpstr>Stream1ForwardCurve</vt:lpstr>
      <vt:lpstr>Stream1NPV</vt:lpstr>
      <vt:lpstr>Stream1Period</vt:lpstr>
      <vt:lpstr>Stream1Roll</vt:lpstr>
      <vt:lpstr>Stream1Spread</vt:lpstr>
      <vt:lpstr>Stream2BDConv</vt:lpstr>
      <vt:lpstr>Stream2BER</vt:lpstr>
      <vt:lpstr>Stream2Calendar</vt:lpstr>
      <vt:lpstr>Stream2CompoundingPeriod</vt:lpstr>
      <vt:lpstr>Stream2DiscountCurve</vt:lpstr>
      <vt:lpstr>Stream2DV01</vt:lpstr>
      <vt:lpstr>Stream2FixedRate</vt:lpstr>
      <vt:lpstr>Stream2ForwardCurve</vt:lpstr>
      <vt:lpstr>Stream2Notional</vt:lpstr>
      <vt:lpstr>Stream2NPV</vt:lpstr>
      <vt:lpstr>Stream2Period</vt:lpstr>
      <vt:lpstr>Stream2Roll</vt:lpstr>
      <vt:lpstr>Stream2Spread</vt:lpstr>
      <vt:lpstr>Stream2Type</vt:lpstr>
      <vt:lpstr>StreamDelat0</vt:lpstr>
      <vt:lpstr>StreamDelta1</vt:lpstr>
      <vt:lpstr>SwapInputTerms</vt:lpstr>
      <vt:lpstr>TreminationDate</vt:lpstr>
      <vt:lpstr>ValuationDate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amistry</dc:creator>
  <cp:lastModifiedBy>Alex</cp:lastModifiedBy>
  <cp:lastPrinted>2009-01-15T02:56:28Z</cp:lastPrinted>
  <dcterms:created xsi:type="dcterms:W3CDTF">2008-05-20T05:30:45Z</dcterms:created>
  <dcterms:modified xsi:type="dcterms:W3CDTF">2019-06-26T03:46:54Z</dcterms:modified>
</cp:coreProperties>
</file>