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9\Projects\Highlander\FpML.V5r3.Applications\ExcelAPI\Spreadsheets\Rates\"/>
    </mc:Choice>
  </mc:AlternateContent>
  <xr:revisionPtr revIDLastSave="0" documentId="13_ncr:1_{4A691D7B-0CF9-42A0-9122-AA9495B4B8B5}" xr6:coauthVersionLast="43" xr6:coauthVersionMax="43" xr10:uidLastSave="{00000000-0000-0000-0000-000000000000}"/>
  <bookViews>
    <workbookView xWindow="1230" yWindow="285" windowWidth="26370" windowHeight="14820" tabRatio="516" xr2:uid="{00000000-000D-0000-FFFF-FFFF00000000}"/>
  </bookViews>
  <sheets>
    <sheet name="AUDCurve" sheetId="2" r:id="rId1"/>
    <sheet name="GBPCurve" sheetId="7" r:id="rId2"/>
    <sheet name="Daily Forward Curve Comparison" sheetId="8" r:id="rId3"/>
    <sheet name="Daily Forward Rates" sheetId="5" r:id="rId4"/>
  </sheets>
  <definedNames>
    <definedName name="Choice">AUDCurve!$O$3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7" i="7" l="1"/>
  <c r="B48" i="7" s="1"/>
  <c r="B49" i="7" s="1"/>
  <c r="B50" i="7" s="1"/>
  <c r="B51" i="7" s="1"/>
  <c r="B52" i="7" s="1"/>
  <c r="B53" i="7" s="1"/>
  <c r="B54" i="7" s="1"/>
  <c r="B4" i="7"/>
  <c r="B5" i="7" s="1"/>
  <c r="G5" i="7" l="1"/>
  <c r="L10" i="2"/>
  <c r="L11" i="2" s="1"/>
  <c r="C16" i="2" l="1"/>
  <c r="G16" i="2" s="1"/>
  <c r="B38" i="2"/>
  <c r="F45" i="2" s="1"/>
  <c r="B37" i="2"/>
  <c r="B36" i="2"/>
  <c r="F41" i="2" s="1"/>
  <c r="B35" i="2"/>
  <c r="F40" i="2" s="1"/>
  <c r="B34" i="2"/>
  <c r="F38" i="2" s="1"/>
  <c r="B33" i="2"/>
  <c r="F36" i="2" s="1"/>
  <c r="B32" i="2"/>
  <c r="F33" i="2" s="1"/>
  <c r="B31" i="2"/>
  <c r="F32" i="2" s="1"/>
  <c r="C8" i="2"/>
  <c r="C9" i="2" s="1"/>
  <c r="C3" i="2"/>
  <c r="B9" i="7"/>
  <c r="F45" i="7"/>
  <c r="F46" i="7" s="1"/>
  <c r="F43" i="7"/>
  <c r="F44" i="7" s="1"/>
  <c r="F41" i="7"/>
  <c r="F42" i="7" s="1"/>
  <c r="F39" i="7"/>
  <c r="F40" i="7" s="1"/>
  <c r="F37" i="7"/>
  <c r="F38" i="7" s="1"/>
  <c r="F35" i="7"/>
  <c r="F36" i="7" s="1"/>
  <c r="F33" i="7"/>
  <c r="F34" i="7" s="1"/>
  <c r="F31" i="7"/>
  <c r="F32" i="7" s="1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G7" i="7"/>
  <c r="G9" i="7" s="1"/>
  <c r="G15" i="2"/>
  <c r="G3" i="2"/>
  <c r="G4" i="2" s="1"/>
  <c r="G8" i="2"/>
  <c r="G9" i="2" s="1"/>
  <c r="F1" i="2"/>
  <c r="A1" i="7"/>
  <c r="A56" i="7" a="1"/>
  <c r="C56" i="7" a="1"/>
  <c r="C56" i="7" l="1"/>
  <c r="C72" i="7"/>
  <c r="C88" i="7"/>
  <c r="D70" i="7"/>
  <c r="D90" i="7"/>
  <c r="D79" i="7"/>
  <c r="C81" i="7"/>
  <c r="D87" i="7"/>
  <c r="C71" i="7"/>
  <c r="D81" i="7"/>
  <c r="D60" i="7"/>
  <c r="D67" i="7"/>
  <c r="D82" i="7"/>
  <c r="C65" i="7"/>
  <c r="D64" i="7"/>
  <c r="D84" i="7"/>
  <c r="D65" i="7"/>
  <c r="C58" i="7"/>
  <c r="C74" i="7"/>
  <c r="C90" i="7"/>
  <c r="D72" i="7"/>
  <c r="C77" i="7"/>
  <c r="D85" i="7"/>
  <c r="C87" i="7"/>
  <c r="C57" i="7"/>
  <c r="C73" i="7"/>
  <c r="D91" i="7"/>
  <c r="D80" i="7"/>
  <c r="C63" i="7"/>
  <c r="C60" i="7"/>
  <c r="C76" i="7"/>
  <c r="C92" i="7"/>
  <c r="D74" i="7"/>
  <c r="C83" i="7"/>
  <c r="D89" i="7"/>
  <c r="C91" i="7"/>
  <c r="C59" i="7"/>
  <c r="C75" i="7"/>
  <c r="C80" i="7"/>
  <c r="D66" i="7"/>
  <c r="C82" i="7"/>
  <c r="D76" i="7"/>
  <c r="C84" i="7"/>
  <c r="D77" i="7"/>
  <c r="C62" i="7"/>
  <c r="C78" i="7"/>
  <c r="D58" i="7"/>
  <c r="D78" i="7"/>
  <c r="C89" i="7"/>
  <c r="D56" i="7"/>
  <c r="D59" i="7"/>
  <c r="C61" i="7"/>
  <c r="C79" i="7"/>
  <c r="C64" i="7"/>
  <c r="D57" i="7"/>
  <c r="D62" i="7"/>
  <c r="D71" i="7"/>
  <c r="C85" i="7"/>
  <c r="D69" i="7"/>
  <c r="C70" i="7"/>
  <c r="C86" i="7"/>
  <c r="D68" i="7"/>
  <c r="D88" i="7"/>
  <c r="D73" i="7"/>
  <c r="D92" i="7"/>
  <c r="D83" i="7"/>
  <c r="C69" i="7"/>
  <c r="D75" i="7"/>
  <c r="C66" i="7"/>
  <c r="D63" i="7"/>
  <c r="D61" i="7"/>
  <c r="C68" i="7"/>
  <c r="D86" i="7"/>
  <c r="C67" i="7"/>
  <c r="A68" i="7"/>
  <c r="A84" i="7"/>
  <c r="B79" i="7"/>
  <c r="B66" i="7"/>
  <c r="B82" i="7"/>
  <c r="B69" i="7"/>
  <c r="A63" i="7"/>
  <c r="A79" i="7"/>
  <c r="B63" i="7"/>
  <c r="A76" i="7"/>
  <c r="A71" i="7"/>
  <c r="B61" i="7"/>
  <c r="A73" i="7"/>
  <c r="B78" i="7"/>
  <c r="A91" i="7"/>
  <c r="A70" i="7"/>
  <c r="A86" i="7"/>
  <c r="B83" i="7"/>
  <c r="B68" i="7"/>
  <c r="B84" i="7"/>
  <c r="B75" i="7"/>
  <c r="A65" i="7"/>
  <c r="A81" i="7"/>
  <c r="B71" i="7"/>
  <c r="B58" i="7"/>
  <c r="B91" i="7"/>
  <c r="A56" i="7"/>
  <c r="A72" i="7"/>
  <c r="A88" i="7"/>
  <c r="B89" i="7"/>
  <c r="B70" i="7"/>
  <c r="B86" i="7"/>
  <c r="B81" i="7"/>
  <c r="A67" i="7"/>
  <c r="A83" i="7"/>
  <c r="B77" i="7"/>
  <c r="A92" i="7"/>
  <c r="B90" i="7"/>
  <c r="A62" i="7"/>
  <c r="B76" i="7"/>
  <c r="A89" i="7"/>
  <c r="A64" i="7"/>
  <c r="B57" i="7"/>
  <c r="A58" i="7"/>
  <c r="A74" i="7"/>
  <c r="A90" i="7"/>
  <c r="B56" i="7"/>
  <c r="B72" i="7"/>
  <c r="B88" i="7"/>
  <c r="B87" i="7"/>
  <c r="A69" i="7"/>
  <c r="A85" i="7"/>
  <c r="B85" i="7"/>
  <c r="A60" i="7"/>
  <c r="B74" i="7"/>
  <c r="A78" i="7"/>
  <c r="B92" i="7"/>
  <c r="B67" i="7"/>
  <c r="A75" i="7"/>
  <c r="A66" i="7"/>
  <c r="A82" i="7"/>
  <c r="B73" i="7"/>
  <c r="B64" i="7"/>
  <c r="B80" i="7"/>
  <c r="B65" i="7"/>
  <c r="A61" i="7"/>
  <c r="A77" i="7"/>
  <c r="B59" i="7"/>
  <c r="A87" i="7"/>
  <c r="B60" i="7"/>
  <c r="A57" i="7"/>
  <c r="A80" i="7"/>
  <c r="B62" i="7"/>
  <c r="A59" i="7"/>
  <c r="C47" i="2"/>
  <c r="C48" i="2" s="1"/>
  <c r="C49" i="2" s="1"/>
  <c r="C50" i="2" s="1"/>
  <c r="C51" i="2" s="1"/>
  <c r="C52" i="2" s="1"/>
  <c r="C53" i="2" s="1"/>
  <c r="C54" i="2" s="1"/>
  <c r="D54" i="2" s="1"/>
  <c r="F54" i="2" s="1"/>
  <c r="F35" i="2"/>
  <c r="C47" i="7"/>
  <c r="F47" i="7" s="1"/>
  <c r="G3" i="7"/>
  <c r="G4" i="7" s="1"/>
  <c r="C4" i="2"/>
  <c r="E1" i="5"/>
  <c r="F37" i="2"/>
  <c r="F39" i="2"/>
  <c r="A2" i="5"/>
  <c r="C49" i="7"/>
  <c r="F49" i="7" s="1"/>
  <c r="C50" i="7"/>
  <c r="F50" i="7" s="1"/>
  <c r="C48" i="7"/>
  <c r="F48" i="7" s="1"/>
  <c r="F31" i="2"/>
  <c r="C17" i="2"/>
  <c r="C18" i="2" s="1"/>
  <c r="F34" i="2"/>
  <c r="F46" i="2"/>
  <c r="L3" i="2"/>
  <c r="L4" i="2" s="1"/>
  <c r="F42" i="2"/>
  <c r="F43" i="2"/>
  <c r="F44" i="2"/>
  <c r="F1" i="7"/>
  <c r="F56" i="7" a="1"/>
  <c r="F56" i="7" l="1"/>
  <c r="F58" i="7"/>
  <c r="F60" i="7"/>
  <c r="F62" i="7"/>
  <c r="F64" i="7"/>
  <c r="F66" i="7"/>
  <c r="F68" i="7"/>
  <c r="F70" i="7"/>
  <c r="F72" i="7"/>
  <c r="F74" i="7"/>
  <c r="F76" i="7"/>
  <c r="F78" i="7"/>
  <c r="F80" i="7"/>
  <c r="F82" i="7"/>
  <c r="F84" i="7"/>
  <c r="F86" i="7"/>
  <c r="F88" i="7"/>
  <c r="F90" i="7"/>
  <c r="F92" i="7"/>
  <c r="G56" i="7"/>
  <c r="G58" i="7"/>
  <c r="G60" i="7"/>
  <c r="G62" i="7"/>
  <c r="G64" i="7"/>
  <c r="G66" i="7"/>
  <c r="G68" i="7"/>
  <c r="G70" i="7"/>
  <c r="G72" i="7"/>
  <c r="G74" i="7"/>
  <c r="G76" i="7"/>
  <c r="G78" i="7"/>
  <c r="G80" i="7"/>
  <c r="G82" i="7"/>
  <c r="G84" i="7"/>
  <c r="G86" i="7"/>
  <c r="G88" i="7"/>
  <c r="G90" i="7"/>
  <c r="G92" i="7"/>
  <c r="G57" i="7"/>
  <c r="G59" i="7"/>
  <c r="G61" i="7"/>
  <c r="G63" i="7"/>
  <c r="G65" i="7"/>
  <c r="G67" i="7"/>
  <c r="G69" i="7"/>
  <c r="G71" i="7"/>
  <c r="G73" i="7"/>
  <c r="G75" i="7"/>
  <c r="G77" i="7"/>
  <c r="G79" i="7"/>
  <c r="G81" i="7"/>
  <c r="G83" i="7"/>
  <c r="G85" i="7"/>
  <c r="G87" i="7"/>
  <c r="G89" i="7"/>
  <c r="G91" i="7"/>
  <c r="F57" i="7"/>
  <c r="F59" i="7"/>
  <c r="F61" i="7"/>
  <c r="F63" i="7"/>
  <c r="F65" i="7"/>
  <c r="F67" i="7"/>
  <c r="F69" i="7"/>
  <c r="F71" i="7"/>
  <c r="F73" i="7"/>
  <c r="F75" i="7"/>
  <c r="F77" i="7"/>
  <c r="F79" i="7"/>
  <c r="F81" i="7"/>
  <c r="F83" i="7"/>
  <c r="F85" i="7"/>
  <c r="F87" i="7"/>
  <c r="F89" i="7"/>
  <c r="F91" i="7"/>
  <c r="D49" i="2"/>
  <c r="F49" i="2" s="1"/>
  <c r="D50" i="2"/>
  <c r="F50" i="2" s="1"/>
  <c r="D53" i="2"/>
  <c r="F53" i="2" s="1"/>
  <c r="D51" i="2"/>
  <c r="F51" i="2" s="1"/>
  <c r="D47" i="2"/>
  <c r="F47" i="2" s="1"/>
  <c r="D48" i="2"/>
  <c r="F48" i="2" s="1"/>
  <c r="D52" i="2"/>
  <c r="F52" i="2" s="1"/>
  <c r="G17" i="2"/>
  <c r="A3" i="5"/>
  <c r="G18" i="2"/>
  <c r="C19" i="2"/>
  <c r="H56" i="7" a="1"/>
  <c r="H70" i="7" l="1"/>
  <c r="H86" i="7"/>
  <c r="I72" i="7"/>
  <c r="I59" i="7"/>
  <c r="I62" i="7"/>
  <c r="I77" i="7"/>
  <c r="H65" i="7"/>
  <c r="H81" i="7"/>
  <c r="I75" i="7"/>
  <c r="H72" i="7"/>
  <c r="H84" i="7"/>
  <c r="H91" i="7"/>
  <c r="I69" i="7"/>
  <c r="H63" i="7"/>
  <c r="I71" i="7"/>
  <c r="H56" i="7"/>
  <c r="H88" i="7"/>
  <c r="I74" i="7"/>
  <c r="I63" i="7"/>
  <c r="I68" i="7"/>
  <c r="I79" i="7"/>
  <c r="H67" i="7"/>
  <c r="H83" i="7"/>
  <c r="I83" i="7"/>
  <c r="H58" i="7"/>
  <c r="H74" i="7"/>
  <c r="H90" i="7"/>
  <c r="I78" i="7"/>
  <c r="I67" i="7"/>
  <c r="I76" i="7"/>
  <c r="I85" i="7"/>
  <c r="H69" i="7"/>
  <c r="H85" i="7"/>
  <c r="I89" i="7"/>
  <c r="H68" i="7"/>
  <c r="I58" i="7"/>
  <c r="H79" i="7"/>
  <c r="H60" i="7"/>
  <c r="H76" i="7"/>
  <c r="H92" i="7"/>
  <c r="I82" i="7"/>
  <c r="I73" i="7"/>
  <c r="I80" i="7"/>
  <c r="I91" i="7"/>
  <c r="H71" i="7"/>
  <c r="H87" i="7"/>
  <c r="H62" i="7"/>
  <c r="H78" i="7"/>
  <c r="I60" i="7"/>
  <c r="I84" i="7"/>
  <c r="I81" i="7"/>
  <c r="I86" i="7"/>
  <c r="H57" i="7"/>
  <c r="H73" i="7"/>
  <c r="H89" i="7"/>
  <c r="I70" i="7"/>
  <c r="H64" i="7"/>
  <c r="H80" i="7"/>
  <c r="I64" i="7"/>
  <c r="I88" i="7"/>
  <c r="I87" i="7"/>
  <c r="I90" i="7"/>
  <c r="H59" i="7"/>
  <c r="H75" i="7"/>
  <c r="I57" i="7"/>
  <c r="H66" i="7"/>
  <c r="H82" i="7"/>
  <c r="I66" i="7"/>
  <c r="I92" i="7"/>
  <c r="I56" i="7"/>
  <c r="I61" i="7"/>
  <c r="H61" i="7"/>
  <c r="H77" i="7"/>
  <c r="I65" i="7"/>
  <c r="C51" i="7"/>
  <c r="F51" i="7" s="1"/>
  <c r="A4" i="5"/>
  <c r="C20" i="2"/>
  <c r="G19" i="2"/>
  <c r="C52" i="7"/>
  <c r="F52" i="7" s="1"/>
  <c r="A5" i="5" l="1"/>
  <c r="C31" i="2"/>
  <c r="C21" i="2"/>
  <c r="G20" i="2"/>
  <c r="C54" i="7"/>
  <c r="F54" i="7" s="1"/>
  <c r="C53" i="7"/>
  <c r="F53" i="7" s="1"/>
  <c r="F1" i="5" l="1"/>
  <c r="A6" i="5"/>
  <c r="C32" i="2"/>
  <c r="G31" i="2"/>
  <c r="C22" i="2"/>
  <c r="G21" i="2"/>
  <c r="A7" i="5" l="1"/>
  <c r="G33" i="2"/>
  <c r="C33" i="2"/>
  <c r="G22" i="2"/>
  <c r="C23" i="2"/>
  <c r="A8" i="5" l="1"/>
  <c r="G35" i="2"/>
  <c r="C34" i="2"/>
  <c r="G23" i="2"/>
  <c r="C24" i="2"/>
  <c r="A9" i="5" l="1"/>
  <c r="C25" i="2"/>
  <c r="G24" i="2"/>
  <c r="G37" i="2"/>
  <c r="C35" i="2"/>
  <c r="A10" i="5" l="1"/>
  <c r="G25" i="2"/>
  <c r="C26" i="2"/>
  <c r="C36" i="2"/>
  <c r="G39" i="2"/>
  <c r="A11" i="5" l="1"/>
  <c r="C37" i="2"/>
  <c r="G41" i="2"/>
  <c r="C27" i="2"/>
  <c r="G26" i="2"/>
  <c r="A12" i="5" l="1"/>
  <c r="C38" i="2"/>
  <c r="G43" i="2"/>
  <c r="C28" i="2"/>
  <c r="G27" i="2"/>
  <c r="A13" i="5" l="1"/>
  <c r="G45" i="2"/>
  <c r="C29" i="2"/>
  <c r="G28" i="2"/>
  <c r="A14" i="5" l="1"/>
  <c r="C30" i="2"/>
  <c r="G29" i="2"/>
  <c r="B1" i="2"/>
  <c r="K14" i="2" a="1"/>
  <c r="C56" i="2" a="1"/>
  <c r="A56" i="2" a="1"/>
  <c r="C62" i="2" l="1"/>
  <c r="C78" i="2"/>
  <c r="D61" i="2"/>
  <c r="D62" i="2"/>
  <c r="D78" i="2"/>
  <c r="D57" i="2"/>
  <c r="C59" i="2"/>
  <c r="C75" i="2"/>
  <c r="C91" i="2"/>
  <c r="C80" i="2"/>
  <c r="D80" i="2"/>
  <c r="C61" i="2"/>
  <c r="C77" i="2"/>
  <c r="D76" i="2"/>
  <c r="D92" i="2"/>
  <c r="C89" i="2"/>
  <c r="C64" i="2"/>
  <c r="D65" i="2"/>
  <c r="D64" i="2"/>
  <c r="D63" i="2"/>
  <c r="D59" i="2"/>
  <c r="C76" i="2"/>
  <c r="C66" i="2"/>
  <c r="C82" i="2"/>
  <c r="D75" i="2"/>
  <c r="D66" i="2"/>
  <c r="D82" i="2"/>
  <c r="D69" i="2"/>
  <c r="C63" i="2"/>
  <c r="C79" i="2"/>
  <c r="D67" i="2"/>
  <c r="C60" i="2"/>
  <c r="C73" i="2"/>
  <c r="C68" i="2"/>
  <c r="C84" i="2"/>
  <c r="D83" i="2"/>
  <c r="D68" i="2"/>
  <c r="D84" i="2"/>
  <c r="D73" i="2"/>
  <c r="C65" i="2"/>
  <c r="C81" i="2"/>
  <c r="D71" i="2"/>
  <c r="C92" i="2"/>
  <c r="C70" i="2"/>
  <c r="C86" i="2"/>
  <c r="D87" i="2"/>
  <c r="D70" i="2"/>
  <c r="D86" i="2"/>
  <c r="D79" i="2"/>
  <c r="C67" i="2"/>
  <c r="C83" i="2"/>
  <c r="D77" i="2"/>
  <c r="D60" i="2"/>
  <c r="C57" i="2"/>
  <c r="C56" i="2"/>
  <c r="C72" i="2"/>
  <c r="C88" i="2"/>
  <c r="D56" i="2"/>
  <c r="D72" i="2"/>
  <c r="D88" i="2"/>
  <c r="D85" i="2"/>
  <c r="C69" i="2"/>
  <c r="C85" i="2"/>
  <c r="D81" i="2"/>
  <c r="C58" i="2"/>
  <c r="C74" i="2"/>
  <c r="C90" i="2"/>
  <c r="D58" i="2"/>
  <c r="D74" i="2"/>
  <c r="D90" i="2"/>
  <c r="D91" i="2"/>
  <c r="C71" i="2"/>
  <c r="C87" i="2"/>
  <c r="D89" i="2"/>
  <c r="B59" i="2"/>
  <c r="A58" i="2"/>
  <c r="A74" i="2"/>
  <c r="A90" i="2"/>
  <c r="B70" i="2"/>
  <c r="B86" i="2"/>
  <c r="B79" i="2"/>
  <c r="A59" i="2"/>
  <c r="A75" i="2"/>
  <c r="A91" i="2"/>
  <c r="B61" i="2"/>
  <c r="A60" i="2"/>
  <c r="A92" i="2"/>
  <c r="B72" i="2"/>
  <c r="B88" i="2"/>
  <c r="A61" i="2"/>
  <c r="A77" i="2"/>
  <c r="A56" i="2"/>
  <c r="B77" i="2"/>
  <c r="A76" i="2"/>
  <c r="B83" i="2"/>
  <c r="B68" i="2"/>
  <c r="B65" i="2"/>
  <c r="A62" i="2"/>
  <c r="A78" i="2"/>
  <c r="B56" i="2"/>
  <c r="B74" i="2"/>
  <c r="B90" i="2"/>
  <c r="B89" i="2"/>
  <c r="A63" i="2"/>
  <c r="A79" i="2"/>
  <c r="A88" i="2"/>
  <c r="A73" i="2"/>
  <c r="B69" i="2"/>
  <c r="A64" i="2"/>
  <c r="A80" i="2"/>
  <c r="B58" i="2"/>
  <c r="B76" i="2"/>
  <c r="B63" i="2"/>
  <c r="B62" i="2"/>
  <c r="A65" i="2"/>
  <c r="A81" i="2"/>
  <c r="A72" i="2"/>
  <c r="A89" i="2"/>
  <c r="B75" i="2"/>
  <c r="A66" i="2"/>
  <c r="A82" i="2"/>
  <c r="B60" i="2"/>
  <c r="B78" i="2"/>
  <c r="B67" i="2"/>
  <c r="B92" i="2"/>
  <c r="A67" i="2"/>
  <c r="A83" i="2"/>
  <c r="B57" i="2"/>
  <c r="B84" i="2"/>
  <c r="B81" i="2"/>
  <c r="A68" i="2"/>
  <c r="A84" i="2"/>
  <c r="B64" i="2"/>
  <c r="B80" i="2"/>
  <c r="B71" i="2"/>
  <c r="B85" i="2"/>
  <c r="A69" i="2"/>
  <c r="A85" i="2"/>
  <c r="B87" i="2"/>
  <c r="A70" i="2"/>
  <c r="A86" i="2"/>
  <c r="B66" i="2"/>
  <c r="B82" i="2"/>
  <c r="B73" i="2"/>
  <c r="B91" i="2"/>
  <c r="A71" i="2"/>
  <c r="A87" i="2"/>
  <c r="A57" i="2"/>
  <c r="K43" i="2"/>
  <c r="K38" i="2"/>
  <c r="L18" i="2"/>
  <c r="K42" i="2"/>
  <c r="K28" i="2"/>
  <c r="K45" i="2"/>
  <c r="K46" i="2"/>
  <c r="K17" i="2"/>
  <c r="L28" i="2"/>
  <c r="L14" i="2"/>
  <c r="K39" i="2"/>
  <c r="L32" i="2"/>
  <c r="L34" i="2"/>
  <c r="L20" i="2"/>
  <c r="K44" i="2"/>
  <c r="L24" i="2"/>
  <c r="L40" i="2"/>
  <c r="K49" i="2"/>
  <c r="L44" i="2"/>
  <c r="L30" i="2"/>
  <c r="L48" i="2"/>
  <c r="L50" i="2"/>
  <c r="L36" i="2"/>
  <c r="L22" i="2"/>
  <c r="K15" i="2"/>
  <c r="L19" i="2"/>
  <c r="L26" i="2"/>
  <c r="L23" i="2"/>
  <c r="L46" i="2"/>
  <c r="L43" i="2"/>
  <c r="L29" i="2"/>
  <c r="L15" i="2"/>
  <c r="L38" i="2"/>
  <c r="K48" i="2"/>
  <c r="L35" i="2"/>
  <c r="K32" i="2"/>
  <c r="L39" i="2"/>
  <c r="L25" i="2"/>
  <c r="K40" i="2"/>
  <c r="K22" i="2"/>
  <c r="L45" i="2"/>
  <c r="L31" i="2"/>
  <c r="L17" i="2"/>
  <c r="L37" i="2"/>
  <c r="K31" i="2"/>
  <c r="L21" i="2"/>
  <c r="K19" i="2"/>
  <c r="L41" i="2"/>
  <c r="K23" i="2"/>
  <c r="K25" i="2"/>
  <c r="L47" i="2"/>
  <c r="L33" i="2"/>
  <c r="K33" i="2"/>
  <c r="K47" i="2"/>
  <c r="K18" i="2"/>
  <c r="K35" i="2"/>
  <c r="K37" i="2"/>
  <c r="K24" i="2"/>
  <c r="K41" i="2"/>
  <c r="K27" i="2"/>
  <c r="L49" i="2"/>
  <c r="K14" i="2"/>
  <c r="K16" i="2"/>
  <c r="K34" i="2"/>
  <c r="K20" i="2"/>
  <c r="L16" i="2"/>
  <c r="K21" i="2"/>
  <c r="K26" i="2"/>
  <c r="K29" i="2"/>
  <c r="K30" i="2"/>
  <c r="L42" i="2"/>
  <c r="K50" i="2"/>
  <c r="K36" i="2"/>
  <c r="L27" i="2"/>
  <c r="B1" i="5"/>
  <c r="L6" i="2"/>
  <c r="A15" i="5"/>
  <c r="G30" i="2"/>
  <c r="F56" i="2" a="1"/>
  <c r="H56" i="2" a="1"/>
  <c r="I77" i="2" l="1"/>
  <c r="H70" i="2"/>
  <c r="H86" i="2"/>
  <c r="I71" i="2"/>
  <c r="I64" i="2"/>
  <c r="I80" i="2"/>
  <c r="I85" i="2"/>
  <c r="H69" i="2"/>
  <c r="H85" i="2"/>
  <c r="I79" i="2"/>
  <c r="H56" i="2"/>
  <c r="H72" i="2"/>
  <c r="H88" i="2"/>
  <c r="I75" i="2"/>
  <c r="I66" i="2"/>
  <c r="I82" i="2"/>
  <c r="I89" i="2"/>
  <c r="H71" i="2"/>
  <c r="H87" i="2"/>
  <c r="I83" i="2"/>
  <c r="H58" i="2"/>
  <c r="H74" i="2"/>
  <c r="H90" i="2"/>
  <c r="I81" i="2"/>
  <c r="I68" i="2"/>
  <c r="I84" i="2"/>
  <c r="H57" i="2"/>
  <c r="H73" i="2"/>
  <c r="H89" i="2"/>
  <c r="I91" i="2"/>
  <c r="H60" i="2"/>
  <c r="H76" i="2"/>
  <c r="H92" i="2"/>
  <c r="I87" i="2"/>
  <c r="I70" i="2"/>
  <c r="I88" i="2"/>
  <c r="H59" i="2"/>
  <c r="H75" i="2"/>
  <c r="H91" i="2"/>
  <c r="H83" i="2"/>
  <c r="H62" i="2"/>
  <c r="H78" i="2"/>
  <c r="I86" i="2"/>
  <c r="I56" i="2"/>
  <c r="I72" i="2"/>
  <c r="I92" i="2"/>
  <c r="H61" i="2"/>
  <c r="H77" i="2"/>
  <c r="I57" i="2"/>
  <c r="H64" i="2"/>
  <c r="H80" i="2"/>
  <c r="I90" i="2"/>
  <c r="I58" i="2"/>
  <c r="I74" i="2"/>
  <c r="I61" i="2"/>
  <c r="H63" i="2"/>
  <c r="H79" i="2"/>
  <c r="I63" i="2"/>
  <c r="H66" i="2"/>
  <c r="H82" i="2"/>
  <c r="I59" i="2"/>
  <c r="I60" i="2"/>
  <c r="I76" i="2"/>
  <c r="I67" i="2"/>
  <c r="H65" i="2"/>
  <c r="H81" i="2"/>
  <c r="I69" i="2"/>
  <c r="H68" i="2"/>
  <c r="H84" i="2"/>
  <c r="I65" i="2"/>
  <c r="I62" i="2"/>
  <c r="I78" i="2"/>
  <c r="H67" i="2"/>
  <c r="I73" i="2"/>
  <c r="F84" i="2"/>
  <c r="F70" i="2"/>
  <c r="F87" i="2"/>
  <c r="F57" i="2"/>
  <c r="G63" i="2"/>
  <c r="G83" i="2"/>
  <c r="F65" i="2"/>
  <c r="F76" i="2"/>
  <c r="F62" i="2"/>
  <c r="G62" i="2"/>
  <c r="F86" i="2"/>
  <c r="F56" i="2"/>
  <c r="F73" i="2"/>
  <c r="G79" i="2"/>
  <c r="F79" i="2"/>
  <c r="G60" i="2"/>
  <c r="F92" i="2"/>
  <c r="G56" i="2"/>
  <c r="G78" i="2"/>
  <c r="G64" i="2"/>
  <c r="F72" i="2"/>
  <c r="F89" i="2"/>
  <c r="F59" i="2"/>
  <c r="F64" i="2"/>
  <c r="G92" i="2"/>
  <c r="G70" i="2"/>
  <c r="G67" i="2"/>
  <c r="G57" i="2"/>
  <c r="G80" i="2"/>
  <c r="F88" i="2"/>
  <c r="F58" i="2"/>
  <c r="F75" i="2"/>
  <c r="F80" i="2"/>
  <c r="G87" i="2"/>
  <c r="G86" i="2"/>
  <c r="F63" i="2"/>
  <c r="G73" i="2"/>
  <c r="G59" i="2"/>
  <c r="G66" i="2"/>
  <c r="F74" i="2"/>
  <c r="F91" i="2"/>
  <c r="G58" i="2"/>
  <c r="F83" i="2"/>
  <c r="G65" i="2"/>
  <c r="G76" i="2"/>
  <c r="F81" i="2"/>
  <c r="G89" i="2"/>
  <c r="G75" i="2"/>
  <c r="G82" i="2"/>
  <c r="F90" i="2"/>
  <c r="F78" i="2"/>
  <c r="G90" i="2"/>
  <c r="G74" i="2"/>
  <c r="G81" i="2"/>
  <c r="G71" i="2"/>
  <c r="F66" i="2"/>
  <c r="F69" i="2"/>
  <c r="G91" i="2"/>
  <c r="G61" i="2"/>
  <c r="G68" i="2"/>
  <c r="G72" i="2"/>
  <c r="G69" i="2"/>
  <c r="F82" i="2"/>
  <c r="F61" i="2"/>
  <c r="F67" i="2"/>
  <c r="F68" i="2"/>
  <c r="F85" i="2"/>
  <c r="F71" i="2"/>
  <c r="G77" i="2"/>
  <c r="G84" i="2"/>
  <c r="G88" i="2"/>
  <c r="G85" i="2"/>
  <c r="F60" i="2"/>
  <c r="F77" i="2"/>
  <c r="C1" i="5"/>
  <c r="M33" i="2"/>
  <c r="M24" i="2"/>
  <c r="M27" i="2"/>
  <c r="M29" i="2"/>
  <c r="M20" i="2"/>
  <c r="M30" i="2"/>
  <c r="M23" i="2"/>
  <c r="M25" i="2"/>
  <c r="M16" i="2"/>
  <c r="M26" i="2"/>
  <c r="M19" i="2"/>
  <c r="M21" i="2"/>
  <c r="M18" i="2"/>
  <c r="M15" i="2"/>
  <c r="M17" i="2"/>
  <c r="M34" i="2"/>
  <c r="M36" i="2"/>
  <c r="M22" i="2"/>
  <c r="M32" i="2"/>
  <c r="M35" i="2"/>
  <c r="M37" i="2"/>
  <c r="M28" i="2"/>
  <c r="M31" i="2"/>
  <c r="M14" i="2"/>
  <c r="A16" i="5"/>
  <c r="K1" i="2"/>
  <c r="O14" i="2" a="1"/>
  <c r="O14" i="2" l="1"/>
  <c r="O16" i="2"/>
  <c r="O18" i="2"/>
  <c r="O20" i="2"/>
  <c r="O22" i="2"/>
  <c r="O24" i="2"/>
  <c r="O26" i="2"/>
  <c r="O28" i="2"/>
  <c r="O30" i="2"/>
  <c r="O32" i="2"/>
  <c r="O34" i="2"/>
  <c r="O36" i="2"/>
  <c r="O38" i="2"/>
  <c r="O40" i="2"/>
  <c r="O42" i="2"/>
  <c r="O44" i="2"/>
  <c r="O46" i="2"/>
  <c r="O48" i="2"/>
  <c r="O50" i="2"/>
  <c r="P44" i="2"/>
  <c r="P50" i="2"/>
  <c r="O17" i="2"/>
  <c r="O19" i="2"/>
  <c r="O23" i="2"/>
  <c r="O27" i="2"/>
  <c r="O33" i="2"/>
  <c r="O37" i="2"/>
  <c r="O41" i="2"/>
  <c r="O45" i="2"/>
  <c r="O47" i="2"/>
  <c r="P17" i="2"/>
  <c r="P19" i="2"/>
  <c r="P23" i="2"/>
  <c r="P27" i="2"/>
  <c r="P31" i="2"/>
  <c r="P35" i="2"/>
  <c r="P39" i="2"/>
  <c r="P43" i="2"/>
  <c r="P47" i="2"/>
  <c r="P14" i="2"/>
  <c r="P16" i="2"/>
  <c r="P18" i="2"/>
  <c r="P20" i="2"/>
  <c r="P22" i="2"/>
  <c r="P24" i="2"/>
  <c r="P26" i="2"/>
  <c r="P28" i="2"/>
  <c r="P30" i="2"/>
  <c r="P32" i="2"/>
  <c r="P34" i="2"/>
  <c r="P36" i="2"/>
  <c r="P38" i="2"/>
  <c r="P40" i="2"/>
  <c r="P42" i="2"/>
  <c r="P46" i="2"/>
  <c r="P48" i="2"/>
  <c r="O15" i="2"/>
  <c r="O21" i="2"/>
  <c r="O25" i="2"/>
  <c r="O29" i="2"/>
  <c r="O31" i="2"/>
  <c r="O35" i="2"/>
  <c r="O39" i="2"/>
  <c r="O43" i="2"/>
  <c r="O49" i="2"/>
  <c r="P15" i="2"/>
  <c r="P21" i="2"/>
  <c r="P25" i="2"/>
  <c r="P29" i="2"/>
  <c r="P33" i="2"/>
  <c r="P37" i="2"/>
  <c r="P41" i="2"/>
  <c r="P45" i="2"/>
  <c r="P49" i="2"/>
  <c r="D1" i="5"/>
  <c r="A17" i="5"/>
  <c r="K56" i="2" a="1"/>
  <c r="O56" i="2" a="1"/>
  <c r="L64" i="2" l="1"/>
  <c r="L80" i="2"/>
  <c r="L59" i="2"/>
  <c r="L75" i="2"/>
  <c r="L91" i="2"/>
  <c r="K70" i="2"/>
  <c r="K88" i="2"/>
  <c r="K67" i="2"/>
  <c r="K83" i="2"/>
  <c r="L66" i="2"/>
  <c r="L82" i="2"/>
  <c r="L61" i="2"/>
  <c r="L77" i="2"/>
  <c r="K56" i="2"/>
  <c r="K72" i="2"/>
  <c r="K90" i="2"/>
  <c r="K69" i="2"/>
  <c r="K85" i="2"/>
  <c r="L68" i="2"/>
  <c r="L84" i="2"/>
  <c r="L63" i="2"/>
  <c r="L79" i="2"/>
  <c r="K58" i="2"/>
  <c r="K76" i="2"/>
  <c r="K92" i="2"/>
  <c r="K71" i="2"/>
  <c r="K87" i="2"/>
  <c r="K89" i="2"/>
  <c r="K74" i="2"/>
  <c r="L70" i="2"/>
  <c r="L86" i="2"/>
  <c r="L65" i="2"/>
  <c r="L81" i="2"/>
  <c r="K60" i="2"/>
  <c r="K78" i="2"/>
  <c r="K57" i="2"/>
  <c r="K73" i="2"/>
  <c r="L56" i="2"/>
  <c r="L72" i="2"/>
  <c r="L88" i="2"/>
  <c r="L67" i="2"/>
  <c r="L83" i="2"/>
  <c r="K62" i="2"/>
  <c r="K80" i="2"/>
  <c r="K59" i="2"/>
  <c r="K75" i="2"/>
  <c r="K91" i="2"/>
  <c r="K64" i="2"/>
  <c r="L58" i="2"/>
  <c r="L74" i="2"/>
  <c r="L90" i="2"/>
  <c r="L69" i="2"/>
  <c r="L85" i="2"/>
  <c r="K82" i="2"/>
  <c r="K61" i="2"/>
  <c r="K77" i="2"/>
  <c r="L60" i="2"/>
  <c r="L76" i="2"/>
  <c r="L92" i="2"/>
  <c r="L71" i="2"/>
  <c r="L87" i="2"/>
  <c r="K66" i="2"/>
  <c r="K84" i="2"/>
  <c r="K63" i="2"/>
  <c r="K79" i="2"/>
  <c r="L62" i="2"/>
  <c r="L78" i="2"/>
  <c r="L57" i="2"/>
  <c r="L73" i="2"/>
  <c r="L89" i="2"/>
  <c r="K68" i="2"/>
  <c r="K86" i="2"/>
  <c r="K65" i="2"/>
  <c r="K81" i="2"/>
  <c r="O60" i="2"/>
  <c r="O76" i="2"/>
  <c r="O92" i="2"/>
  <c r="P74" i="2"/>
  <c r="O81" i="2"/>
  <c r="P85" i="2"/>
  <c r="P57" i="2"/>
  <c r="O63" i="2"/>
  <c r="O79" i="2"/>
  <c r="O62" i="2"/>
  <c r="O78" i="2"/>
  <c r="P58" i="2"/>
  <c r="P78" i="2"/>
  <c r="O83" i="2"/>
  <c r="P91" i="2"/>
  <c r="P65" i="2"/>
  <c r="O65" i="2"/>
  <c r="O89" i="2"/>
  <c r="O64" i="2"/>
  <c r="O80" i="2"/>
  <c r="P60" i="2"/>
  <c r="P80" i="2"/>
  <c r="O87" i="2"/>
  <c r="P56" i="2"/>
  <c r="P73" i="2"/>
  <c r="O67" i="2"/>
  <c r="P61" i="2"/>
  <c r="O66" i="2"/>
  <c r="O82" i="2"/>
  <c r="P62" i="2"/>
  <c r="P82" i="2"/>
  <c r="P59" i="2"/>
  <c r="P68" i="2"/>
  <c r="P79" i="2"/>
  <c r="O69" i="2"/>
  <c r="P67" i="2"/>
  <c r="O70" i="2"/>
  <c r="O86" i="2"/>
  <c r="P66" i="2"/>
  <c r="P86" i="2"/>
  <c r="P69" i="2"/>
  <c r="P88" i="2"/>
  <c r="O57" i="2"/>
  <c r="O73" i="2"/>
  <c r="P77" i="2"/>
  <c r="O56" i="2"/>
  <c r="O72" i="2"/>
  <c r="O88" i="2"/>
  <c r="P70" i="2"/>
  <c r="P90" i="2"/>
  <c r="P75" i="2"/>
  <c r="O85" i="2"/>
  <c r="O59" i="2"/>
  <c r="O75" i="2"/>
  <c r="P83" i="2"/>
  <c r="O58" i="2"/>
  <c r="O90" i="2"/>
  <c r="P92" i="2"/>
  <c r="O91" i="2"/>
  <c r="O77" i="2"/>
  <c r="O68" i="2"/>
  <c r="O84" i="2"/>
  <c r="P64" i="2"/>
  <c r="P84" i="2"/>
  <c r="P63" i="2"/>
  <c r="P76" i="2"/>
  <c r="P87" i="2"/>
  <c r="O71" i="2"/>
  <c r="P71" i="2"/>
  <c r="O74" i="2"/>
  <c r="P72" i="2"/>
  <c r="P81" i="2"/>
  <c r="O61" i="2"/>
  <c r="P89" i="2"/>
  <c r="Q21" i="2"/>
  <c r="Q44" i="2"/>
  <c r="Q35" i="2"/>
  <c r="Q26" i="2"/>
  <c r="Q17" i="2"/>
  <c r="Q40" i="2"/>
  <c r="Q31" i="2"/>
  <c r="Q22" i="2"/>
  <c r="Q45" i="2"/>
  <c r="Q36" i="2"/>
  <c r="Q27" i="2"/>
  <c r="Q18" i="2"/>
  <c r="Q41" i="2"/>
  <c r="Q32" i="2"/>
  <c r="Q23" i="2"/>
  <c r="Q14" i="2"/>
  <c r="Q37" i="2"/>
  <c r="Q28" i="2"/>
  <c r="Q19" i="2"/>
  <c r="Q42" i="2"/>
  <c r="Q33" i="2"/>
  <c r="Q24" i="2"/>
  <c r="Q15" i="2"/>
  <c r="Q38" i="2"/>
  <c r="Q29" i="2"/>
  <c r="Q20" i="2"/>
  <c r="Q43" i="2"/>
  <c r="Q34" i="2"/>
  <c r="Q25" i="2"/>
  <c r="Q16" i="2"/>
  <c r="Q39" i="2"/>
  <c r="Q30" i="2"/>
  <c r="A18" i="5"/>
  <c r="A19" i="5" l="1"/>
  <c r="A20" i="5" l="1"/>
  <c r="A21" i="5" l="1"/>
  <c r="A22" i="5" l="1"/>
  <c r="A23" i="5" l="1"/>
  <c r="A24" i="5" l="1"/>
  <c r="A25" i="5" l="1"/>
  <c r="A26" i="5" l="1"/>
  <c r="A27" i="5" l="1"/>
  <c r="A28" i="5" l="1"/>
  <c r="A29" i="5" l="1"/>
  <c r="A30" i="5" l="1"/>
  <c r="A31" i="5" l="1"/>
  <c r="A32" i="5" l="1"/>
  <c r="A33" i="5" l="1"/>
  <c r="A34" i="5" l="1"/>
  <c r="A35" i="5" l="1"/>
  <c r="A36" i="5" l="1"/>
  <c r="A37" i="5" l="1"/>
  <c r="A38" i="5" l="1"/>
  <c r="A39" i="5" l="1"/>
  <c r="A40" i="5" l="1"/>
  <c r="A41" i="5" l="1"/>
  <c r="A42" i="5" l="1"/>
  <c r="A43" i="5" l="1"/>
  <c r="A44" i="5" l="1"/>
  <c r="A45" i="5" l="1"/>
  <c r="A46" i="5" l="1"/>
  <c r="A47" i="5" l="1"/>
  <c r="A48" i="5" l="1"/>
  <c r="A49" i="5" l="1"/>
  <c r="A50" i="5" l="1"/>
  <c r="A51" i="5" l="1"/>
  <c r="A52" i="5" l="1"/>
  <c r="A53" i="5" l="1"/>
  <c r="A54" i="5" l="1"/>
  <c r="A55" i="5" l="1"/>
  <c r="A56" i="5" l="1"/>
  <c r="A57" i="5" l="1"/>
  <c r="A58" i="5" l="1"/>
  <c r="A59" i="5" l="1"/>
  <c r="A60" i="5" l="1"/>
  <c r="A61" i="5" l="1"/>
  <c r="A62" i="5" l="1"/>
  <c r="A63" i="5" l="1"/>
  <c r="A64" i="5" l="1"/>
  <c r="A65" i="5" l="1"/>
  <c r="A66" i="5" l="1"/>
  <c r="A67" i="5" l="1"/>
  <c r="A68" i="5" l="1"/>
  <c r="A69" i="5" l="1"/>
  <c r="A70" i="5" l="1"/>
  <c r="A71" i="5" l="1"/>
  <c r="A72" i="5" l="1"/>
  <c r="A73" i="5" l="1"/>
  <c r="A74" i="5" l="1"/>
  <c r="A75" i="5" l="1"/>
  <c r="A76" i="5" l="1"/>
  <c r="A77" i="5" l="1"/>
  <c r="A78" i="5" l="1"/>
  <c r="A79" i="5" l="1"/>
  <c r="A80" i="5" l="1"/>
  <c r="A81" i="5" l="1"/>
  <c r="A82" i="5" l="1"/>
  <c r="A83" i="5" l="1"/>
  <c r="A84" i="5" l="1"/>
  <c r="A85" i="5" l="1"/>
  <c r="A86" i="5" l="1"/>
  <c r="A87" i="5" l="1"/>
  <c r="A88" i="5" l="1"/>
  <c r="A89" i="5" l="1"/>
  <c r="A90" i="5" l="1"/>
  <c r="A91" i="5" l="1"/>
  <c r="A92" i="5" l="1"/>
  <c r="A93" i="5" l="1"/>
  <c r="A94" i="5" l="1"/>
  <c r="A95" i="5" l="1"/>
  <c r="A96" i="5" l="1"/>
  <c r="A97" i="5" l="1"/>
  <c r="A98" i="5" l="1"/>
  <c r="A99" i="5" l="1"/>
  <c r="A100" i="5" l="1"/>
  <c r="A101" i="5" l="1"/>
  <c r="A102" i="5" l="1"/>
  <c r="A103" i="5" l="1"/>
  <c r="A104" i="5" l="1"/>
  <c r="A105" i="5" l="1"/>
  <c r="A106" i="5" l="1"/>
  <c r="A107" i="5" l="1"/>
  <c r="A108" i="5" l="1"/>
  <c r="A109" i="5" l="1"/>
  <c r="A110" i="5" l="1"/>
  <c r="A111" i="5" l="1"/>
  <c r="A112" i="5" l="1"/>
  <c r="A113" i="5" l="1"/>
  <c r="A114" i="5" l="1"/>
  <c r="A115" i="5" l="1"/>
  <c r="A116" i="5" l="1"/>
  <c r="A117" i="5" l="1"/>
  <c r="A118" i="5" l="1"/>
  <c r="A119" i="5" l="1"/>
  <c r="A120" i="5" l="1"/>
  <c r="A121" i="5" l="1"/>
  <c r="A122" i="5" l="1"/>
  <c r="A123" i="5" l="1"/>
  <c r="A124" i="5" l="1"/>
  <c r="A125" i="5" l="1"/>
  <c r="A126" i="5" l="1"/>
  <c r="A127" i="5" l="1"/>
  <c r="A128" i="5" l="1"/>
  <c r="A129" i="5" l="1"/>
  <c r="A130" i="5" l="1"/>
  <c r="A131" i="5" l="1"/>
  <c r="A132" i="5" l="1"/>
  <c r="A133" i="5" l="1"/>
  <c r="A134" i="5" l="1"/>
  <c r="A135" i="5" l="1"/>
  <c r="A136" i="5" l="1"/>
  <c r="A137" i="5" l="1"/>
  <c r="A138" i="5" l="1"/>
  <c r="A139" i="5" l="1"/>
  <c r="A140" i="5" l="1"/>
  <c r="A141" i="5" l="1"/>
  <c r="A142" i="5" l="1"/>
  <c r="A143" i="5" l="1"/>
  <c r="A144" i="5" l="1"/>
  <c r="A145" i="5" l="1"/>
  <c r="A146" i="5" l="1"/>
  <c r="A147" i="5" l="1"/>
  <c r="A148" i="5" l="1"/>
  <c r="A149" i="5" l="1"/>
  <c r="A150" i="5" l="1"/>
  <c r="A151" i="5" l="1"/>
  <c r="A152" i="5" l="1"/>
  <c r="A153" i="5" l="1"/>
  <c r="A154" i="5" l="1"/>
  <c r="A155" i="5" l="1"/>
  <c r="A156" i="5" l="1"/>
  <c r="A157" i="5" l="1"/>
  <c r="A158" i="5" l="1"/>
  <c r="A159" i="5" l="1"/>
  <c r="A160" i="5" l="1"/>
  <c r="A161" i="5" l="1"/>
  <c r="A162" i="5" l="1"/>
  <c r="A163" i="5" l="1"/>
  <c r="A164" i="5" l="1"/>
  <c r="A165" i="5" l="1"/>
  <c r="A166" i="5" l="1"/>
  <c r="A167" i="5" l="1"/>
  <c r="A168" i="5" l="1"/>
  <c r="A169" i="5" l="1"/>
  <c r="A170" i="5" l="1"/>
  <c r="A171" i="5" l="1"/>
  <c r="A172" i="5" l="1"/>
  <c r="A173" i="5" l="1"/>
  <c r="A174" i="5" l="1"/>
  <c r="A175" i="5" l="1"/>
  <c r="A176" i="5" l="1"/>
  <c r="A177" i="5" l="1"/>
  <c r="A178" i="5" l="1"/>
  <c r="A179" i="5" l="1"/>
  <c r="A180" i="5" l="1"/>
  <c r="A181" i="5" l="1"/>
  <c r="A182" i="5" l="1"/>
  <c r="A183" i="5" l="1"/>
  <c r="A184" i="5" l="1"/>
  <c r="A185" i="5" l="1"/>
  <c r="A186" i="5" l="1"/>
  <c r="A187" i="5" l="1"/>
  <c r="A188" i="5" l="1"/>
  <c r="A189" i="5" l="1"/>
  <c r="A190" i="5" l="1"/>
  <c r="A191" i="5" l="1"/>
  <c r="A192" i="5" l="1"/>
  <c r="A193" i="5" l="1"/>
  <c r="A194" i="5" l="1"/>
  <c r="A195" i="5" l="1"/>
  <c r="A196" i="5" l="1"/>
  <c r="A197" i="5" l="1"/>
  <c r="A198" i="5" l="1"/>
  <c r="A199" i="5" l="1"/>
  <c r="A200" i="5" l="1"/>
  <c r="A201" i="5" l="1"/>
  <c r="A202" i="5" l="1"/>
  <c r="A203" i="5" l="1"/>
  <c r="A204" i="5" l="1"/>
  <c r="A205" i="5" l="1"/>
  <c r="A206" i="5" l="1"/>
  <c r="A207" i="5" l="1"/>
  <c r="A208" i="5" l="1"/>
  <c r="A209" i="5" l="1"/>
  <c r="A210" i="5" l="1"/>
  <c r="A211" i="5" l="1"/>
  <c r="A212" i="5" l="1"/>
  <c r="A213" i="5" l="1"/>
  <c r="A214" i="5" l="1"/>
  <c r="A215" i="5" l="1"/>
  <c r="A216" i="5" l="1"/>
  <c r="A217" i="5" l="1"/>
  <c r="A218" i="5" l="1"/>
  <c r="A219" i="5" l="1"/>
  <c r="A220" i="5" l="1"/>
  <c r="A221" i="5" l="1"/>
  <c r="A222" i="5" l="1"/>
  <c r="A223" i="5" l="1"/>
  <c r="A224" i="5" l="1"/>
  <c r="A225" i="5" l="1"/>
  <c r="A226" i="5" l="1"/>
  <c r="A227" i="5" l="1"/>
  <c r="A228" i="5" l="1"/>
  <c r="A229" i="5" l="1"/>
  <c r="A230" i="5" l="1"/>
  <c r="A231" i="5" l="1"/>
  <c r="A232" i="5" l="1"/>
  <c r="A233" i="5" l="1"/>
  <c r="A234" i="5" l="1"/>
  <c r="A235" i="5" l="1"/>
  <c r="A236" i="5" l="1"/>
  <c r="A237" i="5" l="1"/>
  <c r="A238" i="5" l="1"/>
  <c r="A239" i="5" l="1"/>
  <c r="A240" i="5" l="1"/>
  <c r="A241" i="5" l="1"/>
  <c r="A242" i="5" l="1"/>
  <c r="A243" i="5" l="1"/>
  <c r="A244" i="5" l="1"/>
  <c r="A245" i="5" l="1"/>
  <c r="A246" i="5" l="1"/>
  <c r="A247" i="5" l="1"/>
  <c r="A248" i="5" l="1"/>
  <c r="A249" i="5" l="1"/>
  <c r="A250" i="5" l="1"/>
  <c r="A251" i="5" l="1"/>
  <c r="A252" i="5" l="1"/>
  <c r="A253" i="5" l="1"/>
  <c r="A254" i="5" l="1"/>
  <c r="A255" i="5" l="1"/>
  <c r="A256" i="5" l="1"/>
  <c r="A257" i="5" l="1"/>
  <c r="A258" i="5" l="1"/>
  <c r="A259" i="5" l="1"/>
  <c r="A260" i="5" l="1"/>
  <c r="A261" i="5" l="1"/>
  <c r="A262" i="5" l="1"/>
  <c r="A263" i="5" l="1"/>
  <c r="A264" i="5" l="1"/>
  <c r="A265" i="5" l="1"/>
  <c r="A266" i="5" l="1"/>
  <c r="A267" i="5" l="1"/>
  <c r="A268" i="5" l="1"/>
  <c r="A269" i="5" l="1"/>
  <c r="A270" i="5" l="1"/>
  <c r="A271" i="5" l="1"/>
  <c r="A272" i="5" l="1"/>
  <c r="A273" i="5" l="1"/>
  <c r="A274" i="5" l="1"/>
  <c r="A275" i="5" l="1"/>
  <c r="A276" i="5" l="1"/>
  <c r="A277" i="5" l="1"/>
  <c r="A278" i="5" l="1"/>
  <c r="A279" i="5" l="1"/>
  <c r="A280" i="5" l="1"/>
  <c r="A281" i="5" l="1"/>
  <c r="A282" i="5" l="1"/>
  <c r="A283" i="5" l="1"/>
  <c r="A284" i="5" l="1"/>
  <c r="A285" i="5" l="1"/>
  <c r="A286" i="5" l="1"/>
  <c r="A287" i="5" l="1"/>
  <c r="A288" i="5" l="1"/>
  <c r="A289" i="5" l="1"/>
  <c r="A290" i="5" l="1"/>
  <c r="A291" i="5" l="1"/>
  <c r="A292" i="5" l="1"/>
  <c r="A293" i="5" l="1"/>
  <c r="A294" i="5" l="1"/>
  <c r="A295" i="5" l="1"/>
  <c r="A296" i="5" l="1"/>
  <c r="A297" i="5" l="1"/>
  <c r="A298" i="5" l="1"/>
  <c r="A299" i="5" l="1"/>
  <c r="A300" i="5" l="1"/>
  <c r="A301" i="5" l="1"/>
  <c r="A302" i="5" l="1"/>
  <c r="A303" i="5" l="1"/>
  <c r="A304" i="5" l="1"/>
  <c r="A305" i="5" l="1"/>
  <c r="A306" i="5" l="1"/>
  <c r="A307" i="5" l="1"/>
  <c r="A308" i="5" l="1"/>
  <c r="A309" i="5" l="1"/>
  <c r="A310" i="5" l="1"/>
  <c r="A311" i="5" l="1"/>
  <c r="A312" i="5" l="1"/>
  <c r="A313" i="5" l="1"/>
  <c r="A314" i="5" l="1"/>
  <c r="A315" i="5" l="1"/>
  <c r="A316" i="5" l="1"/>
  <c r="A317" i="5" l="1"/>
  <c r="A318" i="5" l="1"/>
  <c r="A319" i="5" l="1"/>
  <c r="A320" i="5" l="1"/>
  <c r="A321" i="5" l="1"/>
  <c r="A322" i="5" l="1"/>
  <c r="A323" i="5" l="1"/>
  <c r="A324" i="5" l="1"/>
  <c r="A325" i="5" l="1"/>
  <c r="A326" i="5" l="1"/>
  <c r="A327" i="5" l="1"/>
  <c r="A328" i="5" l="1"/>
  <c r="A329" i="5" l="1"/>
  <c r="A330" i="5" l="1"/>
  <c r="A331" i="5" l="1"/>
  <c r="A332" i="5" l="1"/>
  <c r="A333" i="5" l="1"/>
  <c r="A334" i="5" l="1"/>
  <c r="A335" i="5" l="1"/>
  <c r="A336" i="5" l="1"/>
  <c r="A337" i="5" l="1"/>
  <c r="A338" i="5" l="1"/>
  <c r="A339" i="5" l="1"/>
  <c r="A340" i="5" l="1"/>
  <c r="A341" i="5" l="1"/>
  <c r="A342" i="5" l="1"/>
  <c r="A343" i="5" l="1"/>
  <c r="A344" i="5" l="1"/>
  <c r="A345" i="5" l="1"/>
  <c r="A346" i="5" l="1"/>
  <c r="A347" i="5" l="1"/>
  <c r="A348" i="5" l="1"/>
  <c r="A349" i="5" l="1"/>
  <c r="A350" i="5" l="1"/>
  <c r="A351" i="5" l="1"/>
  <c r="A352" i="5" l="1"/>
  <c r="A353" i="5" l="1"/>
  <c r="A354" i="5" l="1"/>
  <c r="A355" i="5" l="1"/>
  <c r="A356" i="5" l="1"/>
  <c r="A357" i="5" l="1"/>
  <c r="A358" i="5" l="1"/>
  <c r="K2" i="5" a="1"/>
  <c r="J2" i="5" a="1"/>
  <c r="I2" i="5" a="1"/>
  <c r="H2" i="5" a="1"/>
  <c r="G2" i="5" a="1"/>
  <c r="K2" i="5" l="1"/>
  <c r="K6" i="5"/>
  <c r="K10" i="5"/>
  <c r="K14" i="5"/>
  <c r="K18" i="5"/>
  <c r="K22" i="5"/>
  <c r="K26" i="5"/>
  <c r="K30" i="5"/>
  <c r="K34" i="5"/>
  <c r="K38" i="5"/>
  <c r="K42" i="5"/>
  <c r="K46" i="5"/>
  <c r="K50" i="5"/>
  <c r="K54" i="5"/>
  <c r="K58" i="5"/>
  <c r="K62" i="5"/>
  <c r="K66" i="5"/>
  <c r="K70" i="5"/>
  <c r="K74" i="5"/>
  <c r="K78" i="5"/>
  <c r="K82" i="5"/>
  <c r="K86" i="5"/>
  <c r="K90" i="5"/>
  <c r="K94" i="5"/>
  <c r="K98" i="5"/>
  <c r="K102" i="5"/>
  <c r="K106" i="5"/>
  <c r="K110" i="5"/>
  <c r="K114" i="5"/>
  <c r="K118" i="5"/>
  <c r="K122" i="5"/>
  <c r="K126" i="5"/>
  <c r="K130" i="5"/>
  <c r="K134" i="5"/>
  <c r="K138" i="5"/>
  <c r="K142" i="5"/>
  <c r="K146" i="5"/>
  <c r="K150" i="5"/>
  <c r="K154" i="5"/>
  <c r="K158" i="5"/>
  <c r="K162" i="5"/>
  <c r="K166" i="5"/>
  <c r="K170" i="5"/>
  <c r="K174" i="5"/>
  <c r="K178" i="5"/>
  <c r="K182" i="5"/>
  <c r="K186" i="5"/>
  <c r="K190" i="5"/>
  <c r="K194" i="5"/>
  <c r="K198" i="5"/>
  <c r="K202" i="5"/>
  <c r="K206" i="5"/>
  <c r="K210" i="5"/>
  <c r="K214" i="5"/>
  <c r="K218" i="5"/>
  <c r="K222" i="5"/>
  <c r="K226" i="5"/>
  <c r="K230" i="5"/>
  <c r="K234" i="5"/>
  <c r="K238" i="5"/>
  <c r="K242" i="5"/>
  <c r="K246" i="5"/>
  <c r="K250" i="5"/>
  <c r="K254" i="5"/>
  <c r="K258" i="5"/>
  <c r="K262" i="5"/>
  <c r="K266" i="5"/>
  <c r="K270" i="5"/>
  <c r="K274" i="5"/>
  <c r="K278" i="5"/>
  <c r="K282" i="5"/>
  <c r="K286" i="5"/>
  <c r="K290" i="5"/>
  <c r="K294" i="5"/>
  <c r="K298" i="5"/>
  <c r="K302" i="5"/>
  <c r="K306" i="5"/>
  <c r="K310" i="5"/>
  <c r="K314" i="5"/>
  <c r="K318" i="5"/>
  <c r="K322" i="5"/>
  <c r="K326" i="5"/>
  <c r="K330" i="5"/>
  <c r="K334" i="5"/>
  <c r="K338" i="5"/>
  <c r="K3" i="5"/>
  <c r="K7" i="5"/>
  <c r="K11" i="5"/>
  <c r="K15" i="5"/>
  <c r="K19" i="5"/>
  <c r="K23" i="5"/>
  <c r="K27" i="5"/>
  <c r="K31" i="5"/>
  <c r="K35" i="5"/>
  <c r="K39" i="5"/>
  <c r="K43" i="5"/>
  <c r="K47" i="5"/>
  <c r="K51" i="5"/>
  <c r="K55" i="5"/>
  <c r="K59" i="5"/>
  <c r="K63" i="5"/>
  <c r="K67" i="5"/>
  <c r="K71" i="5"/>
  <c r="K75" i="5"/>
  <c r="K79" i="5"/>
  <c r="K83" i="5"/>
  <c r="K87" i="5"/>
  <c r="K91" i="5"/>
  <c r="K95" i="5"/>
  <c r="K99" i="5"/>
  <c r="K103" i="5"/>
  <c r="K107" i="5"/>
  <c r="K111" i="5"/>
  <c r="K115" i="5"/>
  <c r="K119" i="5"/>
  <c r="K123" i="5"/>
  <c r="K127" i="5"/>
  <c r="K131" i="5"/>
  <c r="K135" i="5"/>
  <c r="K139" i="5"/>
  <c r="K143" i="5"/>
  <c r="K147" i="5"/>
  <c r="K151" i="5"/>
  <c r="K155" i="5"/>
  <c r="K159" i="5"/>
  <c r="K163" i="5"/>
  <c r="K167" i="5"/>
  <c r="K171" i="5"/>
  <c r="K175" i="5"/>
  <c r="K179" i="5"/>
  <c r="K183" i="5"/>
  <c r="K187" i="5"/>
  <c r="K191" i="5"/>
  <c r="K195" i="5"/>
  <c r="K199" i="5"/>
  <c r="K203" i="5"/>
  <c r="K207" i="5"/>
  <c r="K211" i="5"/>
  <c r="K215" i="5"/>
  <c r="K219" i="5"/>
  <c r="K223" i="5"/>
  <c r="K227" i="5"/>
  <c r="K231" i="5"/>
  <c r="K235" i="5"/>
  <c r="K239" i="5"/>
  <c r="K243" i="5"/>
  <c r="K247" i="5"/>
  <c r="K251" i="5"/>
  <c r="K255" i="5"/>
  <c r="K259" i="5"/>
  <c r="K263" i="5"/>
  <c r="K267" i="5"/>
  <c r="K271" i="5"/>
  <c r="K275" i="5"/>
  <c r="K279" i="5"/>
  <c r="K283" i="5"/>
  <c r="K287" i="5"/>
  <c r="K291" i="5"/>
  <c r="K295" i="5"/>
  <c r="K299" i="5"/>
  <c r="K303" i="5"/>
  <c r="K307" i="5"/>
  <c r="K311" i="5"/>
  <c r="K315" i="5"/>
  <c r="K319" i="5"/>
  <c r="K323" i="5"/>
  <c r="K327" i="5"/>
  <c r="K331" i="5"/>
  <c r="K4" i="5"/>
  <c r="K8" i="5"/>
  <c r="K12" i="5"/>
  <c r="K16" i="5"/>
  <c r="K20" i="5"/>
  <c r="K24" i="5"/>
  <c r="K28" i="5"/>
  <c r="K32" i="5"/>
  <c r="K36" i="5"/>
  <c r="K40" i="5"/>
  <c r="K44" i="5"/>
  <c r="K48" i="5"/>
  <c r="K52" i="5"/>
  <c r="K56" i="5"/>
  <c r="K60" i="5"/>
  <c r="K64" i="5"/>
  <c r="K68" i="5"/>
  <c r="K72" i="5"/>
  <c r="K76" i="5"/>
  <c r="K80" i="5"/>
  <c r="K84" i="5"/>
  <c r="K88" i="5"/>
  <c r="K92" i="5"/>
  <c r="K96" i="5"/>
  <c r="K100" i="5"/>
  <c r="K104" i="5"/>
  <c r="K108" i="5"/>
  <c r="K112" i="5"/>
  <c r="K116" i="5"/>
  <c r="K120" i="5"/>
  <c r="K124" i="5"/>
  <c r="K128" i="5"/>
  <c r="K132" i="5"/>
  <c r="K136" i="5"/>
  <c r="K140" i="5"/>
  <c r="K144" i="5"/>
  <c r="K148" i="5"/>
  <c r="K152" i="5"/>
  <c r="K156" i="5"/>
  <c r="K160" i="5"/>
  <c r="K164" i="5"/>
  <c r="K168" i="5"/>
  <c r="K172" i="5"/>
  <c r="K176" i="5"/>
  <c r="K180" i="5"/>
  <c r="K184" i="5"/>
  <c r="K188" i="5"/>
  <c r="K192" i="5"/>
  <c r="K196" i="5"/>
  <c r="K200" i="5"/>
  <c r="K204" i="5"/>
  <c r="K208" i="5"/>
  <c r="K212" i="5"/>
  <c r="K216" i="5"/>
  <c r="K220" i="5"/>
  <c r="K224" i="5"/>
  <c r="K228" i="5"/>
  <c r="K232" i="5"/>
  <c r="K236" i="5"/>
  <c r="K240" i="5"/>
  <c r="K244" i="5"/>
  <c r="K248" i="5"/>
  <c r="K252" i="5"/>
  <c r="K256" i="5"/>
  <c r="K260" i="5"/>
  <c r="K264" i="5"/>
  <c r="K268" i="5"/>
  <c r="K272" i="5"/>
  <c r="K276" i="5"/>
  <c r="K280" i="5"/>
  <c r="K284" i="5"/>
  <c r="K288" i="5"/>
  <c r="K292" i="5"/>
  <c r="K296" i="5"/>
  <c r="K300" i="5"/>
  <c r="K304" i="5"/>
  <c r="K308" i="5"/>
  <c r="K312" i="5"/>
  <c r="K316" i="5"/>
  <c r="K320" i="5"/>
  <c r="K324" i="5"/>
  <c r="K328" i="5"/>
  <c r="K332" i="5"/>
  <c r="K197" i="5"/>
  <c r="K9" i="5"/>
  <c r="K25" i="5"/>
  <c r="K41" i="5"/>
  <c r="K89" i="5"/>
  <c r="K137" i="5"/>
  <c r="K217" i="5"/>
  <c r="K313" i="5"/>
  <c r="K13" i="5"/>
  <c r="K29" i="5"/>
  <c r="K45" i="5"/>
  <c r="K61" i="5"/>
  <c r="K77" i="5"/>
  <c r="K93" i="5"/>
  <c r="K109" i="5"/>
  <c r="K125" i="5"/>
  <c r="K141" i="5"/>
  <c r="K157" i="5"/>
  <c r="K173" i="5"/>
  <c r="K189" i="5"/>
  <c r="K205" i="5"/>
  <c r="K221" i="5"/>
  <c r="K237" i="5"/>
  <c r="K253" i="5"/>
  <c r="K269" i="5"/>
  <c r="K285" i="5"/>
  <c r="K301" i="5"/>
  <c r="K317" i="5"/>
  <c r="K333" i="5"/>
  <c r="K339" i="5"/>
  <c r="K343" i="5"/>
  <c r="K347" i="5"/>
  <c r="K351" i="5"/>
  <c r="K355" i="5"/>
  <c r="K356" i="5"/>
  <c r="K21" i="5"/>
  <c r="K53" i="5"/>
  <c r="K85" i="5"/>
  <c r="K117" i="5"/>
  <c r="K149" i="5"/>
  <c r="K165" i="5"/>
  <c r="K213" i="5"/>
  <c r="K261" i="5"/>
  <c r="K293" i="5"/>
  <c r="K325" i="5"/>
  <c r="K341" i="5"/>
  <c r="K349" i="5"/>
  <c r="K357" i="5"/>
  <c r="K57" i="5"/>
  <c r="K105" i="5"/>
  <c r="K169" i="5"/>
  <c r="K201" i="5"/>
  <c r="K249" i="5"/>
  <c r="K281" i="5"/>
  <c r="K297" i="5"/>
  <c r="K337" i="5"/>
  <c r="K346" i="5"/>
  <c r="K354" i="5"/>
  <c r="K17" i="5"/>
  <c r="K33" i="5"/>
  <c r="K49" i="5"/>
  <c r="K65" i="5"/>
  <c r="K81" i="5"/>
  <c r="K97" i="5"/>
  <c r="K113" i="5"/>
  <c r="K129" i="5"/>
  <c r="K145" i="5"/>
  <c r="K161" i="5"/>
  <c r="K177" i="5"/>
  <c r="K193" i="5"/>
  <c r="K209" i="5"/>
  <c r="K225" i="5"/>
  <c r="K241" i="5"/>
  <c r="K257" i="5"/>
  <c r="K273" i="5"/>
  <c r="K289" i="5"/>
  <c r="K305" i="5"/>
  <c r="K321" i="5"/>
  <c r="K335" i="5"/>
  <c r="K340" i="5"/>
  <c r="K344" i="5"/>
  <c r="K348" i="5"/>
  <c r="K352" i="5"/>
  <c r="K5" i="5"/>
  <c r="K37" i="5"/>
  <c r="K69" i="5"/>
  <c r="K101" i="5"/>
  <c r="K133" i="5"/>
  <c r="K181" i="5"/>
  <c r="K229" i="5"/>
  <c r="K245" i="5"/>
  <c r="K277" i="5"/>
  <c r="K309" i="5"/>
  <c r="K336" i="5"/>
  <c r="K345" i="5"/>
  <c r="K353" i="5"/>
  <c r="K73" i="5"/>
  <c r="K121" i="5"/>
  <c r="K153" i="5"/>
  <c r="K185" i="5"/>
  <c r="K233" i="5"/>
  <c r="K265" i="5"/>
  <c r="K329" i="5"/>
  <c r="K342" i="5"/>
  <c r="K350" i="5"/>
  <c r="K358" i="5"/>
  <c r="J2" i="5"/>
  <c r="J6" i="5"/>
  <c r="J10" i="5"/>
  <c r="J14" i="5"/>
  <c r="J18" i="5"/>
  <c r="J22" i="5"/>
  <c r="J26" i="5"/>
  <c r="J30" i="5"/>
  <c r="J34" i="5"/>
  <c r="J38" i="5"/>
  <c r="J42" i="5"/>
  <c r="J46" i="5"/>
  <c r="J50" i="5"/>
  <c r="J54" i="5"/>
  <c r="J58" i="5"/>
  <c r="J62" i="5"/>
  <c r="J66" i="5"/>
  <c r="J70" i="5"/>
  <c r="J74" i="5"/>
  <c r="J78" i="5"/>
  <c r="J82" i="5"/>
  <c r="J86" i="5"/>
  <c r="J90" i="5"/>
  <c r="J94" i="5"/>
  <c r="J98" i="5"/>
  <c r="J102" i="5"/>
  <c r="J106" i="5"/>
  <c r="J110" i="5"/>
  <c r="J114" i="5"/>
  <c r="J118" i="5"/>
  <c r="J122" i="5"/>
  <c r="J126" i="5"/>
  <c r="J130" i="5"/>
  <c r="J134" i="5"/>
  <c r="J138" i="5"/>
  <c r="J142" i="5"/>
  <c r="J146" i="5"/>
  <c r="J150" i="5"/>
  <c r="J154" i="5"/>
  <c r="J158" i="5"/>
  <c r="J162" i="5"/>
  <c r="J166" i="5"/>
  <c r="J170" i="5"/>
  <c r="J174" i="5"/>
  <c r="J178" i="5"/>
  <c r="J182" i="5"/>
  <c r="J186" i="5"/>
  <c r="J190" i="5"/>
  <c r="J194" i="5"/>
  <c r="J198" i="5"/>
  <c r="J202" i="5"/>
  <c r="J206" i="5"/>
  <c r="J210" i="5"/>
  <c r="J214" i="5"/>
  <c r="J218" i="5"/>
  <c r="J222" i="5"/>
  <c r="J226" i="5"/>
  <c r="J230" i="5"/>
  <c r="J234" i="5"/>
  <c r="J238" i="5"/>
  <c r="J242" i="5"/>
  <c r="J246" i="5"/>
  <c r="J250" i="5"/>
  <c r="J254" i="5"/>
  <c r="J258" i="5"/>
  <c r="J262" i="5"/>
  <c r="J266" i="5"/>
  <c r="J270" i="5"/>
  <c r="J274" i="5"/>
  <c r="J278" i="5"/>
  <c r="J282" i="5"/>
  <c r="J286" i="5"/>
  <c r="J290" i="5"/>
  <c r="J294" i="5"/>
  <c r="J298" i="5"/>
  <c r="J302" i="5"/>
  <c r="J306" i="5"/>
  <c r="J310" i="5"/>
  <c r="J314" i="5"/>
  <c r="J318" i="5"/>
  <c r="J322" i="5"/>
  <c r="J326" i="5"/>
  <c r="J330" i="5"/>
  <c r="J334" i="5"/>
  <c r="J338" i="5"/>
  <c r="J3" i="5"/>
  <c r="J7" i="5"/>
  <c r="J11" i="5"/>
  <c r="J15" i="5"/>
  <c r="J19" i="5"/>
  <c r="J23" i="5"/>
  <c r="J27" i="5"/>
  <c r="J31" i="5"/>
  <c r="J35" i="5"/>
  <c r="J39" i="5"/>
  <c r="J43" i="5"/>
  <c r="J47" i="5"/>
  <c r="J51" i="5"/>
  <c r="J55" i="5"/>
  <c r="J59" i="5"/>
  <c r="E58" i="5" s="1"/>
  <c r="J63" i="5"/>
  <c r="J67" i="5"/>
  <c r="J71" i="5"/>
  <c r="J75" i="5"/>
  <c r="J79" i="5"/>
  <c r="J83" i="5"/>
  <c r="J87" i="5"/>
  <c r="J91" i="5"/>
  <c r="J95" i="5"/>
  <c r="J99" i="5"/>
  <c r="J103" i="5"/>
  <c r="J107" i="5"/>
  <c r="J111" i="5"/>
  <c r="J115" i="5"/>
  <c r="J119" i="5"/>
  <c r="J123" i="5"/>
  <c r="J127" i="5"/>
  <c r="J131" i="5"/>
  <c r="J135" i="5"/>
  <c r="J139" i="5"/>
  <c r="J143" i="5"/>
  <c r="J147" i="5"/>
  <c r="J151" i="5"/>
  <c r="J155" i="5"/>
  <c r="J159" i="5"/>
  <c r="J163" i="5"/>
  <c r="J167" i="5"/>
  <c r="J171" i="5"/>
  <c r="J175" i="5"/>
  <c r="J179" i="5"/>
  <c r="J183" i="5"/>
  <c r="J187" i="5"/>
  <c r="J191" i="5"/>
  <c r="J195" i="5"/>
  <c r="J199" i="5"/>
  <c r="J203" i="5"/>
  <c r="J207" i="5"/>
  <c r="J211" i="5"/>
  <c r="J215" i="5"/>
  <c r="J219" i="5"/>
  <c r="J223" i="5"/>
  <c r="J227" i="5"/>
  <c r="J231" i="5"/>
  <c r="J235" i="5"/>
  <c r="J239" i="5"/>
  <c r="J243" i="5"/>
  <c r="J247" i="5"/>
  <c r="J251" i="5"/>
  <c r="J255" i="5"/>
  <c r="J259" i="5"/>
  <c r="J263" i="5"/>
  <c r="J267" i="5"/>
  <c r="J271" i="5"/>
  <c r="J275" i="5"/>
  <c r="J279" i="5"/>
  <c r="J283" i="5"/>
  <c r="J4" i="5"/>
  <c r="J8" i="5"/>
  <c r="J12" i="5"/>
  <c r="J16" i="5"/>
  <c r="J20" i="5"/>
  <c r="J24" i="5"/>
  <c r="J28" i="5"/>
  <c r="J32" i="5"/>
  <c r="J36" i="5"/>
  <c r="J40" i="5"/>
  <c r="E39" i="5" s="1"/>
  <c r="J44" i="5"/>
  <c r="J48" i="5"/>
  <c r="J52" i="5"/>
  <c r="J56" i="5"/>
  <c r="J60" i="5"/>
  <c r="J64" i="5"/>
  <c r="J68" i="5"/>
  <c r="J72" i="5"/>
  <c r="J76" i="5"/>
  <c r="J80" i="5"/>
  <c r="J84" i="5"/>
  <c r="J88" i="5"/>
  <c r="J92" i="5"/>
  <c r="J96" i="5"/>
  <c r="J100" i="5"/>
  <c r="J104" i="5"/>
  <c r="J108" i="5"/>
  <c r="J112" i="5"/>
  <c r="J116" i="5"/>
  <c r="J120" i="5"/>
  <c r="J124" i="5"/>
  <c r="J128" i="5"/>
  <c r="J132" i="5"/>
  <c r="J136" i="5"/>
  <c r="J140" i="5"/>
  <c r="J144" i="5"/>
  <c r="J148" i="5"/>
  <c r="J152" i="5"/>
  <c r="J156" i="5"/>
  <c r="J160" i="5"/>
  <c r="J164" i="5"/>
  <c r="J168" i="5"/>
  <c r="J172" i="5"/>
  <c r="J176" i="5"/>
  <c r="J180" i="5"/>
  <c r="J184" i="5"/>
  <c r="J188" i="5"/>
  <c r="J192" i="5"/>
  <c r="J196" i="5"/>
  <c r="J200" i="5"/>
  <c r="J204" i="5"/>
  <c r="J208" i="5"/>
  <c r="J212" i="5"/>
  <c r="J216" i="5"/>
  <c r="J220" i="5"/>
  <c r="J224" i="5"/>
  <c r="J228" i="5"/>
  <c r="J232" i="5"/>
  <c r="J236" i="5"/>
  <c r="J240" i="5"/>
  <c r="J244" i="5"/>
  <c r="J248" i="5"/>
  <c r="J252" i="5"/>
  <c r="J256" i="5"/>
  <c r="J260" i="5"/>
  <c r="J264" i="5"/>
  <c r="J268" i="5"/>
  <c r="J272" i="5"/>
  <c r="J276" i="5"/>
  <c r="J280" i="5"/>
  <c r="J284" i="5"/>
  <c r="J288" i="5"/>
  <c r="J292" i="5"/>
  <c r="J296" i="5"/>
  <c r="J300" i="5"/>
  <c r="J304" i="5"/>
  <c r="J308" i="5"/>
  <c r="J312" i="5"/>
  <c r="J316" i="5"/>
  <c r="J320" i="5"/>
  <c r="J324" i="5"/>
  <c r="J328" i="5"/>
  <c r="J332" i="5"/>
  <c r="J336" i="5"/>
  <c r="J340" i="5"/>
  <c r="J21" i="5"/>
  <c r="J117" i="5"/>
  <c r="J181" i="5"/>
  <c r="J245" i="5"/>
  <c r="J305" i="5"/>
  <c r="J9" i="5"/>
  <c r="J25" i="5"/>
  <c r="J41" i="5"/>
  <c r="J57" i="5"/>
  <c r="J73" i="5"/>
  <c r="J89" i="5"/>
  <c r="J105" i="5"/>
  <c r="J121" i="5"/>
  <c r="J137" i="5"/>
  <c r="J153" i="5"/>
  <c r="J169" i="5"/>
  <c r="J185" i="5"/>
  <c r="J201" i="5"/>
  <c r="E201" i="5" s="1"/>
  <c r="J217" i="5"/>
  <c r="J233" i="5"/>
  <c r="J249" i="5"/>
  <c r="J265" i="5"/>
  <c r="J281" i="5"/>
  <c r="J291" i="5"/>
  <c r="J299" i="5"/>
  <c r="J307" i="5"/>
  <c r="J315" i="5"/>
  <c r="J323" i="5"/>
  <c r="J331" i="5"/>
  <c r="J339" i="5"/>
  <c r="J344" i="5"/>
  <c r="J348" i="5"/>
  <c r="J352" i="5"/>
  <c r="J356" i="5"/>
  <c r="J13" i="5"/>
  <c r="J29" i="5"/>
  <c r="J45" i="5"/>
  <c r="J61" i="5"/>
  <c r="J77" i="5"/>
  <c r="J93" i="5"/>
  <c r="J109" i="5"/>
  <c r="J125" i="5"/>
  <c r="J141" i="5"/>
  <c r="J157" i="5"/>
  <c r="J173" i="5"/>
  <c r="J189" i="5"/>
  <c r="J205" i="5"/>
  <c r="J221" i="5"/>
  <c r="J237" i="5"/>
  <c r="J253" i="5"/>
  <c r="J285" i="5"/>
  <c r="J293" i="5"/>
  <c r="J301" i="5"/>
  <c r="J309" i="5"/>
  <c r="J317" i="5"/>
  <c r="J325" i="5"/>
  <c r="J333" i="5"/>
  <c r="J341" i="5"/>
  <c r="J345" i="5"/>
  <c r="J349" i="5"/>
  <c r="J353" i="5"/>
  <c r="J357" i="5"/>
  <c r="J213" i="5"/>
  <c r="J277" i="5"/>
  <c r="J297" i="5"/>
  <c r="J321" i="5"/>
  <c r="J337" i="5"/>
  <c r="J343" i="5"/>
  <c r="J355" i="5"/>
  <c r="J269" i="5"/>
  <c r="J17" i="5"/>
  <c r="J33" i="5"/>
  <c r="J49" i="5"/>
  <c r="J65" i="5"/>
  <c r="J81" i="5"/>
  <c r="J97" i="5"/>
  <c r="J113" i="5"/>
  <c r="J129" i="5"/>
  <c r="J145" i="5"/>
  <c r="J161" i="5"/>
  <c r="J177" i="5"/>
  <c r="J193" i="5"/>
  <c r="J209" i="5"/>
  <c r="J225" i="5"/>
  <c r="J241" i="5"/>
  <c r="J257" i="5"/>
  <c r="J273" i="5"/>
  <c r="J287" i="5"/>
  <c r="J295" i="5"/>
  <c r="J303" i="5"/>
  <c r="J311" i="5"/>
  <c r="J319" i="5"/>
  <c r="J327" i="5"/>
  <c r="J335" i="5"/>
  <c r="J342" i="5"/>
  <c r="J346" i="5"/>
  <c r="J350" i="5"/>
  <c r="J354" i="5"/>
  <c r="J358" i="5"/>
  <c r="J5" i="5"/>
  <c r="J37" i="5"/>
  <c r="J53" i="5"/>
  <c r="J69" i="5"/>
  <c r="J85" i="5"/>
  <c r="E85" i="5" s="1"/>
  <c r="J101" i="5"/>
  <c r="J133" i="5"/>
  <c r="J149" i="5"/>
  <c r="J165" i="5"/>
  <c r="J197" i="5"/>
  <c r="J229" i="5"/>
  <c r="J261" i="5"/>
  <c r="J289" i="5"/>
  <c r="J313" i="5"/>
  <c r="J329" i="5"/>
  <c r="J347" i="5"/>
  <c r="J351" i="5"/>
  <c r="I2" i="5"/>
  <c r="I6" i="5"/>
  <c r="I10" i="5"/>
  <c r="D9" i="5" s="1"/>
  <c r="I14" i="5"/>
  <c r="I18" i="5"/>
  <c r="I22" i="5"/>
  <c r="I26" i="5"/>
  <c r="I30" i="5"/>
  <c r="I34" i="5"/>
  <c r="I38" i="5"/>
  <c r="I42" i="5"/>
  <c r="I46" i="5"/>
  <c r="I50" i="5"/>
  <c r="I54" i="5"/>
  <c r="I58" i="5"/>
  <c r="I62" i="5"/>
  <c r="I66" i="5"/>
  <c r="I70" i="5"/>
  <c r="I74" i="5"/>
  <c r="I78" i="5"/>
  <c r="I82" i="5"/>
  <c r="I86" i="5"/>
  <c r="I90" i="5"/>
  <c r="I94" i="5"/>
  <c r="I98" i="5"/>
  <c r="I102" i="5"/>
  <c r="I106" i="5"/>
  <c r="I110" i="5"/>
  <c r="I114" i="5"/>
  <c r="I118" i="5"/>
  <c r="I122" i="5"/>
  <c r="I126" i="5"/>
  <c r="I130" i="5"/>
  <c r="I134" i="5"/>
  <c r="I138" i="5"/>
  <c r="I142" i="5"/>
  <c r="I146" i="5"/>
  <c r="I150" i="5"/>
  <c r="I154" i="5"/>
  <c r="I158" i="5"/>
  <c r="I162" i="5"/>
  <c r="I166" i="5"/>
  <c r="I170" i="5"/>
  <c r="I174" i="5"/>
  <c r="I178" i="5"/>
  <c r="I182" i="5"/>
  <c r="I186" i="5"/>
  <c r="I190" i="5"/>
  <c r="I194" i="5"/>
  <c r="I198" i="5"/>
  <c r="I202" i="5"/>
  <c r="I206" i="5"/>
  <c r="I210" i="5"/>
  <c r="I214" i="5"/>
  <c r="I218" i="5"/>
  <c r="I222" i="5"/>
  <c r="I226" i="5"/>
  <c r="I230" i="5"/>
  <c r="I234" i="5"/>
  <c r="I238" i="5"/>
  <c r="I242" i="5"/>
  <c r="I246" i="5"/>
  <c r="I250" i="5"/>
  <c r="I254" i="5"/>
  <c r="I258" i="5"/>
  <c r="I262" i="5"/>
  <c r="I266" i="5"/>
  <c r="I270" i="5"/>
  <c r="I274" i="5"/>
  <c r="I278" i="5"/>
  <c r="I282" i="5"/>
  <c r="I286" i="5"/>
  <c r="I290" i="5"/>
  <c r="I294" i="5"/>
  <c r="I298" i="5"/>
  <c r="I302" i="5"/>
  <c r="I306" i="5"/>
  <c r="I310" i="5"/>
  <c r="I314" i="5"/>
  <c r="I318" i="5"/>
  <c r="I322" i="5"/>
  <c r="I326" i="5"/>
  <c r="I330" i="5"/>
  <c r="I334" i="5"/>
  <c r="I338" i="5"/>
  <c r="I3" i="5"/>
  <c r="I4" i="5"/>
  <c r="I8" i="5"/>
  <c r="I12" i="5"/>
  <c r="I16" i="5"/>
  <c r="I20" i="5"/>
  <c r="I24" i="5"/>
  <c r="I28" i="5"/>
  <c r="I32" i="5"/>
  <c r="I36" i="5"/>
  <c r="I40" i="5"/>
  <c r="I44" i="5"/>
  <c r="I48" i="5"/>
  <c r="I52" i="5"/>
  <c r="I56" i="5"/>
  <c r="I60" i="5"/>
  <c r="I64" i="5"/>
  <c r="I68" i="5"/>
  <c r="I72" i="5"/>
  <c r="I76" i="5"/>
  <c r="I80" i="5"/>
  <c r="I84" i="5"/>
  <c r="I88" i="5"/>
  <c r="I92" i="5"/>
  <c r="I96" i="5"/>
  <c r="I100" i="5"/>
  <c r="I104" i="5"/>
  <c r="I108" i="5"/>
  <c r="I112" i="5"/>
  <c r="I116" i="5"/>
  <c r="I120" i="5"/>
  <c r="I124" i="5"/>
  <c r="I128" i="5"/>
  <c r="I132" i="5"/>
  <c r="I136" i="5"/>
  <c r="I140" i="5"/>
  <c r="I144" i="5"/>
  <c r="I148" i="5"/>
  <c r="I152" i="5"/>
  <c r="I156" i="5"/>
  <c r="I160" i="5"/>
  <c r="I164" i="5"/>
  <c r="I168" i="5"/>
  <c r="I172" i="5"/>
  <c r="I176" i="5"/>
  <c r="I180" i="5"/>
  <c r="I184" i="5"/>
  <c r="I188" i="5"/>
  <c r="I192" i="5"/>
  <c r="I196" i="5"/>
  <c r="I200" i="5"/>
  <c r="I204" i="5"/>
  <c r="I208" i="5"/>
  <c r="I212" i="5"/>
  <c r="I216" i="5"/>
  <c r="I220" i="5"/>
  <c r="I224" i="5"/>
  <c r="I228" i="5"/>
  <c r="I232" i="5"/>
  <c r="I236" i="5"/>
  <c r="I240" i="5"/>
  <c r="I244" i="5"/>
  <c r="I248" i="5"/>
  <c r="I252" i="5"/>
  <c r="I256" i="5"/>
  <c r="I260" i="5"/>
  <c r="I264" i="5"/>
  <c r="I268" i="5"/>
  <c r="I272" i="5"/>
  <c r="I276" i="5"/>
  <c r="I280" i="5"/>
  <c r="I284" i="5"/>
  <c r="I288" i="5"/>
  <c r="I292" i="5"/>
  <c r="I296" i="5"/>
  <c r="I300" i="5"/>
  <c r="I304" i="5"/>
  <c r="I308" i="5"/>
  <c r="I312" i="5"/>
  <c r="I316" i="5"/>
  <c r="I320" i="5"/>
  <c r="I324" i="5"/>
  <c r="I328" i="5"/>
  <c r="I332" i="5"/>
  <c r="I336" i="5"/>
  <c r="I340" i="5"/>
  <c r="I5" i="5"/>
  <c r="I13" i="5"/>
  <c r="I21" i="5"/>
  <c r="I29" i="5"/>
  <c r="I37" i="5"/>
  <c r="I45" i="5"/>
  <c r="I53" i="5"/>
  <c r="I61" i="5"/>
  <c r="I69" i="5"/>
  <c r="I77" i="5"/>
  <c r="I85" i="5"/>
  <c r="I93" i="5"/>
  <c r="I101" i="5"/>
  <c r="I109" i="5"/>
  <c r="I117" i="5"/>
  <c r="I125" i="5"/>
  <c r="I133" i="5"/>
  <c r="I141" i="5"/>
  <c r="I149" i="5"/>
  <c r="I157" i="5"/>
  <c r="I165" i="5"/>
  <c r="I173" i="5"/>
  <c r="I181" i="5"/>
  <c r="I189" i="5"/>
  <c r="I197" i="5"/>
  <c r="I205" i="5"/>
  <c r="I213" i="5"/>
  <c r="I221" i="5"/>
  <c r="I229" i="5"/>
  <c r="I237" i="5"/>
  <c r="I245" i="5"/>
  <c r="I253" i="5"/>
  <c r="I261" i="5"/>
  <c r="I269" i="5"/>
  <c r="I277" i="5"/>
  <c r="I285" i="5"/>
  <c r="I293" i="5"/>
  <c r="I301" i="5"/>
  <c r="I309" i="5"/>
  <c r="I317" i="5"/>
  <c r="I325" i="5"/>
  <c r="I333" i="5"/>
  <c r="I341" i="5"/>
  <c r="I345" i="5"/>
  <c r="I349" i="5"/>
  <c r="I353" i="5"/>
  <c r="I357" i="5"/>
  <c r="I23" i="5"/>
  <c r="I71" i="5"/>
  <c r="I87" i="5"/>
  <c r="I103" i="5"/>
  <c r="I119" i="5"/>
  <c r="I127" i="5"/>
  <c r="I143" i="5"/>
  <c r="I151" i="5"/>
  <c r="I167" i="5"/>
  <c r="I183" i="5"/>
  <c r="I199" i="5"/>
  <c r="I207" i="5"/>
  <c r="I223" i="5"/>
  <c r="I231" i="5"/>
  <c r="I247" i="5"/>
  <c r="I263" i="5"/>
  <c r="I279" i="5"/>
  <c r="I287" i="5"/>
  <c r="I303" i="5"/>
  <c r="I311" i="5"/>
  <c r="I327" i="5"/>
  <c r="I342" i="5"/>
  <c r="I346" i="5"/>
  <c r="I354" i="5"/>
  <c r="I7" i="5"/>
  <c r="I15" i="5"/>
  <c r="I31" i="5"/>
  <c r="I39" i="5"/>
  <c r="I47" i="5"/>
  <c r="I55" i="5"/>
  <c r="I63" i="5"/>
  <c r="I79" i="5"/>
  <c r="I95" i="5"/>
  <c r="I111" i="5"/>
  <c r="I135" i="5"/>
  <c r="I159" i="5"/>
  <c r="I175" i="5"/>
  <c r="I191" i="5"/>
  <c r="I215" i="5"/>
  <c r="I239" i="5"/>
  <c r="I255" i="5"/>
  <c r="I271" i="5"/>
  <c r="I295" i="5"/>
  <c r="I319" i="5"/>
  <c r="I335" i="5"/>
  <c r="I350" i="5"/>
  <c r="I9" i="5"/>
  <c r="I17" i="5"/>
  <c r="I25" i="5"/>
  <c r="I33" i="5"/>
  <c r="I41" i="5"/>
  <c r="I49" i="5"/>
  <c r="I57" i="5"/>
  <c r="I65" i="5"/>
  <c r="I73" i="5"/>
  <c r="I81" i="5"/>
  <c r="I89" i="5"/>
  <c r="I97" i="5"/>
  <c r="I105" i="5"/>
  <c r="I113" i="5"/>
  <c r="I121" i="5"/>
  <c r="I129" i="5"/>
  <c r="I137" i="5"/>
  <c r="I145" i="5"/>
  <c r="I153" i="5"/>
  <c r="I161" i="5"/>
  <c r="I169" i="5"/>
  <c r="I177" i="5"/>
  <c r="I185" i="5"/>
  <c r="I193" i="5"/>
  <c r="I201" i="5"/>
  <c r="I209" i="5"/>
  <c r="I217" i="5"/>
  <c r="I225" i="5"/>
  <c r="I233" i="5"/>
  <c r="I241" i="5"/>
  <c r="I249" i="5"/>
  <c r="I257" i="5"/>
  <c r="I265" i="5"/>
  <c r="I273" i="5"/>
  <c r="I281" i="5"/>
  <c r="I289" i="5"/>
  <c r="I297" i="5"/>
  <c r="I305" i="5"/>
  <c r="I313" i="5"/>
  <c r="I321" i="5"/>
  <c r="I329" i="5"/>
  <c r="I337" i="5"/>
  <c r="I343" i="5"/>
  <c r="I347" i="5"/>
  <c r="I351" i="5"/>
  <c r="I355" i="5"/>
  <c r="I358" i="5"/>
  <c r="I11" i="5"/>
  <c r="I19" i="5"/>
  <c r="I27" i="5"/>
  <c r="I35" i="5"/>
  <c r="I43" i="5"/>
  <c r="I51" i="5"/>
  <c r="I59" i="5"/>
  <c r="I67" i="5"/>
  <c r="I75" i="5"/>
  <c r="I83" i="5"/>
  <c r="I91" i="5"/>
  <c r="I99" i="5"/>
  <c r="I107" i="5"/>
  <c r="I115" i="5"/>
  <c r="I123" i="5"/>
  <c r="I131" i="5"/>
  <c r="I139" i="5"/>
  <c r="I147" i="5"/>
  <c r="I155" i="5"/>
  <c r="I163" i="5"/>
  <c r="I171" i="5"/>
  <c r="I179" i="5"/>
  <c r="I187" i="5"/>
  <c r="I195" i="5"/>
  <c r="I203" i="5"/>
  <c r="I211" i="5"/>
  <c r="I219" i="5"/>
  <c r="I227" i="5"/>
  <c r="I235" i="5"/>
  <c r="I243" i="5"/>
  <c r="I251" i="5"/>
  <c r="I259" i="5"/>
  <c r="I267" i="5"/>
  <c r="I275" i="5"/>
  <c r="I283" i="5"/>
  <c r="I291" i="5"/>
  <c r="I299" i="5"/>
  <c r="I307" i="5"/>
  <c r="I315" i="5"/>
  <c r="I323" i="5"/>
  <c r="I331" i="5"/>
  <c r="I339" i="5"/>
  <c r="I344" i="5"/>
  <c r="I348" i="5"/>
  <c r="I352" i="5"/>
  <c r="I356" i="5"/>
  <c r="H5" i="5"/>
  <c r="H9" i="5"/>
  <c r="H13" i="5"/>
  <c r="H17" i="5"/>
  <c r="H21" i="5"/>
  <c r="H25" i="5"/>
  <c r="H29" i="5"/>
  <c r="H33" i="5"/>
  <c r="H37" i="5"/>
  <c r="H41" i="5"/>
  <c r="H45" i="5"/>
  <c r="H49" i="5"/>
  <c r="H53" i="5"/>
  <c r="H57" i="5"/>
  <c r="H61" i="5"/>
  <c r="H65" i="5"/>
  <c r="H69" i="5"/>
  <c r="H73" i="5"/>
  <c r="H77" i="5"/>
  <c r="H81" i="5"/>
  <c r="H85" i="5"/>
  <c r="H89" i="5"/>
  <c r="H93" i="5"/>
  <c r="H97" i="5"/>
  <c r="H101" i="5"/>
  <c r="H105" i="5"/>
  <c r="H109" i="5"/>
  <c r="H113" i="5"/>
  <c r="H117" i="5"/>
  <c r="H121" i="5"/>
  <c r="H125" i="5"/>
  <c r="H129" i="5"/>
  <c r="H133" i="5"/>
  <c r="H137" i="5"/>
  <c r="H141" i="5"/>
  <c r="H145" i="5"/>
  <c r="H149" i="5"/>
  <c r="H153" i="5"/>
  <c r="H157" i="5"/>
  <c r="H161" i="5"/>
  <c r="H165" i="5"/>
  <c r="H169" i="5"/>
  <c r="H173" i="5"/>
  <c r="H177" i="5"/>
  <c r="H181" i="5"/>
  <c r="H185" i="5"/>
  <c r="H189" i="5"/>
  <c r="H193" i="5"/>
  <c r="H197" i="5"/>
  <c r="H201" i="5"/>
  <c r="H205" i="5"/>
  <c r="H209" i="5"/>
  <c r="H213" i="5"/>
  <c r="H217" i="5"/>
  <c r="H221" i="5"/>
  <c r="H225" i="5"/>
  <c r="H229" i="5"/>
  <c r="H233" i="5"/>
  <c r="H237" i="5"/>
  <c r="H241" i="5"/>
  <c r="H245" i="5"/>
  <c r="H249" i="5"/>
  <c r="H253" i="5"/>
  <c r="H257" i="5"/>
  <c r="H261" i="5"/>
  <c r="H265" i="5"/>
  <c r="H269" i="5"/>
  <c r="H273" i="5"/>
  <c r="H277" i="5"/>
  <c r="H281" i="5"/>
  <c r="H285" i="5"/>
  <c r="H289" i="5"/>
  <c r="H293" i="5"/>
  <c r="H297" i="5"/>
  <c r="H301" i="5"/>
  <c r="H305" i="5"/>
  <c r="H309" i="5"/>
  <c r="H313" i="5"/>
  <c r="H317" i="5"/>
  <c r="H321" i="5"/>
  <c r="H325" i="5"/>
  <c r="H329" i="5"/>
  <c r="H333" i="5"/>
  <c r="H337" i="5"/>
  <c r="H2" i="5"/>
  <c r="H6" i="5"/>
  <c r="H10" i="5"/>
  <c r="H14" i="5"/>
  <c r="H18" i="5"/>
  <c r="H22" i="5"/>
  <c r="H26" i="5"/>
  <c r="H30" i="5"/>
  <c r="H34" i="5"/>
  <c r="H38" i="5"/>
  <c r="H42" i="5"/>
  <c r="H46" i="5"/>
  <c r="H50" i="5"/>
  <c r="H54" i="5"/>
  <c r="H58" i="5"/>
  <c r="H62" i="5"/>
  <c r="H66" i="5"/>
  <c r="H70" i="5"/>
  <c r="H74" i="5"/>
  <c r="H78" i="5"/>
  <c r="H82" i="5"/>
  <c r="H86" i="5"/>
  <c r="H90" i="5"/>
  <c r="H94" i="5"/>
  <c r="H98" i="5"/>
  <c r="H102" i="5"/>
  <c r="H106" i="5"/>
  <c r="H110" i="5"/>
  <c r="H114" i="5"/>
  <c r="H118" i="5"/>
  <c r="H122" i="5"/>
  <c r="H126" i="5"/>
  <c r="H130" i="5"/>
  <c r="H134" i="5"/>
  <c r="H138" i="5"/>
  <c r="H142" i="5"/>
  <c r="H146" i="5"/>
  <c r="H150" i="5"/>
  <c r="H154" i="5"/>
  <c r="H158" i="5"/>
  <c r="H162" i="5"/>
  <c r="H166" i="5"/>
  <c r="H170" i="5"/>
  <c r="H174" i="5"/>
  <c r="H178" i="5"/>
  <c r="H182" i="5"/>
  <c r="H186" i="5"/>
  <c r="H190" i="5"/>
  <c r="H194" i="5"/>
  <c r="H198" i="5"/>
  <c r="H202" i="5"/>
  <c r="H206" i="5"/>
  <c r="H210" i="5"/>
  <c r="H214" i="5"/>
  <c r="H218" i="5"/>
  <c r="H222" i="5"/>
  <c r="H226" i="5"/>
  <c r="H230" i="5"/>
  <c r="H234" i="5"/>
  <c r="H238" i="5"/>
  <c r="H242" i="5"/>
  <c r="H246" i="5"/>
  <c r="H250" i="5"/>
  <c r="H254" i="5"/>
  <c r="H258" i="5"/>
  <c r="H262" i="5"/>
  <c r="H266" i="5"/>
  <c r="H270" i="5"/>
  <c r="H274" i="5"/>
  <c r="H278" i="5"/>
  <c r="H282" i="5"/>
  <c r="H286" i="5"/>
  <c r="H290" i="5"/>
  <c r="H294" i="5"/>
  <c r="H298" i="5"/>
  <c r="H302" i="5"/>
  <c r="H306" i="5"/>
  <c r="H310" i="5"/>
  <c r="H314" i="5"/>
  <c r="H318" i="5"/>
  <c r="H322" i="5"/>
  <c r="H326" i="5"/>
  <c r="H330" i="5"/>
  <c r="H3" i="5"/>
  <c r="H11" i="5"/>
  <c r="H19" i="5"/>
  <c r="H27" i="5"/>
  <c r="H35" i="5"/>
  <c r="H43" i="5"/>
  <c r="H51" i="5"/>
  <c r="H59" i="5"/>
  <c r="H67" i="5"/>
  <c r="H75" i="5"/>
  <c r="H83" i="5"/>
  <c r="H91" i="5"/>
  <c r="H99" i="5"/>
  <c r="H107" i="5"/>
  <c r="H115" i="5"/>
  <c r="H123" i="5"/>
  <c r="C123" i="5" s="1"/>
  <c r="H131" i="5"/>
  <c r="H139" i="5"/>
  <c r="H147" i="5"/>
  <c r="H155" i="5"/>
  <c r="H163" i="5"/>
  <c r="H171" i="5"/>
  <c r="H179" i="5"/>
  <c r="H187" i="5"/>
  <c r="H195" i="5"/>
  <c r="H203" i="5"/>
  <c r="H211" i="5"/>
  <c r="H219" i="5"/>
  <c r="H227" i="5"/>
  <c r="H235" i="5"/>
  <c r="H243" i="5"/>
  <c r="H251" i="5"/>
  <c r="H259" i="5"/>
  <c r="H267" i="5"/>
  <c r="H275" i="5"/>
  <c r="H283" i="5"/>
  <c r="H291" i="5"/>
  <c r="H299" i="5"/>
  <c r="H307" i="5"/>
  <c r="H315" i="5"/>
  <c r="H323" i="5"/>
  <c r="H331" i="5"/>
  <c r="H336" i="5"/>
  <c r="H341" i="5"/>
  <c r="H345" i="5"/>
  <c r="H349" i="5"/>
  <c r="H353" i="5"/>
  <c r="H357" i="5"/>
  <c r="H300" i="5"/>
  <c r="H324" i="5"/>
  <c r="H338" i="5"/>
  <c r="H346" i="5"/>
  <c r="H350" i="5"/>
  <c r="H358" i="5"/>
  <c r="H352" i="5"/>
  <c r="H4" i="5"/>
  <c r="H12" i="5"/>
  <c r="H20" i="5"/>
  <c r="H28" i="5"/>
  <c r="H36" i="5"/>
  <c r="H44" i="5"/>
  <c r="C43" i="5" s="1"/>
  <c r="H52" i="5"/>
  <c r="H60" i="5"/>
  <c r="H68" i="5"/>
  <c r="H76" i="5"/>
  <c r="H84" i="5"/>
  <c r="H92" i="5"/>
  <c r="H100" i="5"/>
  <c r="H108" i="5"/>
  <c r="H116" i="5"/>
  <c r="H124" i="5"/>
  <c r="H132" i="5"/>
  <c r="H140" i="5"/>
  <c r="H148" i="5"/>
  <c r="H156" i="5"/>
  <c r="H164" i="5"/>
  <c r="H172" i="5"/>
  <c r="H180" i="5"/>
  <c r="H188" i="5"/>
  <c r="H196" i="5"/>
  <c r="H204" i="5"/>
  <c r="H212" i="5"/>
  <c r="H220" i="5"/>
  <c r="H228" i="5"/>
  <c r="H236" i="5"/>
  <c r="H244" i="5"/>
  <c r="H252" i="5"/>
  <c r="H260" i="5"/>
  <c r="H268" i="5"/>
  <c r="H276" i="5"/>
  <c r="H284" i="5"/>
  <c r="H292" i="5"/>
  <c r="H308" i="5"/>
  <c r="H316" i="5"/>
  <c r="H332" i="5"/>
  <c r="H342" i="5"/>
  <c r="H354" i="5"/>
  <c r="H7" i="5"/>
  <c r="H15" i="5"/>
  <c r="H23" i="5"/>
  <c r="H31" i="5"/>
  <c r="H39" i="5"/>
  <c r="H47" i="5"/>
  <c r="H55" i="5"/>
  <c r="H63" i="5"/>
  <c r="H71" i="5"/>
  <c r="H79" i="5"/>
  <c r="H87" i="5"/>
  <c r="H95" i="5"/>
  <c r="H103" i="5"/>
  <c r="H111" i="5"/>
  <c r="H119" i="5"/>
  <c r="H127" i="5"/>
  <c r="H135" i="5"/>
  <c r="H143" i="5"/>
  <c r="H151" i="5"/>
  <c r="H159" i="5"/>
  <c r="H167" i="5"/>
  <c r="H175" i="5"/>
  <c r="H183" i="5"/>
  <c r="H191" i="5"/>
  <c r="H199" i="5"/>
  <c r="H207" i="5"/>
  <c r="H215" i="5"/>
  <c r="H223" i="5"/>
  <c r="H231" i="5"/>
  <c r="H239" i="5"/>
  <c r="H247" i="5"/>
  <c r="H255" i="5"/>
  <c r="H263" i="5"/>
  <c r="H271" i="5"/>
  <c r="H279" i="5"/>
  <c r="H287" i="5"/>
  <c r="H295" i="5"/>
  <c r="H303" i="5"/>
  <c r="H311" i="5"/>
  <c r="H319" i="5"/>
  <c r="H327" i="5"/>
  <c r="H334" i="5"/>
  <c r="H339" i="5"/>
  <c r="H343" i="5"/>
  <c r="H347" i="5"/>
  <c r="H351" i="5"/>
  <c r="H355" i="5"/>
  <c r="H280" i="5"/>
  <c r="H304" i="5"/>
  <c r="H320" i="5"/>
  <c r="H328" i="5"/>
  <c r="H340" i="5"/>
  <c r="H344" i="5"/>
  <c r="H356" i="5"/>
  <c r="H8" i="5"/>
  <c r="H16" i="5"/>
  <c r="H24" i="5"/>
  <c r="H32" i="5"/>
  <c r="H40" i="5"/>
  <c r="H48" i="5"/>
  <c r="H56" i="5"/>
  <c r="H64" i="5"/>
  <c r="H72" i="5"/>
  <c r="H80" i="5"/>
  <c r="H88" i="5"/>
  <c r="H96" i="5"/>
  <c r="H104" i="5"/>
  <c r="H112" i="5"/>
  <c r="H120" i="5"/>
  <c r="H128" i="5"/>
  <c r="H136" i="5"/>
  <c r="H144" i="5"/>
  <c r="H152" i="5"/>
  <c r="H160" i="5"/>
  <c r="H168" i="5"/>
  <c r="H176" i="5"/>
  <c r="H184" i="5"/>
  <c r="H192" i="5"/>
  <c r="H200" i="5"/>
  <c r="H208" i="5"/>
  <c r="H216" i="5"/>
  <c r="H224" i="5"/>
  <c r="H232" i="5"/>
  <c r="H240" i="5"/>
  <c r="H248" i="5"/>
  <c r="H256" i="5"/>
  <c r="H264" i="5"/>
  <c r="H272" i="5"/>
  <c r="H288" i="5"/>
  <c r="H296" i="5"/>
  <c r="H312" i="5"/>
  <c r="H335" i="5"/>
  <c r="H348" i="5"/>
  <c r="G2" i="5"/>
  <c r="G6" i="5"/>
  <c r="G10" i="5"/>
  <c r="G14" i="5"/>
  <c r="G18" i="5"/>
  <c r="G22" i="5"/>
  <c r="G26" i="5"/>
  <c r="G30" i="5"/>
  <c r="G34" i="5"/>
  <c r="G38" i="5"/>
  <c r="G42" i="5"/>
  <c r="G46" i="5"/>
  <c r="G50" i="5"/>
  <c r="G54" i="5"/>
  <c r="G58" i="5"/>
  <c r="G62" i="5"/>
  <c r="G66" i="5"/>
  <c r="G70" i="5"/>
  <c r="G74" i="5"/>
  <c r="G78" i="5"/>
  <c r="G82" i="5"/>
  <c r="G86" i="5"/>
  <c r="G90" i="5"/>
  <c r="G94" i="5"/>
  <c r="G98" i="5"/>
  <c r="G102" i="5"/>
  <c r="G106" i="5"/>
  <c r="G110" i="5"/>
  <c r="G114" i="5"/>
  <c r="G118" i="5"/>
  <c r="G122" i="5"/>
  <c r="G126" i="5"/>
  <c r="G130" i="5"/>
  <c r="G134" i="5"/>
  <c r="G138" i="5"/>
  <c r="G142" i="5"/>
  <c r="G146" i="5"/>
  <c r="G150" i="5"/>
  <c r="G154" i="5"/>
  <c r="G158" i="5"/>
  <c r="G162" i="5"/>
  <c r="G166" i="5"/>
  <c r="G170" i="5"/>
  <c r="G174" i="5"/>
  <c r="G178" i="5"/>
  <c r="G182" i="5"/>
  <c r="G186" i="5"/>
  <c r="G190" i="5"/>
  <c r="G194" i="5"/>
  <c r="G198" i="5"/>
  <c r="G202" i="5"/>
  <c r="G206" i="5"/>
  <c r="G210" i="5"/>
  <c r="G214" i="5"/>
  <c r="G218" i="5"/>
  <c r="G222" i="5"/>
  <c r="G226" i="5"/>
  <c r="G230" i="5"/>
  <c r="G234" i="5"/>
  <c r="G238" i="5"/>
  <c r="G242" i="5"/>
  <c r="G246" i="5"/>
  <c r="G250" i="5"/>
  <c r="G254" i="5"/>
  <c r="G258" i="5"/>
  <c r="G262" i="5"/>
  <c r="G266" i="5"/>
  <c r="G270" i="5"/>
  <c r="G274" i="5"/>
  <c r="G278" i="5"/>
  <c r="G282" i="5"/>
  <c r="G286" i="5"/>
  <c r="G290" i="5"/>
  <c r="G294" i="5"/>
  <c r="G298" i="5"/>
  <c r="G302" i="5"/>
  <c r="G306" i="5"/>
  <c r="G310" i="5"/>
  <c r="G314" i="5"/>
  <c r="G318" i="5"/>
  <c r="G322" i="5"/>
  <c r="G326" i="5"/>
  <c r="G330" i="5"/>
  <c r="G334" i="5"/>
  <c r="G3" i="5"/>
  <c r="G7" i="5"/>
  <c r="G11" i="5"/>
  <c r="G15" i="5"/>
  <c r="G19" i="5"/>
  <c r="G23" i="5"/>
  <c r="G27" i="5"/>
  <c r="G31" i="5"/>
  <c r="G35" i="5"/>
  <c r="G39" i="5"/>
  <c r="G43" i="5"/>
  <c r="G47" i="5"/>
  <c r="G51" i="5"/>
  <c r="G55" i="5"/>
  <c r="G59" i="5"/>
  <c r="G63" i="5"/>
  <c r="G67" i="5"/>
  <c r="G71" i="5"/>
  <c r="G75" i="5"/>
  <c r="G79" i="5"/>
  <c r="G83" i="5"/>
  <c r="G87" i="5"/>
  <c r="G91" i="5"/>
  <c r="G95" i="5"/>
  <c r="G99" i="5"/>
  <c r="G103" i="5"/>
  <c r="G107" i="5"/>
  <c r="G111" i="5"/>
  <c r="G115" i="5"/>
  <c r="G119" i="5"/>
  <c r="G123" i="5"/>
  <c r="G127" i="5"/>
  <c r="G131" i="5"/>
  <c r="G135" i="5"/>
  <c r="G139" i="5"/>
  <c r="G143" i="5"/>
  <c r="G147" i="5"/>
  <c r="G151" i="5"/>
  <c r="G155" i="5"/>
  <c r="G159" i="5"/>
  <c r="G163" i="5"/>
  <c r="G167" i="5"/>
  <c r="G171" i="5"/>
  <c r="G175" i="5"/>
  <c r="G179" i="5"/>
  <c r="G183" i="5"/>
  <c r="G187" i="5"/>
  <c r="G191" i="5"/>
  <c r="G195" i="5"/>
  <c r="G199" i="5"/>
  <c r="G203" i="5"/>
  <c r="G207" i="5"/>
  <c r="G211" i="5"/>
  <c r="G215" i="5"/>
  <c r="G219" i="5"/>
  <c r="G223" i="5"/>
  <c r="G227" i="5"/>
  <c r="G231" i="5"/>
  <c r="G235" i="5"/>
  <c r="G239" i="5"/>
  <c r="G243" i="5"/>
  <c r="G247" i="5"/>
  <c r="G251" i="5"/>
  <c r="G255" i="5"/>
  <c r="G259" i="5"/>
  <c r="G263" i="5"/>
  <c r="G267" i="5"/>
  <c r="G271" i="5"/>
  <c r="G275" i="5"/>
  <c r="G279" i="5"/>
  <c r="G283" i="5"/>
  <c r="G287" i="5"/>
  <c r="G291" i="5"/>
  <c r="G295" i="5"/>
  <c r="G299" i="5"/>
  <c r="G303" i="5"/>
  <c r="G307" i="5"/>
  <c r="G311" i="5"/>
  <c r="G315" i="5"/>
  <c r="G319" i="5"/>
  <c r="G323" i="5"/>
  <c r="G327" i="5"/>
  <c r="G331" i="5"/>
  <c r="G335" i="5"/>
  <c r="G339" i="5"/>
  <c r="G4" i="5"/>
  <c r="G8" i="5"/>
  <c r="G12" i="5"/>
  <c r="G16" i="5"/>
  <c r="G20" i="5"/>
  <c r="G24" i="5"/>
  <c r="G28" i="5"/>
  <c r="G32" i="5"/>
  <c r="G36" i="5"/>
  <c r="G40" i="5"/>
  <c r="G44" i="5"/>
  <c r="G48" i="5"/>
  <c r="G52" i="5"/>
  <c r="G56" i="5"/>
  <c r="G60" i="5"/>
  <c r="G64" i="5"/>
  <c r="G68" i="5"/>
  <c r="G72" i="5"/>
  <c r="G76" i="5"/>
  <c r="G80" i="5"/>
  <c r="G84" i="5"/>
  <c r="G88" i="5"/>
  <c r="G92" i="5"/>
  <c r="G96" i="5"/>
  <c r="G100" i="5"/>
  <c r="G104" i="5"/>
  <c r="G108" i="5"/>
  <c r="G112" i="5"/>
  <c r="G116" i="5"/>
  <c r="G120" i="5"/>
  <c r="G124" i="5"/>
  <c r="G128" i="5"/>
  <c r="G132" i="5"/>
  <c r="G136" i="5"/>
  <c r="G140" i="5"/>
  <c r="G144" i="5"/>
  <c r="G148" i="5"/>
  <c r="G152" i="5"/>
  <c r="G156" i="5"/>
  <c r="G160" i="5"/>
  <c r="G164" i="5"/>
  <c r="G168" i="5"/>
  <c r="G172" i="5"/>
  <c r="G176" i="5"/>
  <c r="G180" i="5"/>
  <c r="G184" i="5"/>
  <c r="G188" i="5"/>
  <c r="G192" i="5"/>
  <c r="G196" i="5"/>
  <c r="G200" i="5"/>
  <c r="G204" i="5"/>
  <c r="G208" i="5"/>
  <c r="G212" i="5"/>
  <c r="G216" i="5"/>
  <c r="G220" i="5"/>
  <c r="G224" i="5"/>
  <c r="G228" i="5"/>
  <c r="G232" i="5"/>
  <c r="G236" i="5"/>
  <c r="G240" i="5"/>
  <c r="G244" i="5"/>
  <c r="G248" i="5"/>
  <c r="G252" i="5"/>
  <c r="G256" i="5"/>
  <c r="G260" i="5"/>
  <c r="G264" i="5"/>
  <c r="G268" i="5"/>
  <c r="G272" i="5"/>
  <c r="G276" i="5"/>
  <c r="G280" i="5"/>
  <c r="G284" i="5"/>
  <c r="G288" i="5"/>
  <c r="G292" i="5"/>
  <c r="G296" i="5"/>
  <c r="G300" i="5"/>
  <c r="G304" i="5"/>
  <c r="G308" i="5"/>
  <c r="G312" i="5"/>
  <c r="G316" i="5"/>
  <c r="G320" i="5"/>
  <c r="G324" i="5"/>
  <c r="G328" i="5"/>
  <c r="G332" i="5"/>
  <c r="G336" i="5"/>
  <c r="G5" i="5"/>
  <c r="G21" i="5"/>
  <c r="G37" i="5"/>
  <c r="G53" i="5"/>
  <c r="G69" i="5"/>
  <c r="G85" i="5"/>
  <c r="G101" i="5"/>
  <c r="G117" i="5"/>
  <c r="G133" i="5"/>
  <c r="G149" i="5"/>
  <c r="G165" i="5"/>
  <c r="G181" i="5"/>
  <c r="G197" i="5"/>
  <c r="G213" i="5"/>
  <c r="G229" i="5"/>
  <c r="G245" i="5"/>
  <c r="G261" i="5"/>
  <c r="G277" i="5"/>
  <c r="G293" i="5"/>
  <c r="G309" i="5"/>
  <c r="G325" i="5"/>
  <c r="G338" i="5"/>
  <c r="G343" i="5"/>
  <c r="G347" i="5"/>
  <c r="G351" i="5"/>
  <c r="G355" i="5"/>
  <c r="G57" i="5"/>
  <c r="G105" i="5"/>
  <c r="G137" i="5"/>
  <c r="G169" i="5"/>
  <c r="G185" i="5"/>
  <c r="G217" i="5"/>
  <c r="G233" i="5"/>
  <c r="G265" i="5"/>
  <c r="G297" i="5"/>
  <c r="G329" i="5"/>
  <c r="G344" i="5"/>
  <c r="G348" i="5"/>
  <c r="G346" i="5"/>
  <c r="G9" i="5"/>
  <c r="G25" i="5"/>
  <c r="G41" i="5"/>
  <c r="G73" i="5"/>
  <c r="G89" i="5"/>
  <c r="G121" i="5"/>
  <c r="G153" i="5"/>
  <c r="G201" i="5"/>
  <c r="G249" i="5"/>
  <c r="G281" i="5"/>
  <c r="G313" i="5"/>
  <c r="G340" i="5"/>
  <c r="G352" i="5"/>
  <c r="G356" i="5"/>
  <c r="G350" i="5"/>
  <c r="G13" i="5"/>
  <c r="G29" i="5"/>
  <c r="G45" i="5"/>
  <c r="G61" i="5"/>
  <c r="G77" i="5"/>
  <c r="G93" i="5"/>
  <c r="G109" i="5"/>
  <c r="G125" i="5"/>
  <c r="G141" i="5"/>
  <c r="G157" i="5"/>
  <c r="G173" i="5"/>
  <c r="G189" i="5"/>
  <c r="G205" i="5"/>
  <c r="G221" i="5"/>
  <c r="G237" i="5"/>
  <c r="G253" i="5"/>
  <c r="G269" i="5"/>
  <c r="G285" i="5"/>
  <c r="G301" i="5"/>
  <c r="G317" i="5"/>
  <c r="G333" i="5"/>
  <c r="G341" i="5"/>
  <c r="G345" i="5"/>
  <c r="G349" i="5"/>
  <c r="G353" i="5"/>
  <c r="G357" i="5"/>
  <c r="G273" i="5"/>
  <c r="G289" i="5"/>
  <c r="G321" i="5"/>
  <c r="G342" i="5"/>
  <c r="G358" i="5"/>
  <c r="G17" i="5"/>
  <c r="G33" i="5"/>
  <c r="G49" i="5"/>
  <c r="G65" i="5"/>
  <c r="G81" i="5"/>
  <c r="G97" i="5"/>
  <c r="G113" i="5"/>
  <c r="G129" i="5"/>
  <c r="G145" i="5"/>
  <c r="G161" i="5"/>
  <c r="G177" i="5"/>
  <c r="G193" i="5"/>
  <c r="G209" i="5"/>
  <c r="G225" i="5"/>
  <c r="G241" i="5"/>
  <c r="G257" i="5"/>
  <c r="G305" i="5"/>
  <c r="G337" i="5"/>
  <c r="G354" i="5"/>
  <c r="B207" i="5"/>
  <c r="E169" i="5"/>
  <c r="B179" i="5" l="1"/>
  <c r="C161" i="5"/>
  <c r="E6" i="5"/>
  <c r="E111" i="5"/>
  <c r="C93" i="5"/>
  <c r="B224" i="5"/>
  <c r="B33" i="5"/>
  <c r="E246" i="5"/>
  <c r="D27" i="5"/>
  <c r="B156" i="5"/>
  <c r="D306" i="5"/>
  <c r="D114" i="5"/>
  <c r="D283" i="5"/>
  <c r="C48" i="5"/>
  <c r="D11" i="5"/>
  <c r="F213" i="5"/>
  <c r="F238" i="5"/>
  <c r="F264" i="5"/>
  <c r="F8" i="5"/>
  <c r="F88" i="5"/>
  <c r="F272" i="5"/>
  <c r="D60" i="5"/>
  <c r="D329" i="5"/>
  <c r="F294" i="5"/>
  <c r="E198" i="5"/>
  <c r="F230" i="5"/>
  <c r="B297" i="5"/>
  <c r="C173" i="5"/>
  <c r="C340" i="5"/>
  <c r="C240" i="5"/>
  <c r="B292" i="5"/>
  <c r="D334" i="5"/>
  <c r="F304" i="5"/>
  <c r="B356" i="5"/>
  <c r="D287" i="5"/>
  <c r="D325" i="5"/>
  <c r="D270" i="5"/>
  <c r="D103" i="5"/>
  <c r="D128" i="5"/>
  <c r="D139" i="5"/>
  <c r="D273" i="5"/>
  <c r="D124" i="5"/>
  <c r="D320" i="5"/>
  <c r="D25" i="5"/>
  <c r="D163" i="5"/>
  <c r="D137" i="5"/>
  <c r="D119" i="5"/>
  <c r="E258" i="5"/>
  <c r="E350" i="5"/>
  <c r="B172" i="5"/>
  <c r="B300" i="5"/>
  <c r="B295" i="5"/>
  <c r="D203" i="5"/>
  <c r="D6" i="5"/>
  <c r="D357" i="5"/>
  <c r="D294" i="5"/>
  <c r="D319" i="5"/>
  <c r="E221" i="5"/>
  <c r="D347" i="5"/>
  <c r="D22" i="5"/>
  <c r="E131" i="5"/>
  <c r="E102" i="5"/>
  <c r="E318" i="5"/>
  <c r="E177" i="5"/>
  <c r="B186" i="5"/>
  <c r="B339" i="5"/>
  <c r="B266" i="5"/>
  <c r="B193" i="5"/>
  <c r="B120" i="5"/>
  <c r="B47" i="5"/>
  <c r="D233" i="5"/>
  <c r="D116" i="5"/>
  <c r="E54" i="5"/>
  <c r="B113" i="5"/>
  <c r="B258" i="5"/>
  <c r="B112" i="5"/>
  <c r="F27" i="5"/>
  <c r="F112" i="5"/>
  <c r="D75" i="5"/>
  <c r="E147" i="5"/>
  <c r="C213" i="5"/>
  <c r="C218" i="5"/>
  <c r="C280" i="5"/>
  <c r="C353" i="5"/>
  <c r="C251" i="5"/>
  <c r="D99" i="5"/>
  <c r="C86" i="5"/>
  <c r="C165" i="5"/>
  <c r="C229" i="5"/>
  <c r="C153" i="5"/>
  <c r="C79" i="5"/>
  <c r="C88" i="5"/>
  <c r="C275" i="5"/>
  <c r="C178" i="5"/>
  <c r="C14" i="5"/>
  <c r="C109" i="5"/>
  <c r="C183" i="5"/>
  <c r="C255" i="5"/>
  <c r="C329" i="5"/>
  <c r="C92" i="5"/>
  <c r="C220" i="5"/>
  <c r="E226" i="5"/>
  <c r="E10" i="5"/>
  <c r="E83" i="5"/>
  <c r="E244" i="5"/>
  <c r="E330" i="5"/>
  <c r="E108" i="5"/>
  <c r="E220" i="5"/>
  <c r="E187" i="5"/>
  <c r="E273" i="5"/>
  <c r="E62" i="5"/>
  <c r="E240" i="5"/>
  <c r="E151" i="5"/>
  <c r="E215" i="5"/>
  <c r="E279" i="5"/>
  <c r="E343" i="5"/>
  <c r="B141" i="5"/>
  <c r="B343" i="5"/>
  <c r="B197" i="5"/>
  <c r="B205" i="5"/>
  <c r="B262" i="5"/>
  <c r="B111" i="5"/>
  <c r="B12" i="5"/>
  <c r="F6" i="5"/>
  <c r="F45" i="5"/>
  <c r="F180" i="5"/>
  <c r="F240" i="5"/>
  <c r="F63" i="5"/>
  <c r="F158" i="5"/>
  <c r="F261" i="5"/>
  <c r="F275" i="5"/>
  <c r="F339" i="5"/>
  <c r="D50" i="5"/>
  <c r="D354" i="5"/>
  <c r="D236" i="5"/>
  <c r="D53" i="5"/>
  <c r="D302" i="5"/>
  <c r="D238" i="5"/>
  <c r="B259" i="5"/>
  <c r="D17" i="5"/>
  <c r="C286" i="5"/>
  <c r="C18" i="5"/>
  <c r="C237" i="5"/>
  <c r="C298" i="5"/>
  <c r="C7" i="5"/>
  <c r="E213" i="5"/>
  <c r="E125" i="5"/>
  <c r="F58" i="5"/>
  <c r="C142" i="5"/>
  <c r="C85" i="5"/>
  <c r="C226" i="5"/>
  <c r="C41" i="5"/>
  <c r="C276" i="5"/>
  <c r="C330" i="5"/>
  <c r="C332" i="5"/>
  <c r="C34" i="5"/>
  <c r="C327" i="5"/>
  <c r="C99" i="5"/>
  <c r="C164" i="5"/>
  <c r="D208" i="5"/>
  <c r="B242" i="5"/>
  <c r="D200" i="5"/>
  <c r="D337" i="5"/>
  <c r="D145" i="5"/>
  <c r="D122" i="5"/>
  <c r="D105" i="5"/>
  <c r="D173" i="5"/>
  <c r="D32" i="5"/>
  <c r="D155" i="5"/>
  <c r="D260" i="5"/>
  <c r="D157" i="5"/>
  <c r="D309" i="5"/>
  <c r="D54" i="5"/>
  <c r="D143" i="5"/>
  <c r="D296" i="5"/>
  <c r="D168" i="5"/>
  <c r="E300" i="5"/>
  <c r="E66" i="5"/>
  <c r="E139" i="5"/>
  <c r="E190" i="5"/>
  <c r="E17" i="5"/>
  <c r="E23" i="5"/>
  <c r="E41" i="5"/>
  <c r="E114" i="5"/>
  <c r="E195" i="5"/>
  <c r="E281" i="5"/>
  <c r="E72" i="5"/>
  <c r="B274" i="5"/>
  <c r="B233" i="5"/>
  <c r="B87" i="5"/>
  <c r="B289" i="5"/>
  <c r="B211" i="5"/>
  <c r="B138" i="5"/>
  <c r="B65" i="5"/>
  <c r="F79" i="5"/>
  <c r="F176" i="5"/>
  <c r="F14" i="5"/>
  <c r="F100" i="5"/>
  <c r="F303" i="5"/>
  <c r="F237" i="5"/>
  <c r="F132" i="5"/>
  <c r="F335" i="5"/>
  <c r="F61" i="5"/>
  <c r="F156" i="5"/>
  <c r="F235" i="5"/>
  <c r="F130" i="5"/>
  <c r="F194" i="5"/>
  <c r="F258" i="5"/>
  <c r="F322" i="5"/>
  <c r="D285" i="5"/>
  <c r="D165" i="5"/>
  <c r="D126" i="5"/>
  <c r="D86" i="5"/>
  <c r="D175" i="5"/>
  <c r="D48" i="5"/>
  <c r="B282" i="5"/>
  <c r="E211" i="5"/>
  <c r="E307" i="5"/>
  <c r="E57" i="5"/>
  <c r="E130" i="5"/>
  <c r="E101" i="5"/>
  <c r="E242" i="5"/>
  <c r="E52" i="5"/>
  <c r="E293" i="5"/>
  <c r="E334" i="5"/>
  <c r="E64" i="5"/>
  <c r="E167" i="5"/>
  <c r="B217" i="5"/>
  <c r="B77" i="5"/>
  <c r="B40" i="5"/>
  <c r="B136" i="5"/>
  <c r="B64" i="5"/>
  <c r="B243" i="5"/>
  <c r="B18" i="5"/>
  <c r="B140" i="5"/>
  <c r="B164" i="5"/>
  <c r="F102" i="5"/>
  <c r="F92" i="5"/>
  <c r="F124" i="5"/>
  <c r="F135" i="5"/>
  <c r="F327" i="5"/>
  <c r="F69" i="5"/>
  <c r="F120" i="5"/>
  <c r="F351" i="5"/>
  <c r="F85" i="5"/>
  <c r="F183" i="5"/>
  <c r="F286" i="5"/>
  <c r="F30" i="5"/>
  <c r="F118" i="5"/>
  <c r="F221" i="5"/>
  <c r="F324" i="5"/>
  <c r="F227" i="5"/>
  <c r="F122" i="5"/>
  <c r="F186" i="5"/>
  <c r="F250" i="5"/>
  <c r="F314" i="5"/>
  <c r="F25" i="5"/>
  <c r="F89" i="5"/>
  <c r="F153" i="5"/>
  <c r="F217" i="5"/>
  <c r="F281" i="5"/>
  <c r="F345" i="5"/>
  <c r="D91" i="5"/>
  <c r="D265" i="5"/>
  <c r="D68" i="5"/>
  <c r="D101" i="5"/>
  <c r="D70" i="5"/>
  <c r="D331" i="5"/>
  <c r="D336" i="5"/>
  <c r="C247" i="5"/>
  <c r="E322" i="5"/>
  <c r="E28" i="5"/>
  <c r="E180" i="5"/>
  <c r="E266" i="5"/>
  <c r="E146" i="5"/>
  <c r="E338" i="5"/>
  <c r="E209" i="5"/>
  <c r="E14" i="5"/>
  <c r="E87" i="5"/>
  <c r="E164" i="5"/>
  <c r="E250" i="5"/>
  <c r="E99" i="5"/>
  <c r="E31" i="5"/>
  <c r="E128" i="5"/>
  <c r="E256" i="5"/>
  <c r="E231" i="5"/>
  <c r="E295" i="5"/>
  <c r="B71" i="5"/>
  <c r="E289" i="5"/>
  <c r="E254" i="5"/>
  <c r="E326" i="5"/>
  <c r="E5" i="5"/>
  <c r="E78" i="5"/>
  <c r="E154" i="5"/>
  <c r="E324" i="5"/>
  <c r="B269" i="5"/>
  <c r="B4" i="5"/>
  <c r="B133" i="5"/>
  <c r="B8" i="5"/>
  <c r="B227" i="5"/>
  <c r="B81" i="5"/>
  <c r="B106" i="5"/>
  <c r="F48" i="5"/>
  <c r="F35" i="5"/>
  <c r="F254" i="5"/>
  <c r="F312" i="5"/>
  <c r="F283" i="5"/>
  <c r="E204" i="5"/>
  <c r="E310" i="5"/>
  <c r="E105" i="5"/>
  <c r="E269" i="5"/>
  <c r="E355" i="5"/>
  <c r="E320" i="5"/>
  <c r="B147" i="5"/>
  <c r="F292" i="5"/>
  <c r="F223" i="5"/>
  <c r="F245" i="5"/>
  <c r="C257" i="5"/>
  <c r="C24" i="5"/>
  <c r="C169" i="5"/>
  <c r="C202" i="5"/>
  <c r="C266" i="5"/>
  <c r="C150" i="5"/>
  <c r="C196" i="5"/>
  <c r="D271" i="5"/>
  <c r="E45" i="5"/>
  <c r="E3" i="5"/>
  <c r="E38" i="5"/>
  <c r="E277" i="5"/>
  <c r="E34" i="5"/>
  <c r="E357" i="5"/>
  <c r="E69" i="5"/>
  <c r="E142" i="5"/>
  <c r="E228" i="5"/>
  <c r="E314" i="5"/>
  <c r="E48" i="5"/>
  <c r="E176" i="5"/>
  <c r="B99" i="5"/>
  <c r="B305" i="5"/>
  <c r="B159" i="5"/>
  <c r="B85" i="5"/>
  <c r="F23" i="5"/>
  <c r="F166" i="5"/>
  <c r="F343" i="5"/>
  <c r="F198" i="5"/>
  <c r="F301" i="5"/>
  <c r="F296" i="5"/>
  <c r="F320" i="5"/>
  <c r="F147" i="5"/>
  <c r="F42" i="5"/>
  <c r="F9" i="5"/>
  <c r="F73" i="5"/>
  <c r="F137" i="5"/>
  <c r="F201" i="5"/>
  <c r="F265" i="5"/>
  <c r="F329" i="5"/>
  <c r="F232" i="5"/>
  <c r="C242" i="5"/>
  <c r="C249" i="5"/>
  <c r="C343" i="5"/>
  <c r="C315" i="5"/>
  <c r="E49" i="5"/>
  <c r="E182" i="5"/>
  <c r="E29" i="5"/>
  <c r="E74" i="5"/>
  <c r="E143" i="5"/>
  <c r="E271" i="5"/>
  <c r="B328" i="5"/>
  <c r="B21" i="5"/>
  <c r="F332" i="5"/>
  <c r="F53" i="5"/>
  <c r="C133" i="5"/>
  <c r="C224" i="5"/>
  <c r="C21" i="5"/>
  <c r="C352" i="5"/>
  <c r="C278" i="5"/>
  <c r="C351" i="5"/>
  <c r="C320" i="5"/>
  <c r="C179" i="5"/>
  <c r="E285" i="5"/>
  <c r="E20" i="5"/>
  <c r="E341" i="5"/>
  <c r="E15" i="5"/>
  <c r="E165" i="5"/>
  <c r="E32" i="5"/>
  <c r="B275" i="5"/>
  <c r="B129" i="5"/>
  <c r="B56" i="5"/>
  <c r="F316" i="5"/>
  <c r="F70" i="5"/>
  <c r="F168" i="5"/>
  <c r="E134" i="5"/>
  <c r="B220" i="5"/>
  <c r="C5" i="5"/>
  <c r="C95" i="5"/>
  <c r="C334" i="5"/>
  <c r="C349" i="5"/>
  <c r="C61" i="5"/>
  <c r="E148" i="5"/>
  <c r="E234" i="5"/>
  <c r="E261" i="5"/>
  <c r="E296" i="5"/>
  <c r="E207" i="5"/>
  <c r="E335" i="5"/>
  <c r="B127" i="5"/>
  <c r="B59" i="5"/>
  <c r="B271" i="5"/>
  <c r="F247" i="5"/>
  <c r="C37" i="5"/>
  <c r="C206" i="5"/>
  <c r="C233" i="5"/>
  <c r="C10" i="5"/>
  <c r="C156" i="5"/>
  <c r="C303" i="5"/>
  <c r="C121" i="5"/>
  <c r="C55" i="5"/>
  <c r="C274" i="5"/>
  <c r="C355" i="5"/>
  <c r="C117" i="5"/>
  <c r="C190" i="5"/>
  <c r="C336" i="5"/>
  <c r="C44" i="5"/>
  <c r="C107" i="5"/>
  <c r="C172" i="5"/>
  <c r="C235" i="5"/>
  <c r="B219" i="5"/>
  <c r="E200" i="5"/>
  <c r="B350" i="5"/>
  <c r="F40" i="5"/>
  <c r="F107" i="5"/>
  <c r="E118" i="5"/>
  <c r="E185" i="5"/>
  <c r="B98" i="5"/>
  <c r="B311" i="5"/>
  <c r="B213" i="5"/>
  <c r="F110" i="5"/>
  <c r="F269" i="5"/>
  <c r="F4" i="5"/>
  <c r="F189" i="5"/>
  <c r="F51" i="5"/>
  <c r="F142" i="5"/>
  <c r="F348" i="5"/>
  <c r="E122" i="5"/>
  <c r="B122" i="5"/>
  <c r="B153" i="5"/>
  <c r="B320" i="5"/>
  <c r="B174" i="5"/>
  <c r="B149" i="5"/>
  <c r="F212" i="5"/>
  <c r="F20" i="5"/>
  <c r="F104" i="5"/>
  <c r="F207" i="5"/>
  <c r="F310" i="5"/>
  <c r="F114" i="5"/>
  <c r="F178" i="5"/>
  <c r="F242" i="5"/>
  <c r="F306" i="5"/>
  <c r="F17" i="5"/>
  <c r="F81" i="5"/>
  <c r="F145" i="5"/>
  <c r="F209" i="5"/>
  <c r="F273" i="5"/>
  <c r="F337" i="5"/>
  <c r="F276" i="5"/>
  <c r="F259" i="5"/>
  <c r="E140" i="5"/>
  <c r="D343" i="5"/>
  <c r="B323" i="5"/>
  <c r="C97" i="5"/>
  <c r="C284" i="5"/>
  <c r="C112" i="5"/>
  <c r="C45" i="5"/>
  <c r="C119" i="5"/>
  <c r="C191" i="5"/>
  <c r="C36" i="5"/>
  <c r="D311" i="5"/>
  <c r="D159" i="5"/>
  <c r="D209" i="5"/>
  <c r="D355" i="5"/>
  <c r="D290" i="5"/>
  <c r="D182" i="5"/>
  <c r="D62" i="5"/>
  <c r="E137" i="5"/>
  <c r="E25" i="5"/>
  <c r="B69" i="5"/>
  <c r="B249" i="5"/>
  <c r="B176" i="5"/>
  <c r="B103" i="5"/>
  <c r="F37" i="5"/>
  <c r="F56" i="5"/>
  <c r="F184" i="5"/>
  <c r="C50" i="5"/>
  <c r="C125" i="5"/>
  <c r="C307" i="5"/>
  <c r="C77" i="5"/>
  <c r="C223" i="5"/>
  <c r="C81" i="5"/>
  <c r="C302" i="5"/>
  <c r="C163" i="5"/>
  <c r="C357" i="5"/>
  <c r="C144" i="5"/>
  <c r="D257" i="5"/>
  <c r="D19" i="5"/>
  <c r="D213" i="5"/>
  <c r="D35" i="5"/>
  <c r="D327" i="5"/>
  <c r="D96" i="5"/>
  <c r="D30" i="5"/>
  <c r="E253" i="5"/>
  <c r="E157" i="5"/>
  <c r="E236" i="5"/>
  <c r="E2" i="5"/>
  <c r="E317" i="5"/>
  <c r="E354" i="5"/>
  <c r="E349" i="5"/>
  <c r="E225" i="5"/>
  <c r="E309" i="5"/>
  <c r="E37" i="5"/>
  <c r="E110" i="5"/>
  <c r="E276" i="5"/>
  <c r="E61" i="5"/>
  <c r="E219" i="5"/>
  <c r="E305" i="5"/>
  <c r="E97" i="5"/>
  <c r="E260" i="5"/>
  <c r="E346" i="5"/>
  <c r="E117" i="5"/>
  <c r="E8" i="5"/>
  <c r="E136" i="5"/>
  <c r="E264" i="5"/>
  <c r="E328" i="5"/>
  <c r="E175" i="5"/>
  <c r="E239" i="5"/>
  <c r="E303" i="5"/>
  <c r="B118" i="5"/>
  <c r="B235" i="5"/>
  <c r="B89" i="5"/>
  <c r="B230" i="5"/>
  <c r="B83" i="5"/>
  <c r="B10" i="5"/>
  <c r="B278" i="5"/>
  <c r="B131" i="5"/>
  <c r="B28" i="5"/>
  <c r="F152" i="5"/>
  <c r="F149" i="5"/>
  <c r="F141" i="5"/>
  <c r="F174" i="5"/>
  <c r="F188" i="5"/>
  <c r="F77" i="5"/>
  <c r="F319" i="5"/>
  <c r="F279" i="5"/>
  <c r="F200" i="5"/>
  <c r="F44" i="5"/>
  <c r="F134" i="5"/>
  <c r="F11" i="5"/>
  <c r="F95" i="5"/>
  <c r="F197" i="5"/>
  <c r="F300" i="5"/>
  <c r="F256" i="5"/>
  <c r="F171" i="5"/>
  <c r="F2" i="5"/>
  <c r="F66" i="5"/>
  <c r="F33" i="5"/>
  <c r="F97" i="5"/>
  <c r="F161" i="5"/>
  <c r="F225" i="5"/>
  <c r="F289" i="5"/>
  <c r="F353" i="5"/>
  <c r="B252" i="5"/>
  <c r="B61" i="5"/>
  <c r="F203" i="5"/>
  <c r="B334" i="5"/>
  <c r="E26" i="5"/>
  <c r="E160" i="5"/>
  <c r="B352" i="5"/>
  <c r="F160" i="5"/>
  <c r="B355" i="5"/>
  <c r="C168" i="5"/>
  <c r="C101" i="5"/>
  <c r="B144" i="5"/>
  <c r="C67" i="5"/>
  <c r="C264" i="5"/>
  <c r="C13" i="5"/>
  <c r="C319" i="5"/>
  <c r="D178" i="5"/>
  <c r="C59" i="5"/>
  <c r="C269" i="5"/>
  <c r="D162" i="5"/>
  <c r="E13" i="5"/>
  <c r="E4" i="5"/>
  <c r="F244" i="5"/>
  <c r="F344" i="5"/>
  <c r="F127" i="5"/>
  <c r="F229" i="5"/>
  <c r="F150" i="5"/>
  <c r="F253" i="5"/>
  <c r="F356" i="5"/>
  <c r="F86" i="5"/>
  <c r="F144" i="5"/>
  <c r="F19" i="5"/>
  <c r="F103" i="5"/>
  <c r="F206" i="5"/>
  <c r="F309" i="5"/>
  <c r="F34" i="5"/>
  <c r="C51" i="5"/>
  <c r="C69" i="5"/>
  <c r="C193" i="5"/>
  <c r="C209" i="5"/>
  <c r="D73" i="5"/>
  <c r="D186" i="5"/>
  <c r="D58" i="5"/>
  <c r="D249" i="5"/>
  <c r="E179" i="5"/>
  <c r="E158" i="5"/>
  <c r="E163" i="5"/>
  <c r="E333" i="5"/>
  <c r="B91" i="5"/>
  <c r="B255" i="5"/>
  <c r="B247" i="5"/>
  <c r="F47" i="5"/>
  <c r="C344" i="5"/>
  <c r="C53" i="5"/>
  <c r="C272" i="5"/>
  <c r="D79" i="5"/>
  <c r="E91" i="5"/>
  <c r="E153" i="5"/>
  <c r="E168" i="5"/>
  <c r="D151" i="5"/>
  <c r="D219" i="5"/>
  <c r="E94" i="5"/>
  <c r="E222" i="5"/>
  <c r="B223" i="5"/>
  <c r="F80" i="5"/>
  <c r="F336" i="5"/>
  <c r="F90" i="5"/>
  <c r="E172" i="5"/>
  <c r="E193" i="5"/>
  <c r="E86" i="5"/>
  <c r="F68" i="5"/>
  <c r="F29" i="5"/>
  <c r="F220" i="5"/>
  <c r="F211" i="5"/>
  <c r="C130" i="5"/>
  <c r="C29" i="5"/>
  <c r="C199" i="5"/>
  <c r="D184" i="5"/>
  <c r="E267" i="5"/>
  <c r="E237" i="5"/>
  <c r="D61" i="5"/>
  <c r="C304" i="5"/>
  <c r="C26" i="5"/>
  <c r="E290" i="5"/>
  <c r="E79" i="5"/>
  <c r="F204" i="5"/>
  <c r="C115" i="5"/>
  <c r="D268" i="5"/>
  <c r="D205" i="5"/>
  <c r="D15" i="5"/>
  <c r="E127" i="5"/>
  <c r="E249" i="5"/>
  <c r="B151" i="5"/>
  <c r="B256" i="5"/>
  <c r="B19" i="5"/>
  <c r="F16" i="5"/>
  <c r="F280" i="5"/>
  <c r="F164" i="5"/>
  <c r="F117" i="5"/>
  <c r="C32" i="5"/>
  <c r="C137" i="5"/>
  <c r="C126" i="5"/>
  <c r="D317" i="5"/>
  <c r="E77" i="5"/>
  <c r="E323" i="5"/>
  <c r="E232" i="5"/>
  <c r="B237" i="5"/>
  <c r="D113" i="5"/>
  <c r="B239" i="5"/>
  <c r="C270" i="5"/>
  <c r="D39" i="5"/>
  <c r="C157" i="5"/>
  <c r="D291" i="5"/>
  <c r="C28" i="5"/>
  <c r="F215" i="5"/>
  <c r="F271" i="5"/>
  <c r="F154" i="5"/>
  <c r="F218" i="5"/>
  <c r="F282" i="5"/>
  <c r="F346" i="5"/>
  <c r="C338" i="5"/>
  <c r="D313" i="5"/>
  <c r="E245" i="5"/>
  <c r="F325" i="5"/>
  <c r="C295" i="5"/>
  <c r="B191" i="5"/>
  <c r="C127" i="5"/>
  <c r="E156" i="5"/>
  <c r="E252" i="5"/>
  <c r="E348" i="5"/>
  <c r="E174" i="5"/>
  <c r="F299" i="5"/>
  <c r="C23" i="5"/>
  <c r="C108" i="5"/>
  <c r="C289" i="5"/>
  <c r="C135" i="5"/>
  <c r="D56" i="5"/>
  <c r="D250" i="5"/>
  <c r="D314" i="5"/>
  <c r="D267" i="5"/>
  <c r="D180" i="5"/>
  <c r="E162" i="5"/>
  <c r="E150" i="5"/>
  <c r="E275" i="5"/>
  <c r="E299" i="5"/>
  <c r="E192" i="5"/>
  <c r="B166" i="5"/>
  <c r="B92" i="5"/>
  <c r="B287" i="5"/>
  <c r="B37" i="5"/>
  <c r="F99" i="5"/>
  <c r="F165" i="5"/>
  <c r="F268" i="5"/>
  <c r="F32" i="5"/>
  <c r="F163" i="5"/>
  <c r="F291" i="5"/>
  <c r="F355" i="5"/>
  <c r="B29" i="5"/>
  <c r="E82" i="5"/>
  <c r="E76" i="5"/>
  <c r="E194" i="5"/>
  <c r="E233" i="5"/>
  <c r="E268" i="5"/>
  <c r="E265" i="5"/>
  <c r="E214" i="5"/>
  <c r="E47" i="5"/>
  <c r="E121" i="5"/>
  <c r="E203" i="5"/>
  <c r="E19" i="5"/>
  <c r="E92" i="5"/>
  <c r="E170" i="5"/>
  <c r="E340" i="5"/>
  <c r="E126" i="5"/>
  <c r="E230" i="5"/>
  <c r="E43" i="5"/>
  <c r="E116" i="5"/>
  <c r="E197" i="5"/>
  <c r="E283" i="5"/>
  <c r="E238" i="5"/>
  <c r="E81" i="5"/>
  <c r="E22" i="5"/>
  <c r="E95" i="5"/>
  <c r="E173" i="5"/>
  <c r="E259" i="5"/>
  <c r="E345" i="5"/>
  <c r="E56" i="5"/>
  <c r="E120" i="5"/>
  <c r="E184" i="5"/>
  <c r="E248" i="5"/>
  <c r="E312" i="5"/>
  <c r="E159" i="5"/>
  <c r="E223" i="5"/>
  <c r="E287" i="5"/>
  <c r="E351" i="5"/>
  <c r="F67" i="5"/>
  <c r="F60" i="5"/>
  <c r="F55" i="5"/>
  <c r="F87" i="5"/>
  <c r="F216" i="5"/>
  <c r="F59" i="5"/>
  <c r="F151" i="5"/>
  <c r="F357" i="5"/>
  <c r="F78" i="5"/>
  <c r="F175" i="5"/>
  <c r="F278" i="5"/>
  <c r="F22" i="5"/>
  <c r="F109" i="5"/>
  <c r="F75" i="5"/>
  <c r="F172" i="5"/>
  <c r="F39" i="5"/>
  <c r="F128" i="5"/>
  <c r="F231" i="5"/>
  <c r="F334" i="5"/>
  <c r="F155" i="5"/>
  <c r="F219" i="5"/>
  <c r="F347" i="5"/>
  <c r="F50" i="5"/>
  <c r="D81" i="5"/>
  <c r="E112" i="5"/>
  <c r="E304" i="5"/>
  <c r="B117" i="5"/>
  <c r="F96" i="5"/>
  <c r="F196" i="5"/>
  <c r="F106" i="5"/>
  <c r="D193" i="5"/>
  <c r="D64" i="5"/>
  <c r="D133" i="5"/>
  <c r="E9" i="5"/>
  <c r="E90" i="5"/>
  <c r="E60" i="5"/>
  <c r="E44" i="5"/>
  <c r="E40" i="5"/>
  <c r="B125" i="5"/>
  <c r="F288" i="5"/>
  <c r="F116" i="5"/>
  <c r="F84" i="5"/>
  <c r="F331" i="5"/>
  <c r="F162" i="5"/>
  <c r="F193" i="5"/>
  <c r="B130" i="5"/>
  <c r="E12" i="5"/>
  <c r="E332" i="5"/>
  <c r="E109" i="5"/>
  <c r="E100" i="5"/>
  <c r="E93" i="5"/>
  <c r="E171" i="5"/>
  <c r="E257" i="5"/>
  <c r="E65" i="5"/>
  <c r="E308" i="5"/>
  <c r="E71" i="5"/>
  <c r="E89" i="5"/>
  <c r="E251" i="5"/>
  <c r="E337" i="5"/>
  <c r="E51" i="5"/>
  <c r="E124" i="5"/>
  <c r="E206" i="5"/>
  <c r="E292" i="5"/>
  <c r="E284" i="5"/>
  <c r="E68" i="5"/>
  <c r="E141" i="5"/>
  <c r="E227" i="5"/>
  <c r="E313" i="5"/>
  <c r="E96" i="5"/>
  <c r="E224" i="5"/>
  <c r="E288" i="5"/>
  <c r="E352" i="5"/>
  <c r="E199" i="5"/>
  <c r="E263" i="5"/>
  <c r="E327" i="5"/>
  <c r="F308" i="5"/>
  <c r="F302" i="5"/>
  <c r="F318" i="5"/>
  <c r="F46" i="5"/>
  <c r="F136" i="5"/>
  <c r="F239" i="5"/>
  <c r="F342" i="5"/>
  <c r="F76" i="5"/>
  <c r="F173" i="5"/>
  <c r="F43" i="5"/>
  <c r="F133" i="5"/>
  <c r="F236" i="5"/>
  <c r="F72" i="5"/>
  <c r="F7" i="5"/>
  <c r="F93" i="5"/>
  <c r="F192" i="5"/>
  <c r="F295" i="5"/>
  <c r="F131" i="5"/>
  <c r="F195" i="5"/>
  <c r="F323" i="5"/>
  <c r="F26" i="5"/>
  <c r="F57" i="5"/>
  <c r="F121" i="5"/>
  <c r="F185" i="5"/>
  <c r="F249" i="5"/>
  <c r="F313" i="5"/>
  <c r="D256" i="5"/>
  <c r="C149" i="5"/>
  <c r="D227" i="5"/>
  <c r="E189" i="5"/>
  <c r="E107" i="5"/>
  <c r="F13" i="5"/>
  <c r="F94" i="5"/>
  <c r="F170" i="5"/>
  <c r="F298" i="5"/>
  <c r="C187" i="5"/>
  <c r="C40" i="5"/>
  <c r="D226" i="5"/>
  <c r="D254" i="5"/>
  <c r="E353" i="5"/>
  <c r="E210" i="5"/>
  <c r="E98" i="5"/>
  <c r="E347" i="5"/>
  <c r="E218" i="5"/>
  <c r="E302" i="5"/>
  <c r="B170" i="5"/>
  <c r="B345" i="5"/>
  <c r="F3" i="5"/>
  <c r="F182" i="5"/>
  <c r="F139" i="5"/>
  <c r="F267" i="5"/>
  <c r="F98" i="5"/>
  <c r="F290" i="5"/>
  <c r="F65" i="5"/>
  <c r="F321" i="5"/>
  <c r="E138" i="5"/>
  <c r="E18" i="5"/>
  <c r="E339" i="5"/>
  <c r="E243" i="5"/>
  <c r="E103" i="5"/>
  <c r="E73" i="5"/>
  <c r="E67" i="5"/>
  <c r="E63" i="5"/>
  <c r="E11" i="5"/>
  <c r="E84" i="5"/>
  <c r="E161" i="5"/>
  <c r="E331" i="5"/>
  <c r="E55" i="5"/>
  <c r="E129" i="5"/>
  <c r="E212" i="5"/>
  <c r="E298" i="5"/>
  <c r="E53" i="5"/>
  <c r="E188" i="5"/>
  <c r="E274" i="5"/>
  <c r="E155" i="5"/>
  <c r="E241" i="5"/>
  <c r="E325" i="5"/>
  <c r="E42" i="5"/>
  <c r="E115" i="5"/>
  <c r="E196" i="5"/>
  <c r="E282" i="5"/>
  <c r="E7" i="5"/>
  <c r="E178" i="5"/>
  <c r="E59" i="5"/>
  <c r="E132" i="5"/>
  <c r="E217" i="5"/>
  <c r="E301" i="5"/>
  <c r="E24" i="5"/>
  <c r="E88" i="5"/>
  <c r="E152" i="5"/>
  <c r="E216" i="5"/>
  <c r="E280" i="5"/>
  <c r="E344" i="5"/>
  <c r="E191" i="5"/>
  <c r="E255" i="5"/>
  <c r="E319" i="5"/>
  <c r="F263" i="5"/>
  <c r="F255" i="5"/>
  <c r="F252" i="5"/>
  <c r="F341" i="5"/>
  <c r="F277" i="5"/>
  <c r="F38" i="5"/>
  <c r="F28" i="5"/>
  <c r="F15" i="5"/>
  <c r="F101" i="5"/>
  <c r="F36" i="5"/>
  <c r="F125" i="5"/>
  <c r="F228" i="5"/>
  <c r="F328" i="5"/>
  <c r="F64" i="5"/>
  <c r="F159" i="5"/>
  <c r="F262" i="5"/>
  <c r="F31" i="5"/>
  <c r="F119" i="5"/>
  <c r="F222" i="5"/>
  <c r="F62" i="5"/>
  <c r="F157" i="5"/>
  <c r="F260" i="5"/>
  <c r="F340" i="5"/>
  <c r="F83" i="5"/>
  <c r="F181" i="5"/>
  <c r="F284" i="5"/>
  <c r="F123" i="5"/>
  <c r="F187" i="5"/>
  <c r="F251" i="5"/>
  <c r="F315" i="5"/>
  <c r="F18" i="5"/>
  <c r="F82" i="5"/>
  <c r="F146" i="5"/>
  <c r="F210" i="5"/>
  <c r="F274" i="5"/>
  <c r="F338" i="5"/>
  <c r="F49" i="5"/>
  <c r="F113" i="5"/>
  <c r="F177" i="5"/>
  <c r="F241" i="5"/>
  <c r="F305" i="5"/>
  <c r="D29" i="5"/>
  <c r="D262" i="5"/>
  <c r="E113" i="5"/>
  <c r="E316" i="5"/>
  <c r="F140" i="5"/>
  <c r="F12" i="5"/>
  <c r="F234" i="5"/>
  <c r="C216" i="5"/>
  <c r="D242" i="5"/>
  <c r="E329" i="5"/>
  <c r="E181" i="5"/>
  <c r="E306" i="5"/>
  <c r="E133" i="5"/>
  <c r="E104" i="5"/>
  <c r="B160" i="5"/>
  <c r="B317" i="5"/>
  <c r="F352" i="5"/>
  <c r="F126" i="5"/>
  <c r="F287" i="5"/>
  <c r="F350" i="5"/>
  <c r="F285" i="5"/>
  <c r="F226" i="5"/>
  <c r="F354" i="5"/>
  <c r="F129" i="5"/>
  <c r="F257" i="5"/>
  <c r="E294" i="5"/>
  <c r="E297" i="5"/>
  <c r="E278" i="5"/>
  <c r="E36" i="5"/>
  <c r="E30" i="5"/>
  <c r="E27" i="5"/>
  <c r="E21" i="5"/>
  <c r="E342" i="5"/>
  <c r="E75" i="5"/>
  <c r="E149" i="5"/>
  <c r="E235" i="5"/>
  <c r="E321" i="5"/>
  <c r="E46" i="5"/>
  <c r="E119" i="5"/>
  <c r="E202" i="5"/>
  <c r="E286" i="5"/>
  <c r="E35" i="5"/>
  <c r="E166" i="5"/>
  <c r="E262" i="5"/>
  <c r="E70" i="5"/>
  <c r="E145" i="5"/>
  <c r="E229" i="5"/>
  <c r="E315" i="5"/>
  <c r="E33" i="5"/>
  <c r="E106" i="5"/>
  <c r="E186" i="5"/>
  <c r="E270" i="5"/>
  <c r="E356" i="5"/>
  <c r="E135" i="5"/>
  <c r="E50" i="5"/>
  <c r="E123" i="5"/>
  <c r="E205" i="5"/>
  <c r="E291" i="5"/>
  <c r="E16" i="5"/>
  <c r="E80" i="5"/>
  <c r="E144" i="5"/>
  <c r="E208" i="5"/>
  <c r="E272" i="5"/>
  <c r="E336" i="5"/>
  <c r="E183" i="5"/>
  <c r="E247" i="5"/>
  <c r="E311" i="5"/>
  <c r="F205" i="5"/>
  <c r="F199" i="5"/>
  <c r="F191" i="5"/>
  <c r="F224" i="5"/>
  <c r="F333" i="5"/>
  <c r="F326" i="5"/>
  <c r="F5" i="5"/>
  <c r="F91" i="5"/>
  <c r="F190" i="5"/>
  <c r="F293" i="5"/>
  <c r="F24" i="5"/>
  <c r="F111" i="5"/>
  <c r="F214" i="5"/>
  <c r="F317" i="5"/>
  <c r="F54" i="5"/>
  <c r="F148" i="5"/>
  <c r="F248" i="5"/>
  <c r="F21" i="5"/>
  <c r="F108" i="5"/>
  <c r="F208" i="5"/>
  <c r="F311" i="5"/>
  <c r="F52" i="5"/>
  <c r="F143" i="5"/>
  <c r="F246" i="5"/>
  <c r="F349" i="5"/>
  <c r="F71" i="5"/>
  <c r="F167" i="5"/>
  <c r="F270" i="5"/>
  <c r="F115" i="5"/>
  <c r="F179" i="5"/>
  <c r="F243" i="5"/>
  <c r="F307" i="5"/>
  <c r="F10" i="5"/>
  <c r="F74" i="5"/>
  <c r="F138" i="5"/>
  <c r="F202" i="5"/>
  <c r="F266" i="5"/>
  <c r="F330" i="5"/>
  <c r="F41" i="5"/>
  <c r="F105" i="5"/>
  <c r="F169" i="5"/>
  <c r="F233" i="5"/>
  <c r="F297" i="5"/>
  <c r="C208" i="5"/>
  <c r="C141" i="5"/>
  <c r="C54" i="5"/>
  <c r="B277" i="5"/>
  <c r="B82" i="5"/>
  <c r="C256" i="5"/>
  <c r="C100" i="5"/>
  <c r="B304" i="5"/>
  <c r="D201" i="5"/>
  <c r="C113" i="5"/>
  <c r="C58" i="5"/>
  <c r="D34" i="5"/>
  <c r="C171" i="5"/>
  <c r="B299" i="5"/>
  <c r="D98" i="5"/>
  <c r="C228" i="5"/>
  <c r="B66" i="5"/>
  <c r="B62" i="5"/>
  <c r="D46" i="5"/>
  <c r="D140" i="5"/>
  <c r="B74" i="5"/>
  <c r="D295" i="5"/>
  <c r="D222" i="5"/>
  <c r="D304" i="5"/>
  <c r="C186" i="5"/>
  <c r="C152" i="5"/>
  <c r="C75" i="5"/>
  <c r="C83" i="5"/>
  <c r="B195" i="5"/>
  <c r="B109" i="5"/>
  <c r="B201" i="5"/>
  <c r="B203" i="5"/>
  <c r="B182" i="5"/>
  <c r="D293" i="5"/>
  <c r="D324" i="5"/>
  <c r="C345" i="5"/>
  <c r="C214" i="5"/>
  <c r="C283" i="5"/>
  <c r="C105" i="5"/>
  <c r="C288" i="5"/>
  <c r="C63" i="5"/>
  <c r="C311" i="5"/>
  <c r="C176" i="5"/>
  <c r="C326" i="5"/>
  <c r="C262" i="5"/>
  <c r="C74" i="5"/>
  <c r="C309" i="5"/>
  <c r="C232" i="5"/>
  <c r="C139" i="5"/>
  <c r="C39" i="5"/>
  <c r="C205" i="5"/>
  <c r="C239" i="5"/>
  <c r="C147" i="5"/>
  <c r="C47" i="5"/>
  <c r="C324" i="5"/>
  <c r="C260" i="5"/>
  <c r="C132" i="5"/>
  <c r="C68" i="5"/>
  <c r="C4" i="5"/>
  <c r="C246" i="5"/>
  <c r="C118" i="5"/>
  <c r="B108" i="5"/>
  <c r="B41" i="5"/>
  <c r="B324" i="5"/>
  <c r="B294" i="5"/>
  <c r="B226" i="5"/>
  <c r="B316" i="5"/>
  <c r="B178" i="5"/>
  <c r="B32" i="5"/>
  <c r="B309" i="5"/>
  <c r="B97" i="5"/>
  <c r="B24" i="5"/>
  <c r="B192" i="5"/>
  <c r="B36" i="5"/>
  <c r="B146" i="5"/>
  <c r="B337" i="5"/>
  <c r="B265" i="5"/>
  <c r="B184" i="5"/>
  <c r="B101" i="5"/>
  <c r="B314" i="5"/>
  <c r="B222" i="5"/>
  <c r="B158" i="5"/>
  <c r="B94" i="5"/>
  <c r="B30" i="5"/>
  <c r="D231" i="5"/>
  <c r="D289" i="5"/>
  <c r="D118" i="5"/>
  <c r="D353" i="5"/>
  <c r="D150" i="5"/>
  <c r="D112" i="5"/>
  <c r="D280" i="5"/>
  <c r="D177" i="5"/>
  <c r="D77" i="5"/>
  <c r="D197" i="5"/>
  <c r="D94" i="5"/>
  <c r="D351" i="5"/>
  <c r="D248" i="5"/>
  <c r="D45" i="5"/>
  <c r="D199" i="5"/>
  <c r="D346" i="5"/>
  <c r="D282" i="5"/>
  <c r="D218" i="5"/>
  <c r="D154" i="5"/>
  <c r="D90" i="5"/>
  <c r="D26" i="5"/>
  <c r="D323" i="5"/>
  <c r="D259" i="5"/>
  <c r="D195" i="5"/>
  <c r="D131" i="5"/>
  <c r="D67" i="5"/>
  <c r="D3" i="5"/>
  <c r="D300" i="5"/>
  <c r="D172" i="5"/>
  <c r="D108" i="5"/>
  <c r="D5" i="5"/>
  <c r="C294" i="5"/>
  <c r="B17" i="5"/>
  <c r="B342" i="5"/>
  <c r="B347" i="5"/>
  <c r="D232" i="5"/>
  <c r="D190" i="5"/>
  <c r="D341" i="5"/>
  <c r="C89" i="5"/>
  <c r="C292" i="5"/>
  <c r="D14" i="5"/>
  <c r="C103" i="5"/>
  <c r="C158" i="5"/>
  <c r="B290" i="5"/>
  <c r="B148" i="5"/>
  <c r="B2" i="5"/>
  <c r="B134" i="5"/>
  <c r="D263" i="5"/>
  <c r="D276" i="5"/>
  <c r="D84" i="5"/>
  <c r="C263" i="5"/>
  <c r="B95" i="5"/>
  <c r="B45" i="5"/>
  <c r="B54" i="5"/>
  <c r="D167" i="5"/>
  <c r="B286" i="5"/>
  <c r="B114" i="5"/>
  <c r="B119" i="5"/>
  <c r="D204" i="5"/>
  <c r="C290" i="5"/>
  <c r="B357" i="5"/>
  <c r="B14" i="5"/>
  <c r="D348" i="5"/>
  <c r="D92" i="5"/>
  <c r="C317" i="5"/>
  <c r="C348" i="5"/>
  <c r="B163" i="5"/>
  <c r="B51" i="5"/>
  <c r="B338" i="5"/>
  <c r="B57" i="5"/>
  <c r="D161" i="5"/>
  <c r="D225" i="5"/>
  <c r="D135" i="5"/>
  <c r="C297" i="5"/>
  <c r="C15" i="5"/>
  <c r="C22" i="5"/>
  <c r="B260" i="5"/>
  <c r="B26" i="5"/>
  <c r="D41" i="5"/>
  <c r="C78" i="5"/>
  <c r="C71" i="5"/>
  <c r="D272" i="5"/>
  <c r="C31" i="5"/>
  <c r="C258" i="5"/>
  <c r="B335" i="5"/>
  <c r="B67" i="5"/>
  <c r="B80" i="5"/>
  <c r="B280" i="5"/>
  <c r="D344" i="5"/>
  <c r="D141" i="5"/>
  <c r="D20" i="5"/>
  <c r="C282" i="5"/>
  <c r="D44" i="5"/>
  <c r="C306" i="5"/>
  <c r="C310" i="5"/>
  <c r="C318" i="5"/>
  <c r="C323" i="5"/>
  <c r="C268" i="5"/>
  <c r="C204" i="5"/>
  <c r="C140" i="5"/>
  <c r="C76" i="5"/>
  <c r="C12" i="5"/>
  <c r="C254" i="5"/>
  <c r="C62" i="5"/>
  <c r="B204" i="5"/>
  <c r="B58" i="5"/>
  <c r="B96" i="5"/>
  <c r="B16" i="5"/>
  <c r="B326" i="5"/>
  <c r="B44" i="5"/>
  <c r="B315" i="5"/>
  <c r="B332" i="5"/>
  <c r="B196" i="5"/>
  <c r="B50" i="5"/>
  <c r="B210" i="5"/>
  <c r="B55" i="5"/>
  <c r="B273" i="5"/>
  <c r="B322" i="5"/>
  <c r="B185" i="5"/>
  <c r="B39" i="5"/>
  <c r="B102" i="5"/>
  <c r="B38" i="5"/>
  <c r="D111" i="5"/>
  <c r="D192" i="5"/>
  <c r="D215" i="5"/>
  <c r="D89" i="5"/>
  <c r="D279" i="5"/>
  <c r="D191" i="5"/>
  <c r="D88" i="5"/>
  <c r="D350" i="5"/>
  <c r="D110" i="5"/>
  <c r="D308" i="5"/>
  <c r="D244" i="5"/>
  <c r="D52" i="5"/>
  <c r="D13" i="5"/>
  <c r="C155" i="5"/>
  <c r="C325" i="5"/>
  <c r="C162" i="5"/>
  <c r="C301" i="5"/>
  <c r="C231" i="5"/>
  <c r="C91" i="5"/>
  <c r="C90" i="5"/>
  <c r="C346" i="5"/>
  <c r="C293" i="5"/>
  <c r="C16" i="5"/>
  <c r="C253" i="5"/>
  <c r="C167" i="5"/>
  <c r="C64" i="5"/>
  <c r="C215" i="5"/>
  <c r="C333" i="5"/>
  <c r="C259" i="5"/>
  <c r="C175" i="5"/>
  <c r="C72" i="5"/>
  <c r="C212" i="5"/>
  <c r="C148" i="5"/>
  <c r="C84" i="5"/>
  <c r="C20" i="5"/>
  <c r="C198" i="5"/>
  <c r="C134" i="5"/>
  <c r="C70" i="5"/>
  <c r="C6" i="5"/>
  <c r="B145" i="5"/>
  <c r="B76" i="5"/>
  <c r="B180" i="5"/>
  <c r="B52" i="5"/>
  <c r="B25" i="5"/>
  <c r="B340" i="5"/>
  <c r="B310" i="5"/>
  <c r="B263" i="5"/>
  <c r="B331" i="5"/>
  <c r="B348" i="5"/>
  <c r="B215" i="5"/>
  <c r="B68" i="5"/>
  <c r="B325" i="5"/>
  <c r="B261" i="5"/>
  <c r="B188" i="5"/>
  <c r="B115" i="5"/>
  <c r="B42" i="5"/>
  <c r="B27" i="5"/>
  <c r="B73" i="5"/>
  <c r="B336" i="5"/>
  <c r="B183" i="5"/>
  <c r="B281" i="5"/>
  <c r="B202" i="5"/>
  <c r="B330" i="5"/>
  <c r="B194" i="5"/>
  <c r="B121" i="5"/>
  <c r="B48" i="5"/>
  <c r="B238" i="5"/>
  <c r="B110" i="5"/>
  <c r="B46" i="5"/>
  <c r="D281" i="5"/>
  <c r="D78" i="5"/>
  <c r="D207" i="5"/>
  <c r="D342" i="5"/>
  <c r="D136" i="5"/>
  <c r="D345" i="5"/>
  <c r="D142" i="5"/>
  <c r="D240" i="5"/>
  <c r="D117" i="5"/>
  <c r="D305" i="5"/>
  <c r="D102" i="5"/>
  <c r="D224" i="5"/>
  <c r="D121" i="5"/>
  <c r="D298" i="5"/>
  <c r="D234" i="5"/>
  <c r="D170" i="5"/>
  <c r="D106" i="5"/>
  <c r="D42" i="5"/>
  <c r="D339" i="5"/>
  <c r="D275" i="5"/>
  <c r="D211" i="5"/>
  <c r="D147" i="5"/>
  <c r="D83" i="5"/>
  <c r="D316" i="5"/>
  <c r="D252" i="5"/>
  <c r="D188" i="5"/>
  <c r="D21" i="5"/>
  <c r="C181" i="5"/>
  <c r="C66" i="5"/>
  <c r="C106" i="5"/>
  <c r="C185" i="5"/>
  <c r="B303" i="5"/>
  <c r="B241" i="5"/>
  <c r="B7" i="5"/>
  <c r="D132" i="5"/>
  <c r="C347" i="5"/>
  <c r="C335" i="5"/>
  <c r="C285" i="5"/>
  <c r="C322" i="5"/>
  <c r="C57" i="5"/>
  <c r="C356" i="5"/>
  <c r="B35" i="5"/>
  <c r="B162" i="5"/>
  <c r="B251" i="5"/>
  <c r="B60" i="5"/>
  <c r="B264" i="5"/>
  <c r="B228" i="5"/>
  <c r="B346" i="5"/>
  <c r="B139" i="5"/>
  <c r="B190" i="5"/>
  <c r="D318" i="5"/>
  <c r="D245" i="5"/>
  <c r="D333" i="5"/>
  <c r="D24" i="5"/>
  <c r="D95" i="5"/>
  <c r="D149" i="5"/>
  <c r="C201" i="5"/>
  <c r="C65" i="5"/>
  <c r="C200" i="5"/>
  <c r="C145" i="5"/>
  <c r="C287" i="5"/>
  <c r="C8" i="5"/>
  <c r="C222" i="5"/>
  <c r="C30" i="5"/>
  <c r="B53" i="5"/>
  <c r="B318" i="5"/>
  <c r="B199" i="5"/>
  <c r="B209" i="5"/>
  <c r="B63" i="5"/>
  <c r="B232" i="5"/>
  <c r="B49" i="5"/>
  <c r="B349" i="5"/>
  <c r="B285" i="5"/>
  <c r="B216" i="5"/>
  <c r="B143" i="5"/>
  <c r="B344" i="5"/>
  <c r="B137" i="5"/>
  <c r="B313" i="5"/>
  <c r="B221" i="5"/>
  <c r="B75" i="5"/>
  <c r="B198" i="5"/>
  <c r="B70" i="5"/>
  <c r="B6" i="5"/>
  <c r="D153" i="5"/>
  <c r="D214" i="5"/>
  <c r="D40" i="5"/>
  <c r="D278" i="5"/>
  <c r="D72" i="5"/>
  <c r="D47" i="5"/>
  <c r="D176" i="5"/>
  <c r="D241" i="5"/>
  <c r="D38" i="5"/>
  <c r="D158" i="5"/>
  <c r="D55" i="5"/>
  <c r="D312" i="5"/>
  <c r="D109" i="5"/>
  <c r="D160" i="5"/>
  <c r="D57" i="5"/>
  <c r="D322" i="5"/>
  <c r="D258" i="5"/>
  <c r="D194" i="5"/>
  <c r="D130" i="5"/>
  <c r="D66" i="5"/>
  <c r="D2" i="5"/>
  <c r="D299" i="5"/>
  <c r="D235" i="5"/>
  <c r="D171" i="5"/>
  <c r="D107" i="5"/>
  <c r="D43" i="5"/>
  <c r="D340" i="5"/>
  <c r="D212" i="5"/>
  <c r="D148" i="5"/>
  <c r="C313" i="5"/>
  <c r="D216" i="5"/>
  <c r="D247" i="5"/>
  <c r="D196" i="5"/>
  <c r="D4" i="5"/>
  <c r="C9" i="5"/>
  <c r="C73" i="5"/>
  <c r="C17" i="5"/>
  <c r="C160" i="5"/>
  <c r="C312" i="5"/>
  <c r="C195" i="5"/>
  <c r="B319" i="5"/>
  <c r="B270" i="5"/>
  <c r="B43" i="5"/>
  <c r="B31" i="5"/>
  <c r="B341" i="5"/>
  <c r="B212" i="5"/>
  <c r="B254" i="5"/>
  <c r="D246" i="5"/>
  <c r="D253" i="5"/>
  <c r="D230" i="5"/>
  <c r="D261" i="5"/>
  <c r="D301" i="5"/>
  <c r="D352" i="5"/>
  <c r="D332" i="5"/>
  <c r="D76" i="5"/>
  <c r="C129" i="5"/>
  <c r="C98" i="5"/>
  <c r="C354" i="5"/>
  <c r="C321" i="5"/>
  <c r="C207" i="5"/>
  <c r="C300" i="5"/>
  <c r="B308" i="5"/>
  <c r="B123" i="5"/>
  <c r="B354" i="5"/>
  <c r="C337" i="5"/>
  <c r="C245" i="5"/>
  <c r="C250" i="5"/>
  <c r="C104" i="5"/>
  <c r="C210" i="5"/>
  <c r="C11" i="5"/>
  <c r="C341" i="5"/>
  <c r="C184" i="5"/>
  <c r="C203" i="5"/>
  <c r="C217" i="5"/>
  <c r="C308" i="5"/>
  <c r="C116" i="5"/>
  <c r="C230" i="5"/>
  <c r="C102" i="5"/>
  <c r="B351" i="5"/>
  <c r="B218" i="5"/>
  <c r="B72" i="5"/>
  <c r="B291" i="5"/>
  <c r="B3" i="5"/>
  <c r="B253" i="5"/>
  <c r="B208" i="5"/>
  <c r="B245" i="5"/>
  <c r="B177" i="5"/>
  <c r="B132" i="5"/>
  <c r="B135" i="5"/>
  <c r="B250" i="5"/>
  <c r="B284" i="5"/>
  <c r="B293" i="5"/>
  <c r="B225" i="5"/>
  <c r="B152" i="5"/>
  <c r="B79" i="5"/>
  <c r="B5" i="5"/>
  <c r="B296" i="5"/>
  <c r="B155" i="5"/>
  <c r="B353" i="5"/>
  <c r="B272" i="5"/>
  <c r="B100" i="5"/>
  <c r="B321" i="5"/>
  <c r="B248" i="5"/>
  <c r="B165" i="5"/>
  <c r="B298" i="5"/>
  <c r="B231" i="5"/>
  <c r="B157" i="5"/>
  <c r="B84" i="5"/>
  <c r="B11" i="5"/>
  <c r="B206" i="5"/>
  <c r="B142" i="5"/>
  <c r="B78" i="5"/>
  <c r="D181" i="5"/>
  <c r="D310" i="5"/>
  <c r="D104" i="5"/>
  <c r="D239" i="5"/>
  <c r="D33" i="5"/>
  <c r="D65" i="5"/>
  <c r="D37" i="5"/>
  <c r="D303" i="5"/>
  <c r="D97" i="5"/>
  <c r="D7" i="5"/>
  <c r="D221" i="5"/>
  <c r="D255" i="5"/>
  <c r="D152" i="5"/>
  <c r="D49" i="5"/>
  <c r="D286" i="5"/>
  <c r="D169" i="5"/>
  <c r="D69" i="5"/>
  <c r="D326" i="5"/>
  <c r="D223" i="5"/>
  <c r="D120" i="5"/>
  <c r="D16" i="5"/>
  <c r="D277" i="5"/>
  <c r="D174" i="5"/>
  <c r="D71" i="5"/>
  <c r="D330" i="5"/>
  <c r="D266" i="5"/>
  <c r="D202" i="5"/>
  <c r="D138" i="5"/>
  <c r="D74" i="5"/>
  <c r="D10" i="5"/>
  <c r="D307" i="5"/>
  <c r="D243" i="5"/>
  <c r="D179" i="5"/>
  <c r="D115" i="5"/>
  <c r="D51" i="5"/>
  <c r="D284" i="5"/>
  <c r="D220" i="5"/>
  <c r="D156" i="5"/>
  <c r="D28" i="5"/>
  <c r="C314" i="5"/>
  <c r="C182" i="5"/>
  <c r="C261" i="5"/>
  <c r="C3" i="5"/>
  <c r="C146" i="5"/>
  <c r="C342" i="5"/>
  <c r="B327" i="5"/>
  <c r="B333" i="5"/>
  <c r="B124" i="5"/>
  <c r="B246" i="5"/>
  <c r="D217" i="5"/>
  <c r="D8" i="5"/>
  <c r="C2" i="5"/>
  <c r="C177" i="5"/>
  <c r="C189" i="5"/>
  <c r="C120" i="5"/>
  <c r="C248" i="5"/>
  <c r="B181" i="5"/>
  <c r="B116" i="5"/>
  <c r="B23" i="5"/>
  <c r="B105" i="5"/>
  <c r="B229" i="5"/>
  <c r="B126" i="5"/>
  <c r="D189" i="5"/>
  <c r="D127" i="5"/>
  <c r="D144" i="5"/>
  <c r="D198" i="5"/>
  <c r="D12" i="5"/>
  <c r="C27" i="5"/>
  <c r="C273" i="5"/>
  <c r="C138" i="5"/>
  <c r="C281" i="5"/>
  <c r="C331" i="5"/>
  <c r="C131" i="5"/>
  <c r="C111" i="5"/>
  <c r="C236" i="5"/>
  <c r="C94" i="5"/>
  <c r="B200" i="5"/>
  <c r="B189" i="5"/>
  <c r="B169" i="5"/>
  <c r="B268" i="5"/>
  <c r="C211" i="5"/>
  <c r="C328" i="5"/>
  <c r="C143" i="5"/>
  <c r="C197" i="5"/>
  <c r="C219" i="5"/>
  <c r="C114" i="5"/>
  <c r="C159" i="5"/>
  <c r="C42" i="5"/>
  <c r="C267" i="5"/>
  <c r="C82" i="5"/>
  <c r="C339" i="5"/>
  <c r="C296" i="5"/>
  <c r="C122" i="5"/>
  <c r="C19" i="5"/>
  <c r="C244" i="5"/>
  <c r="C180" i="5"/>
  <c r="C52" i="5"/>
  <c r="C166" i="5"/>
  <c r="C38" i="5"/>
  <c r="C265" i="5"/>
  <c r="C80" i="5"/>
  <c r="C87" i="5"/>
  <c r="C154" i="5"/>
  <c r="C291" i="5"/>
  <c r="C243" i="5"/>
  <c r="C35" i="5"/>
  <c r="C234" i="5"/>
  <c r="C151" i="5"/>
  <c r="C271" i="5"/>
  <c r="C192" i="5"/>
  <c r="C279" i="5"/>
  <c r="C241" i="5"/>
  <c r="C49" i="5"/>
  <c r="C299" i="5"/>
  <c r="C221" i="5"/>
  <c r="C128" i="5"/>
  <c r="C25" i="5"/>
  <c r="C170" i="5"/>
  <c r="C56" i="5"/>
  <c r="C350" i="5"/>
  <c r="C277" i="5"/>
  <c r="C194" i="5"/>
  <c r="C96" i="5"/>
  <c r="C225" i="5"/>
  <c r="C305" i="5"/>
  <c r="C227" i="5"/>
  <c r="C136" i="5"/>
  <c r="C33" i="5"/>
  <c r="C316" i="5"/>
  <c r="C252" i="5"/>
  <c r="C188" i="5"/>
  <c r="C124" i="5"/>
  <c r="C60" i="5"/>
  <c r="C238" i="5"/>
  <c r="C174" i="5"/>
  <c r="C110" i="5"/>
  <c r="C46" i="5"/>
  <c r="B107" i="5"/>
  <c r="B236" i="5"/>
  <c r="B90" i="5"/>
  <c r="B307" i="5"/>
  <c r="B168" i="5"/>
  <c r="B34" i="5"/>
  <c r="B302" i="5"/>
  <c r="B276" i="5"/>
  <c r="B244" i="5"/>
  <c r="B279" i="5"/>
  <c r="B283" i="5"/>
  <c r="B187" i="5"/>
  <c r="B171" i="5"/>
  <c r="B154" i="5"/>
  <c r="B267" i="5"/>
  <c r="B104" i="5"/>
  <c r="B13" i="5"/>
  <c r="B301" i="5"/>
  <c r="B234" i="5"/>
  <c r="B161" i="5"/>
  <c r="B88" i="5"/>
  <c r="B15" i="5"/>
  <c r="B312" i="5"/>
  <c r="B173" i="5"/>
  <c r="B9" i="5"/>
  <c r="B288" i="5"/>
  <c r="B128" i="5"/>
  <c r="B329" i="5"/>
  <c r="B257" i="5"/>
  <c r="B175" i="5"/>
  <c r="B306" i="5"/>
  <c r="B240" i="5"/>
  <c r="B167" i="5"/>
  <c r="B93" i="5"/>
  <c r="B20" i="5"/>
  <c r="B214" i="5"/>
  <c r="B150" i="5"/>
  <c r="B86" i="5"/>
  <c r="B22" i="5"/>
  <c r="D206" i="5"/>
  <c r="D335" i="5"/>
  <c r="D129" i="5"/>
  <c r="D264" i="5"/>
  <c r="D349" i="5"/>
  <c r="D93" i="5"/>
  <c r="D87" i="5"/>
  <c r="D328" i="5"/>
  <c r="D125" i="5"/>
  <c r="D321" i="5"/>
  <c r="D229" i="5"/>
  <c r="D23" i="5"/>
  <c r="D269" i="5"/>
  <c r="D166" i="5"/>
  <c r="D63" i="5"/>
  <c r="D297" i="5"/>
  <c r="D183" i="5"/>
  <c r="D80" i="5"/>
  <c r="D237" i="5"/>
  <c r="D134" i="5"/>
  <c r="D31" i="5"/>
  <c r="D288" i="5"/>
  <c r="D185" i="5"/>
  <c r="D85" i="5"/>
  <c r="D338" i="5"/>
  <c r="D274" i="5"/>
  <c r="D210" i="5"/>
  <c r="D146" i="5"/>
  <c r="D82" i="5"/>
  <c r="D18" i="5"/>
  <c r="D315" i="5"/>
  <c r="D251" i="5"/>
  <c r="D187" i="5"/>
  <c r="D123" i="5"/>
  <c r="D59" i="5"/>
  <c r="D356" i="5"/>
  <c r="D292" i="5"/>
  <c r="D228" i="5"/>
  <c r="D164" i="5"/>
  <c r="D100" i="5"/>
  <c r="D36" i="5"/>
</calcChain>
</file>

<file path=xl/sharedStrings.xml><?xml version="1.0" encoding="utf-8"?>
<sst xmlns="http://schemas.openxmlformats.org/spreadsheetml/2006/main" count="359" uniqueCount="102">
  <si>
    <t>IR Term Structure</t>
  </si>
  <si>
    <t>Instrument</t>
  </si>
  <si>
    <t>AdjRate</t>
  </si>
  <si>
    <t>AUD-Deposit-1D</t>
  </si>
  <si>
    <t>AUD-Deposit-1W</t>
  </si>
  <si>
    <t>AUD-Deposit-2W</t>
  </si>
  <si>
    <t>AUD-Deposit-1M</t>
  </si>
  <si>
    <t>AUD-Deposit-2M</t>
  </si>
  <si>
    <t>AUD-Deposit-3M</t>
  </si>
  <si>
    <t>Additional</t>
  </si>
  <si>
    <t>ReferenceDate</t>
  </si>
  <si>
    <t>RateCurve</t>
  </si>
  <si>
    <t>IndexName</t>
  </si>
  <si>
    <t>AUD-LIBOR-BBA</t>
  </si>
  <si>
    <t>IndexTenor</t>
  </si>
  <si>
    <t>3M</t>
  </si>
  <si>
    <t>Algorithm</t>
  </si>
  <si>
    <t>Date</t>
  </si>
  <si>
    <t>LIVE</t>
  </si>
  <si>
    <t>SimpleGapStep</t>
  </si>
  <si>
    <t>MarketQuote</t>
  </si>
  <si>
    <t>Diff</t>
  </si>
  <si>
    <t>Continuous</t>
  </si>
  <si>
    <t>FlatForward</t>
  </si>
  <si>
    <t>LinearZero</t>
  </si>
  <si>
    <t>Base algorithm</t>
  </si>
  <si>
    <t>COE</t>
  </si>
  <si>
    <t>AUD-IRSwap-3Y</t>
  </si>
  <si>
    <t>AUD-IRSwap-4Y</t>
  </si>
  <si>
    <t>AUD-IRSwap-5Y</t>
  </si>
  <si>
    <t>AUD-IRSwap-6Y</t>
  </si>
  <si>
    <t>AUD-IRSwap-7Y</t>
  </si>
  <si>
    <t>AUD-IRSwap-8Y</t>
  </si>
  <si>
    <t>AUD-IRSwap-9Y</t>
  </si>
  <si>
    <t>AUD-IRSwap-10Y</t>
  </si>
  <si>
    <t>AUD-IRSwap-15Y</t>
  </si>
  <si>
    <t>AUD-IRSwap-20Y</t>
  </si>
  <si>
    <t>CurveName</t>
  </si>
  <si>
    <t>MeasureTpe</t>
  </si>
  <si>
    <t>Volatility</t>
  </si>
  <si>
    <t>Units</t>
  </si>
  <si>
    <t>DecimalRate</t>
  </si>
  <si>
    <t>LogNormalVolatility</t>
  </si>
  <si>
    <t>Values</t>
  </si>
  <si>
    <t>3D</t>
  </si>
  <si>
    <t>GBP-Deposit-1D</t>
  </si>
  <si>
    <t>GBP-Deposit-1W</t>
  </si>
  <si>
    <t>GBP-Deposit-2W</t>
  </si>
  <si>
    <t>GBP-Deposit-1M</t>
  </si>
  <si>
    <t>GBP-Deposit-2M</t>
  </si>
  <si>
    <t>GBP-Deposit-3M</t>
  </si>
  <si>
    <t>GBP-IRSwap-3Y</t>
  </si>
  <si>
    <t>GBP-IRSwap-4Y</t>
  </si>
  <si>
    <t>GBP-IRSwap-5Y</t>
  </si>
  <si>
    <t>GBP-IRSwap-6Y</t>
  </si>
  <si>
    <t>GBP-IRSwap-7Y</t>
  </si>
  <si>
    <t>GBP-IRSwap-8Y</t>
  </si>
  <si>
    <t>GBP-IRSwap-9Y</t>
  </si>
  <si>
    <t>GBP-IRSwap-10Y</t>
  </si>
  <si>
    <t>GBP-IRSwap-15Y</t>
  </si>
  <si>
    <t>GBP-IRSwap-20Y</t>
  </si>
  <si>
    <t>GBP-LIBOR-BBA</t>
  </si>
  <si>
    <t>CURRENCY</t>
  </si>
  <si>
    <t>GBP</t>
  </si>
  <si>
    <t>DecimalSpread</t>
  </si>
  <si>
    <t>Change</t>
  </si>
  <si>
    <t>FastLinearZero</t>
  </si>
  <si>
    <t>6M</t>
  </si>
  <si>
    <t>RateSpreadCurve</t>
  </si>
  <si>
    <t>Quarterly</t>
  </si>
  <si>
    <t>Contiuous</t>
  </si>
  <si>
    <t>Daily</t>
  </si>
  <si>
    <t>Semi</t>
  </si>
  <si>
    <t>Annual</t>
  </si>
  <si>
    <t>BuildDateTime</t>
  </si>
  <si>
    <t>Identifier</t>
  </si>
  <si>
    <t>PricingStructureType</t>
  </si>
  <si>
    <t>MarketEnvironment</t>
  </si>
  <si>
    <t>=QFN("QRLib.PricingStructures.PerturbRateCurve", $H$4, $H$1, AJ12:AJ43, "MarketQuote")</t>
  </si>
  <si>
    <t>=QFN("QRLib.PricingStructures.ReCalculateRateCurve", C4, C1, C13:C36)</t>
  </si>
  <si>
    <t>MarketName</t>
  </si>
  <si>
    <t>1M</t>
  </si>
  <si>
    <t>ReferenceCurveUniqueId</t>
  </si>
  <si>
    <t>5D</t>
  </si>
  <si>
    <t>DF 1</t>
  </si>
  <si>
    <t>DF 2</t>
  </si>
  <si>
    <t>DF 3</t>
  </si>
  <si>
    <t>GBP-IRFuture-L-1</t>
  </si>
  <si>
    <t>GBP-IRFuture-L-2</t>
  </si>
  <si>
    <t>GBP-IRFuture-L-3</t>
  </si>
  <si>
    <t>GBP-IRFuture-L-4</t>
  </si>
  <si>
    <t>GBP-IRFuture-L-5</t>
  </si>
  <si>
    <t>GBP-IRFuture-L-6</t>
  </si>
  <si>
    <t>GBP-IRFuture-L-7</t>
  </si>
  <si>
    <t>GBP-IRFuture-L-8</t>
  </si>
  <si>
    <t>DF 4</t>
  </si>
  <si>
    <t>DF 5</t>
  </si>
  <si>
    <t>BaseDate</t>
  </si>
  <si>
    <t>=CreateRateSpreadCurve(K2:L12,M14:M37, N14:N37)</t>
  </si>
  <si>
    <t>Above should work as well.</t>
  </si>
  <si>
    <t>Still can't handle the turn effect. Work needs to be done to extend the code.</t>
  </si>
  <si>
    <t>Must have the same number of inputs as the reference curve!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</si>
</sst>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dd/mm/yyyy;@"/>
    <numFmt numFmtId="165" formatCode="&quot;$&quot;#,##0\ ;\(&quot;$&quot;#,##0\)"/>
    <numFmt numFmtId="166" formatCode="dd\-mmm\-yy"/>
    <numFmt numFmtId="167" formatCode="0.00_)"/>
    <numFmt numFmtId="168" formatCode="0.000%"/>
    <numFmt numFmtId="169" formatCode="#,##0.0;#,##0.0"/>
    <numFmt numFmtId="170" formatCode="\+#,##0.00;\-#,##0.00"/>
    <numFmt numFmtId="171" formatCode="d/m/yyyy;@"/>
    <numFmt numFmtId="172" formatCode="0.000"/>
    <numFmt numFmtId="173" formatCode="d/mm/yyyy;@"/>
  </numFmts>
  <fonts count="45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b/>
      <sz val="8"/>
      <color indexed="9"/>
      <name val="Verdana"/>
      <family val="2"/>
    </font>
    <font>
      <sz val="8"/>
      <name val="Verdana"/>
      <family val="2"/>
    </font>
    <font>
      <b/>
      <sz val="8"/>
      <color indexed="9"/>
      <name val="Times New Roman"/>
      <family val="1"/>
    </font>
    <font>
      <b/>
      <i/>
      <sz val="8"/>
      <color indexed="9"/>
      <name val="Verdana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indexed="10"/>
      <name val="MS Sans Serif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1"/>
      <color indexed="62"/>
      <name val="Calibri"/>
      <family val="2"/>
    </font>
    <font>
      <sz val="10"/>
      <name val="Arial"/>
      <family val="2"/>
    </font>
    <font>
      <b/>
      <sz val="9"/>
      <color indexed="9"/>
      <name val="Verdana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  <family val="2"/>
    </font>
    <font>
      <b/>
      <sz val="10"/>
      <name val="Arial"/>
      <family val="2"/>
    </font>
    <font>
      <b/>
      <sz val="11"/>
      <color indexed="63"/>
      <name val="Calibri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charset val="128"/>
    </font>
    <font>
      <sz val="10"/>
      <name val="Times New Roman"/>
      <family val="1"/>
    </font>
    <font>
      <b/>
      <sz val="10"/>
      <color rgb="FFFF000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1">
    <xf numFmtId="0" fontId="0" fillId="0" borderId="0"/>
    <xf numFmtId="0" fontId="1" fillId="0" borderId="0" applyNumberFormat="0" applyFill="0" applyBorder="0" applyAlignment="0" applyProtection="0">
      <alignment horizontal="left" wrapText="1"/>
    </xf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20" borderId="0" applyAlignment="0"/>
    <xf numFmtId="0" fontId="12" fillId="3" borderId="0" applyNumberFormat="0" applyBorder="0" applyAlignment="0" applyProtection="0"/>
    <xf numFmtId="0" fontId="13" fillId="21" borderId="1" applyNumberFormat="0" applyAlignment="0" applyProtection="0"/>
    <xf numFmtId="0" fontId="14" fillId="22" borderId="2" applyNumberFormat="0" applyAlignment="0" applyProtection="0"/>
    <xf numFmtId="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6" fillId="4" borderId="0" applyNumberFormat="0" applyBorder="0" applyAlignment="0" applyProtection="0"/>
    <xf numFmtId="0" fontId="17" fillId="0" borderId="3" applyNumberFormat="0" applyFill="0" applyAlignment="0" applyProtection="0"/>
    <xf numFmtId="0" fontId="18" fillId="0" borderId="4" applyNumberFormat="0" applyFill="0" applyAlignment="0" applyProtection="0"/>
    <xf numFmtId="0" fontId="19" fillId="0" borderId="5" applyNumberFormat="0" applyFill="0" applyAlignment="0" applyProtection="0"/>
    <xf numFmtId="0" fontId="19" fillId="0" borderId="0" applyNumberFormat="0" applyFill="0" applyBorder="0" applyAlignment="0" applyProtection="0"/>
    <xf numFmtId="0" fontId="20" fillId="23" borderId="0" applyNumberFormat="0" applyBorder="0">
      <alignment horizontal="right" vertical="center"/>
    </xf>
    <xf numFmtId="19" fontId="20" fillId="23" borderId="6" applyNumberFormat="0" applyBorder="0">
      <alignment horizontal="left" vertical="center"/>
    </xf>
    <xf numFmtId="2" fontId="21" fillId="24" borderId="0">
      <alignment horizontal="center" vertical="center"/>
    </xf>
    <xf numFmtId="2" fontId="21" fillId="24" borderId="7" applyBorder="0">
      <alignment horizontal="left" vertical="center"/>
    </xf>
    <xf numFmtId="0" fontId="20" fillId="23" borderId="0">
      <alignment horizontal="right" vertical="center"/>
    </xf>
    <xf numFmtId="19" fontId="22" fillId="23" borderId="8" applyNumberFormat="0" applyBorder="0">
      <alignment horizontal="left" vertical="center" indent="1"/>
    </xf>
    <xf numFmtId="2" fontId="23" fillId="24" borderId="9" applyBorder="0">
      <alignment horizontal="left" vertical="center" indent="1"/>
    </xf>
    <xf numFmtId="2" fontId="23" fillId="24" borderId="10" applyBorder="0">
      <alignment horizontal="center" vertical="center"/>
    </xf>
    <xf numFmtId="0" fontId="24" fillId="7" borderId="1" applyNumberFormat="0" applyAlignment="0" applyProtection="0"/>
    <xf numFmtId="2" fontId="25" fillId="25" borderId="11" applyBorder="0">
      <alignment horizontal="left" vertical="center" indent="1"/>
    </xf>
    <xf numFmtId="0" fontId="25" fillId="25" borderId="0">
      <alignment horizontal="right" vertical="center"/>
    </xf>
    <xf numFmtId="2" fontId="25" fillId="25" borderId="6" applyNumberFormat="0" applyBorder="0">
      <alignment horizontal="right" vertical="center"/>
    </xf>
    <xf numFmtId="2" fontId="26" fillId="26" borderId="8" applyBorder="0">
      <alignment horizontal="left" vertical="center" indent="1"/>
    </xf>
    <xf numFmtId="2" fontId="26" fillId="26" borderId="0">
      <alignment horizontal="right" vertical="center"/>
    </xf>
    <xf numFmtId="2" fontId="26" fillId="26" borderId="7" applyBorder="0">
      <alignment horizontal="left" vertical="center"/>
    </xf>
    <xf numFmtId="2" fontId="26" fillId="26" borderId="12" applyBorder="0">
      <alignment horizontal="center" vertical="center"/>
    </xf>
    <xf numFmtId="19" fontId="22" fillId="27" borderId="13" applyNumberFormat="0" applyBorder="0">
      <alignment horizontal="left" vertical="center"/>
    </xf>
    <xf numFmtId="166" fontId="22" fillId="27" borderId="10" applyNumberFormat="0" applyBorder="0">
      <alignment horizontal="right" vertical="center"/>
    </xf>
    <xf numFmtId="19" fontId="22" fillId="27" borderId="14" applyNumberFormat="0" applyBorder="0">
      <alignment horizontal="right" vertical="center"/>
    </xf>
    <xf numFmtId="2" fontId="23" fillId="28" borderId="15" applyBorder="0">
      <alignment horizontal="left" vertical="center" indent="1"/>
    </xf>
    <xf numFmtId="2" fontId="23" fillId="28" borderId="7" applyNumberFormat="0">
      <alignment horizontal="center" vertical="center"/>
    </xf>
    <xf numFmtId="2" fontId="23" fillId="28" borderId="7" applyNumberFormat="0" applyBorder="0">
      <alignment horizontal="left" vertical="center"/>
    </xf>
    <xf numFmtId="2" fontId="25" fillId="29" borderId="14" applyNumberFormat="0" applyBorder="0">
      <alignment horizontal="right" vertical="center"/>
    </xf>
    <xf numFmtId="0" fontId="27" fillId="0" borderId="16" applyNumberFormat="0" applyFill="0" applyAlignment="0" applyProtection="0"/>
    <xf numFmtId="0" fontId="28" fillId="30" borderId="0" applyNumberFormat="0" applyBorder="0" applyAlignment="0" applyProtection="0"/>
    <xf numFmtId="0" fontId="1" fillId="0" borderId="0" applyNumberFormat="0" applyFont="0" applyFill="0" applyBorder="0" applyAlignment="0"/>
    <xf numFmtId="167" fontId="29" fillId="0" borderId="0"/>
    <xf numFmtId="0" fontId="1" fillId="31" borderId="0"/>
    <xf numFmtId="0" fontId="1" fillId="31" borderId="0"/>
    <xf numFmtId="0" fontId="1" fillId="32" borderId="17" applyNumberFormat="0" applyFont="0" applyAlignment="0" applyProtection="0"/>
    <xf numFmtId="0" fontId="30" fillId="33" borderId="18" applyNumberFormat="0" applyBorder="0">
      <alignment horizontal="left" vertical="center"/>
    </xf>
    <xf numFmtId="2" fontId="30" fillId="33" borderId="7" applyNumberFormat="0" applyBorder="0">
      <alignment horizontal="left" vertical="center"/>
    </xf>
    <xf numFmtId="2" fontId="26" fillId="26" borderId="19" applyNumberFormat="0" applyBorder="0">
      <alignment horizontal="left" vertical="center"/>
    </xf>
    <xf numFmtId="2" fontId="26" fillId="26" borderId="7" applyNumberFormat="0" applyBorder="0">
      <alignment horizontal="left" vertical="center"/>
    </xf>
    <xf numFmtId="0" fontId="31" fillId="21" borderId="20" applyNumberFormat="0" applyAlignment="0" applyProtection="0"/>
    <xf numFmtId="19" fontId="25" fillId="34" borderId="21" applyNumberFormat="0" applyBorder="0">
      <alignment horizontal="left" vertical="center" indent="1"/>
    </xf>
    <xf numFmtId="0" fontId="25" fillId="34" borderId="0">
      <alignment horizontal="right" vertical="center"/>
    </xf>
    <xf numFmtId="19" fontId="25" fillId="34" borderId="14" applyNumberFormat="0" applyBorder="0">
      <alignment horizontal="right" vertical="center"/>
    </xf>
    <xf numFmtId="2" fontId="32" fillId="35" borderId="9" applyBorder="0">
      <alignment horizontal="left" vertical="center" indent="1"/>
    </xf>
    <xf numFmtId="2" fontId="32" fillId="35" borderId="0">
      <alignment horizontal="center" vertical="center"/>
    </xf>
    <xf numFmtId="2" fontId="32" fillId="35" borderId="22">
      <alignment horizontal="left" vertical="center"/>
    </xf>
    <xf numFmtId="0" fontId="33" fillId="36" borderId="12">
      <alignment horizontal="center"/>
    </xf>
    <xf numFmtId="9" fontId="1" fillId="0" borderId="0" applyFont="0" applyFill="0" applyBorder="0" applyAlignment="0" applyProtection="0"/>
    <xf numFmtId="168" fontId="34" fillId="37" borderId="0" applyNumberFormat="0" applyBorder="0">
      <alignment horizontal="right" vertical="center"/>
    </xf>
    <xf numFmtId="168" fontId="34" fillId="37" borderId="0" applyNumberFormat="0" applyBorder="0">
      <alignment horizontal="right" vertical="center"/>
    </xf>
    <xf numFmtId="0" fontId="35" fillId="38" borderId="12" applyNumberFormat="0">
      <alignment horizontal="center" vertical="center"/>
    </xf>
    <xf numFmtId="0" fontId="35" fillId="38" borderId="0" applyNumberFormat="0" applyBorder="0">
      <alignment horizontal="left" vertical="center" indent="1"/>
    </xf>
    <xf numFmtId="169" fontId="36" fillId="39" borderId="0">
      <alignment horizontal="center" vertical="center"/>
    </xf>
    <xf numFmtId="170" fontId="37" fillId="40" borderId="0">
      <alignment horizontal="center" vertical="center"/>
      <protection locked="0"/>
    </xf>
    <xf numFmtId="0" fontId="1" fillId="0" borderId="0">
      <alignment horizontal="left" wrapText="1"/>
    </xf>
    <xf numFmtId="2" fontId="38" fillId="41" borderId="18" applyNumberFormat="0" applyFill="0" applyBorder="0" applyAlignment="0">
      <alignment horizontal="center"/>
      <protection locked="0"/>
    </xf>
    <xf numFmtId="2" fontId="25" fillId="42" borderId="7" applyNumberFormat="0" applyBorder="0">
      <alignment horizontal="right" vertical="center"/>
    </xf>
    <xf numFmtId="2" fontId="25" fillId="42" borderId="0">
      <alignment horizontal="right" vertical="center"/>
    </xf>
    <xf numFmtId="2" fontId="26" fillId="43" borderId="12">
      <alignment horizontal="center" vertical="center"/>
    </xf>
    <xf numFmtId="2" fontId="26" fillId="43" borderId="0" applyNumberFormat="0" applyBorder="0">
      <alignment horizontal="left" vertical="center"/>
    </xf>
    <xf numFmtId="2" fontId="26" fillId="43" borderId="12">
      <alignment horizontal="center" vertical="center"/>
    </xf>
    <xf numFmtId="0" fontId="39" fillId="0" borderId="0" applyNumberFormat="0" applyFill="0" applyBorder="0" applyAlignment="0" applyProtection="0"/>
    <xf numFmtId="0" fontId="40" fillId="0" borderId="23" applyNumberFormat="0" applyFill="0" applyAlignment="0" applyProtection="0"/>
    <xf numFmtId="0" fontId="41" fillId="0" borderId="0" applyNumberFormat="0" applyFill="0" applyBorder="0" applyAlignment="0" applyProtection="0"/>
    <xf numFmtId="38" fontId="42" fillId="0" borderId="0" applyFont="0" applyFill="0" applyBorder="0" applyAlignment="0" applyProtection="0"/>
    <xf numFmtId="0" fontId="42" fillId="0" borderId="0"/>
  </cellStyleXfs>
  <cellXfs count="89">
    <xf numFmtId="0" fontId="0" fillId="0" borderId="0" xfId="0"/>
    <xf numFmtId="0" fontId="2" fillId="0" borderId="0" xfId="0" applyFont="1"/>
    <xf numFmtId="0" fontId="5" fillId="0" borderId="0" xfId="0" applyFont="1"/>
    <xf numFmtId="0" fontId="6" fillId="45" borderId="6" xfId="68" applyFont="1" applyFill="1" applyBorder="1"/>
    <xf numFmtId="0" fontId="6" fillId="45" borderId="28" xfId="68" applyFont="1" applyFill="1" applyBorder="1"/>
    <xf numFmtId="0" fontId="4" fillId="45" borderId="27" xfId="68" applyFont="1" applyFill="1" applyBorder="1" applyAlignment="1">
      <alignment horizontal="center"/>
    </xf>
    <xf numFmtId="0" fontId="7" fillId="45" borderId="29" xfId="68" applyFont="1" applyFill="1" applyBorder="1" applyAlignment="1">
      <alignment horizontal="center"/>
    </xf>
    <xf numFmtId="0" fontId="7" fillId="45" borderId="26" xfId="68" applyFont="1" applyFill="1" applyBorder="1" applyAlignment="1">
      <alignment horizontal="center"/>
    </xf>
    <xf numFmtId="2" fontId="5" fillId="46" borderId="6" xfId="68" applyNumberFormat="1" applyFont="1" applyFill="1" applyBorder="1" applyAlignment="1">
      <alignment horizontal="right"/>
    </xf>
    <xf numFmtId="2" fontId="5" fillId="46" borderId="14" xfId="68" applyNumberFormat="1" applyFont="1" applyFill="1" applyBorder="1" applyAlignment="1">
      <alignment horizontal="right"/>
    </xf>
    <xf numFmtId="2" fontId="5" fillId="46" borderId="28" xfId="68" applyNumberFormat="1" applyFont="1" applyFill="1" applyBorder="1" applyAlignment="1">
      <alignment horizontal="right"/>
    </xf>
    <xf numFmtId="0" fontId="8" fillId="0" borderId="0" xfId="0" applyFont="1"/>
    <xf numFmtId="171" fontId="8" fillId="0" borderId="7" xfId="0" applyNumberFormat="1" applyFont="1" applyBorder="1"/>
    <xf numFmtId="0" fontId="8" fillId="0" borderId="14" xfId="0" applyFont="1" applyBorder="1"/>
    <xf numFmtId="171" fontId="8" fillId="0" borderId="22" xfId="0" applyNumberFormat="1" applyFont="1" applyBorder="1"/>
    <xf numFmtId="171" fontId="8" fillId="0" borderId="25" xfId="0" applyNumberFormat="1" applyFont="1" applyBorder="1"/>
    <xf numFmtId="0" fontId="5" fillId="46" borderId="8" xfId="68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5" fillId="46" borderId="31" xfId="68" applyFont="1" applyFill="1" applyBorder="1" applyAlignment="1">
      <alignment horizontal="center"/>
    </xf>
    <xf numFmtId="0" fontId="5" fillId="46" borderId="21" xfId="68" applyFont="1" applyFill="1" applyBorder="1" applyAlignment="1">
      <alignment horizontal="center"/>
    </xf>
    <xf numFmtId="2" fontId="5" fillId="46" borderId="22" xfId="68" applyNumberFormat="1" applyFont="1" applyFill="1" applyBorder="1" applyAlignment="1">
      <alignment horizontal="center"/>
    </xf>
    <xf numFmtId="2" fontId="5" fillId="46" borderId="25" xfId="68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45" borderId="18" xfId="68" applyFont="1" applyFill="1" applyBorder="1" applyAlignment="1">
      <alignment horizontal="center"/>
    </xf>
    <xf numFmtId="0" fontId="4" fillId="45" borderId="14" xfId="68" applyFont="1" applyFill="1" applyBorder="1" applyAlignment="1">
      <alignment horizontal="center"/>
    </xf>
    <xf numFmtId="0" fontId="5" fillId="47" borderId="32" xfId="68" applyFont="1" applyFill="1" applyBorder="1" applyAlignment="1">
      <alignment horizontal="center"/>
    </xf>
    <xf numFmtId="164" fontId="5" fillId="46" borderId="14" xfId="68" applyNumberFormat="1" applyFont="1" applyFill="1" applyBorder="1" applyAlignment="1">
      <alignment horizontal="center"/>
    </xf>
    <xf numFmtId="14" fontId="5" fillId="47" borderId="32" xfId="68" applyNumberFormat="1" applyFont="1" applyFill="1" applyBorder="1" applyAlignment="1">
      <alignment horizontal="center"/>
    </xf>
    <xf numFmtId="0" fontId="5" fillId="46" borderId="14" xfId="68" applyFont="1" applyFill="1" applyBorder="1" applyAlignment="1">
      <alignment horizontal="center"/>
    </xf>
    <xf numFmtId="22" fontId="5" fillId="46" borderId="14" xfId="68" applyNumberFormat="1" applyFont="1" applyFill="1" applyBorder="1" applyAlignment="1">
      <alignment horizontal="center"/>
    </xf>
    <xf numFmtId="0" fontId="5" fillId="47" borderId="33" xfId="68" applyFont="1" applyFill="1" applyBorder="1" applyAlignment="1">
      <alignment horizontal="center"/>
    </xf>
    <xf numFmtId="0" fontId="5" fillId="46" borderId="28" xfId="68" applyFont="1" applyFill="1" applyBorder="1" applyAlignment="1">
      <alignment horizontal="center"/>
    </xf>
    <xf numFmtId="0" fontId="4" fillId="45" borderId="10" xfId="68" applyFont="1" applyFill="1" applyBorder="1" applyAlignment="1">
      <alignment horizontal="center"/>
    </xf>
    <xf numFmtId="0" fontId="6" fillId="45" borderId="30" xfId="68" applyFont="1" applyFill="1" applyBorder="1" applyAlignment="1">
      <alignment horizontal="center"/>
    </xf>
    <xf numFmtId="0" fontId="6" fillId="45" borderId="6" xfId="68" applyFont="1" applyFill="1" applyBorder="1" applyAlignment="1">
      <alignment horizontal="center"/>
    </xf>
    <xf numFmtId="0" fontId="6" fillId="45" borderId="26" xfId="68" applyFont="1" applyFill="1" applyBorder="1" applyAlignment="1">
      <alignment horizontal="center"/>
    </xf>
    <xf numFmtId="0" fontId="6" fillId="45" borderId="28" xfId="68" applyFont="1" applyFill="1" applyBorder="1" applyAlignment="1">
      <alignment horizontal="center"/>
    </xf>
    <xf numFmtId="0" fontId="5" fillId="46" borderId="34" xfId="68" applyFont="1" applyFill="1" applyBorder="1" applyAlignment="1">
      <alignment horizontal="center"/>
    </xf>
    <xf numFmtId="10" fontId="5" fillId="46" borderId="35" xfId="68" applyNumberFormat="1" applyFont="1" applyFill="1" applyBorder="1" applyAlignment="1">
      <alignment horizontal="center"/>
    </xf>
    <xf numFmtId="2" fontId="5" fillId="46" borderId="6" xfId="68" applyNumberFormat="1" applyFont="1" applyFill="1" applyBorder="1" applyAlignment="1">
      <alignment horizontal="center"/>
    </xf>
    <xf numFmtId="0" fontId="5" fillId="46" borderId="32" xfId="68" applyFont="1" applyFill="1" applyBorder="1" applyAlignment="1">
      <alignment horizontal="center"/>
    </xf>
    <xf numFmtId="10" fontId="5" fillId="46" borderId="36" xfId="68" applyNumberFormat="1" applyFont="1" applyFill="1" applyBorder="1" applyAlignment="1">
      <alignment horizontal="center"/>
    </xf>
    <xf numFmtId="2" fontId="5" fillId="46" borderId="14" xfId="68" applyNumberFormat="1" applyFont="1" applyFill="1" applyBorder="1" applyAlignment="1">
      <alignment horizontal="center"/>
    </xf>
    <xf numFmtId="0" fontId="5" fillId="0" borderId="34" xfId="0" applyFont="1" applyBorder="1" applyAlignment="1">
      <alignment horizontal="center"/>
    </xf>
    <xf numFmtId="10" fontId="43" fillId="46" borderId="30" xfId="67" applyNumberFormat="1" applyFont="1" applyFill="1" applyBorder="1" applyAlignment="1">
      <alignment horizontal="center"/>
    </xf>
    <xf numFmtId="2" fontId="5" fillId="46" borderId="7" xfId="68" applyNumberFormat="1" applyFont="1" applyFill="1" applyBorder="1" applyAlignment="1">
      <alignment horizontal="center"/>
    </xf>
    <xf numFmtId="0" fontId="5" fillId="0" borderId="32" xfId="0" applyFont="1" applyBorder="1" applyAlignment="1">
      <alignment horizontal="center"/>
    </xf>
    <xf numFmtId="10" fontId="43" fillId="46" borderId="0" xfId="67" applyNumberFormat="1" applyFont="1" applyFill="1" applyBorder="1" applyAlignment="1">
      <alignment horizontal="center"/>
    </xf>
    <xf numFmtId="0" fontId="5" fillId="0" borderId="33" xfId="0" applyFont="1" applyBorder="1" applyAlignment="1">
      <alignment horizontal="center"/>
    </xf>
    <xf numFmtId="10" fontId="43" fillId="46" borderId="26" xfId="67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6" borderId="33" xfId="68" applyFont="1" applyFill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2" fillId="0" borderId="0" xfId="0" applyFont="1" applyAlignment="1">
      <alignment horizontal="center"/>
    </xf>
    <xf numFmtId="10" fontId="5" fillId="46" borderId="29" xfId="68" applyNumberFormat="1" applyFont="1" applyFill="1" applyBorder="1" applyAlignment="1">
      <alignment horizontal="center"/>
    </xf>
    <xf numFmtId="10" fontId="43" fillId="46" borderId="7" xfId="67" applyNumberFormat="1" applyFont="1" applyFill="1" applyBorder="1" applyAlignment="1">
      <alignment horizontal="center"/>
    </xf>
    <xf numFmtId="10" fontId="43" fillId="46" borderId="22" xfId="67" applyNumberFormat="1" applyFont="1" applyFill="1" applyBorder="1" applyAlignment="1">
      <alignment horizontal="center"/>
    </xf>
    <xf numFmtId="10" fontId="43" fillId="46" borderId="25" xfId="67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25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0" fontId="4" fillId="45" borderId="6" xfId="68" applyFont="1" applyFill="1" applyBorder="1" applyAlignment="1">
      <alignment horizontal="center"/>
    </xf>
    <xf numFmtId="22" fontId="5" fillId="46" borderId="28" xfId="68" applyNumberFormat="1" applyFont="1" applyFill="1" applyBorder="1" applyAlignment="1">
      <alignment horizontal="center"/>
    </xf>
    <xf numFmtId="168" fontId="0" fillId="0" borderId="0" xfId="82" applyNumberFormat="1" applyFont="1"/>
    <xf numFmtId="168" fontId="0" fillId="0" borderId="0" xfId="82" applyNumberFormat="1" applyFont="1" applyAlignment="1">
      <alignment horizontal="center"/>
    </xf>
    <xf numFmtId="0" fontId="25" fillId="0" borderId="0" xfId="0" quotePrefix="1" applyFont="1" applyAlignment="1">
      <alignment horizontal="center"/>
    </xf>
    <xf numFmtId="10" fontId="5" fillId="46" borderId="6" xfId="82" applyNumberFormat="1" applyFont="1" applyFill="1" applyBorder="1" applyAlignment="1">
      <alignment horizontal="right"/>
    </xf>
    <xf numFmtId="10" fontId="5" fillId="46" borderId="14" xfId="82" applyNumberFormat="1" applyFont="1" applyFill="1" applyBorder="1" applyAlignment="1">
      <alignment horizontal="right"/>
    </xf>
    <xf numFmtId="10" fontId="5" fillId="46" borderId="28" xfId="82" applyNumberFormat="1" applyFont="1" applyFill="1" applyBorder="1" applyAlignment="1">
      <alignment horizontal="right"/>
    </xf>
    <xf numFmtId="0" fontId="25" fillId="48" borderId="8" xfId="0" applyFont="1" applyFill="1" applyBorder="1" applyAlignment="1">
      <alignment horizontal="center"/>
    </xf>
    <xf numFmtId="0" fontId="25" fillId="48" borderId="21" xfId="0" applyFont="1" applyFill="1" applyBorder="1" applyAlignment="1">
      <alignment horizontal="center"/>
    </xf>
    <xf numFmtId="0" fontId="25" fillId="48" borderId="31" xfId="0" applyFont="1" applyFill="1" applyBorder="1" applyAlignment="1">
      <alignment horizontal="center"/>
    </xf>
    <xf numFmtId="0" fontId="0" fillId="0" borderId="0" xfId="0" applyAlignment="1">
      <alignment horizontal="center"/>
    </xf>
    <xf numFmtId="10" fontId="8" fillId="0" borderId="14" xfId="82" applyNumberFormat="1" applyFont="1" applyBorder="1"/>
    <xf numFmtId="10" fontId="8" fillId="0" borderId="0" xfId="82" applyNumberFormat="1" applyFont="1"/>
    <xf numFmtId="168" fontId="0" fillId="49" borderId="7" xfId="82" applyNumberFormat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168" fontId="0" fillId="49" borderId="22" xfId="82" applyNumberFormat="1" applyFont="1" applyFill="1" applyBorder="1" applyAlignment="1">
      <alignment horizontal="center"/>
    </xf>
    <xf numFmtId="168" fontId="0" fillId="49" borderId="25" xfId="82" applyNumberFormat="1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44" fillId="0" borderId="0" xfId="0" applyFont="1"/>
    <xf numFmtId="0" fontId="44" fillId="0" borderId="0" xfId="0" applyFont="1" applyAlignment="1">
      <alignment horizontal="left"/>
    </xf>
    <xf numFmtId="0" fontId="3" fillId="44" borderId="12" xfId="0" applyFont="1" applyFill="1" applyBorder="1" applyAlignment="1">
      <alignment textRotation="90"/>
    </xf>
    <xf numFmtId="10" fontId="3" fillId="44" borderId="12" xfId="82" applyNumberFormat="1" applyFont="1" applyFill="1" applyBorder="1" applyAlignment="1">
      <alignment textRotation="90"/>
    </xf>
    <xf numFmtId="0" fontId="8" fillId="0" borderId="0" xfId="0" applyFont="1" applyAlignment="1">
      <alignment textRotation="90"/>
    </xf>
    <xf numFmtId="0" fontId="5" fillId="46" borderId="37" xfId="68" applyFont="1" applyFill="1" applyBorder="1" applyAlignment="1">
      <alignment horizontal="center"/>
    </xf>
    <xf numFmtId="0" fontId="6" fillId="45" borderId="19" xfId="68" applyFont="1" applyFill="1" applyBorder="1" applyAlignment="1">
      <alignment horizontal="center"/>
    </xf>
    <xf numFmtId="0" fontId="6" fillId="45" borderId="24" xfId="68" applyFont="1" applyFill="1" applyBorder="1" applyAlignment="1">
      <alignment horizontal="center"/>
    </xf>
  </cellXfs>
  <cellStyles count="101">
    <cellStyle name="_Copy of Portfolios to Archeus 6-3-04 (2)" xfId="1" xr:uid="{00000000-0005-0000-0000-000000000000}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ck" xfId="26" xr:uid="{00000000-0005-0000-0000-000019000000}"/>
    <cellStyle name="Bad" xfId="27" builtinId="27" customBuiltin="1"/>
    <cellStyle name="Calculation" xfId="28" builtinId="22" customBuiltin="1"/>
    <cellStyle name="Check Cell" xfId="29" builtinId="23" customBuiltin="1"/>
    <cellStyle name="Comma0" xfId="30" xr:uid="{00000000-0005-0000-0000-00001D000000}"/>
    <cellStyle name="Currency0" xfId="31" xr:uid="{00000000-0005-0000-0000-00001E000000}"/>
    <cellStyle name="Date" xfId="32" xr:uid="{00000000-0005-0000-0000-00001F000000}"/>
    <cellStyle name="Explanatory Text" xfId="33" builtinId="53" customBuiltin="1"/>
    <cellStyle name="Fixed" xfId="34" xr:uid="{00000000-0005-0000-0000-000021000000}"/>
    <cellStyle name="Good" xfId="35" builtinId="26" customBuiltin="1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InfoDataColumn" xfId="40" xr:uid="{00000000-0005-0000-0000-000027000000}"/>
    <cellStyle name="InfoDataRow" xfId="41" xr:uid="{00000000-0005-0000-0000-000028000000}"/>
    <cellStyle name="InfoLabelColumn" xfId="42" xr:uid="{00000000-0005-0000-0000-000029000000}"/>
    <cellStyle name="InfoLabelRow" xfId="43" xr:uid="{00000000-0005-0000-0000-00002A000000}"/>
    <cellStyle name="InfolDataColumn" xfId="44" xr:uid="{00000000-0005-0000-0000-00002B000000}"/>
    <cellStyle name="InformationalData" xfId="45" xr:uid="{00000000-0005-0000-0000-00002C000000}"/>
    <cellStyle name="InformationalLabel" xfId="46" xr:uid="{00000000-0005-0000-0000-00002D000000}"/>
    <cellStyle name="InformationalLabelTop" xfId="47" xr:uid="{00000000-0005-0000-0000-00002E000000}"/>
    <cellStyle name="Input" xfId="48" builtinId="20" customBuiltin="1"/>
    <cellStyle name="InputData" xfId="49" xr:uid="{00000000-0005-0000-0000-000030000000}"/>
    <cellStyle name="InputDataColumn" xfId="50" xr:uid="{00000000-0005-0000-0000-000031000000}"/>
    <cellStyle name="InputDataRow" xfId="51" xr:uid="{00000000-0005-0000-0000-000032000000}"/>
    <cellStyle name="InputLabel" xfId="52" xr:uid="{00000000-0005-0000-0000-000033000000}"/>
    <cellStyle name="InputLabelColumn" xfId="53" xr:uid="{00000000-0005-0000-0000-000034000000}"/>
    <cellStyle name="InputLabelRow" xfId="54" xr:uid="{00000000-0005-0000-0000-000035000000}"/>
    <cellStyle name="InputLabelTop" xfId="55" xr:uid="{00000000-0005-0000-0000-000036000000}"/>
    <cellStyle name="IntermediateData" xfId="56" xr:uid="{00000000-0005-0000-0000-000037000000}"/>
    <cellStyle name="IntermediateDataColumn" xfId="57" xr:uid="{00000000-0005-0000-0000-000038000000}"/>
    <cellStyle name="IntermediateDataRow" xfId="58" xr:uid="{00000000-0005-0000-0000-000039000000}"/>
    <cellStyle name="IntermediateLabel" xfId="59" xr:uid="{00000000-0005-0000-0000-00003A000000}"/>
    <cellStyle name="IntermediateLabelColumn" xfId="60" xr:uid="{00000000-0005-0000-0000-00003B000000}"/>
    <cellStyle name="IntermediateLabelRow" xfId="61" xr:uid="{00000000-0005-0000-0000-00003C000000}"/>
    <cellStyle name="InvalidCell" xfId="62" xr:uid="{00000000-0005-0000-0000-00003D000000}"/>
    <cellStyle name="Linked Cell" xfId="63" builtinId="24" customBuiltin="1"/>
    <cellStyle name="Neutral" xfId="64" builtinId="28" customBuiltin="1"/>
    <cellStyle name="NewSheet" xfId="65" xr:uid="{00000000-0005-0000-0000-000040000000}"/>
    <cellStyle name="Normal" xfId="0" builtinId="0"/>
    <cellStyle name="Normal - Style1" xfId="66" xr:uid="{00000000-0005-0000-0000-000042000000}"/>
    <cellStyle name="Normal_Curves" xfId="67" xr:uid="{00000000-0005-0000-0000-000043000000}"/>
    <cellStyle name="Normal_Sheet1" xfId="68" xr:uid="{00000000-0005-0000-0000-000044000000}"/>
    <cellStyle name="Note" xfId="69" builtinId="10" customBuiltin="1"/>
    <cellStyle name="ObjectDataColumn" xfId="70" xr:uid="{00000000-0005-0000-0000-000046000000}"/>
    <cellStyle name="ObjectDataRow" xfId="71" xr:uid="{00000000-0005-0000-0000-000047000000}"/>
    <cellStyle name="ObjectLabelColumn" xfId="72" xr:uid="{00000000-0005-0000-0000-000048000000}"/>
    <cellStyle name="ObjectLabelRow" xfId="73" xr:uid="{00000000-0005-0000-0000-000049000000}"/>
    <cellStyle name="Output" xfId="74" builtinId="21" customBuiltin="1"/>
    <cellStyle name="OutputData" xfId="75" xr:uid="{00000000-0005-0000-0000-00004B000000}"/>
    <cellStyle name="OutputDataColumn" xfId="76" xr:uid="{00000000-0005-0000-0000-00004C000000}"/>
    <cellStyle name="OutputDataRow" xfId="77" xr:uid="{00000000-0005-0000-0000-00004D000000}"/>
    <cellStyle name="OutputLabel" xfId="78" xr:uid="{00000000-0005-0000-0000-00004E000000}"/>
    <cellStyle name="OutputLabelColumn" xfId="79" xr:uid="{00000000-0005-0000-0000-00004F000000}"/>
    <cellStyle name="OutputLabelRow" xfId="80" xr:uid="{00000000-0005-0000-0000-000050000000}"/>
    <cellStyle name="PanelLabel" xfId="81" xr:uid="{00000000-0005-0000-0000-000051000000}"/>
    <cellStyle name="Percent" xfId="82" builtinId="5"/>
    <cellStyle name="PersonalDataColumn" xfId="83" xr:uid="{00000000-0005-0000-0000-000053000000}"/>
    <cellStyle name="PersonalDataRow" xfId="84" xr:uid="{00000000-0005-0000-0000-000054000000}"/>
    <cellStyle name="PersonalLabelColumn" xfId="85" xr:uid="{00000000-0005-0000-0000-000055000000}"/>
    <cellStyle name="PersonalLabelRow" xfId="86" xr:uid="{00000000-0005-0000-0000-000056000000}"/>
    <cellStyle name="result" xfId="87" xr:uid="{00000000-0005-0000-0000-000057000000}"/>
    <cellStyle name="spreads" xfId="88" xr:uid="{00000000-0005-0000-0000-000058000000}"/>
    <cellStyle name="Style 1" xfId="89" xr:uid="{00000000-0005-0000-0000-000059000000}"/>
    <cellStyle name="swaptn" xfId="90" xr:uid="{00000000-0005-0000-0000-00005A000000}"/>
    <cellStyle name="TableDataColumn" xfId="91" xr:uid="{00000000-0005-0000-0000-00005B000000}"/>
    <cellStyle name="TableDataRow" xfId="92" xr:uid="{00000000-0005-0000-0000-00005C000000}"/>
    <cellStyle name="TableLabelColumn" xfId="93" xr:uid="{00000000-0005-0000-0000-00005D000000}"/>
    <cellStyle name="TableLabelRow" xfId="94" xr:uid="{00000000-0005-0000-0000-00005E000000}"/>
    <cellStyle name="TableLabelTop" xfId="95" xr:uid="{00000000-0005-0000-0000-00005F000000}"/>
    <cellStyle name="Title" xfId="96" builtinId="15" customBuiltin="1"/>
    <cellStyle name="Total" xfId="97" builtinId="25" customBuiltin="1"/>
    <cellStyle name="Warning Text" xfId="98" builtinId="11" customBuiltin="1"/>
    <cellStyle name="桁区切り_NewDemo" xfId="99" xr:uid="{00000000-0005-0000-0000-000063000000}"/>
    <cellStyle name="標準_NewDemo" xfId="100" xr:uid="{00000000-0005-0000-0000-00006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Forward Rates'!$B$1</c:f>
              <c:strCache>
                <c:ptCount val="1"/>
                <c:pt idx="0">
                  <c:v>Market.LIVE.RateCurve.AUD-LIBOR-BBA-3M</c:v>
                </c:pt>
              </c:strCache>
            </c:strRef>
          </c:tx>
          <c:marker>
            <c:symbol val="none"/>
          </c:marker>
          <c:cat>
            <c:numRef>
              <c:f>'Daily Forward Rates'!$A$2:$A$357</c:f>
              <c:numCache>
                <c:formatCode>d/m/yyyy;@</c:formatCode>
                <c:ptCount val="356"/>
                <c:pt idx="0">
                  <c:v>43649</c:v>
                </c:pt>
                <c:pt idx="1">
                  <c:v>43650</c:v>
                </c:pt>
                <c:pt idx="2">
                  <c:v>43651</c:v>
                </c:pt>
                <c:pt idx="3">
                  <c:v>43652</c:v>
                </c:pt>
                <c:pt idx="4">
                  <c:v>43653</c:v>
                </c:pt>
                <c:pt idx="5">
                  <c:v>43654</c:v>
                </c:pt>
                <c:pt idx="6">
                  <c:v>43655</c:v>
                </c:pt>
                <c:pt idx="7">
                  <c:v>43656</c:v>
                </c:pt>
                <c:pt idx="8">
                  <c:v>43657</c:v>
                </c:pt>
                <c:pt idx="9">
                  <c:v>43658</c:v>
                </c:pt>
                <c:pt idx="10">
                  <c:v>43659</c:v>
                </c:pt>
                <c:pt idx="11">
                  <c:v>43660</c:v>
                </c:pt>
                <c:pt idx="12">
                  <c:v>43661</c:v>
                </c:pt>
                <c:pt idx="13">
                  <c:v>43662</c:v>
                </c:pt>
                <c:pt idx="14">
                  <c:v>43663</c:v>
                </c:pt>
                <c:pt idx="15">
                  <c:v>43664</c:v>
                </c:pt>
                <c:pt idx="16">
                  <c:v>43665</c:v>
                </c:pt>
                <c:pt idx="17">
                  <c:v>43666</c:v>
                </c:pt>
                <c:pt idx="18">
                  <c:v>43667</c:v>
                </c:pt>
                <c:pt idx="19">
                  <c:v>43668</c:v>
                </c:pt>
                <c:pt idx="20">
                  <c:v>43669</c:v>
                </c:pt>
                <c:pt idx="21">
                  <c:v>43670</c:v>
                </c:pt>
                <c:pt idx="22">
                  <c:v>43671</c:v>
                </c:pt>
                <c:pt idx="23">
                  <c:v>43672</c:v>
                </c:pt>
                <c:pt idx="24">
                  <c:v>43673</c:v>
                </c:pt>
                <c:pt idx="25">
                  <c:v>43674</c:v>
                </c:pt>
                <c:pt idx="26">
                  <c:v>43675</c:v>
                </c:pt>
                <c:pt idx="27">
                  <c:v>43676</c:v>
                </c:pt>
                <c:pt idx="28">
                  <c:v>43677</c:v>
                </c:pt>
                <c:pt idx="29">
                  <c:v>43678</c:v>
                </c:pt>
                <c:pt idx="30">
                  <c:v>43679</c:v>
                </c:pt>
                <c:pt idx="31">
                  <c:v>43680</c:v>
                </c:pt>
                <c:pt idx="32">
                  <c:v>43681</c:v>
                </c:pt>
                <c:pt idx="33">
                  <c:v>43682</c:v>
                </c:pt>
                <c:pt idx="34">
                  <c:v>43683</c:v>
                </c:pt>
                <c:pt idx="35">
                  <c:v>43684</c:v>
                </c:pt>
                <c:pt idx="36">
                  <c:v>43685</c:v>
                </c:pt>
                <c:pt idx="37">
                  <c:v>43686</c:v>
                </c:pt>
                <c:pt idx="38">
                  <c:v>43687</c:v>
                </c:pt>
                <c:pt idx="39">
                  <c:v>43688</c:v>
                </c:pt>
                <c:pt idx="40">
                  <c:v>43689</c:v>
                </c:pt>
                <c:pt idx="41">
                  <c:v>43690</c:v>
                </c:pt>
                <c:pt idx="42">
                  <c:v>43691</c:v>
                </c:pt>
                <c:pt idx="43">
                  <c:v>43692</c:v>
                </c:pt>
                <c:pt idx="44">
                  <c:v>43693</c:v>
                </c:pt>
                <c:pt idx="45">
                  <c:v>43694</c:v>
                </c:pt>
                <c:pt idx="46">
                  <c:v>43695</c:v>
                </c:pt>
                <c:pt idx="47">
                  <c:v>43696</c:v>
                </c:pt>
                <c:pt idx="48">
                  <c:v>43697</c:v>
                </c:pt>
                <c:pt idx="49">
                  <c:v>43698</c:v>
                </c:pt>
                <c:pt idx="50">
                  <c:v>43699</c:v>
                </c:pt>
                <c:pt idx="51">
                  <c:v>43700</c:v>
                </c:pt>
                <c:pt idx="52">
                  <c:v>43701</c:v>
                </c:pt>
                <c:pt idx="53">
                  <c:v>43702</c:v>
                </c:pt>
                <c:pt idx="54">
                  <c:v>43703</c:v>
                </c:pt>
                <c:pt idx="55">
                  <c:v>43704</c:v>
                </c:pt>
                <c:pt idx="56">
                  <c:v>43705</c:v>
                </c:pt>
                <c:pt idx="57">
                  <c:v>43706</c:v>
                </c:pt>
                <c:pt idx="58">
                  <c:v>43707</c:v>
                </c:pt>
                <c:pt idx="59">
                  <c:v>43708</c:v>
                </c:pt>
                <c:pt idx="60">
                  <c:v>43709</c:v>
                </c:pt>
                <c:pt idx="61">
                  <c:v>43710</c:v>
                </c:pt>
                <c:pt idx="62">
                  <c:v>43711</c:v>
                </c:pt>
                <c:pt idx="63">
                  <c:v>43712</c:v>
                </c:pt>
                <c:pt idx="64">
                  <c:v>43713</c:v>
                </c:pt>
                <c:pt idx="65">
                  <c:v>43714</c:v>
                </c:pt>
                <c:pt idx="66">
                  <c:v>43715</c:v>
                </c:pt>
                <c:pt idx="67">
                  <c:v>43716</c:v>
                </c:pt>
                <c:pt idx="68">
                  <c:v>43717</c:v>
                </c:pt>
                <c:pt idx="69">
                  <c:v>43718</c:v>
                </c:pt>
                <c:pt idx="70">
                  <c:v>43719</c:v>
                </c:pt>
                <c:pt idx="71">
                  <c:v>43720</c:v>
                </c:pt>
                <c:pt idx="72">
                  <c:v>43721</c:v>
                </c:pt>
                <c:pt idx="73">
                  <c:v>43722</c:v>
                </c:pt>
                <c:pt idx="74">
                  <c:v>43723</c:v>
                </c:pt>
                <c:pt idx="75">
                  <c:v>43724</c:v>
                </c:pt>
                <c:pt idx="76">
                  <c:v>43725</c:v>
                </c:pt>
                <c:pt idx="77">
                  <c:v>43726</c:v>
                </c:pt>
                <c:pt idx="78">
                  <c:v>43727</c:v>
                </c:pt>
                <c:pt idx="79">
                  <c:v>43728</c:v>
                </c:pt>
                <c:pt idx="80">
                  <c:v>43729</c:v>
                </c:pt>
                <c:pt idx="81">
                  <c:v>43730</c:v>
                </c:pt>
                <c:pt idx="82">
                  <c:v>43731</c:v>
                </c:pt>
                <c:pt idx="83">
                  <c:v>43732</c:v>
                </c:pt>
                <c:pt idx="84">
                  <c:v>43733</c:v>
                </c:pt>
                <c:pt idx="85">
                  <c:v>43734</c:v>
                </c:pt>
                <c:pt idx="86">
                  <c:v>43735</c:v>
                </c:pt>
                <c:pt idx="87">
                  <c:v>43736</c:v>
                </c:pt>
                <c:pt idx="88">
                  <c:v>43737</c:v>
                </c:pt>
                <c:pt idx="89">
                  <c:v>43738</c:v>
                </c:pt>
                <c:pt idx="90">
                  <c:v>43739</c:v>
                </c:pt>
                <c:pt idx="91">
                  <c:v>43740</c:v>
                </c:pt>
                <c:pt idx="92">
                  <c:v>43741</c:v>
                </c:pt>
                <c:pt idx="93">
                  <c:v>43742</c:v>
                </c:pt>
                <c:pt idx="94">
                  <c:v>43743</c:v>
                </c:pt>
                <c:pt idx="95">
                  <c:v>43744</c:v>
                </c:pt>
                <c:pt idx="96">
                  <c:v>43745</c:v>
                </c:pt>
                <c:pt idx="97">
                  <c:v>43746</c:v>
                </c:pt>
                <c:pt idx="98">
                  <c:v>43747</c:v>
                </c:pt>
                <c:pt idx="99">
                  <c:v>43748</c:v>
                </c:pt>
                <c:pt idx="100">
                  <c:v>43749</c:v>
                </c:pt>
                <c:pt idx="101">
                  <c:v>43750</c:v>
                </c:pt>
                <c:pt idx="102">
                  <c:v>43751</c:v>
                </c:pt>
                <c:pt idx="103">
                  <c:v>43752</c:v>
                </c:pt>
                <c:pt idx="104">
                  <c:v>43753</c:v>
                </c:pt>
                <c:pt idx="105">
                  <c:v>43754</c:v>
                </c:pt>
                <c:pt idx="106">
                  <c:v>43755</c:v>
                </c:pt>
                <c:pt idx="107">
                  <c:v>43756</c:v>
                </c:pt>
                <c:pt idx="108">
                  <c:v>43757</c:v>
                </c:pt>
                <c:pt idx="109">
                  <c:v>43758</c:v>
                </c:pt>
                <c:pt idx="110">
                  <c:v>43759</c:v>
                </c:pt>
                <c:pt idx="111">
                  <c:v>43760</c:v>
                </c:pt>
                <c:pt idx="112">
                  <c:v>43761</c:v>
                </c:pt>
                <c:pt idx="113">
                  <c:v>43762</c:v>
                </c:pt>
                <c:pt idx="114">
                  <c:v>43763</c:v>
                </c:pt>
                <c:pt idx="115">
                  <c:v>43764</c:v>
                </c:pt>
                <c:pt idx="116">
                  <c:v>43765</c:v>
                </c:pt>
                <c:pt idx="117">
                  <c:v>43766</c:v>
                </c:pt>
                <c:pt idx="118">
                  <c:v>43767</c:v>
                </c:pt>
                <c:pt idx="119">
                  <c:v>43768</c:v>
                </c:pt>
                <c:pt idx="120">
                  <c:v>43769</c:v>
                </c:pt>
                <c:pt idx="121">
                  <c:v>43770</c:v>
                </c:pt>
                <c:pt idx="122">
                  <c:v>43771</c:v>
                </c:pt>
                <c:pt idx="123">
                  <c:v>43772</c:v>
                </c:pt>
                <c:pt idx="124">
                  <c:v>43773</c:v>
                </c:pt>
                <c:pt idx="125">
                  <c:v>43774</c:v>
                </c:pt>
                <c:pt idx="126">
                  <c:v>43775</c:v>
                </c:pt>
                <c:pt idx="127">
                  <c:v>43776</c:v>
                </c:pt>
                <c:pt idx="128">
                  <c:v>43777</c:v>
                </c:pt>
                <c:pt idx="129">
                  <c:v>43778</c:v>
                </c:pt>
                <c:pt idx="130">
                  <c:v>43779</c:v>
                </c:pt>
                <c:pt idx="131">
                  <c:v>43780</c:v>
                </c:pt>
                <c:pt idx="132">
                  <c:v>43781</c:v>
                </c:pt>
                <c:pt idx="133">
                  <c:v>43782</c:v>
                </c:pt>
                <c:pt idx="134">
                  <c:v>43783</c:v>
                </c:pt>
                <c:pt idx="135">
                  <c:v>43784</c:v>
                </c:pt>
                <c:pt idx="136">
                  <c:v>43785</c:v>
                </c:pt>
                <c:pt idx="137">
                  <c:v>43786</c:v>
                </c:pt>
                <c:pt idx="138">
                  <c:v>43787</c:v>
                </c:pt>
                <c:pt idx="139">
                  <c:v>43788</c:v>
                </c:pt>
                <c:pt idx="140">
                  <c:v>43789</c:v>
                </c:pt>
                <c:pt idx="141">
                  <c:v>43790</c:v>
                </c:pt>
                <c:pt idx="142">
                  <c:v>43791</c:v>
                </c:pt>
                <c:pt idx="143">
                  <c:v>43792</c:v>
                </c:pt>
                <c:pt idx="144">
                  <c:v>43793</c:v>
                </c:pt>
                <c:pt idx="145">
                  <c:v>43794</c:v>
                </c:pt>
                <c:pt idx="146">
                  <c:v>43795</c:v>
                </c:pt>
                <c:pt idx="147">
                  <c:v>43796</c:v>
                </c:pt>
                <c:pt idx="148">
                  <c:v>43797</c:v>
                </c:pt>
                <c:pt idx="149">
                  <c:v>43798</c:v>
                </c:pt>
                <c:pt idx="150">
                  <c:v>43799</c:v>
                </c:pt>
                <c:pt idx="151">
                  <c:v>43800</c:v>
                </c:pt>
                <c:pt idx="152">
                  <c:v>43801</c:v>
                </c:pt>
                <c:pt idx="153">
                  <c:v>43802</c:v>
                </c:pt>
                <c:pt idx="154">
                  <c:v>43803</c:v>
                </c:pt>
                <c:pt idx="155">
                  <c:v>43804</c:v>
                </c:pt>
                <c:pt idx="156">
                  <c:v>43805</c:v>
                </c:pt>
                <c:pt idx="157">
                  <c:v>43806</c:v>
                </c:pt>
                <c:pt idx="158">
                  <c:v>43807</c:v>
                </c:pt>
                <c:pt idx="159">
                  <c:v>43808</c:v>
                </c:pt>
                <c:pt idx="160">
                  <c:v>43809</c:v>
                </c:pt>
                <c:pt idx="161">
                  <c:v>43810</c:v>
                </c:pt>
                <c:pt idx="162">
                  <c:v>43811</c:v>
                </c:pt>
                <c:pt idx="163">
                  <c:v>43812</c:v>
                </c:pt>
                <c:pt idx="164">
                  <c:v>43813</c:v>
                </c:pt>
                <c:pt idx="165">
                  <c:v>43814</c:v>
                </c:pt>
                <c:pt idx="166">
                  <c:v>43815</c:v>
                </c:pt>
                <c:pt idx="167">
                  <c:v>43816</c:v>
                </c:pt>
                <c:pt idx="168">
                  <c:v>43817</c:v>
                </c:pt>
                <c:pt idx="169">
                  <c:v>43818</c:v>
                </c:pt>
                <c:pt idx="170">
                  <c:v>43819</c:v>
                </c:pt>
                <c:pt idx="171">
                  <c:v>43820</c:v>
                </c:pt>
                <c:pt idx="172">
                  <c:v>43821</c:v>
                </c:pt>
                <c:pt idx="173">
                  <c:v>43822</c:v>
                </c:pt>
                <c:pt idx="174">
                  <c:v>43823</c:v>
                </c:pt>
                <c:pt idx="175">
                  <c:v>43824</c:v>
                </c:pt>
                <c:pt idx="176">
                  <c:v>43825</c:v>
                </c:pt>
                <c:pt idx="177">
                  <c:v>43826</c:v>
                </c:pt>
                <c:pt idx="178">
                  <c:v>43827</c:v>
                </c:pt>
                <c:pt idx="179">
                  <c:v>43828</c:v>
                </c:pt>
                <c:pt idx="180">
                  <c:v>43829</c:v>
                </c:pt>
                <c:pt idx="181">
                  <c:v>43830</c:v>
                </c:pt>
                <c:pt idx="182">
                  <c:v>43831</c:v>
                </c:pt>
                <c:pt idx="183">
                  <c:v>43832</c:v>
                </c:pt>
                <c:pt idx="184">
                  <c:v>43833</c:v>
                </c:pt>
                <c:pt idx="185">
                  <c:v>43834</c:v>
                </c:pt>
                <c:pt idx="186">
                  <c:v>43835</c:v>
                </c:pt>
                <c:pt idx="187">
                  <c:v>43836</c:v>
                </c:pt>
                <c:pt idx="188">
                  <c:v>43837</c:v>
                </c:pt>
                <c:pt idx="189">
                  <c:v>43838</c:v>
                </c:pt>
                <c:pt idx="190">
                  <c:v>43839</c:v>
                </c:pt>
                <c:pt idx="191">
                  <c:v>43840</c:v>
                </c:pt>
                <c:pt idx="192">
                  <c:v>43841</c:v>
                </c:pt>
                <c:pt idx="193">
                  <c:v>43842</c:v>
                </c:pt>
                <c:pt idx="194">
                  <c:v>43843</c:v>
                </c:pt>
                <c:pt idx="195">
                  <c:v>43844</c:v>
                </c:pt>
                <c:pt idx="196">
                  <c:v>43845</c:v>
                </c:pt>
                <c:pt idx="197">
                  <c:v>43846</c:v>
                </c:pt>
                <c:pt idx="198">
                  <c:v>43847</c:v>
                </c:pt>
                <c:pt idx="199">
                  <c:v>43848</c:v>
                </c:pt>
                <c:pt idx="200">
                  <c:v>43849</c:v>
                </c:pt>
                <c:pt idx="201">
                  <c:v>43850</c:v>
                </c:pt>
                <c:pt idx="202">
                  <c:v>43851</c:v>
                </c:pt>
                <c:pt idx="203">
                  <c:v>43852</c:v>
                </c:pt>
                <c:pt idx="204">
                  <c:v>43853</c:v>
                </c:pt>
                <c:pt idx="205">
                  <c:v>43854</c:v>
                </c:pt>
                <c:pt idx="206">
                  <c:v>43855</c:v>
                </c:pt>
                <c:pt idx="207">
                  <c:v>43856</c:v>
                </c:pt>
                <c:pt idx="208">
                  <c:v>43857</c:v>
                </c:pt>
                <c:pt idx="209">
                  <c:v>43858</c:v>
                </c:pt>
                <c:pt idx="210">
                  <c:v>43859</c:v>
                </c:pt>
                <c:pt idx="211">
                  <c:v>43860</c:v>
                </c:pt>
                <c:pt idx="212">
                  <c:v>43861</c:v>
                </c:pt>
                <c:pt idx="213">
                  <c:v>43862</c:v>
                </c:pt>
                <c:pt idx="214">
                  <c:v>43863</c:v>
                </c:pt>
                <c:pt idx="215">
                  <c:v>43864</c:v>
                </c:pt>
                <c:pt idx="216">
                  <c:v>43865</c:v>
                </c:pt>
                <c:pt idx="217">
                  <c:v>43866</c:v>
                </c:pt>
                <c:pt idx="218">
                  <c:v>43867</c:v>
                </c:pt>
                <c:pt idx="219">
                  <c:v>43868</c:v>
                </c:pt>
                <c:pt idx="220">
                  <c:v>43869</c:v>
                </c:pt>
                <c:pt idx="221">
                  <c:v>43870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43876</c:v>
                </c:pt>
                <c:pt idx="228">
                  <c:v>43877</c:v>
                </c:pt>
                <c:pt idx="229">
                  <c:v>43878</c:v>
                </c:pt>
                <c:pt idx="230">
                  <c:v>43879</c:v>
                </c:pt>
                <c:pt idx="231">
                  <c:v>43880</c:v>
                </c:pt>
                <c:pt idx="232">
                  <c:v>43881</c:v>
                </c:pt>
                <c:pt idx="233">
                  <c:v>43882</c:v>
                </c:pt>
                <c:pt idx="234">
                  <c:v>43883</c:v>
                </c:pt>
                <c:pt idx="235">
                  <c:v>43884</c:v>
                </c:pt>
                <c:pt idx="236">
                  <c:v>43885</c:v>
                </c:pt>
                <c:pt idx="237">
                  <c:v>43886</c:v>
                </c:pt>
                <c:pt idx="238">
                  <c:v>43887</c:v>
                </c:pt>
                <c:pt idx="239">
                  <c:v>43888</c:v>
                </c:pt>
                <c:pt idx="240">
                  <c:v>43889</c:v>
                </c:pt>
                <c:pt idx="241">
                  <c:v>43890</c:v>
                </c:pt>
                <c:pt idx="242">
                  <c:v>43891</c:v>
                </c:pt>
                <c:pt idx="243">
                  <c:v>43892</c:v>
                </c:pt>
                <c:pt idx="244">
                  <c:v>43893</c:v>
                </c:pt>
                <c:pt idx="245">
                  <c:v>43894</c:v>
                </c:pt>
                <c:pt idx="246">
                  <c:v>43895</c:v>
                </c:pt>
                <c:pt idx="247">
                  <c:v>43896</c:v>
                </c:pt>
                <c:pt idx="248">
                  <c:v>43897</c:v>
                </c:pt>
                <c:pt idx="249">
                  <c:v>43898</c:v>
                </c:pt>
                <c:pt idx="250">
                  <c:v>43899</c:v>
                </c:pt>
                <c:pt idx="251">
                  <c:v>43900</c:v>
                </c:pt>
                <c:pt idx="252">
                  <c:v>43901</c:v>
                </c:pt>
                <c:pt idx="253">
                  <c:v>43902</c:v>
                </c:pt>
                <c:pt idx="254">
                  <c:v>43903</c:v>
                </c:pt>
                <c:pt idx="255">
                  <c:v>43904</c:v>
                </c:pt>
                <c:pt idx="256">
                  <c:v>43905</c:v>
                </c:pt>
                <c:pt idx="257">
                  <c:v>43906</c:v>
                </c:pt>
                <c:pt idx="258">
                  <c:v>43907</c:v>
                </c:pt>
                <c:pt idx="259">
                  <c:v>43908</c:v>
                </c:pt>
                <c:pt idx="260">
                  <c:v>43909</c:v>
                </c:pt>
                <c:pt idx="261">
                  <c:v>43910</c:v>
                </c:pt>
                <c:pt idx="262">
                  <c:v>43911</c:v>
                </c:pt>
                <c:pt idx="263">
                  <c:v>43912</c:v>
                </c:pt>
                <c:pt idx="264">
                  <c:v>43913</c:v>
                </c:pt>
                <c:pt idx="265">
                  <c:v>43914</c:v>
                </c:pt>
                <c:pt idx="266">
                  <c:v>43915</c:v>
                </c:pt>
                <c:pt idx="267">
                  <c:v>43916</c:v>
                </c:pt>
                <c:pt idx="268">
                  <c:v>43917</c:v>
                </c:pt>
                <c:pt idx="269">
                  <c:v>43918</c:v>
                </c:pt>
                <c:pt idx="270">
                  <c:v>43919</c:v>
                </c:pt>
                <c:pt idx="271">
                  <c:v>43920</c:v>
                </c:pt>
                <c:pt idx="272">
                  <c:v>43921</c:v>
                </c:pt>
                <c:pt idx="273">
                  <c:v>43922</c:v>
                </c:pt>
                <c:pt idx="274">
                  <c:v>43923</c:v>
                </c:pt>
                <c:pt idx="275">
                  <c:v>43924</c:v>
                </c:pt>
                <c:pt idx="276">
                  <c:v>43925</c:v>
                </c:pt>
                <c:pt idx="277">
                  <c:v>43926</c:v>
                </c:pt>
                <c:pt idx="278">
                  <c:v>43927</c:v>
                </c:pt>
                <c:pt idx="279">
                  <c:v>43928</c:v>
                </c:pt>
                <c:pt idx="280">
                  <c:v>43929</c:v>
                </c:pt>
                <c:pt idx="281">
                  <c:v>43930</c:v>
                </c:pt>
                <c:pt idx="282">
                  <c:v>43931</c:v>
                </c:pt>
                <c:pt idx="283">
                  <c:v>43932</c:v>
                </c:pt>
                <c:pt idx="284">
                  <c:v>43933</c:v>
                </c:pt>
                <c:pt idx="285">
                  <c:v>43934</c:v>
                </c:pt>
                <c:pt idx="286">
                  <c:v>43935</c:v>
                </c:pt>
                <c:pt idx="287">
                  <c:v>43936</c:v>
                </c:pt>
                <c:pt idx="288">
                  <c:v>43937</c:v>
                </c:pt>
                <c:pt idx="289">
                  <c:v>43938</c:v>
                </c:pt>
                <c:pt idx="290">
                  <c:v>43939</c:v>
                </c:pt>
                <c:pt idx="291">
                  <c:v>43940</c:v>
                </c:pt>
                <c:pt idx="292">
                  <c:v>43941</c:v>
                </c:pt>
                <c:pt idx="293">
                  <c:v>43942</c:v>
                </c:pt>
                <c:pt idx="294">
                  <c:v>43943</c:v>
                </c:pt>
                <c:pt idx="295">
                  <c:v>43944</c:v>
                </c:pt>
                <c:pt idx="296">
                  <c:v>43945</c:v>
                </c:pt>
                <c:pt idx="297">
                  <c:v>43946</c:v>
                </c:pt>
                <c:pt idx="298">
                  <c:v>43947</c:v>
                </c:pt>
                <c:pt idx="299">
                  <c:v>43948</c:v>
                </c:pt>
                <c:pt idx="300">
                  <c:v>43949</c:v>
                </c:pt>
                <c:pt idx="301">
                  <c:v>43950</c:v>
                </c:pt>
                <c:pt idx="302">
                  <c:v>43951</c:v>
                </c:pt>
                <c:pt idx="303">
                  <c:v>43952</c:v>
                </c:pt>
                <c:pt idx="304">
                  <c:v>43953</c:v>
                </c:pt>
                <c:pt idx="305">
                  <c:v>43954</c:v>
                </c:pt>
                <c:pt idx="306">
                  <c:v>43955</c:v>
                </c:pt>
                <c:pt idx="307">
                  <c:v>43956</c:v>
                </c:pt>
                <c:pt idx="308">
                  <c:v>43957</c:v>
                </c:pt>
                <c:pt idx="309">
                  <c:v>43958</c:v>
                </c:pt>
                <c:pt idx="310">
                  <c:v>43959</c:v>
                </c:pt>
                <c:pt idx="311">
                  <c:v>43960</c:v>
                </c:pt>
                <c:pt idx="312">
                  <c:v>43961</c:v>
                </c:pt>
                <c:pt idx="313">
                  <c:v>43962</c:v>
                </c:pt>
                <c:pt idx="314">
                  <c:v>43963</c:v>
                </c:pt>
                <c:pt idx="315">
                  <c:v>43964</c:v>
                </c:pt>
                <c:pt idx="316">
                  <c:v>43965</c:v>
                </c:pt>
                <c:pt idx="317">
                  <c:v>43966</c:v>
                </c:pt>
                <c:pt idx="318">
                  <c:v>43967</c:v>
                </c:pt>
                <c:pt idx="319">
                  <c:v>43968</c:v>
                </c:pt>
                <c:pt idx="320">
                  <c:v>43969</c:v>
                </c:pt>
                <c:pt idx="321">
                  <c:v>43970</c:v>
                </c:pt>
                <c:pt idx="322">
                  <c:v>43971</c:v>
                </c:pt>
                <c:pt idx="323">
                  <c:v>43972</c:v>
                </c:pt>
                <c:pt idx="324">
                  <c:v>43973</c:v>
                </c:pt>
                <c:pt idx="325">
                  <c:v>43974</c:v>
                </c:pt>
                <c:pt idx="326">
                  <c:v>43975</c:v>
                </c:pt>
                <c:pt idx="327">
                  <c:v>43976</c:v>
                </c:pt>
                <c:pt idx="328">
                  <c:v>43977</c:v>
                </c:pt>
                <c:pt idx="329">
                  <c:v>43978</c:v>
                </c:pt>
                <c:pt idx="330">
                  <c:v>43979</c:v>
                </c:pt>
                <c:pt idx="331">
                  <c:v>43980</c:v>
                </c:pt>
                <c:pt idx="332">
                  <c:v>43981</c:v>
                </c:pt>
                <c:pt idx="333">
                  <c:v>43982</c:v>
                </c:pt>
                <c:pt idx="334">
                  <c:v>43983</c:v>
                </c:pt>
                <c:pt idx="335">
                  <c:v>43984</c:v>
                </c:pt>
                <c:pt idx="336">
                  <c:v>43985</c:v>
                </c:pt>
                <c:pt idx="337">
                  <c:v>43986</c:v>
                </c:pt>
                <c:pt idx="338">
                  <c:v>43987</c:v>
                </c:pt>
                <c:pt idx="339">
                  <c:v>43988</c:v>
                </c:pt>
                <c:pt idx="340">
                  <c:v>43989</c:v>
                </c:pt>
                <c:pt idx="341">
                  <c:v>43990</c:v>
                </c:pt>
                <c:pt idx="342">
                  <c:v>43991</c:v>
                </c:pt>
                <c:pt idx="343">
                  <c:v>43992</c:v>
                </c:pt>
                <c:pt idx="344">
                  <c:v>43993</c:v>
                </c:pt>
                <c:pt idx="345">
                  <c:v>43994</c:v>
                </c:pt>
                <c:pt idx="346">
                  <c:v>43995</c:v>
                </c:pt>
                <c:pt idx="347">
                  <c:v>43996</c:v>
                </c:pt>
                <c:pt idx="348">
                  <c:v>43997</c:v>
                </c:pt>
                <c:pt idx="349">
                  <c:v>43998</c:v>
                </c:pt>
                <c:pt idx="350">
                  <c:v>43999</c:v>
                </c:pt>
                <c:pt idx="351">
                  <c:v>44000</c:v>
                </c:pt>
                <c:pt idx="352">
                  <c:v>44001</c:v>
                </c:pt>
                <c:pt idx="353">
                  <c:v>44002</c:v>
                </c:pt>
                <c:pt idx="354">
                  <c:v>44003</c:v>
                </c:pt>
                <c:pt idx="355">
                  <c:v>44004</c:v>
                </c:pt>
              </c:numCache>
            </c:numRef>
          </c:cat>
          <c:val>
            <c:numRef>
              <c:f>'Daily Forward Rates'!$B$2:$B$357</c:f>
              <c:numCache>
                <c:formatCode>0.00%</c:formatCode>
                <c:ptCount val="356"/>
                <c:pt idx="0">
                  <c:v>1.9998904169657439E-2</c:v>
                </c:pt>
                <c:pt idx="1">
                  <c:v>2.024688435738442E-2</c:v>
                </c:pt>
                <c:pt idx="2">
                  <c:v>2.0494811520987422E-2</c:v>
                </c:pt>
                <c:pt idx="3">
                  <c:v>2.0742685158627872E-2</c:v>
                </c:pt>
                <c:pt idx="4">
                  <c:v>2.0990504768912954E-2</c:v>
                </c:pt>
                <c:pt idx="5">
                  <c:v>2.1238269850611946E-2</c:v>
                </c:pt>
                <c:pt idx="6">
                  <c:v>2.1485979902656216E-2</c:v>
                </c:pt>
                <c:pt idx="7">
                  <c:v>2.1733634424179749E-2</c:v>
                </c:pt>
                <c:pt idx="8">
                  <c:v>2.2129234439349776E-2</c:v>
                </c:pt>
                <c:pt idx="9">
                  <c:v>2.2409634590488947E-2</c:v>
                </c:pt>
                <c:pt idx="10">
                  <c:v>2.2689968010308759E-2</c:v>
                </c:pt>
                <c:pt idx="11">
                  <c:v>2.2970234057489991E-2</c:v>
                </c:pt>
                <c:pt idx="12">
                  <c:v>2.3250432091321271E-2</c:v>
                </c:pt>
                <c:pt idx="13">
                  <c:v>2.3530561471091227E-2</c:v>
                </c:pt>
                <c:pt idx="14">
                  <c:v>2.3810621556655809E-2</c:v>
                </c:pt>
                <c:pt idx="15">
                  <c:v>2.2704838395282145E-2</c:v>
                </c:pt>
                <c:pt idx="16">
                  <c:v>2.2811798664010841E-2</c:v>
                </c:pt>
                <c:pt idx="17">
                  <c:v>2.2918736477368085E-2</c:v>
                </c:pt>
                <c:pt idx="18">
                  <c:v>2.3025651741866993E-2</c:v>
                </c:pt>
                <c:pt idx="19">
                  <c:v>2.3132544364101726E-2</c:v>
                </c:pt>
                <c:pt idx="20">
                  <c:v>2.3239414250747492E-2</c:v>
                </c:pt>
                <c:pt idx="21">
                  <c:v>2.3346261308398453E-2</c:v>
                </c:pt>
                <c:pt idx="22">
                  <c:v>2.3453085443851385E-2</c:v>
                </c:pt>
                <c:pt idx="23">
                  <c:v>2.3559886563740973E-2</c:v>
                </c:pt>
                <c:pt idx="24">
                  <c:v>2.3666664574904517E-2</c:v>
                </c:pt>
                <c:pt idx="25">
                  <c:v>2.3773419384179317E-2</c:v>
                </c:pt>
                <c:pt idx="26">
                  <c:v>2.3880150898362151E-2</c:v>
                </c:pt>
                <c:pt idx="27">
                  <c:v>2.3986859024411888E-2</c:v>
                </c:pt>
                <c:pt idx="28">
                  <c:v>2.4093543669125306E-2</c:v>
                </c:pt>
                <c:pt idx="29">
                  <c:v>2.4200204739582842E-2</c:v>
                </c:pt>
                <c:pt idx="30">
                  <c:v>2.4306842142783891E-2</c:v>
                </c:pt>
                <c:pt idx="31">
                  <c:v>2.4413455785727844E-2</c:v>
                </c:pt>
                <c:pt idx="32">
                  <c:v>2.4520045575535665E-2</c:v>
                </c:pt>
                <c:pt idx="33">
                  <c:v>2.4626611419206745E-2</c:v>
                </c:pt>
                <c:pt idx="34">
                  <c:v>2.4043397733123917E-2</c:v>
                </c:pt>
                <c:pt idx="35">
                  <c:v>2.4110611896885348E-2</c:v>
                </c:pt>
                <c:pt idx="36">
                  <c:v>2.4177811611472699E-2</c:v>
                </c:pt>
                <c:pt idx="37">
                  <c:v>2.424499684009096E-2</c:v>
                </c:pt>
                <c:pt idx="38">
                  <c:v>2.4312167545661456E-2</c:v>
                </c:pt>
                <c:pt idx="39">
                  <c:v>2.4379323691348653E-2</c:v>
                </c:pt>
                <c:pt idx="40">
                  <c:v>2.4446465240276494E-2</c:v>
                </c:pt>
                <c:pt idx="41">
                  <c:v>2.451359215556892E-2</c:v>
                </c:pt>
                <c:pt idx="42">
                  <c:v>2.4580704400390396E-2</c:v>
                </c:pt>
                <c:pt idx="43">
                  <c:v>2.4647801937824343E-2</c:v>
                </c:pt>
                <c:pt idx="44">
                  <c:v>2.4714884731075748E-2</c:v>
                </c:pt>
                <c:pt idx="45">
                  <c:v>2.4781952743430646E-2</c:v>
                </c:pt>
                <c:pt idx="46">
                  <c:v>2.4849005937891411E-2</c:v>
                </c:pt>
                <c:pt idx="47">
                  <c:v>2.4916044277865645E-2</c:v>
                </c:pt>
                <c:pt idx="48">
                  <c:v>2.498306772643677E-2</c:v>
                </c:pt>
                <c:pt idx="49">
                  <c:v>2.5050076247012387E-2</c:v>
                </c:pt>
                <c:pt idx="50">
                  <c:v>2.5117069802675918E-2</c:v>
                </c:pt>
                <c:pt idx="51">
                  <c:v>2.5184048356753919E-2</c:v>
                </c:pt>
                <c:pt idx="52">
                  <c:v>2.5251011872613471E-2</c:v>
                </c:pt>
                <c:pt idx="53">
                  <c:v>2.5317960313540611E-2</c:v>
                </c:pt>
                <c:pt idx="54">
                  <c:v>2.5384893642740325E-2</c:v>
                </c:pt>
                <c:pt idx="55">
                  <c:v>2.5451811823701265E-2</c:v>
                </c:pt>
                <c:pt idx="56">
                  <c:v>2.5518714819628419E-2</c:v>
                </c:pt>
                <c:pt idx="57">
                  <c:v>2.5585602594010437E-2</c:v>
                </c:pt>
                <c:pt idx="58">
                  <c:v>2.5652475110173878E-2</c:v>
                </c:pt>
                <c:pt idx="59">
                  <c:v>2.5719332331445299E-2</c:v>
                </c:pt>
                <c:pt idx="60">
                  <c:v>2.5786174221394398E-2</c:v>
                </c:pt>
                <c:pt idx="61">
                  <c:v>2.5853000743226162E-2</c:v>
                </c:pt>
                <c:pt idx="62">
                  <c:v>2.5919811860631858E-2</c:v>
                </c:pt>
                <c:pt idx="63">
                  <c:v>2.5871901082705206E-2</c:v>
                </c:pt>
                <c:pt idx="64">
                  <c:v>2.5935115323336144E-2</c:v>
                </c:pt>
                <c:pt idx="65">
                  <c:v>2.5998314972232595E-2</c:v>
                </c:pt>
                <c:pt idx="66">
                  <c:v>2.6061499996489768E-2</c:v>
                </c:pt>
                <c:pt idx="67">
                  <c:v>2.6124670363486535E-2</c:v>
                </c:pt>
                <c:pt idx="68">
                  <c:v>2.6187826040601769E-2</c:v>
                </c:pt>
                <c:pt idx="69">
                  <c:v>2.6250966995092773E-2</c:v>
                </c:pt>
                <c:pt idx="70">
                  <c:v>2.6314093194459987E-2</c:v>
                </c:pt>
                <c:pt idx="71">
                  <c:v>2.6377204605839144E-2</c:v>
                </c:pt>
                <c:pt idx="72">
                  <c:v>2.6440301196690164E-2</c:v>
                </c:pt>
                <c:pt idx="73">
                  <c:v>2.6503382934513486E-2</c:v>
                </c:pt>
                <c:pt idx="74">
                  <c:v>2.6566449786647461E-2</c:v>
                </c:pt>
                <c:pt idx="75">
                  <c:v>2.6629501720470961E-2</c:v>
                </c:pt>
                <c:pt idx="76">
                  <c:v>2.6692538703403379E-2</c:v>
                </c:pt>
                <c:pt idx="77">
                  <c:v>2.6755560702985681E-2</c:v>
                </c:pt>
                <c:pt idx="78">
                  <c:v>2.6818567686556216E-2</c:v>
                </c:pt>
                <c:pt idx="79">
                  <c:v>2.6881559621696471E-2</c:v>
                </c:pt>
                <c:pt idx="80">
                  <c:v>2.6944536475947412E-2</c:v>
                </c:pt>
                <c:pt idx="81">
                  <c:v>2.7007498216566339E-2</c:v>
                </c:pt>
                <c:pt idx="82">
                  <c:v>2.7070444811256311E-2</c:v>
                </c:pt>
                <c:pt idx="83">
                  <c:v>2.7133376227517769E-2</c:v>
                </c:pt>
                <c:pt idx="84">
                  <c:v>2.7196292432932201E-2</c:v>
                </c:pt>
                <c:pt idx="85">
                  <c:v>2.7259193395081094E-2</c:v>
                </c:pt>
                <c:pt idx="86">
                  <c:v>2.7322079081302797E-2</c:v>
                </c:pt>
                <c:pt idx="87">
                  <c:v>2.7384949459381414E-2</c:v>
                </c:pt>
                <c:pt idx="88">
                  <c:v>2.7447804496979478E-2</c:v>
                </c:pt>
                <c:pt idx="89">
                  <c:v>2.7510644161597431E-2</c:v>
                </c:pt>
                <c:pt idx="90">
                  <c:v>2.757346842093833E-2</c:v>
                </c:pt>
                <c:pt idx="91">
                  <c:v>2.7636277242462093E-2</c:v>
                </c:pt>
                <c:pt idx="92">
                  <c:v>2.769907059403387E-2</c:v>
                </c:pt>
                <c:pt idx="93">
                  <c:v>2.4338834167569323E-2</c:v>
                </c:pt>
                <c:pt idx="94">
                  <c:v>2.4329288685255857E-2</c:v>
                </c:pt>
                <c:pt idx="95">
                  <c:v>2.4319744893122053E-2</c:v>
                </c:pt>
                <c:pt idx="96">
                  <c:v>2.431020279023588E-2</c:v>
                </c:pt>
                <c:pt idx="97">
                  <c:v>2.430066237611106E-2</c:v>
                </c:pt>
                <c:pt idx="98">
                  <c:v>2.4291123649896607E-2</c:v>
                </c:pt>
                <c:pt idx="99">
                  <c:v>2.428158661094415E-2</c:v>
                </c:pt>
                <c:pt idx="100">
                  <c:v>2.4272051258321659E-2</c:v>
                </c:pt>
                <c:pt idx="101">
                  <c:v>2.4262517591461807E-2</c:v>
                </c:pt>
                <c:pt idx="102">
                  <c:v>2.4252985609594657E-2</c:v>
                </c:pt>
                <c:pt idx="103">
                  <c:v>2.4243455312071838E-2</c:v>
                </c:pt>
                <c:pt idx="104">
                  <c:v>2.423392669788027E-2</c:v>
                </c:pt>
                <c:pt idx="105">
                  <c:v>2.4224399766574201E-2</c:v>
                </c:pt>
                <c:pt idx="106">
                  <c:v>2.4214874517302643E-2</c:v>
                </c:pt>
                <c:pt idx="107">
                  <c:v>2.4205350949376703E-2</c:v>
                </c:pt>
                <c:pt idx="108">
                  <c:v>2.4195829062107488E-2</c:v>
                </c:pt>
                <c:pt idx="109">
                  <c:v>2.4186308854481919E-2</c:v>
                </c:pt>
                <c:pt idx="110">
                  <c:v>2.4176790326135289E-2</c:v>
                </c:pt>
                <c:pt idx="111">
                  <c:v>2.4167273476095041E-2</c:v>
                </c:pt>
                <c:pt idx="112">
                  <c:v>2.4157758303834376E-2</c:v>
                </c:pt>
                <c:pt idx="113">
                  <c:v>2.414824480829969E-2</c:v>
                </c:pt>
                <c:pt idx="114">
                  <c:v>2.4138732989045231E-2</c:v>
                </c:pt>
                <c:pt idx="115">
                  <c:v>2.4129222845260534E-2</c:v>
                </c:pt>
                <c:pt idx="116">
                  <c:v>2.4119714376256707E-2</c:v>
                </c:pt>
                <c:pt idx="117">
                  <c:v>2.4110207581101717E-2</c:v>
                </c:pt>
                <c:pt idx="118">
                  <c:v>2.4100702459268764E-2</c:v>
                </c:pt>
                <c:pt idx="119">
                  <c:v>2.4091199009987907E-2</c:v>
                </c:pt>
                <c:pt idx="120">
                  <c:v>2.4081697232570254E-2</c:v>
                </c:pt>
                <c:pt idx="121">
                  <c:v>2.4072197126043249E-2</c:v>
                </c:pt>
                <c:pt idx="122">
                  <c:v>2.406269869000166E-2</c:v>
                </c:pt>
                <c:pt idx="123">
                  <c:v>2.4053201923472933E-2</c:v>
                </c:pt>
                <c:pt idx="124">
                  <c:v>2.404370682584922E-2</c:v>
                </c:pt>
                <c:pt idx="125">
                  <c:v>2.4034213396522675E-2</c:v>
                </c:pt>
                <c:pt idx="126">
                  <c:v>2.4024721634358648E-2</c:v>
                </c:pt>
                <c:pt idx="127">
                  <c:v>2.4015231538992432E-2</c:v>
                </c:pt>
                <c:pt idx="128">
                  <c:v>2.4005743109573041E-2</c:v>
                </c:pt>
                <c:pt idx="129">
                  <c:v>2.3996256345533151E-2</c:v>
                </c:pt>
                <c:pt idx="130">
                  <c:v>2.3986771245738114E-2</c:v>
                </c:pt>
                <c:pt idx="131">
                  <c:v>2.3977287809823222E-2</c:v>
                </c:pt>
                <c:pt idx="132">
                  <c:v>2.3967806036937489E-2</c:v>
                </c:pt>
                <c:pt idx="133">
                  <c:v>2.3958325926513591E-2</c:v>
                </c:pt>
                <c:pt idx="134">
                  <c:v>2.3948847477416879E-2</c:v>
                </c:pt>
                <c:pt idx="135">
                  <c:v>2.3939370689282646E-2</c:v>
                </c:pt>
                <c:pt idx="136">
                  <c:v>2.3929895561340953E-2</c:v>
                </c:pt>
                <c:pt idx="137">
                  <c:v>2.3920422092700289E-2</c:v>
                </c:pt>
                <c:pt idx="138">
                  <c:v>2.39109502829149E-2</c:v>
                </c:pt>
                <c:pt idx="139">
                  <c:v>2.3901480130850139E-2</c:v>
                </c:pt>
                <c:pt idx="140">
                  <c:v>2.3892011636060251E-2</c:v>
                </c:pt>
                <c:pt idx="141">
                  <c:v>2.3882544797815819E-2</c:v>
                </c:pt>
                <c:pt idx="142">
                  <c:v>2.387307961542795E-2</c:v>
                </c:pt>
                <c:pt idx="143">
                  <c:v>2.3863616087843043E-2</c:v>
                </c:pt>
                <c:pt idx="144">
                  <c:v>2.3854154214696388E-2</c:v>
                </c:pt>
                <c:pt idx="145">
                  <c:v>2.3844693995137001E-2</c:v>
                </c:pt>
                <c:pt idx="146">
                  <c:v>2.3835235428557033E-2</c:v>
                </c:pt>
                <c:pt idx="147">
                  <c:v>2.3825778513862361E-2</c:v>
                </c:pt>
                <c:pt idx="148">
                  <c:v>2.3816323250647753E-2</c:v>
                </c:pt>
                <c:pt idx="149">
                  <c:v>2.3806869638183792E-2</c:v>
                </c:pt>
                <c:pt idx="150">
                  <c:v>2.3797417675660015E-2</c:v>
                </c:pt>
                <c:pt idx="151">
                  <c:v>2.3787967362509099E-2</c:v>
                </c:pt>
                <c:pt idx="152">
                  <c:v>2.3778518697555873E-2</c:v>
                </c:pt>
                <c:pt idx="153">
                  <c:v>2.3769071680557197E-2</c:v>
                </c:pt>
                <c:pt idx="154">
                  <c:v>2.3759626310621562E-2</c:v>
                </c:pt>
                <c:pt idx="155">
                  <c:v>2.3750182587100599E-2</c:v>
                </c:pt>
                <c:pt idx="156">
                  <c:v>2.3740740508981228E-2</c:v>
                </c:pt>
                <c:pt idx="157">
                  <c:v>2.3731300075858219E-2</c:v>
                </c:pt>
                <c:pt idx="158">
                  <c:v>2.3721861286880586E-2</c:v>
                </c:pt>
                <c:pt idx="159">
                  <c:v>2.3712424141481003E-2</c:v>
                </c:pt>
                <c:pt idx="160">
                  <c:v>2.3702988638524825E-2</c:v>
                </c:pt>
                <c:pt idx="161">
                  <c:v>2.3693554777728387E-2</c:v>
                </c:pt>
                <c:pt idx="162">
                  <c:v>2.5164989482685529E-2</c:v>
                </c:pt>
                <c:pt idx="163">
                  <c:v>2.5173526991391637E-2</c:v>
                </c:pt>
                <c:pt idx="164">
                  <c:v>2.5182062449464748E-2</c:v>
                </c:pt>
                <c:pt idx="165">
                  <c:v>2.5190595856134923E-2</c:v>
                </c:pt>
                <c:pt idx="166">
                  <c:v>2.519912721099693E-2</c:v>
                </c:pt>
                <c:pt idx="167">
                  <c:v>2.5207656513321353E-2</c:v>
                </c:pt>
                <c:pt idx="168">
                  <c:v>2.5216183762621913E-2</c:v>
                </c:pt>
                <c:pt idx="169">
                  <c:v>2.5224708958290765E-2</c:v>
                </c:pt>
                <c:pt idx="170">
                  <c:v>2.5233232099760583E-2</c:v>
                </c:pt>
                <c:pt idx="171">
                  <c:v>2.5241753186382998E-2</c:v>
                </c:pt>
                <c:pt idx="172">
                  <c:v>2.5250272217712255E-2</c:v>
                </c:pt>
                <c:pt idx="173">
                  <c:v>2.5258789193018938E-2</c:v>
                </c:pt>
                <c:pt idx="174">
                  <c:v>2.5267304111816768E-2</c:v>
                </c:pt>
                <c:pt idx="175">
                  <c:v>2.5275816973457377E-2</c:v>
                </c:pt>
                <c:pt idx="176">
                  <c:v>2.5284327777454485E-2</c:v>
                </c:pt>
                <c:pt idx="177">
                  <c:v>2.5292836523159723E-2</c:v>
                </c:pt>
                <c:pt idx="178">
                  <c:v>2.5301343210005767E-2</c:v>
                </c:pt>
                <c:pt idx="179">
                  <c:v>2.5309847837425292E-2</c:v>
                </c:pt>
                <c:pt idx="180">
                  <c:v>2.5318350404850976E-2</c:v>
                </c:pt>
                <c:pt idx="181">
                  <c:v>2.5326850911634446E-2</c:v>
                </c:pt>
                <c:pt idx="182">
                  <c:v>2.5335349357289427E-2</c:v>
                </c:pt>
                <c:pt idx="183">
                  <c:v>2.5343845741167548E-2</c:v>
                </c:pt>
                <c:pt idx="184">
                  <c:v>2.5352340062742007E-2</c:v>
                </c:pt>
                <c:pt idx="185">
                  <c:v>2.5360832321242865E-2</c:v>
                </c:pt>
                <c:pt idx="186">
                  <c:v>2.53693225166296E-2</c:v>
                </c:pt>
                <c:pt idx="187">
                  <c:v>2.5377810647767562E-2</c:v>
                </c:pt>
                <c:pt idx="188">
                  <c:v>2.5386296714251522E-2</c:v>
                </c:pt>
                <c:pt idx="189">
                  <c:v>2.53947807155952E-2</c:v>
                </c:pt>
                <c:pt idx="190">
                  <c:v>2.5403262651069181E-2</c:v>
                </c:pt>
                <c:pt idx="191">
                  <c:v>2.5411742520268232E-2</c:v>
                </c:pt>
                <c:pt idx="192">
                  <c:v>2.5420220322503462E-2</c:v>
                </c:pt>
                <c:pt idx="193">
                  <c:v>2.5428696057207545E-2</c:v>
                </c:pt>
                <c:pt idx="194">
                  <c:v>2.5437169723894204E-2</c:v>
                </c:pt>
                <c:pt idx="195">
                  <c:v>2.5445641321834023E-2</c:v>
                </c:pt>
                <c:pt idx="196">
                  <c:v>2.5454110850621769E-2</c:v>
                </c:pt>
                <c:pt idx="197">
                  <c:v>2.5462578309528028E-2</c:v>
                </c:pt>
                <c:pt idx="198">
                  <c:v>2.5471043698147566E-2</c:v>
                </c:pt>
                <c:pt idx="199">
                  <c:v>2.5479507015750968E-2</c:v>
                </c:pt>
                <c:pt idx="200">
                  <c:v>2.5487968261851957E-2</c:v>
                </c:pt>
                <c:pt idx="201">
                  <c:v>2.5496427435842683E-2</c:v>
                </c:pt>
                <c:pt idx="202">
                  <c:v>2.5504884537196348E-2</c:v>
                </c:pt>
                <c:pt idx="203">
                  <c:v>2.5513339565264581E-2</c:v>
                </c:pt>
                <c:pt idx="204">
                  <c:v>2.5521792519561104E-2</c:v>
                </c:pt>
                <c:pt idx="205">
                  <c:v>2.5530243399437547E-2</c:v>
                </c:pt>
                <c:pt idx="206">
                  <c:v>2.5538692204407631E-2</c:v>
                </c:pt>
                <c:pt idx="207">
                  <c:v>2.5547138933782465E-2</c:v>
                </c:pt>
                <c:pt idx="208">
                  <c:v>2.555558358707577E-2</c:v>
                </c:pt>
                <c:pt idx="209">
                  <c:v>2.5564026163760745E-2</c:v>
                </c:pt>
                <c:pt idx="210">
                  <c:v>2.5572466663148496E-2</c:v>
                </c:pt>
                <c:pt idx="211">
                  <c:v>2.5580905084752747E-2</c:v>
                </c:pt>
                <c:pt idx="212">
                  <c:v>2.5589341427965651E-2</c:v>
                </c:pt>
                <c:pt idx="213">
                  <c:v>2.5597775692260405E-2</c:v>
                </c:pt>
                <c:pt idx="214">
                  <c:v>2.560620787698864E-2</c:v>
                </c:pt>
                <c:pt idx="215">
                  <c:v>2.5614637981664079E-2</c:v>
                </c:pt>
                <c:pt idx="216">
                  <c:v>2.5623066005678874E-2</c:v>
                </c:pt>
                <c:pt idx="217">
                  <c:v>2.5631491948506224E-2</c:v>
                </c:pt>
                <c:pt idx="218">
                  <c:v>2.563991580949776E-2</c:v>
                </c:pt>
                <c:pt idx="219">
                  <c:v>2.564833758812668E-2</c:v>
                </c:pt>
                <c:pt idx="220">
                  <c:v>2.5656757283866183E-2</c:v>
                </c:pt>
                <c:pt idx="221">
                  <c:v>2.5665174896108423E-2</c:v>
                </c:pt>
                <c:pt idx="222">
                  <c:v>2.5673590424286075E-2</c:v>
                </c:pt>
                <c:pt idx="223">
                  <c:v>2.5682003867831815E-2</c:v>
                </c:pt>
                <c:pt idx="224">
                  <c:v>2.569041522617832E-2</c:v>
                </c:pt>
                <c:pt idx="225">
                  <c:v>2.5698824498798789E-2</c:v>
                </c:pt>
                <c:pt idx="226">
                  <c:v>2.5707231685085374E-2</c:v>
                </c:pt>
                <c:pt idx="227">
                  <c:v>2.5715636784470752E-2</c:v>
                </c:pt>
                <c:pt idx="228">
                  <c:v>2.5724039796387599E-2</c:v>
                </c:pt>
                <c:pt idx="229">
                  <c:v>2.5732440720147021E-2</c:v>
                </c:pt>
                <c:pt idx="230">
                  <c:v>2.5740839555627448E-2</c:v>
                </c:pt>
                <c:pt idx="231">
                  <c:v>2.5749236301856326E-2</c:v>
                </c:pt>
                <c:pt idx="232">
                  <c:v>2.5757630958347377E-2</c:v>
                </c:pt>
                <c:pt idx="233">
                  <c:v>2.5766023524533277E-2</c:v>
                </c:pt>
                <c:pt idx="234">
                  <c:v>2.5774413999927748E-2</c:v>
                </c:pt>
                <c:pt idx="235">
                  <c:v>2.5782802383882419E-2</c:v>
                </c:pt>
                <c:pt idx="236">
                  <c:v>2.5791188675870491E-2</c:v>
                </c:pt>
                <c:pt idx="237">
                  <c:v>2.5799572875365162E-2</c:v>
                </c:pt>
                <c:pt idx="238">
                  <c:v>2.5807954981758585E-2</c:v>
                </c:pt>
                <c:pt idx="239">
                  <c:v>2.5816334994483436E-2</c:v>
                </c:pt>
                <c:pt idx="240">
                  <c:v>2.5824712913012915E-2</c:v>
                </c:pt>
                <c:pt idx="241">
                  <c:v>2.5833088736779697E-2</c:v>
                </c:pt>
                <c:pt idx="242">
                  <c:v>2.5841462465175935E-2</c:v>
                </c:pt>
                <c:pt idx="243">
                  <c:v>2.5849834097715352E-2</c:v>
                </c:pt>
                <c:pt idx="244">
                  <c:v>2.58582036337901E-2</c:v>
                </c:pt>
                <c:pt idx="245">
                  <c:v>2.5866571072832856E-2</c:v>
                </c:pt>
                <c:pt idx="246">
                  <c:v>2.5874936414276295E-2</c:v>
                </c:pt>
                <c:pt idx="247">
                  <c:v>2.588329965763414E-2</c:v>
                </c:pt>
                <c:pt idx="248">
                  <c:v>2.5891660802258021E-2</c:v>
                </c:pt>
                <c:pt idx="249">
                  <c:v>2.5900019847621136E-2</c:v>
                </c:pt>
                <c:pt idx="250">
                  <c:v>2.5908376793237209E-2</c:v>
                </c:pt>
                <c:pt idx="251">
                  <c:v>2.5916731638417345E-2</c:v>
                </c:pt>
                <c:pt idx="252">
                  <c:v>2.5925084382675267E-2</c:v>
                </c:pt>
                <c:pt idx="253">
                  <c:v>2.5965514899291553E-2</c:v>
                </c:pt>
                <c:pt idx="254">
                  <c:v>2.597411129095728E-2</c:v>
                </c:pt>
                <c:pt idx="255">
                  <c:v>2.5982705522334393E-2</c:v>
                </c:pt>
                <c:pt idx="256">
                  <c:v>2.5991297591923535E-2</c:v>
                </c:pt>
                <c:pt idx="257">
                  <c:v>2.5999887500129937E-2</c:v>
                </c:pt>
                <c:pt idx="258">
                  <c:v>2.6008475245332674E-2</c:v>
                </c:pt>
                <c:pt idx="259">
                  <c:v>2.6017060827936977E-2</c:v>
                </c:pt>
                <c:pt idx="260">
                  <c:v>2.6025644246402968E-2</c:v>
                </c:pt>
                <c:pt idx="261">
                  <c:v>2.6034225501095354E-2</c:v>
                </c:pt>
                <c:pt idx="262">
                  <c:v>2.6042804590676871E-2</c:v>
                </c:pt>
                <c:pt idx="263">
                  <c:v>2.6051381514620719E-2</c:v>
                </c:pt>
                <c:pt idx="264">
                  <c:v>2.6059956272926899E-2</c:v>
                </c:pt>
                <c:pt idx="265">
                  <c:v>2.6068528864217622E-2</c:v>
                </c:pt>
                <c:pt idx="266">
                  <c:v>2.6077099288695504E-2</c:v>
                </c:pt>
                <c:pt idx="267">
                  <c:v>2.608566754498276E-2</c:v>
                </c:pt>
                <c:pt idx="268">
                  <c:v>2.6094233633322528E-2</c:v>
                </c:pt>
                <c:pt idx="269">
                  <c:v>2.6102797552418067E-2</c:v>
                </c:pt>
                <c:pt idx="270">
                  <c:v>2.6111359301783099E-2</c:v>
                </c:pt>
                <c:pt idx="271">
                  <c:v>2.6119918881417625E-2</c:v>
                </c:pt>
                <c:pt idx="272">
                  <c:v>2.6128476289862812E-2</c:v>
                </c:pt>
                <c:pt idx="273">
                  <c:v>2.6137031527442844E-2</c:v>
                </c:pt>
                <c:pt idx="274">
                  <c:v>2.6145584592658366E-2</c:v>
                </c:pt>
                <c:pt idx="275">
                  <c:v>2.6154135485833563E-2</c:v>
                </c:pt>
                <c:pt idx="276">
                  <c:v>2.6162684205469078E-2</c:v>
                </c:pt>
                <c:pt idx="277">
                  <c:v>2.6171230751889096E-2</c:v>
                </c:pt>
                <c:pt idx="278">
                  <c:v>2.6179775123837401E-2</c:v>
                </c:pt>
                <c:pt idx="279">
                  <c:v>2.6188317320706145E-2</c:v>
                </c:pt>
                <c:pt idx="280">
                  <c:v>2.6196857342616897E-2</c:v>
                </c:pt>
                <c:pt idx="281">
                  <c:v>2.6205395188070302E-2</c:v>
                </c:pt>
                <c:pt idx="282">
                  <c:v>2.6213930857350021E-2</c:v>
                </c:pt>
                <c:pt idx="283">
                  <c:v>2.6222464349037744E-2</c:v>
                </c:pt>
                <c:pt idx="284">
                  <c:v>2.6230995663457657E-2</c:v>
                </c:pt>
                <c:pt idx="285">
                  <c:v>2.6239524798988834E-2</c:v>
                </c:pt>
                <c:pt idx="286">
                  <c:v>2.6248051756077029E-2</c:v>
                </c:pt>
                <c:pt idx="287">
                  <c:v>2.6256576533506548E-2</c:v>
                </c:pt>
                <c:pt idx="288">
                  <c:v>2.6265099130507452E-2</c:v>
                </c:pt>
                <c:pt idx="289">
                  <c:v>2.6273619547363403E-2</c:v>
                </c:pt>
                <c:pt idx="290">
                  <c:v>2.6282137782493997E-2</c:v>
                </c:pt>
                <c:pt idx="291">
                  <c:v>2.6290653836223421E-2</c:v>
                </c:pt>
                <c:pt idx="292">
                  <c:v>2.6299167707092841E-2</c:v>
                </c:pt>
                <c:pt idx="293">
                  <c:v>2.6307679395466965E-2</c:v>
                </c:pt>
                <c:pt idx="294">
                  <c:v>2.6316188899968007E-2</c:v>
                </c:pt>
                <c:pt idx="295">
                  <c:v>2.6324696220069166E-2</c:v>
                </c:pt>
                <c:pt idx="296">
                  <c:v>2.6333201355973057E-2</c:v>
                </c:pt>
                <c:pt idx="297">
                  <c:v>2.6341704306018232E-2</c:v>
                </c:pt>
                <c:pt idx="298">
                  <c:v>2.6350205070690969E-2</c:v>
                </c:pt>
                <c:pt idx="299">
                  <c:v>2.6358703648370341E-2</c:v>
                </c:pt>
                <c:pt idx="300">
                  <c:v>2.6367200039502103E-2</c:v>
                </c:pt>
                <c:pt idx="301">
                  <c:v>2.6375694242505854E-2</c:v>
                </c:pt>
                <c:pt idx="302">
                  <c:v>2.6384186257827347E-2</c:v>
                </c:pt>
                <c:pt idx="303">
                  <c:v>2.6392676084048272E-2</c:v>
                </c:pt>
                <c:pt idx="304">
                  <c:v>2.6401163720641829E-2</c:v>
                </c:pt>
                <c:pt idx="305">
                  <c:v>2.640964916789168E-2</c:v>
                </c:pt>
                <c:pt idx="306">
                  <c:v>2.6418132424014806E-2</c:v>
                </c:pt>
                <c:pt idx="307">
                  <c:v>2.6426613489578532E-2</c:v>
                </c:pt>
                <c:pt idx="308">
                  <c:v>2.6435092363002455E-2</c:v>
                </c:pt>
                <c:pt idx="309">
                  <c:v>2.644356904461076E-2</c:v>
                </c:pt>
                <c:pt idx="310">
                  <c:v>2.6452043533228276E-2</c:v>
                </c:pt>
                <c:pt idx="311">
                  <c:v>2.6460515828085063E-2</c:v>
                </c:pt>
                <c:pt idx="312">
                  <c:v>2.6468985929586353E-2</c:v>
                </c:pt>
                <c:pt idx="313">
                  <c:v>2.6477453835908604E-2</c:v>
                </c:pt>
                <c:pt idx="314">
                  <c:v>2.6485919547740711E-2</c:v>
                </c:pt>
                <c:pt idx="315">
                  <c:v>2.649438306325913E-2</c:v>
                </c:pt>
                <c:pt idx="316">
                  <c:v>2.6502844383071711E-2</c:v>
                </c:pt>
                <c:pt idx="317">
                  <c:v>2.651130350547648E-2</c:v>
                </c:pt>
                <c:pt idx="318">
                  <c:v>2.6519760431040762E-2</c:v>
                </c:pt>
                <c:pt idx="319">
                  <c:v>2.6528215158305724E-2</c:v>
                </c:pt>
                <c:pt idx="320">
                  <c:v>2.6536667686785087E-2</c:v>
                </c:pt>
                <c:pt idx="321">
                  <c:v>2.6545118016600422E-2</c:v>
                </c:pt>
                <c:pt idx="322">
                  <c:v>2.6553566146171326E-2</c:v>
                </c:pt>
                <c:pt idx="323">
                  <c:v>2.6562012076065122E-2</c:v>
                </c:pt>
                <c:pt idx="324">
                  <c:v>2.6570455804498794E-2</c:v>
                </c:pt>
                <c:pt idx="325">
                  <c:v>2.6578897332039664E-2</c:v>
                </c:pt>
                <c:pt idx="326">
                  <c:v>2.658733665710733E-2</c:v>
                </c:pt>
                <c:pt idx="327">
                  <c:v>2.6595773780147547E-2</c:v>
                </c:pt>
                <c:pt idx="328">
                  <c:v>2.6604208699701481E-2</c:v>
                </c:pt>
                <c:pt idx="329">
                  <c:v>2.6612641415323379E-2</c:v>
                </c:pt>
                <c:pt idx="330">
                  <c:v>2.6621071927256379E-2</c:v>
                </c:pt>
                <c:pt idx="331">
                  <c:v>2.6629500233717462E-2</c:v>
                </c:pt>
                <c:pt idx="332">
                  <c:v>2.6637926335355E-2</c:v>
                </c:pt>
                <c:pt idx="333">
                  <c:v>2.6646350230426497E-2</c:v>
                </c:pt>
                <c:pt idx="334">
                  <c:v>2.6654771919580322E-2</c:v>
                </c:pt>
                <c:pt idx="335">
                  <c:v>2.6663191401236075E-2</c:v>
                </c:pt>
                <c:pt idx="336">
                  <c:v>2.6671608674988523E-2</c:v>
                </c:pt>
                <c:pt idx="337">
                  <c:v>2.6680023740999759E-2</c:v>
                </c:pt>
                <c:pt idx="338">
                  <c:v>2.6688436597648857E-2</c:v>
                </c:pt>
                <c:pt idx="339">
                  <c:v>2.6696847245503141E-2</c:v>
                </c:pt>
                <c:pt idx="340">
                  <c:v>2.6705255682779594E-2</c:v>
                </c:pt>
                <c:pt idx="341">
                  <c:v>2.6713661910167108E-2</c:v>
                </c:pt>
                <c:pt idx="342">
                  <c:v>2.6722065925801619E-2</c:v>
                </c:pt>
                <c:pt idx="343">
                  <c:v>2.6730467730453067E-2</c:v>
                </c:pt>
                <c:pt idx="344">
                  <c:v>2.675392866345272E-2</c:v>
                </c:pt>
                <c:pt idx="345">
                  <c:v>2.6762411045896939E-2</c:v>
                </c:pt>
                <c:pt idx="346">
                  <c:v>2.6770891193895197E-2</c:v>
                </c:pt>
                <c:pt idx="347">
                  <c:v>2.6779369107204354E-2</c:v>
                </c:pt>
                <c:pt idx="348">
                  <c:v>2.6787844784284531E-2</c:v>
                </c:pt>
                <c:pt idx="349">
                  <c:v>2.679631822554096E-2</c:v>
                </c:pt>
                <c:pt idx="350">
                  <c:v>2.6804789430001086E-2</c:v>
                </c:pt>
                <c:pt idx="351">
                  <c:v>2.6813258397219153E-2</c:v>
                </c:pt>
                <c:pt idx="352">
                  <c:v>2.6821725126465745E-2</c:v>
                </c:pt>
                <c:pt idx="353">
                  <c:v>2.6830189617335631E-2</c:v>
                </c:pt>
                <c:pt idx="354">
                  <c:v>2.6838651869099395E-2</c:v>
                </c:pt>
                <c:pt idx="355">
                  <c:v>2.684711188155442E-2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4-4519-B643-0EE01D2F822F}"/>
            </c:ext>
          </c:extLst>
        </c:ser>
        <c:ser>
          <c:idx val="1"/>
          <c:order val="1"/>
          <c:tx>
            <c:strRef>
              <c:f>'Daily Forward Rates'!$C$1</c:f>
              <c:strCache>
                <c:ptCount val="1"/>
                <c:pt idx="0">
                  <c:v>#VALUE!</c:v>
                </c:pt>
              </c:strCache>
            </c:strRef>
          </c:tx>
          <c:marker>
            <c:symbol val="none"/>
          </c:marker>
          <c:cat>
            <c:numRef>
              <c:f>'Daily Forward Rates'!$A$2:$A$357</c:f>
              <c:numCache>
                <c:formatCode>d/m/yyyy;@</c:formatCode>
                <c:ptCount val="356"/>
                <c:pt idx="0">
                  <c:v>43649</c:v>
                </c:pt>
                <c:pt idx="1">
                  <c:v>43650</c:v>
                </c:pt>
                <c:pt idx="2">
                  <c:v>43651</c:v>
                </c:pt>
                <c:pt idx="3">
                  <c:v>43652</c:v>
                </c:pt>
                <c:pt idx="4">
                  <c:v>43653</c:v>
                </c:pt>
                <c:pt idx="5">
                  <c:v>43654</c:v>
                </c:pt>
                <c:pt idx="6">
                  <c:v>43655</c:v>
                </c:pt>
                <c:pt idx="7">
                  <c:v>43656</c:v>
                </c:pt>
                <c:pt idx="8">
                  <c:v>43657</c:v>
                </c:pt>
                <c:pt idx="9">
                  <c:v>43658</c:v>
                </c:pt>
                <c:pt idx="10">
                  <c:v>43659</c:v>
                </c:pt>
                <c:pt idx="11">
                  <c:v>43660</c:v>
                </c:pt>
                <c:pt idx="12">
                  <c:v>43661</c:v>
                </c:pt>
                <c:pt idx="13">
                  <c:v>43662</c:v>
                </c:pt>
                <c:pt idx="14">
                  <c:v>43663</c:v>
                </c:pt>
                <c:pt idx="15">
                  <c:v>43664</c:v>
                </c:pt>
                <c:pt idx="16">
                  <c:v>43665</c:v>
                </c:pt>
                <c:pt idx="17">
                  <c:v>43666</c:v>
                </c:pt>
                <c:pt idx="18">
                  <c:v>43667</c:v>
                </c:pt>
                <c:pt idx="19">
                  <c:v>43668</c:v>
                </c:pt>
                <c:pt idx="20">
                  <c:v>43669</c:v>
                </c:pt>
                <c:pt idx="21">
                  <c:v>43670</c:v>
                </c:pt>
                <c:pt idx="22">
                  <c:v>43671</c:v>
                </c:pt>
                <c:pt idx="23">
                  <c:v>43672</c:v>
                </c:pt>
                <c:pt idx="24">
                  <c:v>43673</c:v>
                </c:pt>
                <c:pt idx="25">
                  <c:v>43674</c:v>
                </c:pt>
                <c:pt idx="26">
                  <c:v>43675</c:v>
                </c:pt>
                <c:pt idx="27">
                  <c:v>43676</c:v>
                </c:pt>
                <c:pt idx="28">
                  <c:v>43677</c:v>
                </c:pt>
                <c:pt idx="29">
                  <c:v>43678</c:v>
                </c:pt>
                <c:pt idx="30">
                  <c:v>43679</c:v>
                </c:pt>
                <c:pt idx="31">
                  <c:v>43680</c:v>
                </c:pt>
                <c:pt idx="32">
                  <c:v>43681</c:v>
                </c:pt>
                <c:pt idx="33">
                  <c:v>43682</c:v>
                </c:pt>
                <c:pt idx="34">
                  <c:v>43683</c:v>
                </c:pt>
                <c:pt idx="35">
                  <c:v>43684</c:v>
                </c:pt>
                <c:pt idx="36">
                  <c:v>43685</c:v>
                </c:pt>
                <c:pt idx="37">
                  <c:v>43686</c:v>
                </c:pt>
                <c:pt idx="38">
                  <c:v>43687</c:v>
                </c:pt>
                <c:pt idx="39">
                  <c:v>43688</c:v>
                </c:pt>
                <c:pt idx="40">
                  <c:v>43689</c:v>
                </c:pt>
                <c:pt idx="41">
                  <c:v>43690</c:v>
                </c:pt>
                <c:pt idx="42">
                  <c:v>43691</c:v>
                </c:pt>
                <c:pt idx="43">
                  <c:v>43692</c:v>
                </c:pt>
                <c:pt idx="44">
                  <c:v>43693</c:v>
                </c:pt>
                <c:pt idx="45">
                  <c:v>43694</c:v>
                </c:pt>
                <c:pt idx="46">
                  <c:v>43695</c:v>
                </c:pt>
                <c:pt idx="47">
                  <c:v>43696</c:v>
                </c:pt>
                <c:pt idx="48">
                  <c:v>43697</c:v>
                </c:pt>
                <c:pt idx="49">
                  <c:v>43698</c:v>
                </c:pt>
                <c:pt idx="50">
                  <c:v>43699</c:v>
                </c:pt>
                <c:pt idx="51">
                  <c:v>43700</c:v>
                </c:pt>
                <c:pt idx="52">
                  <c:v>43701</c:v>
                </c:pt>
                <c:pt idx="53">
                  <c:v>43702</c:v>
                </c:pt>
                <c:pt idx="54">
                  <c:v>43703</c:v>
                </c:pt>
                <c:pt idx="55">
                  <c:v>43704</c:v>
                </c:pt>
                <c:pt idx="56">
                  <c:v>43705</c:v>
                </c:pt>
                <c:pt idx="57">
                  <c:v>43706</c:v>
                </c:pt>
                <c:pt idx="58">
                  <c:v>43707</c:v>
                </c:pt>
                <c:pt idx="59">
                  <c:v>43708</c:v>
                </c:pt>
                <c:pt idx="60">
                  <c:v>43709</c:v>
                </c:pt>
                <c:pt idx="61">
                  <c:v>43710</c:v>
                </c:pt>
                <c:pt idx="62">
                  <c:v>43711</c:v>
                </c:pt>
                <c:pt idx="63">
                  <c:v>43712</c:v>
                </c:pt>
                <c:pt idx="64">
                  <c:v>43713</c:v>
                </c:pt>
                <c:pt idx="65">
                  <c:v>43714</c:v>
                </c:pt>
                <c:pt idx="66">
                  <c:v>43715</c:v>
                </c:pt>
                <c:pt idx="67">
                  <c:v>43716</c:v>
                </c:pt>
                <c:pt idx="68">
                  <c:v>43717</c:v>
                </c:pt>
                <c:pt idx="69">
                  <c:v>43718</c:v>
                </c:pt>
                <c:pt idx="70">
                  <c:v>43719</c:v>
                </c:pt>
                <c:pt idx="71">
                  <c:v>43720</c:v>
                </c:pt>
                <c:pt idx="72">
                  <c:v>43721</c:v>
                </c:pt>
                <c:pt idx="73">
                  <c:v>43722</c:v>
                </c:pt>
                <c:pt idx="74">
                  <c:v>43723</c:v>
                </c:pt>
                <c:pt idx="75">
                  <c:v>43724</c:v>
                </c:pt>
                <c:pt idx="76">
                  <c:v>43725</c:v>
                </c:pt>
                <c:pt idx="77">
                  <c:v>43726</c:v>
                </c:pt>
                <c:pt idx="78">
                  <c:v>43727</c:v>
                </c:pt>
                <c:pt idx="79">
                  <c:v>43728</c:v>
                </c:pt>
                <c:pt idx="80">
                  <c:v>43729</c:v>
                </c:pt>
                <c:pt idx="81">
                  <c:v>43730</c:v>
                </c:pt>
                <c:pt idx="82">
                  <c:v>43731</c:v>
                </c:pt>
                <c:pt idx="83">
                  <c:v>43732</c:v>
                </c:pt>
                <c:pt idx="84">
                  <c:v>43733</c:v>
                </c:pt>
                <c:pt idx="85">
                  <c:v>43734</c:v>
                </c:pt>
                <c:pt idx="86">
                  <c:v>43735</c:v>
                </c:pt>
                <c:pt idx="87">
                  <c:v>43736</c:v>
                </c:pt>
                <c:pt idx="88">
                  <c:v>43737</c:v>
                </c:pt>
                <c:pt idx="89">
                  <c:v>43738</c:v>
                </c:pt>
                <c:pt idx="90">
                  <c:v>43739</c:v>
                </c:pt>
                <c:pt idx="91">
                  <c:v>43740</c:v>
                </c:pt>
                <c:pt idx="92">
                  <c:v>43741</c:v>
                </c:pt>
                <c:pt idx="93">
                  <c:v>43742</c:v>
                </c:pt>
                <c:pt idx="94">
                  <c:v>43743</c:v>
                </c:pt>
                <c:pt idx="95">
                  <c:v>43744</c:v>
                </c:pt>
                <c:pt idx="96">
                  <c:v>43745</c:v>
                </c:pt>
                <c:pt idx="97">
                  <c:v>43746</c:v>
                </c:pt>
                <c:pt idx="98">
                  <c:v>43747</c:v>
                </c:pt>
                <c:pt idx="99">
                  <c:v>43748</c:v>
                </c:pt>
                <c:pt idx="100">
                  <c:v>43749</c:v>
                </c:pt>
                <c:pt idx="101">
                  <c:v>43750</c:v>
                </c:pt>
                <c:pt idx="102">
                  <c:v>43751</c:v>
                </c:pt>
                <c:pt idx="103">
                  <c:v>43752</c:v>
                </c:pt>
                <c:pt idx="104">
                  <c:v>43753</c:v>
                </c:pt>
                <c:pt idx="105">
                  <c:v>43754</c:v>
                </c:pt>
                <c:pt idx="106">
                  <c:v>43755</c:v>
                </c:pt>
                <c:pt idx="107">
                  <c:v>43756</c:v>
                </c:pt>
                <c:pt idx="108">
                  <c:v>43757</c:v>
                </c:pt>
                <c:pt idx="109">
                  <c:v>43758</c:v>
                </c:pt>
                <c:pt idx="110">
                  <c:v>43759</c:v>
                </c:pt>
                <c:pt idx="111">
                  <c:v>43760</c:v>
                </c:pt>
                <c:pt idx="112">
                  <c:v>43761</c:v>
                </c:pt>
                <c:pt idx="113">
                  <c:v>43762</c:v>
                </c:pt>
                <c:pt idx="114">
                  <c:v>43763</c:v>
                </c:pt>
                <c:pt idx="115">
                  <c:v>43764</c:v>
                </c:pt>
                <c:pt idx="116">
                  <c:v>43765</c:v>
                </c:pt>
                <c:pt idx="117">
                  <c:v>43766</c:v>
                </c:pt>
                <c:pt idx="118">
                  <c:v>43767</c:v>
                </c:pt>
                <c:pt idx="119">
                  <c:v>43768</c:v>
                </c:pt>
                <c:pt idx="120">
                  <c:v>43769</c:v>
                </c:pt>
                <c:pt idx="121">
                  <c:v>43770</c:v>
                </c:pt>
                <c:pt idx="122">
                  <c:v>43771</c:v>
                </c:pt>
                <c:pt idx="123">
                  <c:v>43772</c:v>
                </c:pt>
                <c:pt idx="124">
                  <c:v>43773</c:v>
                </c:pt>
                <c:pt idx="125">
                  <c:v>43774</c:v>
                </c:pt>
                <c:pt idx="126">
                  <c:v>43775</c:v>
                </c:pt>
                <c:pt idx="127">
                  <c:v>43776</c:v>
                </c:pt>
                <c:pt idx="128">
                  <c:v>43777</c:v>
                </c:pt>
                <c:pt idx="129">
                  <c:v>43778</c:v>
                </c:pt>
                <c:pt idx="130">
                  <c:v>43779</c:v>
                </c:pt>
                <c:pt idx="131">
                  <c:v>43780</c:v>
                </c:pt>
                <c:pt idx="132">
                  <c:v>43781</c:v>
                </c:pt>
                <c:pt idx="133">
                  <c:v>43782</c:v>
                </c:pt>
                <c:pt idx="134">
                  <c:v>43783</c:v>
                </c:pt>
                <c:pt idx="135">
                  <c:v>43784</c:v>
                </c:pt>
                <c:pt idx="136">
                  <c:v>43785</c:v>
                </c:pt>
                <c:pt idx="137">
                  <c:v>43786</c:v>
                </c:pt>
                <c:pt idx="138">
                  <c:v>43787</c:v>
                </c:pt>
                <c:pt idx="139">
                  <c:v>43788</c:v>
                </c:pt>
                <c:pt idx="140">
                  <c:v>43789</c:v>
                </c:pt>
                <c:pt idx="141">
                  <c:v>43790</c:v>
                </c:pt>
                <c:pt idx="142">
                  <c:v>43791</c:v>
                </c:pt>
                <c:pt idx="143">
                  <c:v>43792</c:v>
                </c:pt>
                <c:pt idx="144">
                  <c:v>43793</c:v>
                </c:pt>
                <c:pt idx="145">
                  <c:v>43794</c:v>
                </c:pt>
                <c:pt idx="146">
                  <c:v>43795</c:v>
                </c:pt>
                <c:pt idx="147">
                  <c:v>43796</c:v>
                </c:pt>
                <c:pt idx="148">
                  <c:v>43797</c:v>
                </c:pt>
                <c:pt idx="149">
                  <c:v>43798</c:v>
                </c:pt>
                <c:pt idx="150">
                  <c:v>43799</c:v>
                </c:pt>
                <c:pt idx="151">
                  <c:v>43800</c:v>
                </c:pt>
                <c:pt idx="152">
                  <c:v>43801</c:v>
                </c:pt>
                <c:pt idx="153">
                  <c:v>43802</c:v>
                </c:pt>
                <c:pt idx="154">
                  <c:v>43803</c:v>
                </c:pt>
                <c:pt idx="155">
                  <c:v>43804</c:v>
                </c:pt>
                <c:pt idx="156">
                  <c:v>43805</c:v>
                </c:pt>
                <c:pt idx="157">
                  <c:v>43806</c:v>
                </c:pt>
                <c:pt idx="158">
                  <c:v>43807</c:v>
                </c:pt>
                <c:pt idx="159">
                  <c:v>43808</c:v>
                </c:pt>
                <c:pt idx="160">
                  <c:v>43809</c:v>
                </c:pt>
                <c:pt idx="161">
                  <c:v>43810</c:v>
                </c:pt>
                <c:pt idx="162">
                  <c:v>43811</c:v>
                </c:pt>
                <c:pt idx="163">
                  <c:v>43812</c:v>
                </c:pt>
                <c:pt idx="164">
                  <c:v>43813</c:v>
                </c:pt>
                <c:pt idx="165">
                  <c:v>43814</c:v>
                </c:pt>
                <c:pt idx="166">
                  <c:v>43815</c:v>
                </c:pt>
                <c:pt idx="167">
                  <c:v>43816</c:v>
                </c:pt>
                <c:pt idx="168">
                  <c:v>43817</c:v>
                </c:pt>
                <c:pt idx="169">
                  <c:v>43818</c:v>
                </c:pt>
                <c:pt idx="170">
                  <c:v>43819</c:v>
                </c:pt>
                <c:pt idx="171">
                  <c:v>43820</c:v>
                </c:pt>
                <c:pt idx="172">
                  <c:v>43821</c:v>
                </c:pt>
                <c:pt idx="173">
                  <c:v>43822</c:v>
                </c:pt>
                <c:pt idx="174">
                  <c:v>43823</c:v>
                </c:pt>
                <c:pt idx="175">
                  <c:v>43824</c:v>
                </c:pt>
                <c:pt idx="176">
                  <c:v>43825</c:v>
                </c:pt>
                <c:pt idx="177">
                  <c:v>43826</c:v>
                </c:pt>
                <c:pt idx="178">
                  <c:v>43827</c:v>
                </c:pt>
                <c:pt idx="179">
                  <c:v>43828</c:v>
                </c:pt>
                <c:pt idx="180">
                  <c:v>43829</c:v>
                </c:pt>
                <c:pt idx="181">
                  <c:v>43830</c:v>
                </c:pt>
                <c:pt idx="182">
                  <c:v>43831</c:v>
                </c:pt>
                <c:pt idx="183">
                  <c:v>43832</c:v>
                </c:pt>
                <c:pt idx="184">
                  <c:v>43833</c:v>
                </c:pt>
                <c:pt idx="185">
                  <c:v>43834</c:v>
                </c:pt>
                <c:pt idx="186">
                  <c:v>43835</c:v>
                </c:pt>
                <c:pt idx="187">
                  <c:v>43836</c:v>
                </c:pt>
                <c:pt idx="188">
                  <c:v>43837</c:v>
                </c:pt>
                <c:pt idx="189">
                  <c:v>43838</c:v>
                </c:pt>
                <c:pt idx="190">
                  <c:v>43839</c:v>
                </c:pt>
                <c:pt idx="191">
                  <c:v>43840</c:v>
                </c:pt>
                <c:pt idx="192">
                  <c:v>43841</c:v>
                </c:pt>
                <c:pt idx="193">
                  <c:v>43842</c:v>
                </c:pt>
                <c:pt idx="194">
                  <c:v>43843</c:v>
                </c:pt>
                <c:pt idx="195">
                  <c:v>43844</c:v>
                </c:pt>
                <c:pt idx="196">
                  <c:v>43845</c:v>
                </c:pt>
                <c:pt idx="197">
                  <c:v>43846</c:v>
                </c:pt>
                <c:pt idx="198">
                  <c:v>43847</c:v>
                </c:pt>
                <c:pt idx="199">
                  <c:v>43848</c:v>
                </c:pt>
                <c:pt idx="200">
                  <c:v>43849</c:v>
                </c:pt>
                <c:pt idx="201">
                  <c:v>43850</c:v>
                </c:pt>
                <c:pt idx="202">
                  <c:v>43851</c:v>
                </c:pt>
                <c:pt idx="203">
                  <c:v>43852</c:v>
                </c:pt>
                <c:pt idx="204">
                  <c:v>43853</c:v>
                </c:pt>
                <c:pt idx="205">
                  <c:v>43854</c:v>
                </c:pt>
                <c:pt idx="206">
                  <c:v>43855</c:v>
                </c:pt>
                <c:pt idx="207">
                  <c:v>43856</c:v>
                </c:pt>
                <c:pt idx="208">
                  <c:v>43857</c:v>
                </c:pt>
                <c:pt idx="209">
                  <c:v>43858</c:v>
                </c:pt>
                <c:pt idx="210">
                  <c:v>43859</c:v>
                </c:pt>
                <c:pt idx="211">
                  <c:v>43860</c:v>
                </c:pt>
                <c:pt idx="212">
                  <c:v>43861</c:v>
                </c:pt>
                <c:pt idx="213">
                  <c:v>43862</c:v>
                </c:pt>
                <c:pt idx="214">
                  <c:v>43863</c:v>
                </c:pt>
                <c:pt idx="215">
                  <c:v>43864</c:v>
                </c:pt>
                <c:pt idx="216">
                  <c:v>43865</c:v>
                </c:pt>
                <c:pt idx="217">
                  <c:v>43866</c:v>
                </c:pt>
                <c:pt idx="218">
                  <c:v>43867</c:v>
                </c:pt>
                <c:pt idx="219">
                  <c:v>43868</c:v>
                </c:pt>
                <c:pt idx="220">
                  <c:v>43869</c:v>
                </c:pt>
                <c:pt idx="221">
                  <c:v>43870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43876</c:v>
                </c:pt>
                <c:pt idx="228">
                  <c:v>43877</c:v>
                </c:pt>
                <c:pt idx="229">
                  <c:v>43878</c:v>
                </c:pt>
                <c:pt idx="230">
                  <c:v>43879</c:v>
                </c:pt>
                <c:pt idx="231">
                  <c:v>43880</c:v>
                </c:pt>
                <c:pt idx="232">
                  <c:v>43881</c:v>
                </c:pt>
                <c:pt idx="233">
                  <c:v>43882</c:v>
                </c:pt>
                <c:pt idx="234">
                  <c:v>43883</c:v>
                </c:pt>
                <c:pt idx="235">
                  <c:v>43884</c:v>
                </c:pt>
                <c:pt idx="236">
                  <c:v>43885</c:v>
                </c:pt>
                <c:pt idx="237">
                  <c:v>43886</c:v>
                </c:pt>
                <c:pt idx="238">
                  <c:v>43887</c:v>
                </c:pt>
                <c:pt idx="239">
                  <c:v>43888</c:v>
                </c:pt>
                <c:pt idx="240">
                  <c:v>43889</c:v>
                </c:pt>
                <c:pt idx="241">
                  <c:v>43890</c:v>
                </c:pt>
                <c:pt idx="242">
                  <c:v>43891</c:v>
                </c:pt>
                <c:pt idx="243">
                  <c:v>43892</c:v>
                </c:pt>
                <c:pt idx="244">
                  <c:v>43893</c:v>
                </c:pt>
                <c:pt idx="245">
                  <c:v>43894</c:v>
                </c:pt>
                <c:pt idx="246">
                  <c:v>43895</c:v>
                </c:pt>
                <c:pt idx="247">
                  <c:v>43896</c:v>
                </c:pt>
                <c:pt idx="248">
                  <c:v>43897</c:v>
                </c:pt>
                <c:pt idx="249">
                  <c:v>43898</c:v>
                </c:pt>
                <c:pt idx="250">
                  <c:v>43899</c:v>
                </c:pt>
                <c:pt idx="251">
                  <c:v>43900</c:v>
                </c:pt>
                <c:pt idx="252">
                  <c:v>43901</c:v>
                </c:pt>
                <c:pt idx="253">
                  <c:v>43902</c:v>
                </c:pt>
                <c:pt idx="254">
                  <c:v>43903</c:v>
                </c:pt>
                <c:pt idx="255">
                  <c:v>43904</c:v>
                </c:pt>
                <c:pt idx="256">
                  <c:v>43905</c:v>
                </c:pt>
                <c:pt idx="257">
                  <c:v>43906</c:v>
                </c:pt>
                <c:pt idx="258">
                  <c:v>43907</c:v>
                </c:pt>
                <c:pt idx="259">
                  <c:v>43908</c:v>
                </c:pt>
                <c:pt idx="260">
                  <c:v>43909</c:v>
                </c:pt>
                <c:pt idx="261">
                  <c:v>43910</c:v>
                </c:pt>
                <c:pt idx="262">
                  <c:v>43911</c:v>
                </c:pt>
                <c:pt idx="263">
                  <c:v>43912</c:v>
                </c:pt>
                <c:pt idx="264">
                  <c:v>43913</c:v>
                </c:pt>
                <c:pt idx="265">
                  <c:v>43914</c:v>
                </c:pt>
                <c:pt idx="266">
                  <c:v>43915</c:v>
                </c:pt>
                <c:pt idx="267">
                  <c:v>43916</c:v>
                </c:pt>
                <c:pt idx="268">
                  <c:v>43917</c:v>
                </c:pt>
                <c:pt idx="269">
                  <c:v>43918</c:v>
                </c:pt>
                <c:pt idx="270">
                  <c:v>43919</c:v>
                </c:pt>
                <c:pt idx="271">
                  <c:v>43920</c:v>
                </c:pt>
                <c:pt idx="272">
                  <c:v>43921</c:v>
                </c:pt>
                <c:pt idx="273">
                  <c:v>43922</c:v>
                </c:pt>
                <c:pt idx="274">
                  <c:v>43923</c:v>
                </c:pt>
                <c:pt idx="275">
                  <c:v>43924</c:v>
                </c:pt>
                <c:pt idx="276">
                  <c:v>43925</c:v>
                </c:pt>
                <c:pt idx="277">
                  <c:v>43926</c:v>
                </c:pt>
                <c:pt idx="278">
                  <c:v>43927</c:v>
                </c:pt>
                <c:pt idx="279">
                  <c:v>43928</c:v>
                </c:pt>
                <c:pt idx="280">
                  <c:v>43929</c:v>
                </c:pt>
                <c:pt idx="281">
                  <c:v>43930</c:v>
                </c:pt>
                <c:pt idx="282">
                  <c:v>43931</c:v>
                </c:pt>
                <c:pt idx="283">
                  <c:v>43932</c:v>
                </c:pt>
                <c:pt idx="284">
                  <c:v>43933</c:v>
                </c:pt>
                <c:pt idx="285">
                  <c:v>43934</c:v>
                </c:pt>
                <c:pt idx="286">
                  <c:v>43935</c:v>
                </c:pt>
                <c:pt idx="287">
                  <c:v>43936</c:v>
                </c:pt>
                <c:pt idx="288">
                  <c:v>43937</c:v>
                </c:pt>
                <c:pt idx="289">
                  <c:v>43938</c:v>
                </c:pt>
                <c:pt idx="290">
                  <c:v>43939</c:v>
                </c:pt>
                <c:pt idx="291">
                  <c:v>43940</c:v>
                </c:pt>
                <c:pt idx="292">
                  <c:v>43941</c:v>
                </c:pt>
                <c:pt idx="293">
                  <c:v>43942</c:v>
                </c:pt>
                <c:pt idx="294">
                  <c:v>43943</c:v>
                </c:pt>
                <c:pt idx="295">
                  <c:v>43944</c:v>
                </c:pt>
                <c:pt idx="296">
                  <c:v>43945</c:v>
                </c:pt>
                <c:pt idx="297">
                  <c:v>43946</c:v>
                </c:pt>
                <c:pt idx="298">
                  <c:v>43947</c:v>
                </c:pt>
                <c:pt idx="299">
                  <c:v>43948</c:v>
                </c:pt>
                <c:pt idx="300">
                  <c:v>43949</c:v>
                </c:pt>
                <c:pt idx="301">
                  <c:v>43950</c:v>
                </c:pt>
                <c:pt idx="302">
                  <c:v>43951</c:v>
                </c:pt>
                <c:pt idx="303">
                  <c:v>43952</c:v>
                </c:pt>
                <c:pt idx="304">
                  <c:v>43953</c:v>
                </c:pt>
                <c:pt idx="305">
                  <c:v>43954</c:v>
                </c:pt>
                <c:pt idx="306">
                  <c:v>43955</c:v>
                </c:pt>
                <c:pt idx="307">
                  <c:v>43956</c:v>
                </c:pt>
                <c:pt idx="308">
                  <c:v>43957</c:v>
                </c:pt>
                <c:pt idx="309">
                  <c:v>43958</c:v>
                </c:pt>
                <c:pt idx="310">
                  <c:v>43959</c:v>
                </c:pt>
                <c:pt idx="311">
                  <c:v>43960</c:v>
                </c:pt>
                <c:pt idx="312">
                  <c:v>43961</c:v>
                </c:pt>
                <c:pt idx="313">
                  <c:v>43962</c:v>
                </c:pt>
                <c:pt idx="314">
                  <c:v>43963</c:v>
                </c:pt>
                <c:pt idx="315">
                  <c:v>43964</c:v>
                </c:pt>
                <c:pt idx="316">
                  <c:v>43965</c:v>
                </c:pt>
                <c:pt idx="317">
                  <c:v>43966</c:v>
                </c:pt>
                <c:pt idx="318">
                  <c:v>43967</c:v>
                </c:pt>
                <c:pt idx="319">
                  <c:v>43968</c:v>
                </c:pt>
                <c:pt idx="320">
                  <c:v>43969</c:v>
                </c:pt>
                <c:pt idx="321">
                  <c:v>43970</c:v>
                </c:pt>
                <c:pt idx="322">
                  <c:v>43971</c:v>
                </c:pt>
                <c:pt idx="323">
                  <c:v>43972</c:v>
                </c:pt>
                <c:pt idx="324">
                  <c:v>43973</c:v>
                </c:pt>
                <c:pt idx="325">
                  <c:v>43974</c:v>
                </c:pt>
                <c:pt idx="326">
                  <c:v>43975</c:v>
                </c:pt>
                <c:pt idx="327">
                  <c:v>43976</c:v>
                </c:pt>
                <c:pt idx="328">
                  <c:v>43977</c:v>
                </c:pt>
                <c:pt idx="329">
                  <c:v>43978</c:v>
                </c:pt>
                <c:pt idx="330">
                  <c:v>43979</c:v>
                </c:pt>
                <c:pt idx="331">
                  <c:v>43980</c:v>
                </c:pt>
                <c:pt idx="332">
                  <c:v>43981</c:v>
                </c:pt>
                <c:pt idx="333">
                  <c:v>43982</c:v>
                </c:pt>
                <c:pt idx="334">
                  <c:v>43983</c:v>
                </c:pt>
                <c:pt idx="335">
                  <c:v>43984</c:v>
                </c:pt>
                <c:pt idx="336">
                  <c:v>43985</c:v>
                </c:pt>
                <c:pt idx="337">
                  <c:v>43986</c:v>
                </c:pt>
                <c:pt idx="338">
                  <c:v>43987</c:v>
                </c:pt>
                <c:pt idx="339">
                  <c:v>43988</c:v>
                </c:pt>
                <c:pt idx="340">
                  <c:v>43989</c:v>
                </c:pt>
                <c:pt idx="341">
                  <c:v>43990</c:v>
                </c:pt>
                <c:pt idx="342">
                  <c:v>43991</c:v>
                </c:pt>
                <c:pt idx="343">
                  <c:v>43992</c:v>
                </c:pt>
                <c:pt idx="344">
                  <c:v>43993</c:v>
                </c:pt>
                <c:pt idx="345">
                  <c:v>43994</c:v>
                </c:pt>
                <c:pt idx="346">
                  <c:v>43995</c:v>
                </c:pt>
                <c:pt idx="347">
                  <c:v>43996</c:v>
                </c:pt>
                <c:pt idx="348">
                  <c:v>43997</c:v>
                </c:pt>
                <c:pt idx="349">
                  <c:v>43998</c:v>
                </c:pt>
                <c:pt idx="350">
                  <c:v>43999</c:v>
                </c:pt>
                <c:pt idx="351">
                  <c:v>44000</c:v>
                </c:pt>
                <c:pt idx="352">
                  <c:v>44001</c:v>
                </c:pt>
                <c:pt idx="353">
                  <c:v>44002</c:v>
                </c:pt>
                <c:pt idx="354">
                  <c:v>44003</c:v>
                </c:pt>
                <c:pt idx="355">
                  <c:v>44004</c:v>
                </c:pt>
              </c:numCache>
            </c:numRef>
          </c:cat>
          <c:val>
            <c:numRef>
              <c:f>'Daily Forward Rates'!$C$2:$C$357</c:f>
              <c:numCache>
                <c:formatCode>0.00%</c:formatCode>
                <c:ptCount val="3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4-4519-B643-0EE01D2F822F}"/>
            </c:ext>
          </c:extLst>
        </c:ser>
        <c:ser>
          <c:idx val="2"/>
          <c:order val="2"/>
          <c:tx>
            <c:strRef>
              <c:f>'Daily Forward Rates'!$E$1</c:f>
              <c:strCache>
                <c:ptCount val="1"/>
                <c:pt idx="0">
                  <c:v>Market.LIVE.RateCurve.GBP-LIBOR-BBA-3M</c:v>
                </c:pt>
              </c:strCache>
            </c:strRef>
          </c:tx>
          <c:marker>
            <c:symbol val="none"/>
          </c:marker>
          <c:val>
            <c:numRef>
              <c:f>'Daily Forward Rates'!$E$2:$E$357</c:f>
              <c:numCache>
                <c:formatCode>0.00%</c:formatCode>
                <c:ptCount val="356"/>
                <c:pt idx="0">
                  <c:v>7.248560217485378E-2</c:v>
                </c:pt>
                <c:pt idx="1">
                  <c:v>7.5565160760132088E-2</c:v>
                </c:pt>
                <c:pt idx="2">
                  <c:v>7.5549513560942971E-2</c:v>
                </c:pt>
                <c:pt idx="3">
                  <c:v>7.5533869601741022E-2</c:v>
                </c:pt>
                <c:pt idx="4">
                  <c:v>7.5518228881958915E-2</c:v>
                </c:pt>
                <c:pt idx="5">
                  <c:v>7.5502591400826713E-2</c:v>
                </c:pt>
                <c:pt idx="6">
                  <c:v>7.5486957157817614E-2</c:v>
                </c:pt>
                <c:pt idx="7">
                  <c:v>7.724531908667398E-2</c:v>
                </c:pt>
                <c:pt idx="8">
                  <c:v>7.7228948005486631E-2</c:v>
                </c:pt>
                <c:pt idx="9">
                  <c:v>7.7212580393850039E-2</c:v>
                </c:pt>
                <c:pt idx="10">
                  <c:v>7.7196216251156358E-2</c:v>
                </c:pt>
                <c:pt idx="11">
                  <c:v>7.7179855576554601E-2</c:v>
                </c:pt>
                <c:pt idx="12">
                  <c:v>7.7163498369477446E-2</c:v>
                </c:pt>
                <c:pt idx="13">
                  <c:v>7.7147144628992859E-2</c:v>
                </c:pt>
                <c:pt idx="14">
                  <c:v>7.6938029033149502E-2</c:v>
                </c:pt>
                <c:pt idx="15">
                  <c:v>7.6921763829648215E-2</c:v>
                </c:pt>
                <c:pt idx="16">
                  <c:v>7.690550206477853E-2</c:v>
                </c:pt>
                <c:pt idx="17">
                  <c:v>7.6889243737648938E-2</c:v>
                </c:pt>
                <c:pt idx="18">
                  <c:v>7.687298884777316E-2</c:v>
                </c:pt>
                <c:pt idx="19">
                  <c:v>7.6856737394178642E-2</c:v>
                </c:pt>
                <c:pt idx="20">
                  <c:v>7.6840489376257537E-2</c:v>
                </c:pt>
                <c:pt idx="21">
                  <c:v>7.682424479332095E-2</c:v>
                </c:pt>
                <c:pt idx="22">
                  <c:v>7.6808003644598943E-2</c:v>
                </c:pt>
                <c:pt idx="23">
                  <c:v>7.6791765929321576E-2</c:v>
                </c:pt>
                <c:pt idx="24">
                  <c:v>7.6775531646799955E-2</c:v>
                </c:pt>
                <c:pt idx="25">
                  <c:v>7.6759300796345187E-2</c:v>
                </c:pt>
                <c:pt idx="26">
                  <c:v>7.6743073377187332E-2</c:v>
                </c:pt>
                <c:pt idx="27">
                  <c:v>7.6726849388637497E-2</c:v>
                </c:pt>
                <c:pt idx="28">
                  <c:v>7.6710628829885219E-2</c:v>
                </c:pt>
                <c:pt idx="29">
                  <c:v>7.6694411700282128E-2</c:v>
                </c:pt>
                <c:pt idx="30">
                  <c:v>7.667819799913933E-2</c:v>
                </c:pt>
                <c:pt idx="31">
                  <c:v>7.6661987725646363E-2</c:v>
                </c:pt>
                <c:pt idx="32">
                  <c:v>7.664578087907381E-2</c:v>
                </c:pt>
                <c:pt idx="33">
                  <c:v>7.5068679545982064E-2</c:v>
                </c:pt>
                <c:pt idx="34">
                  <c:v>7.5053132797701094E-2</c:v>
                </c:pt>
                <c:pt idx="35">
                  <c:v>7.5037589269145721E-2</c:v>
                </c:pt>
                <c:pt idx="36">
                  <c:v>7.5022048959708099E-2</c:v>
                </c:pt>
                <c:pt idx="37">
                  <c:v>7.5006511868618286E-2</c:v>
                </c:pt>
                <c:pt idx="38">
                  <c:v>7.4990977995308961E-2</c:v>
                </c:pt>
                <c:pt idx="39">
                  <c:v>7.4975447339010182E-2</c:v>
                </c:pt>
                <c:pt idx="40">
                  <c:v>7.4959919899195149E-2</c:v>
                </c:pt>
                <c:pt idx="41">
                  <c:v>7.4944395675053399E-2</c:v>
                </c:pt>
                <c:pt idx="42">
                  <c:v>7.4928874666017609E-2</c:v>
                </c:pt>
                <c:pt idx="43">
                  <c:v>7.4913356871358361E-2</c:v>
                </c:pt>
                <c:pt idx="44">
                  <c:v>7.4897842290467809E-2</c:v>
                </c:pt>
                <c:pt idx="45">
                  <c:v>7.4882330922657059E-2</c:v>
                </c:pt>
                <c:pt idx="46">
                  <c:v>7.4866822767237218E-2</c:v>
                </c:pt>
                <c:pt idx="47">
                  <c:v>7.4851317823559915E-2</c:v>
                </c:pt>
                <c:pt idx="48">
                  <c:v>7.4835816090936258E-2</c:v>
                </c:pt>
                <c:pt idx="49">
                  <c:v>7.4820317568798922E-2</c:v>
                </c:pt>
                <c:pt idx="50">
                  <c:v>7.4804822256337444E-2</c:v>
                </c:pt>
                <c:pt idx="51">
                  <c:v>7.4789330153025024E-2</c:v>
                </c:pt>
                <c:pt idx="52">
                  <c:v>7.4773841258091722E-2</c:v>
                </c:pt>
                <c:pt idx="53">
                  <c:v>7.4758355570889168E-2</c:v>
                </c:pt>
                <c:pt idx="54">
                  <c:v>7.4742873090850037E-2</c:v>
                </c:pt>
                <c:pt idx="55">
                  <c:v>7.4727393817163867E-2</c:v>
                </c:pt>
                <c:pt idx="56">
                  <c:v>7.4711917749303858E-2</c:v>
                </c:pt>
                <c:pt idx="57">
                  <c:v>7.4696444886500069E-2</c:v>
                </c:pt>
                <c:pt idx="58">
                  <c:v>7.4680975228144653E-2</c:v>
                </c:pt>
                <c:pt idx="59">
                  <c:v>7.4665508773548717E-2</c:v>
                </c:pt>
                <c:pt idx="60">
                  <c:v>7.465004552206389E-2</c:v>
                </c:pt>
                <c:pt idx="61">
                  <c:v>7.4634585473041803E-2</c:v>
                </c:pt>
                <c:pt idx="62">
                  <c:v>7.4524103518346929E-2</c:v>
                </c:pt>
                <c:pt idx="63">
                  <c:v>7.4508689206618239E-2</c:v>
                </c:pt>
                <c:pt idx="64">
                  <c:v>7.4493278083128667E-2</c:v>
                </c:pt>
                <c:pt idx="65">
                  <c:v>7.4477870147189318E-2</c:v>
                </c:pt>
                <c:pt idx="66">
                  <c:v>7.4462465398232869E-2</c:v>
                </c:pt>
                <c:pt idx="67">
                  <c:v>7.4447063835529903E-2</c:v>
                </c:pt>
                <c:pt idx="68">
                  <c:v>7.443166545843205E-2</c:v>
                </c:pt>
                <c:pt idx="69">
                  <c:v>7.4416270266250417E-2</c:v>
                </c:pt>
                <c:pt idx="70">
                  <c:v>7.4400878258377157E-2</c:v>
                </c:pt>
                <c:pt idx="71">
                  <c:v>7.4385489434123375E-2</c:v>
                </c:pt>
                <c:pt idx="72">
                  <c:v>7.4370103792881226E-2</c:v>
                </c:pt>
                <c:pt idx="73">
                  <c:v>7.4354721333921292E-2</c:v>
                </c:pt>
                <c:pt idx="74">
                  <c:v>7.4339342056635727E-2</c:v>
                </c:pt>
                <c:pt idx="75">
                  <c:v>7.4323965960335636E-2</c:v>
                </c:pt>
                <c:pt idx="76">
                  <c:v>7.4308593044332127E-2</c:v>
                </c:pt>
                <c:pt idx="77">
                  <c:v>7.4293223308098399E-2</c:v>
                </c:pt>
                <c:pt idx="78">
                  <c:v>7.427785675082399E-2</c:v>
                </c:pt>
                <c:pt idx="79">
                  <c:v>7.4262493371941574E-2</c:v>
                </c:pt>
                <c:pt idx="80">
                  <c:v>7.4247133170721735E-2</c:v>
                </c:pt>
                <c:pt idx="81">
                  <c:v>7.4231776146637674E-2</c:v>
                </c:pt>
                <c:pt idx="82">
                  <c:v>7.4216422298878926E-2</c:v>
                </c:pt>
                <c:pt idx="83">
                  <c:v>7.4201071626878168E-2</c:v>
                </c:pt>
                <c:pt idx="84">
                  <c:v>7.418572412998703E-2</c:v>
                </c:pt>
                <c:pt idx="85">
                  <c:v>7.4170379807476094E-2</c:v>
                </c:pt>
                <c:pt idx="86">
                  <c:v>7.4155038658737515E-2</c:v>
                </c:pt>
                <c:pt idx="87">
                  <c:v>7.4139700683163445E-2</c:v>
                </c:pt>
                <c:pt idx="88">
                  <c:v>7.4124365879983944E-2</c:v>
                </c:pt>
                <c:pt idx="89">
                  <c:v>7.4109034248591166E-2</c:v>
                </c:pt>
                <c:pt idx="90">
                  <c:v>7.4093705788417785E-2</c:v>
                </c:pt>
                <c:pt idx="91">
                  <c:v>7.407838049865334E-2</c:v>
                </c:pt>
                <c:pt idx="92">
                  <c:v>7.5404435133780701E-2</c:v>
                </c:pt>
                <c:pt idx="93">
                  <c:v>7.5388556266553497E-2</c:v>
                </c:pt>
                <c:pt idx="94">
                  <c:v>7.5372680743133746E-2</c:v>
                </c:pt>
                <c:pt idx="95">
                  <c:v>7.5356808562832556E-2</c:v>
                </c:pt>
                <c:pt idx="96">
                  <c:v>7.5340939724961031E-2</c:v>
                </c:pt>
                <c:pt idx="97">
                  <c:v>7.5325074228749234E-2</c:v>
                </c:pt>
                <c:pt idx="98">
                  <c:v>7.5309212073548792E-2</c:v>
                </c:pt>
                <c:pt idx="99">
                  <c:v>7.5293353258670814E-2</c:v>
                </c:pt>
                <c:pt idx="100">
                  <c:v>7.5277497783385883E-2</c:v>
                </c:pt>
                <c:pt idx="101">
                  <c:v>7.5261645646924058E-2</c:v>
                </c:pt>
                <c:pt idx="102">
                  <c:v>7.5245796848718016E-2</c:v>
                </c:pt>
                <c:pt idx="103">
                  <c:v>7.5229951387957295E-2</c:v>
                </c:pt>
                <c:pt idx="104">
                  <c:v>7.5214109263993523E-2</c:v>
                </c:pt>
                <c:pt idx="105">
                  <c:v>7.5198270476097284E-2</c:v>
                </c:pt>
                <c:pt idx="106">
                  <c:v>7.5182435023579686E-2</c:v>
                </c:pt>
                <c:pt idx="107">
                  <c:v>7.5166602905751834E-2</c:v>
                </c:pt>
                <c:pt idx="108">
                  <c:v>7.5150774121843789E-2</c:v>
                </c:pt>
                <c:pt idx="109">
                  <c:v>7.5134948671247703E-2</c:v>
                </c:pt>
                <c:pt idx="110">
                  <c:v>7.5119126553193638E-2</c:v>
                </c:pt>
                <c:pt idx="111">
                  <c:v>7.5103307767033223E-2</c:v>
                </c:pt>
                <c:pt idx="112">
                  <c:v>7.5087492311996518E-2</c:v>
                </c:pt>
                <c:pt idx="113">
                  <c:v>7.5071680187435152E-2</c:v>
                </c:pt>
                <c:pt idx="114">
                  <c:v>7.5055871392660234E-2</c:v>
                </c:pt>
                <c:pt idx="115">
                  <c:v>7.5040065926901822E-2</c:v>
                </c:pt>
                <c:pt idx="116">
                  <c:v>7.5024263789511547E-2</c:v>
                </c:pt>
                <c:pt idx="117">
                  <c:v>7.5008464979800515E-2</c:v>
                </c:pt>
                <c:pt idx="118">
                  <c:v>7.4992669496998787E-2</c:v>
                </c:pt>
                <c:pt idx="119">
                  <c:v>7.4976877340539039E-2</c:v>
                </c:pt>
                <c:pt idx="120">
                  <c:v>7.4961088509529761E-2</c:v>
                </c:pt>
                <c:pt idx="121">
                  <c:v>7.4945303003444153E-2</c:v>
                </c:pt>
                <c:pt idx="122">
                  <c:v>7.4929520821471751E-2</c:v>
                </c:pt>
                <c:pt idx="123">
                  <c:v>7.4913741962964187E-2</c:v>
                </c:pt>
                <c:pt idx="124">
                  <c:v>7.4897966427232565E-2</c:v>
                </c:pt>
                <c:pt idx="125">
                  <c:v>7.4882194213547471E-2</c:v>
                </c:pt>
                <c:pt idx="126">
                  <c:v>7.4866425321220009E-2</c:v>
                </c:pt>
                <c:pt idx="127">
                  <c:v>7.4850659749520765E-2</c:v>
                </c:pt>
                <c:pt idx="128">
                  <c:v>7.4834897497801367E-2</c:v>
                </c:pt>
                <c:pt idx="129">
                  <c:v>7.4819138565332399E-2</c:v>
                </c:pt>
                <c:pt idx="130">
                  <c:v>7.4803382951424968E-2</c:v>
                </c:pt>
                <c:pt idx="131">
                  <c:v>7.478763065539018E-2</c:v>
                </c:pt>
                <c:pt idx="132">
                  <c:v>7.4771881676498619E-2</c:v>
                </c:pt>
                <c:pt idx="133">
                  <c:v>7.4756136014061392E-2</c:v>
                </c:pt>
                <c:pt idx="134">
                  <c:v>7.4740393667389604E-2</c:v>
                </c:pt>
                <c:pt idx="135">
                  <c:v>7.4724654635794363E-2</c:v>
                </c:pt>
                <c:pt idx="136">
                  <c:v>7.4708918918546252E-2</c:v>
                </c:pt>
                <c:pt idx="137">
                  <c:v>7.4693186514996901E-2</c:v>
                </c:pt>
                <c:pt idx="138">
                  <c:v>7.4677457424416893E-2</c:v>
                </c:pt>
                <c:pt idx="139">
                  <c:v>7.4661731646076812E-2</c:v>
                </c:pt>
                <c:pt idx="140">
                  <c:v>7.4646009179368811E-2</c:v>
                </c:pt>
                <c:pt idx="141">
                  <c:v>7.4630290023482426E-2</c:v>
                </c:pt>
                <c:pt idx="142">
                  <c:v>7.4614574177809811E-2</c:v>
                </c:pt>
                <c:pt idx="143">
                  <c:v>7.459886164162155E-2</c:v>
                </c:pt>
                <c:pt idx="144">
                  <c:v>7.4583152414228748E-2</c:v>
                </c:pt>
                <c:pt idx="145">
                  <c:v>7.4567446494861467E-2</c:v>
                </c:pt>
                <c:pt idx="146">
                  <c:v>7.4551743882992905E-2</c:v>
                </c:pt>
                <c:pt idx="147">
                  <c:v>7.4536044577731553E-2</c:v>
                </c:pt>
                <c:pt idx="148">
                  <c:v>7.452034857855061E-2</c:v>
                </c:pt>
                <c:pt idx="149">
                  <c:v>7.4504655884599091E-2</c:v>
                </c:pt>
                <c:pt idx="150">
                  <c:v>7.4488966495309672E-2</c:v>
                </c:pt>
                <c:pt idx="151">
                  <c:v>7.4473280409912412E-2</c:v>
                </c:pt>
                <c:pt idx="152">
                  <c:v>7.4457597627718419E-2</c:v>
                </c:pt>
                <c:pt idx="153">
                  <c:v>7.4441918148079322E-2</c:v>
                </c:pt>
                <c:pt idx="154">
                  <c:v>7.4426241970265705E-2</c:v>
                </c:pt>
                <c:pt idx="155">
                  <c:v>7.4410569093548151E-2</c:v>
                </c:pt>
                <c:pt idx="156">
                  <c:v>7.439489951727829E-2</c:v>
                </c:pt>
                <c:pt idx="157">
                  <c:v>7.4379233240767229E-2</c:v>
                </c:pt>
                <c:pt idx="158">
                  <c:v>7.4363570263326073E-2</c:v>
                </c:pt>
                <c:pt idx="159">
                  <c:v>7.4347910584184884E-2</c:v>
                </c:pt>
                <c:pt idx="160">
                  <c:v>7.4332254202695291E-2</c:v>
                </c:pt>
                <c:pt idx="161">
                  <c:v>7.4316601118249448E-2</c:v>
                </c:pt>
                <c:pt idx="162">
                  <c:v>7.4300951329955844E-2</c:v>
                </c:pt>
                <c:pt idx="163">
                  <c:v>7.4285304837328203E-2</c:v>
                </c:pt>
                <c:pt idx="164">
                  <c:v>7.4269661639556062E-2</c:v>
                </c:pt>
                <c:pt idx="165">
                  <c:v>7.4254021735950526E-2</c:v>
                </c:pt>
                <c:pt idx="166">
                  <c:v>7.4238385125863227E-2</c:v>
                </c:pt>
                <c:pt idx="167">
                  <c:v>7.4222751808564746E-2</c:v>
                </c:pt>
                <c:pt idx="168">
                  <c:v>7.5564563075743441E-2</c:v>
                </c:pt>
                <c:pt idx="169">
                  <c:v>7.554835940573934E-2</c:v>
                </c:pt>
                <c:pt idx="170">
                  <c:v>7.5532159210351391E-2</c:v>
                </c:pt>
                <c:pt idx="171">
                  <c:v>7.5515962488850175E-2</c:v>
                </c:pt>
                <c:pt idx="172">
                  <c:v>7.5499769240465753E-2</c:v>
                </c:pt>
                <c:pt idx="173">
                  <c:v>7.5483579464549755E-2</c:v>
                </c:pt>
                <c:pt idx="174">
                  <c:v>7.5467393160251195E-2</c:v>
                </c:pt>
                <c:pt idx="175">
                  <c:v>7.5451210326840656E-2</c:v>
                </c:pt>
                <c:pt idx="176">
                  <c:v>7.5435030963588723E-2</c:v>
                </c:pt>
                <c:pt idx="177">
                  <c:v>7.5418855069765978E-2</c:v>
                </c:pt>
                <c:pt idx="178">
                  <c:v>7.5402682644643004E-2</c:v>
                </c:pt>
                <c:pt idx="179">
                  <c:v>7.538651368740934E-2</c:v>
                </c:pt>
                <c:pt idx="180">
                  <c:v>7.5370348197376091E-2</c:v>
                </c:pt>
                <c:pt idx="181">
                  <c:v>7.5354186173813842E-2</c:v>
                </c:pt>
                <c:pt idx="182">
                  <c:v>7.5338027615912129E-2</c:v>
                </c:pt>
                <c:pt idx="183">
                  <c:v>7.5321872522982058E-2</c:v>
                </c:pt>
                <c:pt idx="184">
                  <c:v>7.5305720894253692E-2</c:v>
                </c:pt>
                <c:pt idx="185">
                  <c:v>7.5289572728997611E-2</c:v>
                </c:pt>
                <c:pt idx="186">
                  <c:v>7.5273428026524924E-2</c:v>
                </c:pt>
                <c:pt idx="187">
                  <c:v>7.5257286785984645E-2</c:v>
                </c:pt>
                <c:pt idx="188">
                  <c:v>7.5241149006647357E-2</c:v>
                </c:pt>
                <c:pt idx="189">
                  <c:v>7.5225014687905212E-2</c:v>
                </c:pt>
                <c:pt idx="190">
                  <c:v>7.5208883828866702E-2</c:v>
                </c:pt>
                <c:pt idx="191">
                  <c:v>7.5192756428883456E-2</c:v>
                </c:pt>
                <c:pt idx="192">
                  <c:v>7.5176632487104489E-2</c:v>
                </c:pt>
                <c:pt idx="193">
                  <c:v>7.5160512002921953E-2</c:v>
                </c:pt>
                <c:pt idx="194">
                  <c:v>7.5144394975525386E-2</c:v>
                </c:pt>
                <c:pt idx="195">
                  <c:v>7.5128281404144848E-2</c:v>
                </c:pt>
                <c:pt idx="196">
                  <c:v>7.5112171288131968E-2</c:v>
                </c:pt>
                <c:pt idx="197">
                  <c:v>7.5096064626635761E-2</c:v>
                </c:pt>
                <c:pt idx="198">
                  <c:v>7.5079961418967334E-2</c:v>
                </c:pt>
                <c:pt idx="199">
                  <c:v>7.5063861664397269E-2</c:v>
                </c:pt>
                <c:pt idx="200">
                  <c:v>7.504776536219615E-2</c:v>
                </c:pt>
                <c:pt idx="201">
                  <c:v>7.5031672511594039E-2</c:v>
                </c:pt>
                <c:pt idx="202">
                  <c:v>7.5015583111861517E-2</c:v>
                </c:pt>
                <c:pt idx="203">
                  <c:v>7.4999497162228645E-2</c:v>
                </c:pt>
                <c:pt idx="204">
                  <c:v>7.4983414662006531E-2</c:v>
                </c:pt>
                <c:pt idx="205">
                  <c:v>7.4967335610425234E-2</c:v>
                </c:pt>
                <c:pt idx="206">
                  <c:v>7.4951260006755338E-2</c:v>
                </c:pt>
                <c:pt idx="207">
                  <c:v>7.4935187850267426E-2</c:v>
                </c:pt>
                <c:pt idx="208">
                  <c:v>7.4919119140151036E-2</c:v>
                </c:pt>
                <c:pt idx="209">
                  <c:v>7.490305387579832E-2</c:v>
                </c:pt>
                <c:pt idx="210">
                  <c:v>7.4886992056358292E-2</c:v>
                </c:pt>
                <c:pt idx="211">
                  <c:v>7.487093368114206E-2</c:v>
                </c:pt>
                <c:pt idx="212">
                  <c:v>7.4854878749379683E-2</c:v>
                </c:pt>
                <c:pt idx="213">
                  <c:v>7.4838827260382268E-2</c:v>
                </c:pt>
                <c:pt idx="214">
                  <c:v>7.4822779213339352E-2</c:v>
                </c:pt>
                <c:pt idx="215">
                  <c:v>7.4806734607602565E-2</c:v>
                </c:pt>
                <c:pt idx="216">
                  <c:v>7.4790693442401968E-2</c:v>
                </c:pt>
                <c:pt idx="217">
                  <c:v>7.4774655716886573E-2</c:v>
                </c:pt>
                <c:pt idx="218">
                  <c:v>7.4758621430529582E-2</c:v>
                </c:pt>
                <c:pt idx="219">
                  <c:v>7.4742590582439483E-2</c:v>
                </c:pt>
                <c:pt idx="220">
                  <c:v>7.4726563171886862E-2</c:v>
                </c:pt>
                <c:pt idx="221">
                  <c:v>7.4710539198223347E-2</c:v>
                </c:pt>
                <c:pt idx="222">
                  <c:v>7.4694518660597953E-2</c:v>
                </c:pt>
                <c:pt idx="223">
                  <c:v>7.4678501558402832E-2</c:v>
                </c:pt>
                <c:pt idx="224">
                  <c:v>7.4662487890786999E-2</c:v>
                </c:pt>
                <c:pt idx="225">
                  <c:v>7.4646477657021038E-2</c:v>
                </c:pt>
                <c:pt idx="226">
                  <c:v>7.46304708564971E-2</c:v>
                </c:pt>
                <c:pt idx="227">
                  <c:v>7.4614467488323677E-2</c:v>
                </c:pt>
                <c:pt idx="228">
                  <c:v>7.4598467551852399E-2</c:v>
                </c:pt>
                <c:pt idx="229">
                  <c:v>7.4582471046353849E-2</c:v>
                </c:pt>
                <c:pt idx="230">
                  <c:v>7.4566477970977041E-2</c:v>
                </c:pt>
                <c:pt idx="231">
                  <c:v>7.4550488325154651E-2</c:v>
                </c:pt>
                <c:pt idx="232">
                  <c:v>7.4534502107995171E-2</c:v>
                </c:pt>
                <c:pt idx="233">
                  <c:v>7.4518519318890752E-2</c:v>
                </c:pt>
                <c:pt idx="234">
                  <c:v>7.4502539957071456E-2</c:v>
                </c:pt>
                <c:pt idx="235">
                  <c:v>7.448656402172682E-2</c:v>
                </c:pt>
                <c:pt idx="236">
                  <c:v>7.447059151216795E-2</c:v>
                </c:pt>
                <c:pt idx="237">
                  <c:v>7.4454622427746475E-2</c:v>
                </c:pt>
                <c:pt idx="238">
                  <c:v>7.4438656767611411E-2</c:v>
                </c:pt>
                <c:pt idx="239">
                  <c:v>7.442269453103334E-2</c:v>
                </c:pt>
                <c:pt idx="240">
                  <c:v>7.4406735717363892E-2</c:v>
                </c:pt>
                <c:pt idx="241">
                  <c:v>7.4390780325792605E-2</c:v>
                </c:pt>
                <c:pt idx="242">
                  <c:v>7.4374828355630584E-2</c:v>
                </c:pt>
                <c:pt idx="243">
                  <c:v>7.4358879806148415E-2</c:v>
                </c:pt>
                <c:pt idx="244">
                  <c:v>7.4342934676495109E-2</c:v>
                </c:pt>
                <c:pt idx="245">
                  <c:v>7.4326992966143868E-2</c:v>
                </c:pt>
                <c:pt idx="246">
                  <c:v>7.4311054674203181E-2</c:v>
                </c:pt>
                <c:pt idx="247">
                  <c:v>7.4295119799943632E-2</c:v>
                </c:pt>
                <c:pt idx="248">
                  <c:v>7.4279188342757374E-2</c:v>
                </c:pt>
                <c:pt idx="249">
                  <c:v>7.4263260301752898E-2</c:v>
                </c:pt>
                <c:pt idx="250">
                  <c:v>7.4247335676322357E-2</c:v>
                </c:pt>
                <c:pt idx="251">
                  <c:v>7.4231414465695811E-2</c:v>
                </c:pt>
                <c:pt idx="252">
                  <c:v>7.4215496669062797E-2</c:v>
                </c:pt>
                <c:pt idx="253">
                  <c:v>7.4199582285855992E-2</c:v>
                </c:pt>
                <c:pt idx="254">
                  <c:v>7.4183671315143362E-2</c:v>
                </c:pt>
                <c:pt idx="255">
                  <c:v>7.4167763756398108E-2</c:v>
                </c:pt>
                <c:pt idx="256">
                  <c:v>7.4151859608688198E-2</c:v>
                </c:pt>
                <c:pt idx="257">
                  <c:v>7.4135958871446306E-2</c:v>
                </c:pt>
                <c:pt idx="258">
                  <c:v>7.412006154386197E-2</c:v>
                </c:pt>
                <c:pt idx="259">
                  <c:v>7.4327168103428543E-2</c:v>
                </c:pt>
                <c:pt idx="260">
                  <c:v>7.4311181810977067E-2</c:v>
                </c:pt>
                <c:pt idx="261">
                  <c:v>7.4295198956833008E-2</c:v>
                </c:pt>
                <c:pt idx="262">
                  <c:v>7.4279219540307473E-2</c:v>
                </c:pt>
                <c:pt idx="263">
                  <c:v>7.4263243560630521E-2</c:v>
                </c:pt>
                <c:pt idx="264">
                  <c:v>7.4247271017113259E-2</c:v>
                </c:pt>
                <c:pt idx="265">
                  <c:v>7.4231301908864178E-2</c:v>
                </c:pt>
                <c:pt idx="266">
                  <c:v>7.4215336235356477E-2</c:v>
                </c:pt>
                <c:pt idx="267">
                  <c:v>7.4199373995698648E-2</c:v>
                </c:pt>
                <c:pt idx="268">
                  <c:v>7.4183415189201796E-2</c:v>
                </c:pt>
                <c:pt idx="269">
                  <c:v>7.4167459815136505E-2</c:v>
                </c:pt>
                <c:pt idx="270">
                  <c:v>7.4151507872732836E-2</c:v>
                </c:pt>
                <c:pt idx="271">
                  <c:v>7.4135559361301895E-2</c:v>
                </c:pt>
                <c:pt idx="272">
                  <c:v>7.4119614280073742E-2</c:v>
                </c:pt>
                <c:pt idx="273">
                  <c:v>7.4103672628318962E-2</c:v>
                </c:pt>
                <c:pt idx="274">
                  <c:v>7.4087734405267613E-2</c:v>
                </c:pt>
                <c:pt idx="275">
                  <c:v>7.4071799610230804E-2</c:v>
                </c:pt>
                <c:pt idx="276">
                  <c:v>7.4055868242438594E-2</c:v>
                </c:pt>
                <c:pt idx="277">
                  <c:v>7.403994030120209E-2</c:v>
                </c:pt>
                <c:pt idx="278">
                  <c:v>7.4024015785670305E-2</c:v>
                </c:pt>
                <c:pt idx="279">
                  <c:v>7.4008094695275917E-2</c:v>
                </c:pt>
                <c:pt idx="280">
                  <c:v>7.3992177029127415E-2</c:v>
                </c:pt>
                <c:pt idx="281">
                  <c:v>7.3976262786616953E-2</c:v>
                </c:pt>
                <c:pt idx="282">
                  <c:v>7.3960351966853022E-2</c:v>
                </c:pt>
                <c:pt idx="283">
                  <c:v>7.3944444569268297E-2</c:v>
                </c:pt>
                <c:pt idx="284">
                  <c:v>7.392854059297127E-2</c:v>
                </c:pt>
                <c:pt idx="285">
                  <c:v>7.3912640037394617E-2</c:v>
                </c:pt>
                <c:pt idx="286">
                  <c:v>7.3896742901646828E-2</c:v>
                </c:pt>
                <c:pt idx="287">
                  <c:v>7.3880849185079533E-2</c:v>
                </c:pt>
                <c:pt idx="288">
                  <c:v>7.3864958886922794E-2</c:v>
                </c:pt>
                <c:pt idx="289">
                  <c:v>7.3849072006447192E-2</c:v>
                </c:pt>
                <c:pt idx="290">
                  <c:v>7.3833188542923311E-2</c:v>
                </c:pt>
                <c:pt idx="291">
                  <c:v>7.3817308495662259E-2</c:v>
                </c:pt>
                <c:pt idx="292">
                  <c:v>7.380143186381305E-2</c:v>
                </c:pt>
                <c:pt idx="293">
                  <c:v>7.3785558646727312E-2</c:v>
                </c:pt>
                <c:pt idx="294">
                  <c:v>7.3769688843716152E-2</c:v>
                </c:pt>
                <c:pt idx="295">
                  <c:v>7.3753822453888063E-2</c:v>
                </c:pt>
                <c:pt idx="296">
                  <c:v>7.3737959476675718E-2</c:v>
                </c:pt>
                <c:pt idx="297">
                  <c:v>7.3722099911268657E-2</c:v>
                </c:pt>
                <c:pt idx="298">
                  <c:v>7.3706243756896939E-2</c:v>
                </c:pt>
                <c:pt idx="299">
                  <c:v>7.3690391012912193E-2</c:v>
                </c:pt>
                <c:pt idx="300">
                  <c:v>7.3674541678503958E-2</c:v>
                </c:pt>
                <c:pt idx="301">
                  <c:v>7.3658695752983339E-2</c:v>
                </c:pt>
                <c:pt idx="302">
                  <c:v>7.364285323562092E-2</c:v>
                </c:pt>
                <c:pt idx="303">
                  <c:v>7.3627014125646761E-2</c:v>
                </c:pt>
                <c:pt idx="304">
                  <c:v>7.361117842237197E-2</c:v>
                </c:pt>
                <c:pt idx="305">
                  <c:v>7.3595346124986083E-2</c:v>
                </c:pt>
                <c:pt idx="306">
                  <c:v>7.3579517232881253E-2</c:v>
                </c:pt>
                <c:pt idx="307">
                  <c:v>7.3563691745206494E-2</c:v>
                </c:pt>
                <c:pt idx="308">
                  <c:v>7.3547869661313436E-2</c:v>
                </c:pt>
                <c:pt idx="309">
                  <c:v>7.3532050980391617E-2</c:v>
                </c:pt>
                <c:pt idx="310">
                  <c:v>7.3516235701833188E-2</c:v>
                </c:pt>
                <c:pt idx="311">
                  <c:v>7.3500423824746641E-2</c:v>
                </c:pt>
                <c:pt idx="312">
                  <c:v>7.3484615348483606E-2</c:v>
                </c:pt>
                <c:pt idx="313">
                  <c:v>7.3468810272355189E-2</c:v>
                </c:pt>
                <c:pt idx="314">
                  <c:v>7.3453008595550928E-2</c:v>
                </c:pt>
                <c:pt idx="315">
                  <c:v>7.3437210317381929E-2</c:v>
                </c:pt>
                <c:pt idx="316">
                  <c:v>7.3421415437118775E-2</c:v>
                </c:pt>
                <c:pt idx="317">
                  <c:v>7.3405623953991528E-2</c:v>
                </c:pt>
                <c:pt idx="318">
                  <c:v>7.3389835867351816E-2</c:v>
                </c:pt>
                <c:pt idx="319">
                  <c:v>7.3374051176348654E-2</c:v>
                </c:pt>
                <c:pt idx="320">
                  <c:v>7.3358269880333671E-2</c:v>
                </c:pt>
                <c:pt idx="321">
                  <c:v>7.3342491978577451E-2</c:v>
                </c:pt>
                <c:pt idx="322">
                  <c:v>7.3326717470350578E-2</c:v>
                </c:pt>
                <c:pt idx="323">
                  <c:v>7.3310946354883111E-2</c:v>
                </c:pt>
                <c:pt idx="324">
                  <c:v>7.3295178631445634E-2</c:v>
                </c:pt>
                <c:pt idx="325">
                  <c:v>7.3279414299389778E-2</c:v>
                </c:pt>
                <c:pt idx="326">
                  <c:v>7.3263653357864555E-2</c:v>
                </c:pt>
                <c:pt idx="327">
                  <c:v>7.324789580626212E-2</c:v>
                </c:pt>
                <c:pt idx="328">
                  <c:v>7.3232141643731485E-2</c:v>
                </c:pt>
                <c:pt idx="329">
                  <c:v>7.3216390869664805E-2</c:v>
                </c:pt>
                <c:pt idx="330">
                  <c:v>7.3200643483251615E-2</c:v>
                </c:pt>
                <c:pt idx="331">
                  <c:v>7.3184899483803023E-2</c:v>
                </c:pt>
                <c:pt idx="332">
                  <c:v>7.3169158870508566E-2</c:v>
                </c:pt>
                <c:pt idx="333">
                  <c:v>7.315342164280092E-2</c:v>
                </c:pt>
                <c:pt idx="334">
                  <c:v>7.3137687799788575E-2</c:v>
                </c:pt>
                <c:pt idx="335">
                  <c:v>7.3121957340863686E-2</c:v>
                </c:pt>
                <c:pt idx="336">
                  <c:v>7.3106230265215788E-2</c:v>
                </c:pt>
                <c:pt idx="337">
                  <c:v>7.3090506572155989E-2</c:v>
                </c:pt>
                <c:pt idx="338">
                  <c:v>7.3074786260914348E-2</c:v>
                </c:pt>
                <c:pt idx="339">
                  <c:v>7.305906933088302E-2</c:v>
                </c:pt>
                <c:pt idx="340">
                  <c:v>7.3043355781170494E-2</c:v>
                </c:pt>
                <c:pt idx="341">
                  <c:v>7.3027645611168923E-2</c:v>
                </c:pt>
                <c:pt idx="342">
                  <c:v>7.3011938820067845E-2</c:v>
                </c:pt>
                <c:pt idx="343">
                  <c:v>7.2996235407259413E-2</c:v>
                </c:pt>
                <c:pt idx="344">
                  <c:v>7.2980535371852118E-2</c:v>
                </c:pt>
                <c:pt idx="345">
                  <c:v>7.2964838713278635E-2</c:v>
                </c:pt>
                <c:pt idx="346">
                  <c:v>7.2949145430728501E-2</c:v>
                </c:pt>
                <c:pt idx="347">
                  <c:v>7.2933455523512825E-2</c:v>
                </c:pt>
                <c:pt idx="348">
                  <c:v>7.2917768990821141E-2</c:v>
                </c:pt>
                <c:pt idx="349">
                  <c:v>7.2902085832005081E-2</c:v>
                </c:pt>
                <c:pt idx="350">
                  <c:v>7.2886406046375751E-2</c:v>
                </c:pt>
                <c:pt idx="351">
                  <c:v>7.2536865868984557E-2</c:v>
                </c:pt>
                <c:pt idx="352">
                  <c:v>7.2521336113353096E-2</c:v>
                </c:pt>
                <c:pt idx="353">
                  <c:v>7.2505809682483213E-2</c:v>
                </c:pt>
                <c:pt idx="354">
                  <c:v>7.249028657576706E-2</c:v>
                </c:pt>
                <c:pt idx="355">
                  <c:v>7.247476679247522E-2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4-4519-B643-0EE01D2F822F}"/>
            </c:ext>
          </c:extLst>
        </c:ser>
        <c:ser>
          <c:idx val="3"/>
          <c:order val="3"/>
          <c:tx>
            <c:strRef>
              <c:f>'Daily Forward Rates'!$F$1</c:f>
              <c:strCache>
                <c:ptCount val="1"/>
                <c:pt idx="0">
                  <c:v>Market.LIVE.RateCurve.GBP-LIBOR-BBA-1M</c:v>
                </c:pt>
              </c:strCache>
            </c:strRef>
          </c:tx>
          <c:marker>
            <c:symbol val="none"/>
          </c:marker>
          <c:val>
            <c:numRef>
              <c:f>'Daily Forward Rates'!$F$2:$F$357</c:f>
              <c:numCache>
                <c:formatCode>0.00%</c:formatCode>
                <c:ptCount val="356"/>
                <c:pt idx="0">
                  <c:v>7.248560217485378E-2</c:v>
                </c:pt>
                <c:pt idx="1">
                  <c:v>7.5565160760132088E-2</c:v>
                </c:pt>
                <c:pt idx="2">
                  <c:v>7.5549513560942971E-2</c:v>
                </c:pt>
                <c:pt idx="3">
                  <c:v>7.5533869601741022E-2</c:v>
                </c:pt>
                <c:pt idx="4">
                  <c:v>7.5518228881958915E-2</c:v>
                </c:pt>
                <c:pt idx="5">
                  <c:v>7.5502591400826713E-2</c:v>
                </c:pt>
                <c:pt idx="6">
                  <c:v>7.5486957157817614E-2</c:v>
                </c:pt>
                <c:pt idx="7">
                  <c:v>7.724531908667398E-2</c:v>
                </c:pt>
                <c:pt idx="8">
                  <c:v>7.7228948005486631E-2</c:v>
                </c:pt>
                <c:pt idx="9">
                  <c:v>7.7212580393850039E-2</c:v>
                </c:pt>
                <c:pt idx="10">
                  <c:v>7.7196216251156358E-2</c:v>
                </c:pt>
                <c:pt idx="11">
                  <c:v>7.7179855576554601E-2</c:v>
                </c:pt>
                <c:pt idx="12">
                  <c:v>7.7163498369477446E-2</c:v>
                </c:pt>
                <c:pt idx="13">
                  <c:v>7.7147144628992859E-2</c:v>
                </c:pt>
                <c:pt idx="14">
                  <c:v>7.6938029033149502E-2</c:v>
                </c:pt>
                <c:pt idx="15">
                  <c:v>7.6921763829648215E-2</c:v>
                </c:pt>
                <c:pt idx="16">
                  <c:v>7.690550206477853E-2</c:v>
                </c:pt>
                <c:pt idx="17">
                  <c:v>7.6889243737648938E-2</c:v>
                </c:pt>
                <c:pt idx="18">
                  <c:v>7.687298884777316E-2</c:v>
                </c:pt>
                <c:pt idx="19">
                  <c:v>7.6856737394178642E-2</c:v>
                </c:pt>
                <c:pt idx="20">
                  <c:v>7.6840489376257537E-2</c:v>
                </c:pt>
                <c:pt idx="21">
                  <c:v>7.682424479332095E-2</c:v>
                </c:pt>
                <c:pt idx="22">
                  <c:v>7.6808003644598943E-2</c:v>
                </c:pt>
                <c:pt idx="23">
                  <c:v>7.6791765929321576E-2</c:v>
                </c:pt>
                <c:pt idx="24">
                  <c:v>7.6775531646799955E-2</c:v>
                </c:pt>
                <c:pt idx="25">
                  <c:v>7.6759300796345187E-2</c:v>
                </c:pt>
                <c:pt idx="26">
                  <c:v>7.6743073377187332E-2</c:v>
                </c:pt>
                <c:pt idx="27">
                  <c:v>7.6726849388637497E-2</c:v>
                </c:pt>
                <c:pt idx="28">
                  <c:v>7.6710628829885219E-2</c:v>
                </c:pt>
                <c:pt idx="29">
                  <c:v>7.6694411700282128E-2</c:v>
                </c:pt>
                <c:pt idx="30">
                  <c:v>7.667819799913933E-2</c:v>
                </c:pt>
                <c:pt idx="31">
                  <c:v>7.6661987725646363E-2</c:v>
                </c:pt>
                <c:pt idx="32">
                  <c:v>7.664578087907381E-2</c:v>
                </c:pt>
                <c:pt idx="33">
                  <c:v>7.5068679545982064E-2</c:v>
                </c:pt>
                <c:pt idx="34">
                  <c:v>7.5053132797701094E-2</c:v>
                </c:pt>
                <c:pt idx="35">
                  <c:v>7.5037589269145721E-2</c:v>
                </c:pt>
                <c:pt idx="36">
                  <c:v>7.5022048959708099E-2</c:v>
                </c:pt>
                <c:pt idx="37">
                  <c:v>7.5006511868618286E-2</c:v>
                </c:pt>
                <c:pt idx="38">
                  <c:v>7.4990977995308961E-2</c:v>
                </c:pt>
                <c:pt idx="39">
                  <c:v>7.4975447339010182E-2</c:v>
                </c:pt>
                <c:pt idx="40">
                  <c:v>7.4959919899195149E-2</c:v>
                </c:pt>
                <c:pt idx="41">
                  <c:v>7.4944395675053399E-2</c:v>
                </c:pt>
                <c:pt idx="42">
                  <c:v>7.4928874666017609E-2</c:v>
                </c:pt>
                <c:pt idx="43">
                  <c:v>7.4913356871358361E-2</c:v>
                </c:pt>
                <c:pt idx="44">
                  <c:v>7.4897842290467809E-2</c:v>
                </c:pt>
                <c:pt idx="45">
                  <c:v>7.4882330922657059E-2</c:v>
                </c:pt>
                <c:pt idx="46">
                  <c:v>7.4866822767237218E-2</c:v>
                </c:pt>
                <c:pt idx="47">
                  <c:v>7.4851317823559915E-2</c:v>
                </c:pt>
                <c:pt idx="48">
                  <c:v>7.4835816090936258E-2</c:v>
                </c:pt>
                <c:pt idx="49">
                  <c:v>7.4820317568798922E-2</c:v>
                </c:pt>
                <c:pt idx="50">
                  <c:v>7.4804822256337444E-2</c:v>
                </c:pt>
                <c:pt idx="51">
                  <c:v>7.4789330153025024E-2</c:v>
                </c:pt>
                <c:pt idx="52">
                  <c:v>7.4773841258091722E-2</c:v>
                </c:pt>
                <c:pt idx="53">
                  <c:v>7.4758355570889168E-2</c:v>
                </c:pt>
                <c:pt idx="54">
                  <c:v>7.4742873090850037E-2</c:v>
                </c:pt>
                <c:pt idx="55">
                  <c:v>7.4727393817163867E-2</c:v>
                </c:pt>
                <c:pt idx="56">
                  <c:v>7.4711917749303858E-2</c:v>
                </c:pt>
                <c:pt idx="57">
                  <c:v>7.4696444886500069E-2</c:v>
                </c:pt>
                <c:pt idx="58">
                  <c:v>7.4680975228144653E-2</c:v>
                </c:pt>
                <c:pt idx="59">
                  <c:v>7.4665508773548717E-2</c:v>
                </c:pt>
                <c:pt idx="60">
                  <c:v>7.465004552206389E-2</c:v>
                </c:pt>
                <c:pt idx="61">
                  <c:v>7.4634585473041803E-2</c:v>
                </c:pt>
                <c:pt idx="62">
                  <c:v>7.4524103518346929E-2</c:v>
                </c:pt>
                <c:pt idx="63">
                  <c:v>7.4508689206618239E-2</c:v>
                </c:pt>
                <c:pt idx="64">
                  <c:v>7.4493278083128667E-2</c:v>
                </c:pt>
                <c:pt idx="65">
                  <c:v>7.4477870147189318E-2</c:v>
                </c:pt>
                <c:pt idx="66">
                  <c:v>7.4462465398232869E-2</c:v>
                </c:pt>
                <c:pt idx="67">
                  <c:v>7.4447063835529903E-2</c:v>
                </c:pt>
                <c:pt idx="68">
                  <c:v>7.443166545843205E-2</c:v>
                </c:pt>
                <c:pt idx="69">
                  <c:v>7.4416270266250417E-2</c:v>
                </c:pt>
                <c:pt idx="70">
                  <c:v>7.4400878258377157E-2</c:v>
                </c:pt>
                <c:pt idx="71">
                  <c:v>7.4385489434123375E-2</c:v>
                </c:pt>
                <c:pt idx="72">
                  <c:v>7.4370103792881226E-2</c:v>
                </c:pt>
                <c:pt idx="73">
                  <c:v>7.4354721333921292E-2</c:v>
                </c:pt>
                <c:pt idx="74">
                  <c:v>7.4339342056635727E-2</c:v>
                </c:pt>
                <c:pt idx="75">
                  <c:v>7.4323965960335636E-2</c:v>
                </c:pt>
                <c:pt idx="76">
                  <c:v>7.4308593044332127E-2</c:v>
                </c:pt>
                <c:pt idx="77">
                  <c:v>7.4293223308098399E-2</c:v>
                </c:pt>
                <c:pt idx="78">
                  <c:v>7.427785675082399E-2</c:v>
                </c:pt>
                <c:pt idx="79">
                  <c:v>7.4262493371941574E-2</c:v>
                </c:pt>
                <c:pt idx="80">
                  <c:v>7.4247133170721735E-2</c:v>
                </c:pt>
                <c:pt idx="81">
                  <c:v>7.4231776146637674E-2</c:v>
                </c:pt>
                <c:pt idx="82">
                  <c:v>7.4216422298878926E-2</c:v>
                </c:pt>
                <c:pt idx="83">
                  <c:v>7.4201071626878168E-2</c:v>
                </c:pt>
                <c:pt idx="84">
                  <c:v>7.418572412998703E-2</c:v>
                </c:pt>
                <c:pt idx="85">
                  <c:v>7.4170379807476094E-2</c:v>
                </c:pt>
                <c:pt idx="86">
                  <c:v>7.4155038658737515E-2</c:v>
                </c:pt>
                <c:pt idx="87">
                  <c:v>7.4139700683163445E-2</c:v>
                </c:pt>
                <c:pt idx="88">
                  <c:v>7.4124365879983944E-2</c:v>
                </c:pt>
                <c:pt idx="89">
                  <c:v>7.4109034248591166E-2</c:v>
                </c:pt>
                <c:pt idx="90">
                  <c:v>7.4093705788417785E-2</c:v>
                </c:pt>
                <c:pt idx="91">
                  <c:v>7.407838049865334E-2</c:v>
                </c:pt>
                <c:pt idx="92">
                  <c:v>7.5413360498743365E-2</c:v>
                </c:pt>
                <c:pt idx="93">
                  <c:v>7.5397477872265473E-2</c:v>
                </c:pt>
                <c:pt idx="94">
                  <c:v>7.5381598590770205E-2</c:v>
                </c:pt>
                <c:pt idx="95">
                  <c:v>7.5365722653528144E-2</c:v>
                </c:pt>
                <c:pt idx="96">
                  <c:v>7.5349850059971968E-2</c:v>
                </c:pt>
                <c:pt idx="97">
                  <c:v>7.5333980809210166E-2</c:v>
                </c:pt>
                <c:pt idx="98">
                  <c:v>7.5318114900715938E-2</c:v>
                </c:pt>
                <c:pt idx="99">
                  <c:v>7.5302252333638298E-2</c:v>
                </c:pt>
                <c:pt idx="100">
                  <c:v>7.5286393107369398E-2</c:v>
                </c:pt>
                <c:pt idx="101">
                  <c:v>7.52705372211393E-2</c:v>
                </c:pt>
                <c:pt idx="102">
                  <c:v>7.5254684674340155E-2</c:v>
                </c:pt>
                <c:pt idx="103">
                  <c:v>7.5238835466161502E-2</c:v>
                </c:pt>
                <c:pt idx="104">
                  <c:v>7.522298959595497E-2</c:v>
                </c:pt>
                <c:pt idx="105">
                  <c:v>7.5207147063031665E-2</c:v>
                </c:pt>
                <c:pt idx="106">
                  <c:v>7.5191307866621648E-2</c:v>
                </c:pt>
                <c:pt idx="107">
                  <c:v>7.5175472006117072E-2</c:v>
                </c:pt>
                <c:pt idx="108">
                  <c:v>7.5159639480707474E-2</c:v>
                </c:pt>
                <c:pt idx="109">
                  <c:v>7.5143810289785007E-2</c:v>
                </c:pt>
                <c:pt idx="110">
                  <c:v>7.5127984432620254E-2</c:v>
                </c:pt>
                <c:pt idx="111">
                  <c:v>7.5112161908483799E-2</c:v>
                </c:pt>
                <c:pt idx="112">
                  <c:v>7.5096342716727271E-2</c:v>
                </c:pt>
                <c:pt idx="113">
                  <c:v>7.5080526856540208E-2</c:v>
                </c:pt>
                <c:pt idx="114">
                  <c:v>7.5064714327355286E-2</c:v>
                </c:pt>
                <c:pt idx="115">
                  <c:v>7.5048905128362042E-2</c:v>
                </c:pt>
                <c:pt idx="116">
                  <c:v>7.5033099258952629E-2</c:v>
                </c:pt>
                <c:pt idx="117">
                  <c:v>7.5017296718316584E-2</c:v>
                </c:pt>
                <c:pt idx="118">
                  <c:v>7.5001497505886583E-2</c:v>
                </c:pt>
                <c:pt idx="119">
                  <c:v>7.4985701620892686E-2</c:v>
                </c:pt>
                <c:pt idx="120">
                  <c:v>7.4969909062564954E-2</c:v>
                </c:pt>
                <c:pt idx="121">
                  <c:v>7.495411983029554E-2</c:v>
                </c:pt>
                <c:pt idx="122">
                  <c:v>7.493833392339555E-2</c:v>
                </c:pt>
                <c:pt idx="123">
                  <c:v>7.4922551341095045E-2</c:v>
                </c:pt>
                <c:pt idx="124">
                  <c:v>7.4906772082705131E-2</c:v>
                </c:pt>
                <c:pt idx="125">
                  <c:v>7.4890996147617961E-2</c:v>
                </c:pt>
                <c:pt idx="126">
                  <c:v>7.4875223534982549E-2</c:v>
                </c:pt>
                <c:pt idx="127">
                  <c:v>7.4859454244231571E-2</c:v>
                </c:pt>
                <c:pt idx="128">
                  <c:v>7.4843688274554565E-2</c:v>
                </c:pt>
                <c:pt idx="129">
                  <c:v>7.4827925625384206E-2</c:v>
                </c:pt>
                <c:pt idx="130">
                  <c:v>7.4812166295950555E-2</c:v>
                </c:pt>
                <c:pt idx="131">
                  <c:v>7.4796410285443149E-2</c:v>
                </c:pt>
                <c:pt idx="132">
                  <c:v>7.4780657593416233E-2</c:v>
                </c:pt>
                <c:pt idx="133">
                  <c:v>7.4764908218897252E-2</c:v>
                </c:pt>
                <c:pt idx="134">
                  <c:v>7.4749162161399929E-2</c:v>
                </c:pt>
                <c:pt idx="135">
                  <c:v>7.47334194201138E-2</c:v>
                </c:pt>
                <c:pt idx="136">
                  <c:v>7.4717679994349973E-2</c:v>
                </c:pt>
                <c:pt idx="137">
                  <c:v>7.4701943883460076E-2</c:v>
                </c:pt>
                <c:pt idx="138">
                  <c:v>7.4686211086714693E-2</c:v>
                </c:pt>
                <c:pt idx="139">
                  <c:v>7.4670481603384409E-2</c:v>
                </c:pt>
                <c:pt idx="140">
                  <c:v>7.4654755432820852E-2</c:v>
                </c:pt>
                <c:pt idx="141">
                  <c:v>7.4639032574335129E-2</c:v>
                </c:pt>
                <c:pt idx="142">
                  <c:v>7.4623313027157301E-2</c:v>
                </c:pt>
                <c:pt idx="143">
                  <c:v>7.4607596790638997E-2</c:v>
                </c:pt>
                <c:pt idx="144">
                  <c:v>7.4591883864131847E-2</c:v>
                </c:pt>
                <c:pt idx="145">
                  <c:v>7.4576174246825389E-2</c:v>
                </c:pt>
                <c:pt idx="146">
                  <c:v>7.4560467938111774E-2</c:v>
                </c:pt>
                <c:pt idx="147">
                  <c:v>7.4544764937261587E-2</c:v>
                </c:pt>
                <c:pt idx="148">
                  <c:v>7.4529065243585935E-2</c:v>
                </c:pt>
                <c:pt idx="149">
                  <c:v>7.4513368856395923E-2</c:v>
                </c:pt>
                <c:pt idx="150">
                  <c:v>7.4497675774962135E-2</c:v>
                </c:pt>
                <c:pt idx="151">
                  <c:v>7.4481985998595679E-2</c:v>
                </c:pt>
                <c:pt idx="152">
                  <c:v>7.4466299526688706E-2</c:v>
                </c:pt>
                <c:pt idx="153">
                  <c:v>7.4450616358390231E-2</c:v>
                </c:pt>
                <c:pt idx="154">
                  <c:v>7.443493649313293E-2</c:v>
                </c:pt>
                <c:pt idx="155">
                  <c:v>7.4419259930146864E-2</c:v>
                </c:pt>
                <c:pt idx="156">
                  <c:v>7.4403586668783661E-2</c:v>
                </c:pt>
                <c:pt idx="157">
                  <c:v>7.4387916708313906E-2</c:v>
                </c:pt>
                <c:pt idx="158">
                  <c:v>7.4372250048048705E-2</c:v>
                </c:pt>
                <c:pt idx="159">
                  <c:v>7.4356586687339687E-2</c:v>
                </c:pt>
                <c:pt idx="160">
                  <c:v>7.4340926625416914E-2</c:v>
                </c:pt>
                <c:pt idx="161">
                  <c:v>7.4325269861672538E-2</c:v>
                </c:pt>
                <c:pt idx="162">
                  <c:v>7.4309616395296096E-2</c:v>
                </c:pt>
                <c:pt idx="163">
                  <c:v>7.4293966225679742E-2</c:v>
                </c:pt>
                <c:pt idx="164">
                  <c:v>7.4278319352134581E-2</c:v>
                </c:pt>
                <c:pt idx="165">
                  <c:v>7.4262675773890674E-2</c:v>
                </c:pt>
                <c:pt idx="166">
                  <c:v>7.4247035490380697E-2</c:v>
                </c:pt>
                <c:pt idx="167">
                  <c:v>7.4231398500753665E-2</c:v>
                </c:pt>
                <c:pt idx="168">
                  <c:v>7.5586912214404278E-2</c:v>
                </c:pt>
                <c:pt idx="169">
                  <c:v>7.5570698927407975E-2</c:v>
                </c:pt>
                <c:pt idx="170">
                  <c:v>7.5554489118148105E-2</c:v>
                </c:pt>
                <c:pt idx="171">
                  <c:v>7.5538282785814204E-2</c:v>
                </c:pt>
                <c:pt idx="172">
                  <c:v>7.5522079929757902E-2</c:v>
                </c:pt>
                <c:pt idx="173">
                  <c:v>7.5505880549168736E-2</c:v>
                </c:pt>
                <c:pt idx="174">
                  <c:v>7.5489684643357813E-2</c:v>
                </c:pt>
                <c:pt idx="175">
                  <c:v>7.547349221151467E-2</c:v>
                </c:pt>
                <c:pt idx="176">
                  <c:v>7.5457303252909891E-2</c:v>
                </c:pt>
                <c:pt idx="177">
                  <c:v>7.5441117766854582E-2</c:v>
                </c:pt>
                <c:pt idx="178">
                  <c:v>7.542493575253828E-2</c:v>
                </c:pt>
                <c:pt idx="179">
                  <c:v>7.5408757209272093E-2</c:v>
                </c:pt>
                <c:pt idx="180">
                  <c:v>7.5392582136245556E-2</c:v>
                </c:pt>
                <c:pt idx="181">
                  <c:v>7.5376410532769778E-2</c:v>
                </c:pt>
                <c:pt idx="182">
                  <c:v>7.5360242398074817E-2</c:v>
                </c:pt>
                <c:pt idx="183">
                  <c:v>7.5344077731390735E-2</c:v>
                </c:pt>
                <c:pt idx="184">
                  <c:v>7.5327916532069161E-2</c:v>
                </c:pt>
                <c:pt idx="185">
                  <c:v>7.531175879925911E-2</c:v>
                </c:pt>
                <c:pt idx="186">
                  <c:v>7.5295604532271687E-2</c:v>
                </c:pt>
                <c:pt idx="187">
                  <c:v>7.5279453730336954E-2</c:v>
                </c:pt>
                <c:pt idx="188">
                  <c:v>7.5263306392766016E-2</c:v>
                </c:pt>
                <c:pt idx="189">
                  <c:v>7.5247162518748412E-2</c:v>
                </c:pt>
                <c:pt idx="190">
                  <c:v>7.5231022107554724E-2</c:v>
                </c:pt>
                <c:pt idx="191">
                  <c:v>7.5214885158455536E-2</c:v>
                </c:pt>
                <c:pt idx="192">
                  <c:v>7.5198751670761954E-2</c:v>
                </c:pt>
                <c:pt idx="193">
                  <c:v>7.5182621643622993E-2</c:v>
                </c:pt>
                <c:pt idx="194">
                  <c:v>7.5166495076390283E-2</c:v>
                </c:pt>
                <c:pt idx="195">
                  <c:v>7.515037196825336E-2</c:v>
                </c:pt>
                <c:pt idx="196">
                  <c:v>7.5134252318523331E-2</c:v>
                </c:pt>
                <c:pt idx="197">
                  <c:v>7.5118136126389734E-2</c:v>
                </c:pt>
                <c:pt idx="198">
                  <c:v>7.5102023391244721E-2</c:v>
                </c:pt>
                <c:pt idx="199">
                  <c:v>7.508591411215626E-2</c:v>
                </c:pt>
                <c:pt idx="200">
                  <c:v>7.5069808288557027E-2</c:v>
                </c:pt>
                <c:pt idx="201">
                  <c:v>7.505370591963656E-2</c:v>
                </c:pt>
                <c:pt idx="202">
                  <c:v>7.5037607004624918E-2</c:v>
                </c:pt>
                <c:pt idx="203">
                  <c:v>7.5021511542792685E-2</c:v>
                </c:pt>
                <c:pt idx="204">
                  <c:v>7.5005419533410445E-2</c:v>
                </c:pt>
                <c:pt idx="205">
                  <c:v>7.4989330975829827E-2</c:v>
                </c:pt>
                <c:pt idx="206">
                  <c:v>7.4973245869118799E-2</c:v>
                </c:pt>
                <c:pt idx="207">
                  <c:v>7.4957164212669514E-2</c:v>
                </c:pt>
                <c:pt idx="208">
                  <c:v>7.4941086005752555E-2</c:v>
                </c:pt>
                <c:pt idx="209">
                  <c:v>7.4925011247516937E-2</c:v>
                </c:pt>
                <c:pt idx="210">
                  <c:v>7.4908939937354813E-2</c:v>
                </c:pt>
                <c:pt idx="211">
                  <c:v>7.4892872074455719E-2</c:v>
                </c:pt>
                <c:pt idx="212">
                  <c:v>7.4876807658090239E-2</c:v>
                </c:pt>
                <c:pt idx="213">
                  <c:v>7.4860746687528956E-2</c:v>
                </c:pt>
                <c:pt idx="214">
                  <c:v>7.4844689161961409E-2</c:v>
                </c:pt>
                <c:pt idx="215">
                  <c:v>7.4828635080779748E-2</c:v>
                </c:pt>
                <c:pt idx="216">
                  <c:v>7.4812584443173513E-2</c:v>
                </c:pt>
                <c:pt idx="217">
                  <c:v>7.479653724833224E-2</c:v>
                </c:pt>
                <c:pt idx="218">
                  <c:v>7.4780493495688605E-2</c:v>
                </c:pt>
                <c:pt idx="219">
                  <c:v>7.4764453184351098E-2</c:v>
                </c:pt>
                <c:pt idx="220">
                  <c:v>7.4748416313671351E-2</c:v>
                </c:pt>
                <c:pt idx="221">
                  <c:v>7.4732382882838899E-2</c:v>
                </c:pt>
                <c:pt idx="222">
                  <c:v>7.471635289116485E-2</c:v>
                </c:pt>
                <c:pt idx="223">
                  <c:v>7.4700326337919787E-2</c:v>
                </c:pt>
                <c:pt idx="224">
                  <c:v>7.468430322233377E-2</c:v>
                </c:pt>
                <c:pt idx="225">
                  <c:v>7.4668283543677383E-2</c:v>
                </c:pt>
                <c:pt idx="226">
                  <c:v>7.4652267301261732E-2</c:v>
                </c:pt>
                <c:pt idx="227">
                  <c:v>7.4636254494235832E-2</c:v>
                </c:pt>
                <c:pt idx="228">
                  <c:v>7.4620245121991835E-2</c:v>
                </c:pt>
                <c:pt idx="229">
                  <c:v>7.4604239183759802E-2</c:v>
                </c:pt>
                <c:pt idx="230">
                  <c:v>7.4588236678688746E-2</c:v>
                </c:pt>
                <c:pt idx="231">
                  <c:v>7.4572237606211345E-2</c:v>
                </c:pt>
                <c:pt idx="232">
                  <c:v>7.4556241965476611E-2</c:v>
                </c:pt>
                <c:pt idx="233">
                  <c:v>7.4540249755755128E-2</c:v>
                </c:pt>
                <c:pt idx="234">
                  <c:v>7.452426097643905E-2</c:v>
                </c:pt>
                <c:pt idx="235">
                  <c:v>7.4508275626596343E-2</c:v>
                </c:pt>
                <c:pt idx="236">
                  <c:v>7.4492293705619161E-2</c:v>
                </c:pt>
                <c:pt idx="237">
                  <c:v>7.4476315212778088E-2</c:v>
                </c:pt>
                <c:pt idx="238">
                  <c:v>7.4460340147222137E-2</c:v>
                </c:pt>
                <c:pt idx="239">
                  <c:v>7.4444368508383985E-2</c:v>
                </c:pt>
                <c:pt idx="240">
                  <c:v>7.4428400295372121E-2</c:v>
                </c:pt>
                <c:pt idx="241">
                  <c:v>7.44124355075787E-2</c:v>
                </c:pt>
                <c:pt idx="242">
                  <c:v>7.4396474144152736E-2</c:v>
                </c:pt>
                <c:pt idx="243">
                  <c:v>7.4380516204445857E-2</c:v>
                </c:pt>
                <c:pt idx="244">
                  <c:v>7.4364561687688124E-2</c:v>
                </c:pt>
                <c:pt idx="245">
                  <c:v>7.4348610593190645E-2</c:v>
                </c:pt>
                <c:pt idx="246">
                  <c:v>7.4332662920102432E-2</c:v>
                </c:pt>
                <c:pt idx="247">
                  <c:v>7.431671866781564E-2</c:v>
                </c:pt>
                <c:pt idx="248">
                  <c:v>7.4300777835560328E-2</c:v>
                </c:pt>
                <c:pt idx="249">
                  <c:v>7.4284840422566556E-2</c:v>
                </c:pt>
                <c:pt idx="250">
                  <c:v>7.4268906428145431E-2</c:v>
                </c:pt>
                <c:pt idx="251">
                  <c:v>7.4252975851486491E-2</c:v>
                </c:pt>
                <c:pt idx="252">
                  <c:v>7.4237048692022412E-2</c:v>
                </c:pt>
                <c:pt idx="253">
                  <c:v>7.422112494882116E-2</c:v>
                </c:pt>
                <c:pt idx="254">
                  <c:v>7.4205204621234366E-2</c:v>
                </c:pt>
                <c:pt idx="255">
                  <c:v>7.418928770861366E-2</c:v>
                </c:pt>
                <c:pt idx="256">
                  <c:v>7.4173374210108056E-2</c:v>
                </c:pt>
                <c:pt idx="257">
                  <c:v>7.4157464124988137E-2</c:v>
                </c:pt>
                <c:pt idx="258">
                  <c:v>7.4141557452605533E-2</c:v>
                </c:pt>
                <c:pt idx="259">
                  <c:v>7.436958491692347E-2</c:v>
                </c:pt>
                <c:pt idx="260">
                  <c:v>7.4353580249942874E-2</c:v>
                </c:pt>
                <c:pt idx="261">
                  <c:v>7.4337579027226597E-2</c:v>
                </c:pt>
                <c:pt idx="262">
                  <c:v>7.4321581248045221E-2</c:v>
                </c:pt>
                <c:pt idx="263">
                  <c:v>7.430558691166933E-2</c:v>
                </c:pt>
                <c:pt idx="264">
                  <c:v>7.4289596017328985E-2</c:v>
                </c:pt>
                <c:pt idx="265">
                  <c:v>7.4273608564335292E-2</c:v>
                </c:pt>
                <c:pt idx="266">
                  <c:v>7.4257624551837265E-2</c:v>
                </c:pt>
                <c:pt idx="267">
                  <c:v>7.4241643979227057E-2</c:v>
                </c:pt>
                <c:pt idx="268">
                  <c:v>7.4225666845734728E-2</c:v>
                </c:pt>
                <c:pt idx="269">
                  <c:v>7.4209693150509293E-2</c:v>
                </c:pt>
                <c:pt idx="270">
                  <c:v>7.4193722892983427E-2</c:v>
                </c:pt>
                <c:pt idx="271">
                  <c:v>7.4177756072265622E-2</c:v>
                </c:pt>
                <c:pt idx="272">
                  <c:v>7.4161792687666983E-2</c:v>
                </c:pt>
                <c:pt idx="273">
                  <c:v>7.4145832738539141E-2</c:v>
                </c:pt>
                <c:pt idx="274">
                  <c:v>7.4129876223990587E-2</c:v>
                </c:pt>
                <c:pt idx="275">
                  <c:v>7.4113923143413474E-2</c:v>
                </c:pt>
                <c:pt idx="276">
                  <c:v>7.4097973495916292E-2</c:v>
                </c:pt>
                <c:pt idx="277">
                  <c:v>7.408202728097224E-2</c:v>
                </c:pt>
                <c:pt idx="278">
                  <c:v>7.4066084497649287E-2</c:v>
                </c:pt>
                <c:pt idx="279">
                  <c:v>7.4050145145339585E-2</c:v>
                </c:pt>
                <c:pt idx="280">
                  <c:v>7.4034209223151626E-2</c:v>
                </c:pt>
                <c:pt idx="281">
                  <c:v>7.4018276730558608E-2</c:v>
                </c:pt>
                <c:pt idx="282">
                  <c:v>7.4002347666628499E-2</c:v>
                </c:pt>
                <c:pt idx="283">
                  <c:v>7.3986422030753451E-2</c:v>
                </c:pt>
                <c:pt idx="284">
                  <c:v>7.3970499822123004E-2</c:v>
                </c:pt>
                <c:pt idx="285">
                  <c:v>7.3954581040048262E-2</c:v>
                </c:pt>
                <c:pt idx="286">
                  <c:v>7.3938665683718763E-2</c:v>
                </c:pt>
                <c:pt idx="287">
                  <c:v>7.3922753752486137E-2</c:v>
                </c:pt>
                <c:pt idx="288">
                  <c:v>7.3906845245539921E-2</c:v>
                </c:pt>
                <c:pt idx="289">
                  <c:v>7.3890940162231744E-2</c:v>
                </c:pt>
                <c:pt idx="290">
                  <c:v>7.3875038501710621E-2</c:v>
                </c:pt>
                <c:pt idx="291">
                  <c:v>7.3859140263287659E-2</c:v>
                </c:pt>
                <c:pt idx="292">
                  <c:v>7.3843245446314487E-2</c:v>
                </c:pt>
                <c:pt idx="293">
                  <c:v>7.3827354049899596E-2</c:v>
                </c:pt>
                <c:pt idx="294">
                  <c:v>7.3811466073435139E-2</c:v>
                </c:pt>
                <c:pt idx="295">
                  <c:v>7.3795581516110653E-2</c:v>
                </c:pt>
                <c:pt idx="296">
                  <c:v>7.3779700377196722E-2</c:v>
                </c:pt>
                <c:pt idx="297">
                  <c:v>7.3763822656004452E-2</c:v>
                </c:pt>
                <c:pt idx="298">
                  <c:v>7.3747948351763903E-2</c:v>
                </c:pt>
                <c:pt idx="299">
                  <c:v>7.373207746374566E-2</c:v>
                </c:pt>
                <c:pt idx="300">
                  <c:v>7.3716209991179782E-2</c:v>
                </c:pt>
                <c:pt idx="301">
                  <c:v>7.3700345933417899E-2</c:v>
                </c:pt>
                <c:pt idx="302">
                  <c:v>7.3684485289649548E-2</c:v>
                </c:pt>
                <c:pt idx="303">
                  <c:v>7.3668628059145314E-2</c:v>
                </c:pt>
                <c:pt idx="304">
                  <c:v>7.3652774241216301E-2</c:v>
                </c:pt>
                <c:pt idx="305">
                  <c:v>7.3636923835092571E-2</c:v>
                </c:pt>
                <c:pt idx="306">
                  <c:v>7.3621076840004185E-2</c:v>
                </c:pt>
                <c:pt idx="307">
                  <c:v>7.3605233255343294E-2</c:v>
                </c:pt>
                <c:pt idx="308">
                  <c:v>7.358939308021839E-2</c:v>
                </c:pt>
                <c:pt idx="309">
                  <c:v>7.3573556313981103E-2</c:v>
                </c:pt>
                <c:pt idx="310">
                  <c:v>7.3557722955942539E-2</c:v>
                </c:pt>
                <c:pt idx="311">
                  <c:v>7.3541893005251713E-2</c:v>
                </c:pt>
                <c:pt idx="312">
                  <c:v>7.3526066461260253E-2</c:v>
                </c:pt>
                <c:pt idx="313">
                  <c:v>7.3510243323198221E-2</c:v>
                </c:pt>
                <c:pt idx="314">
                  <c:v>7.3494423590376723E-2</c:v>
                </c:pt>
                <c:pt idx="315">
                  <c:v>7.3478607261985296E-2</c:v>
                </c:pt>
                <c:pt idx="316">
                  <c:v>7.3462794337416093E-2</c:v>
                </c:pt>
                <c:pt idx="317">
                  <c:v>7.3446984815777605E-2</c:v>
                </c:pt>
                <c:pt idx="318">
                  <c:v>7.3431178696461985E-2</c:v>
                </c:pt>
                <c:pt idx="319">
                  <c:v>7.341537597865877E-2</c:v>
                </c:pt>
                <c:pt idx="320">
                  <c:v>7.339957666171959E-2</c:v>
                </c:pt>
                <c:pt idx="321">
                  <c:v>7.3383780744833982E-2</c:v>
                </c:pt>
                <c:pt idx="322">
                  <c:v>7.3367988227313052E-2</c:v>
                </c:pt>
                <c:pt idx="323">
                  <c:v>7.3352199108386862E-2</c:v>
                </c:pt>
                <c:pt idx="324">
                  <c:v>7.333641338740704E-2</c:v>
                </c:pt>
                <c:pt idx="325">
                  <c:v>7.3320631063482078E-2</c:v>
                </c:pt>
                <c:pt idx="326">
                  <c:v>7.3304852136085175E-2</c:v>
                </c:pt>
                <c:pt idx="327">
                  <c:v>7.3289076604365344E-2</c:v>
                </c:pt>
                <c:pt idx="328">
                  <c:v>7.3273304467552647E-2</c:v>
                </c:pt>
                <c:pt idx="329">
                  <c:v>7.3257535725039236E-2</c:v>
                </c:pt>
                <c:pt idx="330">
                  <c:v>7.3241770376014648E-2</c:v>
                </c:pt>
                <c:pt idx="331">
                  <c:v>7.3226008419749467E-2</c:v>
                </c:pt>
                <c:pt idx="332">
                  <c:v>7.3210249855514276E-2</c:v>
                </c:pt>
                <c:pt idx="333">
                  <c:v>7.3194494682620181E-2</c:v>
                </c:pt>
                <c:pt idx="334">
                  <c:v>7.3178742900256721E-2</c:v>
                </c:pt>
                <c:pt idx="335">
                  <c:v>7.3162994507816048E-2</c:v>
                </c:pt>
                <c:pt idx="336">
                  <c:v>7.3147249504487699E-2</c:v>
                </c:pt>
                <c:pt idx="337">
                  <c:v>7.3131507889542258E-2</c:v>
                </c:pt>
                <c:pt idx="338">
                  <c:v>7.3115769662250307E-2</c:v>
                </c:pt>
                <c:pt idx="339">
                  <c:v>7.3100034821922955E-2</c:v>
                </c:pt>
                <c:pt idx="340">
                  <c:v>7.3084303367749737E-2</c:v>
                </c:pt>
                <c:pt idx="341">
                  <c:v>7.3068575299122807E-2</c:v>
                </c:pt>
                <c:pt idx="342">
                  <c:v>7.3052850615191178E-2</c:v>
                </c:pt>
                <c:pt idx="343">
                  <c:v>7.3037129315306482E-2</c:v>
                </c:pt>
                <c:pt idx="344">
                  <c:v>7.30214113987393E-2</c:v>
                </c:pt>
                <c:pt idx="345">
                  <c:v>7.300569686467917E-2</c:v>
                </c:pt>
                <c:pt idx="346">
                  <c:v>7.2989985712518246E-2</c:v>
                </c:pt>
                <c:pt idx="347">
                  <c:v>7.2974277941446064E-2</c:v>
                </c:pt>
                <c:pt idx="348">
                  <c:v>7.2958573550733208E-2</c:v>
                </c:pt>
                <c:pt idx="349">
                  <c:v>7.2942872539690784E-2</c:v>
                </c:pt>
                <c:pt idx="350">
                  <c:v>7.2927174907589376E-2</c:v>
                </c:pt>
                <c:pt idx="351">
                  <c:v>7.2603183497410018E-2</c:v>
                </c:pt>
                <c:pt idx="352">
                  <c:v>7.2587625034213343E-2</c:v>
                </c:pt>
                <c:pt idx="353">
                  <c:v>7.2572069905220138E-2</c:v>
                </c:pt>
                <c:pt idx="354">
                  <c:v>7.2556518109579415E-2</c:v>
                </c:pt>
                <c:pt idx="355">
                  <c:v>7.2540969646561759E-2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4-4519-B643-0EE01D2F822F}"/>
            </c:ext>
          </c:extLst>
        </c:ser>
        <c:ser>
          <c:idx val="4"/>
          <c:order val="4"/>
          <c:tx>
            <c:strRef>
              <c:f>'Daily Forward Rates'!$D$1</c:f>
              <c:strCache>
                <c:ptCount val="1"/>
                <c:pt idx="0">
                  <c:v>Market.LIVE.RateCurve.AUD-LIBOR-BBA-1M</c:v>
                </c:pt>
              </c:strCache>
            </c:strRef>
          </c:tx>
          <c:marker>
            <c:symbol val="none"/>
          </c:marker>
          <c:val>
            <c:numRef>
              <c:f>'Daily Forward Rates'!$D$2:$D$357</c:f>
              <c:numCache>
                <c:formatCode>0.00%</c:formatCode>
                <c:ptCount val="356"/>
                <c:pt idx="0">
                  <c:v>2.0998791850244114E-2</c:v>
                </c:pt>
                <c:pt idx="1">
                  <c:v>2.1246569357756262E-2</c:v>
                </c:pt>
                <c:pt idx="2">
                  <c:v>2.1494291827873768E-2</c:v>
                </c:pt>
                <c:pt idx="3">
                  <c:v>2.1741958760054803E-2</c:v>
                </c:pt>
                <c:pt idx="4">
                  <c:v>2.1989569653514396E-2</c:v>
                </c:pt>
                <c:pt idx="5">
                  <c:v>2.2237124008237519E-2</c:v>
                </c:pt>
                <c:pt idx="6">
                  <c:v>2.248462132392548E-2</c:v>
                </c:pt>
                <c:pt idx="7">
                  <c:v>2.2732061100968481E-2</c:v>
                </c:pt>
                <c:pt idx="8">
                  <c:v>2.3127274251928953E-2</c:v>
                </c:pt>
                <c:pt idx="9">
                  <c:v>2.3407416983182161E-2</c:v>
                </c:pt>
                <c:pt idx="10">
                  <c:v>2.368749072095222E-2</c:v>
                </c:pt>
                <c:pt idx="11">
                  <c:v>2.396749482545979E-2</c:v>
                </c:pt>
                <c:pt idx="12">
                  <c:v>2.4247428657128145E-2</c:v>
                </c:pt>
                <c:pt idx="13">
                  <c:v>2.4527291576664223E-2</c:v>
                </c:pt>
                <c:pt idx="14">
                  <c:v>2.4807082945261238E-2</c:v>
                </c:pt>
                <c:pt idx="15">
                  <c:v>2.3701043306894043E-2</c:v>
                </c:pt>
                <c:pt idx="16">
                  <c:v>2.3807740162404833E-2</c:v>
                </c:pt>
                <c:pt idx="17">
                  <c:v>2.3914413717839311E-2</c:v>
                </c:pt>
                <c:pt idx="18">
                  <c:v>2.4021063880399485E-2</c:v>
                </c:pt>
                <c:pt idx="19">
                  <c:v>2.4127690557084747E-2</c:v>
                </c:pt>
                <c:pt idx="20">
                  <c:v>2.4234293654975536E-2</c:v>
                </c:pt>
                <c:pt idx="21">
                  <c:v>2.4340873081273862E-2</c:v>
                </c:pt>
                <c:pt idx="22">
                  <c:v>2.4447428743181732E-2</c:v>
                </c:pt>
                <c:pt idx="23">
                  <c:v>2.4553960547901155E-2</c:v>
                </c:pt>
                <c:pt idx="24">
                  <c:v>2.4660468402674662E-2</c:v>
                </c:pt>
                <c:pt idx="25">
                  <c:v>2.4766952214906879E-2</c:v>
                </c:pt>
                <c:pt idx="26">
                  <c:v>2.4873411891840336E-2</c:v>
                </c:pt>
                <c:pt idx="27">
                  <c:v>2.4979847340879657E-2</c:v>
                </c:pt>
                <c:pt idx="28">
                  <c:v>2.5086258469510514E-2</c:v>
                </c:pt>
                <c:pt idx="29">
                  <c:v>2.519264518513753E-2</c:v>
                </c:pt>
                <c:pt idx="30">
                  <c:v>2.5299007395286899E-2</c:v>
                </c:pt>
                <c:pt idx="31">
                  <c:v>2.5405345007484814E-2</c:v>
                </c:pt>
                <c:pt idx="32">
                  <c:v>2.5511657929297993E-2</c:v>
                </c:pt>
                <c:pt idx="33">
                  <c:v>2.5617946068414721E-2</c:v>
                </c:pt>
                <c:pt idx="34">
                  <c:v>2.5034385260341296E-2</c:v>
                </c:pt>
                <c:pt idx="35">
                  <c:v>2.5101319985522674E-2</c:v>
                </c:pt>
                <c:pt idx="36">
                  <c:v>2.5168239745954057E-2</c:v>
                </c:pt>
                <c:pt idx="37">
                  <c:v>2.5235144505205143E-2</c:v>
                </c:pt>
                <c:pt idx="38">
                  <c:v>2.5302034226643011E-2</c:v>
                </c:pt>
                <c:pt idx="39">
                  <c:v>2.5368908873634743E-2</c:v>
                </c:pt>
                <c:pt idx="40">
                  <c:v>2.5435768409628468E-2</c:v>
                </c:pt>
                <c:pt idx="41">
                  <c:v>2.5502612798031787E-2</c:v>
                </c:pt>
                <c:pt idx="42">
                  <c:v>2.55694420024144E-2</c:v>
                </c:pt>
                <c:pt idx="43">
                  <c:v>2.5636255986183909E-2</c:v>
                </c:pt>
                <c:pt idx="44">
                  <c:v>2.5703054712828965E-2</c:v>
                </c:pt>
                <c:pt idx="45">
                  <c:v>2.5769838145797697E-2</c:v>
                </c:pt>
                <c:pt idx="46">
                  <c:v>2.5836606248821892E-2</c:v>
                </c:pt>
                <c:pt idx="47">
                  <c:v>2.5903358985147062E-2</c:v>
                </c:pt>
                <c:pt idx="48">
                  <c:v>2.5970096318504998E-2</c:v>
                </c:pt>
                <c:pt idx="49">
                  <c:v>2.6036818212505919E-2</c:v>
                </c:pt>
                <c:pt idx="50">
                  <c:v>2.6103524630597952E-2</c:v>
                </c:pt>
                <c:pt idx="51">
                  <c:v>2.6170215536391317E-2</c:v>
                </c:pt>
                <c:pt idx="52">
                  <c:v>2.623689089357728E-2</c:v>
                </c:pt>
                <c:pt idx="53">
                  <c:v>2.6303550665806585E-2</c:v>
                </c:pt>
                <c:pt idx="54">
                  <c:v>2.6370194816608405E-2</c:v>
                </c:pt>
                <c:pt idx="55">
                  <c:v>2.6436823309633484E-2</c:v>
                </c:pt>
                <c:pt idx="56">
                  <c:v>2.6503436108735179E-2</c:v>
                </c:pt>
                <c:pt idx="57">
                  <c:v>2.6570033177483188E-2</c:v>
                </c:pt>
                <c:pt idx="58">
                  <c:v>2.663661447948773E-2</c:v>
                </c:pt>
                <c:pt idx="59">
                  <c:v>2.6703179978602165E-2</c:v>
                </c:pt>
                <c:pt idx="60">
                  <c:v>2.6769729638517759E-2</c:v>
                </c:pt>
                <c:pt idx="61">
                  <c:v>2.6836263423128393E-2</c:v>
                </c:pt>
                <c:pt idx="62">
                  <c:v>2.6902781295882194E-2</c:v>
                </c:pt>
                <c:pt idx="63">
                  <c:v>2.685427790406536E-2</c:v>
                </c:pt>
                <c:pt idx="64">
                  <c:v>2.6917189226117189E-2</c:v>
                </c:pt>
                <c:pt idx="65">
                  <c:v>2.6980085481381755E-2</c:v>
                </c:pt>
                <c:pt idx="66">
                  <c:v>2.704296663748107E-2</c:v>
                </c:pt>
                <c:pt idx="67">
                  <c:v>2.7105832661915574E-2</c:v>
                </c:pt>
                <c:pt idx="68">
                  <c:v>2.7168683522631465E-2</c:v>
                </c:pt>
                <c:pt idx="69">
                  <c:v>2.723151918696709E-2</c:v>
                </c:pt>
                <c:pt idx="70">
                  <c:v>2.72943396227876E-2</c:v>
                </c:pt>
                <c:pt idx="71">
                  <c:v>2.7357144797674482E-2</c:v>
                </c:pt>
                <c:pt idx="72">
                  <c:v>2.7419934679411839E-2</c:v>
                </c:pt>
                <c:pt idx="73">
                  <c:v>2.7482709235621683E-2</c:v>
                </c:pt>
                <c:pt idx="74">
                  <c:v>2.7545468434128639E-2</c:v>
                </c:pt>
                <c:pt idx="75">
                  <c:v>2.7608212242595243E-2</c:v>
                </c:pt>
                <c:pt idx="76">
                  <c:v>2.7670940628805596E-2</c:v>
                </c:pt>
                <c:pt idx="77">
                  <c:v>2.7733653560462757E-2</c:v>
                </c:pt>
                <c:pt idx="78">
                  <c:v>2.7796351005593967E-2</c:v>
                </c:pt>
                <c:pt idx="79">
                  <c:v>2.7859032931740191E-2</c:v>
                </c:pt>
                <c:pt idx="80">
                  <c:v>2.7921699306807102E-2</c:v>
                </c:pt>
                <c:pt idx="81">
                  <c:v>2.7984350098619326E-2</c:v>
                </c:pt>
                <c:pt idx="82">
                  <c:v>2.804698527500149E-2</c:v>
                </c:pt>
                <c:pt idx="83">
                  <c:v>2.8109604803859267E-2</c:v>
                </c:pt>
                <c:pt idx="84">
                  <c:v>2.8172208653017283E-2</c:v>
                </c:pt>
                <c:pt idx="85">
                  <c:v>2.8234796790381211E-2</c:v>
                </c:pt>
                <c:pt idx="86">
                  <c:v>2.8297369183856724E-2</c:v>
                </c:pt>
                <c:pt idx="87">
                  <c:v>2.8359925801268449E-2</c:v>
                </c:pt>
                <c:pt idx="88">
                  <c:v>2.8422466610765196E-2</c:v>
                </c:pt>
                <c:pt idx="89">
                  <c:v>2.8484991580090546E-2</c:v>
                </c:pt>
                <c:pt idx="90">
                  <c:v>2.8547500677271742E-2</c:v>
                </c:pt>
                <c:pt idx="91">
                  <c:v>2.8609993870295503E-2</c:v>
                </c:pt>
                <c:pt idx="92">
                  <c:v>2.86724711270675E-2</c:v>
                </c:pt>
                <c:pt idx="93">
                  <c:v>2.5320738973323431E-2</c:v>
                </c:pt>
                <c:pt idx="94">
                  <c:v>2.5311081468800123E-2</c:v>
                </c:pt>
                <c:pt idx="95">
                  <c:v>2.530142572816807E-2</c:v>
                </c:pt>
                <c:pt idx="96">
                  <c:v>2.5291771750900471E-2</c:v>
                </c:pt>
                <c:pt idx="97">
                  <c:v>2.5282119536024772E-2</c:v>
                </c:pt>
                <c:pt idx="98">
                  <c:v>2.5272469082852078E-2</c:v>
                </c:pt>
                <c:pt idx="99">
                  <c:v>2.526282039061245E-2</c:v>
                </c:pt>
                <c:pt idx="100">
                  <c:v>2.5253173458616995E-2</c:v>
                </c:pt>
                <c:pt idx="101">
                  <c:v>2.5243528285974204E-2</c:v>
                </c:pt>
                <c:pt idx="102">
                  <c:v>2.5233884872238321E-2</c:v>
                </c:pt>
                <c:pt idx="103">
                  <c:v>2.5224243216315223E-2</c:v>
                </c:pt>
                <c:pt idx="104">
                  <c:v>2.5214603317678108E-2</c:v>
                </c:pt>
                <c:pt idx="105">
                  <c:v>2.5204965175394944E-2</c:v>
                </c:pt>
                <c:pt idx="106">
                  <c:v>2.5195328788938931E-2</c:v>
                </c:pt>
                <c:pt idx="107">
                  <c:v>2.5185694157256466E-2</c:v>
                </c:pt>
                <c:pt idx="108">
                  <c:v>2.5176061280023365E-2</c:v>
                </c:pt>
                <c:pt idx="109">
                  <c:v>2.5166430156145503E-2</c:v>
                </c:pt>
                <c:pt idx="110">
                  <c:v>2.5156800784974509E-2</c:v>
                </c:pt>
                <c:pt idx="111">
                  <c:v>2.5147173165780967E-2</c:v>
                </c:pt>
                <c:pt idx="112">
                  <c:v>2.5137547297835461E-2</c:v>
                </c:pt>
                <c:pt idx="113">
                  <c:v>2.5127923180205958E-2</c:v>
                </c:pt>
                <c:pt idx="114">
                  <c:v>2.5118300812568273E-2</c:v>
                </c:pt>
                <c:pt idx="115">
                  <c:v>2.5108680193747235E-2</c:v>
                </c:pt>
                <c:pt idx="116">
                  <c:v>2.509906132317552E-2</c:v>
                </c:pt>
                <c:pt idx="117">
                  <c:v>2.5089444200123712E-2</c:v>
                </c:pt>
                <c:pt idx="118">
                  <c:v>2.5079828823659778E-2</c:v>
                </c:pt>
                <c:pt idx="119">
                  <c:v>2.507021519341901E-2</c:v>
                </c:pt>
                <c:pt idx="120">
                  <c:v>2.5060603308307283E-2</c:v>
                </c:pt>
                <c:pt idx="121">
                  <c:v>2.5050993167676228E-2</c:v>
                </c:pt>
                <c:pt idx="122">
                  <c:v>2.5041384770877473E-2</c:v>
                </c:pt>
                <c:pt idx="123">
                  <c:v>2.503177811701951E-2</c:v>
                </c:pt>
                <c:pt idx="124">
                  <c:v>2.5022173205291875E-2</c:v>
                </c:pt>
                <c:pt idx="125">
                  <c:v>2.5012570035370385E-2</c:v>
                </c:pt>
                <c:pt idx="126">
                  <c:v>2.5002968606079867E-2</c:v>
                </c:pt>
                <c:pt idx="127">
                  <c:v>2.4993368916852998E-2</c:v>
                </c:pt>
                <c:pt idx="128">
                  <c:v>2.4983770966838792E-2</c:v>
                </c:pt>
                <c:pt idx="129">
                  <c:v>2.4974174755388878E-2</c:v>
                </c:pt>
                <c:pt idx="130">
                  <c:v>2.4964580281652271E-2</c:v>
                </c:pt>
                <c:pt idx="131">
                  <c:v>2.4954987545142693E-2</c:v>
                </c:pt>
                <c:pt idx="132">
                  <c:v>2.4945396544887588E-2</c:v>
                </c:pt>
                <c:pt idx="133">
                  <c:v>2.493580728015754E-2</c:v>
                </c:pt>
                <c:pt idx="134">
                  <c:v>2.4926219750263656E-2</c:v>
                </c:pt>
                <c:pt idx="135">
                  <c:v>2.4916633954435996E-2</c:v>
                </c:pt>
                <c:pt idx="136">
                  <c:v>2.4907049891823574E-2</c:v>
                </c:pt>
                <c:pt idx="137">
                  <c:v>2.4897467562021158E-2</c:v>
                </c:pt>
                <c:pt idx="138">
                  <c:v>2.4887886964015671E-2</c:v>
                </c:pt>
                <c:pt idx="139">
                  <c:v>2.4878308097037172E-2</c:v>
                </c:pt>
                <c:pt idx="140">
                  <c:v>2.4868730960477814E-2</c:v>
                </c:pt>
                <c:pt idx="141">
                  <c:v>2.4859155553405565E-2</c:v>
                </c:pt>
                <c:pt idx="142">
                  <c:v>2.4849581875455717E-2</c:v>
                </c:pt>
                <c:pt idx="143">
                  <c:v>2.4840009925534146E-2</c:v>
                </c:pt>
                <c:pt idx="144">
                  <c:v>2.4830439702992479E-2</c:v>
                </c:pt>
                <c:pt idx="145">
                  <c:v>2.4820871207101303E-2</c:v>
                </c:pt>
                <c:pt idx="146">
                  <c:v>2.4811304437171722E-2</c:v>
                </c:pt>
                <c:pt idx="147">
                  <c:v>2.4801739392231181E-2</c:v>
                </c:pt>
                <c:pt idx="148">
                  <c:v>2.4792176071996019E-2</c:v>
                </c:pt>
                <c:pt idx="149">
                  <c:v>2.4782614475372111E-2</c:v>
                </c:pt>
                <c:pt idx="150">
                  <c:v>2.477305460163004E-2</c:v>
                </c:pt>
                <c:pt idx="151">
                  <c:v>2.4763496450161959E-2</c:v>
                </c:pt>
                <c:pt idx="152">
                  <c:v>2.4753940020157406E-2</c:v>
                </c:pt>
                <c:pt idx="153">
                  <c:v>2.4744385310765393E-2</c:v>
                </c:pt>
                <c:pt idx="154">
                  <c:v>2.4734832321580691E-2</c:v>
                </c:pt>
                <c:pt idx="155">
                  <c:v>2.472528105159022E-2</c:v>
                </c:pt>
                <c:pt idx="156">
                  <c:v>2.4715731500064564E-2</c:v>
                </c:pt>
                <c:pt idx="157">
                  <c:v>2.4706183666355352E-2</c:v>
                </c:pt>
                <c:pt idx="158">
                  <c:v>2.4696637549652123E-2</c:v>
                </c:pt>
                <c:pt idx="159">
                  <c:v>2.4687093149144412E-2</c:v>
                </c:pt>
                <c:pt idx="160">
                  <c:v>2.4677550464426989E-2</c:v>
                </c:pt>
                <c:pt idx="161">
                  <c:v>2.4668009494486776E-2</c:v>
                </c:pt>
                <c:pt idx="162">
                  <c:v>2.6136348106706175E-2</c:v>
                </c:pt>
                <c:pt idx="163">
                  <c:v>2.6144734275949655E-2</c:v>
                </c:pt>
                <c:pt idx="164">
                  <c:v>2.6153118327980618E-2</c:v>
                </c:pt>
                <c:pt idx="165">
                  <c:v>2.6161500262272264E-2</c:v>
                </c:pt>
                <c:pt idx="166">
                  <c:v>2.6169880078257268E-2</c:v>
                </c:pt>
                <c:pt idx="167">
                  <c:v>2.6178257775368308E-2</c:v>
                </c:pt>
                <c:pt idx="168">
                  <c:v>2.6186633353038058E-2</c:v>
                </c:pt>
                <c:pt idx="169">
                  <c:v>2.6195006810780241E-2</c:v>
                </c:pt>
                <c:pt idx="170">
                  <c:v>2.6203378147946488E-2</c:v>
                </c:pt>
                <c:pt idx="171">
                  <c:v>2.6211747364009996E-2</c:v>
                </c:pt>
                <c:pt idx="172">
                  <c:v>2.6220114458403443E-2</c:v>
                </c:pt>
                <c:pt idx="173">
                  <c:v>2.6228479430681073E-2</c:v>
                </c:pt>
                <c:pt idx="174">
                  <c:v>2.6236842280072947E-2</c:v>
                </c:pt>
                <c:pt idx="175">
                  <c:v>2.6245203006214357E-2</c:v>
                </c:pt>
                <c:pt idx="176">
                  <c:v>2.6253561608497455E-2</c:v>
                </c:pt>
                <c:pt idx="177">
                  <c:v>2.6261918086314395E-2</c:v>
                </c:pt>
                <c:pt idx="178">
                  <c:v>2.6270272439138376E-2</c:v>
                </c:pt>
                <c:pt idx="179">
                  <c:v>2.6278624666402073E-2</c:v>
                </c:pt>
                <c:pt idx="180">
                  <c:v>2.6286974767659732E-2</c:v>
                </c:pt>
                <c:pt idx="181">
                  <c:v>2.6295322742181937E-2</c:v>
                </c:pt>
                <c:pt idx="182">
                  <c:v>2.6303668589522933E-2</c:v>
                </c:pt>
                <c:pt idx="183">
                  <c:v>2.6312012309115396E-2</c:v>
                </c:pt>
                <c:pt idx="184">
                  <c:v>2.6320353900392002E-2</c:v>
                </c:pt>
                <c:pt idx="185">
                  <c:v>2.632869336282595E-2</c:v>
                </c:pt>
                <c:pt idx="186">
                  <c:v>2.6337030695687824E-2</c:v>
                </c:pt>
                <c:pt idx="187">
                  <c:v>2.6345365898856055E-2</c:v>
                </c:pt>
                <c:pt idx="188">
                  <c:v>2.6353698971358086E-2</c:v>
                </c:pt>
                <c:pt idx="189">
                  <c:v>2.636202991282921E-2</c:v>
                </c:pt>
                <c:pt idx="190">
                  <c:v>2.637035872266158E-2</c:v>
                </c:pt>
                <c:pt idx="191">
                  <c:v>2.6378685400287871E-2</c:v>
                </c:pt>
                <c:pt idx="192">
                  <c:v>2.6387009945221807E-2</c:v>
                </c:pt>
                <c:pt idx="193">
                  <c:v>2.6395332356855539E-2</c:v>
                </c:pt>
                <c:pt idx="194">
                  <c:v>2.6403652634662267E-2</c:v>
                </c:pt>
                <c:pt idx="195">
                  <c:v>2.641197077811519E-2</c:v>
                </c:pt>
                <c:pt idx="196">
                  <c:v>2.6420286786646985E-2</c:v>
                </c:pt>
                <c:pt idx="197">
                  <c:v>2.6428600659690327E-2</c:v>
                </c:pt>
                <c:pt idx="198">
                  <c:v>2.6436912396718415E-2</c:v>
                </c:pt>
                <c:pt idx="199">
                  <c:v>2.6445221997123403E-2</c:v>
                </c:pt>
                <c:pt idx="200">
                  <c:v>2.6453529460459535E-2</c:v>
                </c:pt>
                <c:pt idx="201">
                  <c:v>2.6461834786118965E-2</c:v>
                </c:pt>
                <c:pt idx="202">
                  <c:v>2.6470137973534369E-2</c:v>
                </c:pt>
                <c:pt idx="203">
                  <c:v>2.6478439022219469E-2</c:v>
                </c:pt>
                <c:pt idx="204">
                  <c:v>2.6486737931566418E-2</c:v>
                </c:pt>
                <c:pt idx="205">
                  <c:v>2.6495034701048414E-2</c:v>
                </c:pt>
                <c:pt idx="206">
                  <c:v>2.6503329330098135E-2</c:v>
                </c:pt>
                <c:pt idx="207">
                  <c:v>2.6511621818269826E-2</c:v>
                </c:pt>
                <c:pt idx="208">
                  <c:v>2.6519912164874593E-2</c:v>
                </c:pt>
                <c:pt idx="209">
                  <c:v>2.6528200369426158E-2</c:v>
                </c:pt>
                <c:pt idx="210">
                  <c:v>2.6536486431438244E-2</c:v>
                </c:pt>
                <c:pt idx="211">
                  <c:v>2.6544770350303004E-2</c:v>
                </c:pt>
                <c:pt idx="212">
                  <c:v>2.6553052125412591E-2</c:v>
                </c:pt>
                <c:pt idx="213">
                  <c:v>2.6561331756402295E-2</c:v>
                </c:pt>
                <c:pt idx="214">
                  <c:v>2.6569609242502179E-2</c:v>
                </c:pt>
                <c:pt idx="215">
                  <c:v>2.6577884583388056E-2</c:v>
                </c:pt>
                <c:pt idx="216">
                  <c:v>2.658615777833051E-2</c:v>
                </c:pt>
                <c:pt idx="217">
                  <c:v>2.659442882692431E-2</c:v>
                </c:pt>
                <c:pt idx="218">
                  <c:v>2.6602697728521085E-2</c:v>
                </c:pt>
                <c:pt idx="219">
                  <c:v>2.6610964482675081E-2</c:v>
                </c:pt>
                <c:pt idx="220">
                  <c:v>2.6619229088778451E-2</c:v>
                </c:pt>
                <c:pt idx="221">
                  <c:v>2.6627491546304394E-2</c:v>
                </c:pt>
                <c:pt idx="222">
                  <c:v>2.6635751854685585E-2</c:v>
                </c:pt>
                <c:pt idx="223">
                  <c:v>2.6644010013395225E-2</c:v>
                </c:pt>
                <c:pt idx="224">
                  <c:v>2.6652266021947035E-2</c:v>
                </c:pt>
                <c:pt idx="225">
                  <c:v>2.6660519879733169E-2</c:v>
                </c:pt>
                <c:pt idx="226">
                  <c:v>2.6668771586267348E-2</c:v>
                </c:pt>
                <c:pt idx="227">
                  <c:v>2.6677021140901203E-2</c:v>
                </c:pt>
                <c:pt idx="228">
                  <c:v>2.6685268543188978E-2</c:v>
                </c:pt>
                <c:pt idx="229">
                  <c:v>2.6693513792603873E-2</c:v>
                </c:pt>
                <c:pt idx="230">
                  <c:v>2.6701756888578565E-2</c:v>
                </c:pt>
                <c:pt idx="231">
                  <c:v>2.670999783030259E-2</c:v>
                </c:pt>
                <c:pt idx="232">
                  <c:v>2.671823661793804E-2</c:v>
                </c:pt>
                <c:pt idx="233">
                  <c:v>2.6726473250309746E-2</c:v>
                </c:pt>
                <c:pt idx="234">
                  <c:v>2.6734707727052998E-2</c:v>
                </c:pt>
                <c:pt idx="235">
                  <c:v>2.6742940047681518E-2</c:v>
                </c:pt>
                <c:pt idx="236">
                  <c:v>2.6751170211627984E-2</c:v>
                </c:pt>
                <c:pt idx="237">
                  <c:v>2.675939821832507E-2</c:v>
                </c:pt>
                <c:pt idx="238">
                  <c:v>2.6767624067245976E-2</c:v>
                </c:pt>
                <c:pt idx="239">
                  <c:v>2.6775847757944948E-2</c:v>
                </c:pt>
                <c:pt idx="240">
                  <c:v>2.6784069289733092E-2</c:v>
                </c:pt>
                <c:pt idx="241">
                  <c:v>2.6792288662205177E-2</c:v>
                </c:pt>
                <c:pt idx="242">
                  <c:v>2.6800505874753355E-2</c:v>
                </c:pt>
                <c:pt idx="243">
                  <c:v>2.6808720926850826E-2</c:v>
                </c:pt>
                <c:pt idx="244">
                  <c:v>2.6816933818011313E-2</c:v>
                </c:pt>
                <c:pt idx="245">
                  <c:v>2.6825144547586444E-2</c:v>
                </c:pt>
                <c:pt idx="246">
                  <c:v>2.6833353115130465E-2</c:v>
                </c:pt>
                <c:pt idx="247">
                  <c:v>2.6841559520157099E-2</c:v>
                </c:pt>
                <c:pt idx="248">
                  <c:v>2.6849763761977452E-2</c:v>
                </c:pt>
                <c:pt idx="249">
                  <c:v>2.6857965840186293E-2</c:v>
                </c:pt>
                <c:pt idx="250">
                  <c:v>2.6866165754216298E-2</c:v>
                </c:pt>
                <c:pt idx="251">
                  <c:v>2.6874363503500143E-2</c:v>
                </c:pt>
                <c:pt idx="252">
                  <c:v>2.6882559087511027E-2</c:v>
                </c:pt>
                <c:pt idx="253">
                  <c:v>2.6923033053078971E-2</c:v>
                </c:pt>
                <c:pt idx="254">
                  <c:v>2.6931473530016903E-2</c:v>
                </c:pt>
                <c:pt idx="255">
                  <c:v>2.6939911780086701E-2</c:v>
                </c:pt>
                <c:pt idx="256">
                  <c:v>2.6948347801789008E-2</c:v>
                </c:pt>
                <c:pt idx="257">
                  <c:v>2.6956781595366963E-2</c:v>
                </c:pt>
                <c:pt idx="258">
                  <c:v>2.6965213159523826E-2</c:v>
                </c:pt>
                <c:pt idx="259">
                  <c:v>2.697364249442169E-2</c:v>
                </c:pt>
                <c:pt idx="260">
                  <c:v>2.6982069598966429E-2</c:v>
                </c:pt>
                <c:pt idx="261">
                  <c:v>2.6990494472509674E-2</c:v>
                </c:pt>
                <c:pt idx="262">
                  <c:v>2.6998917115172993E-2</c:v>
                </c:pt>
                <c:pt idx="263">
                  <c:v>2.7007337525538078E-2</c:v>
                </c:pt>
                <c:pt idx="264">
                  <c:v>2.7015755703848066E-2</c:v>
                </c:pt>
                <c:pt idx="265">
                  <c:v>2.7024171648684647E-2</c:v>
                </c:pt>
                <c:pt idx="266">
                  <c:v>2.7032585360453054E-2</c:v>
                </c:pt>
                <c:pt idx="267">
                  <c:v>2.7040996837816023E-2</c:v>
                </c:pt>
                <c:pt idx="268">
                  <c:v>2.7049406080206229E-2</c:v>
                </c:pt>
                <c:pt idx="269">
                  <c:v>2.7057813087866811E-2</c:v>
                </c:pt>
                <c:pt idx="270">
                  <c:v>2.7066217859217367E-2</c:v>
                </c:pt>
                <c:pt idx="271">
                  <c:v>2.7074620394582083E-2</c:v>
                </c:pt>
                <c:pt idx="272">
                  <c:v>2.7083020692583171E-2</c:v>
                </c:pt>
                <c:pt idx="273">
                  <c:v>2.7091418753504293E-2</c:v>
                </c:pt>
                <c:pt idx="274">
                  <c:v>2.7099814576089232E-2</c:v>
                </c:pt>
                <c:pt idx="275">
                  <c:v>2.7108208159892233E-2</c:v>
                </c:pt>
                <c:pt idx="276">
                  <c:v>2.7116599504872774E-2</c:v>
                </c:pt>
                <c:pt idx="277">
                  <c:v>2.7124988609653067E-2</c:v>
                </c:pt>
                <c:pt idx="278">
                  <c:v>2.7133375474597821E-2</c:v>
                </c:pt>
                <c:pt idx="279">
                  <c:v>2.7141760098167156E-2</c:v>
                </c:pt>
                <c:pt idx="280">
                  <c:v>2.7150142480806827E-2</c:v>
                </c:pt>
                <c:pt idx="281">
                  <c:v>2.715852262117957E-2</c:v>
                </c:pt>
                <c:pt idx="282">
                  <c:v>2.7166900518799109E-2</c:v>
                </c:pt>
                <c:pt idx="283">
                  <c:v>2.7175276173705964E-2</c:v>
                </c:pt>
                <c:pt idx="284">
                  <c:v>2.7183649584522351E-2</c:v>
                </c:pt>
                <c:pt idx="285">
                  <c:v>2.7192020751531931E-2</c:v>
                </c:pt>
                <c:pt idx="286">
                  <c:v>2.7200389673356917E-2</c:v>
                </c:pt>
                <c:pt idx="287">
                  <c:v>2.7208756350240448E-2</c:v>
                </c:pt>
                <c:pt idx="288">
                  <c:v>2.7217120781007353E-2</c:v>
                </c:pt>
                <c:pt idx="289">
                  <c:v>2.7225482965049785E-2</c:v>
                </c:pt>
                <c:pt idx="290">
                  <c:v>2.7233842902610883E-2</c:v>
                </c:pt>
                <c:pt idx="291">
                  <c:v>2.7242200592069721E-2</c:v>
                </c:pt>
                <c:pt idx="292">
                  <c:v>2.7250556033912576E-2</c:v>
                </c:pt>
                <c:pt idx="293">
                  <c:v>2.7258909226559047E-2</c:v>
                </c:pt>
                <c:pt idx="294">
                  <c:v>2.7267260170495411E-2</c:v>
                </c:pt>
                <c:pt idx="295">
                  <c:v>2.7275608864343881E-2</c:v>
                </c:pt>
                <c:pt idx="296">
                  <c:v>2.728395530761818E-2</c:v>
                </c:pt>
                <c:pt idx="297">
                  <c:v>2.7292299500520922E-2</c:v>
                </c:pt>
                <c:pt idx="298">
                  <c:v>2.7300641441390661E-2</c:v>
                </c:pt>
                <c:pt idx="299">
                  <c:v>2.7308981130835241E-2</c:v>
                </c:pt>
                <c:pt idx="300">
                  <c:v>2.7317318567152693E-2</c:v>
                </c:pt>
                <c:pt idx="301">
                  <c:v>2.7325653750910339E-2</c:v>
                </c:pt>
                <c:pt idx="302">
                  <c:v>2.733398668068987E-2</c:v>
                </c:pt>
                <c:pt idx="303">
                  <c:v>2.7342317356045531E-2</c:v>
                </c:pt>
                <c:pt idx="304">
                  <c:v>2.7350645777098892E-2</c:v>
                </c:pt>
                <c:pt idx="305">
                  <c:v>2.7358971942350596E-2</c:v>
                </c:pt>
                <c:pt idx="306">
                  <c:v>2.7367295852205875E-2</c:v>
                </c:pt>
                <c:pt idx="307">
                  <c:v>2.737561750512485E-2</c:v>
                </c:pt>
                <c:pt idx="308">
                  <c:v>2.7383936901593797E-2</c:v>
                </c:pt>
                <c:pt idx="309">
                  <c:v>2.7392254040315978E-2</c:v>
                </c:pt>
                <c:pt idx="310">
                  <c:v>2.7400568920602497E-2</c:v>
                </c:pt>
                <c:pt idx="311">
                  <c:v>2.7408881542858587E-2</c:v>
                </c:pt>
                <c:pt idx="312">
                  <c:v>2.7417191905382277E-2</c:v>
                </c:pt>
                <c:pt idx="313">
                  <c:v>2.7425500008740888E-2</c:v>
                </c:pt>
                <c:pt idx="314">
                  <c:v>2.7433805851232451E-2</c:v>
                </c:pt>
                <c:pt idx="315">
                  <c:v>2.7442109433505335E-2</c:v>
                </c:pt>
                <c:pt idx="316">
                  <c:v>2.7450410754060184E-2</c:v>
                </c:pt>
                <c:pt idx="317">
                  <c:v>2.7458709812491766E-2</c:v>
                </c:pt>
                <c:pt idx="318">
                  <c:v>2.7467006608921651E-2</c:v>
                </c:pt>
                <c:pt idx="319">
                  <c:v>2.7475301141891006E-2</c:v>
                </c:pt>
                <c:pt idx="320">
                  <c:v>2.7483593411724017E-2</c:v>
                </c:pt>
                <c:pt idx="321">
                  <c:v>2.7491883417002372E-2</c:v>
                </c:pt>
                <c:pt idx="322">
                  <c:v>2.7500171158131304E-2</c:v>
                </c:pt>
                <c:pt idx="323">
                  <c:v>2.7508456633773548E-2</c:v>
                </c:pt>
                <c:pt idx="324">
                  <c:v>2.7516739843402305E-2</c:v>
                </c:pt>
                <c:pt idx="325">
                  <c:v>2.7525020787301235E-2</c:v>
                </c:pt>
                <c:pt idx="326">
                  <c:v>2.7533299463768368E-2</c:v>
                </c:pt>
                <c:pt idx="327">
                  <c:v>2.7541575873452073E-2</c:v>
                </c:pt>
                <c:pt idx="328">
                  <c:v>2.7549850014609856E-2</c:v>
                </c:pt>
                <c:pt idx="329">
                  <c:v>2.7558121887890086E-2</c:v>
                </c:pt>
                <c:pt idx="330">
                  <c:v>2.756639149183393E-2</c:v>
                </c:pt>
                <c:pt idx="331">
                  <c:v>2.7574658825995635E-2</c:v>
                </c:pt>
                <c:pt idx="332">
                  <c:v>2.7582923890537292E-2</c:v>
                </c:pt>
                <c:pt idx="333">
                  <c:v>2.7591186683919022E-2</c:v>
                </c:pt>
                <c:pt idx="334">
                  <c:v>2.7599447206667627E-2</c:v>
                </c:pt>
                <c:pt idx="335">
                  <c:v>2.7607705457081133E-2</c:v>
                </c:pt>
                <c:pt idx="336">
                  <c:v>2.7615961435848435E-2</c:v>
                </c:pt>
                <c:pt idx="337">
                  <c:v>2.76242151415107E-2</c:v>
                </c:pt>
                <c:pt idx="338">
                  <c:v>2.7632466573460079E-2</c:v>
                </c:pt>
                <c:pt idx="339">
                  <c:v>2.7640715732142329E-2</c:v>
                </c:pt>
                <c:pt idx="340">
                  <c:v>2.7648962615774431E-2</c:v>
                </c:pt>
                <c:pt idx="341">
                  <c:v>2.7657207225045277E-2</c:v>
                </c:pt>
                <c:pt idx="342">
                  <c:v>2.7665449558171851E-2</c:v>
                </c:pt>
                <c:pt idx="343">
                  <c:v>2.7673689615843045E-2</c:v>
                </c:pt>
                <c:pt idx="344">
                  <c:v>2.7697020915478654E-2</c:v>
                </c:pt>
                <c:pt idx="345">
                  <c:v>2.7705341521563343E-2</c:v>
                </c:pt>
                <c:pt idx="346">
                  <c:v>2.7713659828081383E-2</c:v>
                </c:pt>
                <c:pt idx="347">
                  <c:v>2.7721975834262835E-2</c:v>
                </c:pt>
                <c:pt idx="348">
                  <c:v>2.7730289540512931E-2</c:v>
                </c:pt>
                <c:pt idx="349">
                  <c:v>2.7738600945210745E-2</c:v>
                </c:pt>
                <c:pt idx="350">
                  <c:v>2.7746910048234708E-2</c:v>
                </c:pt>
                <c:pt idx="351">
                  <c:v>2.7755216849017494E-2</c:v>
                </c:pt>
                <c:pt idx="352">
                  <c:v>2.776352134670812E-2</c:v>
                </c:pt>
                <c:pt idx="353">
                  <c:v>2.7771823541590246E-2</c:v>
                </c:pt>
                <c:pt idx="354">
                  <c:v>2.7780123432367132E-2</c:v>
                </c:pt>
                <c:pt idx="355">
                  <c:v>2.7788421018593024E-2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64-4519-B643-0EE01D2F8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348480"/>
        <c:axId val="121350016"/>
      </c:lineChart>
      <c:dateAx>
        <c:axId val="121348480"/>
        <c:scaling>
          <c:orientation val="minMax"/>
        </c:scaling>
        <c:delete val="0"/>
        <c:axPos val="b"/>
        <c:numFmt formatCode="d/m/yyyy;@" sourceLinked="1"/>
        <c:majorTickMark val="out"/>
        <c:minorTickMark val="none"/>
        <c:tickLblPos val="nextTo"/>
        <c:crossAx val="121350016"/>
        <c:crosses val="autoZero"/>
        <c:auto val="1"/>
        <c:lblOffset val="100"/>
        <c:baseTimeUnit val="days"/>
      </c:dateAx>
      <c:valAx>
        <c:axId val="12135001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21348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11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ex.watt@nab.com.au" TargetMode="External"/><Relationship Id="rId2" Type="http://schemas.openxmlformats.org/officeDocument/2006/relationships/hyperlink" Target="mailto:alex.watt@nab.com.au" TargetMode="External"/><Relationship Id="rId1" Type="http://schemas.openxmlformats.org/officeDocument/2006/relationships/hyperlink" Target="mailto:alex.watt@nab.com.au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lex.watt@nab.com.au" TargetMode="External"/><Relationship Id="rId1" Type="http://schemas.openxmlformats.org/officeDocument/2006/relationships/hyperlink" Target="mailto:alex.watt@nab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G130"/>
  <sheetViews>
    <sheetView tabSelected="1" workbookViewId="0">
      <selection activeCell="K56" sqref="K56"/>
    </sheetView>
  </sheetViews>
  <sheetFormatPr defaultRowHeight="12.75"/>
  <cols>
    <col min="1" max="1" width="5.140625" bestFit="1" customWidth="1"/>
    <col min="2" max="2" width="21.42578125" style="22" bestFit="1" customWidth="1"/>
    <col min="3" max="3" width="27.42578125" style="22" bestFit="1" customWidth="1"/>
    <col min="4" max="4" width="10.85546875" bestFit="1" customWidth="1"/>
    <col min="5" max="5" width="3.28515625" bestFit="1" customWidth="1"/>
    <col min="6" max="6" width="23.140625" style="22" bestFit="1" customWidth="1"/>
    <col min="7" max="7" width="27.42578125" style="22" bestFit="1" customWidth="1"/>
    <col min="8" max="8" width="12.85546875" style="22" bestFit="1" customWidth="1"/>
    <col min="9" max="9" width="16.85546875" style="22" bestFit="1" customWidth="1"/>
    <col min="10" max="10" width="2.140625" style="22" customWidth="1"/>
    <col min="11" max="11" width="22" style="22" bestFit="1" customWidth="1"/>
    <col min="12" max="12" width="38" style="22" customWidth="1"/>
    <col min="13" max="13" width="16" style="73" customWidth="1"/>
    <col min="14" max="14" width="7.28515625" style="22" bestFit="1" customWidth="1"/>
    <col min="15" max="15" width="18.140625" style="22" bestFit="1" customWidth="1"/>
    <col min="16" max="16" width="11" style="22" bestFit="1" customWidth="1"/>
    <col min="17" max="17" width="6.140625" style="22" bestFit="1" customWidth="1"/>
    <col min="18" max="18" width="7.140625" style="22" bestFit="1" customWidth="1"/>
    <col min="19" max="19" width="10.5703125" style="22" bestFit="1" customWidth="1"/>
    <col min="20" max="20" width="9.85546875" style="22" bestFit="1" customWidth="1"/>
    <col min="21" max="21" width="9.42578125" style="22" bestFit="1" customWidth="1"/>
    <col min="22" max="22" width="9.28515625" style="22" bestFit="1" customWidth="1"/>
    <col min="23" max="23" width="13.28515625" style="22" bestFit="1" customWidth="1"/>
    <col min="24" max="26" width="9.42578125" style="22" bestFit="1" customWidth="1"/>
    <col min="27" max="27" width="3" customWidth="1"/>
    <col min="28" max="28" width="23.140625" bestFit="1" customWidth="1"/>
    <col min="29" max="29" width="10" style="64" bestFit="1" customWidth="1"/>
    <col min="30" max="30" width="9.140625" style="64"/>
    <col min="32" max="32" width="23.140625" bestFit="1" customWidth="1"/>
    <col min="33" max="33" width="9.140625" style="64"/>
  </cols>
  <sheetData>
    <row r="1" spans="2:33" ht="13.5" thickBot="1">
      <c r="B1" s="87" t="str">
        <f ca="1">_xll.HLV5r3.Financial.Cache.CreateCurve_Old(B2:C10, B15:B38, C15:C38, D15:D38)</f>
        <v>Market.LIVE.RateCurve.AUD-LIBOR-BBA-3M</v>
      </c>
      <c r="C1" s="88"/>
      <c r="D1" s="2"/>
      <c r="F1" s="87" t="str">
        <f ca="1">_xll.HLV5r3.Financial.Cache.CreateRateCurveWithUnits(F2:G10, F15:F46, G15:G46, H15:H46, I15:I46)</f>
        <v>Market.LIVE.RateCurve.AUD-LIBOR-BBA-6M</v>
      </c>
      <c r="G1" s="88"/>
      <c r="K1" s="87" t="str">
        <f ca="1">_xll.HLV5r3.Financial.Cache.CreateCurve(K2:L12,M14:N37)</f>
        <v>Market.LIVE.RateCurve.AUD-LIBOR-BBA-1M</v>
      </c>
      <c r="L1" s="88"/>
      <c r="P1" s="80" t="s">
        <v>98</v>
      </c>
    </row>
    <row r="2" spans="2:33">
      <c r="B2" s="23" t="s">
        <v>76</v>
      </c>
      <c r="C2" s="24" t="s">
        <v>11</v>
      </c>
      <c r="D2" s="2"/>
      <c r="F2" s="23" t="s">
        <v>76</v>
      </c>
      <c r="G2" s="24" t="s">
        <v>11</v>
      </c>
      <c r="K2" s="23" t="s">
        <v>76</v>
      </c>
      <c r="L2" s="62" t="s">
        <v>68</v>
      </c>
      <c r="M2" s="82" t="s">
        <v>101</v>
      </c>
    </row>
    <row r="3" spans="2:33">
      <c r="B3" s="25" t="s">
        <v>74</v>
      </c>
      <c r="C3" s="26">
        <f ca="1">TODAY()</f>
        <v>43649</v>
      </c>
      <c r="F3" s="25" t="s">
        <v>74</v>
      </c>
      <c r="G3" s="26">
        <f ca="1">TODAY()</f>
        <v>43649</v>
      </c>
      <c r="I3" s="66" t="s">
        <v>78</v>
      </c>
      <c r="K3" s="25" t="s">
        <v>74</v>
      </c>
      <c r="L3" s="26">
        <f ca="1">G3</f>
        <v>43649</v>
      </c>
      <c r="O3" s="73" t="s">
        <v>99</v>
      </c>
      <c r="P3" s="73"/>
      <c r="Q3" s="73"/>
    </row>
    <row r="4" spans="2:33">
      <c r="B4" s="25" t="s">
        <v>97</v>
      </c>
      <c r="C4" s="26">
        <f ca="1">C3</f>
        <v>43649</v>
      </c>
      <c r="F4" s="25" t="s">
        <v>97</v>
      </c>
      <c r="G4" s="26">
        <f ca="1">G3</f>
        <v>43649</v>
      </c>
      <c r="H4" s="73"/>
      <c r="I4" s="66"/>
      <c r="J4" s="73"/>
      <c r="K4" s="25" t="s">
        <v>97</v>
      </c>
      <c r="L4" s="26">
        <f ca="1">L3</f>
        <v>43649</v>
      </c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</row>
    <row r="5" spans="2:33">
      <c r="B5" s="27" t="s">
        <v>80</v>
      </c>
      <c r="C5" s="28" t="s">
        <v>18</v>
      </c>
      <c r="D5" s="2"/>
      <c r="F5" s="27" t="s">
        <v>80</v>
      </c>
      <c r="G5" s="28" t="s">
        <v>18</v>
      </c>
      <c r="K5" s="27" t="s">
        <v>77</v>
      </c>
      <c r="L5" s="28" t="s">
        <v>18</v>
      </c>
      <c r="O5" s="73"/>
      <c r="P5" s="73"/>
      <c r="Q5" s="73"/>
    </row>
    <row r="6" spans="2:33" ht="13.5" thickBot="1">
      <c r="B6" s="25" t="s">
        <v>12</v>
      </c>
      <c r="C6" s="29" t="s">
        <v>13</v>
      </c>
      <c r="D6" s="2"/>
      <c r="F6" s="25" t="s">
        <v>12</v>
      </c>
      <c r="G6" s="29" t="s">
        <v>13</v>
      </c>
      <c r="K6" s="30" t="s">
        <v>82</v>
      </c>
      <c r="L6" s="63" t="str">
        <f ca="1">B1</f>
        <v>Market.LIVE.RateCurve.AUD-LIBOR-BBA-3M</v>
      </c>
    </row>
    <row r="7" spans="2:33">
      <c r="B7" s="25" t="s">
        <v>14</v>
      </c>
      <c r="C7" s="28" t="s">
        <v>15</v>
      </c>
      <c r="D7" s="2"/>
      <c r="F7" s="25" t="s">
        <v>14</v>
      </c>
      <c r="G7" s="28" t="s">
        <v>67</v>
      </c>
      <c r="I7" s="66" t="s">
        <v>79</v>
      </c>
      <c r="K7" s="27" t="s">
        <v>80</v>
      </c>
      <c r="L7" s="28" t="s">
        <v>18</v>
      </c>
    </row>
    <row r="8" spans="2:33">
      <c r="B8" s="25" t="s">
        <v>37</v>
      </c>
      <c r="C8" s="28" t="str">
        <f>C6&amp;"-"&amp;C7</f>
        <v>AUD-LIBOR-BBA-3M</v>
      </c>
      <c r="D8" s="2"/>
      <c r="F8" s="25" t="s">
        <v>37</v>
      </c>
      <c r="G8" s="28" t="str">
        <f>G6&amp;"-"&amp;G7</f>
        <v>AUD-LIBOR-BBA-6M</v>
      </c>
      <c r="K8" s="25" t="s">
        <v>12</v>
      </c>
      <c r="L8" s="29" t="s">
        <v>13</v>
      </c>
    </row>
    <row r="9" spans="2:33">
      <c r="B9" s="25" t="s">
        <v>75</v>
      </c>
      <c r="C9" s="28" t="str">
        <f>"RateCurve."&amp;C8</f>
        <v>RateCurve.AUD-LIBOR-BBA-3M</v>
      </c>
      <c r="D9" s="2"/>
      <c r="F9" s="25" t="s">
        <v>75</v>
      </c>
      <c r="G9" s="28" t="str">
        <f>"RateCurve."&amp;G8</f>
        <v>RateCurve.AUD-LIBOR-BBA-6M</v>
      </c>
      <c r="K9" s="25" t="s">
        <v>14</v>
      </c>
      <c r="L9" s="28" t="s">
        <v>81</v>
      </c>
    </row>
    <row r="10" spans="2:33" ht="13.5" thickBot="1">
      <c r="B10" s="30" t="s">
        <v>16</v>
      </c>
      <c r="C10" s="31" t="s">
        <v>66</v>
      </c>
      <c r="D10" s="2"/>
      <c r="F10" s="30" t="s">
        <v>16</v>
      </c>
      <c r="G10" s="31" t="s">
        <v>19</v>
      </c>
      <c r="K10" s="25" t="s">
        <v>37</v>
      </c>
      <c r="L10" s="28" t="str">
        <f>L8&amp;"-"&amp;L9</f>
        <v>AUD-LIBOR-BBA-1M</v>
      </c>
    </row>
    <row r="11" spans="2:33" ht="13.5" thickBot="1">
      <c r="B11" s="50"/>
      <c r="C11" s="50"/>
      <c r="D11" s="2"/>
      <c r="K11" s="25" t="s">
        <v>75</v>
      </c>
      <c r="L11" s="28" t="str">
        <f>"RateCurve."&amp;L10</f>
        <v>RateCurve.AUD-LIBOR-BBA-1M</v>
      </c>
      <c r="M11" s="64"/>
      <c r="N11" s="64"/>
      <c r="O11"/>
      <c r="P11"/>
      <c r="Q11"/>
      <c r="R11"/>
      <c r="S11"/>
      <c r="T11"/>
      <c r="U11"/>
      <c r="V11"/>
      <c r="W11"/>
      <c r="X11"/>
      <c r="Y11"/>
      <c r="Z11"/>
      <c r="AC11"/>
      <c r="AD11"/>
      <c r="AG11"/>
    </row>
    <row r="12" spans="2:33" ht="13.5" thickBot="1">
      <c r="B12" s="32" t="s">
        <v>0</v>
      </c>
      <c r="C12" s="33"/>
      <c r="D12" s="3"/>
      <c r="F12" s="32" t="s">
        <v>0</v>
      </c>
      <c r="G12" s="33"/>
      <c r="H12" s="34"/>
      <c r="I12" s="34"/>
      <c r="K12" s="30" t="s">
        <v>16</v>
      </c>
      <c r="L12" s="31" t="s">
        <v>66</v>
      </c>
      <c r="M12" s="64"/>
      <c r="N12" s="64"/>
      <c r="O12"/>
      <c r="P12"/>
      <c r="Q12"/>
      <c r="R12"/>
      <c r="S12"/>
      <c r="T12"/>
      <c r="U12"/>
      <c r="V12"/>
      <c r="W12"/>
      <c r="X12"/>
      <c r="Y12"/>
      <c r="Z12"/>
      <c r="AC12"/>
      <c r="AD12"/>
      <c r="AG12"/>
    </row>
    <row r="13" spans="2:33" ht="13.5" thickBot="1">
      <c r="B13" s="5"/>
      <c r="C13" s="35"/>
      <c r="D13" s="4"/>
      <c r="F13" s="5"/>
      <c r="G13" s="35"/>
      <c r="H13" s="36"/>
      <c r="I13" s="36"/>
      <c r="K13"/>
      <c r="L13"/>
      <c r="M13" s="64"/>
      <c r="N13" s="64"/>
      <c r="O13"/>
      <c r="P13"/>
      <c r="Q13" t="s">
        <v>65</v>
      </c>
      <c r="S13"/>
      <c r="T13"/>
      <c r="U13"/>
      <c r="V13"/>
      <c r="W13"/>
      <c r="X13"/>
      <c r="Y13"/>
      <c r="Z13"/>
      <c r="AC13"/>
      <c r="AD13"/>
      <c r="AG13"/>
    </row>
    <row r="14" spans="2:33" ht="13.5" thickBot="1">
      <c r="B14" s="5" t="s">
        <v>1</v>
      </c>
      <c r="C14" s="6" t="s">
        <v>2</v>
      </c>
      <c r="D14" s="7" t="s">
        <v>9</v>
      </c>
      <c r="F14" s="5" t="s">
        <v>1</v>
      </c>
      <c r="G14" s="6" t="s">
        <v>43</v>
      </c>
      <c r="H14" s="7" t="s">
        <v>38</v>
      </c>
      <c r="I14" s="7" t="s">
        <v>40</v>
      </c>
      <c r="K14" s="73" t="str">
        <f t="array" aca="1" ref="K14:L50" ca="1">_xll.HLV5r3.Financial.Cache.GetQuotedAssetSet(B1)</f>
        <v>AUD-Deposit-1D</v>
      </c>
      <c r="L14" s="65">
        <f ca="1"/>
        <v>0.02</v>
      </c>
      <c r="M14" s="65" t="str">
        <f ca="1">K14</f>
        <v>AUD-Deposit-1D</v>
      </c>
      <c r="N14" s="76">
        <v>1E-3</v>
      </c>
      <c r="O14" s="73" t="str">
        <f t="array" aca="1" ref="O14:P50" ca="1">_xll.HLV5r3.Financial.Cache.GetQuotedAssetSet(K1)</f>
        <v>AUD-Deposit-1D</v>
      </c>
      <c r="P14" s="65">
        <f ca="1"/>
        <v>2.1000000000000001E-2</v>
      </c>
      <c r="Q14" s="77">
        <f t="shared" ref="Q14:Q45" ca="1" si="0">P14-L14</f>
        <v>1.0000000000000009E-3</v>
      </c>
      <c r="R14"/>
      <c r="S14"/>
      <c r="T14"/>
      <c r="U14"/>
      <c r="V14"/>
      <c r="W14"/>
      <c r="X14"/>
      <c r="Y14"/>
      <c r="Z14"/>
      <c r="AC14"/>
      <c r="AD14"/>
      <c r="AG14"/>
    </row>
    <row r="15" spans="2:33">
      <c r="B15" s="37" t="s">
        <v>3</v>
      </c>
      <c r="C15" s="38">
        <v>0.02</v>
      </c>
      <c r="D15" s="67">
        <v>0</v>
      </c>
      <c r="F15" s="37" t="s">
        <v>3</v>
      </c>
      <c r="G15" s="38">
        <f>C15</f>
        <v>0.02</v>
      </c>
      <c r="H15" s="39" t="s">
        <v>20</v>
      </c>
      <c r="I15" s="39" t="s">
        <v>41</v>
      </c>
      <c r="K15" s="73" t="str">
        <f ca="1"/>
        <v>AUD-Deposit-1W</v>
      </c>
      <c r="L15" s="65">
        <f ca="1"/>
        <v>2.1000000000000001E-2</v>
      </c>
      <c r="M15" s="65" t="str">
        <f t="shared" ref="M15:M37" ca="1" si="1">K15</f>
        <v>AUD-Deposit-1W</v>
      </c>
      <c r="N15" s="78">
        <v>1E-3</v>
      </c>
      <c r="O15" s="73" t="str">
        <f ca="1"/>
        <v>AUD-Deposit-1W</v>
      </c>
      <c r="P15" s="65">
        <f ca="1"/>
        <v>2.1999999999999999E-2</v>
      </c>
      <c r="Q15" s="77">
        <f t="shared" ca="1" si="0"/>
        <v>9.9999999999999742E-4</v>
      </c>
      <c r="R15"/>
      <c r="S15"/>
      <c r="T15"/>
      <c r="U15"/>
      <c r="V15"/>
      <c r="W15"/>
      <c r="X15"/>
      <c r="Y15"/>
      <c r="Z15"/>
      <c r="AC15"/>
      <c r="AD15"/>
      <c r="AG15"/>
    </row>
    <row r="16" spans="2:33">
      <c r="B16" s="40" t="s">
        <v>4</v>
      </c>
      <c r="C16" s="41">
        <f>C15+0.001</f>
        <v>2.1000000000000001E-2</v>
      </c>
      <c r="D16" s="68">
        <v>0</v>
      </c>
      <c r="F16" s="40" t="s">
        <v>4</v>
      </c>
      <c r="G16" s="41">
        <f t="shared" ref="G16:G30" si="2">C16</f>
        <v>2.1000000000000001E-2</v>
      </c>
      <c r="H16" s="42" t="s">
        <v>20</v>
      </c>
      <c r="I16" s="42" t="s">
        <v>41</v>
      </c>
      <c r="K16" s="73" t="str">
        <f ca="1"/>
        <v>AUD-Deposit-2W</v>
      </c>
      <c r="L16" s="65">
        <f ca="1"/>
        <v>2.1999999999999999E-2</v>
      </c>
      <c r="M16" s="65" t="str">
        <f t="shared" ca="1" si="1"/>
        <v>AUD-Deposit-2W</v>
      </c>
      <c r="N16" s="78">
        <v>1E-3</v>
      </c>
      <c r="O16" s="73" t="str">
        <f ca="1"/>
        <v>AUD-Deposit-2W</v>
      </c>
      <c r="P16" s="65">
        <f ca="1"/>
        <v>2.3E-2</v>
      </c>
      <c r="Q16" s="77">
        <f t="shared" ca="1" si="0"/>
        <v>1.0000000000000009E-3</v>
      </c>
      <c r="R16"/>
      <c r="S16"/>
      <c r="T16"/>
      <c r="U16"/>
      <c r="V16"/>
      <c r="W16"/>
      <c r="X16"/>
      <c r="Y16"/>
      <c r="Z16"/>
      <c r="AC16"/>
      <c r="AD16"/>
      <c r="AG16"/>
    </row>
    <row r="17" spans="1:33">
      <c r="B17" s="40" t="s">
        <v>5</v>
      </c>
      <c r="C17" s="41">
        <f t="shared" ref="C17:C29" si="3">C16+0.001</f>
        <v>2.2000000000000002E-2</v>
      </c>
      <c r="D17" s="68">
        <v>0</v>
      </c>
      <c r="F17" s="40" t="s">
        <v>5</v>
      </c>
      <c r="G17" s="41">
        <f t="shared" si="2"/>
        <v>2.2000000000000002E-2</v>
      </c>
      <c r="H17" s="42" t="s">
        <v>20</v>
      </c>
      <c r="I17" s="42" t="s">
        <v>41</v>
      </c>
      <c r="K17" s="73" t="str">
        <f ca="1"/>
        <v>AUD-Deposit-1M</v>
      </c>
      <c r="L17" s="65">
        <f ca="1"/>
        <v>2.3E-2</v>
      </c>
      <c r="M17" s="65" t="str">
        <f t="shared" ca="1" si="1"/>
        <v>AUD-Deposit-1M</v>
      </c>
      <c r="N17" s="78">
        <v>1E-3</v>
      </c>
      <c r="O17" s="73" t="str">
        <f ca="1"/>
        <v>AUD-Deposit-1M</v>
      </c>
      <c r="P17" s="65">
        <f ca="1"/>
        <v>2.4E-2</v>
      </c>
      <c r="Q17" s="77">
        <f t="shared" ca="1" si="0"/>
        <v>1.0000000000000009E-3</v>
      </c>
      <c r="R17"/>
      <c r="S17"/>
      <c r="T17"/>
      <c r="U17"/>
      <c r="V17"/>
      <c r="W17"/>
      <c r="X17"/>
      <c r="Y17"/>
      <c r="Z17"/>
      <c r="AC17"/>
      <c r="AD17"/>
      <c r="AG17"/>
    </row>
    <row r="18" spans="1:33">
      <c r="B18" s="40" t="s">
        <v>6</v>
      </c>
      <c r="C18" s="41">
        <f t="shared" si="3"/>
        <v>2.3000000000000003E-2</v>
      </c>
      <c r="D18" s="68">
        <v>0</v>
      </c>
      <c r="F18" s="40" t="s">
        <v>6</v>
      </c>
      <c r="G18" s="41">
        <f t="shared" si="2"/>
        <v>2.3000000000000003E-2</v>
      </c>
      <c r="H18" s="42" t="s">
        <v>20</v>
      </c>
      <c r="I18" s="42" t="s">
        <v>41</v>
      </c>
      <c r="K18" s="73" t="str">
        <f ca="1"/>
        <v>AUD-Deposit-2M</v>
      </c>
      <c r="L18" s="65">
        <f ca="1"/>
        <v>2.4E-2</v>
      </c>
      <c r="M18" s="65" t="str">
        <f t="shared" ca="1" si="1"/>
        <v>AUD-Deposit-2M</v>
      </c>
      <c r="N18" s="78">
        <v>1E-3</v>
      </c>
      <c r="O18" s="73" t="str">
        <f ca="1"/>
        <v>AUD-Deposit-2M</v>
      </c>
      <c r="P18" s="65">
        <f ca="1"/>
        <v>2.5000000000000001E-2</v>
      </c>
      <c r="Q18" s="77">
        <f t="shared" ca="1" si="0"/>
        <v>1.0000000000000009E-3</v>
      </c>
      <c r="R18"/>
      <c r="S18"/>
      <c r="T18"/>
      <c r="U18"/>
      <c r="V18"/>
      <c r="W18"/>
      <c r="X18"/>
      <c r="Y18"/>
      <c r="Z18"/>
      <c r="AC18"/>
      <c r="AD18"/>
      <c r="AG18"/>
    </row>
    <row r="19" spans="1:33">
      <c r="B19" s="40" t="s">
        <v>7</v>
      </c>
      <c r="C19" s="41">
        <f t="shared" si="3"/>
        <v>2.4000000000000004E-2</v>
      </c>
      <c r="D19" s="68">
        <v>0</v>
      </c>
      <c r="F19" s="40" t="s">
        <v>7</v>
      </c>
      <c r="G19" s="41">
        <f t="shared" si="2"/>
        <v>2.4000000000000004E-2</v>
      </c>
      <c r="H19" s="42" t="s">
        <v>20</v>
      </c>
      <c r="I19" s="42" t="s">
        <v>41</v>
      </c>
      <c r="K19" s="73" t="str">
        <f ca="1"/>
        <v>AUD-Deposit-3M</v>
      </c>
      <c r="L19" s="65">
        <f ca="1"/>
        <v>2.5000000000000001E-2</v>
      </c>
      <c r="M19" s="65" t="str">
        <f t="shared" ca="1" si="1"/>
        <v>AUD-Deposit-3M</v>
      </c>
      <c r="N19" s="78">
        <v>1E-3</v>
      </c>
      <c r="O19" s="73" t="str">
        <f ca="1"/>
        <v>AUD-Deposit-3M</v>
      </c>
      <c r="P19" s="65">
        <f ca="1"/>
        <v>2.5999999999999999E-2</v>
      </c>
      <c r="Q19" s="77">
        <f t="shared" ca="1" si="0"/>
        <v>9.9999999999999742E-4</v>
      </c>
      <c r="R19"/>
      <c r="S19"/>
      <c r="T19"/>
      <c r="U19"/>
      <c r="V19"/>
      <c r="W19"/>
      <c r="X19"/>
      <c r="Y19"/>
      <c r="Z19"/>
      <c r="AC19"/>
      <c r="AD19"/>
      <c r="AG19"/>
    </row>
    <row r="20" spans="1:33">
      <c r="B20" s="40" t="s">
        <v>8</v>
      </c>
      <c r="C20" s="41">
        <f t="shared" si="3"/>
        <v>2.5000000000000005E-2</v>
      </c>
      <c r="D20" s="68">
        <v>0</v>
      </c>
      <c r="F20" s="40" t="s">
        <v>8</v>
      </c>
      <c r="G20" s="41">
        <f t="shared" si="2"/>
        <v>2.5000000000000005E-2</v>
      </c>
      <c r="H20" s="42" t="s">
        <v>20</v>
      </c>
      <c r="I20" s="42" t="s">
        <v>41</v>
      </c>
      <c r="K20" s="73" t="str">
        <f ca="1"/>
        <v>AUD-IRSwap-3Y</v>
      </c>
      <c r="L20" s="65">
        <f ca="1"/>
        <v>2.5999999999999999E-2</v>
      </c>
      <c r="M20" s="65" t="str">
        <f t="shared" ca="1" si="1"/>
        <v>AUD-IRSwap-3Y</v>
      </c>
      <c r="N20" s="78">
        <v>1E-3</v>
      </c>
      <c r="O20" s="73" t="str">
        <f ca="1"/>
        <v>AUD-IRSwap-3Y</v>
      </c>
      <c r="P20" s="65">
        <f ca="1"/>
        <v>2.7E-2</v>
      </c>
      <c r="Q20" s="77">
        <f t="shared" ca="1" si="0"/>
        <v>1.0000000000000009E-3</v>
      </c>
      <c r="R20"/>
      <c r="S20"/>
      <c r="T20"/>
      <c r="U20"/>
      <c r="V20"/>
      <c r="W20"/>
      <c r="X20"/>
      <c r="Y20"/>
      <c r="Z20"/>
      <c r="AC20"/>
      <c r="AD20"/>
      <c r="AG20"/>
    </row>
    <row r="21" spans="1:33">
      <c r="B21" s="40" t="s">
        <v>27</v>
      </c>
      <c r="C21" s="41">
        <f t="shared" si="3"/>
        <v>2.6000000000000006E-2</v>
      </c>
      <c r="D21" s="68">
        <v>0</v>
      </c>
      <c r="F21" s="40" t="s">
        <v>27</v>
      </c>
      <c r="G21" s="41">
        <f t="shared" si="2"/>
        <v>2.6000000000000006E-2</v>
      </c>
      <c r="H21" s="42" t="s">
        <v>20</v>
      </c>
      <c r="I21" s="42" t="s">
        <v>41</v>
      </c>
      <c r="K21" s="73" t="str">
        <f ca="1"/>
        <v>AUD-IRSwap-4Y</v>
      </c>
      <c r="L21" s="65">
        <f ca="1"/>
        <v>2.7E-2</v>
      </c>
      <c r="M21" s="65" t="str">
        <f t="shared" ca="1" si="1"/>
        <v>AUD-IRSwap-4Y</v>
      </c>
      <c r="N21" s="78">
        <v>1E-3</v>
      </c>
      <c r="O21" s="73" t="str">
        <f ca="1"/>
        <v>AUD-IRSwap-4Y</v>
      </c>
      <c r="P21" s="65">
        <f ca="1"/>
        <v>2.8000000000000001E-2</v>
      </c>
      <c r="Q21" s="77">
        <f t="shared" ca="1" si="0"/>
        <v>1.0000000000000009E-3</v>
      </c>
      <c r="R21"/>
      <c r="S21"/>
      <c r="T21"/>
      <c r="U21"/>
      <c r="V21"/>
      <c r="W21"/>
      <c r="X21"/>
      <c r="Y21"/>
      <c r="Z21"/>
      <c r="AC21"/>
      <c r="AD21"/>
      <c r="AG21"/>
    </row>
    <row r="22" spans="1:33">
      <c r="B22" s="40" t="s">
        <v>28</v>
      </c>
      <c r="C22" s="41">
        <f t="shared" si="3"/>
        <v>2.7000000000000007E-2</v>
      </c>
      <c r="D22" s="68">
        <v>0</v>
      </c>
      <c r="F22" s="40" t="s">
        <v>28</v>
      </c>
      <c r="G22" s="41">
        <f t="shared" si="2"/>
        <v>2.7000000000000007E-2</v>
      </c>
      <c r="H22" s="42" t="s">
        <v>20</v>
      </c>
      <c r="I22" s="42" t="s">
        <v>41</v>
      </c>
      <c r="K22" s="73" t="str">
        <f ca="1"/>
        <v>AUD-IRSwap-5Y</v>
      </c>
      <c r="L22" s="65">
        <f ca="1"/>
        <v>2.8000000000000001E-2</v>
      </c>
      <c r="M22" s="65" t="str">
        <f t="shared" ca="1" si="1"/>
        <v>AUD-IRSwap-5Y</v>
      </c>
      <c r="N22" s="78">
        <v>1E-3</v>
      </c>
      <c r="O22" s="73" t="str">
        <f ca="1"/>
        <v>AUD-IRSwap-5Y</v>
      </c>
      <c r="P22" s="65">
        <f ca="1"/>
        <v>2.9000000000000001E-2</v>
      </c>
      <c r="Q22" s="77">
        <f t="shared" ca="1" si="0"/>
        <v>1.0000000000000009E-3</v>
      </c>
      <c r="R22"/>
      <c r="S22"/>
      <c r="T22"/>
      <c r="U22"/>
      <c r="V22"/>
      <c r="W22"/>
      <c r="X22"/>
      <c r="Y22"/>
      <c r="Z22"/>
      <c r="AC22"/>
      <c r="AD22"/>
      <c r="AG22"/>
    </row>
    <row r="23" spans="1:33">
      <c r="B23" s="40" t="s">
        <v>29</v>
      </c>
      <c r="C23" s="41">
        <f t="shared" si="3"/>
        <v>2.8000000000000008E-2</v>
      </c>
      <c r="D23" s="68">
        <v>0</v>
      </c>
      <c r="F23" s="40" t="s">
        <v>29</v>
      </c>
      <c r="G23" s="41">
        <f t="shared" si="2"/>
        <v>2.8000000000000008E-2</v>
      </c>
      <c r="H23" s="42" t="s">
        <v>20</v>
      </c>
      <c r="I23" s="42" t="s">
        <v>41</v>
      </c>
      <c r="K23" s="73" t="str">
        <f ca="1"/>
        <v>AUD-IRSwap-6Y</v>
      </c>
      <c r="L23" s="65">
        <f ca="1"/>
        <v>2.9000000000000001E-2</v>
      </c>
      <c r="M23" s="65" t="str">
        <f t="shared" ca="1" si="1"/>
        <v>AUD-IRSwap-6Y</v>
      </c>
      <c r="N23" s="78">
        <v>1E-3</v>
      </c>
      <c r="O23" s="73" t="str">
        <f ca="1"/>
        <v>AUD-IRSwap-6Y</v>
      </c>
      <c r="P23" s="65">
        <f ca="1"/>
        <v>0.03</v>
      </c>
      <c r="Q23" s="77">
        <f t="shared" ca="1" si="0"/>
        <v>9.9999999999999742E-4</v>
      </c>
      <c r="R23"/>
      <c r="S23"/>
      <c r="T23"/>
      <c r="U23"/>
      <c r="V23"/>
      <c r="W23"/>
      <c r="X23"/>
      <c r="Y23"/>
      <c r="Z23"/>
      <c r="AC23"/>
      <c r="AD23"/>
      <c r="AG23"/>
    </row>
    <row r="24" spans="1:33">
      <c r="B24" s="40" t="s">
        <v>30</v>
      </c>
      <c r="C24" s="41">
        <f t="shared" si="3"/>
        <v>2.9000000000000008E-2</v>
      </c>
      <c r="D24" s="68">
        <v>0</v>
      </c>
      <c r="F24" s="40" t="s">
        <v>30</v>
      </c>
      <c r="G24" s="41">
        <f t="shared" si="2"/>
        <v>2.9000000000000008E-2</v>
      </c>
      <c r="H24" s="42" t="s">
        <v>20</v>
      </c>
      <c r="I24" s="42" t="s">
        <v>41</v>
      </c>
      <c r="K24" s="73" t="str">
        <f ca="1"/>
        <v>AUD-IRSwap-7Y</v>
      </c>
      <c r="L24" s="65">
        <f ca="1"/>
        <v>0.03</v>
      </c>
      <c r="M24" s="65" t="str">
        <f t="shared" ca="1" si="1"/>
        <v>AUD-IRSwap-7Y</v>
      </c>
      <c r="N24" s="78">
        <v>1E-3</v>
      </c>
      <c r="O24" s="73" t="str">
        <f ca="1"/>
        <v>AUD-IRSwap-7Y</v>
      </c>
      <c r="P24" s="65">
        <f ca="1"/>
        <v>3.1E-2</v>
      </c>
      <c r="Q24" s="77">
        <f t="shared" ca="1" si="0"/>
        <v>1.0000000000000009E-3</v>
      </c>
      <c r="R24"/>
      <c r="S24"/>
      <c r="T24"/>
      <c r="U24"/>
      <c r="V24"/>
      <c r="W24"/>
      <c r="X24"/>
      <c r="Y24"/>
      <c r="Z24"/>
      <c r="AC24"/>
      <c r="AD24"/>
      <c r="AG24"/>
    </row>
    <row r="25" spans="1:33">
      <c r="B25" s="40" t="s">
        <v>31</v>
      </c>
      <c r="C25" s="41">
        <f t="shared" si="3"/>
        <v>3.0000000000000009E-2</v>
      </c>
      <c r="D25" s="68">
        <v>0</v>
      </c>
      <c r="F25" s="40" t="s">
        <v>31</v>
      </c>
      <c r="G25" s="41">
        <f t="shared" si="2"/>
        <v>3.0000000000000009E-2</v>
      </c>
      <c r="H25" s="42" t="s">
        <v>20</v>
      </c>
      <c r="I25" s="42" t="s">
        <v>41</v>
      </c>
      <c r="K25" s="73" t="str">
        <f ca="1"/>
        <v>AUD-IRSwap-8Y</v>
      </c>
      <c r="L25" s="65">
        <f ca="1"/>
        <v>3.1E-2</v>
      </c>
      <c r="M25" s="65" t="str">
        <f t="shared" ca="1" si="1"/>
        <v>AUD-IRSwap-8Y</v>
      </c>
      <c r="N25" s="78">
        <v>1E-3</v>
      </c>
      <c r="O25" s="73" t="str">
        <f ca="1"/>
        <v>AUD-IRSwap-8Y</v>
      </c>
      <c r="P25" s="65">
        <f ca="1"/>
        <v>3.2000000000000001E-2</v>
      </c>
      <c r="Q25" s="77">
        <f t="shared" ca="1" si="0"/>
        <v>1.0000000000000009E-3</v>
      </c>
      <c r="R25"/>
      <c r="S25"/>
      <c r="T25"/>
      <c r="U25"/>
      <c r="V25"/>
      <c r="W25"/>
      <c r="X25"/>
      <c r="Y25"/>
      <c r="Z25"/>
      <c r="AC25"/>
      <c r="AD25"/>
      <c r="AG25"/>
    </row>
    <row r="26" spans="1:33">
      <c r="B26" s="40" t="s">
        <v>32</v>
      </c>
      <c r="C26" s="41">
        <f t="shared" si="3"/>
        <v>3.100000000000001E-2</v>
      </c>
      <c r="D26" s="68">
        <v>0</v>
      </c>
      <c r="F26" s="40" t="s">
        <v>32</v>
      </c>
      <c r="G26" s="41">
        <f t="shared" si="2"/>
        <v>3.100000000000001E-2</v>
      </c>
      <c r="H26" s="42" t="s">
        <v>20</v>
      </c>
      <c r="I26" s="42" t="s">
        <v>41</v>
      </c>
      <c r="K26" s="73" t="str">
        <f ca="1"/>
        <v>AUD-IRSwap-9Y</v>
      </c>
      <c r="L26" s="65">
        <f ca="1"/>
        <v>3.2000000000000001E-2</v>
      </c>
      <c r="M26" s="65" t="str">
        <f t="shared" ca="1" si="1"/>
        <v>AUD-IRSwap-9Y</v>
      </c>
      <c r="N26" s="78">
        <v>1E-3</v>
      </c>
      <c r="O26" s="73" t="str">
        <f ca="1"/>
        <v>AUD-IRSwap-9Y</v>
      </c>
      <c r="P26" s="65">
        <f ca="1"/>
        <v>3.3000000000000002E-2</v>
      </c>
      <c r="Q26" s="77">
        <f t="shared" ca="1" si="0"/>
        <v>1.0000000000000009E-3</v>
      </c>
      <c r="R26"/>
      <c r="S26"/>
      <c r="T26"/>
      <c r="U26"/>
      <c r="V26"/>
      <c r="W26"/>
      <c r="X26"/>
      <c r="Y26"/>
      <c r="Z26"/>
      <c r="AC26"/>
      <c r="AD26"/>
      <c r="AG26"/>
    </row>
    <row r="27" spans="1:33">
      <c r="B27" s="40" t="s">
        <v>33</v>
      </c>
      <c r="C27" s="41">
        <f t="shared" si="3"/>
        <v>3.2000000000000008E-2</v>
      </c>
      <c r="D27" s="68">
        <v>0</v>
      </c>
      <c r="F27" s="40" t="s">
        <v>33</v>
      </c>
      <c r="G27" s="41">
        <f t="shared" si="2"/>
        <v>3.2000000000000008E-2</v>
      </c>
      <c r="H27" s="42" t="s">
        <v>20</v>
      </c>
      <c r="I27" s="42" t="s">
        <v>41</v>
      </c>
      <c r="K27" s="73" t="str">
        <f ca="1"/>
        <v>AUD-IRSwap-10Y</v>
      </c>
      <c r="L27" s="65">
        <f ca="1"/>
        <v>3.3000000000000002E-2</v>
      </c>
      <c r="M27" s="65" t="str">
        <f t="shared" ca="1" si="1"/>
        <v>AUD-IRSwap-10Y</v>
      </c>
      <c r="N27" s="78">
        <v>1E-3</v>
      </c>
      <c r="O27" s="73" t="str">
        <f ca="1"/>
        <v>AUD-IRSwap-10Y</v>
      </c>
      <c r="P27" s="65">
        <f ca="1"/>
        <v>3.4000000000000002E-2</v>
      </c>
      <c r="Q27" s="77">
        <f t="shared" ca="1" si="0"/>
        <v>1.0000000000000009E-3</v>
      </c>
      <c r="R27"/>
      <c r="S27"/>
      <c r="T27"/>
      <c r="U27"/>
      <c r="V27"/>
      <c r="W27"/>
      <c r="X27"/>
      <c r="Y27"/>
      <c r="Z27"/>
      <c r="AC27"/>
      <c r="AD27"/>
      <c r="AG27"/>
    </row>
    <row r="28" spans="1:33">
      <c r="B28" s="40" t="s">
        <v>34</v>
      </c>
      <c r="C28" s="41">
        <f t="shared" si="3"/>
        <v>3.3000000000000008E-2</v>
      </c>
      <c r="D28" s="68">
        <v>0</v>
      </c>
      <c r="F28" s="40" t="s">
        <v>34</v>
      </c>
      <c r="G28" s="41">
        <f t="shared" si="2"/>
        <v>3.3000000000000008E-2</v>
      </c>
      <c r="H28" s="42" t="s">
        <v>20</v>
      </c>
      <c r="I28" s="42" t="s">
        <v>41</v>
      </c>
      <c r="K28" s="73" t="str">
        <f ca="1"/>
        <v>AUD-IRSwap-15Y</v>
      </c>
      <c r="L28" s="65">
        <f ca="1"/>
        <v>3.4000000000000002E-2</v>
      </c>
      <c r="M28" s="65" t="str">
        <f t="shared" ca="1" si="1"/>
        <v>AUD-IRSwap-15Y</v>
      </c>
      <c r="N28" s="78">
        <v>1E-3</v>
      </c>
      <c r="O28" s="73" t="str">
        <f ca="1"/>
        <v>AUD-IRSwap-15Y</v>
      </c>
      <c r="P28" s="65">
        <f ca="1"/>
        <v>3.5000000000000003E-2</v>
      </c>
      <c r="Q28" s="77">
        <f t="shared" ca="1" si="0"/>
        <v>1.0000000000000009E-3</v>
      </c>
      <c r="R28"/>
      <c r="S28"/>
      <c r="T28"/>
      <c r="U28"/>
      <c r="V28"/>
      <c r="W28"/>
      <c r="X28"/>
      <c r="Y28"/>
      <c r="Z28"/>
      <c r="AC28"/>
      <c r="AD28"/>
      <c r="AG28"/>
    </row>
    <row r="29" spans="1:33">
      <c r="B29" s="40" t="s">
        <v>35</v>
      </c>
      <c r="C29" s="41">
        <f t="shared" si="3"/>
        <v>3.4000000000000009E-2</v>
      </c>
      <c r="D29" s="68">
        <v>0</v>
      </c>
      <c r="F29" s="40" t="s">
        <v>35</v>
      </c>
      <c r="G29" s="41">
        <f t="shared" si="2"/>
        <v>3.4000000000000009E-2</v>
      </c>
      <c r="H29" s="42" t="s">
        <v>20</v>
      </c>
      <c r="I29" s="42" t="s">
        <v>41</v>
      </c>
      <c r="K29" s="73" t="str">
        <f ca="1"/>
        <v>AUD-IRSwap-20Y</v>
      </c>
      <c r="L29" s="65">
        <f ca="1"/>
        <v>3.4099999999999998E-2</v>
      </c>
      <c r="M29" s="65" t="str">
        <f t="shared" ca="1" si="1"/>
        <v>AUD-IRSwap-20Y</v>
      </c>
      <c r="N29" s="78">
        <v>1E-3</v>
      </c>
      <c r="O29" s="73" t="str">
        <f ca="1"/>
        <v>AUD-IRSwap-20Y</v>
      </c>
      <c r="P29" s="65">
        <f ca="1"/>
        <v>3.5099999999999999E-2</v>
      </c>
      <c r="Q29" s="77">
        <f t="shared" ca="1" si="0"/>
        <v>1.0000000000000009E-3</v>
      </c>
      <c r="R29"/>
      <c r="S29"/>
      <c r="T29"/>
      <c r="U29"/>
      <c r="V29"/>
      <c r="W29"/>
      <c r="X29"/>
      <c r="Y29"/>
      <c r="Z29"/>
      <c r="AC29"/>
      <c r="AD29"/>
      <c r="AG29"/>
    </row>
    <row r="30" spans="1:33" ht="13.5" thickBot="1">
      <c r="B30" s="51" t="s">
        <v>36</v>
      </c>
      <c r="C30" s="55">
        <f>C29+0.0001</f>
        <v>3.4100000000000012E-2</v>
      </c>
      <c r="D30" s="69">
        <v>0</v>
      </c>
      <c r="F30" s="40" t="s">
        <v>36</v>
      </c>
      <c r="G30" s="41">
        <f t="shared" si="2"/>
        <v>3.4100000000000012E-2</v>
      </c>
      <c r="H30" s="42" t="s">
        <v>20</v>
      </c>
      <c r="I30" s="42" t="s">
        <v>41</v>
      </c>
      <c r="K30" s="73" t="str">
        <f ca="1"/>
        <v>AUD-IRFuture-IR-1</v>
      </c>
      <c r="L30" s="65">
        <f ca="1"/>
        <v>2.5000000000000001E-2</v>
      </c>
      <c r="M30" s="65" t="str">
        <f t="shared" ca="1" si="1"/>
        <v>AUD-IRFuture-IR-1</v>
      </c>
      <c r="N30" s="78">
        <v>1E-3</v>
      </c>
      <c r="O30" s="73" t="str">
        <f ca="1"/>
        <v>AUD-IRFuture-IR-1</v>
      </c>
      <c r="P30" s="65">
        <f ca="1"/>
        <v>2.5999999999999999E-2</v>
      </c>
      <c r="Q30" s="77">
        <f t="shared" ca="1" si="0"/>
        <v>9.9999999999999742E-4</v>
      </c>
      <c r="R30"/>
      <c r="S30"/>
      <c r="T30"/>
      <c r="U30"/>
      <c r="V30"/>
      <c r="W30"/>
      <c r="X30"/>
      <c r="Y30"/>
      <c r="Z30"/>
      <c r="AC30"/>
      <c r="AD30"/>
      <c r="AG30"/>
    </row>
    <row r="31" spans="1:33">
      <c r="A31">
        <v>1</v>
      </c>
      <c r="B31" s="52" t="str">
        <f>"AUD-IRFuture-IR-"&amp;$A31</f>
        <v>AUD-IRFuture-IR-1</v>
      </c>
      <c r="C31" s="56">
        <f>C20</f>
        <v>2.5000000000000005E-2</v>
      </c>
      <c r="D31" s="68">
        <v>0.15</v>
      </c>
      <c r="F31" s="43" t="str">
        <f>B31</f>
        <v>AUD-IRFuture-IR-1</v>
      </c>
      <c r="G31" s="44">
        <f>C31</f>
        <v>2.5000000000000005E-2</v>
      </c>
      <c r="H31" s="45" t="s">
        <v>20</v>
      </c>
      <c r="I31" s="45" t="s">
        <v>41</v>
      </c>
      <c r="K31" s="73" t="str">
        <f ca="1"/>
        <v>AUD-IRFuture-IR-2</v>
      </c>
      <c r="L31" s="65">
        <f ca="1"/>
        <v>2.5999999999999999E-2</v>
      </c>
      <c r="M31" s="65" t="str">
        <f t="shared" ca="1" si="1"/>
        <v>AUD-IRFuture-IR-2</v>
      </c>
      <c r="N31" s="78">
        <v>1E-3</v>
      </c>
      <c r="O31" s="73" t="str">
        <f ca="1"/>
        <v>AUD-IRFuture-IR-2</v>
      </c>
      <c r="P31" s="65">
        <f ca="1"/>
        <v>2.7E-2</v>
      </c>
      <c r="Q31" s="77">
        <f t="shared" ca="1" si="0"/>
        <v>1.0000000000000009E-3</v>
      </c>
      <c r="R31"/>
      <c r="S31"/>
      <c r="T31"/>
      <c r="U31"/>
      <c r="V31"/>
      <c r="W31"/>
      <c r="X31"/>
      <c r="Y31"/>
      <c r="Z31"/>
      <c r="AC31"/>
      <c r="AD31"/>
      <c r="AG31"/>
    </row>
    <row r="32" spans="1:33">
      <c r="A32">
        <v>2</v>
      </c>
      <c r="B32" s="52" t="str">
        <f t="shared" ref="B32:B38" si="4">"AUD-IRFuture-IR-"&amp;$A32</f>
        <v>AUD-IRFuture-IR-2</v>
      </c>
      <c r="C32" s="57">
        <f t="shared" ref="C32:C38" si="5">C31+0.001</f>
        <v>2.6000000000000006E-2</v>
      </c>
      <c r="D32" s="68">
        <v>0.15</v>
      </c>
      <c r="F32" s="46" t="str">
        <f>B31</f>
        <v>AUD-IRFuture-IR-1</v>
      </c>
      <c r="G32" s="47">
        <v>0.15</v>
      </c>
      <c r="H32" s="20" t="s">
        <v>39</v>
      </c>
      <c r="I32" s="20" t="s">
        <v>42</v>
      </c>
      <c r="K32" s="73" t="str">
        <f ca="1"/>
        <v>AUD-IRFuture-IR-3</v>
      </c>
      <c r="L32" s="65">
        <f ca="1"/>
        <v>2.7E-2</v>
      </c>
      <c r="M32" s="65" t="str">
        <f t="shared" ca="1" si="1"/>
        <v>AUD-IRFuture-IR-3</v>
      </c>
      <c r="N32" s="78">
        <v>1E-3</v>
      </c>
      <c r="O32" s="73" t="str">
        <f ca="1"/>
        <v>AUD-IRFuture-IR-3</v>
      </c>
      <c r="P32" s="65">
        <f ca="1"/>
        <v>2.8000000000000001E-2</v>
      </c>
      <c r="Q32" s="77">
        <f t="shared" ca="1" si="0"/>
        <v>1.0000000000000009E-3</v>
      </c>
      <c r="R32"/>
      <c r="S32"/>
      <c r="T32"/>
      <c r="U32"/>
      <c r="V32"/>
      <c r="W32"/>
      <c r="X32"/>
      <c r="Y32"/>
      <c r="Z32"/>
      <c r="AC32"/>
      <c r="AD32"/>
      <c r="AG32"/>
    </row>
    <row r="33" spans="1:33">
      <c r="A33">
        <v>3</v>
      </c>
      <c r="B33" s="52" t="str">
        <f t="shared" si="4"/>
        <v>AUD-IRFuture-IR-3</v>
      </c>
      <c r="C33" s="57">
        <f t="shared" si="5"/>
        <v>2.7000000000000007E-2</v>
      </c>
      <c r="D33" s="68">
        <v>0.15</v>
      </c>
      <c r="F33" s="46" t="str">
        <f>B32</f>
        <v>AUD-IRFuture-IR-2</v>
      </c>
      <c r="G33" s="47">
        <f>C32</f>
        <v>2.6000000000000006E-2</v>
      </c>
      <c r="H33" s="20" t="s">
        <v>20</v>
      </c>
      <c r="I33" s="20" t="s">
        <v>41</v>
      </c>
      <c r="K33" s="73" t="str">
        <f ca="1"/>
        <v>AUD-IRFuture-IR-4</v>
      </c>
      <c r="L33" s="65">
        <f ca="1"/>
        <v>2.8000000000000001E-2</v>
      </c>
      <c r="M33" s="65" t="str">
        <f t="shared" ca="1" si="1"/>
        <v>AUD-IRFuture-IR-4</v>
      </c>
      <c r="N33" s="78">
        <v>1E-3</v>
      </c>
      <c r="O33" s="73" t="str">
        <f ca="1"/>
        <v>AUD-IRFuture-IR-4</v>
      </c>
      <c r="P33" s="65">
        <f ca="1"/>
        <v>2.9000000000000001E-2</v>
      </c>
      <c r="Q33" s="77">
        <f t="shared" ca="1" si="0"/>
        <v>1.0000000000000009E-3</v>
      </c>
      <c r="R33"/>
      <c r="S33"/>
      <c r="T33"/>
      <c r="U33"/>
      <c r="V33"/>
      <c r="W33"/>
      <c r="X33"/>
      <c r="Y33"/>
      <c r="Z33"/>
      <c r="AC33"/>
      <c r="AD33"/>
      <c r="AG33"/>
    </row>
    <row r="34" spans="1:33">
      <c r="A34">
        <v>4</v>
      </c>
      <c r="B34" s="52" t="str">
        <f t="shared" si="4"/>
        <v>AUD-IRFuture-IR-4</v>
      </c>
      <c r="C34" s="57">
        <f t="shared" si="5"/>
        <v>2.8000000000000008E-2</v>
      </c>
      <c r="D34" s="68">
        <v>0.15</v>
      </c>
      <c r="F34" s="46" t="str">
        <f>B32</f>
        <v>AUD-IRFuture-IR-2</v>
      </c>
      <c r="G34" s="47">
        <v>0.15</v>
      </c>
      <c r="H34" s="20" t="s">
        <v>39</v>
      </c>
      <c r="I34" s="20" t="s">
        <v>42</v>
      </c>
      <c r="K34" s="73" t="str">
        <f ca="1"/>
        <v>AUD-IRFuture-IR-5</v>
      </c>
      <c r="L34" s="65">
        <f ca="1"/>
        <v>2.9000000000000001E-2</v>
      </c>
      <c r="M34" s="65" t="str">
        <f t="shared" ca="1" si="1"/>
        <v>AUD-IRFuture-IR-5</v>
      </c>
      <c r="N34" s="78">
        <v>1E-3</v>
      </c>
      <c r="O34" s="73" t="str">
        <f ca="1"/>
        <v>AUD-IRFuture-IR-5</v>
      </c>
      <c r="P34" s="65">
        <f ca="1"/>
        <v>0.03</v>
      </c>
      <c r="Q34" s="77">
        <f t="shared" ca="1" si="0"/>
        <v>9.9999999999999742E-4</v>
      </c>
      <c r="R34"/>
      <c r="S34"/>
      <c r="T34"/>
      <c r="U34"/>
      <c r="V34"/>
      <c r="W34"/>
      <c r="X34"/>
      <c r="Y34"/>
      <c r="Z34"/>
      <c r="AC34"/>
      <c r="AD34"/>
      <c r="AG34"/>
    </row>
    <row r="35" spans="1:33">
      <c r="A35">
        <v>5</v>
      </c>
      <c r="B35" s="52" t="str">
        <f t="shared" si="4"/>
        <v>AUD-IRFuture-IR-5</v>
      </c>
      <c r="C35" s="57">
        <f t="shared" si="5"/>
        <v>2.9000000000000008E-2</v>
      </c>
      <c r="D35" s="68">
        <v>0.15</v>
      </c>
      <c r="F35" s="46" t="str">
        <f>B33</f>
        <v>AUD-IRFuture-IR-3</v>
      </c>
      <c r="G35" s="47">
        <f>C33</f>
        <v>2.7000000000000007E-2</v>
      </c>
      <c r="H35" s="20" t="s">
        <v>20</v>
      </c>
      <c r="I35" s="20" t="s">
        <v>41</v>
      </c>
      <c r="K35" s="73" t="str">
        <f ca="1"/>
        <v>AUD-IRFuture-IR-6</v>
      </c>
      <c r="L35" s="65">
        <f ca="1"/>
        <v>0.03</v>
      </c>
      <c r="M35" s="65" t="str">
        <f t="shared" ca="1" si="1"/>
        <v>AUD-IRFuture-IR-6</v>
      </c>
      <c r="N35" s="78">
        <v>1E-3</v>
      </c>
      <c r="O35" s="73" t="str">
        <f ca="1"/>
        <v>AUD-IRFuture-IR-6</v>
      </c>
      <c r="P35" s="65">
        <f ca="1"/>
        <v>3.1E-2</v>
      </c>
      <c r="Q35" s="77">
        <f t="shared" ca="1" si="0"/>
        <v>1.0000000000000009E-3</v>
      </c>
      <c r="R35"/>
      <c r="S35"/>
      <c r="T35"/>
      <c r="U35"/>
      <c r="V35"/>
      <c r="W35"/>
      <c r="X35"/>
      <c r="Y35"/>
      <c r="Z35"/>
      <c r="AC35"/>
      <c r="AD35"/>
      <c r="AG35"/>
    </row>
    <row r="36" spans="1:33">
      <c r="A36">
        <v>6</v>
      </c>
      <c r="B36" s="52" t="str">
        <f t="shared" si="4"/>
        <v>AUD-IRFuture-IR-6</v>
      </c>
      <c r="C36" s="57">
        <f t="shared" si="5"/>
        <v>3.0000000000000009E-2</v>
      </c>
      <c r="D36" s="68">
        <v>0.15</v>
      </c>
      <c r="F36" s="46" t="str">
        <f>B33</f>
        <v>AUD-IRFuture-IR-3</v>
      </c>
      <c r="G36" s="47">
        <v>0.15</v>
      </c>
      <c r="H36" s="20" t="s">
        <v>39</v>
      </c>
      <c r="I36" s="20" t="s">
        <v>42</v>
      </c>
      <c r="K36" s="73" t="str">
        <f ca="1"/>
        <v>AUD-IRFuture-IR-7</v>
      </c>
      <c r="L36" s="65">
        <f ca="1"/>
        <v>3.1E-2</v>
      </c>
      <c r="M36" s="65" t="str">
        <f t="shared" ca="1" si="1"/>
        <v>AUD-IRFuture-IR-7</v>
      </c>
      <c r="N36" s="78">
        <v>1E-3</v>
      </c>
      <c r="O36" s="73" t="str">
        <f ca="1"/>
        <v>AUD-IRFuture-IR-7</v>
      </c>
      <c r="P36" s="65">
        <f ca="1"/>
        <v>3.2000000000000001E-2</v>
      </c>
      <c r="Q36" s="77">
        <f t="shared" ca="1" si="0"/>
        <v>1.0000000000000009E-3</v>
      </c>
      <c r="R36"/>
      <c r="S36"/>
      <c r="T36"/>
      <c r="U36"/>
      <c r="V36"/>
      <c r="W36"/>
      <c r="X36"/>
      <c r="Y36"/>
      <c r="Z36"/>
      <c r="AC36"/>
      <c r="AD36"/>
      <c r="AG36"/>
    </row>
    <row r="37" spans="1:33">
      <c r="A37">
        <v>7</v>
      </c>
      <c r="B37" s="52" t="str">
        <f t="shared" si="4"/>
        <v>AUD-IRFuture-IR-7</v>
      </c>
      <c r="C37" s="57">
        <f t="shared" si="5"/>
        <v>3.100000000000001E-2</v>
      </c>
      <c r="D37" s="68">
        <v>0.15</v>
      </c>
      <c r="F37" s="46" t="str">
        <f>B34</f>
        <v>AUD-IRFuture-IR-4</v>
      </c>
      <c r="G37" s="47">
        <f>C34</f>
        <v>2.8000000000000008E-2</v>
      </c>
      <c r="H37" s="20" t="s">
        <v>20</v>
      </c>
      <c r="I37" s="20" t="s">
        <v>41</v>
      </c>
      <c r="K37" s="73" t="str">
        <f ca="1"/>
        <v>AUD-IRFuture-IR-8</v>
      </c>
      <c r="L37" s="65">
        <f ca="1"/>
        <v>3.2000000000000001E-2</v>
      </c>
      <c r="M37" s="65" t="str">
        <f t="shared" ca="1" si="1"/>
        <v>AUD-IRFuture-IR-8</v>
      </c>
      <c r="N37" s="78">
        <v>1E-3</v>
      </c>
      <c r="O37" s="73" t="str">
        <f ca="1"/>
        <v>AUD-IRFuture-IR-8</v>
      </c>
      <c r="P37" s="65">
        <f ca="1"/>
        <v>3.3000000000000002E-2</v>
      </c>
      <c r="Q37" s="77">
        <f t="shared" ca="1" si="0"/>
        <v>1.0000000000000009E-3</v>
      </c>
      <c r="R37"/>
      <c r="S37"/>
      <c r="T37"/>
      <c r="U37"/>
      <c r="V37"/>
      <c r="W37"/>
      <c r="X37"/>
      <c r="Y37"/>
      <c r="Z37"/>
      <c r="AC37"/>
      <c r="AD37"/>
      <c r="AG37"/>
    </row>
    <row r="38" spans="1:33" ht="13.5" thickBot="1">
      <c r="A38">
        <v>8</v>
      </c>
      <c r="B38" s="53" t="str">
        <f t="shared" si="4"/>
        <v>AUD-IRFuture-IR-8</v>
      </c>
      <c r="C38" s="58">
        <f t="shared" si="5"/>
        <v>3.2000000000000008E-2</v>
      </c>
      <c r="D38" s="69">
        <v>0.15</v>
      </c>
      <c r="F38" s="46" t="str">
        <f>B34</f>
        <v>AUD-IRFuture-IR-4</v>
      </c>
      <c r="G38" s="47">
        <v>0.15</v>
      </c>
      <c r="H38" s="20" t="s">
        <v>39</v>
      </c>
      <c r="I38" s="20" t="s">
        <v>42</v>
      </c>
      <c r="K38" s="73" t="e">
        <f ca="1"/>
        <v>#N/A</v>
      </c>
      <c r="L38" s="65" t="e">
        <f ca="1"/>
        <v>#N/A</v>
      </c>
      <c r="M38" s="65"/>
      <c r="N38" s="78">
        <v>1E-3</v>
      </c>
      <c r="O38" s="73" t="e">
        <f ca="1"/>
        <v>#N/A</v>
      </c>
      <c r="P38" s="65" t="e">
        <f ca="1"/>
        <v>#N/A</v>
      </c>
      <c r="Q38" s="77" t="e">
        <f t="shared" ca="1" si="0"/>
        <v>#N/A</v>
      </c>
      <c r="R38"/>
      <c r="S38"/>
      <c r="T38"/>
      <c r="U38"/>
      <c r="V38"/>
      <c r="W38"/>
      <c r="X38"/>
      <c r="Y38"/>
      <c r="Z38"/>
      <c r="AC38"/>
      <c r="AD38"/>
      <c r="AG38"/>
    </row>
    <row r="39" spans="1:33">
      <c r="B39" s="54"/>
      <c r="C39" s="54"/>
      <c r="D39" s="1"/>
      <c r="F39" s="46" t="str">
        <f>B35</f>
        <v>AUD-IRFuture-IR-5</v>
      </c>
      <c r="G39" s="47">
        <f>C35</f>
        <v>2.9000000000000008E-2</v>
      </c>
      <c r="H39" s="20" t="s">
        <v>20</v>
      </c>
      <c r="I39" s="20" t="s">
        <v>41</v>
      </c>
      <c r="K39" s="73" t="e">
        <f ca="1"/>
        <v>#N/A</v>
      </c>
      <c r="L39" s="65" t="e">
        <f ca="1"/>
        <v>#N/A</v>
      </c>
      <c r="M39" s="65"/>
      <c r="N39" s="78">
        <v>1E-3</v>
      </c>
      <c r="O39" s="73" t="e">
        <f ca="1"/>
        <v>#N/A</v>
      </c>
      <c r="P39" s="65" t="e">
        <f ca="1"/>
        <v>#N/A</v>
      </c>
      <c r="Q39" s="77" t="e">
        <f t="shared" ca="1" si="0"/>
        <v>#N/A</v>
      </c>
      <c r="R39"/>
      <c r="S39"/>
      <c r="T39"/>
      <c r="U39"/>
      <c r="V39"/>
      <c r="W39"/>
      <c r="X39"/>
      <c r="Y39"/>
      <c r="Z39"/>
      <c r="AC39"/>
      <c r="AD39"/>
      <c r="AG39"/>
    </row>
    <row r="40" spans="1:33">
      <c r="B40" s="54"/>
      <c r="C40" s="54"/>
      <c r="D40" s="1"/>
      <c r="F40" s="46" t="str">
        <f>B35</f>
        <v>AUD-IRFuture-IR-5</v>
      </c>
      <c r="G40" s="47">
        <v>0.15</v>
      </c>
      <c r="H40" s="20" t="s">
        <v>39</v>
      </c>
      <c r="I40" s="20" t="s">
        <v>42</v>
      </c>
      <c r="K40" s="73" t="e">
        <f ca="1"/>
        <v>#N/A</v>
      </c>
      <c r="L40" s="65" t="e">
        <f ca="1"/>
        <v>#N/A</v>
      </c>
      <c r="M40" s="65"/>
      <c r="N40" s="78">
        <v>1E-3</v>
      </c>
      <c r="O40" s="73" t="e">
        <f ca="1"/>
        <v>#N/A</v>
      </c>
      <c r="P40" s="65" t="e">
        <f ca="1"/>
        <v>#N/A</v>
      </c>
      <c r="Q40" s="77" t="e">
        <f t="shared" ca="1" si="0"/>
        <v>#N/A</v>
      </c>
      <c r="R40"/>
      <c r="S40"/>
      <c r="T40"/>
      <c r="U40"/>
      <c r="V40"/>
      <c r="W40"/>
      <c r="X40"/>
      <c r="Y40"/>
      <c r="Z40"/>
      <c r="AC40"/>
      <c r="AD40"/>
      <c r="AG40"/>
    </row>
    <row r="41" spans="1:33">
      <c r="B41" s="22" t="s">
        <v>22</v>
      </c>
      <c r="C41" s="22" t="b">
        <v>1</v>
      </c>
      <c r="F41" s="46" t="str">
        <f>B36</f>
        <v>AUD-IRFuture-IR-6</v>
      </c>
      <c r="G41" s="47">
        <f>C36</f>
        <v>3.0000000000000009E-2</v>
      </c>
      <c r="H41" s="20" t="s">
        <v>20</v>
      </c>
      <c r="I41" s="20" t="s">
        <v>41</v>
      </c>
      <c r="K41" s="73" t="e">
        <f ca="1"/>
        <v>#N/A</v>
      </c>
      <c r="L41" s="65" t="e">
        <f ca="1"/>
        <v>#N/A</v>
      </c>
      <c r="M41" s="65"/>
      <c r="N41" s="78">
        <v>1E-3</v>
      </c>
      <c r="O41" s="73" t="e">
        <f ca="1"/>
        <v>#N/A</v>
      </c>
      <c r="P41" s="65" t="e">
        <f ca="1"/>
        <v>#N/A</v>
      </c>
      <c r="Q41" s="77" t="e">
        <f t="shared" ca="1" si="0"/>
        <v>#N/A</v>
      </c>
      <c r="R41"/>
      <c r="S41"/>
      <c r="T41"/>
      <c r="U41"/>
      <c r="V41"/>
      <c r="W41"/>
      <c r="X41"/>
      <c r="Y41"/>
      <c r="Z41"/>
      <c r="AC41"/>
      <c r="AD41"/>
      <c r="AG41"/>
    </row>
    <row r="42" spans="1:33">
      <c r="B42" s="16" t="s">
        <v>66</v>
      </c>
      <c r="F42" s="46" t="str">
        <f>B36</f>
        <v>AUD-IRFuture-IR-6</v>
      </c>
      <c r="G42" s="47">
        <v>0.15</v>
      </c>
      <c r="H42" s="20" t="s">
        <v>39</v>
      </c>
      <c r="I42" s="20" t="s">
        <v>42</v>
      </c>
      <c r="K42" s="73" t="e">
        <f ca="1"/>
        <v>#N/A</v>
      </c>
      <c r="L42" s="65" t="e">
        <f ca="1"/>
        <v>#N/A</v>
      </c>
      <c r="M42" s="65"/>
      <c r="N42" s="78">
        <v>1E-3</v>
      </c>
      <c r="O42" s="73" t="e">
        <f ca="1"/>
        <v>#N/A</v>
      </c>
      <c r="P42" s="65" t="e">
        <f ca="1"/>
        <v>#N/A</v>
      </c>
      <c r="Q42" s="77" t="e">
        <f t="shared" ca="1" si="0"/>
        <v>#N/A</v>
      </c>
      <c r="R42"/>
      <c r="S42"/>
      <c r="T42"/>
      <c r="U42"/>
      <c r="V42"/>
      <c r="W42"/>
      <c r="X42"/>
      <c r="Y42"/>
      <c r="Z42"/>
      <c r="AC42"/>
      <c r="AD42"/>
      <c r="AG42"/>
    </row>
    <row r="43" spans="1:33">
      <c r="B43" s="16" t="s">
        <v>23</v>
      </c>
      <c r="C43" s="22" t="b">
        <v>1</v>
      </c>
      <c r="F43" s="46" t="str">
        <f>B37</f>
        <v>AUD-IRFuture-IR-7</v>
      </c>
      <c r="G43" s="47">
        <f>C37</f>
        <v>3.100000000000001E-2</v>
      </c>
      <c r="H43" s="20" t="s">
        <v>20</v>
      </c>
      <c r="I43" s="20" t="s">
        <v>41</v>
      </c>
      <c r="K43" s="73" t="e">
        <f ca="1"/>
        <v>#N/A</v>
      </c>
      <c r="L43" s="65" t="e">
        <f ca="1"/>
        <v>#N/A</v>
      </c>
      <c r="M43" s="65"/>
      <c r="N43" s="78">
        <v>1E-3</v>
      </c>
      <c r="O43" s="73" t="e">
        <f ca="1"/>
        <v>#N/A</v>
      </c>
      <c r="P43" s="65" t="e">
        <f ca="1"/>
        <v>#N/A</v>
      </c>
      <c r="Q43" s="77" t="e">
        <f t="shared" ca="1" si="0"/>
        <v>#N/A</v>
      </c>
      <c r="R43"/>
      <c r="S43"/>
      <c r="T43"/>
      <c r="U43"/>
      <c r="V43"/>
      <c r="W43"/>
      <c r="X43"/>
      <c r="Y43"/>
      <c r="Z43"/>
      <c r="AC43"/>
      <c r="AD43"/>
      <c r="AG43"/>
    </row>
    <row r="44" spans="1:33">
      <c r="B44" s="19" t="s">
        <v>24</v>
      </c>
      <c r="C44" s="22" t="b">
        <v>0</v>
      </c>
      <c r="F44" s="46" t="str">
        <f>B37</f>
        <v>AUD-IRFuture-IR-7</v>
      </c>
      <c r="G44" s="47">
        <v>0.15</v>
      </c>
      <c r="H44" s="20" t="s">
        <v>39</v>
      </c>
      <c r="I44" s="20" t="s">
        <v>42</v>
      </c>
      <c r="K44" s="73" t="e">
        <f ca="1"/>
        <v>#N/A</v>
      </c>
      <c r="L44" s="65" t="e">
        <f ca="1"/>
        <v>#N/A</v>
      </c>
      <c r="M44" s="65"/>
      <c r="N44" s="78">
        <v>1E-3</v>
      </c>
      <c r="O44" s="73" t="e">
        <f ca="1"/>
        <v>#N/A</v>
      </c>
      <c r="P44" s="65" t="e">
        <f ca="1"/>
        <v>#N/A</v>
      </c>
      <c r="Q44" s="77" t="e">
        <f t="shared" ca="1" si="0"/>
        <v>#N/A</v>
      </c>
      <c r="R44"/>
      <c r="S44"/>
      <c r="T44"/>
      <c r="U44"/>
      <c r="V44"/>
      <c r="W44"/>
      <c r="X44"/>
      <c r="Y44"/>
      <c r="Z44"/>
      <c r="AC44"/>
      <c r="AD44"/>
      <c r="AG44"/>
    </row>
    <row r="45" spans="1:33" ht="13.5" thickBot="1">
      <c r="B45" s="17" t="s">
        <v>25</v>
      </c>
      <c r="F45" s="46" t="str">
        <f>B38</f>
        <v>AUD-IRFuture-IR-8</v>
      </c>
      <c r="G45" s="47">
        <f>C38</f>
        <v>3.2000000000000008E-2</v>
      </c>
      <c r="H45" s="20" t="s">
        <v>20</v>
      </c>
      <c r="I45" s="20" t="s">
        <v>41</v>
      </c>
      <c r="K45" s="73" t="e">
        <f ca="1"/>
        <v>#N/A</v>
      </c>
      <c r="L45" s="65" t="e">
        <f ca="1"/>
        <v>#N/A</v>
      </c>
      <c r="M45" s="65"/>
      <c r="N45" s="79">
        <v>1E-3</v>
      </c>
      <c r="O45" s="73" t="e">
        <f ca="1"/>
        <v>#N/A</v>
      </c>
      <c r="P45" s="65" t="e">
        <f ca="1"/>
        <v>#N/A</v>
      </c>
      <c r="Q45" s="77" t="e">
        <f t="shared" ca="1" si="0"/>
        <v>#N/A</v>
      </c>
      <c r="R45"/>
      <c r="S45"/>
      <c r="T45"/>
      <c r="U45"/>
      <c r="V45"/>
      <c r="W45"/>
      <c r="X45"/>
      <c r="Y45"/>
      <c r="Z45"/>
      <c r="AC45"/>
      <c r="AD45"/>
      <c r="AG45"/>
    </row>
    <row r="46" spans="1:33" ht="13.5" thickBot="1">
      <c r="B46" s="17" t="s">
        <v>26</v>
      </c>
      <c r="F46" s="48" t="str">
        <f>B38</f>
        <v>AUD-IRFuture-IR-8</v>
      </c>
      <c r="G46" s="49">
        <v>0.15</v>
      </c>
      <c r="H46" s="21" t="s">
        <v>39</v>
      </c>
      <c r="I46" s="21" t="s">
        <v>42</v>
      </c>
      <c r="K46" s="73" t="e">
        <f ca="1"/>
        <v>#N/A</v>
      </c>
      <c r="L46" s="65" t="e">
        <f ca="1"/>
        <v>#N/A</v>
      </c>
      <c r="M46" s="65"/>
      <c r="N46" s="65"/>
      <c r="O46" s="73" t="e">
        <f ca="1"/>
        <v>#N/A</v>
      </c>
      <c r="P46" s="65" t="e">
        <f ca="1"/>
        <v>#N/A</v>
      </c>
      <c r="Q46" s="73"/>
      <c r="R46"/>
      <c r="S46"/>
      <c r="T46"/>
      <c r="U46"/>
      <c r="V46"/>
      <c r="W46"/>
      <c r="X46"/>
      <c r="Y46"/>
      <c r="Z46"/>
      <c r="AC46"/>
      <c r="AD46"/>
      <c r="AG46"/>
    </row>
    <row r="47" spans="1:33">
      <c r="B47" s="18" t="s">
        <v>19</v>
      </c>
      <c r="C47" s="59">
        <f ca="1">DATE(YEAR(C3),12,28)</f>
        <v>43827</v>
      </c>
      <c r="D47" t="str">
        <f ca="1">(C47-$G$3)&amp;"D"</f>
        <v>178D</v>
      </c>
      <c r="E47" t="s">
        <v>44</v>
      </c>
      <c r="F47" s="46" t="str">
        <f ca="1">"AUD-SpreadFra-"&amp;D47&amp;"-"&amp;E47</f>
        <v>AUD-SpreadFra-178D-3D</v>
      </c>
      <c r="G47" s="47">
        <v>0.01</v>
      </c>
      <c r="H47" s="20" t="s">
        <v>20</v>
      </c>
      <c r="I47" s="20" t="s">
        <v>64</v>
      </c>
      <c r="K47" s="73" t="e">
        <f ca="1"/>
        <v>#N/A</v>
      </c>
      <c r="L47" s="65" t="e">
        <f ca="1"/>
        <v>#N/A</v>
      </c>
      <c r="M47" s="65"/>
      <c r="N47" s="65"/>
      <c r="O47" s="73" t="e">
        <f ca="1"/>
        <v>#N/A</v>
      </c>
      <c r="P47" s="65" t="e">
        <f ca="1"/>
        <v>#N/A</v>
      </c>
      <c r="Q47" s="73"/>
      <c r="R47"/>
      <c r="S47"/>
      <c r="T47"/>
      <c r="U47"/>
      <c r="V47"/>
      <c r="W47"/>
      <c r="X47"/>
      <c r="Y47"/>
      <c r="Z47"/>
      <c r="AC47"/>
      <c r="AD47"/>
      <c r="AG47"/>
    </row>
    <row r="48" spans="1:33">
      <c r="C48" s="59">
        <f ca="1">C47+365</f>
        <v>44192</v>
      </c>
      <c r="D48" t="str">
        <f t="shared" ref="D48:D54" ca="1" si="6">(C48-$G$3)&amp;"D"</f>
        <v>543D</v>
      </c>
      <c r="E48" t="s">
        <v>44</v>
      </c>
      <c r="F48" s="46" t="str">
        <f t="shared" ref="F48:F54" ca="1" si="7">"AUD-SpreadFra-"&amp;D48&amp;"-"&amp;E48</f>
        <v>AUD-SpreadFra-543D-3D</v>
      </c>
      <c r="G48" s="47">
        <v>0.01</v>
      </c>
      <c r="H48" s="20" t="s">
        <v>20</v>
      </c>
      <c r="I48" s="20" t="s">
        <v>64</v>
      </c>
      <c r="K48" s="73" t="e">
        <f ca="1"/>
        <v>#N/A</v>
      </c>
      <c r="L48" s="65" t="e">
        <f ca="1"/>
        <v>#N/A</v>
      </c>
      <c r="M48" s="65"/>
      <c r="N48" s="65"/>
      <c r="O48" s="73" t="e">
        <f ca="1"/>
        <v>#N/A</v>
      </c>
      <c r="P48" s="65" t="e">
        <f ca="1"/>
        <v>#N/A</v>
      </c>
      <c r="Q48" s="73"/>
      <c r="R48"/>
      <c r="S48"/>
      <c r="T48"/>
      <c r="U48"/>
      <c r="V48"/>
      <c r="W48"/>
      <c r="X48"/>
      <c r="Y48"/>
      <c r="Z48"/>
      <c r="AC48"/>
      <c r="AD48"/>
      <c r="AG48"/>
    </row>
    <row r="49" spans="1:33">
      <c r="B49" s="70" t="s">
        <v>70</v>
      </c>
      <c r="C49" s="59">
        <f ca="1">C48+365</f>
        <v>44557</v>
      </c>
      <c r="D49" t="str">
        <f t="shared" ca="1" si="6"/>
        <v>908D</v>
      </c>
      <c r="E49" t="s">
        <v>44</v>
      </c>
      <c r="F49" s="46" t="str">
        <f t="shared" ca="1" si="7"/>
        <v>AUD-SpreadFra-908D-3D</v>
      </c>
      <c r="G49" s="47">
        <v>0.01</v>
      </c>
      <c r="H49" s="20" t="s">
        <v>20</v>
      </c>
      <c r="I49" s="20" t="s">
        <v>64</v>
      </c>
      <c r="K49" s="73" t="e">
        <f ca="1"/>
        <v>#N/A</v>
      </c>
      <c r="L49" s="65" t="e">
        <f ca="1"/>
        <v>#N/A</v>
      </c>
      <c r="M49" s="65"/>
      <c r="N49" s="65"/>
      <c r="O49" s="73" t="e">
        <f ca="1"/>
        <v>#N/A</v>
      </c>
      <c r="P49" s="65" t="e">
        <f ca="1"/>
        <v>#N/A</v>
      </c>
      <c r="Q49" s="73"/>
      <c r="R49"/>
      <c r="S49"/>
      <c r="T49"/>
      <c r="U49"/>
      <c r="V49"/>
      <c r="W49"/>
      <c r="X49"/>
      <c r="Y49"/>
      <c r="Z49"/>
      <c r="AC49"/>
      <c r="AD49"/>
      <c r="AG49"/>
    </row>
    <row r="50" spans="1:33">
      <c r="B50" s="71" t="s">
        <v>71</v>
      </c>
      <c r="C50" s="59">
        <f ca="1">C49+365</f>
        <v>44922</v>
      </c>
      <c r="D50" t="str">
        <f t="shared" ca="1" si="6"/>
        <v>1273D</v>
      </c>
      <c r="E50" t="s">
        <v>44</v>
      </c>
      <c r="F50" s="46" t="str">
        <f t="shared" ca="1" si="7"/>
        <v>AUD-SpreadFra-1273D-3D</v>
      </c>
      <c r="G50" s="47">
        <v>0.01</v>
      </c>
      <c r="H50" s="20" t="s">
        <v>20</v>
      </c>
      <c r="I50" s="20" t="s">
        <v>64</v>
      </c>
      <c r="K50" s="73" t="e">
        <f ca="1"/>
        <v>#N/A</v>
      </c>
      <c r="L50" s="65" t="e">
        <f ca="1"/>
        <v>#N/A</v>
      </c>
      <c r="M50" s="65"/>
      <c r="N50" s="65"/>
      <c r="O50" s="73" t="e">
        <f ca="1"/>
        <v>#N/A</v>
      </c>
      <c r="P50" s="65" t="e">
        <f ca="1"/>
        <v>#N/A</v>
      </c>
      <c r="Q50" s="73"/>
      <c r="R50"/>
      <c r="S50"/>
      <c r="T50"/>
      <c r="U50"/>
      <c r="V50"/>
      <c r="W50"/>
      <c r="X50"/>
      <c r="Y50"/>
      <c r="Z50"/>
      <c r="AC50"/>
      <c r="AD50"/>
      <c r="AG50"/>
    </row>
    <row r="51" spans="1:33">
      <c r="B51" s="71" t="s">
        <v>69</v>
      </c>
      <c r="C51" s="59">
        <f t="shared" ref="C51:C54" ca="1" si="8">C50+365</f>
        <v>45287</v>
      </c>
      <c r="D51" t="str">
        <f t="shared" ca="1" si="6"/>
        <v>1638D</v>
      </c>
      <c r="E51" t="s">
        <v>44</v>
      </c>
      <c r="F51" s="46" t="str">
        <f t="shared" ca="1" si="7"/>
        <v>AUD-SpreadFra-1638D-3D</v>
      </c>
      <c r="G51" s="47">
        <v>0.01</v>
      </c>
      <c r="H51" s="20" t="s">
        <v>20</v>
      </c>
      <c r="I51" s="20" t="s">
        <v>64</v>
      </c>
      <c r="K51" s="73"/>
      <c r="L51" s="65"/>
      <c r="M51" s="65"/>
      <c r="N51" s="65"/>
      <c r="O51" s="73"/>
      <c r="P51" s="65"/>
      <c r="Q51" s="73"/>
      <c r="R51"/>
      <c r="S51"/>
      <c r="T51"/>
      <c r="U51"/>
      <c r="V51"/>
      <c r="W51"/>
      <c r="X51"/>
      <c r="Y51"/>
      <c r="Z51"/>
      <c r="AC51"/>
      <c r="AD51"/>
      <c r="AG51"/>
    </row>
    <row r="52" spans="1:33">
      <c r="B52" s="71" t="s">
        <v>72</v>
      </c>
      <c r="C52" s="59">
        <f t="shared" ca="1" si="8"/>
        <v>45652</v>
      </c>
      <c r="D52" t="str">
        <f t="shared" ca="1" si="6"/>
        <v>2003D</v>
      </c>
      <c r="E52" t="s">
        <v>44</v>
      </c>
      <c r="F52" s="46" t="str">
        <f t="shared" ca="1" si="7"/>
        <v>AUD-SpreadFra-2003D-3D</v>
      </c>
      <c r="G52" s="47">
        <v>0.01</v>
      </c>
      <c r="H52" s="20" t="s">
        <v>20</v>
      </c>
      <c r="I52" s="20" t="s">
        <v>64</v>
      </c>
      <c r="K52" s="81" t="s">
        <v>100</v>
      </c>
      <c r="L52" s="64"/>
      <c r="M52" s="64"/>
      <c r="N52" s="64"/>
      <c r="O52"/>
      <c r="P52" s="64"/>
      <c r="Q52"/>
      <c r="R52"/>
      <c r="S52"/>
      <c r="T52"/>
      <c r="U52"/>
      <c r="V52"/>
      <c r="W52"/>
      <c r="X52"/>
      <c r="Y52"/>
      <c r="Z52"/>
      <c r="AC52"/>
      <c r="AD52"/>
      <c r="AG52"/>
    </row>
    <row r="53" spans="1:33">
      <c r="B53" s="72" t="s">
        <v>73</v>
      </c>
      <c r="C53" s="59">
        <f t="shared" ca="1" si="8"/>
        <v>46017</v>
      </c>
      <c r="D53" t="str">
        <f t="shared" ca="1" si="6"/>
        <v>2368D</v>
      </c>
      <c r="E53" t="s">
        <v>44</v>
      </c>
      <c r="F53" s="46" t="str">
        <f t="shared" ca="1" si="7"/>
        <v>AUD-SpreadFra-2368D-3D</v>
      </c>
      <c r="G53" s="47">
        <v>0.01</v>
      </c>
      <c r="H53" s="20" t="s">
        <v>20</v>
      </c>
      <c r="I53" s="20" t="s">
        <v>64</v>
      </c>
      <c r="K53"/>
      <c r="L53" s="64"/>
      <c r="M53" s="64"/>
      <c r="N53" s="64"/>
      <c r="O53"/>
      <c r="P53" s="64"/>
      <c r="Q53"/>
      <c r="R53"/>
      <c r="S53"/>
      <c r="T53"/>
      <c r="U53"/>
      <c r="V53"/>
      <c r="W53"/>
      <c r="X53"/>
      <c r="Y53"/>
      <c r="Z53"/>
      <c r="AC53"/>
      <c r="AD53"/>
      <c r="AG53"/>
    </row>
    <row r="54" spans="1:33" ht="13.5" thickBot="1">
      <c r="B54" s="60" t="s">
        <v>69</v>
      </c>
      <c r="C54" s="59">
        <f t="shared" ca="1" si="8"/>
        <v>46382</v>
      </c>
      <c r="D54" t="str">
        <f t="shared" ca="1" si="6"/>
        <v>2733D</v>
      </c>
      <c r="E54" t="s">
        <v>83</v>
      </c>
      <c r="F54" s="48" t="str">
        <f t="shared" ca="1" si="7"/>
        <v>AUD-SpreadFra-2733D-5D</v>
      </c>
      <c r="G54" s="49">
        <v>0.01</v>
      </c>
      <c r="H54" s="21" t="s">
        <v>20</v>
      </c>
      <c r="I54" s="21" t="s">
        <v>64</v>
      </c>
      <c r="K54"/>
      <c r="L54" s="64"/>
      <c r="M54" s="64"/>
      <c r="N54" s="64"/>
      <c r="O54"/>
      <c r="P54" s="64"/>
      <c r="Q54"/>
      <c r="R54"/>
      <c r="S54"/>
      <c r="T54"/>
      <c r="U54"/>
      <c r="V54"/>
      <c r="W54"/>
      <c r="X54"/>
      <c r="Y54"/>
      <c r="Z54"/>
      <c r="AC54"/>
      <c r="AD54"/>
      <c r="AG54"/>
    </row>
    <row r="55" spans="1:33">
      <c r="K55"/>
      <c r="L55" s="64"/>
      <c r="M55" s="64"/>
      <c r="N55" s="64"/>
      <c r="O55"/>
      <c r="P55" s="64"/>
      <c r="Q55"/>
      <c r="R55"/>
      <c r="S55"/>
      <c r="T55"/>
      <c r="U55"/>
      <c r="V55"/>
      <c r="W55"/>
      <c r="X55"/>
      <c r="Y55"/>
      <c r="Z55"/>
      <c r="AC55"/>
      <c r="AD55"/>
      <c r="AG55"/>
    </row>
    <row r="56" spans="1:33">
      <c r="A56">
        <f t="array" aca="1" ref="A56:B92" ca="1">_xll.HLV5r3.Financial.Cache.GetDaysAndRates($B$1, $C$3,$B$54)</f>
        <v>0</v>
      </c>
      <c r="B56" s="65">
        <f ca="1"/>
        <v>2.0049532765988864E-2</v>
      </c>
      <c r="C56" s="61">
        <f t="array" aca="1" ref="C56:D92" ca="1">_xll.HLV5r3.Financial.Cache.GetTermCurve(B1)</f>
        <v>43649</v>
      </c>
      <c r="D56">
        <f ca="1"/>
        <v>1</v>
      </c>
      <c r="F56">
        <f t="array" aca="1" ref="F56:G92" ca="1">_xll.HLV5r3.Financial.Cache.GetDaysAndRates($F$1, $C$3,$B$54)</f>
        <v>0</v>
      </c>
      <c r="G56" s="65">
        <f ca="1"/>
        <v>2.0049532765988864E-2</v>
      </c>
      <c r="H56" s="61">
        <f t="array" aca="1" ref="H56:I92" ca="1">_xll.HLV5r3.Financial.Cache.GetTermCurve(F1)</f>
        <v>43649</v>
      </c>
      <c r="I56">
        <f ca="1"/>
        <v>1</v>
      </c>
      <c r="K56">
        <f t="array" aca="1" ref="K56:L92" ca="1">_xll.HLV5r3.Financial.Cache.GetDaysAndRates($K$1, $C$3,$B$54)</f>
        <v>0</v>
      </c>
      <c r="L56" s="65">
        <f ca="1"/>
        <v>2.1054614329243826E-2</v>
      </c>
      <c r="M56" s="65"/>
      <c r="O56" s="61">
        <f t="array" aca="1" ref="O56:P92" ca="1">_xll.HLV5r3.Financial.Cache.GetTermCurve(K1)</f>
        <v>43649</v>
      </c>
      <c r="P56">
        <f ca="1"/>
        <v>1</v>
      </c>
      <c r="Q56"/>
      <c r="R56"/>
      <c r="S56"/>
      <c r="T56"/>
      <c r="U56"/>
      <c r="V56"/>
      <c r="W56"/>
      <c r="X56"/>
      <c r="Y56"/>
      <c r="Z56"/>
      <c r="AC56"/>
      <c r="AD56"/>
      <c r="AG56"/>
    </row>
    <row r="57" spans="1:33">
      <c r="A57">
        <f ca="1"/>
        <v>1</v>
      </c>
      <c r="B57" s="65">
        <f ca="1"/>
        <v>2.0049532765988864E-2</v>
      </c>
      <c r="C57" s="61">
        <f ca="1"/>
        <v>43650</v>
      </c>
      <c r="D57">
        <f ca="1"/>
        <v>0.99994520848172697</v>
      </c>
      <c r="F57">
        <f ca="1"/>
        <v>1</v>
      </c>
      <c r="G57" s="65">
        <f ca="1"/>
        <v>2.0049532765988864E-2</v>
      </c>
      <c r="H57" s="61">
        <f ca="1"/>
        <v>43650</v>
      </c>
      <c r="I57">
        <f ca="1"/>
        <v>0.99994520848172697</v>
      </c>
      <c r="K57">
        <f ca="1"/>
        <v>1</v>
      </c>
      <c r="L57" s="65">
        <f ca="1"/>
        <v>2.1054614329243826E-2</v>
      </c>
      <c r="M57" s="65"/>
      <c r="O57" s="61">
        <f ca="1"/>
        <v>43650</v>
      </c>
      <c r="P57">
        <f ca="1"/>
        <v>0.99994246906342399</v>
      </c>
      <c r="Q57"/>
      <c r="R57"/>
      <c r="S57"/>
      <c r="T57"/>
      <c r="U57"/>
      <c r="V57"/>
      <c r="W57"/>
      <c r="X57"/>
      <c r="Y57"/>
      <c r="Z57"/>
      <c r="AC57"/>
      <c r="AD57"/>
      <c r="AG57"/>
    </row>
    <row r="58" spans="1:33">
      <c r="A58">
        <f ca="1"/>
        <v>8</v>
      </c>
      <c r="B58" s="65">
        <f ca="1"/>
        <v>2.0925778202376399E-2</v>
      </c>
      <c r="C58" s="61">
        <f ca="1"/>
        <v>43657</v>
      </c>
      <c r="D58">
        <f ca="1"/>
        <v>0.99954265294752598</v>
      </c>
      <c r="F58">
        <f ca="1"/>
        <v>8</v>
      </c>
      <c r="G58" s="65">
        <f ca="1"/>
        <v>2.0925778202376399E-2</v>
      </c>
      <c r="H58" s="61">
        <f ca="1"/>
        <v>43657</v>
      </c>
      <c r="I58">
        <f ca="1"/>
        <v>0.99954265294752598</v>
      </c>
      <c r="K58">
        <f ca="1"/>
        <v>8</v>
      </c>
      <c r="L58" s="65">
        <f ca="1"/>
        <v>2.1930765636408722E-2</v>
      </c>
      <c r="M58" s="65"/>
      <c r="O58" s="61">
        <f ca="1"/>
        <v>43657</v>
      </c>
      <c r="P58">
        <f ca="1"/>
        <v>0.99952075345785596</v>
      </c>
      <c r="Q58"/>
      <c r="R58"/>
      <c r="S58"/>
      <c r="T58"/>
      <c r="U58"/>
      <c r="V58"/>
      <c r="W58"/>
      <c r="X58"/>
      <c r="Y58"/>
      <c r="Z58"/>
      <c r="AC58"/>
      <c r="AD58"/>
      <c r="AG58"/>
    </row>
    <row r="59" spans="1:33">
      <c r="A59">
        <f ca="1"/>
        <v>15</v>
      </c>
      <c r="B59" s="65">
        <f ca="1"/>
        <v>2.1917801926463198E-2</v>
      </c>
      <c r="C59" s="61">
        <f ca="1"/>
        <v>43664</v>
      </c>
      <c r="D59">
        <f ca="1"/>
        <v>0.999102130519535</v>
      </c>
      <c r="F59">
        <f ca="1"/>
        <v>15</v>
      </c>
      <c r="G59" s="65">
        <f ca="1"/>
        <v>2.1917801926463198E-2</v>
      </c>
      <c r="H59" s="61">
        <f ca="1"/>
        <v>43664</v>
      </c>
      <c r="I59">
        <f ca="1"/>
        <v>0.999102130519535</v>
      </c>
      <c r="K59">
        <f ca="1"/>
        <v>15</v>
      </c>
      <c r="L59" s="65">
        <f ca="1"/>
        <v>2.2922593909993516E-2</v>
      </c>
      <c r="M59" s="65"/>
      <c r="O59" s="61">
        <f ca="1"/>
        <v>43664</v>
      </c>
      <c r="P59">
        <f ca="1"/>
        <v>0.99906110556755301</v>
      </c>
      <c r="Q59"/>
      <c r="R59"/>
      <c r="S59"/>
      <c r="T59"/>
      <c r="U59"/>
      <c r="V59"/>
      <c r="W59"/>
      <c r="X59"/>
      <c r="Y59"/>
      <c r="Z59"/>
      <c r="AC59"/>
      <c r="AD59"/>
      <c r="AG59"/>
    </row>
    <row r="60" spans="1:33">
      <c r="A60">
        <f ca="1"/>
        <v>34</v>
      </c>
      <c r="B60" s="65">
        <f ca="1"/>
        <v>2.2954181279291497E-2</v>
      </c>
      <c r="C60" s="61">
        <f ca="1"/>
        <v>43683</v>
      </c>
      <c r="D60">
        <f ca="1"/>
        <v>0.99787018527453997</v>
      </c>
      <c r="F60">
        <f ca="1"/>
        <v>34</v>
      </c>
      <c r="G60" s="65">
        <f ca="1"/>
        <v>2.2954181279291497E-2</v>
      </c>
      <c r="H60" s="61">
        <f ca="1"/>
        <v>43683</v>
      </c>
      <c r="I60">
        <f ca="1"/>
        <v>0.99787018527453997</v>
      </c>
      <c r="K60">
        <f ca="1"/>
        <v>34</v>
      </c>
      <c r="L60" s="65">
        <f ca="1"/>
        <v>2.3957973770195373E-2</v>
      </c>
      <c r="M60" s="65"/>
      <c r="O60" s="61">
        <f ca="1"/>
        <v>43683</v>
      </c>
      <c r="P60">
        <f ca="1"/>
        <v>0.99777742872493003</v>
      </c>
      <c r="Q60"/>
      <c r="R60"/>
      <c r="S60"/>
      <c r="T60"/>
      <c r="U60"/>
      <c r="V60"/>
      <c r="W60"/>
      <c r="X60"/>
      <c r="Y60"/>
      <c r="Z60"/>
      <c r="AC60"/>
      <c r="AD60"/>
      <c r="AG60"/>
    </row>
    <row r="61" spans="1:33">
      <c r="A61">
        <f ca="1"/>
        <v>63</v>
      </c>
      <c r="B61" s="65">
        <f ca="1"/>
        <v>2.3959960338133968E-2</v>
      </c>
      <c r="C61" s="61">
        <f ca="1"/>
        <v>43712</v>
      </c>
      <c r="D61">
        <f ca="1"/>
        <v>0.995885270720543</v>
      </c>
      <c r="F61">
        <f ca="1"/>
        <v>63</v>
      </c>
      <c r="G61" s="65">
        <f ca="1"/>
        <v>2.3959960338133968E-2</v>
      </c>
      <c r="H61" s="61">
        <f ca="1"/>
        <v>43712</v>
      </c>
      <c r="I61">
        <f ca="1"/>
        <v>0.995885270720543</v>
      </c>
      <c r="K61">
        <f ca="1"/>
        <v>63</v>
      </c>
      <c r="L61" s="65">
        <f ca="1"/>
        <v>2.4961971125878613E-2</v>
      </c>
      <c r="M61" s="65"/>
      <c r="O61" s="61">
        <f ca="1"/>
        <v>43712</v>
      </c>
      <c r="P61">
        <f ca="1"/>
        <v>0.99571409414308998</v>
      </c>
      <c r="Q61"/>
      <c r="R61"/>
      <c r="S61"/>
      <c r="T61"/>
      <c r="U61"/>
      <c r="V61"/>
      <c r="W61"/>
      <c r="X61"/>
      <c r="Y61"/>
      <c r="Z61"/>
      <c r="AC61"/>
      <c r="AD61"/>
      <c r="AG61"/>
    </row>
    <row r="62" spans="1:33">
      <c r="A62">
        <f ca="1"/>
        <v>93</v>
      </c>
      <c r="B62" s="65">
        <f ca="1"/>
        <v>2.4946102890529787E-2</v>
      </c>
      <c r="C62" s="61">
        <f ca="1"/>
        <v>43742</v>
      </c>
      <c r="D62">
        <f ca="1"/>
        <v>0.99368364033713696</v>
      </c>
      <c r="F62">
        <f ca="1"/>
        <v>93</v>
      </c>
      <c r="G62" s="65">
        <f ca="1"/>
        <v>2.4946102890529787E-2</v>
      </c>
      <c r="H62" s="61">
        <f ca="1"/>
        <v>43742</v>
      </c>
      <c r="I62">
        <f ca="1"/>
        <v>0.99368364033713696</v>
      </c>
      <c r="K62">
        <f ca="1"/>
        <v>93</v>
      </c>
      <c r="L62" s="65">
        <f ca="1"/>
        <v>2.5946105939624431E-2</v>
      </c>
      <c r="M62" s="65"/>
      <c r="O62" s="61">
        <f ca="1"/>
        <v>43742</v>
      </c>
      <c r="P62">
        <f ca="1"/>
        <v>0.99343208673065797</v>
      </c>
      <c r="Q62"/>
      <c r="R62"/>
      <c r="S62"/>
      <c r="T62"/>
      <c r="U62"/>
      <c r="V62"/>
      <c r="W62"/>
      <c r="X62"/>
      <c r="Y62"/>
      <c r="Z62"/>
      <c r="AC62"/>
      <c r="AD62"/>
      <c r="AG62"/>
    </row>
    <row r="63" spans="1:33">
      <c r="A63">
        <f ca="1"/>
        <v>162</v>
      </c>
      <c r="B63" s="65">
        <f ca="1"/>
        <v>2.4669659388142584E-2</v>
      </c>
      <c r="C63" s="61">
        <f ca="1"/>
        <v>43811</v>
      </c>
      <c r="D63">
        <f ca="1"/>
        <v>0.98914371218654595</v>
      </c>
      <c r="F63">
        <f ca="1"/>
        <v>162</v>
      </c>
      <c r="G63" s="65">
        <f ca="1"/>
        <v>2.4708011627721405E-2</v>
      </c>
      <c r="H63" s="61">
        <f ca="1"/>
        <v>43811</v>
      </c>
      <c r="I63">
        <f ca="1"/>
        <v>0.98912697832069596</v>
      </c>
      <c r="K63">
        <f ca="1"/>
        <v>162</v>
      </c>
      <c r="L63" s="65">
        <f ca="1"/>
        <v>2.5670321522827777E-2</v>
      </c>
      <c r="M63" s="65"/>
      <c r="O63" s="61">
        <f ca="1"/>
        <v>43811</v>
      </c>
      <c r="P63">
        <f ca="1"/>
        <v>0.988707247668966</v>
      </c>
      <c r="Q63"/>
      <c r="R63"/>
      <c r="S63"/>
      <c r="T63"/>
      <c r="U63"/>
      <c r="V63"/>
      <c r="W63"/>
      <c r="X63"/>
      <c r="Y63"/>
      <c r="Z63"/>
      <c r="AC63"/>
      <c r="AD63"/>
      <c r="AG63"/>
    </row>
    <row r="64" spans="1:33">
      <c r="A64">
        <f ca="1"/>
        <v>253</v>
      </c>
      <c r="B64" s="65">
        <f ca="1"/>
        <v>2.5146101835961332E-2</v>
      </c>
      <c r="C64" s="61">
        <f ca="1"/>
        <v>43902</v>
      </c>
      <c r="D64">
        <f ca="1"/>
        <v>0.982774604063817</v>
      </c>
      <c r="F64">
        <f ca="1"/>
        <v>253</v>
      </c>
      <c r="G64" s="65">
        <f ca="1"/>
        <v>2.5172545631154897E-2</v>
      </c>
      <c r="H64" s="61">
        <f ca="1"/>
        <v>43902</v>
      </c>
      <c r="I64">
        <f ca="1"/>
        <v>0.98275670302115103</v>
      </c>
      <c r="K64">
        <f ca="1"/>
        <v>253</v>
      </c>
      <c r="L64" s="65">
        <f ca="1"/>
        <v>2.6146517216031562E-2</v>
      </c>
      <c r="M64" s="65"/>
      <c r="O64" s="61">
        <f ca="1"/>
        <v>43902</v>
      </c>
      <c r="P64">
        <f ca="1"/>
        <v>0.98209768505538597</v>
      </c>
      <c r="Q64"/>
      <c r="R64"/>
      <c r="S64"/>
      <c r="T64"/>
      <c r="U64"/>
      <c r="V64"/>
      <c r="W64"/>
      <c r="X64"/>
      <c r="Y64"/>
      <c r="Z64"/>
      <c r="AC64"/>
      <c r="AD64"/>
      <c r="AG64"/>
    </row>
    <row r="65" spans="1:33">
      <c r="A65">
        <f ca="1"/>
        <v>344</v>
      </c>
      <c r="B65" s="65">
        <f ca="1"/>
        <v>2.5634313296938771E-2</v>
      </c>
      <c r="C65" s="61">
        <f ca="1"/>
        <v>43993</v>
      </c>
      <c r="D65">
        <f ca="1"/>
        <v>0.97620528894607095</v>
      </c>
      <c r="F65">
        <f ca="1"/>
        <v>344</v>
      </c>
      <c r="G65" s="65">
        <f ca="1"/>
        <v>2.5655183660699521E-2</v>
      </c>
      <c r="H65" s="61">
        <f ca="1"/>
        <v>43993</v>
      </c>
      <c r="I65">
        <f ca="1"/>
        <v>0.97618620988257299</v>
      </c>
      <c r="K65">
        <f ca="1"/>
        <v>344</v>
      </c>
      <c r="L65" s="65">
        <f ca="1"/>
        <v>2.663456668293307E-2</v>
      </c>
      <c r="M65" s="65"/>
      <c r="O65" s="61">
        <f ca="1"/>
        <v>43993</v>
      </c>
      <c r="P65">
        <f ca="1"/>
        <v>0.97529141746542103</v>
      </c>
      <c r="Q65"/>
      <c r="R65"/>
      <c r="S65"/>
      <c r="T65"/>
      <c r="U65"/>
      <c r="V65"/>
      <c r="W65"/>
      <c r="X65"/>
      <c r="Y65"/>
      <c r="Z65"/>
      <c r="AC65"/>
      <c r="AD65"/>
      <c r="AG65"/>
    </row>
    <row r="66" spans="1:33">
      <c r="A66">
        <f ca="1"/>
        <v>435</v>
      </c>
      <c r="B66" s="65">
        <f ca="1"/>
        <v>2.6126620685759328E-2</v>
      </c>
      <c r="C66" s="61">
        <f ca="1"/>
        <v>44084</v>
      </c>
      <c r="D66">
        <f ca="1"/>
        <v>0.96944071391129005</v>
      </c>
      <c r="F66">
        <f ca="1"/>
        <v>435</v>
      </c>
      <c r="G66" s="65">
        <f ca="1"/>
        <v>2.6144259685391802E-2</v>
      </c>
      <c r="H66" s="61">
        <f ca="1"/>
        <v>44084</v>
      </c>
      <c r="I66">
        <f ca="1"/>
        <v>0.96942046700493401</v>
      </c>
      <c r="K66">
        <f ca="1"/>
        <v>435</v>
      </c>
      <c r="L66" s="65">
        <f ca="1"/>
        <v>2.7126725706638766E-2</v>
      </c>
      <c r="M66" s="65"/>
      <c r="O66" s="61">
        <f ca="1"/>
        <v>44084</v>
      </c>
      <c r="P66">
        <f ca="1"/>
        <v>0.96829355178488796</v>
      </c>
      <c r="Q66"/>
      <c r="R66"/>
      <c r="S66"/>
      <c r="T66"/>
      <c r="U66"/>
      <c r="V66"/>
      <c r="W66"/>
      <c r="X66"/>
      <c r="Y66"/>
      <c r="Z66"/>
      <c r="AC66"/>
      <c r="AD66"/>
      <c r="AG66"/>
    </row>
    <row r="67" spans="1:33">
      <c r="A67">
        <f ca="1"/>
        <v>526</v>
      </c>
      <c r="B67" s="65">
        <f ca="1"/>
        <v>2.6620615495635214E-2</v>
      </c>
      <c r="C67" s="61">
        <f ca="1"/>
        <v>44175</v>
      </c>
      <c r="D67">
        <f ca="1"/>
        <v>0.96248599094396103</v>
      </c>
      <c r="F67">
        <f ca="1"/>
        <v>526</v>
      </c>
      <c r="G67" s="65">
        <f ca="1"/>
        <v>2.663614259903202E-2</v>
      </c>
      <c r="H67" s="61">
        <f ca="1"/>
        <v>44175</v>
      </c>
      <c r="I67">
        <f ca="1"/>
        <v>0.962464596975251</v>
      </c>
      <c r="K67">
        <f ca="1"/>
        <v>526</v>
      </c>
      <c r="L67" s="65">
        <f ca="1"/>
        <v>2.7620562712239227E-2</v>
      </c>
      <c r="M67" s="65"/>
      <c r="O67" s="61">
        <f ca="1"/>
        <v>44175</v>
      </c>
      <c r="P67">
        <f ca="1"/>
        <v>0.96110935545063403</v>
      </c>
      <c r="Q67"/>
      <c r="R67"/>
      <c r="S67"/>
      <c r="T67"/>
      <c r="U67"/>
      <c r="V67"/>
      <c r="W67"/>
      <c r="X67"/>
      <c r="Y67"/>
      <c r="Z67"/>
      <c r="AC67"/>
      <c r="AD67"/>
      <c r="AG67"/>
    </row>
    <row r="68" spans="1:33">
      <c r="A68">
        <f ca="1"/>
        <v>617</v>
      </c>
      <c r="B68" s="65">
        <f ca="1"/>
        <v>2.711526971681355E-2</v>
      </c>
      <c r="C68" s="61">
        <f ca="1"/>
        <v>44266</v>
      </c>
      <c r="D68">
        <f ca="1"/>
        <v>0.95534639130511001</v>
      </c>
      <c r="F68">
        <f ca="1"/>
        <v>617</v>
      </c>
      <c r="G68" s="65">
        <f ca="1"/>
        <v>2.7129310144134777E-2</v>
      </c>
      <c r="H68" s="61">
        <f ca="1"/>
        <v>44266</v>
      </c>
      <c r="I68">
        <f ca="1"/>
        <v>0.955323870000367</v>
      </c>
      <c r="K68">
        <f ca="1"/>
        <v>617</v>
      </c>
      <c r="L68" s="65">
        <f ca="1"/>
        <v>2.811504089737582E-2</v>
      </c>
      <c r="M68" s="65"/>
      <c r="O68" s="61">
        <f ca="1"/>
        <v>44266</v>
      </c>
      <c r="P68">
        <f ca="1"/>
        <v>0.95374424788345202</v>
      </c>
      <c r="Q68"/>
      <c r="R68"/>
      <c r="S68"/>
      <c r="T68"/>
      <c r="U68"/>
      <c r="V68"/>
      <c r="W68"/>
      <c r="X68"/>
      <c r="Y68"/>
      <c r="Z68"/>
      <c r="AC68"/>
      <c r="AD68"/>
      <c r="AG68"/>
    </row>
    <row r="69" spans="1:33">
      <c r="A69">
        <f ca="1"/>
        <v>708</v>
      </c>
      <c r="B69" s="65">
        <f ca="1"/>
        <v>2.761005624845847E-2</v>
      </c>
      <c r="C69" s="61">
        <f ca="1"/>
        <v>44357</v>
      </c>
      <c r="D69">
        <f ca="1"/>
        <v>0.94802732285491598</v>
      </c>
      <c r="F69">
        <f ca="1"/>
        <v>708</v>
      </c>
      <c r="G69" s="65">
        <f ca="1"/>
        <v>2.7622993135090645E-2</v>
      </c>
      <c r="H69" s="61">
        <f ca="1"/>
        <v>44357</v>
      </c>
      <c r="I69">
        <f ca="1"/>
        <v>0.94800369645855997</v>
      </c>
      <c r="K69">
        <f ca="1"/>
        <v>708</v>
      </c>
      <c r="L69" s="65">
        <f ca="1"/>
        <v>2.8609627283975314E-2</v>
      </c>
      <c r="M69" s="65"/>
      <c r="O69" s="61">
        <f ca="1"/>
        <v>44357</v>
      </c>
      <c r="P69">
        <f ca="1"/>
        <v>0.94620378165855501</v>
      </c>
      <c r="Q69"/>
      <c r="R69"/>
      <c r="S69"/>
      <c r="T69"/>
      <c r="U69"/>
      <c r="V69"/>
      <c r="W69"/>
      <c r="X69"/>
      <c r="Y69"/>
      <c r="Z69"/>
      <c r="AC69"/>
      <c r="AD69"/>
      <c r="AG69"/>
    </row>
    <row r="70" spans="1:33">
      <c r="A70">
        <f ca="1"/>
        <v>799</v>
      </c>
      <c r="B70" s="65">
        <f ca="1"/>
        <v>2.8104662373623412E-2</v>
      </c>
      <c r="C70" s="61">
        <f ca="1"/>
        <v>44448</v>
      </c>
      <c r="D70">
        <f ca="1"/>
        <v>0.94053432420274496</v>
      </c>
      <c r="F70">
        <f ca="1"/>
        <v>799</v>
      </c>
      <c r="G70" s="65">
        <f ca="1"/>
        <v>2.8116746324565511E-2</v>
      </c>
      <c r="H70" s="61">
        <f ca="1"/>
        <v>44448</v>
      </c>
      <c r="I70">
        <f ca="1"/>
        <v>0.94050961888707296</v>
      </c>
      <c r="K70">
        <f ca="1"/>
        <v>799</v>
      </c>
      <c r="L70" s="65">
        <f ca="1"/>
        <v>2.9104005463280735E-2</v>
      </c>
      <c r="M70" s="65"/>
      <c r="O70" s="61">
        <f ca="1"/>
        <v>44448</v>
      </c>
      <c r="P70">
        <f ca="1"/>
        <v>0.93849363445668299</v>
      </c>
      <c r="Q70"/>
      <c r="R70"/>
      <c r="S70"/>
      <c r="T70"/>
      <c r="U70"/>
      <c r="V70"/>
      <c r="W70"/>
      <c r="X70"/>
      <c r="Y70"/>
      <c r="Z70"/>
      <c r="AC70"/>
      <c r="AD70"/>
      <c r="AG70"/>
    </row>
    <row r="71" spans="1:33">
      <c r="A71">
        <f ca="1"/>
        <v>1097</v>
      </c>
      <c r="B71" s="65">
        <f ca="1"/>
        <v>2.5962037905553181E-2</v>
      </c>
      <c r="C71" s="61">
        <f ca="1"/>
        <v>44746</v>
      </c>
      <c r="D71">
        <f ca="1"/>
        <v>0.92517141983071105</v>
      </c>
      <c r="F71">
        <f ca="1"/>
        <v>1097</v>
      </c>
      <c r="G71" s="65">
        <f ca="1"/>
        <v>2.5963199918090041E-2</v>
      </c>
      <c r="H71" s="61">
        <f ca="1"/>
        <v>44746</v>
      </c>
      <c r="I71">
        <f ca="1"/>
        <v>0.92516820959970902</v>
      </c>
      <c r="K71">
        <f ca="1"/>
        <v>1097</v>
      </c>
      <c r="L71" s="65">
        <f ca="1"/>
        <v>2.6960789606741642E-2</v>
      </c>
      <c r="M71" s="65"/>
      <c r="O71" s="61">
        <f ca="1"/>
        <v>44746</v>
      </c>
      <c r="P71">
        <f ca="1"/>
        <v>0.92241666734847705</v>
      </c>
      <c r="Q71"/>
      <c r="R71"/>
      <c r="S71"/>
      <c r="T71"/>
      <c r="U71"/>
      <c r="V71"/>
      <c r="W71"/>
      <c r="X71"/>
      <c r="Y71"/>
      <c r="Z71"/>
      <c r="AC71"/>
      <c r="AD71"/>
      <c r="AG71"/>
    </row>
    <row r="72" spans="1:33">
      <c r="A72">
        <f ca="1"/>
        <v>1462</v>
      </c>
      <c r="B72" s="65">
        <f ca="1"/>
        <v>2.6919405885156955E-2</v>
      </c>
      <c r="C72" s="61">
        <f ca="1"/>
        <v>45111</v>
      </c>
      <c r="D72">
        <f ca="1"/>
        <v>0.89810892271802001</v>
      </c>
      <c r="F72">
        <f ca="1"/>
        <v>1462</v>
      </c>
      <c r="G72" s="65">
        <f ca="1"/>
        <v>2.6919305078864753E-2</v>
      </c>
      <c r="H72" s="61">
        <f ca="1"/>
        <v>45111</v>
      </c>
      <c r="I72">
        <f ca="1"/>
        <v>0.89810928293012804</v>
      </c>
      <c r="K72">
        <f ca="1"/>
        <v>1462</v>
      </c>
      <c r="L72" s="65">
        <f ca="1"/>
        <v>2.7912887633279482E-2</v>
      </c>
      <c r="M72" s="65"/>
      <c r="O72" s="61">
        <f ca="1"/>
        <v>45111</v>
      </c>
      <c r="P72">
        <f ca="1"/>
        <v>0.89456634852674399</v>
      </c>
      <c r="Q72"/>
      <c r="R72"/>
      <c r="S72"/>
      <c r="T72"/>
      <c r="U72"/>
      <c r="V72"/>
      <c r="W72"/>
      <c r="X72"/>
      <c r="Y72"/>
      <c r="Z72"/>
      <c r="AC72"/>
      <c r="AD72"/>
      <c r="AG72"/>
    </row>
    <row r="73" spans="1:33">
      <c r="A73">
        <f ca="1"/>
        <v>1828</v>
      </c>
      <c r="B73" s="65">
        <f ca="1"/>
        <v>2.7968885653308462E-2</v>
      </c>
      <c r="C73" s="61">
        <f ca="1"/>
        <v>45477</v>
      </c>
      <c r="D73">
        <f ca="1"/>
        <v>0.86971747181140402</v>
      </c>
      <c r="F73">
        <f ca="1"/>
        <v>1828</v>
      </c>
      <c r="G73" s="65">
        <f ca="1"/>
        <v>2.7968063675841037E-2</v>
      </c>
      <c r="H73" s="61">
        <f ca="1"/>
        <v>45477</v>
      </c>
      <c r="I73">
        <f ca="1"/>
        <v>0.86972102727511802</v>
      </c>
      <c r="K73">
        <f ca="1"/>
        <v>1828</v>
      </c>
      <c r="L73" s="65">
        <f ca="1"/>
        <v>2.8964200071561308E-2</v>
      </c>
      <c r="M73" s="65"/>
      <c r="O73" s="61">
        <f ca="1"/>
        <v>45477</v>
      </c>
      <c r="P73">
        <f ca="1"/>
        <v>0.86542341568921199</v>
      </c>
      <c r="Q73"/>
      <c r="R73"/>
      <c r="S73"/>
      <c r="T73"/>
      <c r="U73"/>
      <c r="V73"/>
      <c r="W73"/>
      <c r="X73"/>
      <c r="Y73"/>
      <c r="Z73"/>
      <c r="AC73"/>
      <c r="AD73"/>
      <c r="AG73"/>
    </row>
    <row r="74" spans="1:33">
      <c r="A74">
        <f ca="1"/>
        <v>2193</v>
      </c>
      <c r="B74" s="65">
        <f ca="1"/>
        <v>2.9029050726250283E-2</v>
      </c>
      <c r="C74" s="61">
        <f ca="1"/>
        <v>45842</v>
      </c>
      <c r="D74">
        <f ca="1"/>
        <v>0.84047920757847705</v>
      </c>
      <c r="F74">
        <f ca="1"/>
        <v>2193</v>
      </c>
      <c r="G74" s="65">
        <f ca="1"/>
        <v>2.902768821072943E-2</v>
      </c>
      <c r="H74" s="61">
        <f ca="1"/>
        <v>45842</v>
      </c>
      <c r="I74">
        <f ca="1"/>
        <v>0.84048603844234104</v>
      </c>
      <c r="K74">
        <f ca="1"/>
        <v>2193</v>
      </c>
      <c r="L74" s="65">
        <f ca="1"/>
        <v>3.0026471012393863E-2</v>
      </c>
      <c r="M74" s="65"/>
      <c r="O74" s="61">
        <f ca="1"/>
        <v>45842</v>
      </c>
      <c r="P74">
        <f ca="1"/>
        <v>0.83549420194867596</v>
      </c>
      <c r="Q74"/>
      <c r="R74"/>
      <c r="S74"/>
      <c r="T74"/>
      <c r="U74"/>
      <c r="V74"/>
      <c r="W74"/>
      <c r="X74"/>
      <c r="Y74"/>
      <c r="Z74"/>
      <c r="AC74"/>
      <c r="AD74"/>
      <c r="AG74"/>
    </row>
    <row r="75" spans="1:33">
      <c r="A75">
        <f ca="1"/>
        <v>2560</v>
      </c>
      <c r="B75" s="65">
        <f ca="1"/>
        <v>3.010250954495941E-2</v>
      </c>
      <c r="C75" s="61">
        <f ca="1"/>
        <v>46209</v>
      </c>
      <c r="D75">
        <f ca="1"/>
        <v>0.81030913920149406</v>
      </c>
      <c r="F75">
        <f ca="1"/>
        <v>2560</v>
      </c>
      <c r="G75" s="65">
        <f ca="1"/>
        <v>3.0100710920890172E-2</v>
      </c>
      <c r="H75" s="61">
        <f ca="1"/>
        <v>46209</v>
      </c>
      <c r="I75">
        <f ca="1"/>
        <v>0.81031928497010097</v>
      </c>
      <c r="K75">
        <f ca="1"/>
        <v>2560</v>
      </c>
      <c r="L75" s="65">
        <f ca="1"/>
        <v>3.110238218218786E-2</v>
      </c>
      <c r="M75" s="65"/>
      <c r="O75" s="61">
        <f ca="1"/>
        <v>46209</v>
      </c>
      <c r="P75">
        <f ca="1"/>
        <v>0.80468932214421696</v>
      </c>
      <c r="Q75"/>
      <c r="R75"/>
      <c r="S75"/>
      <c r="T75"/>
      <c r="U75"/>
      <c r="V75"/>
      <c r="W75"/>
      <c r="X75"/>
      <c r="Y75"/>
      <c r="Z75"/>
      <c r="AC75"/>
      <c r="AD75"/>
      <c r="AG75"/>
    </row>
    <row r="76" spans="1:33">
      <c r="A76">
        <f ca="1"/>
        <v>2924</v>
      </c>
      <c r="B76" s="65">
        <f ca="1"/>
        <v>3.1192669893111535E-2</v>
      </c>
      <c r="C76" s="61">
        <f ca="1"/>
        <v>46573</v>
      </c>
      <c r="D76">
        <f ca="1"/>
        <v>0.77964708491505397</v>
      </c>
      <c r="F76">
        <f ca="1"/>
        <v>2924</v>
      </c>
      <c r="G76" s="65">
        <f ca="1"/>
        <v>3.1190506345099678E-2</v>
      </c>
      <c r="H76" s="61">
        <f ca="1"/>
        <v>46573</v>
      </c>
      <c r="I76">
        <f ca="1"/>
        <v>0.77966049339007304</v>
      </c>
      <c r="K76">
        <f ca="1"/>
        <v>2924</v>
      </c>
      <c r="L76" s="65">
        <f ca="1"/>
        <v>3.2195457604213829E-2</v>
      </c>
      <c r="M76" s="65"/>
      <c r="O76" s="61">
        <f ca="1"/>
        <v>46573</v>
      </c>
      <c r="P76">
        <f ca="1"/>
        <v>0.77345788591912601</v>
      </c>
      <c r="Q76"/>
      <c r="R76"/>
      <c r="S76"/>
      <c r="T76"/>
      <c r="U76"/>
      <c r="V76"/>
      <c r="W76"/>
      <c r="X76"/>
      <c r="Y76"/>
      <c r="Z76"/>
      <c r="AC76"/>
      <c r="AD76"/>
      <c r="AG76"/>
    </row>
    <row r="77" spans="1:33">
      <c r="A77">
        <f ca="1"/>
        <v>3289</v>
      </c>
      <c r="B77" s="65">
        <f ca="1"/>
        <v>3.2301049889684741E-2</v>
      </c>
      <c r="C77" s="61">
        <f ca="1"/>
        <v>46938</v>
      </c>
      <c r="D77">
        <f ca="1"/>
        <v>0.74834250234639499</v>
      </c>
      <c r="F77">
        <f ca="1"/>
        <v>3289</v>
      </c>
      <c r="G77" s="65">
        <f ca="1"/>
        <v>3.2298553146332232E-2</v>
      </c>
      <c r="H77" s="61">
        <f ca="1"/>
        <v>46938</v>
      </c>
      <c r="I77">
        <f ca="1"/>
        <v>0.74835920391824595</v>
      </c>
      <c r="K77">
        <f ca="1"/>
        <v>3289</v>
      </c>
      <c r="L77" s="65">
        <f ca="1"/>
        <v>3.3307236075333257E-2</v>
      </c>
      <c r="M77" s="65"/>
      <c r="O77" s="61">
        <f ca="1"/>
        <v>46938</v>
      </c>
      <c r="P77">
        <f ca="1"/>
        <v>0.74164286487056397</v>
      </c>
      <c r="Q77"/>
      <c r="R77"/>
      <c r="S77"/>
      <c r="T77"/>
      <c r="U77"/>
      <c r="V77"/>
      <c r="W77"/>
      <c r="X77"/>
      <c r="Y77"/>
      <c r="Z77"/>
      <c r="AC77"/>
      <c r="AD77"/>
      <c r="AG77"/>
    </row>
    <row r="78" spans="1:33">
      <c r="A78">
        <f ca="1"/>
        <v>3654</v>
      </c>
      <c r="B78" s="65">
        <f ca="1"/>
        <v>3.3430312764383352E-2</v>
      </c>
      <c r="C78" s="61">
        <f ca="1"/>
        <v>47303</v>
      </c>
      <c r="D78">
        <f ca="1"/>
        <v>0.71657044549961901</v>
      </c>
      <c r="F78">
        <f ca="1"/>
        <v>3654</v>
      </c>
      <c r="G78" s="65">
        <f ca="1"/>
        <v>3.3427501252258907E-2</v>
      </c>
      <c r="H78" s="61">
        <f ca="1"/>
        <v>47303</v>
      </c>
      <c r="I78">
        <f ca="1"/>
        <v>0.71659044716591402</v>
      </c>
      <c r="K78">
        <f ca="1"/>
        <v>3654</v>
      </c>
      <c r="L78" s="65">
        <f ca="1"/>
        <v>3.4440455149763238E-2</v>
      </c>
      <c r="M78" s="65"/>
      <c r="O78" s="61">
        <f ca="1"/>
        <v>47303</v>
      </c>
      <c r="P78">
        <f ca="1"/>
        <v>0.70942099582483098</v>
      </c>
      <c r="Q78"/>
      <c r="R78"/>
      <c r="S78"/>
      <c r="T78"/>
      <c r="U78"/>
      <c r="V78"/>
      <c r="W78"/>
      <c r="X78"/>
      <c r="Y78"/>
      <c r="Z78"/>
      <c r="AC78"/>
      <c r="AD78"/>
      <c r="AG78"/>
    </row>
    <row r="79" spans="1:33">
      <c r="A79">
        <f ca="1"/>
        <v>5480</v>
      </c>
      <c r="B79" s="65">
        <f ca="1"/>
        <v>3.4454790120604706E-2</v>
      </c>
      <c r="C79" s="61">
        <f ca="1"/>
        <v>49129</v>
      </c>
      <c r="D79">
        <f ca="1"/>
        <v>0.59745360871495401</v>
      </c>
      <c r="F79">
        <f ca="1"/>
        <v>5480</v>
      </c>
      <c r="G79" s="65">
        <f ca="1"/>
        <v>3.4443263905903798E-2</v>
      </c>
      <c r="H79" s="61">
        <f ca="1"/>
        <v>49129</v>
      </c>
      <c r="I79">
        <f ca="1"/>
        <v>0.59755612470341601</v>
      </c>
      <c r="K79">
        <f ca="1"/>
        <v>5480</v>
      </c>
      <c r="L79" s="65">
        <f ca="1"/>
        <v>3.5465581642538879E-2</v>
      </c>
      <c r="M79" s="65"/>
      <c r="O79" s="61">
        <f ca="1"/>
        <v>49129</v>
      </c>
      <c r="P79">
        <f ca="1"/>
        <v>0.58853265070496896</v>
      </c>
      <c r="Q79"/>
      <c r="R79"/>
      <c r="S79"/>
      <c r="T79"/>
      <c r="U79"/>
      <c r="V79"/>
      <c r="W79"/>
      <c r="X79"/>
      <c r="Y79"/>
      <c r="Z79"/>
      <c r="AC79"/>
      <c r="AD79"/>
      <c r="AG79"/>
    </row>
    <row r="80" spans="1:33">
      <c r="A80">
        <f ca="1"/>
        <v>7306</v>
      </c>
      <c r="B80" s="65">
        <f ca="1"/>
        <v>3.4437639265472164E-2</v>
      </c>
      <c r="C80" s="61">
        <f ca="1"/>
        <v>50955</v>
      </c>
      <c r="D80">
        <f ca="1"/>
        <v>0.50340085838597604</v>
      </c>
      <c r="F80">
        <f ca="1"/>
        <v>7306</v>
      </c>
      <c r="G80" s="65">
        <f ca="1"/>
        <v>3.442906784770372E-2</v>
      </c>
      <c r="H80" s="61">
        <f ca="1"/>
        <v>50955</v>
      </c>
      <c r="I80">
        <f ca="1"/>
        <v>0.50348649663957901</v>
      </c>
      <c r="K80">
        <f ca="1"/>
        <v>7306</v>
      </c>
      <c r="L80" s="65">
        <f ca="1"/>
        <v>3.5444688678135883E-2</v>
      </c>
      <c r="M80" s="65"/>
      <c r="O80" s="61">
        <f ca="1"/>
        <v>50955</v>
      </c>
      <c r="P80">
        <f ca="1"/>
        <v>0.49344124916427301</v>
      </c>
      <c r="Q80"/>
      <c r="R80"/>
      <c r="S80"/>
      <c r="T80"/>
      <c r="U80"/>
      <c r="V80"/>
      <c r="W80"/>
      <c r="X80"/>
      <c r="Y80"/>
      <c r="Z80"/>
      <c r="AC80"/>
      <c r="AD80"/>
      <c r="AG80"/>
    </row>
    <row r="81" spans="1:33">
      <c r="A81" t="e">
        <f ca="1"/>
        <v>#N/A</v>
      </c>
      <c r="B81" s="22" t="e">
        <f ca="1"/>
        <v>#N/A</v>
      </c>
      <c r="C81" s="22" t="e">
        <f ca="1"/>
        <v>#N/A</v>
      </c>
      <c r="D81" t="e">
        <f ca="1"/>
        <v>#N/A</v>
      </c>
      <c r="F81" t="e">
        <f ca="1"/>
        <v>#N/A</v>
      </c>
      <c r="G81" s="65" t="e">
        <f ca="1"/>
        <v>#N/A</v>
      </c>
      <c r="H81" s="61" t="e">
        <f ca="1"/>
        <v>#N/A</v>
      </c>
      <c r="I81" t="e">
        <f ca="1"/>
        <v>#N/A</v>
      </c>
      <c r="K81" t="e">
        <f ca="1"/>
        <v>#N/A</v>
      </c>
      <c r="L81" s="65" t="e">
        <f ca="1"/>
        <v>#N/A</v>
      </c>
      <c r="M81" s="65"/>
      <c r="O81" s="61" t="e">
        <f ca="1"/>
        <v>#N/A</v>
      </c>
      <c r="P81" t="e">
        <f ca="1"/>
        <v>#N/A</v>
      </c>
      <c r="Q81"/>
      <c r="R81"/>
      <c r="S81"/>
      <c r="T81"/>
      <c r="U81"/>
      <c r="V81"/>
      <c r="W81"/>
      <c r="X81"/>
      <c r="Y81"/>
      <c r="Z81"/>
      <c r="AC81"/>
      <c r="AD81"/>
      <c r="AG81"/>
    </row>
    <row r="82" spans="1:33">
      <c r="A82" t="e">
        <f ca="1"/>
        <v>#N/A</v>
      </c>
      <c r="B82" s="22" t="e">
        <f ca="1"/>
        <v>#N/A</v>
      </c>
      <c r="C82" s="22" t="e">
        <f ca="1"/>
        <v>#N/A</v>
      </c>
      <c r="D82" t="e">
        <f ca="1"/>
        <v>#N/A</v>
      </c>
      <c r="F82" t="e">
        <f ca="1"/>
        <v>#N/A</v>
      </c>
      <c r="G82" s="65" t="e">
        <f ca="1"/>
        <v>#N/A</v>
      </c>
      <c r="H82" s="61" t="e">
        <f ca="1"/>
        <v>#N/A</v>
      </c>
      <c r="I82" t="e">
        <f ca="1"/>
        <v>#N/A</v>
      </c>
      <c r="K82" t="e">
        <f ca="1"/>
        <v>#N/A</v>
      </c>
      <c r="L82" s="65" t="e">
        <f ca="1"/>
        <v>#N/A</v>
      </c>
      <c r="M82" s="65"/>
      <c r="O82" s="61" t="e">
        <f ca="1"/>
        <v>#N/A</v>
      </c>
      <c r="P82" t="e">
        <f ca="1"/>
        <v>#N/A</v>
      </c>
    </row>
    <row r="83" spans="1:33">
      <c r="A83" t="e">
        <f ca="1"/>
        <v>#N/A</v>
      </c>
      <c r="B83" s="22" t="e">
        <f ca="1"/>
        <v>#N/A</v>
      </c>
      <c r="C83" s="22" t="e">
        <f ca="1"/>
        <v>#N/A</v>
      </c>
      <c r="D83" t="e">
        <f ca="1"/>
        <v>#N/A</v>
      </c>
      <c r="F83" t="e">
        <f ca="1"/>
        <v>#N/A</v>
      </c>
      <c r="G83" s="65" t="e">
        <f ca="1"/>
        <v>#N/A</v>
      </c>
      <c r="H83" s="61" t="e">
        <f ca="1"/>
        <v>#N/A</v>
      </c>
      <c r="I83" t="e">
        <f ca="1"/>
        <v>#N/A</v>
      </c>
      <c r="K83" t="e">
        <f ca="1"/>
        <v>#N/A</v>
      </c>
      <c r="L83" s="65" t="e">
        <f ca="1"/>
        <v>#N/A</v>
      </c>
      <c r="M83" s="65"/>
      <c r="O83" s="61" t="e">
        <f ca="1"/>
        <v>#N/A</v>
      </c>
      <c r="P83" t="e">
        <f ca="1"/>
        <v>#N/A</v>
      </c>
    </row>
    <row r="84" spans="1:33">
      <c r="A84" t="e">
        <f ca="1"/>
        <v>#N/A</v>
      </c>
      <c r="B84" s="22" t="e">
        <f ca="1"/>
        <v>#N/A</v>
      </c>
      <c r="C84" s="22" t="e">
        <f ca="1"/>
        <v>#N/A</v>
      </c>
      <c r="D84" t="e">
        <f ca="1"/>
        <v>#N/A</v>
      </c>
      <c r="F84" t="e">
        <f ca="1"/>
        <v>#N/A</v>
      </c>
      <c r="G84" s="65" t="e">
        <f ca="1"/>
        <v>#N/A</v>
      </c>
      <c r="H84" s="61" t="e">
        <f ca="1"/>
        <v>#N/A</v>
      </c>
      <c r="I84" t="e">
        <f ca="1"/>
        <v>#N/A</v>
      </c>
      <c r="K84" t="e">
        <f ca="1"/>
        <v>#N/A</v>
      </c>
      <c r="L84" s="65" t="e">
        <f ca="1"/>
        <v>#N/A</v>
      </c>
      <c r="M84" s="65"/>
      <c r="O84" s="61" t="e">
        <f ca="1"/>
        <v>#N/A</v>
      </c>
      <c r="P84" t="e">
        <f ca="1"/>
        <v>#N/A</v>
      </c>
    </row>
    <row r="85" spans="1:33">
      <c r="A85" t="e">
        <f ca="1"/>
        <v>#N/A</v>
      </c>
      <c r="B85" s="22" t="e">
        <f ca="1"/>
        <v>#N/A</v>
      </c>
      <c r="C85" s="22" t="e">
        <f ca="1"/>
        <v>#N/A</v>
      </c>
      <c r="D85" t="e">
        <f ca="1"/>
        <v>#N/A</v>
      </c>
      <c r="F85" t="e">
        <f ca="1"/>
        <v>#N/A</v>
      </c>
      <c r="G85" s="65" t="e">
        <f ca="1"/>
        <v>#N/A</v>
      </c>
      <c r="H85" s="61" t="e">
        <f ca="1"/>
        <v>#N/A</v>
      </c>
      <c r="I85" t="e">
        <f ca="1"/>
        <v>#N/A</v>
      </c>
      <c r="K85" t="e">
        <f ca="1"/>
        <v>#N/A</v>
      </c>
      <c r="L85" s="65" t="e">
        <f ca="1"/>
        <v>#N/A</v>
      </c>
      <c r="M85" s="65"/>
      <c r="O85" s="61" t="e">
        <f ca="1"/>
        <v>#N/A</v>
      </c>
      <c r="P85" t="e">
        <f ca="1"/>
        <v>#N/A</v>
      </c>
    </row>
    <row r="86" spans="1:33">
      <c r="A86" t="e">
        <f ca="1"/>
        <v>#N/A</v>
      </c>
      <c r="B86" s="22" t="e">
        <f ca="1"/>
        <v>#N/A</v>
      </c>
      <c r="C86" s="22" t="e">
        <f ca="1"/>
        <v>#N/A</v>
      </c>
      <c r="D86" t="e">
        <f ca="1"/>
        <v>#N/A</v>
      </c>
      <c r="F86" t="e">
        <f ca="1"/>
        <v>#N/A</v>
      </c>
      <c r="G86" s="65" t="e">
        <f ca="1"/>
        <v>#N/A</v>
      </c>
      <c r="H86" s="61" t="e">
        <f ca="1"/>
        <v>#N/A</v>
      </c>
      <c r="I86" t="e">
        <f ca="1"/>
        <v>#N/A</v>
      </c>
      <c r="K86" t="e">
        <f ca="1"/>
        <v>#N/A</v>
      </c>
      <c r="L86" s="65" t="e">
        <f ca="1"/>
        <v>#N/A</v>
      </c>
      <c r="M86" s="65"/>
      <c r="O86" s="61" t="e">
        <f ca="1"/>
        <v>#N/A</v>
      </c>
      <c r="P86" t="e">
        <f ca="1"/>
        <v>#N/A</v>
      </c>
    </row>
    <row r="87" spans="1:33">
      <c r="A87" t="e">
        <f ca="1"/>
        <v>#N/A</v>
      </c>
      <c r="B87" s="22" t="e">
        <f ca="1"/>
        <v>#N/A</v>
      </c>
      <c r="C87" s="22" t="e">
        <f ca="1"/>
        <v>#N/A</v>
      </c>
      <c r="D87" t="e">
        <f ca="1"/>
        <v>#N/A</v>
      </c>
      <c r="F87" t="e">
        <f ca="1"/>
        <v>#N/A</v>
      </c>
      <c r="G87" s="65" t="e">
        <f ca="1"/>
        <v>#N/A</v>
      </c>
      <c r="H87" s="61" t="e">
        <f ca="1"/>
        <v>#N/A</v>
      </c>
      <c r="I87" t="e">
        <f ca="1"/>
        <v>#N/A</v>
      </c>
      <c r="K87" t="e">
        <f ca="1"/>
        <v>#N/A</v>
      </c>
      <c r="L87" s="65" t="e">
        <f ca="1"/>
        <v>#N/A</v>
      </c>
      <c r="M87" s="65"/>
      <c r="O87" s="61" t="e">
        <f ca="1"/>
        <v>#N/A</v>
      </c>
      <c r="P87" t="e">
        <f ca="1"/>
        <v>#N/A</v>
      </c>
    </row>
    <row r="88" spans="1:33">
      <c r="A88" t="e">
        <f ca="1"/>
        <v>#N/A</v>
      </c>
      <c r="B88" s="22" t="e">
        <f ca="1"/>
        <v>#N/A</v>
      </c>
      <c r="C88" s="22" t="e">
        <f ca="1"/>
        <v>#N/A</v>
      </c>
      <c r="D88" t="e">
        <f ca="1"/>
        <v>#N/A</v>
      </c>
      <c r="F88" t="e">
        <f ca="1"/>
        <v>#N/A</v>
      </c>
      <c r="G88" s="65" t="e">
        <f ca="1"/>
        <v>#N/A</v>
      </c>
      <c r="H88" s="61" t="e">
        <f ca="1"/>
        <v>#N/A</v>
      </c>
      <c r="I88" t="e">
        <f ca="1"/>
        <v>#N/A</v>
      </c>
      <c r="K88" t="e">
        <f ca="1"/>
        <v>#N/A</v>
      </c>
      <c r="L88" s="65" t="e">
        <f ca="1"/>
        <v>#N/A</v>
      </c>
      <c r="M88" s="65"/>
      <c r="O88" s="61" t="e">
        <f ca="1"/>
        <v>#N/A</v>
      </c>
      <c r="P88" t="e">
        <f ca="1"/>
        <v>#N/A</v>
      </c>
    </row>
    <row r="89" spans="1:33">
      <c r="A89" t="e">
        <f ca="1"/>
        <v>#N/A</v>
      </c>
      <c r="B89" s="22" t="e">
        <f ca="1"/>
        <v>#N/A</v>
      </c>
      <c r="C89" s="22" t="e">
        <f ca="1"/>
        <v>#N/A</v>
      </c>
      <c r="D89" t="e">
        <f ca="1"/>
        <v>#N/A</v>
      </c>
      <c r="F89" t="e">
        <f ca="1"/>
        <v>#N/A</v>
      </c>
      <c r="G89" s="73" t="e">
        <f ca="1"/>
        <v>#N/A</v>
      </c>
      <c r="H89" s="73" t="e">
        <f ca="1"/>
        <v>#N/A</v>
      </c>
      <c r="I89" t="e">
        <f ca="1"/>
        <v>#N/A</v>
      </c>
      <c r="K89" t="e">
        <f ca="1"/>
        <v>#N/A</v>
      </c>
      <c r="L89" s="73" t="e">
        <f ca="1"/>
        <v>#N/A</v>
      </c>
      <c r="O89" s="73" t="e">
        <f ca="1"/>
        <v>#N/A</v>
      </c>
      <c r="P89" t="e">
        <f ca="1"/>
        <v>#N/A</v>
      </c>
    </row>
    <row r="90" spans="1:33">
      <c r="A90" t="e">
        <f ca="1"/>
        <v>#N/A</v>
      </c>
      <c r="B90" s="22" t="e">
        <f ca="1"/>
        <v>#N/A</v>
      </c>
      <c r="C90" s="22" t="e">
        <f ca="1"/>
        <v>#N/A</v>
      </c>
      <c r="D90" t="e">
        <f ca="1"/>
        <v>#N/A</v>
      </c>
      <c r="F90" t="e">
        <f ca="1"/>
        <v>#N/A</v>
      </c>
      <c r="G90" s="73" t="e">
        <f ca="1"/>
        <v>#N/A</v>
      </c>
      <c r="H90" s="73" t="e">
        <f ca="1"/>
        <v>#N/A</v>
      </c>
      <c r="I90" t="e">
        <f ca="1"/>
        <v>#N/A</v>
      </c>
      <c r="K90" t="e">
        <f ca="1"/>
        <v>#N/A</v>
      </c>
      <c r="L90" s="73" t="e">
        <f ca="1"/>
        <v>#N/A</v>
      </c>
      <c r="O90" s="73" t="e">
        <f ca="1"/>
        <v>#N/A</v>
      </c>
      <c r="P90" t="e">
        <f ca="1"/>
        <v>#N/A</v>
      </c>
    </row>
    <row r="91" spans="1:33">
      <c r="A91" t="e">
        <f ca="1"/>
        <v>#N/A</v>
      </c>
      <c r="B91" s="22" t="e">
        <f ca="1"/>
        <v>#N/A</v>
      </c>
      <c r="C91" s="22" t="e">
        <f ca="1"/>
        <v>#N/A</v>
      </c>
      <c r="D91" t="e">
        <f ca="1"/>
        <v>#N/A</v>
      </c>
      <c r="F91" t="e">
        <f ca="1"/>
        <v>#N/A</v>
      </c>
      <c r="G91" s="73" t="e">
        <f ca="1"/>
        <v>#N/A</v>
      </c>
      <c r="H91" s="73" t="e">
        <f ca="1"/>
        <v>#N/A</v>
      </c>
      <c r="I91" t="e">
        <f ca="1"/>
        <v>#N/A</v>
      </c>
      <c r="K91" t="e">
        <f ca="1"/>
        <v>#N/A</v>
      </c>
      <c r="L91" s="73" t="e">
        <f ca="1"/>
        <v>#N/A</v>
      </c>
      <c r="O91" s="73" t="e">
        <f ca="1"/>
        <v>#N/A</v>
      </c>
      <c r="P91" t="e">
        <f ca="1"/>
        <v>#N/A</v>
      </c>
    </row>
    <row r="92" spans="1:33">
      <c r="A92" t="e">
        <f ca="1"/>
        <v>#N/A</v>
      </c>
      <c r="B92" s="22" t="e">
        <f ca="1"/>
        <v>#N/A</v>
      </c>
      <c r="C92" s="22" t="e">
        <f ca="1"/>
        <v>#N/A</v>
      </c>
      <c r="D92" t="e">
        <f ca="1"/>
        <v>#N/A</v>
      </c>
      <c r="F92" t="e">
        <f ca="1"/>
        <v>#N/A</v>
      </c>
      <c r="G92" s="73" t="e">
        <f ca="1"/>
        <v>#N/A</v>
      </c>
      <c r="H92" s="73" t="e">
        <f ca="1"/>
        <v>#N/A</v>
      </c>
      <c r="I92" t="e">
        <f ca="1"/>
        <v>#N/A</v>
      </c>
      <c r="K92" t="e">
        <f ca="1"/>
        <v>#N/A</v>
      </c>
      <c r="L92" s="73" t="e">
        <f ca="1"/>
        <v>#N/A</v>
      </c>
      <c r="O92" s="73" t="e">
        <f ca="1"/>
        <v>#N/A</v>
      </c>
      <c r="P92" t="e">
        <f ca="1"/>
        <v>#N/A</v>
      </c>
    </row>
    <row r="94" spans="1:33">
      <c r="F94"/>
      <c r="G94" s="65"/>
    </row>
    <row r="95" spans="1:33">
      <c r="F95"/>
      <c r="G95" s="65"/>
    </row>
    <row r="96" spans="1:33">
      <c r="F96"/>
      <c r="G96" s="65"/>
    </row>
    <row r="97" spans="6:7">
      <c r="F97"/>
      <c r="G97" s="65"/>
    </row>
    <row r="98" spans="6:7">
      <c r="F98"/>
      <c r="G98" s="65"/>
    </row>
    <row r="99" spans="6:7">
      <c r="F99"/>
      <c r="G99" s="65"/>
    </row>
    <row r="100" spans="6:7">
      <c r="F100"/>
      <c r="G100" s="65"/>
    </row>
    <row r="101" spans="6:7">
      <c r="F101"/>
      <c r="G101" s="65"/>
    </row>
    <row r="102" spans="6:7">
      <c r="F102"/>
      <c r="G102" s="65"/>
    </row>
    <row r="103" spans="6:7">
      <c r="F103"/>
      <c r="G103" s="65"/>
    </row>
    <row r="104" spans="6:7">
      <c r="F104"/>
      <c r="G104" s="65"/>
    </row>
    <row r="105" spans="6:7">
      <c r="F105"/>
      <c r="G105" s="65"/>
    </row>
    <row r="106" spans="6:7">
      <c r="F106"/>
      <c r="G106" s="65"/>
    </row>
    <row r="107" spans="6:7">
      <c r="F107"/>
      <c r="G107" s="65"/>
    </row>
    <row r="108" spans="6:7">
      <c r="F108"/>
      <c r="G108" s="65"/>
    </row>
    <row r="109" spans="6:7">
      <c r="F109"/>
      <c r="G109" s="65"/>
    </row>
    <row r="110" spans="6:7">
      <c r="F110"/>
      <c r="G110" s="65"/>
    </row>
    <row r="111" spans="6:7">
      <c r="F111"/>
      <c r="G111" s="65"/>
    </row>
    <row r="112" spans="6:7">
      <c r="F112"/>
      <c r="G112" s="65"/>
    </row>
    <row r="113" spans="6:7">
      <c r="F113"/>
      <c r="G113" s="65"/>
    </row>
    <row r="114" spans="6:7">
      <c r="F114"/>
      <c r="G114" s="65"/>
    </row>
    <row r="115" spans="6:7">
      <c r="F115"/>
      <c r="G115" s="65"/>
    </row>
    <row r="116" spans="6:7">
      <c r="F116"/>
      <c r="G116" s="65"/>
    </row>
    <row r="117" spans="6:7">
      <c r="F117"/>
      <c r="G117" s="65"/>
    </row>
    <row r="118" spans="6:7">
      <c r="F118"/>
      <c r="G118" s="65"/>
    </row>
    <row r="119" spans="6:7">
      <c r="F119"/>
    </row>
    <row r="120" spans="6:7">
      <c r="F120"/>
    </row>
    <row r="121" spans="6:7">
      <c r="F121"/>
    </row>
    <row r="122" spans="6:7">
      <c r="F122"/>
    </row>
    <row r="123" spans="6:7">
      <c r="F123"/>
    </row>
    <row r="124" spans="6:7">
      <c r="F124"/>
    </row>
    <row r="125" spans="6:7">
      <c r="F125"/>
    </row>
    <row r="126" spans="6:7">
      <c r="F126"/>
    </row>
    <row r="127" spans="6:7">
      <c r="F127"/>
    </row>
    <row r="128" spans="6:7">
      <c r="F128"/>
    </row>
    <row r="129" spans="6:6">
      <c r="F129"/>
    </row>
    <row r="130" spans="6:6">
      <c r="F130"/>
    </row>
  </sheetData>
  <protectedRanges>
    <protectedRange sqref="B42:B44 B47 C10 G10 L12" name="Range2_1"/>
  </protectedRanges>
  <mergeCells count="3">
    <mergeCell ref="B1:C1"/>
    <mergeCell ref="F1:G1"/>
    <mergeCell ref="K1:L1"/>
  </mergeCells>
  <phoneticPr fontId="2" type="noConversion"/>
  <dataValidations disablePrompts="1" count="3">
    <dataValidation type="list" allowBlank="1" showInputMessage="1" showErrorMessage="1" sqref="G10 C10 L12" xr:uid="{00000000-0002-0000-0000-000000000000}">
      <formula1>$B$42:$B$47</formula1>
    </dataValidation>
    <dataValidation type="list" allowBlank="1" showInputMessage="1" showErrorMessage="1" sqref="C41" xr:uid="{00000000-0002-0000-0000-000001000000}">
      <formula1>$C$43:$C$44</formula1>
    </dataValidation>
    <dataValidation type="list" allowBlank="1" showInputMessage="1" showErrorMessage="1" sqref="B54" xr:uid="{00000000-0002-0000-0000-000002000000}">
      <formula1>$B$49:$B$53</formula1>
    </dataValidation>
  </dataValidations>
  <hyperlinks>
    <hyperlink ref="D65" r:id="rId1" display="alex.watt@nab.com.au" xr:uid="{00000000-0004-0000-0000-000000000000}"/>
    <hyperlink ref="I65" r:id="rId2" display="alex.watt@nab.com.au" xr:uid="{00000000-0004-0000-0000-000001000000}"/>
    <hyperlink ref="P65" r:id="rId3" display="alex.watt@nab.com.au" xr:uid="{00000000-0004-0000-0000-000002000000}"/>
  </hyperlinks>
  <pageMargins left="0.75" right="0.75" top="1" bottom="1" header="0.5" footer="0.5"/>
  <pageSetup paperSize="9" scale="60" orientation="landscape" r:id="rId4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94"/>
  <sheetViews>
    <sheetView workbookViewId="0">
      <selection activeCell="H56" sqref="H56"/>
    </sheetView>
  </sheetViews>
  <sheetFormatPr defaultRowHeight="12.75"/>
  <cols>
    <col min="1" max="1" width="21.42578125" style="22" bestFit="1" customWidth="1"/>
    <col min="2" max="2" width="18.42578125" style="22" bestFit="1" customWidth="1"/>
    <col min="3" max="3" width="11" bestFit="1" customWidth="1"/>
    <col min="4" max="4" width="5.140625" bestFit="1" customWidth="1"/>
    <col min="5" max="5" width="1.140625" customWidth="1"/>
    <col min="6" max="6" width="23.140625" style="22" bestFit="1" customWidth="1"/>
    <col min="7" max="7" width="18.5703125" style="22" customWidth="1"/>
    <col min="8" max="8" width="12.85546875" style="22" bestFit="1" customWidth="1"/>
    <col min="9" max="9" width="16.85546875" style="22" bestFit="1" customWidth="1"/>
    <col min="10" max="10" width="1.42578125" customWidth="1"/>
  </cols>
  <sheetData>
    <row r="1" spans="1:9" ht="13.5" thickBot="1">
      <c r="A1" s="87" t="str">
        <f ca="1">_xll.HLV5r3.Financial.Cache.CreateCurve_Old(A2:B10, A15:A38, B15:B38, C15:C38)</f>
        <v>Market.LIVE.RateCurve.GBP-LIBOR-BBA-3M</v>
      </c>
      <c r="B1" s="88"/>
      <c r="C1" s="2"/>
      <c r="F1" s="87" t="str">
        <f ca="1">_xll.HLV5r3.Financial.Cache.CreateRateCurveWithUnits(F2:G10, F15:F46, G15:G46, H15:H46, I15:I46)</f>
        <v>Market.LIVE.RateCurve.GBP-LIBOR-BBA-1M</v>
      </c>
      <c r="G1" s="88"/>
    </row>
    <row r="2" spans="1:9">
      <c r="A2" s="23" t="s">
        <v>76</v>
      </c>
      <c r="B2" s="24" t="s">
        <v>11</v>
      </c>
      <c r="C2" s="2"/>
      <c r="F2" s="23" t="s">
        <v>76</v>
      </c>
      <c r="G2" s="24" t="s">
        <v>11</v>
      </c>
    </row>
    <row r="3" spans="1:9">
      <c r="A3" s="25" t="s">
        <v>74</v>
      </c>
      <c r="B3" s="26">
        <f ca="1">TODAY()</f>
        <v>43649</v>
      </c>
      <c r="C3" s="2"/>
      <c r="F3" s="25" t="s">
        <v>74</v>
      </c>
      <c r="G3" s="26">
        <f ca="1">G5</f>
        <v>43649</v>
      </c>
      <c r="H3" s="73"/>
      <c r="I3" s="73"/>
    </row>
    <row r="4" spans="1:9">
      <c r="A4" s="25" t="s">
        <v>97</v>
      </c>
      <c r="B4" s="26">
        <f ca="1">B3</f>
        <v>43649</v>
      </c>
      <c r="C4" s="2"/>
      <c r="F4" s="25" t="s">
        <v>97</v>
      </c>
      <c r="G4" s="26">
        <f ca="1">G3</f>
        <v>43649</v>
      </c>
      <c r="H4" s="73"/>
      <c r="I4" s="73"/>
    </row>
    <row r="5" spans="1:9">
      <c r="A5" s="25" t="s">
        <v>10</v>
      </c>
      <c r="B5" s="26">
        <f ca="1">B4</f>
        <v>43649</v>
      </c>
      <c r="C5" s="2"/>
      <c r="F5" s="25" t="s">
        <v>10</v>
      </c>
      <c r="G5" s="26">
        <f ca="1">B5</f>
        <v>43649</v>
      </c>
      <c r="I5" s="24" t="s">
        <v>62</v>
      </c>
    </row>
    <row r="6" spans="1:9">
      <c r="A6" s="27" t="s">
        <v>80</v>
      </c>
      <c r="B6" s="28" t="s">
        <v>18</v>
      </c>
      <c r="C6" s="2"/>
      <c r="F6" s="27" t="s">
        <v>80</v>
      </c>
      <c r="G6" s="28" t="s">
        <v>18</v>
      </c>
      <c r="I6" s="60" t="s">
        <v>63</v>
      </c>
    </row>
    <row r="7" spans="1:9">
      <c r="A7" s="25" t="s">
        <v>12</v>
      </c>
      <c r="B7" s="29" t="s">
        <v>61</v>
      </c>
      <c r="C7" s="2"/>
      <c r="F7" s="25" t="s">
        <v>12</v>
      </c>
      <c r="G7" s="29" t="str">
        <f>B7</f>
        <v>GBP-LIBOR-BBA</v>
      </c>
    </row>
    <row r="8" spans="1:9">
      <c r="A8" s="25" t="s">
        <v>14</v>
      </c>
      <c r="B8" s="28" t="s">
        <v>15</v>
      </c>
      <c r="C8" s="2"/>
      <c r="F8" s="25" t="s">
        <v>14</v>
      </c>
      <c r="G8" s="28" t="s">
        <v>81</v>
      </c>
    </row>
    <row r="9" spans="1:9">
      <c r="A9" s="25" t="s">
        <v>37</v>
      </c>
      <c r="B9" s="28" t="str">
        <f>B7&amp;"-"&amp;B8</f>
        <v>GBP-LIBOR-BBA-3M</v>
      </c>
      <c r="C9" s="2"/>
      <c r="F9" s="25" t="s">
        <v>37</v>
      </c>
      <c r="G9" s="28" t="str">
        <f>G7&amp;"-"&amp;G8</f>
        <v>GBP-LIBOR-BBA-1M</v>
      </c>
    </row>
    <row r="10" spans="1:9" ht="13.5" thickBot="1">
      <c r="A10" s="30" t="s">
        <v>16</v>
      </c>
      <c r="B10" s="31" t="s">
        <v>19</v>
      </c>
      <c r="C10" s="2"/>
      <c r="F10" s="30" t="s">
        <v>16</v>
      </c>
      <c r="G10" s="31" t="s">
        <v>19</v>
      </c>
    </row>
    <row r="11" spans="1:9" ht="13.5" thickBot="1">
      <c r="A11" s="50"/>
      <c r="B11" s="50"/>
      <c r="C11" s="2"/>
    </row>
    <row r="12" spans="1:9">
      <c r="A12" s="32" t="s">
        <v>0</v>
      </c>
      <c r="B12" s="33"/>
      <c r="C12" s="3"/>
      <c r="D12" s="3"/>
      <c r="F12" s="32" t="s">
        <v>0</v>
      </c>
      <c r="G12" s="33"/>
      <c r="H12" s="34"/>
      <c r="I12" s="34"/>
    </row>
    <row r="13" spans="1:9" ht="13.5" thickBot="1">
      <c r="A13" s="5"/>
      <c r="B13" s="35"/>
      <c r="C13" s="4"/>
      <c r="D13" s="4"/>
      <c r="F13" s="5"/>
      <c r="G13" s="35"/>
      <c r="H13" s="36"/>
      <c r="I13" s="36"/>
    </row>
    <row r="14" spans="1:9" ht="13.5" thickBot="1">
      <c r="A14" s="5" t="s">
        <v>1</v>
      </c>
      <c r="B14" s="6" t="s">
        <v>2</v>
      </c>
      <c r="C14" s="7" t="s">
        <v>9</v>
      </c>
      <c r="D14" s="7" t="s">
        <v>21</v>
      </c>
      <c r="F14" s="5" t="s">
        <v>1</v>
      </c>
      <c r="G14" s="6" t="s">
        <v>43</v>
      </c>
      <c r="H14" s="7" t="s">
        <v>38</v>
      </c>
      <c r="I14" s="7" t="s">
        <v>40</v>
      </c>
    </row>
    <row r="15" spans="1:9">
      <c r="A15" s="37" t="s">
        <v>45</v>
      </c>
      <c r="B15" s="38">
        <v>7.2499999999999995E-2</v>
      </c>
      <c r="C15" s="8"/>
      <c r="D15" s="8"/>
      <c r="F15" s="37" t="str">
        <f>A15</f>
        <v>GBP-Deposit-1D</v>
      </c>
      <c r="G15" s="38">
        <v>7.2499999999999995E-2</v>
      </c>
      <c r="H15" s="39" t="s">
        <v>20</v>
      </c>
      <c r="I15" s="39" t="s">
        <v>41</v>
      </c>
    </row>
    <row r="16" spans="1:9">
      <c r="A16" s="40" t="s">
        <v>46</v>
      </c>
      <c r="B16" s="41">
        <v>7.5199999999999989E-2</v>
      </c>
      <c r="C16" s="9"/>
      <c r="D16" s="9"/>
      <c r="F16" s="40" t="str">
        <f>A16</f>
        <v>GBP-Deposit-1W</v>
      </c>
      <c r="G16" s="41">
        <v>7.5199999999999989E-2</v>
      </c>
      <c r="H16" s="42" t="s">
        <v>20</v>
      </c>
      <c r="I16" s="42" t="s">
        <v>41</v>
      </c>
    </row>
    <row r="17" spans="1:9">
      <c r="A17" s="40" t="s">
        <v>47</v>
      </c>
      <c r="B17" s="41">
        <v>7.6367000000000004E-2</v>
      </c>
      <c r="C17" s="9"/>
      <c r="D17" s="9"/>
      <c r="F17" s="40" t="str">
        <f t="shared" ref="F17:F29" si="0">A17</f>
        <v>GBP-Deposit-2W</v>
      </c>
      <c r="G17" s="41">
        <v>7.6367000000000004E-2</v>
      </c>
      <c r="H17" s="42" t="s">
        <v>20</v>
      </c>
      <c r="I17" s="42" t="s">
        <v>41</v>
      </c>
    </row>
    <row r="18" spans="1:9">
      <c r="A18" s="40" t="s">
        <v>48</v>
      </c>
      <c r="B18" s="41">
        <v>7.7050000000000007E-2</v>
      </c>
      <c r="C18" s="9"/>
      <c r="D18" s="9"/>
      <c r="F18" s="40" t="str">
        <f t="shared" si="0"/>
        <v>GBP-Deposit-1M</v>
      </c>
      <c r="G18" s="41">
        <v>7.7050000000000007E-2</v>
      </c>
      <c r="H18" s="42" t="s">
        <v>20</v>
      </c>
      <c r="I18" s="42" t="s">
        <v>41</v>
      </c>
    </row>
    <row r="19" spans="1:9">
      <c r="A19" s="40" t="s">
        <v>49</v>
      </c>
      <c r="B19" s="41">
        <v>7.6724999999999932E-2</v>
      </c>
      <c r="C19" s="9"/>
      <c r="D19" s="9"/>
      <c r="F19" s="40" t="str">
        <f t="shared" si="0"/>
        <v>GBP-Deposit-2M</v>
      </c>
      <c r="G19" s="41">
        <v>7.6724999999999932E-2</v>
      </c>
      <c r="H19" s="42" t="s">
        <v>20</v>
      </c>
      <c r="I19" s="42" t="s">
        <v>41</v>
      </c>
    </row>
    <row r="20" spans="1:9">
      <c r="A20" s="40" t="s">
        <v>50</v>
      </c>
      <c r="B20" s="41">
        <v>7.6724999999999932E-2</v>
      </c>
      <c r="C20" s="9"/>
      <c r="D20" s="9"/>
      <c r="F20" s="40" t="str">
        <f t="shared" si="0"/>
        <v>GBP-Deposit-3M</v>
      </c>
      <c r="G20" s="41">
        <v>7.6724999999999932E-2</v>
      </c>
      <c r="H20" s="42" t="s">
        <v>20</v>
      </c>
      <c r="I20" s="42" t="s">
        <v>41</v>
      </c>
    </row>
    <row r="21" spans="1:9">
      <c r="A21" s="40" t="s">
        <v>51</v>
      </c>
      <c r="B21" s="41">
        <v>7.4349999999999958E-2</v>
      </c>
      <c r="C21" s="9"/>
      <c r="D21" s="9"/>
      <c r="F21" s="40" t="str">
        <f t="shared" si="0"/>
        <v>GBP-IRSwap-3Y</v>
      </c>
      <c r="G21" s="41">
        <v>7.4349999999999958E-2</v>
      </c>
      <c r="H21" s="42" t="s">
        <v>20</v>
      </c>
      <c r="I21" s="42" t="s">
        <v>41</v>
      </c>
    </row>
    <row r="22" spans="1:9">
      <c r="A22" s="40" t="s">
        <v>52</v>
      </c>
      <c r="B22" s="41">
        <v>7.5887499999999983E-2</v>
      </c>
      <c r="C22" s="9"/>
      <c r="D22" s="9"/>
      <c r="F22" s="40" t="str">
        <f t="shared" si="0"/>
        <v>GBP-IRSwap-4Y</v>
      </c>
      <c r="G22" s="41">
        <v>7.5887499999999983E-2</v>
      </c>
      <c r="H22" s="42" t="s">
        <v>20</v>
      </c>
      <c r="I22" s="42" t="s">
        <v>41</v>
      </c>
    </row>
    <row r="23" spans="1:9">
      <c r="A23" s="40" t="s">
        <v>53</v>
      </c>
      <c r="B23" s="41">
        <v>7.4800000000000019E-2</v>
      </c>
      <c r="C23" s="9"/>
      <c r="D23" s="9"/>
      <c r="F23" s="40" t="str">
        <f t="shared" si="0"/>
        <v>GBP-IRSwap-5Y</v>
      </c>
      <c r="G23" s="41">
        <v>7.4800000000000019E-2</v>
      </c>
      <c r="H23" s="42" t="s">
        <v>20</v>
      </c>
      <c r="I23" s="42" t="s">
        <v>41</v>
      </c>
    </row>
    <row r="24" spans="1:9">
      <c r="A24" s="40" t="s">
        <v>54</v>
      </c>
      <c r="B24" s="41">
        <v>7.4475000000000027E-2</v>
      </c>
      <c r="C24" s="9"/>
      <c r="D24" s="9"/>
      <c r="F24" s="40" t="str">
        <f t="shared" si="0"/>
        <v>GBP-IRSwap-6Y</v>
      </c>
      <c r="G24" s="41">
        <v>7.4475000000000027E-2</v>
      </c>
      <c r="H24" s="42" t="s">
        <v>20</v>
      </c>
      <c r="I24" s="42" t="s">
        <v>41</v>
      </c>
    </row>
    <row r="25" spans="1:9">
      <c r="A25" s="40" t="s">
        <v>55</v>
      </c>
      <c r="B25" s="41">
        <v>7.4150000000000035E-2</v>
      </c>
      <c r="C25" s="9"/>
      <c r="D25" s="9"/>
      <c r="F25" s="40" t="str">
        <f t="shared" si="0"/>
        <v>GBP-IRSwap-7Y</v>
      </c>
      <c r="G25" s="41">
        <v>7.4150000000000035E-2</v>
      </c>
      <c r="H25" s="42" t="s">
        <v>20</v>
      </c>
      <c r="I25" s="42" t="s">
        <v>41</v>
      </c>
    </row>
    <row r="26" spans="1:9">
      <c r="A26" s="40" t="s">
        <v>56</v>
      </c>
      <c r="B26" s="41">
        <v>7.3825000000000029E-2</v>
      </c>
      <c r="C26" s="9"/>
      <c r="D26" s="9"/>
      <c r="F26" s="40" t="str">
        <f t="shared" si="0"/>
        <v>GBP-IRSwap-8Y</v>
      </c>
      <c r="G26" s="41">
        <v>7.3825000000000029E-2</v>
      </c>
      <c r="H26" s="42" t="s">
        <v>20</v>
      </c>
      <c r="I26" s="42" t="s">
        <v>41</v>
      </c>
    </row>
    <row r="27" spans="1:9">
      <c r="A27" s="40" t="s">
        <v>57</v>
      </c>
      <c r="B27" s="41">
        <v>7.2675000000000031E-2</v>
      </c>
      <c r="C27" s="9"/>
      <c r="D27" s="9"/>
      <c r="F27" s="40" t="str">
        <f t="shared" si="0"/>
        <v>GBP-IRSwap-9Y</v>
      </c>
      <c r="G27" s="41">
        <v>7.2675000000000031E-2</v>
      </c>
      <c r="H27" s="42" t="s">
        <v>20</v>
      </c>
      <c r="I27" s="42" t="s">
        <v>41</v>
      </c>
    </row>
    <row r="28" spans="1:9">
      <c r="A28" s="40" t="s">
        <v>58</v>
      </c>
      <c r="B28" s="41">
        <v>7.1150000000000019E-2</v>
      </c>
      <c r="C28" s="9"/>
      <c r="D28" s="9"/>
      <c r="F28" s="40" t="str">
        <f t="shared" si="0"/>
        <v>GBP-IRSwap-10Y</v>
      </c>
      <c r="G28" s="41">
        <v>7.1150000000000019E-2</v>
      </c>
      <c r="H28" s="42" t="s">
        <v>20</v>
      </c>
      <c r="I28" s="42" t="s">
        <v>41</v>
      </c>
    </row>
    <row r="29" spans="1:9">
      <c r="A29" s="40" t="s">
        <v>59</v>
      </c>
      <c r="B29" s="41">
        <v>6.9150000000000031E-2</v>
      </c>
      <c r="C29" s="9"/>
      <c r="D29" s="9"/>
      <c r="F29" s="40" t="str">
        <f t="shared" si="0"/>
        <v>GBP-IRSwap-15Y</v>
      </c>
      <c r="G29" s="41">
        <v>6.9150000000000031E-2</v>
      </c>
      <c r="H29" s="42" t="s">
        <v>20</v>
      </c>
      <c r="I29" s="42" t="s">
        <v>41</v>
      </c>
    </row>
    <row r="30" spans="1:9" ht="13.5" thickBot="1">
      <c r="A30" s="51" t="s">
        <v>60</v>
      </c>
      <c r="B30" s="55">
        <v>6.6975000000000021E-2</v>
      </c>
      <c r="C30" s="10"/>
      <c r="D30" s="10"/>
      <c r="F30" s="40" t="str">
        <f>A30</f>
        <v>GBP-IRSwap-20Y</v>
      </c>
      <c r="G30" s="41">
        <v>6.6975000000000021E-2</v>
      </c>
      <c r="H30" s="42" t="s">
        <v>20</v>
      </c>
      <c r="I30" s="42" t="s">
        <v>41</v>
      </c>
    </row>
    <row r="31" spans="1:9">
      <c r="A31" s="52" t="s">
        <v>87</v>
      </c>
      <c r="B31" s="56">
        <v>7.7399999999999955E-2</v>
      </c>
      <c r="C31" s="68">
        <v>0.2</v>
      </c>
      <c r="D31" s="9"/>
      <c r="F31" s="43" t="str">
        <f>A31</f>
        <v>GBP-IRFuture-L-1</v>
      </c>
      <c r="G31" s="44">
        <v>7.7399999999999955E-2</v>
      </c>
      <c r="H31" s="45" t="s">
        <v>20</v>
      </c>
      <c r="I31" s="45" t="s">
        <v>41</v>
      </c>
    </row>
    <row r="32" spans="1:9">
      <c r="A32" s="52" t="s">
        <v>88</v>
      </c>
      <c r="B32" s="57">
        <v>7.9099999999999962E-2</v>
      </c>
      <c r="C32" s="68">
        <v>0.2</v>
      </c>
      <c r="D32" s="9"/>
      <c r="F32" s="46" t="str">
        <f>F31</f>
        <v>GBP-IRFuture-L-1</v>
      </c>
      <c r="G32" s="47">
        <v>0.15</v>
      </c>
      <c r="H32" s="20" t="s">
        <v>39</v>
      </c>
      <c r="I32" s="20" t="s">
        <v>42</v>
      </c>
    </row>
    <row r="33" spans="1:11">
      <c r="A33" s="52" t="s">
        <v>89</v>
      </c>
      <c r="B33" s="57">
        <v>7.9399999999999971E-2</v>
      </c>
      <c r="C33" s="68">
        <v>0.2</v>
      </c>
      <c r="D33" s="9"/>
      <c r="F33" s="46" t="str">
        <f>A32</f>
        <v>GBP-IRFuture-L-2</v>
      </c>
      <c r="G33" s="47">
        <v>7.9099999999999962E-2</v>
      </c>
      <c r="H33" s="20" t="s">
        <v>20</v>
      </c>
      <c r="I33" s="20" t="s">
        <v>41</v>
      </c>
    </row>
    <row r="34" spans="1:11">
      <c r="A34" s="52" t="s">
        <v>90</v>
      </c>
      <c r="B34" s="57">
        <v>7.9099999999999962E-2</v>
      </c>
      <c r="C34" s="68">
        <v>0.2</v>
      </c>
      <c r="D34" s="9"/>
      <c r="F34" s="46" t="str">
        <f>F33</f>
        <v>GBP-IRFuture-L-2</v>
      </c>
      <c r="G34" s="47">
        <v>0.15</v>
      </c>
      <c r="H34" s="20" t="s">
        <v>39</v>
      </c>
      <c r="I34" s="20" t="s">
        <v>42</v>
      </c>
    </row>
    <row r="35" spans="1:11">
      <c r="A35" s="52" t="s">
        <v>91</v>
      </c>
      <c r="B35" s="57">
        <v>7.8499999999999945E-2</v>
      </c>
      <c r="C35" s="68">
        <v>0.2</v>
      </c>
      <c r="D35" s="9"/>
      <c r="F35" s="46" t="str">
        <f>A33</f>
        <v>GBP-IRFuture-L-3</v>
      </c>
      <c r="G35" s="47">
        <v>7.9399999999999971E-2</v>
      </c>
      <c r="H35" s="20" t="s">
        <v>20</v>
      </c>
      <c r="I35" s="20" t="s">
        <v>41</v>
      </c>
    </row>
    <row r="36" spans="1:11">
      <c r="A36" s="52" t="s">
        <v>92</v>
      </c>
      <c r="B36" s="57">
        <v>7.7600000000000058E-2</v>
      </c>
      <c r="C36" s="68">
        <v>0.2</v>
      </c>
      <c r="D36" s="9"/>
      <c r="F36" s="46" t="str">
        <f>F35</f>
        <v>GBP-IRFuture-L-3</v>
      </c>
      <c r="G36" s="47">
        <v>0.15</v>
      </c>
      <c r="H36" s="20" t="s">
        <v>39</v>
      </c>
      <c r="I36" s="20" t="s">
        <v>42</v>
      </c>
    </row>
    <row r="37" spans="1:11">
      <c r="A37" s="52" t="s">
        <v>93</v>
      </c>
      <c r="B37" s="57">
        <v>7.6700000000000018E-2</v>
      </c>
      <c r="C37" s="68">
        <v>0.2</v>
      </c>
      <c r="D37" s="9"/>
      <c r="F37" s="46" t="str">
        <f>A34</f>
        <v>GBP-IRFuture-L-4</v>
      </c>
      <c r="G37" s="47">
        <v>7.9099999999999962E-2</v>
      </c>
      <c r="H37" s="20" t="s">
        <v>20</v>
      </c>
      <c r="I37" s="20" t="s">
        <v>41</v>
      </c>
    </row>
    <row r="38" spans="1:11" ht="13.5" thickBot="1">
      <c r="A38" s="53" t="s">
        <v>94</v>
      </c>
      <c r="B38" s="58">
        <v>7.549999999999997E-2</v>
      </c>
      <c r="C38" s="69">
        <v>0.2</v>
      </c>
      <c r="D38" s="10"/>
      <c r="F38" s="46" t="str">
        <f>F37</f>
        <v>GBP-IRFuture-L-4</v>
      </c>
      <c r="G38" s="47">
        <v>0.15</v>
      </c>
      <c r="H38" s="20" t="s">
        <v>39</v>
      </c>
      <c r="I38" s="20" t="s">
        <v>42</v>
      </c>
    </row>
    <row r="39" spans="1:11">
      <c r="A39" s="54"/>
      <c r="B39" s="54"/>
      <c r="C39" s="1"/>
      <c r="F39" s="46" t="str">
        <f>A35</f>
        <v>GBP-IRFuture-L-5</v>
      </c>
      <c r="G39" s="47">
        <v>7.8499999999999945E-2</v>
      </c>
      <c r="H39" s="20" t="s">
        <v>20</v>
      </c>
      <c r="I39" s="20" t="s">
        <v>41</v>
      </c>
    </row>
    <row r="40" spans="1:11">
      <c r="A40" s="54"/>
      <c r="B40" s="54"/>
      <c r="C40" s="1"/>
      <c r="F40" s="46" t="str">
        <f>F39</f>
        <v>GBP-IRFuture-L-5</v>
      </c>
      <c r="G40" s="47">
        <v>0.15</v>
      </c>
      <c r="H40" s="20" t="s">
        <v>39</v>
      </c>
      <c r="I40" s="20" t="s">
        <v>42</v>
      </c>
    </row>
    <row r="41" spans="1:11">
      <c r="A41" s="22" t="s">
        <v>22</v>
      </c>
      <c r="B41" s="22" t="b">
        <v>1</v>
      </c>
      <c r="F41" s="46" t="str">
        <f>A36</f>
        <v>GBP-IRFuture-L-6</v>
      </c>
      <c r="G41" s="47">
        <v>7.7600000000000058E-2</v>
      </c>
      <c r="H41" s="20" t="s">
        <v>20</v>
      </c>
      <c r="I41" s="20" t="s">
        <v>41</v>
      </c>
    </row>
    <row r="42" spans="1:11">
      <c r="F42" s="46" t="str">
        <f>F41</f>
        <v>GBP-IRFuture-L-6</v>
      </c>
      <c r="G42" s="47">
        <v>0.15</v>
      </c>
      <c r="H42" s="20" t="s">
        <v>39</v>
      </c>
      <c r="I42" s="20" t="s">
        <v>42</v>
      </c>
    </row>
    <row r="43" spans="1:11">
      <c r="A43" s="16" t="s">
        <v>23</v>
      </c>
      <c r="B43" s="22" t="b">
        <v>1</v>
      </c>
      <c r="F43" s="46" t="str">
        <f>A37</f>
        <v>GBP-IRFuture-L-7</v>
      </c>
      <c r="G43" s="47">
        <v>7.6700000000000018E-2</v>
      </c>
      <c r="H43" s="20" t="s">
        <v>20</v>
      </c>
      <c r="I43" s="20" t="s">
        <v>41</v>
      </c>
    </row>
    <row r="44" spans="1:11">
      <c r="A44" s="16" t="s">
        <v>24</v>
      </c>
      <c r="B44" s="22" t="b">
        <v>0</v>
      </c>
      <c r="F44" s="46" t="str">
        <f>F43</f>
        <v>GBP-IRFuture-L-7</v>
      </c>
      <c r="G44" s="47">
        <v>0.15</v>
      </c>
      <c r="H44" s="20" t="s">
        <v>39</v>
      </c>
      <c r="I44" s="20" t="s">
        <v>42</v>
      </c>
    </row>
    <row r="45" spans="1:11">
      <c r="A45" s="16" t="s">
        <v>25</v>
      </c>
      <c r="F45" s="46" t="str">
        <f>A38</f>
        <v>GBP-IRFuture-L-8</v>
      </c>
      <c r="G45" s="47">
        <v>7.549999999999997E-2</v>
      </c>
      <c r="H45" s="20" t="s">
        <v>20</v>
      </c>
      <c r="I45" s="20" t="s">
        <v>41</v>
      </c>
    </row>
    <row r="46" spans="1:11" ht="13.5" thickBot="1">
      <c r="A46" s="16" t="s">
        <v>26</v>
      </c>
      <c r="B46" s="59"/>
      <c r="F46" s="48" t="str">
        <f>F45</f>
        <v>GBP-IRFuture-L-8</v>
      </c>
      <c r="G46" s="49">
        <v>0.15</v>
      </c>
      <c r="H46" s="21" t="s">
        <v>39</v>
      </c>
      <c r="I46" s="21" t="s">
        <v>42</v>
      </c>
    </row>
    <row r="47" spans="1:11">
      <c r="A47" s="86" t="s">
        <v>19</v>
      </c>
      <c r="B47" s="59">
        <f ca="1">DATE(YEAR(B3),12,28)</f>
        <v>43827</v>
      </c>
      <c r="C47" t="str">
        <f ca="1">(B47-$G$5)&amp;"D"</f>
        <v>178D</v>
      </c>
      <c r="D47" t="s">
        <v>44</v>
      </c>
      <c r="F47" s="46" t="str">
        <f ca="1">$I$6&amp;"-SpreadFra-"&amp;C47&amp;"-"&amp;D47</f>
        <v>GBP-SpreadFra-178D-3D</v>
      </c>
      <c r="G47" s="47">
        <v>0.01</v>
      </c>
      <c r="H47" s="20" t="s">
        <v>20</v>
      </c>
      <c r="I47" s="20" t="s">
        <v>64</v>
      </c>
      <c r="K47" s="81" t="s">
        <v>100</v>
      </c>
    </row>
    <row r="48" spans="1:11">
      <c r="B48" s="59">
        <f t="shared" ref="B48:B49" ca="1" si="1">B47+365</f>
        <v>44192</v>
      </c>
      <c r="C48" t="str">
        <f t="shared" ref="C48:C54" ca="1" si="2">(B48-$G$5)&amp;"D"</f>
        <v>543D</v>
      </c>
      <c r="D48" t="s">
        <v>44</v>
      </c>
      <c r="F48" s="46" t="str">
        <f t="shared" ref="F48:F54" ca="1" si="3">$I$6&amp;"-SpreadFra-"&amp;C48&amp;"-"&amp;D48</f>
        <v>GBP-SpreadFra-543D-3D</v>
      </c>
      <c r="G48" s="47">
        <v>0.01</v>
      </c>
      <c r="H48" s="20" t="s">
        <v>20</v>
      </c>
      <c r="I48" s="20" t="s">
        <v>64</v>
      </c>
    </row>
    <row r="49" spans="1:9">
      <c r="B49" s="59">
        <f t="shared" ca="1" si="1"/>
        <v>44557</v>
      </c>
      <c r="C49" t="str">
        <f t="shared" ca="1" si="2"/>
        <v>908D</v>
      </c>
      <c r="D49" t="s">
        <v>44</v>
      </c>
      <c r="F49" s="46" t="str">
        <f t="shared" ca="1" si="3"/>
        <v>GBP-SpreadFra-908D-3D</v>
      </c>
      <c r="G49" s="47">
        <v>0.01</v>
      </c>
      <c r="H49" s="20" t="s">
        <v>20</v>
      </c>
      <c r="I49" s="20" t="s">
        <v>64</v>
      </c>
    </row>
    <row r="50" spans="1:9">
      <c r="B50" s="59">
        <f ca="1">B49+366</f>
        <v>44923</v>
      </c>
      <c r="C50" t="str">
        <f t="shared" ca="1" si="2"/>
        <v>1274D</v>
      </c>
      <c r="D50" t="s">
        <v>44</v>
      </c>
      <c r="F50" s="46" t="str">
        <f t="shared" ca="1" si="3"/>
        <v>GBP-SpreadFra-1274D-3D</v>
      </c>
      <c r="G50" s="47">
        <v>0.01</v>
      </c>
      <c r="H50" s="20" t="s">
        <v>20</v>
      </c>
      <c r="I50" s="20" t="s">
        <v>64</v>
      </c>
    </row>
    <row r="51" spans="1:9">
      <c r="B51" s="59">
        <f ca="1">B50+365</f>
        <v>45288</v>
      </c>
      <c r="C51" t="str">
        <f t="shared" ca="1" si="2"/>
        <v>1639D</v>
      </c>
      <c r="D51" t="s">
        <v>44</v>
      </c>
      <c r="F51" s="46" t="str">
        <f t="shared" ca="1" si="3"/>
        <v>GBP-SpreadFra-1639D-3D</v>
      </c>
      <c r="G51" s="47">
        <v>0.01</v>
      </c>
      <c r="H51" s="20" t="s">
        <v>20</v>
      </c>
      <c r="I51" s="20" t="s">
        <v>64</v>
      </c>
    </row>
    <row r="52" spans="1:9">
      <c r="B52" s="59">
        <f ca="1">B51+365</f>
        <v>45653</v>
      </c>
      <c r="C52" t="str">
        <f t="shared" ca="1" si="2"/>
        <v>2004D</v>
      </c>
      <c r="D52" t="s">
        <v>44</v>
      </c>
      <c r="F52" s="46" t="str">
        <f t="shared" ca="1" si="3"/>
        <v>GBP-SpreadFra-2004D-3D</v>
      </c>
      <c r="G52" s="47">
        <v>0.01</v>
      </c>
      <c r="H52" s="20" t="s">
        <v>20</v>
      </c>
      <c r="I52" s="20" t="s">
        <v>64</v>
      </c>
    </row>
    <row r="53" spans="1:9">
      <c r="B53" s="59">
        <f t="shared" ref="B53:B54" ca="1" si="4">B52+366</f>
        <v>46019</v>
      </c>
      <c r="C53" t="str">
        <f t="shared" ca="1" si="2"/>
        <v>2370D</v>
      </c>
      <c r="D53" t="s">
        <v>44</v>
      </c>
      <c r="F53" s="46" t="str">
        <f t="shared" ca="1" si="3"/>
        <v>GBP-SpreadFra-2370D-3D</v>
      </c>
      <c r="G53" s="47">
        <v>0.01</v>
      </c>
      <c r="H53" s="20" t="s">
        <v>20</v>
      </c>
      <c r="I53" s="20" t="s">
        <v>64</v>
      </c>
    </row>
    <row r="54" spans="1:9" ht="13.5" thickBot="1">
      <c r="B54" s="59">
        <f t="shared" ca="1" si="4"/>
        <v>46385</v>
      </c>
      <c r="C54" t="str">
        <f t="shared" ca="1" si="2"/>
        <v>2736D</v>
      </c>
      <c r="D54" t="s">
        <v>44</v>
      </c>
      <c r="F54" s="48" t="str">
        <f t="shared" ca="1" si="3"/>
        <v>GBP-SpreadFra-2736D-3D</v>
      </c>
      <c r="G54" s="49">
        <v>0.01</v>
      </c>
      <c r="H54" s="21" t="s">
        <v>20</v>
      </c>
      <c r="I54" s="21" t="s">
        <v>64</v>
      </c>
    </row>
    <row r="55" spans="1:9">
      <c r="A55" s="60" t="s">
        <v>69</v>
      </c>
    </row>
    <row r="56" spans="1:9">
      <c r="A56">
        <f t="array" aca="1" ref="A56:B92" ca="1">_xll.HLV5r3.Financial.Cache.GetDaysAndRates($A$1, $B$5,$A$55)</f>
        <v>0</v>
      </c>
      <c r="B56" s="65">
        <f ca="1"/>
        <v>7.3153687805029399E-2</v>
      </c>
      <c r="C56" s="61">
        <f t="array" aca="1" ref="C56:D92" ca="1">_xll.HLV5r3.Financial.Cache.GetTermCurve(A1)</f>
        <v>43649</v>
      </c>
      <c r="D56">
        <f ca="1"/>
        <v>1</v>
      </c>
      <c r="F56">
        <f t="array" aca="1" ref="F56:G92" ca="1">_xll.HLV5r3.Financial.Cache.GetDaysAndRates($F$1, $B$5,$A$55)</f>
        <v>0</v>
      </c>
      <c r="G56" s="65">
        <f ca="1"/>
        <v>7.3153687805029399E-2</v>
      </c>
      <c r="H56" s="61">
        <f t="array" aca="1" ref="H56:I92" ca="1">_xll.HLV5r3.Financial.Cache.GetTermCurve(F1)</f>
        <v>43649</v>
      </c>
      <c r="I56">
        <f ca="1"/>
        <v>1</v>
      </c>
    </row>
    <row r="57" spans="1:9">
      <c r="A57">
        <f ca="1"/>
        <v>1</v>
      </c>
      <c r="B57" s="65">
        <f ca="1"/>
        <v>7.3153687805029399E-2</v>
      </c>
      <c r="C57" s="61">
        <f ca="1"/>
        <v>43650</v>
      </c>
      <c r="D57">
        <f ca="1"/>
        <v>0.99980140930910999</v>
      </c>
      <c r="F57">
        <f ca="1"/>
        <v>1</v>
      </c>
      <c r="G57" s="65">
        <f ca="1"/>
        <v>7.3153687805029399E-2</v>
      </c>
      <c r="H57" s="61">
        <f ca="1"/>
        <v>43650</v>
      </c>
      <c r="I57">
        <f ca="1"/>
        <v>0.99980140930910999</v>
      </c>
    </row>
    <row r="58" spans="1:9">
      <c r="A58">
        <f ca="1"/>
        <v>7</v>
      </c>
      <c r="B58" s="65">
        <f ca="1"/>
        <v>7.5856128611579976E-2</v>
      </c>
      <c r="C58" s="61">
        <f ca="1"/>
        <v>43656</v>
      </c>
      <c r="D58">
        <f ca="1"/>
        <v>0.99855988514099103</v>
      </c>
      <c r="F58">
        <f ca="1"/>
        <v>7</v>
      </c>
      <c r="G58" s="65">
        <f ca="1"/>
        <v>7.5856128611579976E-2</v>
      </c>
      <c r="H58" s="61">
        <f ca="1"/>
        <v>43656</v>
      </c>
      <c r="I58">
        <f ca="1"/>
        <v>0.99855988514099103</v>
      </c>
    </row>
    <row r="59" spans="1:9">
      <c r="A59">
        <f ca="1"/>
        <v>14</v>
      </c>
      <c r="B59" s="65">
        <f ca="1"/>
        <v>7.6986874163766927E-2</v>
      </c>
      <c r="C59" s="61">
        <f ca="1"/>
        <v>43663</v>
      </c>
      <c r="D59">
        <f ca="1"/>
        <v>0.99707940962780695</v>
      </c>
      <c r="F59">
        <f ca="1"/>
        <v>14</v>
      </c>
      <c r="G59" s="65">
        <f ca="1"/>
        <v>7.6986874163766927E-2</v>
      </c>
      <c r="H59" s="61">
        <f ca="1"/>
        <v>43663</v>
      </c>
      <c r="I59">
        <f ca="1"/>
        <v>0.99707940962780695</v>
      </c>
    </row>
    <row r="60" spans="1:9">
      <c r="A60">
        <f ca="1"/>
        <v>33</v>
      </c>
      <c r="B60" s="65">
        <f ca="1"/>
        <v>7.7524557649020664E-2</v>
      </c>
      <c r="C60" s="61">
        <f ca="1"/>
        <v>43682</v>
      </c>
      <c r="D60">
        <f ca="1"/>
        <v>0.99308202735111195</v>
      </c>
      <c r="F60">
        <f ca="1"/>
        <v>33</v>
      </c>
      <c r="G60" s="65">
        <f ca="1"/>
        <v>7.7524557649020664E-2</v>
      </c>
      <c r="H60" s="61">
        <f ca="1"/>
        <v>43682</v>
      </c>
      <c r="I60">
        <f ca="1"/>
        <v>0.99308202735111195</v>
      </c>
    </row>
    <row r="61" spans="1:9">
      <c r="A61">
        <f ca="1"/>
        <v>62</v>
      </c>
      <c r="B61" s="65">
        <f ca="1"/>
        <v>7.6960333636679756E-2</v>
      </c>
      <c r="C61" s="61">
        <f ca="1"/>
        <v>43711</v>
      </c>
      <c r="D61">
        <f ca="1"/>
        <v>0.98713492741650999</v>
      </c>
      <c r="F61">
        <f ca="1"/>
        <v>62</v>
      </c>
      <c r="G61" s="65">
        <f ca="1"/>
        <v>7.6960333636679756E-2</v>
      </c>
      <c r="H61" s="61">
        <f ca="1"/>
        <v>43711</v>
      </c>
      <c r="I61">
        <f ca="1"/>
        <v>0.98713492741650999</v>
      </c>
    </row>
    <row r="62" spans="1:9">
      <c r="A62">
        <f ca="1"/>
        <v>92</v>
      </c>
      <c r="B62" s="65">
        <f ca="1"/>
        <v>7.6718990922095109E-2</v>
      </c>
      <c r="C62" s="61">
        <f ca="1"/>
        <v>43741</v>
      </c>
      <c r="D62">
        <f ca="1"/>
        <v>0.98102799370099403</v>
      </c>
      <c r="F62">
        <f ca="1"/>
        <v>92</v>
      </c>
      <c r="G62" s="65">
        <f ca="1"/>
        <v>7.6718990922095109E-2</v>
      </c>
      <c r="H62" s="61">
        <f ca="1"/>
        <v>43741</v>
      </c>
      <c r="I62">
        <f ca="1"/>
        <v>0.98102799370099403</v>
      </c>
    </row>
    <row r="63" spans="1:9">
      <c r="A63">
        <f ca="1"/>
        <v>168</v>
      </c>
      <c r="B63" s="65">
        <f ca="1"/>
        <v>7.7123925026935325E-2</v>
      </c>
      <c r="C63" s="61">
        <f ca="1"/>
        <v>43817</v>
      </c>
      <c r="D63">
        <f ca="1"/>
        <v>0.96545068830908098</v>
      </c>
      <c r="F63">
        <f ca="1"/>
        <v>168</v>
      </c>
      <c r="G63" s="65">
        <f ca="1"/>
        <v>7.7128121017561391E-2</v>
      </c>
      <c r="H63" s="61">
        <f ca="1"/>
        <v>43817</v>
      </c>
      <c r="I63">
        <f ca="1"/>
        <v>0.965448859002624</v>
      </c>
    </row>
    <row r="64" spans="1:9">
      <c r="A64">
        <f ca="1"/>
        <v>259</v>
      </c>
      <c r="B64" s="65">
        <f ca="1"/>
        <v>7.7799854570241855E-2</v>
      </c>
      <c r="C64" s="61">
        <f ca="1"/>
        <v>43908</v>
      </c>
      <c r="D64">
        <f ca="1"/>
        <v>0.94679194490437701</v>
      </c>
      <c r="F64">
        <f ca="1"/>
        <v>259</v>
      </c>
      <c r="G64" s="65">
        <f ca="1"/>
        <v>7.7810923281833588E-2</v>
      </c>
      <c r="H64" s="61">
        <f ca="1"/>
        <v>43908</v>
      </c>
      <c r="I64">
        <f ca="1"/>
        <v>0.94678465049138405</v>
      </c>
    </row>
    <row r="65" spans="1:9">
      <c r="A65">
        <f ca="1"/>
        <v>351</v>
      </c>
      <c r="B65" s="65">
        <f ca="1"/>
        <v>7.8189926688825295E-2</v>
      </c>
      <c r="C65" s="61">
        <f ca="1"/>
        <v>44000</v>
      </c>
      <c r="D65">
        <f ca="1"/>
        <v>0.92823958717120203</v>
      </c>
      <c r="F65">
        <f ca="1"/>
        <v>351</v>
      </c>
      <c r="G65" s="65">
        <f ca="1"/>
        <v>7.821023148939954E-2</v>
      </c>
      <c r="H65" s="61">
        <f ca="1"/>
        <v>44000</v>
      </c>
      <c r="I65">
        <f ca="1"/>
        <v>0.92822181009351301</v>
      </c>
    </row>
    <row r="66" spans="1:9">
      <c r="A66">
        <f ca="1"/>
        <v>442</v>
      </c>
      <c r="B66" s="65">
        <f ca="1"/>
        <v>7.8340513216625496E-2</v>
      </c>
      <c r="C66" s="61">
        <f ca="1"/>
        <v>44091</v>
      </c>
      <c r="D66">
        <f ca="1"/>
        <v>0.91032818315183195</v>
      </c>
      <c r="F66">
        <f ca="1"/>
        <v>442</v>
      </c>
      <c r="G66" s="65">
        <f ca="1"/>
        <v>7.8371953266439753E-2</v>
      </c>
      <c r="H66" s="61">
        <f ca="1"/>
        <v>44091</v>
      </c>
      <c r="I66">
        <f ca="1"/>
        <v>0.91029419110283605</v>
      </c>
    </row>
    <row r="67" spans="1:9">
      <c r="A67">
        <f ca="1"/>
        <v>532</v>
      </c>
      <c r="B67" s="65">
        <f ca="1"/>
        <v>7.8325920064019172E-2</v>
      </c>
      <c r="C67" s="61">
        <f ca="1"/>
        <v>44181</v>
      </c>
      <c r="D67">
        <f ca="1"/>
        <v>0.893097649819242</v>
      </c>
      <c r="F67">
        <f ca="1"/>
        <v>532</v>
      </c>
      <c r="G67" s="65">
        <f ca="1"/>
        <v>7.8370042225992975E-2</v>
      </c>
      <c r="H67" s="61">
        <f ca="1"/>
        <v>44181</v>
      </c>
      <c r="I67">
        <f ca="1"/>
        <v>0.89304132023896698</v>
      </c>
    </row>
    <row r="68" spans="1:9">
      <c r="A68">
        <f ca="1"/>
        <v>622</v>
      </c>
      <c r="B68" s="65">
        <f ca="1"/>
        <v>7.8176060077362663E-2</v>
      </c>
      <c r="C68" s="61">
        <f ca="1"/>
        <v>44271</v>
      </c>
      <c r="D68">
        <f ca="1"/>
        <v>0.87639755736950697</v>
      </c>
      <c r="F68">
        <f ca="1"/>
        <v>622</v>
      </c>
      <c r="G68" s="65">
        <f ca="1"/>
        <v>7.8234232775690415E-2</v>
      </c>
      <c r="H68" s="61">
        <f ca="1"/>
        <v>44271</v>
      </c>
      <c r="I68">
        <f ca="1"/>
        <v>0.876312347932242</v>
      </c>
    </row>
    <row r="69" spans="1:9">
      <c r="A69">
        <f ca="1"/>
        <v>715</v>
      </c>
      <c r="B69" s="65">
        <f ca="1"/>
        <v>7.7929980998673543E-2</v>
      </c>
      <c r="C69" s="61">
        <f ca="1"/>
        <v>44364</v>
      </c>
      <c r="D69">
        <f ca="1"/>
        <v>0.85968492461013102</v>
      </c>
      <c r="F69">
        <f ca="1"/>
        <v>715</v>
      </c>
      <c r="G69" s="65">
        <f ca="1"/>
        <v>7.8004121912282898E-2</v>
      </c>
      <c r="H69" s="61">
        <f ca="1"/>
        <v>44364</v>
      </c>
      <c r="I69">
        <f ca="1"/>
        <v>0.859562464183941</v>
      </c>
    </row>
    <row r="70" spans="1:9">
      <c r="A70">
        <f ca="1"/>
        <v>806</v>
      </c>
      <c r="B70" s="65">
        <f ca="1"/>
        <v>7.7596842453150572E-2</v>
      </c>
      <c r="C70" s="61">
        <f ca="1"/>
        <v>44455</v>
      </c>
      <c r="D70">
        <f ca="1"/>
        <v>0.84390952583273104</v>
      </c>
      <c r="F70">
        <f ca="1"/>
        <v>806</v>
      </c>
      <c r="G70" s="65">
        <f ca="1"/>
        <v>7.7687618999155106E-2</v>
      </c>
      <c r="H70" s="61">
        <f ca="1"/>
        <v>44455</v>
      </c>
      <c r="I70">
        <f ca="1"/>
        <v>0.84374359775008201</v>
      </c>
    </row>
    <row r="71" spans="1:9">
      <c r="A71">
        <f ca="1"/>
        <v>1097</v>
      </c>
      <c r="B71" s="65">
        <f ca="1"/>
        <v>7.3317278694389643E-2</v>
      </c>
      <c r="C71" s="61">
        <f ca="1"/>
        <v>44746</v>
      </c>
      <c r="D71">
        <f ca="1"/>
        <v>0.80383725322070099</v>
      </c>
      <c r="F71">
        <f ca="1"/>
        <v>1097</v>
      </c>
      <c r="G71" s="65">
        <f ca="1"/>
        <v>7.3312523252294426E-2</v>
      </c>
      <c r="H71" s="61">
        <f ca="1"/>
        <v>44746</v>
      </c>
      <c r="I71">
        <f ca="1"/>
        <v>0.803848535266112</v>
      </c>
    </row>
    <row r="72" spans="1:9">
      <c r="A72">
        <f ca="1"/>
        <v>1461</v>
      </c>
      <c r="B72" s="65">
        <f ca="1"/>
        <v>7.50938183171872E-2</v>
      </c>
      <c r="C72" s="61">
        <f ca="1"/>
        <v>45110</v>
      </c>
      <c r="D72">
        <f ca="1"/>
        <v>0.742454001952637</v>
      </c>
      <c r="F72">
        <f ca="1"/>
        <v>1461</v>
      </c>
      <c r="G72" s="65">
        <f ca="1"/>
        <v>7.509015202748337E-2</v>
      </c>
      <c r="H72" s="61">
        <f ca="1"/>
        <v>45110</v>
      </c>
      <c r="I72">
        <f ca="1"/>
        <v>0.74246469691809203</v>
      </c>
    </row>
    <row r="73" spans="1:9">
      <c r="A73">
        <f ca="1"/>
        <v>1827</v>
      </c>
      <c r="B73" s="65">
        <f ca="1"/>
        <v>7.3868993424457408E-2</v>
      </c>
      <c r="C73" s="61">
        <f ca="1"/>
        <v>45476</v>
      </c>
      <c r="D73">
        <f ca="1"/>
        <v>0.693241359689867</v>
      </c>
      <c r="F73">
        <f ca="1"/>
        <v>1827</v>
      </c>
      <c r="G73" s="65">
        <f ca="1"/>
        <v>7.3866119802193708E-2</v>
      </c>
      <c r="H73" s="61">
        <f ca="1"/>
        <v>45476</v>
      </c>
      <c r="I73">
        <f ca="1"/>
        <v>0.69325115044029695</v>
      </c>
    </row>
    <row r="74" spans="1:9">
      <c r="A74">
        <f ca="1"/>
        <v>2192</v>
      </c>
      <c r="B74" s="65">
        <f ca="1"/>
        <v>7.3524828703878775E-2</v>
      </c>
      <c r="C74" s="61">
        <f ca="1"/>
        <v>45841</v>
      </c>
      <c r="D74">
        <f ca="1"/>
        <v>0.64562091054481097</v>
      </c>
      <c r="F74">
        <f ca="1"/>
        <v>2192</v>
      </c>
      <c r="G74" s="65">
        <f ca="1"/>
        <v>7.3522449038697424E-2</v>
      </c>
      <c r="H74" s="61">
        <f ca="1"/>
        <v>45841</v>
      </c>
      <c r="I74">
        <f ca="1"/>
        <v>0.64562997066433803</v>
      </c>
    </row>
    <row r="75" spans="1:9">
      <c r="A75">
        <f ca="1"/>
        <v>2557</v>
      </c>
      <c r="B75" s="65">
        <f ca="1"/>
        <v>7.3163512295601585E-2</v>
      </c>
      <c r="C75" s="61">
        <f ca="1"/>
        <v>46206</v>
      </c>
      <c r="D75">
        <f ca="1"/>
        <v>0.60174927075884299</v>
      </c>
      <c r="F75">
        <f ca="1"/>
        <v>2557</v>
      </c>
      <c r="G75" s="65">
        <f ca="1"/>
        <v>7.3161486501671646E-2</v>
      </c>
      <c r="H75" s="61">
        <f ca="1"/>
        <v>46206</v>
      </c>
      <c r="I75">
        <f ca="1"/>
        <v>0.60175765724400299</v>
      </c>
    </row>
    <row r="76" spans="1:9">
      <c r="A76">
        <f ca="1"/>
        <v>2924</v>
      </c>
      <c r="B76" s="65">
        <f ca="1"/>
        <v>7.2786754618162419E-2</v>
      </c>
      <c r="C76" s="61">
        <f ca="1"/>
        <v>46573</v>
      </c>
      <c r="D76">
        <f ca="1"/>
        <v>0.56110343020040798</v>
      </c>
      <c r="F76">
        <f ca="1"/>
        <v>2924</v>
      </c>
      <c r="G76" s="65">
        <f ca="1"/>
        <v>7.278499635029867E-2</v>
      </c>
      <c r="H76" s="61">
        <f ca="1"/>
        <v>46573</v>
      </c>
      <c r="I76">
        <f ca="1"/>
        <v>0.56111119238351703</v>
      </c>
    </row>
    <row r="77" spans="1:9">
      <c r="A77">
        <f ca="1"/>
        <v>3288</v>
      </c>
      <c r="B77" s="65">
        <f ca="1"/>
        <v>7.1310033594532918E-2</v>
      </c>
      <c r="C77" s="61">
        <f ca="1"/>
        <v>46937</v>
      </c>
      <c r="D77">
        <f ca="1"/>
        <v>0.52902606135609698</v>
      </c>
      <c r="F77">
        <f ca="1"/>
        <v>3288</v>
      </c>
      <c r="G77" s="65">
        <f ca="1"/>
        <v>7.1308514172685022E-2</v>
      </c>
      <c r="H77" s="61">
        <f ca="1"/>
        <v>46937</v>
      </c>
      <c r="I77">
        <f ca="1"/>
        <v>0.52903317550900297</v>
      </c>
    </row>
    <row r="78" spans="1:9">
      <c r="A78">
        <f ca="1"/>
        <v>3653</v>
      </c>
      <c r="B78" s="65">
        <f ca="1"/>
        <v>6.9317302567062811E-2</v>
      </c>
      <c r="C78" s="61">
        <f ca="1"/>
        <v>47302</v>
      </c>
      <c r="D78">
        <f ca="1"/>
        <v>0.50268061814407605</v>
      </c>
      <c r="F78">
        <f ca="1"/>
        <v>3653</v>
      </c>
      <c r="G78" s="65">
        <f ca="1"/>
        <v>6.9315989778194087E-2</v>
      </c>
      <c r="H78" s="61">
        <f ca="1"/>
        <v>47302</v>
      </c>
      <c r="I78">
        <f ca="1"/>
        <v>0.50268711024323798</v>
      </c>
    </row>
    <row r="79" spans="1:9">
      <c r="A79">
        <f ca="1"/>
        <v>5479</v>
      </c>
      <c r="B79" s="65">
        <f ca="1"/>
        <v>6.6912736283299523E-2</v>
      </c>
      <c r="C79" s="61">
        <f ca="1"/>
        <v>49128</v>
      </c>
      <c r="D79">
        <f ca="1"/>
        <v>0.369311149354906</v>
      </c>
      <c r="F79">
        <f ca="1"/>
        <v>5479</v>
      </c>
      <c r="G79" s="65">
        <f ca="1"/>
        <v>6.6911916584159847E-2</v>
      </c>
      <c r="H79" s="61">
        <f ca="1"/>
        <v>49128</v>
      </c>
      <c r="I79">
        <f ca="1"/>
        <v>0.369315618795233</v>
      </c>
    </row>
    <row r="80" spans="1:9">
      <c r="A80">
        <f ca="1"/>
        <v>7306</v>
      </c>
      <c r="B80" s="65">
        <f ca="1"/>
        <v>6.3729581494884613E-2</v>
      </c>
      <c r="C80" s="61">
        <f ca="1"/>
        <v>50955</v>
      </c>
      <c r="D80">
        <f ca="1"/>
        <v>0.28207454241672902</v>
      </c>
      <c r="F80">
        <f ca="1"/>
        <v>7306</v>
      </c>
      <c r="G80" s="65">
        <f ca="1"/>
        <v>6.3729024317075833E-2</v>
      </c>
      <c r="H80" s="61">
        <f ca="1"/>
        <v>50955</v>
      </c>
      <c r="I80">
        <f ca="1"/>
        <v>0.28207763899534999</v>
      </c>
    </row>
    <row r="81" spans="1:9">
      <c r="A81" t="e">
        <f ca="1"/>
        <v>#N/A</v>
      </c>
      <c r="B81" s="65" t="e">
        <f ca="1"/>
        <v>#N/A</v>
      </c>
      <c r="C81" s="73" t="e">
        <f ca="1"/>
        <v>#N/A</v>
      </c>
      <c r="D81" t="e">
        <f ca="1"/>
        <v>#N/A</v>
      </c>
      <c r="F81" t="e">
        <f ca="1"/>
        <v>#N/A</v>
      </c>
      <c r="G81" s="65" t="e">
        <f ca="1"/>
        <v>#N/A</v>
      </c>
      <c r="H81" s="73" t="e">
        <f ca="1"/>
        <v>#N/A</v>
      </c>
      <c r="I81" t="e">
        <f ca="1"/>
        <v>#N/A</v>
      </c>
    </row>
    <row r="82" spans="1:9">
      <c r="A82" t="e">
        <f ca="1"/>
        <v>#N/A</v>
      </c>
      <c r="B82" s="65" t="e">
        <f ca="1"/>
        <v>#N/A</v>
      </c>
      <c r="C82" s="73" t="e">
        <f ca="1"/>
        <v>#N/A</v>
      </c>
      <c r="D82" t="e">
        <f ca="1"/>
        <v>#N/A</v>
      </c>
      <c r="F82" t="e">
        <f ca="1"/>
        <v>#N/A</v>
      </c>
      <c r="G82" s="65" t="e">
        <f ca="1"/>
        <v>#N/A</v>
      </c>
      <c r="H82" s="73" t="e">
        <f ca="1"/>
        <v>#N/A</v>
      </c>
      <c r="I82" t="e">
        <f ca="1"/>
        <v>#N/A</v>
      </c>
    </row>
    <row r="83" spans="1:9">
      <c r="A83" t="e">
        <f ca="1"/>
        <v>#N/A</v>
      </c>
      <c r="B83" s="65" t="e">
        <f ca="1"/>
        <v>#N/A</v>
      </c>
      <c r="C83" s="73" t="e">
        <f ca="1"/>
        <v>#N/A</v>
      </c>
      <c r="D83" t="e">
        <f ca="1"/>
        <v>#N/A</v>
      </c>
      <c r="F83" t="e">
        <f ca="1"/>
        <v>#N/A</v>
      </c>
      <c r="G83" s="65" t="e">
        <f ca="1"/>
        <v>#N/A</v>
      </c>
      <c r="H83" s="73" t="e">
        <f ca="1"/>
        <v>#N/A</v>
      </c>
      <c r="I83" t="e">
        <f ca="1"/>
        <v>#N/A</v>
      </c>
    </row>
    <row r="84" spans="1:9">
      <c r="A84" t="e">
        <f ca="1"/>
        <v>#N/A</v>
      </c>
      <c r="B84" s="65" t="e">
        <f ca="1"/>
        <v>#N/A</v>
      </c>
      <c r="C84" s="73" t="e">
        <f ca="1"/>
        <v>#N/A</v>
      </c>
      <c r="D84" t="e">
        <f ca="1"/>
        <v>#N/A</v>
      </c>
      <c r="F84" t="e">
        <f ca="1"/>
        <v>#N/A</v>
      </c>
      <c r="G84" s="65" t="e">
        <f ca="1"/>
        <v>#N/A</v>
      </c>
      <c r="H84" s="73" t="e">
        <f ca="1"/>
        <v>#N/A</v>
      </c>
      <c r="I84" t="e">
        <f ca="1"/>
        <v>#N/A</v>
      </c>
    </row>
    <row r="85" spans="1:9">
      <c r="A85" t="e">
        <f ca="1"/>
        <v>#N/A</v>
      </c>
      <c r="B85" s="65" t="e">
        <f ca="1"/>
        <v>#N/A</v>
      </c>
      <c r="C85" s="73" t="e">
        <f ca="1"/>
        <v>#N/A</v>
      </c>
      <c r="D85" t="e">
        <f ca="1"/>
        <v>#N/A</v>
      </c>
      <c r="F85" t="e">
        <f ca="1"/>
        <v>#N/A</v>
      </c>
      <c r="G85" s="65" t="e">
        <f ca="1"/>
        <v>#N/A</v>
      </c>
      <c r="H85" s="73" t="e">
        <f ca="1"/>
        <v>#N/A</v>
      </c>
      <c r="I85" t="e">
        <f ca="1"/>
        <v>#N/A</v>
      </c>
    </row>
    <row r="86" spans="1:9">
      <c r="A86" t="e">
        <f ca="1"/>
        <v>#N/A</v>
      </c>
      <c r="B86" s="65" t="e">
        <f ca="1"/>
        <v>#N/A</v>
      </c>
      <c r="C86" s="73" t="e">
        <f ca="1"/>
        <v>#N/A</v>
      </c>
      <c r="D86" t="e">
        <f ca="1"/>
        <v>#N/A</v>
      </c>
      <c r="F86" t="e">
        <f ca="1"/>
        <v>#N/A</v>
      </c>
      <c r="G86" s="65" t="e">
        <f ca="1"/>
        <v>#N/A</v>
      </c>
      <c r="H86" s="73" t="e">
        <f ca="1"/>
        <v>#N/A</v>
      </c>
      <c r="I86" t="e">
        <f ca="1"/>
        <v>#N/A</v>
      </c>
    </row>
    <row r="87" spans="1:9">
      <c r="A87" t="e">
        <f ca="1"/>
        <v>#N/A</v>
      </c>
      <c r="B87" s="65" t="e">
        <f ca="1"/>
        <v>#N/A</v>
      </c>
      <c r="C87" s="73" t="e">
        <f ca="1"/>
        <v>#N/A</v>
      </c>
      <c r="D87" t="e">
        <f ca="1"/>
        <v>#N/A</v>
      </c>
      <c r="F87" t="e">
        <f ca="1"/>
        <v>#N/A</v>
      </c>
      <c r="G87" s="65" t="e">
        <f ca="1"/>
        <v>#N/A</v>
      </c>
      <c r="H87" s="73" t="e">
        <f ca="1"/>
        <v>#N/A</v>
      </c>
      <c r="I87" t="e">
        <f ca="1"/>
        <v>#N/A</v>
      </c>
    </row>
    <row r="88" spans="1:9">
      <c r="A88" t="e">
        <f ca="1"/>
        <v>#N/A</v>
      </c>
      <c r="B88" s="65" t="e">
        <f ca="1"/>
        <v>#N/A</v>
      </c>
      <c r="C88" s="73" t="e">
        <f ca="1"/>
        <v>#N/A</v>
      </c>
      <c r="D88" t="e">
        <f ca="1"/>
        <v>#N/A</v>
      </c>
      <c r="F88" t="e">
        <f ca="1"/>
        <v>#N/A</v>
      </c>
      <c r="G88" s="65" t="e">
        <f ca="1"/>
        <v>#N/A</v>
      </c>
      <c r="H88" s="73" t="e">
        <f ca="1"/>
        <v>#N/A</v>
      </c>
      <c r="I88" t="e">
        <f ca="1"/>
        <v>#N/A</v>
      </c>
    </row>
    <row r="89" spans="1:9">
      <c r="A89" t="e">
        <f ca="1"/>
        <v>#N/A</v>
      </c>
      <c r="B89" s="73" t="e">
        <f ca="1"/>
        <v>#N/A</v>
      </c>
      <c r="C89" s="73" t="e">
        <f ca="1"/>
        <v>#N/A</v>
      </c>
      <c r="D89" t="e">
        <f ca="1"/>
        <v>#N/A</v>
      </c>
      <c r="F89" t="e">
        <f ca="1"/>
        <v>#N/A</v>
      </c>
      <c r="G89" s="73" t="e">
        <f ca="1"/>
        <v>#N/A</v>
      </c>
      <c r="H89" s="73" t="e">
        <f ca="1"/>
        <v>#N/A</v>
      </c>
      <c r="I89" t="e">
        <f ca="1"/>
        <v>#N/A</v>
      </c>
    </row>
    <row r="90" spans="1:9">
      <c r="A90" t="e">
        <f ca="1"/>
        <v>#N/A</v>
      </c>
      <c r="B90" s="73" t="e">
        <f ca="1"/>
        <v>#N/A</v>
      </c>
      <c r="C90" s="73" t="e">
        <f ca="1"/>
        <v>#N/A</v>
      </c>
      <c r="D90" t="e">
        <f ca="1"/>
        <v>#N/A</v>
      </c>
      <c r="F90" t="e">
        <f ca="1"/>
        <v>#N/A</v>
      </c>
      <c r="G90" s="73" t="e">
        <f ca="1"/>
        <v>#N/A</v>
      </c>
      <c r="H90" s="73" t="e">
        <f ca="1"/>
        <v>#N/A</v>
      </c>
      <c r="I90" t="e">
        <f ca="1"/>
        <v>#N/A</v>
      </c>
    </row>
    <row r="91" spans="1:9">
      <c r="A91" t="e">
        <f ca="1"/>
        <v>#N/A</v>
      </c>
      <c r="B91" s="73" t="e">
        <f ca="1"/>
        <v>#N/A</v>
      </c>
      <c r="C91" s="73" t="e">
        <f ca="1"/>
        <v>#N/A</v>
      </c>
      <c r="D91" t="e">
        <f ca="1"/>
        <v>#N/A</v>
      </c>
      <c r="F91" t="e">
        <f ca="1"/>
        <v>#N/A</v>
      </c>
      <c r="G91" s="73" t="e">
        <f ca="1"/>
        <v>#N/A</v>
      </c>
      <c r="H91" s="73" t="e">
        <f ca="1"/>
        <v>#N/A</v>
      </c>
      <c r="I91" t="e">
        <f ca="1"/>
        <v>#N/A</v>
      </c>
    </row>
    <row r="92" spans="1:9">
      <c r="A92" t="e">
        <f ca="1"/>
        <v>#N/A</v>
      </c>
      <c r="B92" s="73" t="e">
        <f ca="1"/>
        <v>#N/A</v>
      </c>
      <c r="C92" s="73" t="e">
        <f ca="1"/>
        <v>#N/A</v>
      </c>
      <c r="D92" t="e">
        <f ca="1"/>
        <v>#N/A</v>
      </c>
      <c r="F92" t="e">
        <f ca="1"/>
        <v>#N/A</v>
      </c>
      <c r="G92" s="73" t="e">
        <f ca="1"/>
        <v>#N/A</v>
      </c>
      <c r="H92" s="73" t="e">
        <f ca="1"/>
        <v>#N/A</v>
      </c>
      <c r="I92" t="e">
        <f ca="1"/>
        <v>#N/A</v>
      </c>
    </row>
    <row r="93" spans="1:9">
      <c r="A93"/>
      <c r="B93" s="73"/>
      <c r="C93" s="73"/>
    </row>
    <row r="94" spans="1:9">
      <c r="A94"/>
      <c r="B94" s="73"/>
      <c r="C94" s="73"/>
    </row>
  </sheetData>
  <protectedRanges>
    <protectedRange sqref="B10 A47 A43:A44 G10" name="Range2_1"/>
  </protectedRanges>
  <mergeCells count="2">
    <mergeCell ref="A1:B1"/>
    <mergeCell ref="F1:G1"/>
  </mergeCells>
  <phoneticPr fontId="2" type="noConversion"/>
  <dataValidations count="3">
    <dataValidation type="list" allowBlank="1" showInputMessage="1" showErrorMessage="1" sqref="B41" xr:uid="{00000000-0002-0000-0100-000000000000}">
      <formula1>$B$43:$B$44</formula1>
    </dataValidation>
    <dataValidation type="list" allowBlank="1" showInputMessage="1" showErrorMessage="1" sqref="G10 B10" xr:uid="{00000000-0002-0000-0100-000001000000}">
      <formula1>$A$43:$A$47</formula1>
    </dataValidation>
    <dataValidation type="list" allowBlank="1" showInputMessage="1" showErrorMessage="1" sqref="A55" xr:uid="{00000000-0002-0000-0100-000002000000}">
      <formula1>$B$50:$B$54</formula1>
    </dataValidation>
  </dataValidations>
  <hyperlinks>
    <hyperlink ref="D65" r:id="rId1" display="alex.watt@nab.com.au" xr:uid="{00000000-0004-0000-0100-000000000000}"/>
    <hyperlink ref="I65" r:id="rId2" display="alex.watt@nab.com.au" xr:uid="{00000000-0004-0000-0100-000001000000}"/>
  </hyperlinks>
  <pageMargins left="0.75" right="0.75" top="1" bottom="1" header="0.5" footer="0.5"/>
  <pageSetup paperSize="9" scale="60" orientation="landscape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358"/>
  <sheetViews>
    <sheetView workbookViewId="0">
      <selection activeCell="K2" sqref="K2"/>
    </sheetView>
  </sheetViews>
  <sheetFormatPr defaultColWidth="9.140625" defaultRowHeight="11.25"/>
  <cols>
    <col min="1" max="1" width="8.7109375" style="11" bestFit="1" customWidth="1"/>
    <col min="2" max="2" width="5.42578125" style="75" bestFit="1" customWidth="1"/>
    <col min="3" max="6" width="5.42578125" style="11" bestFit="1" customWidth="1"/>
    <col min="7" max="11" width="10.42578125" style="11" bestFit="1" customWidth="1"/>
    <col min="12" max="16384" width="9.140625" style="11"/>
  </cols>
  <sheetData>
    <row r="1" spans="1:11" s="85" customFormat="1" ht="185.25" thickBot="1">
      <c r="A1" s="83" t="s">
        <v>17</v>
      </c>
      <c r="B1" s="84" t="str">
        <f ca="1">AUDCurve!B1</f>
        <v>Market.LIVE.RateCurve.AUD-LIBOR-BBA-3M</v>
      </c>
      <c r="C1" s="83" t="e">
        <f ca="1">AUDCurve!F1</f>
        <v>#VALUE!</v>
      </c>
      <c r="D1" s="83" t="str">
        <f ca="1">AUDCurve!K1</f>
        <v>Market.LIVE.RateCurve.AUD-LIBOR-BBA-1M</v>
      </c>
      <c r="E1" s="83" t="str">
        <f ca="1">GBPCurve!A1</f>
        <v>Market.LIVE.RateCurve.GBP-LIBOR-BBA-3M</v>
      </c>
      <c r="F1" s="83" t="str">
        <f ca="1">GBPCurve!F1</f>
        <v>Market.LIVE.RateCurve.GBP-LIBOR-BBA-1M</v>
      </c>
      <c r="G1" s="83" t="s">
        <v>84</v>
      </c>
      <c r="H1" s="83" t="s">
        <v>85</v>
      </c>
      <c r="I1" s="83" t="s">
        <v>86</v>
      </c>
      <c r="J1" s="83" t="s">
        <v>95</v>
      </c>
      <c r="K1" s="83" t="s">
        <v>96</v>
      </c>
    </row>
    <row r="2" spans="1:11">
      <c r="A2" s="12">
        <f ca="1">AUDCurve!C3</f>
        <v>43649</v>
      </c>
      <c r="B2" s="74">
        <f t="shared" ref="B2:B65" ca="1" si="0">(G2-G3)/($A3-$A2)*365</f>
        <v>1.9998904169657439E-2</v>
      </c>
      <c r="C2" s="74" t="e">
        <f t="shared" ref="C2:C65" ca="1" si="1">(H2-H3)/($A3-$A2)*365</f>
        <v>#VALUE!</v>
      </c>
      <c r="D2" s="74">
        <f t="shared" ref="D2:D65" ca="1" si="2">(I2-I3)/($A3-$A2)*365</f>
        <v>2.0998791850244114E-2</v>
      </c>
      <c r="E2" s="74">
        <f t="shared" ref="E2:E65" ca="1" si="3">(J2-J3)/($A3-$A2)*365</f>
        <v>7.248560217485378E-2</v>
      </c>
      <c r="F2" s="74">
        <f t="shared" ref="F2:F65" ca="1" si="4">(K2-K3)/($A3-$A2)*365</f>
        <v>7.248560217485378E-2</v>
      </c>
      <c r="G2" s="13">
        <f t="array" aca="1" ref="G2:G358" ca="1">_xll.HLV5r3.Financial.Cache.GetValues(B$1, $A2:$A358)</f>
        <v>1</v>
      </c>
      <c r="H2" s="13" t="e">
        <f t="array" aca="1" ref="H2:H358" ca="1">_xll.HLV5r3.Financial.Cache.GetValues(C$1, $A2:$A358)</f>
        <v>#VALUE!</v>
      </c>
      <c r="I2" s="13">
        <f t="array" aca="1" ref="I2:I358" ca="1">_xll.HLV5r3.Financial.Cache.GetValues(D$1, $A2:$A358)</f>
        <v>1</v>
      </c>
      <c r="J2" s="13">
        <f t="array" aca="1" ref="J2:J358" ca="1">_xll.HLV5r3.Financial.Cache.GetValues(E$1, $A2:$A358)</f>
        <v>1</v>
      </c>
      <c r="K2" s="13">
        <f t="array" aca="1" ref="K2:K358" ca="1">_xll.HLV5r3.Financial.Cache.GetValues(F$1, $A2:$A358)</f>
        <v>1</v>
      </c>
    </row>
    <row r="3" spans="1:11">
      <c r="A3" s="14">
        <f t="shared" ref="A3:A67" ca="1" si="5">A2+1</f>
        <v>43650</v>
      </c>
      <c r="B3" s="74">
        <f t="shared" ca="1" si="0"/>
        <v>2.024688435738442E-2</v>
      </c>
      <c r="C3" s="74" t="e">
        <f t="shared" ca="1" si="1"/>
        <v>#VALUE!</v>
      </c>
      <c r="D3" s="74">
        <f t="shared" ca="1" si="2"/>
        <v>2.1246569357756262E-2</v>
      </c>
      <c r="E3" s="74">
        <f t="shared" ca="1" si="3"/>
        <v>7.5565160760132088E-2</v>
      </c>
      <c r="F3" s="74">
        <f t="shared" ca="1" si="4"/>
        <v>7.5565160760132088E-2</v>
      </c>
      <c r="G3" s="13">
        <f ca="1"/>
        <v>0.99994520848172697</v>
      </c>
      <c r="H3" s="13" t="e">
        <f ca="1"/>
        <v>#VALUE!</v>
      </c>
      <c r="I3" s="13">
        <f ca="1"/>
        <v>0.99994246906342399</v>
      </c>
      <c r="J3" s="13">
        <f ca="1"/>
        <v>0.99980140930910999</v>
      </c>
      <c r="K3" s="13">
        <f ca="1"/>
        <v>0.99980140930910999</v>
      </c>
    </row>
    <row r="4" spans="1:11">
      <c r="A4" s="14">
        <f t="shared" ca="1" si="5"/>
        <v>43651</v>
      </c>
      <c r="B4" s="74">
        <f t="shared" ca="1" si="0"/>
        <v>2.0494811520987422E-2</v>
      </c>
      <c r="C4" s="74" t="e">
        <f t="shared" ca="1" si="1"/>
        <v>#VALUE!</v>
      </c>
      <c r="D4" s="74">
        <f t="shared" ca="1" si="2"/>
        <v>2.1494291827873768E-2</v>
      </c>
      <c r="E4" s="74">
        <f t="shared" ca="1" si="3"/>
        <v>7.5549513560942971E-2</v>
      </c>
      <c r="F4" s="74">
        <f t="shared" ca="1" si="4"/>
        <v>7.5549513560942971E-2</v>
      </c>
      <c r="G4" s="13">
        <f ca="1"/>
        <v>0.99988973756567934</v>
      </c>
      <c r="H4" s="13" t="e">
        <f ca="1"/>
        <v>#VALUE!</v>
      </c>
      <c r="I4" s="13">
        <f ca="1"/>
        <v>0.99988425928436164</v>
      </c>
      <c r="J4" s="13">
        <f ca="1"/>
        <v>0.999594381471411</v>
      </c>
      <c r="K4" s="13">
        <f ca="1"/>
        <v>0.999594381471411</v>
      </c>
    </row>
    <row r="5" spans="1:11">
      <c r="A5" s="14">
        <f t="shared" ca="1" si="5"/>
        <v>43652</v>
      </c>
      <c r="B5" s="74">
        <f t="shared" ca="1" si="0"/>
        <v>2.0742685158627872E-2</v>
      </c>
      <c r="C5" s="74" t="e">
        <f t="shared" ca="1" si="1"/>
        <v>#VALUE!</v>
      </c>
      <c r="D5" s="74">
        <f t="shared" ca="1" si="2"/>
        <v>2.1741958760054803E-2</v>
      </c>
      <c r="E5" s="74">
        <f t="shared" ca="1" si="3"/>
        <v>7.5533869601741022E-2</v>
      </c>
      <c r="F5" s="74">
        <f t="shared" ca="1" si="4"/>
        <v>7.5533869601741022E-2</v>
      </c>
      <c r="G5" s="13">
        <f ca="1"/>
        <v>0.99983358739712869</v>
      </c>
      <c r="H5" s="13" t="e">
        <f ca="1"/>
        <v>#VALUE!</v>
      </c>
      <c r="I5" s="13">
        <f ca="1"/>
        <v>0.99982537081360034</v>
      </c>
      <c r="J5" s="13">
        <f ca="1"/>
        <v>0.99938739650275088</v>
      </c>
      <c r="K5" s="13">
        <f ca="1"/>
        <v>0.99938739650275088</v>
      </c>
    </row>
    <row r="6" spans="1:11">
      <c r="A6" s="14">
        <f t="shared" ca="1" si="5"/>
        <v>43653</v>
      </c>
      <c r="B6" s="74">
        <f t="shared" ca="1" si="0"/>
        <v>2.0990504768912954E-2</v>
      </c>
      <c r="C6" s="74" t="e">
        <f t="shared" ca="1" si="1"/>
        <v>#VALUE!</v>
      </c>
      <c r="D6" s="74">
        <f t="shared" ca="1" si="2"/>
        <v>2.1989569653514396E-2</v>
      </c>
      <c r="E6" s="74">
        <f t="shared" ca="1" si="3"/>
        <v>7.5518228881958915E-2</v>
      </c>
      <c r="F6" s="74">
        <f t="shared" ca="1" si="4"/>
        <v>7.5518228881958915E-2</v>
      </c>
      <c r="G6" s="13">
        <f ca="1"/>
        <v>0.99977675812272149</v>
      </c>
      <c r="H6" s="13" t="e">
        <f ca="1"/>
        <v>#VALUE!</v>
      </c>
      <c r="I6" s="13">
        <f ca="1"/>
        <v>0.99976580380329882</v>
      </c>
      <c r="J6" s="13">
        <f ca="1"/>
        <v>0.99918045439425296</v>
      </c>
      <c r="K6" s="13">
        <f ca="1"/>
        <v>0.99918045439425296</v>
      </c>
    </row>
    <row r="7" spans="1:11">
      <c r="A7" s="14">
        <f t="shared" ca="1" si="5"/>
        <v>43654</v>
      </c>
      <c r="B7" s="74">
        <f t="shared" ca="1" si="0"/>
        <v>2.1238269850611946E-2</v>
      </c>
      <c r="C7" s="74" t="e">
        <f t="shared" ca="1" si="1"/>
        <v>#VALUE!</v>
      </c>
      <c r="D7" s="74">
        <f t="shared" ca="1" si="2"/>
        <v>2.2237124008237519E-2</v>
      </c>
      <c r="E7" s="74">
        <f t="shared" ca="1" si="3"/>
        <v>7.5502591400826713E-2</v>
      </c>
      <c r="F7" s="74">
        <f t="shared" ca="1" si="4"/>
        <v>7.5502591400826713E-2</v>
      </c>
      <c r="G7" s="13">
        <f ca="1"/>
        <v>0.99971924989047789</v>
      </c>
      <c r="H7" s="13" t="e">
        <f ca="1"/>
        <v>#VALUE!</v>
      </c>
      <c r="I7" s="13">
        <f ca="1"/>
        <v>0.99970555840698783</v>
      </c>
      <c r="J7" s="13">
        <f ca="1"/>
        <v>0.99897355513704211</v>
      </c>
      <c r="K7" s="13">
        <f ca="1"/>
        <v>0.99897355513704211</v>
      </c>
    </row>
    <row r="8" spans="1:11">
      <c r="A8" s="14">
        <f t="shared" ca="1" si="5"/>
        <v>43655</v>
      </c>
      <c r="B8" s="74">
        <f t="shared" ca="1" si="0"/>
        <v>2.1485979902656216E-2</v>
      </c>
      <c r="C8" s="74" t="e">
        <f t="shared" ca="1" si="1"/>
        <v>#VALUE!</v>
      </c>
      <c r="D8" s="74">
        <f t="shared" ca="1" si="2"/>
        <v>2.248462132392548E-2</v>
      </c>
      <c r="E8" s="74">
        <f t="shared" ca="1" si="3"/>
        <v>7.5486957157817614E-2</v>
      </c>
      <c r="F8" s="74">
        <f t="shared" ca="1" si="4"/>
        <v>7.5486957157817614E-2</v>
      </c>
      <c r="G8" s="13">
        <f ca="1"/>
        <v>0.99966106284979128</v>
      </c>
      <c r="H8" s="13" t="e">
        <f ca="1"/>
        <v>#VALUE!</v>
      </c>
      <c r="I8" s="13">
        <f ca="1"/>
        <v>0.999644634779568</v>
      </c>
      <c r="J8" s="13">
        <f ca="1"/>
        <v>0.99876669872224533</v>
      </c>
      <c r="K8" s="13">
        <f ca="1"/>
        <v>0.99876669872224533</v>
      </c>
    </row>
    <row r="9" spans="1:11">
      <c r="A9" s="14">
        <f t="shared" ca="1" si="5"/>
        <v>43656</v>
      </c>
      <c r="B9" s="74">
        <f t="shared" ca="1" si="0"/>
        <v>2.1733634424179749E-2</v>
      </c>
      <c r="C9" s="74" t="e">
        <f t="shared" ca="1" si="1"/>
        <v>#VALUE!</v>
      </c>
      <c r="D9" s="74">
        <f t="shared" ca="1" si="2"/>
        <v>2.2732061100968481E-2</v>
      </c>
      <c r="E9" s="74">
        <f t="shared" ca="1" si="3"/>
        <v>7.724531908667398E-2</v>
      </c>
      <c r="F9" s="74">
        <f t="shared" ca="1" si="4"/>
        <v>7.724531908667398E-2</v>
      </c>
      <c r="G9" s="13">
        <f ca="1"/>
        <v>0.99960219715142784</v>
      </c>
      <c r="H9" s="13" t="e">
        <f ca="1"/>
        <v>#VALUE!</v>
      </c>
      <c r="I9" s="13">
        <f ca="1"/>
        <v>0.99958303307731067</v>
      </c>
      <c r="J9" s="13">
        <f ca="1"/>
        <v>0.99855988514099103</v>
      </c>
      <c r="K9" s="13">
        <f ca="1"/>
        <v>0.99855988514099103</v>
      </c>
    </row>
    <row r="10" spans="1:11">
      <c r="A10" s="14">
        <f t="shared" ca="1" si="5"/>
        <v>43657</v>
      </c>
      <c r="B10" s="74">
        <f t="shared" ca="1" si="0"/>
        <v>2.2129234439349776E-2</v>
      </c>
      <c r="C10" s="74" t="e">
        <f t="shared" ca="1" si="1"/>
        <v>#VALUE!</v>
      </c>
      <c r="D10" s="74">
        <f t="shared" ca="1" si="2"/>
        <v>2.3127274251928953E-2</v>
      </c>
      <c r="E10" s="74">
        <f t="shared" ca="1" si="3"/>
        <v>7.7228948005486631E-2</v>
      </c>
      <c r="F10" s="74">
        <f t="shared" ca="1" si="4"/>
        <v>7.7228948005486631E-2</v>
      </c>
      <c r="G10" s="13">
        <f ca="1"/>
        <v>0.99954265294752598</v>
      </c>
      <c r="H10" s="13" t="e">
        <f ca="1"/>
        <v>#VALUE!</v>
      </c>
      <c r="I10" s="13">
        <f ca="1"/>
        <v>0.99952075345785596</v>
      </c>
      <c r="J10" s="13">
        <f ca="1"/>
        <v>0.99834825412979467</v>
      </c>
      <c r="K10" s="13">
        <f ca="1"/>
        <v>0.99834825412979467</v>
      </c>
    </row>
    <row r="11" spans="1:11">
      <c r="A11" s="14">
        <f t="shared" ca="1" si="5"/>
        <v>43658</v>
      </c>
      <c r="B11" s="74">
        <f t="shared" ca="1" si="0"/>
        <v>2.2409634590488947E-2</v>
      </c>
      <c r="C11" s="74" t="e">
        <f t="shared" ca="1" si="1"/>
        <v>#VALUE!</v>
      </c>
      <c r="D11" s="74">
        <f t="shared" ca="1" si="2"/>
        <v>2.3407416983182161E-2</v>
      </c>
      <c r="E11" s="74">
        <f t="shared" ca="1" si="3"/>
        <v>7.7212580393850039E-2</v>
      </c>
      <c r="F11" s="74">
        <f t="shared" ca="1" si="4"/>
        <v>7.7212580393850039E-2</v>
      </c>
      <c r="G11" s="13">
        <f ca="1"/>
        <v>0.99948202490796612</v>
      </c>
      <c r="H11" s="13" t="e">
        <f ca="1"/>
        <v>#VALUE!</v>
      </c>
      <c r="I11" s="13">
        <f ca="1"/>
        <v>0.9994573910626452</v>
      </c>
      <c r="J11" s="13">
        <f ca="1"/>
        <v>0.99813666797087552</v>
      </c>
      <c r="K11" s="13">
        <f ca="1"/>
        <v>0.99813666797087552</v>
      </c>
    </row>
    <row r="12" spans="1:11">
      <c r="A12" s="14">
        <f t="shared" ca="1" si="5"/>
        <v>43659</v>
      </c>
      <c r="B12" s="74">
        <f t="shared" ca="1" si="0"/>
        <v>2.2689968010308759E-2</v>
      </c>
      <c r="C12" s="74" t="e">
        <f t="shared" ca="1" si="1"/>
        <v>#VALUE!</v>
      </c>
      <c r="D12" s="74">
        <f t="shared" ca="1" si="2"/>
        <v>2.368749072095222E-2</v>
      </c>
      <c r="E12" s="74">
        <f t="shared" ca="1" si="3"/>
        <v>7.7196216251156358E-2</v>
      </c>
      <c r="F12" s="74">
        <f t="shared" ca="1" si="4"/>
        <v>7.7196216251156358E-2</v>
      </c>
      <c r="G12" s="13">
        <f ca="1"/>
        <v>0.99942062864881409</v>
      </c>
      <c r="H12" s="13" t="e">
        <f ca="1"/>
        <v>#VALUE!</v>
      </c>
      <c r="I12" s="13">
        <f ca="1"/>
        <v>0.99939326115310223</v>
      </c>
      <c r="J12" s="13">
        <f ca="1"/>
        <v>0.99792512665472799</v>
      </c>
      <c r="K12" s="13">
        <f ca="1"/>
        <v>0.99792512665472799</v>
      </c>
    </row>
    <row r="13" spans="1:11">
      <c r="A13" s="14">
        <f t="shared" ca="1" si="5"/>
        <v>43660</v>
      </c>
      <c r="B13" s="74">
        <f t="shared" ca="1" si="0"/>
        <v>2.2970234057489991E-2</v>
      </c>
      <c r="C13" s="74" t="e">
        <f t="shared" ca="1" si="1"/>
        <v>#VALUE!</v>
      </c>
      <c r="D13" s="74">
        <f t="shared" ca="1" si="2"/>
        <v>2.396749482545979E-2</v>
      </c>
      <c r="E13" s="74">
        <f t="shared" ca="1" si="3"/>
        <v>7.7179855576554601E-2</v>
      </c>
      <c r="F13" s="74">
        <f t="shared" ca="1" si="4"/>
        <v>7.7179855576554601E-2</v>
      </c>
      <c r="G13" s="13">
        <f ca="1"/>
        <v>0.99935846435289544</v>
      </c>
      <c r="H13" s="13" t="e">
        <f ca="1"/>
        <v>#VALUE!</v>
      </c>
      <c r="I13" s="13">
        <f ca="1"/>
        <v>0.99932836391825031</v>
      </c>
      <c r="J13" s="13">
        <f ca="1"/>
        <v>0.99771363017184811</v>
      </c>
      <c r="K13" s="13">
        <f ca="1"/>
        <v>0.99771363017184811</v>
      </c>
    </row>
    <row r="14" spans="1:11">
      <c r="A14" s="14">
        <f t="shared" ca="1" si="5"/>
        <v>43661</v>
      </c>
      <c r="B14" s="74">
        <f t="shared" ca="1" si="0"/>
        <v>2.3250432091321271E-2</v>
      </c>
      <c r="C14" s="74" t="e">
        <f t="shared" ca="1" si="1"/>
        <v>#VALUE!</v>
      </c>
      <c r="D14" s="74">
        <f t="shared" ca="1" si="2"/>
        <v>2.4247428657128145E-2</v>
      </c>
      <c r="E14" s="74">
        <f t="shared" ca="1" si="3"/>
        <v>7.7163498369477446E-2</v>
      </c>
      <c r="F14" s="74">
        <f t="shared" ca="1" si="4"/>
        <v>7.7163498369477446E-2</v>
      </c>
      <c r="G14" s="13">
        <f ca="1"/>
        <v>0.99929553220479272</v>
      </c>
      <c r="H14" s="13" t="e">
        <f ca="1"/>
        <v>#VALUE!</v>
      </c>
      <c r="I14" s="13">
        <f ca="1"/>
        <v>0.99926269954886549</v>
      </c>
      <c r="J14" s="13">
        <f ca="1"/>
        <v>0.99750217851273426</v>
      </c>
      <c r="K14" s="13">
        <f ca="1"/>
        <v>0.99750217851273426</v>
      </c>
    </row>
    <row r="15" spans="1:11">
      <c r="A15" s="14">
        <f t="shared" ca="1" si="5"/>
        <v>43662</v>
      </c>
      <c r="B15" s="74">
        <f t="shared" ca="1" si="0"/>
        <v>2.3530561471091227E-2</v>
      </c>
      <c r="C15" s="74" t="e">
        <f t="shared" ca="1" si="1"/>
        <v>#VALUE!</v>
      </c>
      <c r="D15" s="74">
        <f t="shared" ca="1" si="2"/>
        <v>2.4527291576664223E-2</v>
      </c>
      <c r="E15" s="74">
        <f t="shared" ca="1" si="3"/>
        <v>7.7147144628992859E-2</v>
      </c>
      <c r="F15" s="74">
        <f t="shared" ca="1" si="4"/>
        <v>7.7147144628992859E-2</v>
      </c>
      <c r="G15" s="13">
        <f ca="1"/>
        <v>0.9992318323908439</v>
      </c>
      <c r="H15" s="13" t="e">
        <f ca="1"/>
        <v>#VALUE!</v>
      </c>
      <c r="I15" s="13">
        <f ca="1"/>
        <v>0.99919626823747609</v>
      </c>
      <c r="J15" s="13">
        <f ca="1"/>
        <v>0.99729077166788638</v>
      </c>
      <c r="K15" s="13">
        <f ca="1"/>
        <v>0.99729077166788638</v>
      </c>
    </row>
    <row r="16" spans="1:11">
      <c r="A16" s="14">
        <f t="shared" ca="1" si="5"/>
        <v>43663</v>
      </c>
      <c r="B16" s="74">
        <f t="shared" ca="1" si="0"/>
        <v>2.3810621556655809E-2</v>
      </c>
      <c r="C16" s="74" t="e">
        <f t="shared" ca="1" si="1"/>
        <v>#VALUE!</v>
      </c>
      <c r="D16" s="74">
        <f t="shared" ca="1" si="2"/>
        <v>2.4807082945261238E-2</v>
      </c>
      <c r="E16" s="74">
        <f t="shared" ca="1" si="3"/>
        <v>7.6938029033149502E-2</v>
      </c>
      <c r="F16" s="74">
        <f t="shared" ca="1" si="4"/>
        <v>7.6938029033149502E-2</v>
      </c>
      <c r="G16" s="13">
        <f ca="1"/>
        <v>0.99916736509914228</v>
      </c>
      <c r="H16" s="13" t="e">
        <f ca="1"/>
        <v>#VALUE!</v>
      </c>
      <c r="I16" s="13">
        <f ca="1"/>
        <v>0.99912907017836194</v>
      </c>
      <c r="J16" s="13">
        <f ca="1"/>
        <v>0.99707940962780695</v>
      </c>
      <c r="K16" s="13">
        <f ca="1"/>
        <v>0.99707940962780695</v>
      </c>
    </row>
    <row r="17" spans="1:11">
      <c r="A17" s="14">
        <f t="shared" ca="1" si="5"/>
        <v>43664</v>
      </c>
      <c r="B17" s="74">
        <f t="shared" ca="1" si="0"/>
        <v>2.2704838395282145E-2</v>
      </c>
      <c r="C17" s="74" t="e">
        <f t="shared" ca="1" si="1"/>
        <v>#VALUE!</v>
      </c>
      <c r="D17" s="74">
        <f t="shared" ca="1" si="2"/>
        <v>2.3701043306894043E-2</v>
      </c>
      <c r="E17" s="74">
        <f t="shared" ca="1" si="3"/>
        <v>7.6921763829648215E-2</v>
      </c>
      <c r="F17" s="74">
        <f t="shared" ca="1" si="4"/>
        <v>7.6921763829648215E-2</v>
      </c>
      <c r="G17" s="13">
        <f ca="1"/>
        <v>0.999102130519535</v>
      </c>
      <c r="H17" s="13" t="e">
        <f ca="1"/>
        <v>#VALUE!</v>
      </c>
      <c r="I17" s="13">
        <f ca="1"/>
        <v>0.99906110556755301</v>
      </c>
      <c r="J17" s="13">
        <f ca="1"/>
        <v>0.99686862050716818</v>
      </c>
      <c r="K17" s="13">
        <f ca="1"/>
        <v>0.99686862050716818</v>
      </c>
    </row>
    <row r="18" spans="1:11">
      <c r="A18" s="14">
        <f t="shared" ca="1" si="5"/>
        <v>43665</v>
      </c>
      <c r="B18" s="74">
        <f t="shared" ca="1" si="0"/>
        <v>2.2811798664010841E-2</v>
      </c>
      <c r="C18" s="74" t="e">
        <f t="shared" ca="1" si="1"/>
        <v>#VALUE!</v>
      </c>
      <c r="D18" s="74">
        <f t="shared" ca="1" si="2"/>
        <v>2.3807740162404833E-2</v>
      </c>
      <c r="E18" s="74">
        <f t="shared" ca="1" si="3"/>
        <v>7.690550206477853E-2</v>
      </c>
      <c r="F18" s="74">
        <f t="shared" ca="1" si="4"/>
        <v>7.690550206477853E-2</v>
      </c>
      <c r="G18" s="13">
        <f ca="1"/>
        <v>0.9990399254828356</v>
      </c>
      <c r="H18" s="13" t="e">
        <f ca="1"/>
        <v>#VALUE!</v>
      </c>
      <c r="I18" s="13">
        <f ca="1"/>
        <v>0.99899617120232864</v>
      </c>
      <c r="J18" s="13">
        <f ca="1"/>
        <v>0.99665787594873079</v>
      </c>
      <c r="K18" s="13">
        <f ca="1"/>
        <v>0.99665787594873079</v>
      </c>
    </row>
    <row r="19" spans="1:11">
      <c r="A19" s="14">
        <f t="shared" ca="1" si="5"/>
        <v>43666</v>
      </c>
      <c r="B19" s="74">
        <f t="shared" ca="1" si="0"/>
        <v>2.2918736477368085E-2</v>
      </c>
      <c r="C19" s="74" t="e">
        <f t="shared" ca="1" si="1"/>
        <v>#VALUE!</v>
      </c>
      <c r="D19" s="74">
        <f t="shared" ca="1" si="2"/>
        <v>2.3914413717839311E-2</v>
      </c>
      <c r="E19" s="74">
        <f t="shared" ca="1" si="3"/>
        <v>7.6889243737648938E-2</v>
      </c>
      <c r="F19" s="74">
        <f t="shared" ca="1" si="4"/>
        <v>7.6889243737648938E-2</v>
      </c>
      <c r="G19" s="13">
        <f ca="1"/>
        <v>0.99897742740430406</v>
      </c>
      <c r="H19" s="13" t="e">
        <f ca="1"/>
        <v>#VALUE!</v>
      </c>
      <c r="I19" s="13">
        <f ca="1"/>
        <v>0.99893094451695219</v>
      </c>
      <c r="J19" s="13">
        <f ca="1"/>
        <v>0.99644717594307386</v>
      </c>
      <c r="K19" s="13">
        <f ca="1"/>
        <v>0.99644717594307386</v>
      </c>
    </row>
    <row r="20" spans="1:11">
      <c r="A20" s="14">
        <f t="shared" ca="1" si="5"/>
        <v>43667</v>
      </c>
      <c r="B20" s="74">
        <f t="shared" ca="1" si="0"/>
        <v>2.3025651741866993E-2</v>
      </c>
      <c r="C20" s="74" t="e">
        <f t="shared" ca="1" si="1"/>
        <v>#VALUE!</v>
      </c>
      <c r="D20" s="74">
        <f t="shared" ca="1" si="2"/>
        <v>2.4021063880399485E-2</v>
      </c>
      <c r="E20" s="74">
        <f t="shared" ca="1" si="3"/>
        <v>7.687298884777316E-2</v>
      </c>
      <c r="F20" s="74">
        <f t="shared" ca="1" si="4"/>
        <v>7.687298884777316E-2</v>
      </c>
      <c r="G20" s="13">
        <f ca="1"/>
        <v>0.99891463634546196</v>
      </c>
      <c r="H20" s="13" t="e">
        <f ca="1"/>
        <v>#VALUE!</v>
      </c>
      <c r="I20" s="13">
        <f ca="1"/>
        <v>0.99886542557525948</v>
      </c>
      <c r="J20" s="13">
        <f ca="1"/>
        <v>0.99623652048077893</v>
      </c>
      <c r="K20" s="13">
        <f ca="1"/>
        <v>0.99623652048077893</v>
      </c>
    </row>
    <row r="21" spans="1:11">
      <c r="A21" s="14">
        <f t="shared" ca="1" si="5"/>
        <v>43668</v>
      </c>
      <c r="B21" s="74">
        <f t="shared" ca="1" si="0"/>
        <v>2.3132544364101726E-2</v>
      </c>
      <c r="C21" s="74" t="e">
        <f t="shared" ca="1" si="1"/>
        <v>#VALUE!</v>
      </c>
      <c r="D21" s="74">
        <f t="shared" ca="1" si="2"/>
        <v>2.4127690557084747E-2</v>
      </c>
      <c r="E21" s="74">
        <f t="shared" ca="1" si="3"/>
        <v>7.6856737394178642E-2</v>
      </c>
      <c r="F21" s="74">
        <f t="shared" ca="1" si="4"/>
        <v>7.6856737394178642E-2</v>
      </c>
      <c r="G21" s="13">
        <f ca="1"/>
        <v>0.99885155236808698</v>
      </c>
      <c r="H21" s="13" t="e">
        <f ca="1"/>
        <v>#VALUE!</v>
      </c>
      <c r="I21" s="13">
        <f ca="1"/>
        <v>0.99879961444134058</v>
      </c>
      <c r="J21" s="13">
        <f ca="1"/>
        <v>0.99602590955242887</v>
      </c>
      <c r="K21" s="13">
        <f ca="1"/>
        <v>0.99602590955242887</v>
      </c>
    </row>
    <row r="22" spans="1:11">
      <c r="A22" s="14">
        <f t="shared" ca="1" si="5"/>
        <v>43669</v>
      </c>
      <c r="B22" s="74">
        <f t="shared" ca="1" si="0"/>
        <v>2.3239414250747492E-2</v>
      </c>
      <c r="C22" s="74" t="e">
        <f t="shared" ca="1" si="1"/>
        <v>#VALUE!</v>
      </c>
      <c r="D22" s="74">
        <f t="shared" ca="1" si="2"/>
        <v>2.4234293654975536E-2</v>
      </c>
      <c r="E22" s="74">
        <f t="shared" ca="1" si="3"/>
        <v>7.6840489376257537E-2</v>
      </c>
      <c r="F22" s="74">
        <f t="shared" ca="1" si="4"/>
        <v>7.6840489376257537E-2</v>
      </c>
      <c r="G22" s="13">
        <f ca="1"/>
        <v>0.99878817553421273</v>
      </c>
      <c r="H22" s="13" t="e">
        <f ca="1"/>
        <v>#VALUE!</v>
      </c>
      <c r="I22" s="13">
        <f ca="1"/>
        <v>0.99873351117954035</v>
      </c>
      <c r="J22" s="13">
        <f ca="1"/>
        <v>0.9958153431486092</v>
      </c>
      <c r="K22" s="13">
        <f ca="1"/>
        <v>0.9958153431486092</v>
      </c>
    </row>
    <row r="23" spans="1:11">
      <c r="A23" s="14">
        <f t="shared" ca="1" si="5"/>
        <v>43670</v>
      </c>
      <c r="B23" s="74">
        <f t="shared" ca="1" si="0"/>
        <v>2.3346261308398453E-2</v>
      </c>
      <c r="C23" s="74" t="e">
        <f t="shared" ca="1" si="1"/>
        <v>#VALUE!</v>
      </c>
      <c r="D23" s="74">
        <f t="shared" ca="1" si="2"/>
        <v>2.4340873081273862E-2</v>
      </c>
      <c r="E23" s="74">
        <f t="shared" ca="1" si="3"/>
        <v>7.682424479332095E-2</v>
      </c>
      <c r="F23" s="74">
        <f t="shared" ca="1" si="4"/>
        <v>7.682424479332095E-2</v>
      </c>
      <c r="G23" s="13">
        <f ca="1"/>
        <v>0.99872450590612849</v>
      </c>
      <c r="H23" s="13" t="e">
        <f ca="1"/>
        <v>#VALUE!</v>
      </c>
      <c r="I23" s="13">
        <f ca="1"/>
        <v>0.99866711585445822</v>
      </c>
      <c r="J23" s="13">
        <f ca="1"/>
        <v>0.99560482125990712</v>
      </c>
      <c r="K23" s="13">
        <f ca="1"/>
        <v>0.99560482125990712</v>
      </c>
    </row>
    <row r="24" spans="1:11">
      <c r="A24" s="14">
        <f t="shared" ca="1" si="5"/>
        <v>43671</v>
      </c>
      <c r="B24" s="74">
        <f t="shared" ca="1" si="0"/>
        <v>2.3453085443851385E-2</v>
      </c>
      <c r="C24" s="74" t="e">
        <f t="shared" ca="1" si="1"/>
        <v>#VALUE!</v>
      </c>
      <c r="D24" s="74">
        <f t="shared" ca="1" si="2"/>
        <v>2.4447428743181732E-2</v>
      </c>
      <c r="E24" s="74">
        <f t="shared" ca="1" si="3"/>
        <v>7.6808003644598943E-2</v>
      </c>
      <c r="F24" s="74">
        <f t="shared" ca="1" si="4"/>
        <v>7.6808003644598943E-2</v>
      </c>
      <c r="G24" s="13">
        <f ca="1"/>
        <v>0.99866054354637945</v>
      </c>
      <c r="H24" s="13" t="e">
        <f ca="1"/>
        <v>#VALUE!</v>
      </c>
      <c r="I24" s="13">
        <f ca="1"/>
        <v>0.99860042853094788</v>
      </c>
      <c r="J24" s="13">
        <f ca="1"/>
        <v>0.99539434387691172</v>
      </c>
      <c r="K24" s="13">
        <f ca="1"/>
        <v>0.99539434387691172</v>
      </c>
    </row>
    <row r="25" spans="1:11">
      <c r="A25" s="14">
        <f t="shared" ca="1" si="5"/>
        <v>43672</v>
      </c>
      <c r="B25" s="74">
        <f t="shared" ca="1" si="0"/>
        <v>2.3559886563740973E-2</v>
      </c>
      <c r="C25" s="74" t="e">
        <f t="shared" ca="1" si="1"/>
        <v>#VALUE!</v>
      </c>
      <c r="D25" s="74">
        <f t="shared" ca="1" si="2"/>
        <v>2.4553960547901155E-2</v>
      </c>
      <c r="E25" s="74">
        <f t="shared" ca="1" si="3"/>
        <v>7.6791765929321576E-2</v>
      </c>
      <c r="F25" s="74">
        <f t="shared" ca="1" si="4"/>
        <v>7.6791765929321576E-2</v>
      </c>
      <c r="G25" s="13">
        <f ca="1"/>
        <v>0.99859628851776616</v>
      </c>
      <c r="H25" s="13" t="e">
        <f ca="1"/>
        <v>#VALUE!</v>
      </c>
      <c r="I25" s="13">
        <f ca="1"/>
        <v>0.99853344927411725</v>
      </c>
      <c r="J25" s="13">
        <f ca="1"/>
        <v>0.99518391099021419</v>
      </c>
      <c r="K25" s="13">
        <f ca="1"/>
        <v>0.99518391099021419</v>
      </c>
    </row>
    <row r="26" spans="1:11">
      <c r="A26" s="14">
        <f t="shared" ca="1" si="5"/>
        <v>43673</v>
      </c>
      <c r="B26" s="74">
        <f t="shared" ca="1" si="0"/>
        <v>2.3666664574904517E-2</v>
      </c>
      <c r="C26" s="74" t="e">
        <f t="shared" ca="1" si="1"/>
        <v>#VALUE!</v>
      </c>
      <c r="D26" s="74">
        <f t="shared" ca="1" si="2"/>
        <v>2.4660468402674662E-2</v>
      </c>
      <c r="E26" s="74">
        <f t="shared" ca="1" si="3"/>
        <v>7.6775531646799955E-2</v>
      </c>
      <c r="F26" s="74">
        <f t="shared" ca="1" si="4"/>
        <v>7.6775531646799955E-2</v>
      </c>
      <c r="G26" s="13">
        <f ca="1"/>
        <v>0.99853174088334495</v>
      </c>
      <c r="H26" s="13" t="e">
        <f ca="1"/>
        <v>#VALUE!</v>
      </c>
      <c r="I26" s="13">
        <f ca="1"/>
        <v>0.99846617814932848</v>
      </c>
      <c r="J26" s="13">
        <f ca="1"/>
        <v>0.99497352259040783</v>
      </c>
      <c r="K26" s="13">
        <f ca="1"/>
        <v>0.99497352259040783</v>
      </c>
    </row>
    <row r="27" spans="1:11">
      <c r="A27" s="14">
        <f t="shared" ca="1" si="5"/>
        <v>43674</v>
      </c>
      <c r="B27" s="74">
        <f t="shared" ca="1" si="0"/>
        <v>2.3773419384179317E-2</v>
      </c>
      <c r="C27" s="74" t="e">
        <f t="shared" ca="1" si="1"/>
        <v>#VALUE!</v>
      </c>
      <c r="D27" s="74">
        <f t="shared" ca="1" si="2"/>
        <v>2.4766952214906879E-2</v>
      </c>
      <c r="E27" s="74">
        <f t="shared" ca="1" si="3"/>
        <v>7.6759300796345187E-2</v>
      </c>
      <c r="F27" s="74">
        <f t="shared" ca="1" si="4"/>
        <v>7.6759300796345187E-2</v>
      </c>
      <c r="G27" s="13">
        <f ca="1"/>
        <v>0.99846690070642741</v>
      </c>
      <c r="H27" s="13" t="e">
        <f ca="1"/>
        <v>#VALUE!</v>
      </c>
      <c r="I27" s="13">
        <f ca="1"/>
        <v>0.99839861522219786</v>
      </c>
      <c r="J27" s="13">
        <f ca="1"/>
        <v>0.99476317866808783</v>
      </c>
      <c r="K27" s="13">
        <f ca="1"/>
        <v>0.99476317866808783</v>
      </c>
    </row>
    <row r="28" spans="1:11">
      <c r="A28" s="14">
        <f t="shared" ca="1" si="5"/>
        <v>43675</v>
      </c>
      <c r="B28" s="74">
        <f t="shared" ca="1" si="0"/>
        <v>2.3880150898362151E-2</v>
      </c>
      <c r="C28" s="74" t="e">
        <f t="shared" ca="1" si="1"/>
        <v>#VALUE!</v>
      </c>
      <c r="D28" s="74">
        <f t="shared" ca="1" si="2"/>
        <v>2.4873411891840336E-2</v>
      </c>
      <c r="E28" s="74">
        <f t="shared" ca="1" si="3"/>
        <v>7.6743073377187332E-2</v>
      </c>
      <c r="F28" s="74">
        <f t="shared" ca="1" si="4"/>
        <v>7.6743073377187332E-2</v>
      </c>
      <c r="G28" s="13">
        <f ca="1"/>
        <v>0.99840176805058034</v>
      </c>
      <c r="H28" s="13" t="e">
        <f ca="1"/>
        <v>#VALUE!</v>
      </c>
      <c r="I28" s="13">
        <f ca="1"/>
        <v>0.99833076055859538</v>
      </c>
      <c r="J28" s="13">
        <f ca="1"/>
        <v>0.99455287921385127</v>
      </c>
      <c r="K28" s="13">
        <f ca="1"/>
        <v>0.99455287921385127</v>
      </c>
    </row>
    <row r="29" spans="1:11">
      <c r="A29" s="14">
        <f t="shared" ca="1" si="5"/>
        <v>43676</v>
      </c>
      <c r="B29" s="74">
        <f t="shared" ca="1" si="0"/>
        <v>2.3986859024411888E-2</v>
      </c>
      <c r="C29" s="74" t="e">
        <f t="shared" ca="1" si="1"/>
        <v>#VALUE!</v>
      </c>
      <c r="D29" s="74">
        <f t="shared" ca="1" si="2"/>
        <v>2.4979847340879657E-2</v>
      </c>
      <c r="E29" s="74">
        <f t="shared" ca="1" si="3"/>
        <v>7.6726849388637497E-2</v>
      </c>
      <c r="F29" s="74">
        <f t="shared" ca="1" si="4"/>
        <v>7.6726849388637497E-2</v>
      </c>
      <c r="G29" s="13">
        <f ca="1"/>
        <v>0.99833634297962592</v>
      </c>
      <c r="H29" s="13" t="e">
        <f ca="1"/>
        <v>#VALUE!</v>
      </c>
      <c r="I29" s="13">
        <f ca="1"/>
        <v>0.99826261422464513</v>
      </c>
      <c r="J29" s="13">
        <f ca="1"/>
        <v>0.99434262421829733</v>
      </c>
      <c r="K29" s="13">
        <f ca="1"/>
        <v>0.99434262421829733</v>
      </c>
    </row>
    <row r="30" spans="1:11">
      <c r="A30" s="14">
        <f t="shared" ca="1" si="5"/>
        <v>43677</v>
      </c>
      <c r="B30" s="74">
        <f t="shared" ca="1" si="0"/>
        <v>2.4093543669125306E-2</v>
      </c>
      <c r="C30" s="74" t="e">
        <f t="shared" ca="1" si="1"/>
        <v>#VALUE!</v>
      </c>
      <c r="D30" s="74">
        <f t="shared" ca="1" si="2"/>
        <v>2.5086258469510514E-2</v>
      </c>
      <c r="E30" s="74">
        <f t="shared" ca="1" si="3"/>
        <v>7.6710628829885219E-2</v>
      </c>
      <c r="F30" s="74">
        <f t="shared" ca="1" si="4"/>
        <v>7.6710628829885219E-2</v>
      </c>
      <c r="G30" s="13">
        <f ca="1"/>
        <v>0.99827062555764123</v>
      </c>
      <c r="H30" s="13" t="e">
        <f ca="1"/>
        <v>#VALUE!</v>
      </c>
      <c r="I30" s="13">
        <f ca="1"/>
        <v>0.99819417628672491</v>
      </c>
      <c r="J30" s="13">
        <f ca="1"/>
        <v>0.99413241367202709</v>
      </c>
      <c r="K30" s="13">
        <f ca="1"/>
        <v>0.99413241367202709</v>
      </c>
    </row>
    <row r="31" spans="1:11">
      <c r="A31" s="14">
        <f t="shared" ca="1" si="5"/>
        <v>43678</v>
      </c>
      <c r="B31" s="74">
        <f t="shared" ca="1" si="0"/>
        <v>2.4200204739582842E-2</v>
      </c>
      <c r="C31" s="74" t="e">
        <f t="shared" ca="1" si="1"/>
        <v>#VALUE!</v>
      </c>
      <c r="D31" s="74">
        <f t="shared" ca="1" si="2"/>
        <v>2.519264518513753E-2</v>
      </c>
      <c r="E31" s="74">
        <f t="shared" ca="1" si="3"/>
        <v>7.6694411700282128E-2</v>
      </c>
      <c r="F31" s="74">
        <f t="shared" ca="1" si="4"/>
        <v>7.6694411700282128E-2</v>
      </c>
      <c r="G31" s="13">
        <f ca="1"/>
        <v>0.9982046158489587</v>
      </c>
      <c r="H31" s="13" t="e">
        <f ca="1"/>
        <v>#VALUE!</v>
      </c>
      <c r="I31" s="13">
        <f ca="1"/>
        <v>0.99812544681146598</v>
      </c>
      <c r="J31" s="13">
        <f ca="1"/>
        <v>0.99392224756564385</v>
      </c>
      <c r="K31" s="13">
        <f ca="1"/>
        <v>0.99392224756564385</v>
      </c>
    </row>
    <row r="32" spans="1:11">
      <c r="A32" s="14">
        <f t="shared" ca="1" si="5"/>
        <v>43679</v>
      </c>
      <c r="B32" s="74">
        <f t="shared" ca="1" si="0"/>
        <v>2.4306842142783891E-2</v>
      </c>
      <c r="C32" s="74" t="e">
        <f t="shared" ca="1" si="1"/>
        <v>#VALUE!</v>
      </c>
      <c r="D32" s="74">
        <f t="shared" ca="1" si="2"/>
        <v>2.5299007395286899E-2</v>
      </c>
      <c r="E32" s="74">
        <f t="shared" ca="1" si="3"/>
        <v>7.667819799913933E-2</v>
      </c>
      <c r="F32" s="74">
        <f t="shared" ca="1" si="4"/>
        <v>7.667819799913933E-2</v>
      </c>
      <c r="G32" s="13">
        <f ca="1"/>
        <v>0.99813831391816532</v>
      </c>
      <c r="H32" s="13" t="e">
        <f ca="1"/>
        <v>#VALUE!</v>
      </c>
      <c r="I32" s="13">
        <f ca="1"/>
        <v>0.99805642586575327</v>
      </c>
      <c r="J32" s="13">
        <f ca="1"/>
        <v>0.99371212588975266</v>
      </c>
      <c r="K32" s="13">
        <f ca="1"/>
        <v>0.99371212588975266</v>
      </c>
    </row>
    <row r="33" spans="1:11">
      <c r="A33" s="14">
        <f t="shared" ca="1" si="5"/>
        <v>43680</v>
      </c>
      <c r="B33" s="74">
        <f t="shared" ca="1" si="0"/>
        <v>2.4413455785727844E-2</v>
      </c>
      <c r="C33" s="74" t="e">
        <f t="shared" ca="1" si="1"/>
        <v>#VALUE!</v>
      </c>
      <c r="D33" s="74">
        <f t="shared" ca="1" si="2"/>
        <v>2.5405345007484814E-2</v>
      </c>
      <c r="E33" s="74">
        <f t="shared" ca="1" si="3"/>
        <v>7.6661987725646363E-2</v>
      </c>
      <c r="F33" s="74">
        <f t="shared" ca="1" si="4"/>
        <v>7.6661987725646363E-2</v>
      </c>
      <c r="G33" s="13">
        <f ca="1"/>
        <v>0.9980717198301029</v>
      </c>
      <c r="H33" s="13" t="e">
        <f ca="1"/>
        <v>#VALUE!</v>
      </c>
      <c r="I33" s="13">
        <f ca="1"/>
        <v>0.99798711351672509</v>
      </c>
      <c r="J33" s="13">
        <f ca="1"/>
        <v>0.9935020486349605</v>
      </c>
      <c r="K33" s="13">
        <f ca="1"/>
        <v>0.9935020486349605</v>
      </c>
    </row>
    <row r="34" spans="1:11">
      <c r="A34" s="14">
        <f t="shared" ca="1" si="5"/>
        <v>43681</v>
      </c>
      <c r="B34" s="74">
        <f t="shared" ca="1" si="0"/>
        <v>2.4520045575535665E-2</v>
      </c>
      <c r="C34" s="74" t="e">
        <f t="shared" ca="1" si="1"/>
        <v>#VALUE!</v>
      </c>
      <c r="D34" s="74">
        <f t="shared" ca="1" si="2"/>
        <v>2.5511657929297993E-2</v>
      </c>
      <c r="E34" s="74">
        <f t="shared" ca="1" si="3"/>
        <v>7.664578087907381E-2</v>
      </c>
      <c r="F34" s="74">
        <f t="shared" ca="1" si="4"/>
        <v>7.664578087907381E-2</v>
      </c>
      <c r="G34" s="13">
        <f ca="1"/>
        <v>0.99800483364986803</v>
      </c>
      <c r="H34" s="13" t="e">
        <f ca="1"/>
        <v>#VALUE!</v>
      </c>
      <c r="I34" s="13">
        <f ca="1"/>
        <v>0.99791750983177308</v>
      </c>
      <c r="J34" s="13">
        <f ca="1"/>
        <v>0.99329201579187654</v>
      </c>
      <c r="K34" s="13">
        <f ca="1"/>
        <v>0.99329201579187654</v>
      </c>
    </row>
    <row r="35" spans="1:11">
      <c r="A35" s="14">
        <f t="shared" ca="1" si="5"/>
        <v>43682</v>
      </c>
      <c r="B35" s="74">
        <f t="shared" ca="1" si="0"/>
        <v>2.4626611419206745E-2</v>
      </c>
      <c r="C35" s="74" t="e">
        <f t="shared" ca="1" si="1"/>
        <v>#VALUE!</v>
      </c>
      <c r="D35" s="74">
        <f t="shared" ca="1" si="2"/>
        <v>2.5617946068414721E-2</v>
      </c>
      <c r="E35" s="74">
        <f t="shared" ca="1" si="3"/>
        <v>7.5068679545982064E-2</v>
      </c>
      <c r="F35" s="74">
        <f t="shared" ca="1" si="4"/>
        <v>7.5068679545982064E-2</v>
      </c>
      <c r="G35" s="13">
        <f ca="1"/>
        <v>0.99793765544281177</v>
      </c>
      <c r="H35" s="13" t="e">
        <f ca="1"/>
        <v>#VALUE!</v>
      </c>
      <c r="I35" s="13">
        <f ca="1"/>
        <v>0.99784761487854212</v>
      </c>
      <c r="J35" s="13">
        <f ca="1"/>
        <v>0.99308202735111195</v>
      </c>
      <c r="K35" s="13">
        <f ca="1"/>
        <v>0.99308202735111195</v>
      </c>
    </row>
    <row r="36" spans="1:11">
      <c r="A36" s="14">
        <f t="shared" ca="1" si="5"/>
        <v>43683</v>
      </c>
      <c r="B36" s="74">
        <f t="shared" ca="1" si="0"/>
        <v>2.4043397733123917E-2</v>
      </c>
      <c r="C36" s="74" t="e">
        <f t="shared" ca="1" si="1"/>
        <v>#VALUE!</v>
      </c>
      <c r="D36" s="74">
        <f t="shared" ca="1" si="2"/>
        <v>2.5034385260341296E-2</v>
      </c>
      <c r="E36" s="74">
        <f t="shared" ca="1" si="3"/>
        <v>7.5053132797701094E-2</v>
      </c>
      <c r="F36" s="74">
        <f t="shared" ca="1" si="4"/>
        <v>7.5053132797701094E-2</v>
      </c>
      <c r="G36" s="13">
        <f ca="1"/>
        <v>0.99787018527453997</v>
      </c>
      <c r="H36" s="13" t="e">
        <f ca="1"/>
        <v>#VALUE!</v>
      </c>
      <c r="I36" s="13">
        <f ca="1"/>
        <v>0.99777742872493003</v>
      </c>
      <c r="J36" s="13">
        <f ca="1"/>
        <v>0.99287635973591748</v>
      </c>
      <c r="K36" s="13">
        <f ca="1"/>
        <v>0.99287635973591748</v>
      </c>
    </row>
    <row r="37" spans="1:11">
      <c r="A37" s="14">
        <f t="shared" ca="1" si="5"/>
        <v>43684</v>
      </c>
      <c r="B37" s="74">
        <f t="shared" ca="1" si="0"/>
        <v>2.4110611896885348E-2</v>
      </c>
      <c r="C37" s="74" t="e">
        <f t="shared" ca="1" si="1"/>
        <v>#VALUE!</v>
      </c>
      <c r="D37" s="74">
        <f t="shared" ca="1" si="2"/>
        <v>2.5101319985522674E-2</v>
      </c>
      <c r="E37" s="74">
        <f t="shared" ca="1" si="3"/>
        <v>7.5037589269145721E-2</v>
      </c>
      <c r="F37" s="74">
        <f t="shared" ca="1" si="4"/>
        <v>7.5037589269145721E-2</v>
      </c>
      <c r="G37" s="13">
        <f ca="1"/>
        <v>0.99780431295198346</v>
      </c>
      <c r="H37" s="13" t="e">
        <f ca="1"/>
        <v>#VALUE!</v>
      </c>
      <c r="I37" s="13">
        <f ca="1"/>
        <v>0.99770884136805238</v>
      </c>
      <c r="J37" s="13">
        <f ca="1"/>
        <v>0.99267073471455392</v>
      </c>
      <c r="K37" s="13">
        <f ca="1"/>
        <v>0.99267073471455392</v>
      </c>
    </row>
    <row r="38" spans="1:11">
      <c r="A38" s="14">
        <f t="shared" ca="1" si="5"/>
        <v>43685</v>
      </c>
      <c r="B38" s="74">
        <f t="shared" ca="1" si="0"/>
        <v>2.4177811611472699E-2</v>
      </c>
      <c r="C38" s="74" t="e">
        <f t="shared" ca="1" si="1"/>
        <v>#VALUE!</v>
      </c>
      <c r="D38" s="74">
        <f t="shared" ca="1" si="2"/>
        <v>2.5168239745954057E-2</v>
      </c>
      <c r="E38" s="74">
        <f t="shared" ca="1" si="3"/>
        <v>7.5022048959708099E-2</v>
      </c>
      <c r="F38" s="74">
        <f t="shared" ca="1" si="4"/>
        <v>7.5022048959708099E-2</v>
      </c>
      <c r="G38" s="13">
        <f ca="1"/>
        <v>0.99773825648103309</v>
      </c>
      <c r="H38" s="13" t="e">
        <f ca="1"/>
        <v>#VALUE!</v>
      </c>
      <c r="I38" s="13">
        <f ca="1"/>
        <v>0.99764007062836602</v>
      </c>
      <c r="J38" s="13">
        <f ca="1"/>
        <v>0.99246515227820009</v>
      </c>
      <c r="K38" s="13">
        <f ca="1"/>
        <v>0.99246515227820009</v>
      </c>
    </row>
    <row r="39" spans="1:11">
      <c r="A39" s="14">
        <f t="shared" ca="1" si="5"/>
        <v>43686</v>
      </c>
      <c r="B39" s="74">
        <f t="shared" ca="1" si="0"/>
        <v>2.424499684009096E-2</v>
      </c>
      <c r="C39" s="74" t="e">
        <f t="shared" ca="1" si="1"/>
        <v>#VALUE!</v>
      </c>
      <c r="D39" s="74">
        <f t="shared" ca="1" si="2"/>
        <v>2.5235144505205143E-2</v>
      </c>
      <c r="E39" s="74">
        <f t="shared" ca="1" si="3"/>
        <v>7.5006511868618286E-2</v>
      </c>
      <c r="F39" s="74">
        <f t="shared" ca="1" si="4"/>
        <v>7.5006511868618286E-2</v>
      </c>
      <c r="G39" s="13">
        <f ca="1"/>
        <v>0.99767201590127563</v>
      </c>
      <c r="H39" s="13" t="e">
        <f ca="1"/>
        <v>#VALUE!</v>
      </c>
      <c r="I39" s="13">
        <f ca="1"/>
        <v>0.99757111654687025</v>
      </c>
      <c r="J39" s="13">
        <f ca="1"/>
        <v>0.99225961241803651</v>
      </c>
      <c r="K39" s="13">
        <f ca="1"/>
        <v>0.99225961241803651</v>
      </c>
    </row>
    <row r="40" spans="1:11">
      <c r="A40" s="14">
        <f t="shared" ca="1" si="5"/>
        <v>43687</v>
      </c>
      <c r="B40" s="74">
        <f t="shared" ca="1" si="0"/>
        <v>2.4312167545661456E-2</v>
      </c>
      <c r="C40" s="74" t="e">
        <f t="shared" ca="1" si="1"/>
        <v>#VALUE!</v>
      </c>
      <c r="D40" s="74">
        <f t="shared" ca="1" si="2"/>
        <v>2.5302034226643011E-2</v>
      </c>
      <c r="E40" s="74">
        <f t="shared" ca="1" si="3"/>
        <v>7.4990977995308961E-2</v>
      </c>
      <c r="F40" s="74">
        <f t="shared" ca="1" si="4"/>
        <v>7.4990977995308961E-2</v>
      </c>
      <c r="G40" s="13">
        <f ca="1"/>
        <v>0.99760559125239867</v>
      </c>
      <c r="H40" s="13" t="e">
        <f ca="1"/>
        <v>#VALUE!</v>
      </c>
      <c r="I40" s="13">
        <f ca="1"/>
        <v>0.99750197916466421</v>
      </c>
      <c r="J40" s="13">
        <f ca="1"/>
        <v>0.99205411512524577</v>
      </c>
      <c r="K40" s="13">
        <f ca="1"/>
        <v>0.99205411512524577</v>
      </c>
    </row>
    <row r="41" spans="1:11">
      <c r="A41" s="14">
        <f t="shared" ca="1" si="5"/>
        <v>43688</v>
      </c>
      <c r="B41" s="74">
        <f t="shared" ca="1" si="0"/>
        <v>2.4379323691348653E-2</v>
      </c>
      <c r="C41" s="74" t="e">
        <f t="shared" ca="1" si="1"/>
        <v>#VALUE!</v>
      </c>
      <c r="D41" s="74">
        <f t="shared" ca="1" si="2"/>
        <v>2.5368908873634743E-2</v>
      </c>
      <c r="E41" s="74">
        <f t="shared" ca="1" si="3"/>
        <v>7.4975447339010182E-2</v>
      </c>
      <c r="F41" s="74">
        <f t="shared" ca="1" si="4"/>
        <v>7.4975447339010182E-2</v>
      </c>
      <c r="G41" s="13">
        <f ca="1"/>
        <v>0.99753898257419138</v>
      </c>
      <c r="H41" s="13" t="e">
        <f ca="1"/>
        <v>#VALUE!</v>
      </c>
      <c r="I41" s="13">
        <f ca="1"/>
        <v>0.99743265852294738</v>
      </c>
      <c r="J41" s="13">
        <f ca="1"/>
        <v>0.99184866039101205</v>
      </c>
      <c r="K41" s="13">
        <f ca="1"/>
        <v>0.99184866039101205</v>
      </c>
    </row>
    <row r="42" spans="1:11">
      <c r="A42" s="14">
        <f t="shared" ca="1" si="5"/>
        <v>43689</v>
      </c>
      <c r="B42" s="74">
        <f t="shared" ca="1" si="0"/>
        <v>2.4446465240276494E-2</v>
      </c>
      <c r="C42" s="74" t="e">
        <f t="shared" ca="1" si="1"/>
        <v>#VALUE!</v>
      </c>
      <c r="D42" s="74">
        <f t="shared" ca="1" si="2"/>
        <v>2.5435768409628468E-2</v>
      </c>
      <c r="E42" s="74">
        <f t="shared" ca="1" si="3"/>
        <v>7.4959919899195149E-2</v>
      </c>
      <c r="F42" s="74">
        <f t="shared" ca="1" si="4"/>
        <v>7.4959919899195149E-2</v>
      </c>
      <c r="G42" s="13">
        <f ca="1"/>
        <v>0.99747218990654385</v>
      </c>
      <c r="H42" s="13" t="e">
        <f ca="1"/>
        <v>#VALUE!</v>
      </c>
      <c r="I42" s="13">
        <f ca="1"/>
        <v>0.99736315466301961</v>
      </c>
      <c r="J42" s="13">
        <f ca="1"/>
        <v>0.99164324820652161</v>
      </c>
      <c r="K42" s="13">
        <f ca="1"/>
        <v>0.99164324820652161</v>
      </c>
    </row>
    <row r="43" spans="1:11">
      <c r="A43" s="14">
        <f t="shared" ca="1" si="5"/>
        <v>43690</v>
      </c>
      <c r="B43" s="74">
        <f t="shared" ca="1" si="0"/>
        <v>2.451359215556892E-2</v>
      </c>
      <c r="C43" s="74" t="e">
        <f t="shared" ca="1" si="1"/>
        <v>#VALUE!</v>
      </c>
      <c r="D43" s="74">
        <f t="shared" ca="1" si="2"/>
        <v>2.5502612798031787E-2</v>
      </c>
      <c r="E43" s="74">
        <f t="shared" ca="1" si="3"/>
        <v>7.4944395675053399E-2</v>
      </c>
      <c r="F43" s="74">
        <f t="shared" ca="1" si="4"/>
        <v>7.4944395675053399E-2</v>
      </c>
      <c r="G43" s="13">
        <f ca="1"/>
        <v>0.9974052132894472</v>
      </c>
      <c r="H43" s="13" t="e">
        <f ca="1"/>
        <v>#VALUE!</v>
      </c>
      <c r="I43" s="13">
        <f ca="1"/>
        <v>0.99729346762628091</v>
      </c>
      <c r="J43" s="13">
        <f ca="1"/>
        <v>0.99143787856296217</v>
      </c>
      <c r="K43" s="13">
        <f ca="1"/>
        <v>0.99143787856296217</v>
      </c>
    </row>
    <row r="44" spans="1:11">
      <c r="A44" s="14">
        <f t="shared" ca="1" si="5"/>
        <v>43691</v>
      </c>
      <c r="B44" s="74">
        <f t="shared" ca="1" si="0"/>
        <v>2.4580704400390396E-2</v>
      </c>
      <c r="C44" s="74" t="e">
        <f t="shared" ca="1" si="1"/>
        <v>#VALUE!</v>
      </c>
      <c r="D44" s="74">
        <f t="shared" ca="1" si="2"/>
        <v>2.55694420024144E-2</v>
      </c>
      <c r="E44" s="74">
        <f t="shared" ca="1" si="3"/>
        <v>7.4928874666017609E-2</v>
      </c>
      <c r="F44" s="74">
        <f t="shared" ca="1" si="4"/>
        <v>7.4928874666017609E-2</v>
      </c>
      <c r="G44" s="13">
        <f ca="1"/>
        <v>0.99733805276299359</v>
      </c>
      <c r="H44" s="13" t="e">
        <f ca="1"/>
        <v>#VALUE!</v>
      </c>
      <c r="I44" s="13">
        <f ca="1"/>
        <v>0.9972235974542315</v>
      </c>
      <c r="J44" s="13">
        <f ca="1"/>
        <v>0.99123255145152367</v>
      </c>
      <c r="K44" s="13">
        <f ca="1"/>
        <v>0.99123255145152367</v>
      </c>
    </row>
    <row r="45" spans="1:11">
      <c r="A45" s="14">
        <f t="shared" ca="1" si="5"/>
        <v>43692</v>
      </c>
      <c r="B45" s="74">
        <f t="shared" ca="1" si="0"/>
        <v>2.4647801937824343E-2</v>
      </c>
      <c r="C45" s="74" t="e">
        <f t="shared" ca="1" si="1"/>
        <v>#VALUE!</v>
      </c>
      <c r="D45" s="74">
        <f t="shared" ca="1" si="2"/>
        <v>2.5636255986183909E-2</v>
      </c>
      <c r="E45" s="74">
        <f t="shared" ca="1" si="3"/>
        <v>7.4913356871358361E-2</v>
      </c>
      <c r="F45" s="74">
        <f t="shared" ca="1" si="4"/>
        <v>7.4913356871358361E-2</v>
      </c>
      <c r="G45" s="13">
        <f ca="1"/>
        <v>0.99727070836737608</v>
      </c>
      <c r="H45" s="13" t="e">
        <f ca="1"/>
        <v>#VALUE!</v>
      </c>
      <c r="I45" s="13">
        <f ca="1"/>
        <v>0.99715354418847146</v>
      </c>
      <c r="J45" s="13">
        <f ca="1"/>
        <v>0.99102726686339759</v>
      </c>
      <c r="K45" s="13">
        <f ca="1"/>
        <v>0.99102726686339759</v>
      </c>
    </row>
    <row r="46" spans="1:11">
      <c r="A46" s="14">
        <f t="shared" ca="1" si="5"/>
        <v>43693</v>
      </c>
      <c r="B46" s="74">
        <f t="shared" ca="1" si="0"/>
        <v>2.4714884731075748E-2</v>
      </c>
      <c r="C46" s="74" t="e">
        <f t="shared" ca="1" si="1"/>
        <v>#VALUE!</v>
      </c>
      <c r="D46" s="74">
        <f t="shared" ca="1" si="2"/>
        <v>2.5703054712828965E-2</v>
      </c>
      <c r="E46" s="74">
        <f t="shared" ca="1" si="3"/>
        <v>7.4897842290467809E-2</v>
      </c>
      <c r="F46" s="74">
        <f t="shared" ca="1" si="4"/>
        <v>7.4897842290467809E-2</v>
      </c>
      <c r="G46" s="13">
        <f ca="1"/>
        <v>0.99720318014288889</v>
      </c>
      <c r="H46" s="13" t="e">
        <f ca="1"/>
        <v>#VALUE!</v>
      </c>
      <c r="I46" s="13">
        <f ca="1"/>
        <v>0.9970833078707011</v>
      </c>
      <c r="J46" s="13">
        <f ca="1"/>
        <v>0.99082202478977743</v>
      </c>
      <c r="K46" s="13">
        <f ca="1"/>
        <v>0.99082202478977743</v>
      </c>
    </row>
    <row r="47" spans="1:11">
      <c r="A47" s="14">
        <f t="shared" ca="1" si="5"/>
        <v>43694</v>
      </c>
      <c r="B47" s="74">
        <f t="shared" ca="1" si="0"/>
        <v>2.4781952743430646E-2</v>
      </c>
      <c r="C47" s="74" t="e">
        <f t="shared" ca="1" si="1"/>
        <v>#VALUE!</v>
      </c>
      <c r="D47" s="74">
        <f t="shared" ca="1" si="2"/>
        <v>2.5769838145797697E-2</v>
      </c>
      <c r="E47" s="74">
        <f t="shared" ca="1" si="3"/>
        <v>7.4882330922657059E-2</v>
      </c>
      <c r="F47" s="74">
        <f t="shared" ca="1" si="4"/>
        <v>7.4882330922657059E-2</v>
      </c>
      <c r="G47" s="13">
        <f ca="1"/>
        <v>0.99713546812992704</v>
      </c>
      <c r="H47" s="13" t="e">
        <f ca="1"/>
        <v>#VALUE!</v>
      </c>
      <c r="I47" s="13">
        <f ca="1"/>
        <v>0.99701288854272074</v>
      </c>
      <c r="J47" s="13">
        <f ca="1"/>
        <v>0.99061682522185834</v>
      </c>
      <c r="K47" s="13">
        <f ca="1"/>
        <v>0.99061682522185834</v>
      </c>
    </row>
    <row r="48" spans="1:11">
      <c r="A48" s="14">
        <f t="shared" ca="1" si="5"/>
        <v>43695</v>
      </c>
      <c r="B48" s="74">
        <f t="shared" ca="1" si="0"/>
        <v>2.4849005937891411E-2</v>
      </c>
      <c r="C48" s="74" t="e">
        <f t="shared" ca="1" si="1"/>
        <v>#VALUE!</v>
      </c>
      <c r="D48" s="74">
        <f t="shared" ca="1" si="2"/>
        <v>2.5836606248821892E-2</v>
      </c>
      <c r="E48" s="74">
        <f t="shared" ca="1" si="3"/>
        <v>7.4866822767237218E-2</v>
      </c>
      <c r="F48" s="74">
        <f t="shared" ca="1" si="4"/>
        <v>7.4866822767237218E-2</v>
      </c>
      <c r="G48" s="13">
        <f ca="1"/>
        <v>0.99706757236898613</v>
      </c>
      <c r="H48" s="13" t="e">
        <f ca="1"/>
        <v>#VALUE!</v>
      </c>
      <c r="I48" s="13">
        <f ca="1"/>
        <v>0.99694228624643089</v>
      </c>
      <c r="J48" s="13">
        <f ca="1"/>
        <v>0.99041166815083737</v>
      </c>
      <c r="K48" s="13">
        <f ca="1"/>
        <v>0.99041166815083737</v>
      </c>
    </row>
    <row r="49" spans="1:11">
      <c r="A49" s="14">
        <f t="shared" ca="1" si="5"/>
        <v>43696</v>
      </c>
      <c r="B49" s="74">
        <f t="shared" ca="1" si="0"/>
        <v>2.4916044277865645E-2</v>
      </c>
      <c r="C49" s="74" t="e">
        <f t="shared" ca="1" si="1"/>
        <v>#VALUE!</v>
      </c>
      <c r="D49" s="74">
        <f t="shared" ca="1" si="2"/>
        <v>2.5903358985147062E-2</v>
      </c>
      <c r="E49" s="74">
        <f t="shared" ca="1" si="3"/>
        <v>7.4851317823559915E-2</v>
      </c>
      <c r="F49" s="74">
        <f t="shared" ca="1" si="4"/>
        <v>7.4851317823559915E-2</v>
      </c>
      <c r="G49" s="13">
        <f ca="1"/>
        <v>0.99699949290066314</v>
      </c>
      <c r="H49" s="13" t="e">
        <f ca="1"/>
        <v>#VALUE!</v>
      </c>
      <c r="I49" s="13">
        <f ca="1"/>
        <v>0.99687150102383137</v>
      </c>
      <c r="J49" s="13">
        <f ca="1"/>
        <v>0.99020655356791343</v>
      </c>
      <c r="K49" s="13">
        <f ca="1"/>
        <v>0.99020655356791343</v>
      </c>
    </row>
    <row r="50" spans="1:11">
      <c r="A50" s="14">
        <f t="shared" ca="1" si="5"/>
        <v>43697</v>
      </c>
      <c r="B50" s="74">
        <f t="shared" ca="1" si="0"/>
        <v>2.498306772643677E-2</v>
      </c>
      <c r="C50" s="74" t="e">
        <f t="shared" ca="1" si="1"/>
        <v>#VALUE!</v>
      </c>
      <c r="D50" s="74">
        <f t="shared" ca="1" si="2"/>
        <v>2.5970096318504998E-2</v>
      </c>
      <c r="E50" s="74">
        <f t="shared" ca="1" si="3"/>
        <v>7.4835816090936258E-2</v>
      </c>
      <c r="F50" s="74">
        <f t="shared" ca="1" si="4"/>
        <v>7.4835816090936258E-2</v>
      </c>
      <c r="G50" s="13">
        <f ca="1"/>
        <v>0.99693122976565529</v>
      </c>
      <c r="H50" s="13" t="e">
        <f ca="1"/>
        <v>#VALUE!</v>
      </c>
      <c r="I50" s="13">
        <f ca="1"/>
        <v>0.99680053291702275</v>
      </c>
      <c r="J50" s="13">
        <f ca="1"/>
        <v>0.99000148146428724</v>
      </c>
      <c r="K50" s="13">
        <f ca="1"/>
        <v>0.99000148146428724</v>
      </c>
    </row>
    <row r="51" spans="1:11">
      <c r="A51" s="14">
        <f t="shared" ca="1" si="5"/>
        <v>43698</v>
      </c>
      <c r="B51" s="74">
        <f t="shared" ca="1" si="0"/>
        <v>2.5050076247012387E-2</v>
      </c>
      <c r="C51" s="74" t="e">
        <f t="shared" ca="1" si="1"/>
        <v>#VALUE!</v>
      </c>
      <c r="D51" s="74">
        <f t="shared" ca="1" si="2"/>
        <v>2.6036818212505919E-2</v>
      </c>
      <c r="E51" s="74">
        <f t="shared" ca="1" si="3"/>
        <v>7.4820317568798922E-2</v>
      </c>
      <c r="F51" s="74">
        <f t="shared" ca="1" si="4"/>
        <v>7.4820317568798922E-2</v>
      </c>
      <c r="G51" s="13">
        <f ca="1"/>
        <v>0.99686278300476094</v>
      </c>
      <c r="H51" s="13" t="e">
        <f ca="1"/>
        <v>#VALUE!</v>
      </c>
      <c r="I51" s="13">
        <f ca="1"/>
        <v>0.99672938196820493</v>
      </c>
      <c r="J51" s="13">
        <f ca="1"/>
        <v>0.98979645183116138</v>
      </c>
      <c r="K51" s="13">
        <f ca="1"/>
        <v>0.98979645183116138</v>
      </c>
    </row>
    <row r="52" spans="1:11">
      <c r="A52" s="14">
        <f t="shared" ca="1" si="5"/>
        <v>43699</v>
      </c>
      <c r="B52" s="74">
        <f t="shared" ca="1" si="0"/>
        <v>2.5117069802675918E-2</v>
      </c>
      <c r="C52" s="74" t="e">
        <f t="shared" ca="1" si="1"/>
        <v>#VALUE!</v>
      </c>
      <c r="D52" s="74">
        <f t="shared" ca="1" si="2"/>
        <v>2.6103524630597952E-2</v>
      </c>
      <c r="E52" s="74">
        <f t="shared" ca="1" si="3"/>
        <v>7.4804822256337444E-2</v>
      </c>
      <c r="F52" s="74">
        <f t="shared" ca="1" si="4"/>
        <v>7.4804822256337444E-2</v>
      </c>
      <c r="G52" s="13">
        <f ca="1"/>
        <v>0.99679415265887872</v>
      </c>
      <c r="H52" s="13" t="e">
        <f ca="1"/>
        <v>#VALUE!</v>
      </c>
      <c r="I52" s="13">
        <f ca="1"/>
        <v>0.99665804821967752</v>
      </c>
      <c r="J52" s="13">
        <f ca="1"/>
        <v>0.98959146465974002</v>
      </c>
      <c r="K52" s="13">
        <f ca="1"/>
        <v>0.98959146465974002</v>
      </c>
    </row>
    <row r="53" spans="1:11">
      <c r="A53" s="14">
        <f t="shared" ca="1" si="5"/>
        <v>43700</v>
      </c>
      <c r="B53" s="74">
        <f t="shared" ca="1" si="0"/>
        <v>2.5184048356753919E-2</v>
      </c>
      <c r="C53" s="74" t="e">
        <f t="shared" ca="1" si="1"/>
        <v>#VALUE!</v>
      </c>
      <c r="D53" s="74">
        <f t="shared" ca="1" si="2"/>
        <v>2.6170215536391317E-2</v>
      </c>
      <c r="E53" s="74">
        <f t="shared" ca="1" si="3"/>
        <v>7.4789330153025024E-2</v>
      </c>
      <c r="F53" s="74">
        <f t="shared" ca="1" si="4"/>
        <v>7.4789330153025024E-2</v>
      </c>
      <c r="G53" s="13">
        <f ca="1"/>
        <v>0.99672533876900837</v>
      </c>
      <c r="H53" s="13" t="e">
        <f ca="1"/>
        <v>#VALUE!</v>
      </c>
      <c r="I53" s="13">
        <f ca="1"/>
        <v>0.99658653171384026</v>
      </c>
      <c r="J53" s="13">
        <f ca="1"/>
        <v>0.9893865199412295</v>
      </c>
      <c r="K53" s="13">
        <f ca="1"/>
        <v>0.9893865199412295</v>
      </c>
    </row>
    <row r="54" spans="1:11">
      <c r="A54" s="14">
        <f t="shared" ca="1" si="5"/>
        <v>43701</v>
      </c>
      <c r="B54" s="74">
        <f t="shared" ca="1" si="0"/>
        <v>2.5251011872613471E-2</v>
      </c>
      <c r="C54" s="74" t="e">
        <f t="shared" ca="1" si="1"/>
        <v>#VALUE!</v>
      </c>
      <c r="D54" s="74">
        <f t="shared" ca="1" si="2"/>
        <v>2.623689089357728E-2</v>
      </c>
      <c r="E54" s="74">
        <f t="shared" ca="1" si="3"/>
        <v>7.4773841258091722E-2</v>
      </c>
      <c r="F54" s="74">
        <f t="shared" ca="1" si="4"/>
        <v>7.4773841258091722E-2</v>
      </c>
      <c r="G54" s="13">
        <f ca="1"/>
        <v>0.99665634137625014</v>
      </c>
      <c r="H54" s="13" t="e">
        <f ca="1"/>
        <v>#VALUE!</v>
      </c>
      <c r="I54" s="13">
        <f ca="1"/>
        <v>0.99651483249319261</v>
      </c>
      <c r="J54" s="13">
        <f ca="1"/>
        <v>0.98918161766683765</v>
      </c>
      <c r="K54" s="13">
        <f ca="1"/>
        <v>0.98918161766683765</v>
      </c>
    </row>
    <row r="55" spans="1:11">
      <c r="A55" s="14">
        <f t="shared" ca="1" si="5"/>
        <v>43702</v>
      </c>
      <c r="B55" s="74">
        <f t="shared" ca="1" si="0"/>
        <v>2.5317960313540611E-2</v>
      </c>
      <c r="C55" s="74" t="e">
        <f t="shared" ca="1" si="1"/>
        <v>#VALUE!</v>
      </c>
      <c r="D55" s="74">
        <f t="shared" ca="1" si="2"/>
        <v>2.6303550665806585E-2</v>
      </c>
      <c r="E55" s="74">
        <f t="shared" ca="1" si="3"/>
        <v>7.4758355570889168E-2</v>
      </c>
      <c r="F55" s="74">
        <f t="shared" ca="1" si="4"/>
        <v>7.4758355570889168E-2</v>
      </c>
      <c r="G55" s="13">
        <f ca="1"/>
        <v>0.99658716052180463</v>
      </c>
      <c r="H55" s="13" t="e">
        <f ca="1"/>
        <v>#VALUE!</v>
      </c>
      <c r="I55" s="13">
        <f ca="1"/>
        <v>0.9964429506003335</v>
      </c>
      <c r="J55" s="13">
        <f ca="1"/>
        <v>0.98897675782777439</v>
      </c>
      <c r="K55" s="13">
        <f ca="1"/>
        <v>0.98897675782777439</v>
      </c>
    </row>
    <row r="56" spans="1:11">
      <c r="A56" s="14">
        <f t="shared" ca="1" si="5"/>
        <v>43703</v>
      </c>
      <c r="B56" s="74">
        <f t="shared" ca="1" si="0"/>
        <v>2.5384893642740325E-2</v>
      </c>
      <c r="C56" s="74" t="e">
        <f t="shared" ca="1" si="1"/>
        <v>#VALUE!</v>
      </c>
      <c r="D56" s="74">
        <f t="shared" ca="1" si="2"/>
        <v>2.6370194816608405E-2</v>
      </c>
      <c r="E56" s="74">
        <f t="shared" ca="1" si="3"/>
        <v>7.4742873090850037E-2</v>
      </c>
      <c r="F56" s="74">
        <f t="shared" ca="1" si="4"/>
        <v>7.4742873090850037E-2</v>
      </c>
      <c r="G56" s="13">
        <f ca="1"/>
        <v>0.99651779624697301</v>
      </c>
      <c r="H56" s="13" t="e">
        <f ca="1"/>
        <v>#VALUE!</v>
      </c>
      <c r="I56" s="13">
        <f ca="1"/>
        <v>0.99637088607796143</v>
      </c>
      <c r="J56" s="13">
        <f ca="1"/>
        <v>0.9887719404152514</v>
      </c>
      <c r="K56" s="13">
        <f ca="1"/>
        <v>0.9887719404152514</v>
      </c>
    </row>
    <row r="57" spans="1:11">
      <c r="A57" s="14">
        <f t="shared" ca="1" si="5"/>
        <v>43704</v>
      </c>
      <c r="B57" s="74">
        <f t="shared" ca="1" si="0"/>
        <v>2.5451811823701265E-2</v>
      </c>
      <c r="C57" s="74" t="e">
        <f t="shared" ca="1" si="1"/>
        <v>#VALUE!</v>
      </c>
      <c r="D57" s="74">
        <f t="shared" ca="1" si="2"/>
        <v>2.6436823309633484E-2</v>
      </c>
      <c r="E57" s="74">
        <f t="shared" ca="1" si="3"/>
        <v>7.4727393817163867E-2</v>
      </c>
      <c r="F57" s="74">
        <f t="shared" ca="1" si="4"/>
        <v>7.4727393817163867E-2</v>
      </c>
      <c r="G57" s="13">
        <f ca="1"/>
        <v>0.99644824859315728</v>
      </c>
      <c r="H57" s="13" t="e">
        <f ca="1"/>
        <v>#VALUE!</v>
      </c>
      <c r="I57" s="13">
        <f ca="1"/>
        <v>0.99629863896887483</v>
      </c>
      <c r="J57" s="13">
        <f ca="1"/>
        <v>0.98856716542048195</v>
      </c>
      <c r="K57" s="13">
        <f ca="1"/>
        <v>0.98856716542048195</v>
      </c>
    </row>
    <row r="58" spans="1:11">
      <c r="A58" s="14">
        <f t="shared" ca="1" si="5"/>
        <v>43705</v>
      </c>
      <c r="B58" s="74">
        <f t="shared" ca="1" si="0"/>
        <v>2.5518714819628419E-2</v>
      </c>
      <c r="C58" s="74" t="e">
        <f t="shared" ca="1" si="1"/>
        <v>#VALUE!</v>
      </c>
      <c r="D58" s="74">
        <f t="shared" ca="1" si="2"/>
        <v>2.6503436108735179E-2</v>
      </c>
      <c r="E58" s="74">
        <f t="shared" ca="1" si="3"/>
        <v>7.4711917749303858E-2</v>
      </c>
      <c r="F58" s="74">
        <f t="shared" ca="1" si="4"/>
        <v>7.4711917749303858E-2</v>
      </c>
      <c r="G58" s="13">
        <f ca="1"/>
        <v>0.99637851760185947</v>
      </c>
      <c r="H58" s="13" t="e">
        <f ca="1"/>
        <v>#VALUE!</v>
      </c>
      <c r="I58" s="13">
        <f ca="1"/>
        <v>0.99622620931597172</v>
      </c>
      <c r="J58" s="13">
        <f ca="1"/>
        <v>0.9883624328346815</v>
      </c>
      <c r="K58" s="13">
        <f ca="1"/>
        <v>0.9883624328346815</v>
      </c>
    </row>
    <row r="59" spans="1:11">
      <c r="A59" s="14">
        <f t="shared" ca="1" si="5"/>
        <v>43706</v>
      </c>
      <c r="B59" s="74">
        <f t="shared" ca="1" si="0"/>
        <v>2.5585602594010437E-2</v>
      </c>
      <c r="C59" s="74" t="e">
        <f t="shared" ca="1" si="1"/>
        <v>#VALUE!</v>
      </c>
      <c r="D59" s="74">
        <f t="shared" ca="1" si="2"/>
        <v>2.6570033177483188E-2</v>
      </c>
      <c r="E59" s="74">
        <f t="shared" ca="1" si="3"/>
        <v>7.4696444886500069E-2</v>
      </c>
      <c r="F59" s="74">
        <f t="shared" ca="1" si="4"/>
        <v>7.4696444886500069E-2</v>
      </c>
      <c r="G59" s="13">
        <f ca="1"/>
        <v>0.99630860331468241</v>
      </c>
      <c r="H59" s="13" t="e">
        <f ca="1"/>
        <v>#VALUE!</v>
      </c>
      <c r="I59" s="13">
        <f ca="1"/>
        <v>0.99615359716224916</v>
      </c>
      <c r="J59" s="13">
        <f ca="1"/>
        <v>0.98815774264906697</v>
      </c>
      <c r="K59" s="13">
        <f ca="1"/>
        <v>0.98815774264906697</v>
      </c>
    </row>
    <row r="60" spans="1:11">
      <c r="A60" s="14">
        <f t="shared" ca="1" si="5"/>
        <v>43707</v>
      </c>
      <c r="B60" s="74">
        <f t="shared" ca="1" si="0"/>
        <v>2.5652475110173878E-2</v>
      </c>
      <c r="C60" s="74" t="e">
        <f t="shared" ca="1" si="1"/>
        <v>#VALUE!</v>
      </c>
      <c r="D60" s="74">
        <f t="shared" ca="1" si="2"/>
        <v>2.663661447948773E-2</v>
      </c>
      <c r="E60" s="74">
        <f t="shared" ca="1" si="3"/>
        <v>7.4680975228144653E-2</v>
      </c>
      <c r="F60" s="74">
        <f t="shared" ca="1" si="4"/>
        <v>7.4680975228144653E-2</v>
      </c>
      <c r="G60" s="13">
        <f ca="1"/>
        <v>0.99623850577332895</v>
      </c>
      <c r="H60" s="13" t="e">
        <f ca="1"/>
        <v>#VALUE!</v>
      </c>
      <c r="I60" s="13">
        <f ca="1"/>
        <v>0.996080802550804</v>
      </c>
      <c r="J60" s="13">
        <f ca="1"/>
        <v>0.98795309485485738</v>
      </c>
      <c r="K60" s="13">
        <f ca="1"/>
        <v>0.98795309485485738</v>
      </c>
    </row>
    <row r="61" spans="1:11">
      <c r="A61" s="14">
        <f t="shared" ca="1" si="5"/>
        <v>43708</v>
      </c>
      <c r="B61" s="74">
        <f t="shared" ca="1" si="0"/>
        <v>2.5719332331445299E-2</v>
      </c>
      <c r="C61" s="74" t="e">
        <f t="shared" ca="1" si="1"/>
        <v>#VALUE!</v>
      </c>
      <c r="D61" s="74">
        <f t="shared" ca="1" si="2"/>
        <v>2.6703179978602165E-2</v>
      </c>
      <c r="E61" s="74">
        <f t="shared" ca="1" si="3"/>
        <v>7.4665508773548717E-2</v>
      </c>
      <c r="F61" s="74">
        <f t="shared" ca="1" si="4"/>
        <v>7.4665508773548717E-2</v>
      </c>
      <c r="G61" s="13">
        <f ca="1"/>
        <v>0.99616822501960245</v>
      </c>
      <c r="H61" s="13" t="e">
        <f ca="1"/>
        <v>#VALUE!</v>
      </c>
      <c r="I61" s="13">
        <f ca="1"/>
        <v>0.9960078255248328</v>
      </c>
      <c r="J61" s="13">
        <f ca="1"/>
        <v>0.98774848944327343</v>
      </c>
      <c r="K61" s="13">
        <f ca="1"/>
        <v>0.98774848944327343</v>
      </c>
    </row>
    <row r="62" spans="1:11">
      <c r="A62" s="14">
        <f t="shared" ca="1" si="5"/>
        <v>43709</v>
      </c>
      <c r="B62" s="74">
        <f t="shared" ca="1" si="0"/>
        <v>2.5786174221394398E-2</v>
      </c>
      <c r="C62" s="74" t="e">
        <f t="shared" ca="1" si="1"/>
        <v>#VALUE!</v>
      </c>
      <c r="D62" s="74">
        <f t="shared" ca="1" si="2"/>
        <v>2.6769729638517759E-2</v>
      </c>
      <c r="E62" s="74">
        <f t="shared" ca="1" si="3"/>
        <v>7.465004552206389E-2</v>
      </c>
      <c r="F62" s="74">
        <f t="shared" ca="1" si="4"/>
        <v>7.465004552206389E-2</v>
      </c>
      <c r="G62" s="13">
        <f ca="1"/>
        <v>0.99609776109540671</v>
      </c>
      <c r="H62" s="13" t="e">
        <f ca="1"/>
        <v>#VALUE!</v>
      </c>
      <c r="I62" s="13">
        <f ca="1"/>
        <v>0.99593466612763115</v>
      </c>
      <c r="J62" s="13">
        <f ca="1"/>
        <v>0.98754392640553768</v>
      </c>
      <c r="K62" s="13">
        <f ca="1"/>
        <v>0.98754392640553768</v>
      </c>
    </row>
    <row r="63" spans="1:11">
      <c r="A63" s="14">
        <f t="shared" ca="1" si="5"/>
        <v>43710</v>
      </c>
      <c r="B63" s="74">
        <f t="shared" ca="1" si="0"/>
        <v>2.5853000743226162E-2</v>
      </c>
      <c r="C63" s="74" t="e">
        <f t="shared" ca="1" si="1"/>
        <v>#VALUE!</v>
      </c>
      <c r="D63" s="74">
        <f t="shared" ca="1" si="2"/>
        <v>2.6836263423128393E-2</v>
      </c>
      <c r="E63" s="74">
        <f t="shared" ca="1" si="3"/>
        <v>7.4634585473041803E-2</v>
      </c>
      <c r="F63" s="74">
        <f t="shared" ca="1" si="4"/>
        <v>7.4634585473041803E-2</v>
      </c>
      <c r="G63" s="13">
        <f ca="1"/>
        <v>0.99602711404274535</v>
      </c>
      <c r="H63" s="13" t="e">
        <f ca="1"/>
        <v>#VALUE!</v>
      </c>
      <c r="I63" s="13">
        <f ca="1"/>
        <v>0.99586132440259412</v>
      </c>
      <c r="J63" s="13">
        <f ca="1"/>
        <v>0.98733940573287449</v>
      </c>
      <c r="K63" s="13">
        <f ca="1"/>
        <v>0.98733940573287449</v>
      </c>
    </row>
    <row r="64" spans="1:11">
      <c r="A64" s="14">
        <f t="shared" ca="1" si="5"/>
        <v>43711</v>
      </c>
      <c r="B64" s="74">
        <f t="shared" ca="1" si="0"/>
        <v>2.5919811860631858E-2</v>
      </c>
      <c r="C64" s="74" t="e">
        <f t="shared" ca="1" si="1"/>
        <v>#VALUE!</v>
      </c>
      <c r="D64" s="74">
        <f t="shared" ca="1" si="2"/>
        <v>2.6902781295882194E-2</v>
      </c>
      <c r="E64" s="74">
        <f t="shared" ca="1" si="3"/>
        <v>7.4524103518346929E-2</v>
      </c>
      <c r="F64" s="74">
        <f t="shared" ca="1" si="4"/>
        <v>7.4524103518346929E-2</v>
      </c>
      <c r="G64" s="13">
        <f ca="1"/>
        <v>0.99595628390372282</v>
      </c>
      <c r="H64" s="13" t="e">
        <f ca="1"/>
        <v>#VALUE!</v>
      </c>
      <c r="I64" s="13">
        <f ca="1"/>
        <v>0.99578780039321568</v>
      </c>
      <c r="J64" s="13">
        <f ca="1"/>
        <v>0.98713492741650999</v>
      </c>
      <c r="K64" s="13">
        <f ca="1"/>
        <v>0.98713492741650999</v>
      </c>
    </row>
    <row r="65" spans="1:11">
      <c r="A65" s="14">
        <f t="shared" ca="1" si="5"/>
        <v>43712</v>
      </c>
      <c r="B65" s="74">
        <f t="shared" ca="1" si="0"/>
        <v>2.5871901082705206E-2</v>
      </c>
      <c r="C65" s="74" t="e">
        <f t="shared" ca="1" si="1"/>
        <v>#VALUE!</v>
      </c>
      <c r="D65" s="74">
        <f t="shared" ca="1" si="2"/>
        <v>2.685427790406536E-2</v>
      </c>
      <c r="E65" s="74">
        <f t="shared" ca="1" si="3"/>
        <v>7.4508689206618239E-2</v>
      </c>
      <c r="F65" s="74">
        <f t="shared" ca="1" si="4"/>
        <v>7.4508689206618239E-2</v>
      </c>
      <c r="G65" s="13">
        <f ca="1"/>
        <v>0.995885270720543</v>
      </c>
      <c r="H65" s="13" t="e">
        <f ca="1"/>
        <v>#VALUE!</v>
      </c>
      <c r="I65" s="13">
        <f ca="1"/>
        <v>0.99571409414308998</v>
      </c>
      <c r="J65" s="13">
        <f ca="1"/>
        <v>0.98693075179043233</v>
      </c>
      <c r="K65" s="13">
        <f ca="1"/>
        <v>0.98693075179043233</v>
      </c>
    </row>
    <row r="66" spans="1:11">
      <c r="A66" s="14">
        <f t="shared" ca="1" si="5"/>
        <v>43713</v>
      </c>
      <c r="B66" s="74">
        <f t="shared" ref="B66:B129" ca="1" si="6">(G66-G67)/($A67-$A66)*365</f>
        <v>2.5935115323336144E-2</v>
      </c>
      <c r="C66" s="74" t="e">
        <f t="shared" ref="C66:C129" ca="1" si="7">(H66-H67)/($A67-$A66)*365</f>
        <v>#VALUE!</v>
      </c>
      <c r="D66" s="74">
        <f t="shared" ref="D66:D129" ca="1" si="8">(I66-I67)/($A67-$A66)*365</f>
        <v>2.6917189226117189E-2</v>
      </c>
      <c r="E66" s="74">
        <f t="shared" ref="E66:E129" ca="1" si="9">(J66-J67)/($A67-$A66)*365</f>
        <v>7.4493278083128667E-2</v>
      </c>
      <c r="F66" s="74">
        <f t="shared" ref="F66:F129" ca="1" si="10">(K66-K67)/($A67-$A66)*365</f>
        <v>7.4493278083128667E-2</v>
      </c>
      <c r="G66" s="13">
        <f ca="1"/>
        <v>0.99581438879976847</v>
      </c>
      <c r="H66" s="13" t="e">
        <f ca="1"/>
        <v>#VALUE!</v>
      </c>
      <c r="I66" s="13">
        <f ca="1"/>
        <v>0.99564052077896925</v>
      </c>
      <c r="J66" s="13">
        <f ca="1"/>
        <v>0.9867266183953457</v>
      </c>
      <c r="K66" s="13">
        <f ca="1"/>
        <v>0.9867266183953457</v>
      </c>
    </row>
    <row r="67" spans="1:11">
      <c r="A67" s="14">
        <f t="shared" ca="1" si="5"/>
        <v>43714</v>
      </c>
      <c r="B67" s="74">
        <f t="shared" ca="1" si="6"/>
        <v>2.5998314972232595E-2</v>
      </c>
      <c r="C67" s="74" t="e">
        <f t="shared" ca="1" si="7"/>
        <v>#VALUE!</v>
      </c>
      <c r="D67" s="74">
        <f t="shared" ca="1" si="8"/>
        <v>2.6980085481381755E-2</v>
      </c>
      <c r="E67" s="74">
        <f t="shared" ca="1" si="9"/>
        <v>7.4477870147189318E-2</v>
      </c>
      <c r="F67" s="74">
        <f t="shared" ca="1" si="10"/>
        <v>7.4477870147189318E-2</v>
      </c>
      <c r="G67" s="13">
        <f ca="1"/>
        <v>0.99574333368929357</v>
      </c>
      <c r="H67" s="13" t="e">
        <f ca="1"/>
        <v>#VALUE!</v>
      </c>
      <c r="I67" s="13">
        <f ca="1"/>
        <v>0.99556677505506208</v>
      </c>
      <c r="J67" s="13">
        <f ca="1"/>
        <v>0.98652252722251521</v>
      </c>
      <c r="K67" s="13">
        <f ca="1"/>
        <v>0.98652252722251521</v>
      </c>
    </row>
    <row r="68" spans="1:11">
      <c r="A68" s="14">
        <f t="shared" ref="A68:A131" ca="1" si="11">A67+1</f>
        <v>43715</v>
      </c>
      <c r="B68" s="74">
        <f t="shared" ca="1" si="6"/>
        <v>2.6061499996489768E-2</v>
      </c>
      <c r="C68" s="74" t="e">
        <f t="shared" ca="1" si="7"/>
        <v>#VALUE!</v>
      </c>
      <c r="D68" s="74">
        <f t="shared" ca="1" si="8"/>
        <v>2.704296663748107E-2</v>
      </c>
      <c r="E68" s="74">
        <f t="shared" ca="1" si="9"/>
        <v>7.4462465398232869E-2</v>
      </c>
      <c r="F68" s="74">
        <f t="shared" ca="1" si="10"/>
        <v>7.4462465398232869E-2</v>
      </c>
      <c r="G68" s="13">
        <f ca="1"/>
        <v>0.99567210542909568</v>
      </c>
      <c r="H68" s="13" t="e">
        <f ca="1"/>
        <v>#VALUE!</v>
      </c>
      <c r="I68" s="13">
        <f ca="1"/>
        <v>0.99549285701264734</v>
      </c>
      <c r="J68" s="13">
        <f ca="1"/>
        <v>0.98631847826320784</v>
      </c>
      <c r="K68" s="13">
        <f ca="1"/>
        <v>0.98631847826320784</v>
      </c>
    </row>
    <row r="69" spans="1:11">
      <c r="A69" s="14">
        <f t="shared" ca="1" si="11"/>
        <v>43716</v>
      </c>
      <c r="B69" s="74">
        <f t="shared" ca="1" si="6"/>
        <v>2.6124670363486535E-2</v>
      </c>
      <c r="C69" s="74" t="e">
        <f t="shared" ca="1" si="7"/>
        <v>#VALUE!</v>
      </c>
      <c r="D69" s="74">
        <f t="shared" ca="1" si="8"/>
        <v>2.7105832661915574E-2</v>
      </c>
      <c r="E69" s="74">
        <f t="shared" ca="1" si="9"/>
        <v>7.4447063835529903E-2</v>
      </c>
      <c r="F69" s="74">
        <f t="shared" ca="1" si="10"/>
        <v>7.4447063835529903E-2</v>
      </c>
      <c r="G69" s="13">
        <f ca="1"/>
        <v>0.99560070405924228</v>
      </c>
      <c r="H69" s="13" t="e">
        <f ca="1"/>
        <v>#VALUE!</v>
      </c>
      <c r="I69" s="13">
        <f ca="1"/>
        <v>0.99541876669309259</v>
      </c>
      <c r="J69" s="13">
        <f ca="1"/>
        <v>0.98611447150869214</v>
      </c>
      <c r="K69" s="13">
        <f ca="1"/>
        <v>0.98611447150869214</v>
      </c>
    </row>
    <row r="70" spans="1:11">
      <c r="A70" s="14">
        <f t="shared" ca="1" si="11"/>
        <v>43717</v>
      </c>
      <c r="B70" s="74">
        <f t="shared" ca="1" si="6"/>
        <v>2.6187826040601769E-2</v>
      </c>
      <c r="C70" s="74" t="e">
        <f t="shared" ca="1" si="7"/>
        <v>#VALUE!</v>
      </c>
      <c r="D70" s="74">
        <f t="shared" ca="1" si="8"/>
        <v>2.7168683522631465E-2</v>
      </c>
      <c r="E70" s="74">
        <f t="shared" ca="1" si="9"/>
        <v>7.443166545843205E-2</v>
      </c>
      <c r="F70" s="74">
        <f t="shared" ca="1" si="10"/>
        <v>7.443166545843205E-2</v>
      </c>
      <c r="G70" s="13">
        <f ca="1"/>
        <v>0.99552912961989026</v>
      </c>
      <c r="H70" s="13" t="e">
        <f ca="1"/>
        <v>#VALUE!</v>
      </c>
      <c r="I70" s="13">
        <f ca="1"/>
        <v>0.99534450413785447</v>
      </c>
      <c r="J70" s="13">
        <f ca="1"/>
        <v>0.98591050695023863</v>
      </c>
      <c r="K70" s="13">
        <f ca="1"/>
        <v>0.98591050695023863</v>
      </c>
    </row>
    <row r="71" spans="1:11">
      <c r="A71" s="14">
        <f t="shared" ca="1" si="11"/>
        <v>43718</v>
      </c>
      <c r="B71" s="74">
        <f t="shared" ca="1" si="6"/>
        <v>2.6250966995092773E-2</v>
      </c>
      <c r="C71" s="74" t="e">
        <f t="shared" ca="1" si="7"/>
        <v>#VALUE!</v>
      </c>
      <c r="D71" s="74">
        <f t="shared" ca="1" si="8"/>
        <v>2.723151918696709E-2</v>
      </c>
      <c r="E71" s="74">
        <f t="shared" ca="1" si="9"/>
        <v>7.4416270266250417E-2</v>
      </c>
      <c r="F71" s="74">
        <f t="shared" ca="1" si="10"/>
        <v>7.4416270266250417E-2</v>
      </c>
      <c r="G71" s="13">
        <f ca="1"/>
        <v>0.99545738215128587</v>
      </c>
      <c r="H71" s="13" t="e">
        <f ca="1"/>
        <v>#VALUE!</v>
      </c>
      <c r="I71" s="13">
        <f ca="1"/>
        <v>0.9952700693884774</v>
      </c>
      <c r="J71" s="13">
        <f ca="1"/>
        <v>0.98570658457911964</v>
      </c>
      <c r="K71" s="13">
        <f ca="1"/>
        <v>0.98570658457911964</v>
      </c>
    </row>
    <row r="72" spans="1:11">
      <c r="A72" s="14">
        <f t="shared" ca="1" si="11"/>
        <v>43719</v>
      </c>
      <c r="B72" s="74">
        <f t="shared" ca="1" si="6"/>
        <v>2.6314093194459987E-2</v>
      </c>
      <c r="C72" s="74" t="e">
        <f t="shared" ca="1" si="7"/>
        <v>#VALUE!</v>
      </c>
      <c r="D72" s="74">
        <f t="shared" ca="1" si="8"/>
        <v>2.72943396227876E-2</v>
      </c>
      <c r="E72" s="74">
        <f t="shared" ca="1" si="9"/>
        <v>7.4400878258377157E-2</v>
      </c>
      <c r="F72" s="74">
        <f t="shared" ca="1" si="10"/>
        <v>7.4400878258377157E-2</v>
      </c>
      <c r="G72" s="13">
        <f ca="1"/>
        <v>0.99538546169376507</v>
      </c>
      <c r="H72" s="13" t="e">
        <f ca="1"/>
        <v>#VALUE!</v>
      </c>
      <c r="I72" s="13">
        <f ca="1"/>
        <v>0.99519546248659529</v>
      </c>
      <c r="J72" s="13">
        <f ca="1"/>
        <v>0.98550270438660936</v>
      </c>
      <c r="K72" s="13">
        <f ca="1"/>
        <v>0.98550270438660936</v>
      </c>
    </row>
    <row r="73" spans="1:11">
      <c r="A73" s="14">
        <f t="shared" ca="1" si="11"/>
        <v>43720</v>
      </c>
      <c r="B73" s="74">
        <f t="shared" ca="1" si="6"/>
        <v>2.6377204605839144E-2</v>
      </c>
      <c r="C73" s="74" t="e">
        <f t="shared" ca="1" si="7"/>
        <v>#VALUE!</v>
      </c>
      <c r="D73" s="74">
        <f t="shared" ca="1" si="8"/>
        <v>2.7357144797674482E-2</v>
      </c>
      <c r="E73" s="74">
        <f t="shared" ca="1" si="9"/>
        <v>7.4385489434123375E-2</v>
      </c>
      <c r="F73" s="74">
        <f t="shared" ca="1" si="10"/>
        <v>7.4385489434123375E-2</v>
      </c>
      <c r="G73" s="13">
        <f ca="1"/>
        <v>0.99531336828775285</v>
      </c>
      <c r="H73" s="13" t="e">
        <f ca="1"/>
        <v>#VALUE!</v>
      </c>
      <c r="I73" s="13">
        <f ca="1"/>
        <v>0.99512068347393012</v>
      </c>
      <c r="J73" s="13">
        <f ca="1"/>
        <v>0.98529886636398367</v>
      </c>
      <c r="K73" s="13">
        <f ca="1"/>
        <v>0.98529886636398367</v>
      </c>
    </row>
    <row r="74" spans="1:11">
      <c r="A74" s="14">
        <f t="shared" ca="1" si="11"/>
        <v>43721</v>
      </c>
      <c r="B74" s="74">
        <f t="shared" ca="1" si="6"/>
        <v>2.6440301196690164E-2</v>
      </c>
      <c r="C74" s="74" t="e">
        <f t="shared" ca="1" si="7"/>
        <v>#VALUE!</v>
      </c>
      <c r="D74" s="74">
        <f t="shared" ca="1" si="8"/>
        <v>2.7419934679411839E-2</v>
      </c>
      <c r="E74" s="74">
        <f t="shared" ca="1" si="9"/>
        <v>7.4370103792881226E-2</v>
      </c>
      <c r="F74" s="74">
        <f t="shared" ca="1" si="10"/>
        <v>7.4370103792881226E-2</v>
      </c>
      <c r="G74" s="13">
        <f ca="1"/>
        <v>0.99524110197376425</v>
      </c>
      <c r="H74" s="13" t="e">
        <f ca="1"/>
        <v>#VALUE!</v>
      </c>
      <c r="I74" s="13">
        <f ca="1"/>
        <v>0.99504573239229266</v>
      </c>
      <c r="J74" s="13">
        <f ca="1"/>
        <v>0.98509507050252032</v>
      </c>
      <c r="K74" s="13">
        <f ca="1"/>
        <v>0.98509507050252032</v>
      </c>
    </row>
    <row r="75" spans="1:11">
      <c r="A75" s="14">
        <f t="shared" ca="1" si="11"/>
        <v>43722</v>
      </c>
      <c r="B75" s="74">
        <f t="shared" ca="1" si="6"/>
        <v>2.6503382934513486E-2</v>
      </c>
      <c r="C75" s="74" t="e">
        <f t="shared" ca="1" si="7"/>
        <v>#VALUE!</v>
      </c>
      <c r="D75" s="74">
        <f t="shared" ca="1" si="8"/>
        <v>2.7482709235621683E-2</v>
      </c>
      <c r="E75" s="74">
        <f t="shared" ca="1" si="9"/>
        <v>7.4354721333921292E-2</v>
      </c>
      <c r="F75" s="74">
        <f t="shared" ca="1" si="10"/>
        <v>7.4354721333921292E-2</v>
      </c>
      <c r="G75" s="13">
        <f ca="1"/>
        <v>0.99516866279240346</v>
      </c>
      <c r="H75" s="13" t="e">
        <f ca="1"/>
        <v>#VALUE!</v>
      </c>
      <c r="I75" s="13">
        <f ca="1"/>
        <v>0.99497060928358194</v>
      </c>
      <c r="J75" s="13">
        <f ca="1"/>
        <v>0.98489131679349873</v>
      </c>
      <c r="K75" s="13">
        <f ca="1"/>
        <v>0.98489131679349873</v>
      </c>
    </row>
    <row r="76" spans="1:11">
      <c r="A76" s="14">
        <f t="shared" ca="1" si="11"/>
        <v>43723</v>
      </c>
      <c r="B76" s="74">
        <f t="shared" ca="1" si="6"/>
        <v>2.6566449786647461E-2</v>
      </c>
      <c r="C76" s="74" t="e">
        <f t="shared" ca="1" si="7"/>
        <v>#VALUE!</v>
      </c>
      <c r="D76" s="74">
        <f t="shared" ca="1" si="8"/>
        <v>2.7545468434128639E-2</v>
      </c>
      <c r="E76" s="74">
        <f t="shared" ca="1" si="9"/>
        <v>7.4339342056635727E-2</v>
      </c>
      <c r="F76" s="74">
        <f t="shared" ca="1" si="10"/>
        <v>7.4339342056635727E-2</v>
      </c>
      <c r="G76" s="13">
        <f ca="1"/>
        <v>0.99509605078436369</v>
      </c>
      <c r="H76" s="13" t="e">
        <f ca="1"/>
        <v>#VALUE!</v>
      </c>
      <c r="I76" s="13">
        <f ca="1"/>
        <v>0.99489531418978572</v>
      </c>
      <c r="J76" s="13">
        <f ca="1"/>
        <v>0.98468760522820031</v>
      </c>
      <c r="K76" s="13">
        <f ca="1"/>
        <v>0.98468760522820031</v>
      </c>
    </row>
    <row r="77" spans="1:11">
      <c r="A77" s="14">
        <f t="shared" ca="1" si="11"/>
        <v>43724</v>
      </c>
      <c r="B77" s="74">
        <f t="shared" ca="1" si="6"/>
        <v>2.6629501720470961E-2</v>
      </c>
      <c r="C77" s="74" t="e">
        <f t="shared" ca="1" si="7"/>
        <v>#VALUE!</v>
      </c>
      <c r="D77" s="74">
        <f t="shared" ca="1" si="8"/>
        <v>2.7608212242595243E-2</v>
      </c>
      <c r="E77" s="74">
        <f t="shared" ca="1" si="9"/>
        <v>7.4323965960335636E-2</v>
      </c>
      <c r="F77" s="74">
        <f t="shared" ca="1" si="10"/>
        <v>7.4323965960335636E-2</v>
      </c>
      <c r="G77" s="13">
        <f ca="1"/>
        <v>0.99502326599042767</v>
      </c>
      <c r="H77" s="13" t="e">
        <f ca="1"/>
        <v>#VALUE!</v>
      </c>
      <c r="I77" s="13">
        <f ca="1"/>
        <v>0.99481984715297989</v>
      </c>
      <c r="J77" s="13">
        <f ca="1"/>
        <v>0.98448393579790816</v>
      </c>
      <c r="K77" s="13">
        <f ca="1"/>
        <v>0.98448393579790816</v>
      </c>
    </row>
    <row r="78" spans="1:11">
      <c r="A78" s="14">
        <f t="shared" ca="1" si="11"/>
        <v>43725</v>
      </c>
      <c r="B78" s="74">
        <f t="shared" ca="1" si="6"/>
        <v>2.6692538703403379E-2</v>
      </c>
      <c r="C78" s="74" t="e">
        <f t="shared" ca="1" si="7"/>
        <v>#VALUE!</v>
      </c>
      <c r="D78" s="74">
        <f t="shared" ca="1" si="8"/>
        <v>2.7670940628805596E-2</v>
      </c>
      <c r="E78" s="74">
        <f t="shared" ca="1" si="9"/>
        <v>7.4308593044332127E-2</v>
      </c>
      <c r="F78" s="74">
        <f t="shared" ca="1" si="10"/>
        <v>7.4308593044332127E-2</v>
      </c>
      <c r="G78" s="13">
        <f ca="1"/>
        <v>0.99495030845146748</v>
      </c>
      <c r="H78" s="13" t="e">
        <f ca="1"/>
        <v>#VALUE!</v>
      </c>
      <c r="I78" s="13">
        <f ca="1"/>
        <v>0.99474420821532894</v>
      </c>
      <c r="J78" s="13">
        <f ca="1"/>
        <v>0.98428030849390724</v>
      </c>
      <c r="K78" s="13">
        <f ca="1"/>
        <v>0.98428030849390724</v>
      </c>
    </row>
    <row r="79" spans="1:11">
      <c r="A79" s="14">
        <f t="shared" ca="1" si="11"/>
        <v>43726</v>
      </c>
      <c r="B79" s="74">
        <f t="shared" ca="1" si="6"/>
        <v>2.6755560702985681E-2</v>
      </c>
      <c r="C79" s="74" t="e">
        <f t="shared" ca="1" si="7"/>
        <v>#VALUE!</v>
      </c>
      <c r="D79" s="74">
        <f t="shared" ca="1" si="8"/>
        <v>2.7733653560462757E-2</v>
      </c>
      <c r="E79" s="74">
        <f t="shared" ca="1" si="9"/>
        <v>7.4293223308098399E-2</v>
      </c>
      <c r="F79" s="74">
        <f t="shared" ca="1" si="10"/>
        <v>7.4293223308098399E-2</v>
      </c>
      <c r="G79" s="13">
        <f ca="1"/>
        <v>0.99487717820844446</v>
      </c>
      <c r="H79" s="13" t="e">
        <f ca="1"/>
        <v>#VALUE!</v>
      </c>
      <c r="I79" s="13">
        <f ca="1"/>
        <v>0.99466839741908564</v>
      </c>
      <c r="J79" s="13">
        <f ca="1"/>
        <v>0.98407672330748441</v>
      </c>
      <c r="K79" s="13">
        <f ca="1"/>
        <v>0.98407672330748441</v>
      </c>
    </row>
    <row r="80" spans="1:11">
      <c r="A80" s="14">
        <f t="shared" ca="1" si="11"/>
        <v>43727</v>
      </c>
      <c r="B80" s="74">
        <f t="shared" ca="1" si="6"/>
        <v>2.6818567686556216E-2</v>
      </c>
      <c r="C80" s="74" t="e">
        <f t="shared" ca="1" si="7"/>
        <v>#VALUE!</v>
      </c>
      <c r="D80" s="74">
        <f t="shared" ca="1" si="8"/>
        <v>2.7796351005593967E-2</v>
      </c>
      <c r="E80" s="74">
        <f t="shared" ca="1" si="9"/>
        <v>7.427785675082399E-2</v>
      </c>
      <c r="F80" s="74">
        <f t="shared" ca="1" si="10"/>
        <v>7.427785675082399E-2</v>
      </c>
      <c r="G80" s="13">
        <f ca="1"/>
        <v>0.99480387530240888</v>
      </c>
      <c r="H80" s="13" t="e">
        <f ca="1"/>
        <v>#VALUE!</v>
      </c>
      <c r="I80" s="13">
        <f ca="1"/>
        <v>0.99459241480659122</v>
      </c>
      <c r="J80" s="13">
        <f ca="1"/>
        <v>0.98387318022992798</v>
      </c>
      <c r="K80" s="13">
        <f ca="1"/>
        <v>0.98387318022992798</v>
      </c>
    </row>
    <row r="81" spans="1:11">
      <c r="A81" s="14">
        <f t="shared" ca="1" si="11"/>
        <v>43728</v>
      </c>
      <c r="B81" s="74">
        <f t="shared" ca="1" si="6"/>
        <v>2.6881559621696471E-2</v>
      </c>
      <c r="C81" s="74" t="e">
        <f t="shared" ca="1" si="7"/>
        <v>#VALUE!</v>
      </c>
      <c r="D81" s="74">
        <f t="shared" ca="1" si="8"/>
        <v>2.7859032931740191E-2</v>
      </c>
      <c r="E81" s="74">
        <f t="shared" ca="1" si="9"/>
        <v>7.4262493371941574E-2</v>
      </c>
      <c r="F81" s="74">
        <f t="shared" ca="1" si="10"/>
        <v>7.4262493371941574E-2</v>
      </c>
      <c r="G81" s="13">
        <f ca="1"/>
        <v>0.99473039977450051</v>
      </c>
      <c r="H81" s="13" t="e">
        <f ca="1"/>
        <v>#VALUE!</v>
      </c>
      <c r="I81" s="13">
        <f ca="1"/>
        <v>0.99451626042027452</v>
      </c>
      <c r="J81" s="13">
        <f ca="1"/>
        <v>0.98366967925252846</v>
      </c>
      <c r="K81" s="13">
        <f ca="1"/>
        <v>0.98366967925252846</v>
      </c>
    </row>
    <row r="82" spans="1:11">
      <c r="A82" s="14">
        <f t="shared" ca="1" si="11"/>
        <v>43729</v>
      </c>
      <c r="B82" s="74">
        <f t="shared" ca="1" si="6"/>
        <v>2.6944536475947412E-2</v>
      </c>
      <c r="C82" s="74" t="e">
        <f t="shared" ca="1" si="7"/>
        <v>#VALUE!</v>
      </c>
      <c r="D82" s="74">
        <f t="shared" ca="1" si="8"/>
        <v>2.7921699306807102E-2</v>
      </c>
      <c r="E82" s="74">
        <f t="shared" ca="1" si="9"/>
        <v>7.4247133170721735E-2</v>
      </c>
      <c r="F82" s="74">
        <f t="shared" ca="1" si="10"/>
        <v>7.4247133170721735E-2</v>
      </c>
      <c r="G82" s="13">
        <f ca="1"/>
        <v>0.99465675166594791</v>
      </c>
      <c r="H82" s="13" t="e">
        <f ca="1"/>
        <v>#VALUE!</v>
      </c>
      <c r="I82" s="13">
        <f ca="1"/>
        <v>0.99443993430265332</v>
      </c>
      <c r="J82" s="13">
        <f ca="1"/>
        <v>0.98346622036657794</v>
      </c>
      <c r="K82" s="13">
        <f ca="1"/>
        <v>0.98346622036657794</v>
      </c>
    </row>
    <row r="83" spans="1:11">
      <c r="A83" s="14">
        <f t="shared" ca="1" si="11"/>
        <v>43730</v>
      </c>
      <c r="B83" s="74">
        <f t="shared" ca="1" si="6"/>
        <v>2.7007498216566339E-2</v>
      </c>
      <c r="C83" s="74" t="e">
        <f t="shared" ca="1" si="7"/>
        <v>#VALUE!</v>
      </c>
      <c r="D83" s="74">
        <f t="shared" ca="1" si="8"/>
        <v>2.7984350098619326E-2</v>
      </c>
      <c r="E83" s="74">
        <f t="shared" ca="1" si="9"/>
        <v>7.4231776146637674E-2</v>
      </c>
      <c r="F83" s="74">
        <f t="shared" ca="1" si="10"/>
        <v>7.4231776146637674E-2</v>
      </c>
      <c r="G83" s="13">
        <f ca="1"/>
        <v>0.99458293101806861</v>
      </c>
      <c r="H83" s="13" t="e">
        <f ca="1"/>
        <v>#VALUE!</v>
      </c>
      <c r="I83" s="13">
        <f ca="1"/>
        <v>0.9943634364963333</v>
      </c>
      <c r="J83" s="13">
        <f ca="1"/>
        <v>0.98326280356337048</v>
      </c>
      <c r="K83" s="13">
        <f ca="1"/>
        <v>0.98326280356337048</v>
      </c>
    </row>
    <row r="84" spans="1:11">
      <c r="A84" s="14">
        <f t="shared" ca="1" si="11"/>
        <v>43731</v>
      </c>
      <c r="B84" s="74">
        <f t="shared" ca="1" si="6"/>
        <v>2.7070444811256311E-2</v>
      </c>
      <c r="C84" s="74" t="e">
        <f t="shared" ca="1" si="7"/>
        <v>#VALUE!</v>
      </c>
      <c r="D84" s="74">
        <f t="shared" ca="1" si="8"/>
        <v>2.804698527500149E-2</v>
      </c>
      <c r="E84" s="74">
        <f t="shared" ca="1" si="9"/>
        <v>7.4216422298878926E-2</v>
      </c>
      <c r="F84" s="74">
        <f t="shared" ca="1" si="10"/>
        <v>7.4216422298878926E-2</v>
      </c>
      <c r="G84" s="13">
        <f ca="1"/>
        <v>0.99450893787226979</v>
      </c>
      <c r="H84" s="13" t="e">
        <f ca="1"/>
        <v>#VALUE!</v>
      </c>
      <c r="I84" s="13">
        <f ca="1"/>
        <v>0.99428676704400831</v>
      </c>
      <c r="J84" s="13">
        <f ca="1"/>
        <v>0.98305942883420161</v>
      </c>
      <c r="K84" s="13">
        <f ca="1"/>
        <v>0.98305942883420161</v>
      </c>
    </row>
    <row r="85" spans="1:11">
      <c r="A85" s="14">
        <f t="shared" ca="1" si="11"/>
        <v>43732</v>
      </c>
      <c r="B85" s="74">
        <f t="shared" ca="1" si="6"/>
        <v>2.7133376227517769E-2</v>
      </c>
      <c r="C85" s="74" t="e">
        <f t="shared" ca="1" si="7"/>
        <v>#VALUE!</v>
      </c>
      <c r="D85" s="74">
        <f t="shared" ca="1" si="8"/>
        <v>2.8109604803859267E-2</v>
      </c>
      <c r="E85" s="74">
        <f t="shared" ca="1" si="9"/>
        <v>7.4201071626878168E-2</v>
      </c>
      <c r="F85" s="74">
        <f t="shared" ca="1" si="10"/>
        <v>7.4201071626878168E-2</v>
      </c>
      <c r="G85" s="13">
        <f ca="1"/>
        <v>0.99443477227004717</v>
      </c>
      <c r="H85" s="13" t="e">
        <f ca="1"/>
        <v>#VALUE!</v>
      </c>
      <c r="I85" s="13">
        <f ca="1"/>
        <v>0.99420992598846036</v>
      </c>
      <c r="J85" s="13">
        <f ca="1"/>
        <v>0.98285609617036906</v>
      </c>
      <c r="K85" s="13">
        <f ca="1"/>
        <v>0.98285609617036906</v>
      </c>
    </row>
    <row r="86" spans="1:11">
      <c r="A86" s="14">
        <f t="shared" ca="1" si="11"/>
        <v>43733</v>
      </c>
      <c r="B86" s="74">
        <f t="shared" ca="1" si="6"/>
        <v>2.7196292432932201E-2</v>
      </c>
      <c r="C86" s="74" t="e">
        <f t="shared" ca="1" si="7"/>
        <v>#VALUE!</v>
      </c>
      <c r="D86" s="74">
        <f t="shared" ca="1" si="8"/>
        <v>2.8172208653017283E-2</v>
      </c>
      <c r="E86" s="74">
        <f t="shared" ca="1" si="9"/>
        <v>7.418572412998703E-2</v>
      </c>
      <c r="F86" s="74">
        <f t="shared" ca="1" si="10"/>
        <v>7.418572412998703E-2</v>
      </c>
      <c r="G86" s="13">
        <f ca="1"/>
        <v>0.99436043425298548</v>
      </c>
      <c r="H86" s="13" t="e">
        <f ca="1"/>
        <v>#VALUE!</v>
      </c>
      <c r="I86" s="13">
        <f ca="1"/>
        <v>0.99413291337255938</v>
      </c>
      <c r="J86" s="13">
        <f ca="1"/>
        <v>0.98265280556317214</v>
      </c>
      <c r="K86" s="13">
        <f ca="1"/>
        <v>0.98265280556317214</v>
      </c>
    </row>
    <row r="87" spans="1:11">
      <c r="A87" s="14">
        <f t="shared" ca="1" si="11"/>
        <v>43734</v>
      </c>
      <c r="B87" s="74">
        <f t="shared" ca="1" si="6"/>
        <v>2.7259193395081094E-2</v>
      </c>
      <c r="C87" s="74" t="e">
        <f t="shared" ca="1" si="7"/>
        <v>#VALUE!</v>
      </c>
      <c r="D87" s="74">
        <f t="shared" ca="1" si="8"/>
        <v>2.8234796790381211E-2</v>
      </c>
      <c r="E87" s="74">
        <f t="shared" ca="1" si="9"/>
        <v>7.4170379807476094E-2</v>
      </c>
      <c r="F87" s="74">
        <f t="shared" ca="1" si="10"/>
        <v>7.4170379807476094E-2</v>
      </c>
      <c r="G87" s="13">
        <f ca="1"/>
        <v>0.99428592386275827</v>
      </c>
      <c r="H87" s="13" t="e">
        <f ca="1"/>
        <v>#VALUE!</v>
      </c>
      <c r="I87" s="13">
        <f ca="1"/>
        <v>0.99405572923926344</v>
      </c>
      <c r="J87" s="13">
        <f ca="1"/>
        <v>0.9824495570039119</v>
      </c>
      <c r="K87" s="13">
        <f ca="1"/>
        <v>0.9824495570039119</v>
      </c>
    </row>
    <row r="88" spans="1:11">
      <c r="A88" s="14">
        <f t="shared" ca="1" si="11"/>
        <v>43735</v>
      </c>
      <c r="B88" s="74">
        <f t="shared" ca="1" si="6"/>
        <v>2.7322079081302797E-2</v>
      </c>
      <c r="C88" s="74" t="e">
        <f t="shared" ca="1" si="7"/>
        <v>#VALUE!</v>
      </c>
      <c r="D88" s="74">
        <f t="shared" ca="1" si="8"/>
        <v>2.8297369183856724E-2</v>
      </c>
      <c r="E88" s="74">
        <f t="shared" ca="1" si="9"/>
        <v>7.4155038658737515E-2</v>
      </c>
      <c r="F88" s="74">
        <f t="shared" ca="1" si="10"/>
        <v>7.4155038658737515E-2</v>
      </c>
      <c r="G88" s="13">
        <f ca="1"/>
        <v>0.99421124114112791</v>
      </c>
      <c r="H88" s="13" t="e">
        <f ca="1"/>
        <v>#VALUE!</v>
      </c>
      <c r="I88" s="13">
        <f ca="1"/>
        <v>0.99397837363161856</v>
      </c>
      <c r="J88" s="13">
        <f ca="1"/>
        <v>0.98224635048389142</v>
      </c>
      <c r="K88" s="13">
        <f ca="1"/>
        <v>0.98224635048389142</v>
      </c>
    </row>
    <row r="89" spans="1:11">
      <c r="A89" s="14">
        <f t="shared" ca="1" si="11"/>
        <v>43736</v>
      </c>
      <c r="B89" s="74">
        <f t="shared" ca="1" si="6"/>
        <v>2.7384949459381414E-2</v>
      </c>
      <c r="C89" s="74" t="e">
        <f t="shared" ca="1" si="7"/>
        <v>#VALUE!</v>
      </c>
      <c r="D89" s="74">
        <f t="shared" ca="1" si="8"/>
        <v>2.8359925801268449E-2</v>
      </c>
      <c r="E89" s="74">
        <f t="shared" ca="1" si="9"/>
        <v>7.4139700683163445E-2</v>
      </c>
      <c r="F89" s="74">
        <f t="shared" ca="1" si="10"/>
        <v>7.4139700683163445E-2</v>
      </c>
      <c r="G89" s="13">
        <f ca="1"/>
        <v>0.99413638612994626</v>
      </c>
      <c r="H89" s="13" t="e">
        <f ca="1"/>
        <v>#VALUE!</v>
      </c>
      <c r="I89" s="13">
        <f ca="1"/>
        <v>0.99390084659275868</v>
      </c>
      <c r="J89" s="13">
        <f ca="1"/>
        <v>0.98204318599441542</v>
      </c>
      <c r="K89" s="13">
        <f ca="1"/>
        <v>0.98204318599441542</v>
      </c>
    </row>
    <row r="90" spans="1:11">
      <c r="A90" s="14">
        <f t="shared" ca="1" si="11"/>
        <v>43737</v>
      </c>
      <c r="B90" s="74">
        <f t="shared" ca="1" si="6"/>
        <v>2.7447804496979478E-2</v>
      </c>
      <c r="C90" s="74" t="e">
        <f t="shared" ca="1" si="7"/>
        <v>#VALUE!</v>
      </c>
      <c r="D90" s="74">
        <f t="shared" ca="1" si="8"/>
        <v>2.8422466610765196E-2</v>
      </c>
      <c r="E90" s="74">
        <f t="shared" ca="1" si="9"/>
        <v>7.4124365879983944E-2</v>
      </c>
      <c r="F90" s="74">
        <f t="shared" ca="1" si="10"/>
        <v>7.4124365879983944E-2</v>
      </c>
      <c r="G90" s="13">
        <f ca="1"/>
        <v>0.99406135887115343</v>
      </c>
      <c r="H90" s="13" t="e">
        <f ca="1"/>
        <v>#VALUE!</v>
      </c>
      <c r="I90" s="13">
        <f ca="1"/>
        <v>0.99382314816590589</v>
      </c>
      <c r="J90" s="13">
        <f ca="1"/>
        <v>0.98184006352679032</v>
      </c>
      <c r="K90" s="13">
        <f ca="1"/>
        <v>0.98184006352679032</v>
      </c>
    </row>
    <row r="91" spans="1:11">
      <c r="A91" s="14">
        <f t="shared" ca="1" si="11"/>
        <v>43738</v>
      </c>
      <c r="B91" s="74">
        <f t="shared" ca="1" si="6"/>
        <v>2.7510644161597431E-2</v>
      </c>
      <c r="C91" s="74" t="e">
        <f t="shared" ca="1" si="7"/>
        <v>#VALUE!</v>
      </c>
      <c r="D91" s="74">
        <f t="shared" ca="1" si="8"/>
        <v>2.8484991580090546E-2</v>
      </c>
      <c r="E91" s="74">
        <f t="shared" ca="1" si="9"/>
        <v>7.4109034248591166E-2</v>
      </c>
      <c r="F91" s="74">
        <f t="shared" ca="1" si="10"/>
        <v>7.4109034248591166E-2</v>
      </c>
      <c r="G91" s="13">
        <f ca="1"/>
        <v>0.99398615940677815</v>
      </c>
      <c r="H91" s="13" t="e">
        <f ca="1"/>
        <v>#VALUE!</v>
      </c>
      <c r="I91" s="13">
        <f ca="1"/>
        <v>0.99374527839436955</v>
      </c>
      <c r="J91" s="13">
        <f ca="1"/>
        <v>0.98163698307232461</v>
      </c>
      <c r="K91" s="13">
        <f ca="1"/>
        <v>0.98163698307232461</v>
      </c>
    </row>
    <row r="92" spans="1:11">
      <c r="A92" s="14">
        <f t="shared" ca="1" si="11"/>
        <v>43739</v>
      </c>
      <c r="B92" s="74">
        <f t="shared" ca="1" si="6"/>
        <v>2.757346842093833E-2</v>
      </c>
      <c r="C92" s="74" t="e">
        <f t="shared" ca="1" si="7"/>
        <v>#VALUE!</v>
      </c>
      <c r="D92" s="74">
        <f t="shared" ca="1" si="8"/>
        <v>2.8547500677271742E-2</v>
      </c>
      <c r="E92" s="74">
        <f t="shared" ca="1" si="9"/>
        <v>7.4093705788417785E-2</v>
      </c>
      <c r="F92" s="74">
        <f t="shared" ca="1" si="10"/>
        <v>7.4093705788417785E-2</v>
      </c>
      <c r="G92" s="13">
        <f ca="1"/>
        <v>0.99391078777893815</v>
      </c>
      <c r="H92" s="13" t="e">
        <f ca="1"/>
        <v>#VALUE!</v>
      </c>
      <c r="I92" s="13">
        <f ca="1"/>
        <v>0.99366723732154738</v>
      </c>
      <c r="J92" s="13">
        <f ca="1"/>
        <v>0.98143394462232847</v>
      </c>
      <c r="K92" s="13">
        <f ca="1"/>
        <v>0.98143394462232847</v>
      </c>
    </row>
    <row r="93" spans="1:11">
      <c r="A93" s="14">
        <f t="shared" ca="1" si="11"/>
        <v>43740</v>
      </c>
      <c r="B93" s="74">
        <f t="shared" ca="1" si="6"/>
        <v>2.7636277242462093E-2</v>
      </c>
      <c r="C93" s="74" t="e">
        <f t="shared" ca="1" si="7"/>
        <v>#VALUE!</v>
      </c>
      <c r="D93" s="74">
        <f t="shared" ca="1" si="8"/>
        <v>2.8609993870295503E-2</v>
      </c>
      <c r="E93" s="74">
        <f t="shared" ca="1" si="9"/>
        <v>7.407838049865334E-2</v>
      </c>
      <c r="F93" s="74">
        <f t="shared" ca="1" si="10"/>
        <v>7.407838049865334E-2</v>
      </c>
      <c r="G93" s="13">
        <f ca="1"/>
        <v>0.99383524402983969</v>
      </c>
      <c r="H93" s="13" t="e">
        <f ca="1"/>
        <v>#VALUE!</v>
      </c>
      <c r="I93" s="13">
        <f ca="1"/>
        <v>0.99358902499092472</v>
      </c>
      <c r="J93" s="13">
        <f ca="1"/>
        <v>0.98123094816811363</v>
      </c>
      <c r="K93" s="13">
        <f ca="1"/>
        <v>0.98123094816811363</v>
      </c>
    </row>
    <row r="94" spans="1:11">
      <c r="A94" s="14">
        <f t="shared" ca="1" si="11"/>
        <v>43741</v>
      </c>
      <c r="B94" s="74">
        <f t="shared" ca="1" si="6"/>
        <v>2.769907059403387E-2</v>
      </c>
      <c r="C94" s="74" t="e">
        <f t="shared" ca="1" si="7"/>
        <v>#VALUE!</v>
      </c>
      <c r="D94" s="74">
        <f t="shared" ca="1" si="8"/>
        <v>2.86724711270675E-2</v>
      </c>
      <c r="E94" s="74">
        <f t="shared" ca="1" si="9"/>
        <v>7.5404435133780701E-2</v>
      </c>
      <c r="F94" s="74">
        <f t="shared" ca="1" si="10"/>
        <v>7.5413360498743365E-2</v>
      </c>
      <c r="G94" s="13">
        <f ca="1"/>
        <v>0.99375952820177815</v>
      </c>
      <c r="H94" s="13" t="e">
        <f ca="1"/>
        <v>#VALUE!</v>
      </c>
      <c r="I94" s="13">
        <f ca="1"/>
        <v>0.99351064144607459</v>
      </c>
      <c r="J94" s="13">
        <f ca="1"/>
        <v>0.98102799370099403</v>
      </c>
      <c r="K94" s="13">
        <f ca="1"/>
        <v>0.98102799370099403</v>
      </c>
    </row>
    <row r="95" spans="1:11">
      <c r="A95" s="14">
        <f t="shared" ca="1" si="11"/>
        <v>43742</v>
      </c>
      <c r="B95" s="74">
        <f t="shared" ca="1" si="6"/>
        <v>2.4338834167569323E-2</v>
      </c>
      <c r="C95" s="74" t="e">
        <f t="shared" ca="1" si="7"/>
        <v>#VALUE!</v>
      </c>
      <c r="D95" s="74">
        <f t="shared" ca="1" si="8"/>
        <v>2.5320738973323431E-2</v>
      </c>
      <c r="E95" s="74">
        <f t="shared" ca="1" si="9"/>
        <v>7.5388556266553497E-2</v>
      </c>
      <c r="F95" s="74">
        <f t="shared" ca="1" si="10"/>
        <v>7.5397477872265473E-2</v>
      </c>
      <c r="G95" s="13">
        <f ca="1"/>
        <v>0.99368364033713696</v>
      </c>
      <c r="H95" s="13" t="e">
        <f ca="1"/>
        <v>#VALUE!</v>
      </c>
      <c r="I95" s="13">
        <f ca="1"/>
        <v>0.99343208673065797</v>
      </c>
      <c r="J95" s="13">
        <f ca="1"/>
        <v>0.98082140620747682</v>
      </c>
      <c r="K95" s="13">
        <f ca="1"/>
        <v>0.98082138175442213</v>
      </c>
    </row>
    <row r="96" spans="1:11">
      <c r="A96" s="14">
        <f t="shared" ca="1" si="11"/>
        <v>43743</v>
      </c>
      <c r="B96" s="74">
        <f t="shared" ca="1" si="6"/>
        <v>2.4329288685255857E-2</v>
      </c>
      <c r="C96" s="74" t="e">
        <f t="shared" ca="1" si="7"/>
        <v>#VALUE!</v>
      </c>
      <c r="D96" s="74">
        <f t="shared" ca="1" si="8"/>
        <v>2.5311081468800123E-2</v>
      </c>
      <c r="E96" s="74">
        <f t="shared" ca="1" si="9"/>
        <v>7.5372680743133746E-2</v>
      </c>
      <c r="F96" s="74">
        <f t="shared" ca="1" si="10"/>
        <v>7.5381598590770205E-2</v>
      </c>
      <c r="G96" s="13">
        <f ca="1"/>
        <v>0.99361695859969157</v>
      </c>
      <c r="H96" s="13" t="e">
        <f ca="1"/>
        <v>#VALUE!</v>
      </c>
      <c r="I96" s="13">
        <f ca="1"/>
        <v>0.99336271484305982</v>
      </c>
      <c r="J96" s="13">
        <f ca="1"/>
        <v>0.98061486221770544</v>
      </c>
      <c r="K96" s="13">
        <f ca="1"/>
        <v>0.98061481332189537</v>
      </c>
    </row>
    <row r="97" spans="1:11">
      <c r="A97" s="14">
        <f t="shared" ca="1" si="11"/>
        <v>43744</v>
      </c>
      <c r="B97" s="74">
        <f t="shared" ca="1" si="6"/>
        <v>2.4319744893122053E-2</v>
      </c>
      <c r="C97" s="74" t="e">
        <f t="shared" ca="1" si="7"/>
        <v>#VALUE!</v>
      </c>
      <c r="D97" s="74">
        <f t="shared" ca="1" si="8"/>
        <v>2.530142572816807E-2</v>
      </c>
      <c r="E97" s="74">
        <f t="shared" ca="1" si="9"/>
        <v>7.5356808562832556E-2</v>
      </c>
      <c r="F97" s="74">
        <f t="shared" ca="1" si="10"/>
        <v>7.5365722653528144E-2</v>
      </c>
      <c r="G97" s="13">
        <f ca="1"/>
        <v>0.99355030301425251</v>
      </c>
      <c r="H97" s="13" t="e">
        <f ca="1"/>
        <v>#VALUE!</v>
      </c>
      <c r="I97" s="13">
        <f ca="1"/>
        <v>0.99329336941437818</v>
      </c>
      <c r="J97" s="13">
        <f ca="1"/>
        <v>0.98040836172251877</v>
      </c>
      <c r="K97" s="13">
        <f ca="1"/>
        <v>0.98040828839424943</v>
      </c>
    </row>
    <row r="98" spans="1:11">
      <c r="A98" s="14">
        <f t="shared" ca="1" si="11"/>
        <v>43745</v>
      </c>
      <c r="B98" s="74">
        <f t="shared" ca="1" si="6"/>
        <v>2.431020279023588E-2</v>
      </c>
      <c r="C98" s="74" t="e">
        <f t="shared" ca="1" si="7"/>
        <v>#VALUE!</v>
      </c>
      <c r="D98" s="74">
        <f t="shared" ca="1" si="8"/>
        <v>2.5291771750900471E-2</v>
      </c>
      <c r="E98" s="74">
        <f t="shared" ca="1" si="9"/>
        <v>7.5340939724961031E-2</v>
      </c>
      <c r="F98" s="74">
        <f t="shared" ca="1" si="10"/>
        <v>7.5349850059971968E-2</v>
      </c>
      <c r="G98" s="13">
        <f ca="1"/>
        <v>0.99348367357618916</v>
      </c>
      <c r="H98" s="13" t="e">
        <f ca="1"/>
        <v>#VALUE!</v>
      </c>
      <c r="I98" s="13">
        <f ca="1"/>
        <v>0.99322405043978046</v>
      </c>
      <c r="J98" s="13">
        <f ca="1"/>
        <v>0.98020190471275759</v>
      </c>
      <c r="K98" s="13">
        <f ca="1"/>
        <v>0.98020180696232195</v>
      </c>
    </row>
    <row r="99" spans="1:11">
      <c r="A99" s="14">
        <f t="shared" ca="1" si="11"/>
        <v>43746</v>
      </c>
      <c r="B99" s="74">
        <f t="shared" ca="1" si="6"/>
        <v>2.430066237611106E-2</v>
      </c>
      <c r="C99" s="74" t="e">
        <f t="shared" ca="1" si="7"/>
        <v>#VALUE!</v>
      </c>
      <c r="D99" s="74">
        <f t="shared" ca="1" si="8"/>
        <v>2.5282119536024772E-2</v>
      </c>
      <c r="E99" s="74">
        <f t="shared" ca="1" si="9"/>
        <v>7.5325074228749234E-2</v>
      </c>
      <c r="F99" s="74">
        <f t="shared" ca="1" si="10"/>
        <v>7.5333980809210166E-2</v>
      </c>
      <c r="G99" s="13">
        <f ca="1"/>
        <v>0.99341707028087345</v>
      </c>
      <c r="H99" s="13" t="e">
        <f ca="1"/>
        <v>#VALUE!</v>
      </c>
      <c r="I99" s="13">
        <f ca="1"/>
        <v>0.99315475791443553</v>
      </c>
      <c r="J99" s="13">
        <f ca="1"/>
        <v>0.97999549117926454</v>
      </c>
      <c r="K99" s="13">
        <f ca="1"/>
        <v>0.97999536901695217</v>
      </c>
    </row>
    <row r="100" spans="1:11">
      <c r="A100" s="14">
        <f t="shared" ca="1" si="11"/>
        <v>43747</v>
      </c>
      <c r="B100" s="74">
        <f t="shared" ca="1" si="6"/>
        <v>2.4291123649896607E-2</v>
      </c>
      <c r="C100" s="74" t="e">
        <f t="shared" ca="1" si="7"/>
        <v>#VALUE!</v>
      </c>
      <c r="D100" s="74">
        <f t="shared" ca="1" si="8"/>
        <v>2.5272469082852078E-2</v>
      </c>
      <c r="E100" s="74">
        <f t="shared" ca="1" si="9"/>
        <v>7.5309212073548792E-2</v>
      </c>
      <c r="F100" s="74">
        <f t="shared" ca="1" si="10"/>
        <v>7.5318114900715938E-2</v>
      </c>
      <c r="G100" s="13">
        <f ca="1"/>
        <v>0.99335049312367862</v>
      </c>
      <c r="H100" s="13" t="e">
        <f ca="1"/>
        <v>#VALUE!</v>
      </c>
      <c r="I100" s="13">
        <f ca="1"/>
        <v>0.99308549183351491</v>
      </c>
      <c r="J100" s="13">
        <f ca="1"/>
        <v>0.97978912111288441</v>
      </c>
      <c r="K100" s="13">
        <f ca="1"/>
        <v>0.97978897454898173</v>
      </c>
    </row>
    <row r="101" spans="1:11">
      <c r="A101" s="14">
        <f t="shared" ca="1" si="11"/>
        <v>43748</v>
      </c>
      <c r="B101" s="74">
        <f t="shared" ca="1" si="6"/>
        <v>2.428158661094415E-2</v>
      </c>
      <c r="C101" s="74" t="e">
        <f t="shared" ca="1" si="7"/>
        <v>#VALUE!</v>
      </c>
      <c r="D101" s="74">
        <f t="shared" ca="1" si="8"/>
        <v>2.526282039061245E-2</v>
      </c>
      <c r="E101" s="74">
        <f t="shared" ca="1" si="9"/>
        <v>7.5293353258670814E-2</v>
      </c>
      <c r="F101" s="74">
        <f t="shared" ca="1" si="10"/>
        <v>7.5302252333638298E-2</v>
      </c>
      <c r="G101" s="13">
        <f ca="1"/>
        <v>0.99328394209998028</v>
      </c>
      <c r="H101" s="13" t="e">
        <f ca="1"/>
        <v>#VALUE!</v>
      </c>
      <c r="I101" s="13">
        <f ca="1"/>
        <v>0.99301625219219203</v>
      </c>
      <c r="J101" s="13">
        <f ca="1"/>
        <v>0.97958279450446373</v>
      </c>
      <c r="K101" s="13">
        <f ca="1"/>
        <v>0.97958262354925374</v>
      </c>
    </row>
    <row r="102" spans="1:11">
      <c r="A102" s="14">
        <f t="shared" ca="1" si="11"/>
        <v>43749</v>
      </c>
      <c r="B102" s="74">
        <f t="shared" ca="1" si="6"/>
        <v>2.4272051258321659E-2</v>
      </c>
      <c r="C102" s="74" t="e">
        <f t="shared" ca="1" si="7"/>
        <v>#VALUE!</v>
      </c>
      <c r="D102" s="74">
        <f t="shared" ca="1" si="8"/>
        <v>2.5253173458616995E-2</v>
      </c>
      <c r="E102" s="74">
        <f t="shared" ca="1" si="9"/>
        <v>7.5277497783385883E-2</v>
      </c>
      <c r="F102" s="74">
        <f t="shared" ca="1" si="10"/>
        <v>7.5286393107369398E-2</v>
      </c>
      <c r="G102" s="13">
        <f ca="1"/>
        <v>0.99321741720515577</v>
      </c>
      <c r="H102" s="13" t="e">
        <f ca="1"/>
        <v>#VALUE!</v>
      </c>
      <c r="I102" s="13">
        <f ca="1"/>
        <v>0.99294703898564241</v>
      </c>
      <c r="J102" s="13">
        <f ca="1"/>
        <v>0.97937651134485093</v>
      </c>
      <c r="K102" s="13">
        <f ca="1"/>
        <v>0.97937631600861363</v>
      </c>
    </row>
    <row r="103" spans="1:11">
      <c r="A103" s="14">
        <f t="shared" ca="1" si="11"/>
        <v>43750</v>
      </c>
      <c r="B103" s="74">
        <f t="shared" ca="1" si="6"/>
        <v>2.4262517591461807E-2</v>
      </c>
      <c r="C103" s="74" t="e">
        <f t="shared" ca="1" si="7"/>
        <v>#VALUE!</v>
      </c>
      <c r="D103" s="74">
        <f t="shared" ca="1" si="8"/>
        <v>2.5243528285974204E-2</v>
      </c>
      <c r="E103" s="74">
        <f t="shared" ca="1" si="9"/>
        <v>7.5261645646924058E-2</v>
      </c>
      <c r="F103" s="74">
        <f t="shared" ca="1" si="10"/>
        <v>7.52705372211393E-2</v>
      </c>
      <c r="G103" s="13">
        <f ca="1"/>
        <v>0.99315091843458503</v>
      </c>
      <c r="H103" s="13" t="e">
        <f ca="1"/>
        <v>#VALUE!</v>
      </c>
      <c r="I103" s="13">
        <f ca="1"/>
        <v>0.99287785220904345</v>
      </c>
      <c r="J103" s="13">
        <f ca="1"/>
        <v>0.97917027162489645</v>
      </c>
      <c r="K103" s="13">
        <f ca="1"/>
        <v>0.97917005191790851</v>
      </c>
    </row>
    <row r="104" spans="1:11">
      <c r="A104" s="14">
        <f t="shared" ca="1" si="11"/>
        <v>43751</v>
      </c>
      <c r="B104" s="74">
        <f t="shared" ca="1" si="6"/>
        <v>2.4252985609594657E-2</v>
      </c>
      <c r="C104" s="74" t="e">
        <f t="shared" ca="1" si="7"/>
        <v>#VALUE!</v>
      </c>
      <c r="D104" s="74">
        <f t="shared" ca="1" si="8"/>
        <v>2.5233884872238321E-2</v>
      </c>
      <c r="E104" s="74">
        <f t="shared" ca="1" si="9"/>
        <v>7.5245796848718016E-2</v>
      </c>
      <c r="F104" s="74">
        <f t="shared" ca="1" si="10"/>
        <v>7.5254684674340155E-2</v>
      </c>
      <c r="G104" s="13">
        <f ca="1"/>
        <v>0.99308444578364952</v>
      </c>
      <c r="H104" s="13" t="e">
        <f ca="1"/>
        <v>#VALUE!</v>
      </c>
      <c r="I104" s="13">
        <f ca="1"/>
        <v>0.99280869185757503</v>
      </c>
      <c r="J104" s="13">
        <f ca="1"/>
        <v>0.97896407533545282</v>
      </c>
      <c r="K104" s="13">
        <f ca="1"/>
        <v>0.97896383126798758</v>
      </c>
    </row>
    <row r="105" spans="1:11">
      <c r="A105" s="14">
        <f t="shared" ca="1" si="11"/>
        <v>43752</v>
      </c>
      <c r="B105" s="74">
        <f t="shared" ca="1" si="6"/>
        <v>2.4243455312071838E-2</v>
      </c>
      <c r="C105" s="74" t="e">
        <f t="shared" ca="1" si="7"/>
        <v>#VALUE!</v>
      </c>
      <c r="D105" s="74">
        <f t="shared" ca="1" si="8"/>
        <v>2.5224243216315223E-2</v>
      </c>
      <c r="E105" s="74">
        <f t="shared" ca="1" si="9"/>
        <v>7.5229951387957295E-2</v>
      </c>
      <c r="F105" s="74">
        <f t="shared" ca="1" si="10"/>
        <v>7.5238835466161502E-2</v>
      </c>
      <c r="G105" s="13">
        <f ca="1"/>
        <v>0.99301799924773282</v>
      </c>
      <c r="H105" s="13" t="e">
        <f ca="1"/>
        <v>#VALUE!</v>
      </c>
      <c r="I105" s="13">
        <f ca="1"/>
        <v>0.99273955792641821</v>
      </c>
      <c r="J105" s="13">
        <f ca="1"/>
        <v>0.97875792246737414</v>
      </c>
      <c r="K105" s="13">
        <f ca="1"/>
        <v>0.97875765404970172</v>
      </c>
    </row>
    <row r="106" spans="1:11">
      <c r="A106" s="14">
        <f t="shared" ca="1" si="11"/>
        <v>43753</v>
      </c>
      <c r="B106" s="74">
        <f t="shared" ca="1" si="6"/>
        <v>2.423392669788027E-2</v>
      </c>
      <c r="C106" s="74" t="e">
        <f t="shared" ca="1" si="7"/>
        <v>#VALUE!</v>
      </c>
      <c r="D106" s="74">
        <f t="shared" ca="1" si="8"/>
        <v>2.5214603317678108E-2</v>
      </c>
      <c r="E106" s="74">
        <f t="shared" ca="1" si="9"/>
        <v>7.5214109263993523E-2</v>
      </c>
      <c r="F106" s="74">
        <f t="shared" ca="1" si="10"/>
        <v>7.522298959595497E-2</v>
      </c>
      <c r="G106" s="13">
        <f ca="1"/>
        <v>0.99295157882222029</v>
      </c>
      <c r="H106" s="13" t="e">
        <f ca="1"/>
        <v>#VALUE!</v>
      </c>
      <c r="I106" s="13">
        <f ca="1"/>
        <v>0.99267045041075708</v>
      </c>
      <c r="J106" s="13">
        <f ca="1"/>
        <v>0.97855181301151672</v>
      </c>
      <c r="K106" s="13">
        <f ca="1"/>
        <v>0.97855152025390402</v>
      </c>
    </row>
    <row r="107" spans="1:11">
      <c r="A107" s="14">
        <f t="shared" ca="1" si="11"/>
        <v>43754</v>
      </c>
      <c r="B107" s="74">
        <f t="shared" ca="1" si="6"/>
        <v>2.4224399766574201E-2</v>
      </c>
      <c r="C107" s="74" t="e">
        <f t="shared" ca="1" si="7"/>
        <v>#VALUE!</v>
      </c>
      <c r="D107" s="74">
        <f t="shared" ca="1" si="8"/>
        <v>2.5204965175394944E-2</v>
      </c>
      <c r="E107" s="74">
        <f t="shared" ca="1" si="9"/>
        <v>7.5198270476097284E-2</v>
      </c>
      <c r="F107" s="74">
        <f t="shared" ca="1" si="10"/>
        <v>7.5207147063031665E-2</v>
      </c>
      <c r="G107" s="13">
        <f ca="1"/>
        <v>0.99288518450250007</v>
      </c>
      <c r="H107" s="13" t="e">
        <f ca="1"/>
        <v>#VALUE!</v>
      </c>
      <c r="I107" s="13">
        <f ca="1"/>
        <v>0.99260136930577714</v>
      </c>
      <c r="J107" s="13">
        <f ca="1"/>
        <v>0.97834574695873866</v>
      </c>
      <c r="K107" s="13">
        <f ca="1"/>
        <v>0.97834542987144935</v>
      </c>
    </row>
    <row r="108" spans="1:11">
      <c r="A108" s="14">
        <f t="shared" ca="1" si="11"/>
        <v>43755</v>
      </c>
      <c r="B108" s="74">
        <f t="shared" ca="1" si="6"/>
        <v>2.4214874517302643E-2</v>
      </c>
      <c r="C108" s="74" t="e">
        <f t="shared" ca="1" si="7"/>
        <v>#VALUE!</v>
      </c>
      <c r="D108" s="74">
        <f t="shared" ca="1" si="8"/>
        <v>2.5195328788938931E-2</v>
      </c>
      <c r="E108" s="74">
        <f t="shared" ca="1" si="9"/>
        <v>7.5182435023579686E-2</v>
      </c>
      <c r="F108" s="74">
        <f t="shared" ca="1" si="10"/>
        <v>7.5191307866621648E-2</v>
      </c>
      <c r="G108" s="13">
        <f ca="1"/>
        <v>0.99281881628396151</v>
      </c>
      <c r="H108" s="13" t="e">
        <f ca="1"/>
        <v>#VALUE!</v>
      </c>
      <c r="I108" s="13">
        <f ca="1"/>
        <v>0.99253231460666647</v>
      </c>
      <c r="J108" s="13">
        <f ca="1"/>
        <v>0.97813972429990004</v>
      </c>
      <c r="K108" s="13">
        <f ca="1"/>
        <v>0.97813938289319446</v>
      </c>
    </row>
    <row r="109" spans="1:11">
      <c r="A109" s="14">
        <f t="shared" ca="1" si="11"/>
        <v>43756</v>
      </c>
      <c r="B109" s="74">
        <f t="shared" ca="1" si="6"/>
        <v>2.4205350949376703E-2</v>
      </c>
      <c r="C109" s="74" t="e">
        <f t="shared" ca="1" si="7"/>
        <v>#VALUE!</v>
      </c>
      <c r="D109" s="74">
        <f t="shared" ca="1" si="8"/>
        <v>2.5185694157256466E-2</v>
      </c>
      <c r="E109" s="74">
        <f t="shared" ca="1" si="9"/>
        <v>7.5166602905751834E-2</v>
      </c>
      <c r="F109" s="74">
        <f t="shared" ca="1" si="10"/>
        <v>7.5175472006117072E-2</v>
      </c>
      <c r="G109" s="13">
        <f ca="1"/>
        <v>0.9927524741619963</v>
      </c>
      <c r="H109" s="13" t="e">
        <f ca="1"/>
        <v>#VALUE!</v>
      </c>
      <c r="I109" s="13">
        <f ca="1"/>
        <v>0.99246328630861458</v>
      </c>
      <c r="J109" s="13">
        <f ca="1"/>
        <v>0.97793374502586283</v>
      </c>
      <c r="K109" s="13">
        <f ca="1"/>
        <v>0.97793337930999824</v>
      </c>
    </row>
    <row r="110" spans="1:11">
      <c r="A110" s="14">
        <f t="shared" ca="1" si="11"/>
        <v>43757</v>
      </c>
      <c r="B110" s="74">
        <f t="shared" ca="1" si="6"/>
        <v>2.4195829062107488E-2</v>
      </c>
      <c r="C110" s="74" t="e">
        <f t="shared" ca="1" si="7"/>
        <v>#VALUE!</v>
      </c>
      <c r="D110" s="74">
        <f t="shared" ca="1" si="8"/>
        <v>2.5176061280023365E-2</v>
      </c>
      <c r="E110" s="74">
        <f t="shared" ca="1" si="9"/>
        <v>7.5150774121843789E-2</v>
      </c>
      <c r="F110" s="74">
        <f t="shared" ca="1" si="10"/>
        <v>7.5159639480707474E-2</v>
      </c>
      <c r="G110" s="13">
        <f ca="1"/>
        <v>0.99268615813199801</v>
      </c>
      <c r="H110" s="13" t="e">
        <f ca="1"/>
        <v>#VALUE!</v>
      </c>
      <c r="I110" s="13">
        <f ca="1"/>
        <v>0.99239428440681388</v>
      </c>
      <c r="J110" s="13">
        <f ca="1"/>
        <v>0.97772780912749091</v>
      </c>
      <c r="K110" s="13">
        <f ca="1"/>
        <v>0.97772741911272121</v>
      </c>
    </row>
    <row r="111" spans="1:11">
      <c r="A111" s="14">
        <f t="shared" ca="1" si="11"/>
        <v>43758</v>
      </c>
      <c r="B111" s="74">
        <f t="shared" ca="1" si="6"/>
        <v>2.4186308854481919E-2</v>
      </c>
      <c r="C111" s="74" t="e">
        <f t="shared" ca="1" si="7"/>
        <v>#VALUE!</v>
      </c>
      <c r="D111" s="74">
        <f t="shared" ca="1" si="8"/>
        <v>2.5166430156145503E-2</v>
      </c>
      <c r="E111" s="74">
        <f t="shared" ca="1" si="9"/>
        <v>7.5134948671247703E-2</v>
      </c>
      <c r="F111" s="74">
        <f t="shared" ca="1" si="10"/>
        <v>7.5143810289785007E-2</v>
      </c>
      <c r="G111" s="13">
        <f ca="1"/>
        <v>0.9926198681893621</v>
      </c>
      <c r="H111" s="13" t="e">
        <f ca="1"/>
        <v>#VALUE!</v>
      </c>
      <c r="I111" s="13">
        <f ca="1"/>
        <v>0.99232530889645765</v>
      </c>
      <c r="J111" s="13">
        <f ca="1"/>
        <v>0.97752191659565024</v>
      </c>
      <c r="K111" s="13">
        <f ca="1"/>
        <v>0.97752150229222612</v>
      </c>
    </row>
    <row r="112" spans="1:11">
      <c r="A112" s="14">
        <f t="shared" ca="1" si="11"/>
        <v>43759</v>
      </c>
      <c r="B112" s="74">
        <f t="shared" ca="1" si="6"/>
        <v>2.4176790326135289E-2</v>
      </c>
      <c r="C112" s="74" t="e">
        <f t="shared" ca="1" si="7"/>
        <v>#VALUE!</v>
      </c>
      <c r="D112" s="74">
        <f t="shared" ca="1" si="8"/>
        <v>2.5156800784974509E-2</v>
      </c>
      <c r="E112" s="74">
        <f t="shared" ca="1" si="9"/>
        <v>7.5119126553193638E-2</v>
      </c>
      <c r="F112" s="74">
        <f t="shared" ca="1" si="10"/>
        <v>7.5127984432620254E-2</v>
      </c>
      <c r="G112" s="13">
        <f ca="1"/>
        <v>0.9925536043294868</v>
      </c>
      <c r="H112" s="13" t="e">
        <f ca="1"/>
        <v>#VALUE!</v>
      </c>
      <c r="I112" s="13">
        <f ca="1"/>
        <v>0.99225635977274218</v>
      </c>
      <c r="J112" s="13">
        <f ca="1"/>
        <v>0.97731606742120847</v>
      </c>
      <c r="K112" s="13">
        <f ca="1"/>
        <v>0.97731562883937739</v>
      </c>
    </row>
    <row r="113" spans="1:11">
      <c r="A113" s="14">
        <f t="shared" ca="1" si="11"/>
        <v>43760</v>
      </c>
      <c r="B113" s="74">
        <f t="shared" ca="1" si="6"/>
        <v>2.4167273476095041E-2</v>
      </c>
      <c r="C113" s="74" t="e">
        <f t="shared" ca="1" si="7"/>
        <v>#VALUE!</v>
      </c>
      <c r="D113" s="74">
        <f t="shared" ca="1" si="8"/>
        <v>2.5147173165780967E-2</v>
      </c>
      <c r="E113" s="74">
        <f t="shared" ca="1" si="9"/>
        <v>7.5103307767033223E-2</v>
      </c>
      <c r="F113" s="74">
        <f t="shared" ca="1" si="10"/>
        <v>7.5112161908483799E-2</v>
      </c>
      <c r="G113" s="13">
        <f ca="1"/>
        <v>0.99248736654777137</v>
      </c>
      <c r="H113" s="13" t="e">
        <f ca="1"/>
        <v>#VALUE!</v>
      </c>
      <c r="I113" s="13">
        <f ca="1"/>
        <v>0.99218743703086554</v>
      </c>
      <c r="J113" s="13">
        <f ca="1"/>
        <v>0.97711026159503533</v>
      </c>
      <c r="K113" s="13">
        <f ca="1"/>
        <v>0.97710979874504145</v>
      </c>
    </row>
    <row r="114" spans="1:11">
      <c r="A114" s="14">
        <f t="shared" ca="1" si="11"/>
        <v>43761</v>
      </c>
      <c r="B114" s="74">
        <f t="shared" ca="1" si="6"/>
        <v>2.4157758303834376E-2</v>
      </c>
      <c r="C114" s="74" t="e">
        <f t="shared" ca="1" si="7"/>
        <v>#VALUE!</v>
      </c>
      <c r="D114" s="74">
        <f t="shared" ca="1" si="8"/>
        <v>2.5137547297835461E-2</v>
      </c>
      <c r="E114" s="74">
        <f t="shared" ca="1" si="9"/>
        <v>7.5087492311996518E-2</v>
      </c>
      <c r="F114" s="74">
        <f t="shared" ca="1" si="10"/>
        <v>7.5096342716727271E-2</v>
      </c>
      <c r="G114" s="13">
        <f ca="1"/>
        <v>0.99242115483961768</v>
      </c>
      <c r="H114" s="13" t="e">
        <f ca="1"/>
        <v>#VALUE!</v>
      </c>
      <c r="I114" s="13">
        <f ca="1"/>
        <v>0.99211854066602778</v>
      </c>
      <c r="J114" s="13">
        <f ca="1"/>
        <v>0.97690449910800237</v>
      </c>
      <c r="K114" s="13">
        <f ca="1"/>
        <v>0.9769040120000867</v>
      </c>
    </row>
    <row r="115" spans="1:11">
      <c r="A115" s="14">
        <f t="shared" ca="1" si="11"/>
        <v>43762</v>
      </c>
      <c r="B115" s="74">
        <f t="shared" ca="1" si="6"/>
        <v>2.414824480829969E-2</v>
      </c>
      <c r="C115" s="74" t="e">
        <f t="shared" ca="1" si="7"/>
        <v>#VALUE!</v>
      </c>
      <c r="D115" s="74">
        <f t="shared" ca="1" si="8"/>
        <v>2.5127923180205958E-2</v>
      </c>
      <c r="E115" s="74">
        <f t="shared" ca="1" si="9"/>
        <v>7.5071680187435152E-2</v>
      </c>
      <c r="F115" s="74">
        <f t="shared" ca="1" si="10"/>
        <v>7.5080526856540208E-2</v>
      </c>
      <c r="G115" s="13">
        <f ca="1"/>
        <v>0.99235496920042909</v>
      </c>
      <c r="H115" s="13" t="e">
        <f ca="1"/>
        <v>#VALUE!</v>
      </c>
      <c r="I115" s="13">
        <f ca="1"/>
        <v>0.99204967067343097</v>
      </c>
      <c r="J115" s="13">
        <f ca="1"/>
        <v>0.9766987799509832</v>
      </c>
      <c r="K115" s="13">
        <f ca="1"/>
        <v>0.97669826859538333</v>
      </c>
    </row>
    <row r="116" spans="1:11">
      <c r="A116" s="14">
        <f t="shared" ca="1" si="11"/>
        <v>43763</v>
      </c>
      <c r="B116" s="74">
        <f t="shared" ca="1" si="6"/>
        <v>2.4138732989045231E-2</v>
      </c>
      <c r="C116" s="74" t="e">
        <f t="shared" ca="1" si="7"/>
        <v>#VALUE!</v>
      </c>
      <c r="D116" s="74">
        <f t="shared" ca="1" si="8"/>
        <v>2.5118300812568273E-2</v>
      </c>
      <c r="E116" s="74">
        <f t="shared" ca="1" si="9"/>
        <v>7.5055871392660234E-2</v>
      </c>
      <c r="F116" s="74">
        <f t="shared" ca="1" si="10"/>
        <v>7.5064714327355286E-2</v>
      </c>
      <c r="G116" s="13">
        <f ca="1"/>
        <v>0.99228880962561183</v>
      </c>
      <c r="H116" s="13" t="e">
        <f ca="1"/>
        <v>#VALUE!</v>
      </c>
      <c r="I116" s="13">
        <f ca="1"/>
        <v>0.99198082704827972</v>
      </c>
      <c r="J116" s="13">
        <f ca="1"/>
        <v>0.97649310411485324</v>
      </c>
      <c r="K116" s="13">
        <f ca="1"/>
        <v>0.97649256852180377</v>
      </c>
    </row>
    <row r="117" spans="1:11">
      <c r="A117" s="14">
        <f t="shared" ca="1" si="11"/>
        <v>43764</v>
      </c>
      <c r="B117" s="74">
        <f t="shared" ca="1" si="6"/>
        <v>2.4129222845260534E-2</v>
      </c>
      <c r="C117" s="74" t="e">
        <f t="shared" ca="1" si="7"/>
        <v>#VALUE!</v>
      </c>
      <c r="D117" s="74">
        <f t="shared" ca="1" si="8"/>
        <v>2.5108680193747235E-2</v>
      </c>
      <c r="E117" s="74">
        <f t="shared" ca="1" si="9"/>
        <v>7.5040065926901822E-2</v>
      </c>
      <c r="F117" s="74">
        <f t="shared" ca="1" si="10"/>
        <v>7.5048905128362042E-2</v>
      </c>
      <c r="G117" s="13">
        <f ca="1"/>
        <v>0.99222267611057335</v>
      </c>
      <c r="H117" s="13" t="e">
        <f ca="1"/>
        <v>#VALUE!</v>
      </c>
      <c r="I117" s="13">
        <f ca="1"/>
        <v>0.99191200978577954</v>
      </c>
      <c r="J117" s="13">
        <f ca="1"/>
        <v>0.97628747159048979</v>
      </c>
      <c r="K117" s="13">
        <f ca="1"/>
        <v>0.97628691177022198</v>
      </c>
    </row>
    <row r="118" spans="1:11">
      <c r="A118" s="14">
        <f t="shared" ca="1" si="11"/>
        <v>43765</v>
      </c>
      <c r="B118" s="74">
        <f t="shared" ca="1" si="6"/>
        <v>2.4119714376256707E-2</v>
      </c>
      <c r="C118" s="74" t="e">
        <f t="shared" ca="1" si="7"/>
        <v>#VALUE!</v>
      </c>
      <c r="D118" s="74">
        <f t="shared" ca="1" si="8"/>
        <v>2.509906132317552E-2</v>
      </c>
      <c r="E118" s="74">
        <f t="shared" ca="1" si="9"/>
        <v>7.5024263789511547E-2</v>
      </c>
      <c r="F118" s="74">
        <f t="shared" ca="1" si="10"/>
        <v>7.5033099258952629E-2</v>
      </c>
      <c r="G118" s="13">
        <f ca="1"/>
        <v>0.99215656865072333</v>
      </c>
      <c r="H118" s="13" t="e">
        <f ca="1"/>
        <v>#VALUE!</v>
      </c>
      <c r="I118" s="13">
        <f ca="1"/>
        <v>0.99184321888113913</v>
      </c>
      <c r="J118" s="13">
        <f ca="1"/>
        <v>0.97608188236877225</v>
      </c>
      <c r="K118" s="13">
        <f ca="1"/>
        <v>0.97608129833151414</v>
      </c>
    </row>
    <row r="119" spans="1:11">
      <c r="A119" s="14">
        <f t="shared" ca="1" si="11"/>
        <v>43766</v>
      </c>
      <c r="B119" s="74">
        <f t="shared" ca="1" si="6"/>
        <v>2.4110207581101717E-2</v>
      </c>
      <c r="C119" s="74" t="e">
        <f t="shared" ca="1" si="7"/>
        <v>#VALUE!</v>
      </c>
      <c r="D119" s="74">
        <f t="shared" ca="1" si="8"/>
        <v>2.5089444200123712E-2</v>
      </c>
      <c r="E119" s="74">
        <f t="shared" ca="1" si="9"/>
        <v>7.5008464979800515E-2</v>
      </c>
      <c r="F119" s="74">
        <f t="shared" ca="1" si="10"/>
        <v>7.5017296718316584E-2</v>
      </c>
      <c r="G119" s="13">
        <f ca="1"/>
        <v>0.99209048724147331</v>
      </c>
      <c r="H119" s="13" t="e">
        <f ca="1"/>
        <v>#VALUE!</v>
      </c>
      <c r="I119" s="13">
        <f ca="1"/>
        <v>0.99177445432956879</v>
      </c>
      <c r="J119" s="13">
        <f ca="1"/>
        <v>0.9758763364405818</v>
      </c>
      <c r="K119" s="13">
        <f ca="1"/>
        <v>0.9758757281965581</v>
      </c>
    </row>
    <row r="120" spans="1:11">
      <c r="A120" s="14">
        <f t="shared" ca="1" si="11"/>
        <v>43767</v>
      </c>
      <c r="B120" s="74">
        <f t="shared" ca="1" si="6"/>
        <v>2.4100702459268764E-2</v>
      </c>
      <c r="C120" s="74" t="e">
        <f t="shared" ca="1" si="7"/>
        <v>#VALUE!</v>
      </c>
      <c r="D120" s="74">
        <f t="shared" ca="1" si="8"/>
        <v>2.5079828823659778E-2</v>
      </c>
      <c r="E120" s="74">
        <f t="shared" ca="1" si="9"/>
        <v>7.4992669496998787E-2</v>
      </c>
      <c r="F120" s="74">
        <f t="shared" ca="1" si="10"/>
        <v>7.5001497505886583E-2</v>
      </c>
      <c r="G120" s="13">
        <f ca="1"/>
        <v>0.99202443187823741</v>
      </c>
      <c r="H120" s="13" t="e">
        <f ca="1"/>
        <v>#VALUE!</v>
      </c>
      <c r="I120" s="13">
        <f ca="1"/>
        <v>0.99170571612628078</v>
      </c>
      <c r="J120" s="13">
        <f ca="1"/>
        <v>0.97567083379680153</v>
      </c>
      <c r="K120" s="13">
        <f ca="1"/>
        <v>0.97567020135623395</v>
      </c>
    </row>
    <row r="121" spans="1:11">
      <c r="A121" s="14">
        <f t="shared" ca="1" si="11"/>
        <v>43768</v>
      </c>
      <c r="B121" s="74">
        <f t="shared" ca="1" si="6"/>
        <v>2.4091199009987907E-2</v>
      </c>
      <c r="C121" s="74" t="e">
        <f t="shared" ca="1" si="7"/>
        <v>#VALUE!</v>
      </c>
      <c r="D121" s="74">
        <f t="shared" ca="1" si="8"/>
        <v>2.507021519341901E-2</v>
      </c>
      <c r="E121" s="74">
        <f t="shared" ca="1" si="9"/>
        <v>7.4976877340539039E-2</v>
      </c>
      <c r="F121" s="74">
        <f t="shared" ca="1" si="10"/>
        <v>7.4985701620892686E-2</v>
      </c>
      <c r="G121" s="13">
        <f ca="1"/>
        <v>0.9919584025564312</v>
      </c>
      <c r="H121" s="13" t="e">
        <f ca="1"/>
        <v>#VALUE!</v>
      </c>
      <c r="I121" s="13">
        <f ca="1"/>
        <v>0.99163700426648993</v>
      </c>
      <c r="J121" s="13">
        <f ca="1"/>
        <v>0.9754653744283166</v>
      </c>
      <c r="K121" s="13">
        <f ca="1"/>
        <v>0.9754647178014233</v>
      </c>
    </row>
    <row r="122" spans="1:11">
      <c r="A122" s="14">
        <f t="shared" ca="1" si="11"/>
        <v>43769</v>
      </c>
      <c r="B122" s="74">
        <f t="shared" ca="1" si="6"/>
        <v>2.4081697232570254E-2</v>
      </c>
      <c r="C122" s="74" t="e">
        <f t="shared" ca="1" si="7"/>
        <v>#VALUE!</v>
      </c>
      <c r="D122" s="74">
        <f t="shared" ca="1" si="8"/>
        <v>2.5060603308307283E-2</v>
      </c>
      <c r="E122" s="74">
        <f t="shared" ca="1" si="9"/>
        <v>7.4961088509529761E-2</v>
      </c>
      <c r="F122" s="74">
        <f t="shared" ca="1" si="10"/>
        <v>7.4969909062564954E-2</v>
      </c>
      <c r="G122" s="13">
        <f ca="1"/>
        <v>0.99189239927147232</v>
      </c>
      <c r="H122" s="13" t="e">
        <f ca="1"/>
        <v>#VALUE!</v>
      </c>
      <c r="I122" s="13">
        <f ca="1"/>
        <v>0.99156831874541207</v>
      </c>
      <c r="J122" s="13">
        <f ca="1"/>
        <v>0.97525995832601375</v>
      </c>
      <c r="K122" s="13">
        <f ca="1"/>
        <v>0.97525927752300989</v>
      </c>
    </row>
    <row r="123" spans="1:11">
      <c r="A123" s="14">
        <f t="shared" ca="1" si="11"/>
        <v>43770</v>
      </c>
      <c r="B123" s="74">
        <f t="shared" ca="1" si="6"/>
        <v>2.4072197126043249E-2</v>
      </c>
      <c r="C123" s="74" t="e">
        <f t="shared" ca="1" si="7"/>
        <v>#VALUE!</v>
      </c>
      <c r="D123" s="74">
        <f t="shared" ca="1" si="8"/>
        <v>2.5050993167676228E-2</v>
      </c>
      <c r="E123" s="74">
        <f t="shared" ca="1" si="9"/>
        <v>7.4945303003444153E-2</v>
      </c>
      <c r="F123" s="74">
        <f t="shared" ca="1" si="10"/>
        <v>7.495411983029554E-2</v>
      </c>
      <c r="G123" s="13">
        <f ca="1"/>
        <v>0.99182642201878035</v>
      </c>
      <c r="H123" s="13" t="e">
        <f ca="1"/>
        <v>#VALUE!</v>
      </c>
      <c r="I123" s="13">
        <f ca="1"/>
        <v>0.99149965955826602</v>
      </c>
      <c r="J123" s="13">
        <f ca="1"/>
        <v>0.97505458548078217</v>
      </c>
      <c r="K123" s="13">
        <f ca="1"/>
        <v>0.97505388051187958</v>
      </c>
    </row>
    <row r="124" spans="1:11">
      <c r="A124" s="14">
        <f t="shared" ca="1" si="11"/>
        <v>43771</v>
      </c>
      <c r="B124" s="74">
        <f t="shared" ca="1" si="6"/>
        <v>2.406269869000166E-2</v>
      </c>
      <c r="C124" s="74" t="e">
        <f t="shared" ca="1" si="7"/>
        <v>#VALUE!</v>
      </c>
      <c r="D124" s="74">
        <f t="shared" ca="1" si="8"/>
        <v>2.5041384770877473E-2</v>
      </c>
      <c r="E124" s="74">
        <f t="shared" ca="1" si="9"/>
        <v>7.4929520821471751E-2</v>
      </c>
      <c r="F124" s="74">
        <f t="shared" ca="1" si="10"/>
        <v>7.493833392339555E-2</v>
      </c>
      <c r="G124" s="13">
        <f ca="1"/>
        <v>0.99176047079377749</v>
      </c>
      <c r="H124" s="13" t="e">
        <f ca="1"/>
        <v>#VALUE!</v>
      </c>
      <c r="I124" s="13">
        <f ca="1"/>
        <v>0.99143102670027239</v>
      </c>
      <c r="J124" s="13">
        <f ca="1"/>
        <v>0.97484925588351246</v>
      </c>
      <c r="K124" s="13">
        <f ca="1"/>
        <v>0.97484852675891986</v>
      </c>
    </row>
    <row r="125" spans="1:11">
      <c r="A125" s="14">
        <f t="shared" ca="1" si="11"/>
        <v>43772</v>
      </c>
      <c r="B125" s="74">
        <f t="shared" ca="1" si="6"/>
        <v>2.4053201923472933E-2</v>
      </c>
      <c r="C125" s="74" t="e">
        <f t="shared" ca="1" si="7"/>
        <v>#VALUE!</v>
      </c>
      <c r="D125" s="74">
        <f t="shared" ca="1" si="8"/>
        <v>2.503177811701951E-2</v>
      </c>
      <c r="E125" s="74">
        <f t="shared" ca="1" si="9"/>
        <v>7.4913741962964187E-2</v>
      </c>
      <c r="F125" s="74">
        <f t="shared" ca="1" si="10"/>
        <v>7.4922551341095045E-2</v>
      </c>
      <c r="G125" s="13">
        <f ca="1"/>
        <v>0.99169454559188708</v>
      </c>
      <c r="H125" s="13" t="e">
        <f ca="1"/>
        <v>#VALUE!</v>
      </c>
      <c r="I125" s="13">
        <f ca="1"/>
        <v>0.99136242016665355</v>
      </c>
      <c r="J125" s="13">
        <f ca="1"/>
        <v>0.97464396952509746</v>
      </c>
      <c r="K125" s="13">
        <f ca="1"/>
        <v>0.97464321625502015</v>
      </c>
    </row>
    <row r="126" spans="1:11">
      <c r="A126" s="14">
        <f t="shared" ca="1" si="11"/>
        <v>43773</v>
      </c>
      <c r="B126" s="74">
        <f t="shared" ca="1" si="6"/>
        <v>2.404370682584922E-2</v>
      </c>
      <c r="C126" s="74" t="e">
        <f t="shared" ca="1" si="7"/>
        <v>#VALUE!</v>
      </c>
      <c r="D126" s="74">
        <f t="shared" ca="1" si="8"/>
        <v>2.5022173205291875E-2</v>
      </c>
      <c r="E126" s="74">
        <f t="shared" ca="1" si="9"/>
        <v>7.4897966427232565E-2</v>
      </c>
      <c r="F126" s="74">
        <f t="shared" ca="1" si="10"/>
        <v>7.4906772082705131E-2</v>
      </c>
      <c r="G126" s="13">
        <f ca="1"/>
        <v>0.9916286464085351</v>
      </c>
      <c r="H126" s="13" t="e">
        <f ca="1"/>
        <v>#VALUE!</v>
      </c>
      <c r="I126" s="13">
        <f ca="1"/>
        <v>0.99129383995263431</v>
      </c>
      <c r="J126" s="13">
        <f ca="1"/>
        <v>0.97443872639643181</v>
      </c>
      <c r="K126" s="13">
        <f ca="1"/>
        <v>0.97443794899107194</v>
      </c>
    </row>
    <row r="127" spans="1:11">
      <c r="A127" s="14">
        <f t="shared" ca="1" si="11"/>
        <v>43774</v>
      </c>
      <c r="B127" s="74">
        <f t="shared" ca="1" si="6"/>
        <v>2.4034213396522675E-2</v>
      </c>
      <c r="C127" s="74" t="e">
        <f t="shared" ca="1" si="7"/>
        <v>#VALUE!</v>
      </c>
      <c r="D127" s="74">
        <f t="shared" ca="1" si="8"/>
        <v>2.5012570035370385E-2</v>
      </c>
      <c r="E127" s="74">
        <f t="shared" ca="1" si="9"/>
        <v>7.4882194213547471E-2</v>
      </c>
      <c r="F127" s="74">
        <f t="shared" ca="1" si="10"/>
        <v>7.4890996147617961E-2</v>
      </c>
      <c r="G127" s="13">
        <f ca="1"/>
        <v>0.99156277323914921</v>
      </c>
      <c r="H127" s="13" t="e">
        <f ca="1"/>
        <v>#VALUE!</v>
      </c>
      <c r="I127" s="13">
        <f ca="1"/>
        <v>0.99122528605344173</v>
      </c>
      <c r="J127" s="13">
        <f ca="1"/>
        <v>0.97423352648841199</v>
      </c>
      <c r="K127" s="13">
        <f ca="1"/>
        <v>0.97423272495796864</v>
      </c>
    </row>
    <row r="128" spans="1:11">
      <c r="A128" s="14">
        <f t="shared" ca="1" si="11"/>
        <v>43775</v>
      </c>
      <c r="B128" s="74">
        <f t="shared" ca="1" si="6"/>
        <v>2.4024721634358648E-2</v>
      </c>
      <c r="C128" s="74" t="e">
        <f t="shared" ca="1" si="7"/>
        <v>#VALUE!</v>
      </c>
      <c r="D128" s="74">
        <f t="shared" ca="1" si="8"/>
        <v>2.5002968606079867E-2</v>
      </c>
      <c r="E128" s="74">
        <f t="shared" ca="1" si="9"/>
        <v>7.4866425321220009E-2</v>
      </c>
      <c r="F128" s="74">
        <f t="shared" ca="1" si="10"/>
        <v>7.4875223534982549E-2</v>
      </c>
      <c r="G128" s="13">
        <f ca="1"/>
        <v>0.99149692607915874</v>
      </c>
      <c r="H128" s="13" t="e">
        <f ca="1"/>
        <v>#VALUE!</v>
      </c>
      <c r="I128" s="13">
        <f ca="1"/>
        <v>0.99115675846430373</v>
      </c>
      <c r="J128" s="13">
        <f ca="1"/>
        <v>0.97402836979193652</v>
      </c>
      <c r="K128" s="13">
        <f ca="1"/>
        <v>0.97402754414660531</v>
      </c>
    </row>
    <row r="129" spans="1:11">
      <c r="A129" s="14">
        <f t="shared" ca="1" si="11"/>
        <v>43776</v>
      </c>
      <c r="B129" s="74">
        <f t="shared" ca="1" si="6"/>
        <v>2.4015231538992432E-2</v>
      </c>
      <c r="C129" s="74" t="e">
        <f t="shared" ca="1" si="7"/>
        <v>#VALUE!</v>
      </c>
      <c r="D129" s="74">
        <f t="shared" ca="1" si="8"/>
        <v>2.4993368916852998E-2</v>
      </c>
      <c r="E129" s="74">
        <f t="shared" ca="1" si="9"/>
        <v>7.4850659749520765E-2</v>
      </c>
      <c r="F129" s="74">
        <f t="shared" ca="1" si="10"/>
        <v>7.4859454244231571E-2</v>
      </c>
      <c r="G129" s="13">
        <f ca="1"/>
        <v>0.99143110492399611</v>
      </c>
      <c r="H129" s="13" t="e">
        <f ca="1"/>
        <v>#VALUE!</v>
      </c>
      <c r="I129" s="13">
        <f ca="1"/>
        <v>0.99108825718045146</v>
      </c>
      <c r="J129" s="13">
        <f ca="1"/>
        <v>0.97382325629790578</v>
      </c>
      <c r="K129" s="13">
        <f ca="1"/>
        <v>0.97382240654787933</v>
      </c>
    </row>
    <row r="130" spans="1:11">
      <c r="A130" s="14">
        <f t="shared" ca="1" si="11"/>
        <v>43777</v>
      </c>
      <c r="B130" s="74">
        <f t="shared" ref="B130:B193" ca="1" si="12">(G130-G131)/($A131-$A130)*365</f>
        <v>2.4005743109573041E-2</v>
      </c>
      <c r="C130" s="74" t="e">
        <f t="shared" ref="C130:C193" ca="1" si="13">(H130-H131)/($A131-$A130)*365</f>
        <v>#VALUE!</v>
      </c>
      <c r="D130" s="74">
        <f t="shared" ref="D130:D193" ca="1" si="14">(I130-I131)/($A131-$A130)*365</f>
        <v>2.4983770966838792E-2</v>
      </c>
      <c r="E130" s="74">
        <f t="shared" ref="E130:E193" ca="1" si="15">(J130-J131)/($A131-$A130)*365</f>
        <v>7.4834897497801367E-2</v>
      </c>
      <c r="F130" s="74">
        <f t="shared" ref="F130:F193" ca="1" si="16">(K130-K131)/($A131-$A130)*365</f>
        <v>7.4843688274554565E-2</v>
      </c>
      <c r="G130" s="13">
        <f ca="1"/>
        <v>0.99136530976909476</v>
      </c>
      <c r="H130" s="13" t="e">
        <f ca="1"/>
        <v>#VALUE!</v>
      </c>
      <c r="I130" s="13">
        <f ca="1"/>
        <v>0.99101978219711762</v>
      </c>
      <c r="J130" s="13">
        <f ca="1"/>
        <v>0.97361818599722216</v>
      </c>
      <c r="K130" s="13">
        <f ca="1"/>
        <v>0.97361731215268965</v>
      </c>
    </row>
    <row r="131" spans="1:11">
      <c r="A131" s="14">
        <f t="shared" ca="1" si="11"/>
        <v>43778</v>
      </c>
      <c r="B131" s="74">
        <f t="shared" ca="1" si="12"/>
        <v>2.3996256345533151E-2</v>
      </c>
      <c r="C131" s="74" t="e">
        <f t="shared" ca="1" si="13"/>
        <v>#VALUE!</v>
      </c>
      <c r="D131" s="74">
        <f t="shared" ca="1" si="14"/>
        <v>2.4974174755388878E-2</v>
      </c>
      <c r="E131" s="74">
        <f t="shared" ca="1" si="15"/>
        <v>7.4819138565332399E-2</v>
      </c>
      <c r="F131" s="74">
        <f t="shared" ca="1" si="16"/>
        <v>7.4827925625384206E-2</v>
      </c>
      <c r="G131" s="13">
        <f ca="1"/>
        <v>0.99129954060989045</v>
      </c>
      <c r="H131" s="13" t="e">
        <f ca="1"/>
        <v>#VALUE!</v>
      </c>
      <c r="I131" s="13">
        <f ca="1"/>
        <v>0.99095133350953724</v>
      </c>
      <c r="J131" s="13">
        <f ca="1"/>
        <v>0.97341315888078983</v>
      </c>
      <c r="K131" s="13">
        <f ca="1"/>
        <v>0.97341226095193745</v>
      </c>
    </row>
    <row r="132" spans="1:11">
      <c r="A132" s="14">
        <f t="shared" ref="A132:A195" ca="1" si="17">A131+1</f>
        <v>43779</v>
      </c>
      <c r="B132" s="74">
        <f t="shared" ca="1" si="12"/>
        <v>2.3986771245738114E-2</v>
      </c>
      <c r="C132" s="74" t="e">
        <f t="shared" ca="1" si="13"/>
        <v>#VALUE!</v>
      </c>
      <c r="D132" s="74">
        <f t="shared" ca="1" si="14"/>
        <v>2.4964580281652271E-2</v>
      </c>
      <c r="E132" s="74">
        <f t="shared" ca="1" si="15"/>
        <v>7.4803382951424968E-2</v>
      </c>
      <c r="F132" s="74">
        <f t="shared" ca="1" si="16"/>
        <v>7.4812166295950555E-2</v>
      </c>
      <c r="G132" s="13">
        <f ca="1"/>
        <v>0.9912337974418205</v>
      </c>
      <c r="H132" s="13" t="e">
        <f ca="1"/>
        <v>#VALUE!</v>
      </c>
      <c r="I132" s="13">
        <f ca="1"/>
        <v>0.99088291111294713</v>
      </c>
      <c r="J132" s="13">
        <f ca="1"/>
        <v>0.97320817493951495</v>
      </c>
      <c r="K132" s="13">
        <f ca="1"/>
        <v>0.97320725293652544</v>
      </c>
    </row>
    <row r="133" spans="1:11">
      <c r="A133" s="14">
        <f t="shared" ca="1" si="17"/>
        <v>43780</v>
      </c>
      <c r="B133" s="74">
        <f t="shared" ca="1" si="12"/>
        <v>2.3977287809823222E-2</v>
      </c>
      <c r="C133" s="74" t="e">
        <f t="shared" ca="1" si="13"/>
        <v>#VALUE!</v>
      </c>
      <c r="D133" s="74">
        <f t="shared" ca="1" si="14"/>
        <v>2.4954987545142693E-2</v>
      </c>
      <c r="E133" s="74">
        <f t="shared" ca="1" si="15"/>
        <v>7.478763065539018E-2</v>
      </c>
      <c r="F133" s="74">
        <f t="shared" ca="1" si="16"/>
        <v>7.4796410285443149E-2</v>
      </c>
      <c r="G133" s="13">
        <f ca="1"/>
        <v>0.99116808026032532</v>
      </c>
      <c r="H133" s="13" t="e">
        <f ca="1"/>
        <v>#VALUE!</v>
      </c>
      <c r="I133" s="13">
        <f ca="1"/>
        <v>0.99081451500258644</v>
      </c>
      <c r="J133" s="13">
        <f ca="1"/>
        <v>0.97300323416430556</v>
      </c>
      <c r="K133" s="13">
        <f ca="1"/>
        <v>0.97300228809735845</v>
      </c>
    </row>
    <row r="134" spans="1:11">
      <c r="A134" s="14">
        <f t="shared" ca="1" si="17"/>
        <v>43781</v>
      </c>
      <c r="B134" s="74">
        <f t="shared" ca="1" si="12"/>
        <v>2.3967806036937489E-2</v>
      </c>
      <c r="C134" s="74" t="e">
        <f t="shared" ca="1" si="13"/>
        <v>#VALUE!</v>
      </c>
      <c r="D134" s="74">
        <f t="shared" ca="1" si="14"/>
        <v>2.4945396544887588E-2</v>
      </c>
      <c r="E134" s="74">
        <f t="shared" ca="1" si="15"/>
        <v>7.4771881676498619E-2</v>
      </c>
      <c r="F134" s="74">
        <f t="shared" ca="1" si="16"/>
        <v>7.4780657593416233E-2</v>
      </c>
      <c r="G134" s="13">
        <f ca="1"/>
        <v>0.99110238906084636</v>
      </c>
      <c r="H134" s="13" t="e">
        <f ca="1"/>
        <v>#VALUE!</v>
      </c>
      <c r="I134" s="13">
        <f ca="1"/>
        <v>0.99074614517369564</v>
      </c>
      <c r="J134" s="13">
        <f ca="1"/>
        <v>0.97279833654607162</v>
      </c>
      <c r="K134" s="13">
        <f ca="1"/>
        <v>0.97279736642534353</v>
      </c>
    </row>
    <row r="135" spans="1:11">
      <c r="A135" s="14">
        <f t="shared" ca="1" si="17"/>
        <v>43782</v>
      </c>
      <c r="B135" s="74">
        <f t="shared" ca="1" si="12"/>
        <v>2.3958325926513591E-2</v>
      </c>
      <c r="C135" s="74" t="e">
        <f t="shared" ca="1" si="13"/>
        <v>#VALUE!</v>
      </c>
      <c r="D135" s="74">
        <f t="shared" ca="1" si="14"/>
        <v>2.493580728015754E-2</v>
      </c>
      <c r="E135" s="74">
        <f t="shared" ca="1" si="15"/>
        <v>7.4756136014061392E-2</v>
      </c>
      <c r="F135" s="74">
        <f t="shared" ca="1" si="16"/>
        <v>7.4764908218897252E-2</v>
      </c>
      <c r="G135" s="13">
        <f ca="1"/>
        <v>0.99103672383882735</v>
      </c>
      <c r="H135" s="13" t="e">
        <f ca="1"/>
        <v>#VALUE!</v>
      </c>
      <c r="I135" s="13">
        <f ca="1"/>
        <v>0.99067780162151786</v>
      </c>
      <c r="J135" s="13">
        <f ca="1"/>
        <v>0.97259348207572505</v>
      </c>
      <c r="K135" s="13">
        <f ca="1"/>
        <v>0.97259248791138897</v>
      </c>
    </row>
    <row r="136" spans="1:11">
      <c r="A136" s="14">
        <f t="shared" ca="1" si="17"/>
        <v>43783</v>
      </c>
      <c r="B136" s="74">
        <f t="shared" ca="1" si="12"/>
        <v>2.3948847477416879E-2</v>
      </c>
      <c r="C136" s="74" t="e">
        <f t="shared" ca="1" si="13"/>
        <v>#VALUE!</v>
      </c>
      <c r="D136" s="74">
        <f t="shared" ca="1" si="14"/>
        <v>2.4926219750263656E-2</v>
      </c>
      <c r="E136" s="74">
        <f t="shared" ca="1" si="15"/>
        <v>7.4740393667389604E-2</v>
      </c>
      <c r="F136" s="74">
        <f t="shared" ca="1" si="16"/>
        <v>7.4749162161399929E-2</v>
      </c>
      <c r="G136" s="13">
        <f ca="1"/>
        <v>0.99097108458971361</v>
      </c>
      <c r="H136" s="13" t="e">
        <f ca="1"/>
        <v>#VALUE!</v>
      </c>
      <c r="I136" s="13">
        <f ca="1"/>
        <v>0.99060948434129825</v>
      </c>
      <c r="J136" s="13">
        <f ca="1"/>
        <v>0.97238867074417967</v>
      </c>
      <c r="K136" s="13">
        <f ca="1"/>
        <v>0.97238765254640569</v>
      </c>
    </row>
    <row r="137" spans="1:11">
      <c r="A137" s="14">
        <f t="shared" ca="1" si="17"/>
        <v>43784</v>
      </c>
      <c r="B137" s="74">
        <f t="shared" ca="1" si="12"/>
        <v>2.3939370689282646E-2</v>
      </c>
      <c r="C137" s="74" t="e">
        <f t="shared" ca="1" si="13"/>
        <v>#VALUE!</v>
      </c>
      <c r="D137" s="74">
        <f t="shared" ca="1" si="14"/>
        <v>2.4916633954435996E-2</v>
      </c>
      <c r="E137" s="74">
        <f t="shared" ca="1" si="15"/>
        <v>7.4724654635794363E-2</v>
      </c>
      <c r="F137" s="74">
        <f t="shared" ca="1" si="16"/>
        <v>7.47334194201138E-2</v>
      </c>
      <c r="G137" s="13">
        <f ca="1"/>
        <v>0.99090547130895357</v>
      </c>
      <c r="H137" s="13" t="e">
        <f ca="1"/>
        <v>#VALUE!</v>
      </c>
      <c r="I137" s="13">
        <f ca="1"/>
        <v>0.99054119332828383</v>
      </c>
      <c r="J137" s="13">
        <f ca="1"/>
        <v>0.97218390254235121</v>
      </c>
      <c r="K137" s="13">
        <f ca="1"/>
        <v>0.97218286032130596</v>
      </c>
    </row>
    <row r="138" spans="1:11">
      <c r="A138" s="14">
        <f t="shared" ca="1" si="17"/>
        <v>43785</v>
      </c>
      <c r="B138" s="74">
        <f t="shared" ca="1" si="12"/>
        <v>2.3929895561340953E-2</v>
      </c>
      <c r="C138" s="74" t="e">
        <f t="shared" ca="1" si="13"/>
        <v>#VALUE!</v>
      </c>
      <c r="D138" s="74">
        <f t="shared" ca="1" si="14"/>
        <v>2.4907049891823574E-2</v>
      </c>
      <c r="E138" s="74">
        <f t="shared" ca="1" si="15"/>
        <v>7.4708918918546252E-2</v>
      </c>
      <c r="F138" s="74">
        <f t="shared" ca="1" si="16"/>
        <v>7.4717679994349973E-2</v>
      </c>
      <c r="G138" s="13">
        <f ca="1"/>
        <v>0.99083988399199663</v>
      </c>
      <c r="H138" s="13" t="e">
        <f ca="1"/>
        <v>#VALUE!</v>
      </c>
      <c r="I138" s="13">
        <f ca="1"/>
        <v>0.99047292857772373</v>
      </c>
      <c r="J138" s="13">
        <f ca="1"/>
        <v>0.97197917746115725</v>
      </c>
      <c r="K138" s="13">
        <f ca="1"/>
        <v>0.97197811122700428</v>
      </c>
    </row>
    <row r="139" spans="1:11">
      <c r="A139" s="14">
        <f t="shared" ca="1" si="17"/>
        <v>43786</v>
      </c>
      <c r="B139" s="74">
        <f t="shared" ca="1" si="12"/>
        <v>2.3920422092700289E-2</v>
      </c>
      <c r="C139" s="74" t="e">
        <f t="shared" ca="1" si="13"/>
        <v>#VALUE!</v>
      </c>
      <c r="D139" s="74">
        <f t="shared" ca="1" si="14"/>
        <v>2.4897467562021158E-2</v>
      </c>
      <c r="E139" s="74">
        <f t="shared" ca="1" si="15"/>
        <v>7.4693186514996901E-2</v>
      </c>
      <c r="F139" s="74">
        <f t="shared" ca="1" si="16"/>
        <v>7.4701943883460076E-2</v>
      </c>
      <c r="G139" s="13">
        <f ca="1"/>
        <v>0.99077432263429432</v>
      </c>
      <c r="H139" s="13" t="e">
        <f ca="1"/>
        <v>#VALUE!</v>
      </c>
      <c r="I139" s="13">
        <f ca="1"/>
        <v>0.99040469008486942</v>
      </c>
      <c r="J139" s="13">
        <f ca="1"/>
        <v>0.9717744954915174</v>
      </c>
      <c r="K139" s="13">
        <f ca="1"/>
        <v>0.97177340525441702</v>
      </c>
    </row>
    <row r="140" spans="1:11">
      <c r="A140" s="14">
        <f t="shared" ca="1" si="17"/>
        <v>43787</v>
      </c>
      <c r="B140" s="74">
        <f t="shared" ca="1" si="12"/>
        <v>2.39109502829149E-2</v>
      </c>
      <c r="C140" s="74" t="e">
        <f t="shared" ca="1" si="13"/>
        <v>#VALUE!</v>
      </c>
      <c r="D140" s="74">
        <f t="shared" ca="1" si="14"/>
        <v>2.4887886964015671E-2</v>
      </c>
      <c r="E140" s="74">
        <f t="shared" ca="1" si="15"/>
        <v>7.4677457424416893E-2</v>
      </c>
      <c r="F140" s="74">
        <f t="shared" ca="1" si="16"/>
        <v>7.4686211086714693E-2</v>
      </c>
      <c r="G140" s="13">
        <f ca="1"/>
        <v>0.99070878723130062</v>
      </c>
      <c r="H140" s="13" t="e">
        <f ca="1"/>
        <v>#VALUE!</v>
      </c>
      <c r="I140" s="13">
        <f ca="1"/>
        <v>0.99033647784497347</v>
      </c>
      <c r="J140" s="13">
        <f ca="1"/>
        <v>0.97156985662435302</v>
      </c>
      <c r="K140" s="13">
        <f ca="1"/>
        <v>0.97156874239446234</v>
      </c>
    </row>
    <row r="141" spans="1:11">
      <c r="A141" s="14">
        <f t="shared" ca="1" si="17"/>
        <v>43788</v>
      </c>
      <c r="B141" s="74">
        <f t="shared" ca="1" si="12"/>
        <v>2.3901480130850139E-2</v>
      </c>
      <c r="C141" s="74" t="e">
        <f t="shared" ca="1" si="13"/>
        <v>#VALUE!</v>
      </c>
      <c r="D141" s="74">
        <f t="shared" ca="1" si="14"/>
        <v>2.4878308097037172E-2</v>
      </c>
      <c r="E141" s="74">
        <f t="shared" ca="1" si="15"/>
        <v>7.4661731646076812E-2</v>
      </c>
      <c r="F141" s="74">
        <f t="shared" ca="1" si="16"/>
        <v>7.4670481603384409E-2</v>
      </c>
      <c r="G141" s="13">
        <f ca="1"/>
        <v>0.99064327777847072</v>
      </c>
      <c r="H141" s="13" t="e">
        <f ca="1"/>
        <v>#VALUE!</v>
      </c>
      <c r="I141" s="13">
        <f ca="1"/>
        <v>0.99026829185329124</v>
      </c>
      <c r="J141" s="13">
        <f ca="1"/>
        <v>0.9713652608505875</v>
      </c>
      <c r="K141" s="13">
        <f ca="1"/>
        <v>0.97136412263806038</v>
      </c>
    </row>
    <row r="142" spans="1:11">
      <c r="A142" s="14">
        <f t="shared" ca="1" si="17"/>
        <v>43789</v>
      </c>
      <c r="B142" s="74">
        <f t="shared" ca="1" si="12"/>
        <v>2.3892011636060251E-2</v>
      </c>
      <c r="C142" s="74" t="e">
        <f t="shared" ca="1" si="13"/>
        <v>#VALUE!</v>
      </c>
      <c r="D142" s="74">
        <f t="shared" ca="1" si="14"/>
        <v>2.4868730960477814E-2</v>
      </c>
      <c r="E142" s="74">
        <f t="shared" ca="1" si="15"/>
        <v>7.4646009179368811E-2</v>
      </c>
      <c r="F142" s="74">
        <f t="shared" ca="1" si="16"/>
        <v>7.4654755432820852E-2</v>
      </c>
      <c r="G142" s="13">
        <f ca="1"/>
        <v>0.99057779427126291</v>
      </c>
      <c r="H142" s="13" t="e">
        <f ca="1"/>
        <v>#VALUE!</v>
      </c>
      <c r="I142" s="13">
        <f ca="1"/>
        <v>0.99020013210508018</v>
      </c>
      <c r="J142" s="13">
        <f ca="1"/>
        <v>0.97116070816114619</v>
      </c>
      <c r="K142" s="13">
        <f ca="1"/>
        <v>0.9711595459761333</v>
      </c>
    </row>
    <row r="143" spans="1:11">
      <c r="A143" s="14">
        <f t="shared" ca="1" si="17"/>
        <v>43790</v>
      </c>
      <c r="B143" s="74">
        <f t="shared" ca="1" si="12"/>
        <v>2.3882544797815819E-2</v>
      </c>
      <c r="C143" s="74" t="e">
        <f t="shared" ca="1" si="13"/>
        <v>#VALUE!</v>
      </c>
      <c r="D143" s="74">
        <f t="shared" ca="1" si="14"/>
        <v>2.4859155553405565E-2</v>
      </c>
      <c r="E143" s="74">
        <f t="shared" ca="1" si="15"/>
        <v>7.4630290023482426E-2</v>
      </c>
      <c r="F143" s="74">
        <f t="shared" ca="1" si="16"/>
        <v>7.4639032574335129E-2</v>
      </c>
      <c r="G143" s="13">
        <f ca="1"/>
        <v>0.99051233670513672</v>
      </c>
      <c r="H143" s="13" t="e">
        <f ca="1"/>
        <v>#VALUE!</v>
      </c>
      <c r="I143" s="13">
        <f ca="1"/>
        <v>0.99013199859559942</v>
      </c>
      <c r="J143" s="13">
        <f ca="1"/>
        <v>0.97095619854695614</v>
      </c>
      <c r="K143" s="13">
        <f ca="1"/>
        <v>0.97095501239960502</v>
      </c>
    </row>
    <row r="144" spans="1:11">
      <c r="A144" s="14">
        <f t="shared" ca="1" si="17"/>
        <v>43791</v>
      </c>
      <c r="B144" s="74">
        <f t="shared" ca="1" si="12"/>
        <v>2.387307961542795E-2</v>
      </c>
      <c r="C144" s="74" t="e">
        <f t="shared" ca="1" si="13"/>
        <v>#VALUE!</v>
      </c>
      <c r="D144" s="74">
        <f t="shared" ca="1" si="14"/>
        <v>2.4849581875455717E-2</v>
      </c>
      <c r="E144" s="74">
        <f t="shared" ca="1" si="15"/>
        <v>7.4614574177809811E-2</v>
      </c>
      <c r="F144" s="74">
        <f t="shared" ca="1" si="16"/>
        <v>7.4623313027157301E-2</v>
      </c>
      <c r="G144" s="13">
        <f ca="1"/>
        <v>0.99044690507555366</v>
      </c>
      <c r="H144" s="13" t="e">
        <f ca="1"/>
        <v>#VALUE!</v>
      </c>
      <c r="I144" s="13">
        <f ca="1"/>
        <v>0.99006389132011063</v>
      </c>
      <c r="J144" s="13">
        <f ca="1"/>
        <v>0.9707517319989466</v>
      </c>
      <c r="K144" s="13">
        <f ca="1"/>
        <v>0.97075052189940136</v>
      </c>
    </row>
    <row r="145" spans="1:11">
      <c r="A145" s="14">
        <f t="shared" ca="1" si="17"/>
        <v>43792</v>
      </c>
      <c r="B145" s="74">
        <f t="shared" ca="1" si="12"/>
        <v>2.3863616087843043E-2</v>
      </c>
      <c r="C145" s="74" t="e">
        <f t="shared" ca="1" si="13"/>
        <v>#VALUE!</v>
      </c>
      <c r="D145" s="74">
        <f t="shared" ca="1" si="14"/>
        <v>2.4840009925534146E-2</v>
      </c>
      <c r="E145" s="74">
        <f t="shared" ca="1" si="15"/>
        <v>7.459886164162155E-2</v>
      </c>
      <c r="F145" s="74">
        <f t="shared" ca="1" si="16"/>
        <v>7.4607596790638997E-2</v>
      </c>
      <c r="G145" s="13">
        <f ca="1"/>
        <v>0.99038149937797715</v>
      </c>
      <c r="H145" s="13" t="e">
        <f ca="1"/>
        <v>#VALUE!</v>
      </c>
      <c r="I145" s="13">
        <f ca="1"/>
        <v>0.98999581027387651</v>
      </c>
      <c r="J145" s="13">
        <f ca="1"/>
        <v>0.97054730850804849</v>
      </c>
      <c r="K145" s="13">
        <f ca="1"/>
        <v>0.97054607446645025</v>
      </c>
    </row>
    <row r="146" spans="1:11">
      <c r="A146" s="14">
        <f t="shared" ca="1" si="17"/>
        <v>43793</v>
      </c>
      <c r="B146" s="74">
        <f t="shared" ca="1" si="12"/>
        <v>2.3854154214696388E-2</v>
      </c>
      <c r="C146" s="74" t="e">
        <f t="shared" ca="1" si="13"/>
        <v>#VALUE!</v>
      </c>
      <c r="D146" s="74">
        <f t="shared" ca="1" si="14"/>
        <v>2.4830439702992479E-2</v>
      </c>
      <c r="E146" s="74">
        <f t="shared" ca="1" si="15"/>
        <v>7.4583152414228748E-2</v>
      </c>
      <c r="F146" s="74">
        <f t="shared" ca="1" si="16"/>
        <v>7.4591883864131847E-2</v>
      </c>
      <c r="G146" s="13">
        <f ca="1"/>
        <v>0.99031611960787347</v>
      </c>
      <c r="H146" s="13" t="e">
        <f ca="1"/>
        <v>#VALUE!</v>
      </c>
      <c r="I146" s="13">
        <f ca="1"/>
        <v>0.98992775545216272</v>
      </c>
      <c r="J146" s="13">
        <f ca="1"/>
        <v>0.97034292806519473</v>
      </c>
      <c r="K146" s="13">
        <f ca="1"/>
        <v>0.97034167009168137</v>
      </c>
    </row>
    <row r="147" spans="1:11">
      <c r="A147" s="14">
        <f t="shared" ca="1" si="17"/>
        <v>43794</v>
      </c>
      <c r="B147" s="74">
        <f t="shared" ca="1" si="12"/>
        <v>2.3844693995137001E-2</v>
      </c>
      <c r="C147" s="74" t="e">
        <f t="shared" ca="1" si="13"/>
        <v>#VALUE!</v>
      </c>
      <c r="D147" s="74">
        <f t="shared" ca="1" si="14"/>
        <v>2.4820871207101303E-2</v>
      </c>
      <c r="E147" s="74">
        <f t="shared" ca="1" si="15"/>
        <v>7.4567446494861467E-2</v>
      </c>
      <c r="F147" s="74">
        <f t="shared" ca="1" si="16"/>
        <v>7.4576174246825389E-2</v>
      </c>
      <c r="G147" s="13">
        <f ca="1"/>
        <v>0.99025076576070992</v>
      </c>
      <c r="H147" s="13" t="e">
        <f ca="1"/>
        <v>#VALUE!</v>
      </c>
      <c r="I147" s="13">
        <f ca="1"/>
        <v>0.98985972685023671</v>
      </c>
      <c r="J147" s="13">
        <f ca="1"/>
        <v>0.97013859066132013</v>
      </c>
      <c r="K147" s="13">
        <f ca="1"/>
        <v>0.97013730876602622</v>
      </c>
    </row>
    <row r="148" spans="1:11">
      <c r="A148" s="14">
        <f t="shared" ca="1" si="17"/>
        <v>43795</v>
      </c>
      <c r="B148" s="74">
        <f t="shared" ca="1" si="12"/>
        <v>2.3835235428557033E-2</v>
      </c>
      <c r="C148" s="74" t="e">
        <f t="shared" ca="1" si="13"/>
        <v>#VALUE!</v>
      </c>
      <c r="D148" s="74">
        <f t="shared" ca="1" si="14"/>
        <v>2.4811304437171722E-2</v>
      </c>
      <c r="E148" s="74">
        <f t="shared" ca="1" si="15"/>
        <v>7.4551743882992905E-2</v>
      </c>
      <c r="F148" s="74">
        <f t="shared" ca="1" si="16"/>
        <v>7.4560467938111774E-2</v>
      </c>
      <c r="G148" s="13">
        <f ca="1"/>
        <v>0.99018543783195612</v>
      </c>
      <c r="H148" s="13" t="e">
        <f ca="1"/>
        <v>#VALUE!</v>
      </c>
      <c r="I148" s="13">
        <f ca="1"/>
        <v>0.98979172446336794</v>
      </c>
      <c r="J148" s="13">
        <f ca="1"/>
        <v>0.96993429628736161</v>
      </c>
      <c r="K148" s="13">
        <f ca="1"/>
        <v>0.96993299048041848</v>
      </c>
    </row>
    <row r="149" spans="1:11">
      <c r="A149" s="14">
        <f t="shared" ca="1" si="17"/>
        <v>43796</v>
      </c>
      <c r="B149" s="74">
        <f t="shared" ca="1" si="12"/>
        <v>2.3825778513862361E-2</v>
      </c>
      <c r="C149" s="74" t="e">
        <f t="shared" ca="1" si="13"/>
        <v>#VALUE!</v>
      </c>
      <c r="D149" s="74">
        <f t="shared" ca="1" si="14"/>
        <v>2.4801739392231181E-2</v>
      </c>
      <c r="E149" s="74">
        <f t="shared" ca="1" si="15"/>
        <v>7.4536044577731553E-2</v>
      </c>
      <c r="F149" s="74">
        <f t="shared" ca="1" si="16"/>
        <v>7.4544764937261587E-2</v>
      </c>
      <c r="G149" s="13">
        <f ca="1"/>
        <v>0.99012013581708336</v>
      </c>
      <c r="H149" s="13" t="e">
        <f ca="1"/>
        <v>#VALUE!</v>
      </c>
      <c r="I149" s="13">
        <f ca="1"/>
        <v>0.98972374828682774</v>
      </c>
      <c r="J149" s="13">
        <f ca="1"/>
        <v>0.96973004493425752</v>
      </c>
      <c r="K149" s="13">
        <f ca="1"/>
        <v>0.96972871522579351</v>
      </c>
    </row>
    <row r="150" spans="1:11">
      <c r="A150" s="14">
        <f t="shared" ca="1" si="17"/>
        <v>43797</v>
      </c>
      <c r="B150" s="74">
        <f t="shared" ca="1" si="12"/>
        <v>2.3816323250647753E-2</v>
      </c>
      <c r="C150" s="74" t="e">
        <f t="shared" ca="1" si="13"/>
        <v>#VALUE!</v>
      </c>
      <c r="D150" s="74">
        <f t="shared" ca="1" si="14"/>
        <v>2.4792176071996019E-2</v>
      </c>
      <c r="E150" s="74">
        <f t="shared" ca="1" si="15"/>
        <v>7.452034857855061E-2</v>
      </c>
      <c r="F150" s="74">
        <f t="shared" ca="1" si="16"/>
        <v>7.4529065243585935E-2</v>
      </c>
      <c r="G150" s="13">
        <f ca="1"/>
        <v>0.99005485971156593</v>
      </c>
      <c r="H150" s="13" t="e">
        <f ca="1"/>
        <v>#VALUE!</v>
      </c>
      <c r="I150" s="13">
        <f ca="1"/>
        <v>0.98965579831589012</v>
      </c>
      <c r="J150" s="13">
        <f ca="1"/>
        <v>0.96952583659294866</v>
      </c>
      <c r="K150" s="13">
        <f ca="1"/>
        <v>0.96952448299308869</v>
      </c>
    </row>
    <row r="151" spans="1:11">
      <c r="A151" s="14">
        <f t="shared" ca="1" si="17"/>
        <v>43798</v>
      </c>
      <c r="B151" s="74">
        <f t="shared" ca="1" si="12"/>
        <v>2.3806869638183792E-2</v>
      </c>
      <c r="C151" s="74" t="e">
        <f t="shared" ca="1" si="13"/>
        <v>#VALUE!</v>
      </c>
      <c r="D151" s="74">
        <f t="shared" ca="1" si="14"/>
        <v>2.4782614475372111E-2</v>
      </c>
      <c r="E151" s="74">
        <f t="shared" ca="1" si="15"/>
        <v>7.4504655884599091E-2</v>
      </c>
      <c r="F151" s="74">
        <f t="shared" ca="1" si="16"/>
        <v>7.4513368856395923E-2</v>
      </c>
      <c r="G151" s="13">
        <f ca="1"/>
        <v>0.98998960951087922</v>
      </c>
      <c r="H151" s="13" t="e">
        <f ca="1"/>
        <v>#VALUE!</v>
      </c>
      <c r="I151" s="13">
        <f ca="1"/>
        <v>0.98958787454582986</v>
      </c>
      <c r="J151" s="13">
        <f ca="1"/>
        <v>0.96932167125437729</v>
      </c>
      <c r="K151" s="13">
        <f ca="1"/>
        <v>0.96932029377324325</v>
      </c>
    </row>
    <row r="152" spans="1:11">
      <c r="A152" s="14">
        <f t="shared" ca="1" si="17"/>
        <v>43799</v>
      </c>
      <c r="B152" s="74">
        <f t="shared" ca="1" si="12"/>
        <v>2.3797417675660015E-2</v>
      </c>
      <c r="C152" s="74" t="e">
        <f t="shared" ca="1" si="13"/>
        <v>#VALUE!</v>
      </c>
      <c r="D152" s="74">
        <f t="shared" ca="1" si="14"/>
        <v>2.477305460163004E-2</v>
      </c>
      <c r="E152" s="74">
        <f t="shared" ca="1" si="15"/>
        <v>7.4488966495309672E-2</v>
      </c>
      <c r="F152" s="74">
        <f t="shared" ca="1" si="16"/>
        <v>7.4497675774962135E-2</v>
      </c>
      <c r="G152" s="13">
        <f ca="1"/>
        <v>0.98992438521050063</v>
      </c>
      <c r="H152" s="13" t="e">
        <f ca="1"/>
        <v>#VALUE!</v>
      </c>
      <c r="I152" s="13">
        <f ca="1"/>
        <v>0.98951997697192473</v>
      </c>
      <c r="J152" s="13">
        <f ca="1"/>
        <v>0.96911754890948798</v>
      </c>
      <c r="K152" s="13">
        <f ca="1"/>
        <v>0.96911614755719833</v>
      </c>
    </row>
    <row r="153" spans="1:11">
      <c r="A153" s="14">
        <f t="shared" ca="1" si="17"/>
        <v>43800</v>
      </c>
      <c r="B153" s="74">
        <f t="shared" ca="1" si="12"/>
        <v>2.3787967362509099E-2</v>
      </c>
      <c r="C153" s="74" t="e">
        <f t="shared" ca="1" si="13"/>
        <v>#VALUE!</v>
      </c>
      <c r="D153" s="74">
        <f t="shared" ca="1" si="14"/>
        <v>2.4763496450161959E-2</v>
      </c>
      <c r="E153" s="74">
        <f t="shared" ca="1" si="15"/>
        <v>7.4473280409912412E-2</v>
      </c>
      <c r="F153" s="74">
        <f t="shared" ca="1" si="16"/>
        <v>7.4481985998595679E-2</v>
      </c>
      <c r="G153" s="13">
        <f ca="1"/>
        <v>0.98985918680590979</v>
      </c>
      <c r="H153" s="13" t="e">
        <f ca="1"/>
        <v>#VALUE!</v>
      </c>
      <c r="I153" s="13">
        <f ca="1"/>
        <v>0.98945210558945451</v>
      </c>
      <c r="J153" s="13">
        <f ca="1"/>
        <v>0.96891346954922686</v>
      </c>
      <c r="K153" s="13">
        <f ca="1"/>
        <v>0.96891204433589706</v>
      </c>
    </row>
    <row r="154" spans="1:11">
      <c r="A154" s="14">
        <f t="shared" ca="1" si="17"/>
        <v>43801</v>
      </c>
      <c r="B154" s="74">
        <f t="shared" ca="1" si="12"/>
        <v>2.3778518697555873E-2</v>
      </c>
      <c r="C154" s="74" t="e">
        <f t="shared" ca="1" si="13"/>
        <v>#VALUE!</v>
      </c>
      <c r="D154" s="74">
        <f t="shared" ca="1" si="14"/>
        <v>2.4753940020157406E-2</v>
      </c>
      <c r="E154" s="74">
        <f t="shared" ca="1" si="15"/>
        <v>7.4457597627718419E-2</v>
      </c>
      <c r="F154" s="74">
        <f t="shared" ca="1" si="16"/>
        <v>7.4466299526688706E-2</v>
      </c>
      <c r="G154" s="13">
        <f ca="1"/>
        <v>0.98979401429258784</v>
      </c>
      <c r="H154" s="13" t="e">
        <f ca="1"/>
        <v>#VALUE!</v>
      </c>
      <c r="I154" s="13">
        <f ca="1"/>
        <v>0.98938426039370064</v>
      </c>
      <c r="J154" s="13">
        <f ca="1"/>
        <v>0.96870943316454217</v>
      </c>
      <c r="K154" s="13">
        <f ca="1"/>
        <v>0.96870798410028447</v>
      </c>
    </row>
    <row r="155" spans="1:11">
      <c r="A155" s="14">
        <f t="shared" ca="1" si="17"/>
        <v>43802</v>
      </c>
      <c r="B155" s="74">
        <f t="shared" ca="1" si="12"/>
        <v>2.3769071680557197E-2</v>
      </c>
      <c r="C155" s="74" t="e">
        <f t="shared" ca="1" si="13"/>
        <v>#VALUE!</v>
      </c>
      <c r="D155" s="74">
        <f t="shared" ca="1" si="14"/>
        <v>2.4744385310765393E-2</v>
      </c>
      <c r="E155" s="74">
        <f t="shared" ca="1" si="15"/>
        <v>7.4441918148079322E-2</v>
      </c>
      <c r="F155" s="74">
        <f t="shared" ca="1" si="16"/>
        <v>7.4450616358390231E-2</v>
      </c>
      <c r="G155" s="13">
        <f ca="1"/>
        <v>0.9897288676660192</v>
      </c>
      <c r="H155" s="13" t="e">
        <f ca="1"/>
        <v>#VALUE!</v>
      </c>
      <c r="I155" s="13">
        <f ca="1"/>
        <v>0.98931644137994679</v>
      </c>
      <c r="J155" s="13">
        <f ca="1"/>
        <v>0.96850543974638403</v>
      </c>
      <c r="K155" s="13">
        <f ca="1"/>
        <v>0.96850396684130724</v>
      </c>
    </row>
    <row r="156" spans="1:11">
      <c r="A156" s="14">
        <f t="shared" ca="1" si="17"/>
        <v>43803</v>
      </c>
      <c r="B156" s="74">
        <f t="shared" ca="1" si="12"/>
        <v>2.3759626310621562E-2</v>
      </c>
      <c r="C156" s="74" t="e">
        <f t="shared" ca="1" si="13"/>
        <v>#VALUE!</v>
      </c>
      <c r="D156" s="74">
        <f t="shared" ca="1" si="14"/>
        <v>2.4734832321580691E-2</v>
      </c>
      <c r="E156" s="74">
        <f t="shared" ca="1" si="15"/>
        <v>7.4426241970265705E-2</v>
      </c>
      <c r="F156" s="74">
        <f t="shared" ca="1" si="16"/>
        <v>7.443493649313293E-2</v>
      </c>
      <c r="G156" s="13">
        <f ca="1"/>
        <v>0.9896637469216889</v>
      </c>
      <c r="H156" s="13" t="e">
        <f ca="1"/>
        <v>#VALUE!</v>
      </c>
      <c r="I156" s="13">
        <f ca="1"/>
        <v>0.98924864854347894</v>
      </c>
      <c r="J156" s="13">
        <f ca="1"/>
        <v>0.96830148928570436</v>
      </c>
      <c r="K156" s="13">
        <f ca="1"/>
        <v>0.96829999254991439</v>
      </c>
    </row>
    <row r="157" spans="1:11">
      <c r="A157" s="14">
        <f t="shared" ca="1" si="17"/>
        <v>43804</v>
      </c>
      <c r="B157" s="74">
        <f t="shared" ca="1" si="12"/>
        <v>2.3750182587100599E-2</v>
      </c>
      <c r="C157" s="74" t="e">
        <f t="shared" ca="1" si="13"/>
        <v>#VALUE!</v>
      </c>
      <c r="D157" s="74">
        <f t="shared" ca="1" si="14"/>
        <v>2.472528105159022E-2</v>
      </c>
      <c r="E157" s="74">
        <f t="shared" ca="1" si="15"/>
        <v>7.4410569093548151E-2</v>
      </c>
      <c r="F157" s="74">
        <f t="shared" ca="1" si="16"/>
        <v>7.4419259930146864E-2</v>
      </c>
      <c r="G157" s="13">
        <f ca="1"/>
        <v>0.98959865205508446</v>
      </c>
      <c r="H157" s="13" t="e">
        <f ca="1"/>
        <v>#VALUE!</v>
      </c>
      <c r="I157" s="13">
        <f ca="1"/>
        <v>0.9891808818795842</v>
      </c>
      <c r="J157" s="13">
        <f ca="1"/>
        <v>0.96809758177345706</v>
      </c>
      <c r="K157" s="13">
        <f ca="1"/>
        <v>0.96809606121705649</v>
      </c>
    </row>
    <row r="158" spans="1:11">
      <c r="A158" s="14">
        <f t="shared" ca="1" si="17"/>
        <v>43805</v>
      </c>
      <c r="B158" s="74">
        <f t="shared" ca="1" si="12"/>
        <v>2.3740740508981228E-2</v>
      </c>
      <c r="C158" s="74" t="e">
        <f t="shared" ca="1" si="13"/>
        <v>#VALUE!</v>
      </c>
      <c r="D158" s="74">
        <f t="shared" ca="1" si="14"/>
        <v>2.4715731500064564E-2</v>
      </c>
      <c r="E158" s="74">
        <f t="shared" ca="1" si="15"/>
        <v>7.439489951727829E-2</v>
      </c>
      <c r="F158" s="74">
        <f t="shared" ca="1" si="16"/>
        <v>7.4403586668783661E-2</v>
      </c>
      <c r="G158" s="13">
        <f ca="1"/>
        <v>0.98953358306169514</v>
      </c>
      <c r="H158" s="13" t="e">
        <f ca="1"/>
        <v>#VALUE!</v>
      </c>
      <c r="I158" s="13">
        <f ca="1"/>
        <v>0.98911314138355244</v>
      </c>
      <c r="J158" s="13">
        <f ca="1"/>
        <v>0.96789371720059802</v>
      </c>
      <c r="K158" s="13">
        <f ca="1"/>
        <v>0.96789217283368623</v>
      </c>
    </row>
    <row r="159" spans="1:11">
      <c r="A159" s="14">
        <f t="shared" ca="1" si="17"/>
        <v>43806</v>
      </c>
      <c r="B159" s="74">
        <f t="shared" ca="1" si="12"/>
        <v>2.3731300075858219E-2</v>
      </c>
      <c r="C159" s="74" t="e">
        <f t="shared" ca="1" si="13"/>
        <v>#VALUE!</v>
      </c>
      <c r="D159" s="74">
        <f t="shared" ca="1" si="14"/>
        <v>2.4706183666355352E-2</v>
      </c>
      <c r="E159" s="74">
        <f t="shared" ca="1" si="15"/>
        <v>7.4379233240767229E-2</v>
      </c>
      <c r="F159" s="74">
        <f t="shared" ca="1" si="16"/>
        <v>7.4387916708313906E-2</v>
      </c>
      <c r="G159" s="13">
        <f ca="1"/>
        <v>0.989468539937013</v>
      </c>
      <c r="H159" s="13" t="e">
        <f ca="1"/>
        <v>#VALUE!</v>
      </c>
      <c r="I159" s="13">
        <f ca="1"/>
        <v>0.98904542705067555</v>
      </c>
      <c r="J159" s="13">
        <f ca="1"/>
        <v>0.96768989555808493</v>
      </c>
      <c r="K159" s="13">
        <f ca="1"/>
        <v>0.96768832739075805</v>
      </c>
    </row>
    <row r="160" spans="1:11">
      <c r="A160" s="14">
        <f t="shared" ca="1" si="17"/>
        <v>43807</v>
      </c>
      <c r="B160" s="74">
        <f t="shared" ca="1" si="12"/>
        <v>2.3721861286880586E-2</v>
      </c>
      <c r="C160" s="74" t="e">
        <f t="shared" ca="1" si="13"/>
        <v>#VALUE!</v>
      </c>
      <c r="D160" s="74">
        <f t="shared" ca="1" si="14"/>
        <v>2.4696637549652123E-2</v>
      </c>
      <c r="E160" s="74">
        <f t="shared" ca="1" si="15"/>
        <v>7.4363570263326073E-2</v>
      </c>
      <c r="F160" s="74">
        <f t="shared" ca="1" si="16"/>
        <v>7.4372250048048705E-2</v>
      </c>
      <c r="G160" s="13">
        <f ca="1"/>
        <v>0.9894035226765312</v>
      </c>
      <c r="H160" s="13" t="e">
        <f ca="1"/>
        <v>#VALUE!</v>
      </c>
      <c r="I160" s="13">
        <f ca="1"/>
        <v>0.98897773887624718</v>
      </c>
      <c r="J160" s="13">
        <f ca="1"/>
        <v>0.96748611683687735</v>
      </c>
      <c r="K160" s="13">
        <f ca="1"/>
        <v>0.96748452487922842</v>
      </c>
    </row>
    <row r="161" spans="1:11">
      <c r="A161" s="14">
        <f t="shared" ca="1" si="17"/>
        <v>43808</v>
      </c>
      <c r="B161" s="74">
        <f t="shared" ca="1" si="12"/>
        <v>2.3712424141481003E-2</v>
      </c>
      <c r="C161" s="74" t="e">
        <f t="shared" ca="1" si="13"/>
        <v>#VALUE!</v>
      </c>
      <c r="D161" s="74">
        <f t="shared" ca="1" si="14"/>
        <v>2.4687093149144412E-2</v>
      </c>
      <c r="E161" s="74">
        <f t="shared" ca="1" si="15"/>
        <v>7.4347910584184884E-2</v>
      </c>
      <c r="F161" s="74">
        <f t="shared" ca="1" si="16"/>
        <v>7.4356586687339687E-2</v>
      </c>
      <c r="G161" s="13">
        <f ca="1"/>
        <v>0.98933853127574523</v>
      </c>
      <c r="H161" s="13" t="e">
        <f ca="1"/>
        <v>#VALUE!</v>
      </c>
      <c r="I161" s="13">
        <f ca="1"/>
        <v>0.9889100768555632</v>
      </c>
      <c r="J161" s="13">
        <f ca="1"/>
        <v>0.96728238102793673</v>
      </c>
      <c r="K161" s="13">
        <f ca="1"/>
        <v>0.96728076529005569</v>
      </c>
    </row>
    <row r="162" spans="1:11">
      <c r="A162" s="14">
        <f t="shared" ca="1" si="17"/>
        <v>43809</v>
      </c>
      <c r="B162" s="74">
        <f t="shared" ca="1" si="12"/>
        <v>2.3702988638524825E-2</v>
      </c>
      <c r="C162" s="74" t="e">
        <f t="shared" ca="1" si="13"/>
        <v>#VALUE!</v>
      </c>
      <c r="D162" s="74">
        <f t="shared" ca="1" si="14"/>
        <v>2.4677550464426989E-2</v>
      </c>
      <c r="E162" s="74">
        <f t="shared" ca="1" si="15"/>
        <v>7.4332254202695291E-2</v>
      </c>
      <c r="F162" s="74">
        <f t="shared" ca="1" si="16"/>
        <v>7.4340926625416914E-2</v>
      </c>
      <c r="G162" s="13">
        <f ca="1"/>
        <v>0.98927356573015213</v>
      </c>
      <c r="H162" s="13" t="e">
        <f ca="1"/>
        <v>#VALUE!</v>
      </c>
      <c r="I162" s="13">
        <f ca="1"/>
        <v>0.98884244098392171</v>
      </c>
      <c r="J162" s="13">
        <f ca="1"/>
        <v>0.96707868812222664</v>
      </c>
      <c r="K162" s="13">
        <f ca="1"/>
        <v>0.96707704861419996</v>
      </c>
    </row>
    <row r="163" spans="1:11">
      <c r="A163" s="14">
        <f t="shared" ca="1" si="17"/>
        <v>43810</v>
      </c>
      <c r="B163" s="74">
        <f t="shared" ca="1" si="12"/>
        <v>2.3693554777728387E-2</v>
      </c>
      <c r="C163" s="74" t="e">
        <f t="shared" ca="1" si="13"/>
        <v>#VALUE!</v>
      </c>
      <c r="D163" s="74">
        <f t="shared" ca="1" si="14"/>
        <v>2.4668009494486776E-2</v>
      </c>
      <c r="E163" s="74">
        <f t="shared" ca="1" si="15"/>
        <v>7.4316601118249448E-2</v>
      </c>
      <c r="F163" s="74">
        <f t="shared" ca="1" si="16"/>
        <v>7.4325269861672538E-2</v>
      </c>
      <c r="G163" s="13">
        <f ca="1"/>
        <v>0.98920862603525206</v>
      </c>
      <c r="H163" s="13" t="e">
        <f ca="1"/>
        <v>#VALUE!</v>
      </c>
      <c r="I163" s="13">
        <f ca="1"/>
        <v>0.98877483125662191</v>
      </c>
      <c r="J163" s="13">
        <f ca="1"/>
        <v>0.9668750381107124</v>
      </c>
      <c r="K163" s="13">
        <f ca="1"/>
        <v>0.96687337484262348</v>
      </c>
    </row>
    <row r="164" spans="1:11">
      <c r="A164" s="14">
        <f t="shared" ca="1" si="17"/>
        <v>43811</v>
      </c>
      <c r="B164" s="74">
        <f t="shared" ca="1" si="12"/>
        <v>2.5164989482685529E-2</v>
      </c>
      <c r="C164" s="74" t="e">
        <f t="shared" ca="1" si="13"/>
        <v>#VALUE!</v>
      </c>
      <c r="D164" s="74">
        <f t="shared" ca="1" si="14"/>
        <v>2.6136348106706175E-2</v>
      </c>
      <c r="E164" s="74">
        <f t="shared" ca="1" si="15"/>
        <v>7.4300951329955844E-2</v>
      </c>
      <c r="F164" s="74">
        <f t="shared" ca="1" si="16"/>
        <v>7.4309616395296096E-2</v>
      </c>
      <c r="G164" s="13">
        <f ca="1"/>
        <v>0.98914371218654595</v>
      </c>
      <c r="H164" s="13" t="e">
        <f ca="1"/>
        <v>#VALUE!</v>
      </c>
      <c r="I164" s="13">
        <f ca="1"/>
        <v>0.98870724766896578</v>
      </c>
      <c r="J164" s="13">
        <f ca="1"/>
        <v>0.96667143098436104</v>
      </c>
      <c r="K164" s="13">
        <f ca="1"/>
        <v>0.96666974396629013</v>
      </c>
    </row>
    <row r="165" spans="1:11">
      <c r="A165" s="14">
        <f t="shared" ca="1" si="17"/>
        <v>43812</v>
      </c>
      <c r="B165" s="74">
        <f t="shared" ca="1" si="12"/>
        <v>2.5173526991391637E-2</v>
      </c>
      <c r="C165" s="74" t="e">
        <f t="shared" ca="1" si="13"/>
        <v>#VALUE!</v>
      </c>
      <c r="D165" s="74">
        <f t="shared" ca="1" si="14"/>
        <v>2.6144734275949655E-2</v>
      </c>
      <c r="E165" s="74">
        <f t="shared" ca="1" si="15"/>
        <v>7.4285304837328203E-2</v>
      </c>
      <c r="F165" s="74">
        <f t="shared" ca="1" si="16"/>
        <v>7.4293966225679742E-2</v>
      </c>
      <c r="G165" s="13">
        <f ca="1"/>
        <v>0.98907476700988106</v>
      </c>
      <c r="H165" s="13" t="e">
        <f ca="1"/>
        <v>#VALUE!</v>
      </c>
      <c r="I165" s="13">
        <f ca="1"/>
        <v>0.98863564123579672</v>
      </c>
      <c r="J165" s="13">
        <f ca="1"/>
        <v>0.96646786673414198</v>
      </c>
      <c r="K165" s="13">
        <f ca="1"/>
        <v>0.96646615597616603</v>
      </c>
    </row>
    <row r="166" spans="1:11">
      <c r="A166" s="14">
        <f t="shared" ca="1" si="17"/>
        <v>43813</v>
      </c>
      <c r="B166" s="74">
        <f t="shared" ca="1" si="12"/>
        <v>2.5182062449464748E-2</v>
      </c>
      <c r="C166" s="74" t="e">
        <f t="shared" ca="1" si="13"/>
        <v>#VALUE!</v>
      </c>
      <c r="D166" s="74">
        <f t="shared" ca="1" si="14"/>
        <v>2.6153118327980618E-2</v>
      </c>
      <c r="E166" s="74">
        <f t="shared" ca="1" si="15"/>
        <v>7.4269661639556062E-2</v>
      </c>
      <c r="F166" s="74">
        <f t="shared" ca="1" si="16"/>
        <v>7.4278319352134581E-2</v>
      </c>
      <c r="G166" s="13">
        <f ca="1"/>
        <v>0.98900579844278136</v>
      </c>
      <c r="H166" s="13" t="e">
        <f ca="1"/>
        <v>#VALUE!</v>
      </c>
      <c r="I166" s="13">
        <f ca="1"/>
        <v>0.98856401182682152</v>
      </c>
      <c r="J166" s="13">
        <f ca="1"/>
        <v>0.96626434535102601</v>
      </c>
      <c r="K166" s="13">
        <f ca="1"/>
        <v>0.96626261086321896</v>
      </c>
    </row>
    <row r="167" spans="1:11">
      <c r="A167" s="14">
        <f t="shared" ca="1" si="17"/>
        <v>43814</v>
      </c>
      <c r="B167" s="74">
        <f t="shared" ca="1" si="12"/>
        <v>2.5190595856134923E-2</v>
      </c>
      <c r="C167" s="74" t="e">
        <f t="shared" ca="1" si="13"/>
        <v>#VALUE!</v>
      </c>
      <c r="D167" s="74">
        <f t="shared" ca="1" si="14"/>
        <v>2.6161500262272264E-2</v>
      </c>
      <c r="E167" s="74">
        <f t="shared" ca="1" si="15"/>
        <v>7.4254021735950526E-2</v>
      </c>
      <c r="F167" s="74">
        <f t="shared" ca="1" si="16"/>
        <v>7.4262675773890674E-2</v>
      </c>
      <c r="G167" s="13">
        <f ca="1"/>
        <v>0.98893680649086502</v>
      </c>
      <c r="H167" s="13" t="e">
        <f ca="1"/>
        <v>#VALUE!</v>
      </c>
      <c r="I167" s="13">
        <f ca="1"/>
        <v>0.98849235944784075</v>
      </c>
      <c r="J167" s="13">
        <f ca="1"/>
        <v>0.96606086682598613</v>
      </c>
      <c r="K167" s="13">
        <f ca="1"/>
        <v>0.96605910861841859</v>
      </c>
    </row>
    <row r="168" spans="1:11">
      <c r="A168" s="14">
        <f t="shared" ca="1" si="17"/>
        <v>43815</v>
      </c>
      <c r="B168" s="74">
        <f t="shared" ca="1" si="12"/>
        <v>2.519912721099693E-2</v>
      </c>
      <c r="C168" s="74" t="e">
        <f t="shared" ca="1" si="13"/>
        <v>#VALUE!</v>
      </c>
      <c r="D168" s="74">
        <f t="shared" ca="1" si="14"/>
        <v>2.6169880078257268E-2</v>
      </c>
      <c r="E168" s="74">
        <f t="shared" ca="1" si="15"/>
        <v>7.4238385125863227E-2</v>
      </c>
      <c r="F168" s="74">
        <f t="shared" ca="1" si="16"/>
        <v>7.4247035490380697E-2</v>
      </c>
      <c r="G168" s="13">
        <f ca="1"/>
        <v>0.98886779115975232</v>
      </c>
      <c r="H168" s="13" t="e">
        <f ca="1"/>
        <v>#VALUE!</v>
      </c>
      <c r="I168" s="13">
        <f ca="1"/>
        <v>0.98842068410465644</v>
      </c>
      <c r="J168" s="13">
        <f ca="1"/>
        <v>0.96585743114999723</v>
      </c>
      <c r="K168" s="13">
        <f ca="1"/>
        <v>0.9658556492327367</v>
      </c>
    </row>
    <row r="169" spans="1:11">
      <c r="A169" s="14">
        <f t="shared" ca="1" si="17"/>
        <v>43816</v>
      </c>
      <c r="B169" s="74">
        <f t="shared" ca="1" si="12"/>
        <v>2.5207656513321353E-2</v>
      </c>
      <c r="C169" s="74" t="e">
        <f t="shared" ca="1" si="13"/>
        <v>#VALUE!</v>
      </c>
      <c r="D169" s="74">
        <f t="shared" ca="1" si="14"/>
        <v>2.6178257775368308E-2</v>
      </c>
      <c r="E169" s="74">
        <f t="shared" ca="1" si="15"/>
        <v>7.4222751808564746E-2</v>
      </c>
      <c r="F169" s="74">
        <f t="shared" ca="1" si="16"/>
        <v>7.4231398500753665E-2</v>
      </c>
      <c r="G169" s="13">
        <f ca="1"/>
        <v>0.98879875245506466</v>
      </c>
      <c r="H169" s="13" t="e">
        <f ca="1"/>
        <v>#VALUE!</v>
      </c>
      <c r="I169" s="13">
        <f ca="1"/>
        <v>0.98834898580307218</v>
      </c>
      <c r="J169" s="13">
        <f ca="1"/>
        <v>0.96565403831403596</v>
      </c>
      <c r="K169" s="13">
        <f ca="1"/>
        <v>0.96565223269714662</v>
      </c>
    </row>
    <row r="170" spans="1:11">
      <c r="A170" s="14">
        <f t="shared" ca="1" si="17"/>
        <v>43817</v>
      </c>
      <c r="B170" s="74">
        <f t="shared" ca="1" si="12"/>
        <v>2.5216183762621913E-2</v>
      </c>
      <c r="C170" s="74" t="e">
        <f t="shared" ca="1" si="13"/>
        <v>#VALUE!</v>
      </c>
      <c r="D170" s="74">
        <f t="shared" ca="1" si="14"/>
        <v>2.6186633353038058E-2</v>
      </c>
      <c r="E170" s="74">
        <f t="shared" ca="1" si="15"/>
        <v>7.5564563075743441E-2</v>
      </c>
      <c r="F170" s="74">
        <f t="shared" ca="1" si="16"/>
        <v>7.5586912214404278E-2</v>
      </c>
      <c r="G170" s="13">
        <f ca="1"/>
        <v>0.98872969038242542</v>
      </c>
      <c r="H170" s="13" t="e">
        <f ca="1"/>
        <v>#VALUE!</v>
      </c>
      <c r="I170" s="13">
        <f ca="1"/>
        <v>0.98827726454889309</v>
      </c>
      <c r="J170" s="13">
        <f ca="1"/>
        <v>0.96545068830908098</v>
      </c>
      <c r="K170" s="13">
        <f ca="1"/>
        <v>0.965448859002624</v>
      </c>
    </row>
    <row r="171" spans="1:11">
      <c r="A171" s="14">
        <f t="shared" ca="1" si="17"/>
        <v>43818</v>
      </c>
      <c r="B171" s="74">
        <f t="shared" ca="1" si="12"/>
        <v>2.5224708958290765E-2</v>
      </c>
      <c r="C171" s="74" t="e">
        <f t="shared" ca="1" si="13"/>
        <v>#VALUE!</v>
      </c>
      <c r="D171" s="74">
        <f t="shared" ca="1" si="14"/>
        <v>2.6195006810780241E-2</v>
      </c>
      <c r="E171" s="74">
        <f t="shared" ca="1" si="15"/>
        <v>7.554835940573934E-2</v>
      </c>
      <c r="F171" s="74">
        <f t="shared" ca="1" si="16"/>
        <v>7.5570698927407975E-2</v>
      </c>
      <c r="G171" s="13">
        <f ca="1"/>
        <v>0.98866060494745933</v>
      </c>
      <c r="H171" s="13" t="e">
        <f ca="1"/>
        <v>#VALUE!</v>
      </c>
      <c r="I171" s="13">
        <f ca="1"/>
        <v>0.98820552034792586</v>
      </c>
      <c r="J171" s="13">
        <f ca="1"/>
        <v>0.96524366210887347</v>
      </c>
      <c r="K171" s="13">
        <f ca="1"/>
        <v>0.96524177157189961</v>
      </c>
    </row>
    <row r="172" spans="1:11">
      <c r="A172" s="14">
        <f t="shared" ca="1" si="17"/>
        <v>43819</v>
      </c>
      <c r="B172" s="74">
        <f t="shared" ca="1" si="12"/>
        <v>2.5233232099760583E-2</v>
      </c>
      <c r="C172" s="74" t="e">
        <f t="shared" ca="1" si="13"/>
        <v>#VALUE!</v>
      </c>
      <c r="D172" s="74">
        <f t="shared" ca="1" si="14"/>
        <v>2.6203378147946488E-2</v>
      </c>
      <c r="E172" s="74">
        <f t="shared" ca="1" si="15"/>
        <v>7.5532159210351391E-2</v>
      </c>
      <c r="F172" s="74">
        <f t="shared" ca="1" si="16"/>
        <v>7.5554489118148105E-2</v>
      </c>
      <c r="G172" s="13">
        <f ca="1"/>
        <v>0.98859149615579278</v>
      </c>
      <c r="H172" s="13" t="e">
        <f ca="1"/>
        <v>#VALUE!</v>
      </c>
      <c r="I172" s="13">
        <f ca="1"/>
        <v>0.98813375320597852</v>
      </c>
      <c r="J172" s="13">
        <f ca="1"/>
        <v>0.9650366803022824</v>
      </c>
      <c r="K172" s="13">
        <f ca="1"/>
        <v>0.96503472856113959</v>
      </c>
    </row>
    <row r="173" spans="1:11">
      <c r="A173" s="14">
        <f t="shared" ca="1" si="17"/>
        <v>43820</v>
      </c>
      <c r="B173" s="74">
        <f t="shared" ca="1" si="12"/>
        <v>2.5241753186382998E-2</v>
      </c>
      <c r="C173" s="74" t="e">
        <f t="shared" ca="1" si="13"/>
        <v>#VALUE!</v>
      </c>
      <c r="D173" s="74">
        <f t="shared" ca="1" si="14"/>
        <v>2.6211747364009996E-2</v>
      </c>
      <c r="E173" s="74">
        <f t="shared" ca="1" si="15"/>
        <v>7.5515962488850175E-2</v>
      </c>
      <c r="F173" s="74">
        <f t="shared" ca="1" si="16"/>
        <v>7.5538282785814204E-2</v>
      </c>
      <c r="G173" s="13">
        <f ca="1"/>
        <v>0.98852236401305371</v>
      </c>
      <c r="H173" s="13" t="e">
        <f ca="1"/>
        <v>#VALUE!</v>
      </c>
      <c r="I173" s="13">
        <f ca="1"/>
        <v>0.98806196312886085</v>
      </c>
      <c r="J173" s="13">
        <f ca="1"/>
        <v>0.96482974287978829</v>
      </c>
      <c r="K173" s="13">
        <f ca="1"/>
        <v>0.96482772996081589</v>
      </c>
    </row>
    <row r="174" spans="1:11">
      <c r="A174" s="14">
        <f t="shared" ca="1" si="17"/>
        <v>43821</v>
      </c>
      <c r="B174" s="74">
        <f t="shared" ca="1" si="12"/>
        <v>2.5250272217712255E-2</v>
      </c>
      <c r="C174" s="74" t="e">
        <f t="shared" ca="1" si="13"/>
        <v>#VALUE!</v>
      </c>
      <c r="D174" s="74">
        <f t="shared" ca="1" si="14"/>
        <v>2.6220114458403443E-2</v>
      </c>
      <c r="E174" s="74">
        <f t="shared" ca="1" si="15"/>
        <v>7.5499769240465753E-2</v>
      </c>
      <c r="F174" s="74">
        <f t="shared" ca="1" si="16"/>
        <v>7.5522079929757902E-2</v>
      </c>
      <c r="G174" s="13">
        <f ca="1"/>
        <v>0.98845320852487184</v>
      </c>
      <c r="H174" s="13" t="e">
        <f ca="1"/>
        <v>#VALUE!</v>
      </c>
      <c r="I174" s="13">
        <f ca="1"/>
        <v>0.98799015012238411</v>
      </c>
      <c r="J174" s="13">
        <f ca="1"/>
        <v>0.96462284983187363</v>
      </c>
      <c r="K174" s="13">
        <f ca="1"/>
        <v>0.9646207757614027</v>
      </c>
    </row>
    <row r="175" spans="1:11">
      <c r="A175" s="14">
        <f t="shared" ca="1" si="17"/>
        <v>43822</v>
      </c>
      <c r="B175" s="74">
        <f t="shared" ca="1" si="12"/>
        <v>2.5258789193018938E-2</v>
      </c>
      <c r="C175" s="74" t="e">
        <f t="shared" ca="1" si="13"/>
        <v>#VALUE!</v>
      </c>
      <c r="D175" s="74">
        <f t="shared" ca="1" si="14"/>
        <v>2.6228479430681073E-2</v>
      </c>
      <c r="E175" s="74">
        <f t="shared" ca="1" si="15"/>
        <v>7.5483579464549755E-2</v>
      </c>
      <c r="F175" s="74">
        <f t="shared" ca="1" si="16"/>
        <v>7.5505880549168736E-2</v>
      </c>
      <c r="G175" s="13">
        <f ca="1"/>
        <v>0.98838402969687811</v>
      </c>
      <c r="H175" s="13" t="e">
        <f ca="1"/>
        <v>#VALUE!</v>
      </c>
      <c r="I175" s="13">
        <f ca="1"/>
        <v>0.98791831419236109</v>
      </c>
      <c r="J175" s="13">
        <f ca="1"/>
        <v>0.96441600114902304</v>
      </c>
      <c r="K175" s="13">
        <f ca="1"/>
        <v>0.96441386595337597</v>
      </c>
    </row>
    <row r="176" spans="1:11">
      <c r="A176" s="14">
        <f t="shared" ca="1" si="17"/>
        <v>43823</v>
      </c>
      <c r="B176" s="74">
        <f t="shared" ca="1" si="12"/>
        <v>2.5267304111816768E-2</v>
      </c>
      <c r="C176" s="74" t="e">
        <f t="shared" ca="1" si="13"/>
        <v>#VALUE!</v>
      </c>
      <c r="D176" s="74">
        <f t="shared" ca="1" si="14"/>
        <v>2.6236842280072947E-2</v>
      </c>
      <c r="E176" s="74">
        <f t="shared" ca="1" si="15"/>
        <v>7.5467393160251195E-2</v>
      </c>
      <c r="F176" s="74">
        <f t="shared" ca="1" si="16"/>
        <v>7.5489684643357813E-2</v>
      </c>
      <c r="G176" s="13">
        <f ca="1"/>
        <v>0.98831482753470545</v>
      </c>
      <c r="H176" s="13" t="e">
        <f ca="1"/>
        <v>#VALUE!</v>
      </c>
      <c r="I176" s="13">
        <f ca="1"/>
        <v>0.9878464553446058</v>
      </c>
      <c r="J176" s="13">
        <f ca="1"/>
        <v>0.9642091968217229</v>
      </c>
      <c r="K176" s="13">
        <f ca="1"/>
        <v>0.96420700052721386</v>
      </c>
    </row>
    <row r="177" spans="1:11">
      <c r="A177" s="14">
        <f t="shared" ca="1" si="17"/>
        <v>43824</v>
      </c>
      <c r="B177" s="74">
        <f t="shared" ca="1" si="12"/>
        <v>2.5275816973457377E-2</v>
      </c>
      <c r="C177" s="74" t="e">
        <f t="shared" ca="1" si="13"/>
        <v>#VALUE!</v>
      </c>
      <c r="D177" s="74">
        <f t="shared" ca="1" si="14"/>
        <v>2.6245203006214357E-2</v>
      </c>
      <c r="E177" s="74">
        <f t="shared" ca="1" si="15"/>
        <v>7.5451210326840656E-2</v>
      </c>
      <c r="F177" s="74">
        <f t="shared" ca="1" si="16"/>
        <v>7.547349221151467E-2</v>
      </c>
      <c r="G177" s="13">
        <f ca="1"/>
        <v>0.98824560204398815</v>
      </c>
      <c r="H177" s="13" t="e">
        <f ca="1"/>
        <v>#VALUE!</v>
      </c>
      <c r="I177" s="13">
        <f ca="1"/>
        <v>0.98777457358493437</v>
      </c>
      <c r="J177" s="13">
        <f ca="1"/>
        <v>0.96400243684046194</v>
      </c>
      <c r="K177" s="13">
        <f ca="1"/>
        <v>0.96400017947339645</v>
      </c>
    </row>
    <row r="178" spans="1:11">
      <c r="A178" s="14">
        <f t="shared" ca="1" si="17"/>
        <v>43825</v>
      </c>
      <c r="B178" s="74">
        <f t="shared" ca="1" si="12"/>
        <v>2.5284327777454485E-2</v>
      </c>
      <c r="C178" s="74" t="e">
        <f t="shared" ca="1" si="13"/>
        <v>#VALUE!</v>
      </c>
      <c r="D178" s="74">
        <f t="shared" ca="1" si="14"/>
        <v>2.6253561608497455E-2</v>
      </c>
      <c r="E178" s="74">
        <f t="shared" ca="1" si="15"/>
        <v>7.5435030963588723E-2</v>
      </c>
      <c r="F178" s="74">
        <f t="shared" ca="1" si="16"/>
        <v>7.5457303252909891E-2</v>
      </c>
      <c r="G178" s="13">
        <f ca="1"/>
        <v>0.98817635323036224</v>
      </c>
      <c r="H178" s="13" t="e">
        <f ca="1"/>
        <v>#VALUE!</v>
      </c>
      <c r="I178" s="13">
        <f ca="1"/>
        <v>0.98770266891916392</v>
      </c>
      <c r="J178" s="13">
        <f ca="1"/>
        <v>0.96379572119573087</v>
      </c>
      <c r="K178" s="13">
        <f ca="1"/>
        <v>0.96379340278240599</v>
      </c>
    </row>
    <row r="179" spans="1:11">
      <c r="A179" s="14">
        <f t="shared" ca="1" si="17"/>
        <v>43826</v>
      </c>
      <c r="B179" s="74">
        <f t="shared" ca="1" si="12"/>
        <v>2.5292836523159723E-2</v>
      </c>
      <c r="C179" s="74" t="e">
        <f t="shared" ca="1" si="13"/>
        <v>#VALUE!</v>
      </c>
      <c r="D179" s="74">
        <f t="shared" ca="1" si="14"/>
        <v>2.6261918086314395E-2</v>
      </c>
      <c r="E179" s="74">
        <f t="shared" ca="1" si="15"/>
        <v>7.5418855069765978E-2</v>
      </c>
      <c r="F179" s="74">
        <f t="shared" ca="1" si="16"/>
        <v>7.5441117766854582E-2</v>
      </c>
      <c r="G179" s="13">
        <f ca="1"/>
        <v>0.9881070810994651</v>
      </c>
      <c r="H179" s="13" t="e">
        <f ca="1"/>
        <v>#VALUE!</v>
      </c>
      <c r="I179" s="13">
        <f ca="1"/>
        <v>0.98763074135311324</v>
      </c>
      <c r="J179" s="13">
        <f ca="1"/>
        <v>0.96358904987802241</v>
      </c>
      <c r="K179" s="13">
        <f ca="1"/>
        <v>0.96358667044472679</v>
      </c>
    </row>
    <row r="180" spans="1:11">
      <c r="A180" s="14">
        <f t="shared" ca="1" si="17"/>
        <v>43827</v>
      </c>
      <c r="B180" s="74">
        <f t="shared" ca="1" si="12"/>
        <v>2.5301343210005767E-2</v>
      </c>
      <c r="C180" s="74" t="e">
        <f t="shared" ca="1" si="13"/>
        <v>#VALUE!</v>
      </c>
      <c r="D180" s="74">
        <f t="shared" ca="1" si="14"/>
        <v>2.6270272439138376E-2</v>
      </c>
      <c r="E180" s="74">
        <f t="shared" ca="1" si="15"/>
        <v>7.5402682644643004E-2</v>
      </c>
      <c r="F180" s="74">
        <f t="shared" ca="1" si="16"/>
        <v>7.542493575253828E-2</v>
      </c>
      <c r="G180" s="13">
        <f ca="1"/>
        <v>0.9880377856569359</v>
      </c>
      <c r="H180" s="13" t="e">
        <f ca="1"/>
        <v>#VALUE!</v>
      </c>
      <c r="I180" s="13">
        <f ca="1"/>
        <v>0.98755879089260279</v>
      </c>
      <c r="J180" s="13">
        <f ca="1"/>
        <v>0.96338242287783127</v>
      </c>
      <c r="K180" s="13">
        <f ca="1"/>
        <v>0.963379982450845</v>
      </c>
    </row>
    <row r="181" spans="1:11">
      <c r="A181" s="14">
        <f t="shared" ca="1" si="17"/>
        <v>43828</v>
      </c>
      <c r="B181" s="74">
        <f t="shared" ca="1" si="12"/>
        <v>2.5309847837425292E-2</v>
      </c>
      <c r="C181" s="74" t="e">
        <f t="shared" ca="1" si="13"/>
        <v>#VALUE!</v>
      </c>
      <c r="D181" s="74">
        <f t="shared" ca="1" si="14"/>
        <v>2.6278624666402073E-2</v>
      </c>
      <c r="E181" s="74">
        <f t="shared" ca="1" si="15"/>
        <v>7.538651368740934E-2</v>
      </c>
      <c r="F181" s="74">
        <f t="shared" ca="1" si="16"/>
        <v>7.5408757209272093E-2</v>
      </c>
      <c r="G181" s="13">
        <f ca="1"/>
        <v>0.98796846690841533</v>
      </c>
      <c r="H181" s="13" t="e">
        <f ca="1"/>
        <v>#VALUE!</v>
      </c>
      <c r="I181" s="13">
        <f ca="1"/>
        <v>0.98748681754345446</v>
      </c>
      <c r="J181" s="13">
        <f ca="1"/>
        <v>0.96317584018565416</v>
      </c>
      <c r="K181" s="13">
        <f ca="1"/>
        <v>0.963173338791249</v>
      </c>
    </row>
    <row r="182" spans="1:11">
      <c r="A182" s="14">
        <f t="shared" ca="1" si="17"/>
        <v>43829</v>
      </c>
      <c r="B182" s="74">
        <f t="shared" ca="1" si="12"/>
        <v>2.5318350404850976E-2</v>
      </c>
      <c r="C182" s="74" t="e">
        <f t="shared" ca="1" si="13"/>
        <v>#VALUE!</v>
      </c>
      <c r="D182" s="74">
        <f t="shared" ca="1" si="14"/>
        <v>2.6286974767659732E-2</v>
      </c>
      <c r="E182" s="74">
        <f t="shared" ca="1" si="15"/>
        <v>7.5370348197376091E-2</v>
      </c>
      <c r="F182" s="74">
        <f t="shared" ca="1" si="16"/>
        <v>7.5392582136245556E-2</v>
      </c>
      <c r="G182" s="13">
        <f ca="1"/>
        <v>0.98789912485954567</v>
      </c>
      <c r="H182" s="13" t="e">
        <f ca="1"/>
        <v>#VALUE!</v>
      </c>
      <c r="I182" s="13">
        <f ca="1"/>
        <v>0.98741482131149172</v>
      </c>
      <c r="J182" s="13">
        <f ca="1"/>
        <v>0.96296930179199003</v>
      </c>
      <c r="K182" s="13">
        <f ca="1"/>
        <v>0.96296673945642908</v>
      </c>
    </row>
    <row r="183" spans="1:11">
      <c r="A183" s="14">
        <f t="shared" ca="1" si="17"/>
        <v>43830</v>
      </c>
      <c r="B183" s="74">
        <f t="shared" ca="1" si="12"/>
        <v>2.5326850911634446E-2</v>
      </c>
      <c r="C183" s="74" t="e">
        <f t="shared" ca="1" si="13"/>
        <v>#VALUE!</v>
      </c>
      <c r="D183" s="74">
        <f t="shared" ca="1" si="14"/>
        <v>2.6295322742181937E-2</v>
      </c>
      <c r="E183" s="74">
        <f t="shared" ca="1" si="15"/>
        <v>7.5354186173813842E-2</v>
      </c>
      <c r="F183" s="74">
        <f t="shared" ca="1" si="16"/>
        <v>7.5376410532769778E-2</v>
      </c>
      <c r="G183" s="13">
        <f ca="1"/>
        <v>0.98782975951597074</v>
      </c>
      <c r="H183" s="13" t="e">
        <f ca="1"/>
        <v>#VALUE!</v>
      </c>
      <c r="I183" s="13">
        <f ca="1"/>
        <v>0.98734280220253923</v>
      </c>
      <c r="J183" s="13">
        <f ca="1"/>
        <v>0.96276280768733968</v>
      </c>
      <c r="K183" s="13">
        <f ca="1"/>
        <v>0.96276018443687772</v>
      </c>
    </row>
    <row r="184" spans="1:11">
      <c r="A184" s="14">
        <f t="shared" ca="1" si="17"/>
        <v>43831</v>
      </c>
      <c r="B184" s="74">
        <f t="shared" ca="1" si="12"/>
        <v>2.5335349357289427E-2</v>
      </c>
      <c r="C184" s="74" t="e">
        <f t="shared" ca="1" si="13"/>
        <v>#VALUE!</v>
      </c>
      <c r="D184" s="74">
        <f t="shared" ca="1" si="14"/>
        <v>2.6303668589522933E-2</v>
      </c>
      <c r="E184" s="74">
        <f t="shared" ca="1" si="15"/>
        <v>7.5338027615912129E-2</v>
      </c>
      <c r="F184" s="74">
        <f t="shared" ca="1" si="16"/>
        <v>7.5360242398074817E-2</v>
      </c>
      <c r="G184" s="13">
        <f ca="1"/>
        <v>0.98776037088333613</v>
      </c>
      <c r="H184" s="13" t="e">
        <f ca="1"/>
        <v>#VALUE!</v>
      </c>
      <c r="I184" s="13">
        <f ca="1"/>
        <v>0.98727076022242366</v>
      </c>
      <c r="J184" s="13">
        <f ca="1"/>
        <v>0.96255635786220595</v>
      </c>
      <c r="K184" s="13">
        <f ca="1"/>
        <v>0.96255367372308931</v>
      </c>
    </row>
    <row r="185" spans="1:11">
      <c r="A185" s="14">
        <f t="shared" ca="1" si="17"/>
        <v>43832</v>
      </c>
      <c r="B185" s="74">
        <f t="shared" ca="1" si="12"/>
        <v>2.5343845741167548E-2</v>
      </c>
      <c r="C185" s="74" t="e">
        <f t="shared" ca="1" si="13"/>
        <v>#VALUE!</v>
      </c>
      <c r="D185" s="74">
        <f t="shared" ca="1" si="14"/>
        <v>2.6312012309115396E-2</v>
      </c>
      <c r="E185" s="74">
        <f t="shared" ca="1" si="15"/>
        <v>7.5321872522982058E-2</v>
      </c>
      <c r="F185" s="74">
        <f t="shared" ca="1" si="16"/>
        <v>7.5344077731390735E-2</v>
      </c>
      <c r="G185" s="13">
        <f ca="1"/>
        <v>0.98769095896728876</v>
      </c>
      <c r="H185" s="13" t="e">
        <f ca="1"/>
        <v>#VALUE!</v>
      </c>
      <c r="I185" s="13">
        <f ca="1"/>
        <v>0.98719869537697291</v>
      </c>
      <c r="J185" s="13">
        <f ca="1"/>
        <v>0.96234995230709386</v>
      </c>
      <c r="K185" s="13">
        <f ca="1"/>
        <v>0.96234720730556034</v>
      </c>
    </row>
    <row r="186" spans="1:11">
      <c r="A186" s="14">
        <f t="shared" ca="1" si="17"/>
        <v>43833</v>
      </c>
      <c r="B186" s="74">
        <f t="shared" ca="1" si="12"/>
        <v>2.5352340062742007E-2</v>
      </c>
      <c r="C186" s="74" t="e">
        <f t="shared" ca="1" si="13"/>
        <v>#VALUE!</v>
      </c>
      <c r="D186" s="74">
        <f t="shared" ca="1" si="14"/>
        <v>2.6320353900392002E-2</v>
      </c>
      <c r="E186" s="74">
        <f t="shared" ca="1" si="15"/>
        <v>7.5305720894253692E-2</v>
      </c>
      <c r="F186" s="74">
        <f t="shared" ca="1" si="16"/>
        <v>7.5327916532069161E-2</v>
      </c>
      <c r="G186" s="13">
        <f ca="1"/>
        <v>0.98762152377347734</v>
      </c>
      <c r="H186" s="13" t="e">
        <f ca="1"/>
        <v>#VALUE!</v>
      </c>
      <c r="I186" s="13">
        <f ca="1"/>
        <v>0.98712660767201643</v>
      </c>
      <c r="J186" s="13">
        <f ca="1"/>
        <v>0.96214359101251035</v>
      </c>
      <c r="K186" s="13">
        <f ca="1"/>
        <v>0.9621407851747894</v>
      </c>
    </row>
    <row r="187" spans="1:11">
      <c r="A187" s="14">
        <f t="shared" ca="1" si="17"/>
        <v>43834</v>
      </c>
      <c r="B187" s="74">
        <f t="shared" ca="1" si="12"/>
        <v>2.5360832321242865E-2</v>
      </c>
      <c r="C187" s="74" t="e">
        <f t="shared" ca="1" si="13"/>
        <v>#VALUE!</v>
      </c>
      <c r="D187" s="74">
        <f t="shared" ca="1" si="14"/>
        <v>2.632869336282595E-2</v>
      </c>
      <c r="E187" s="74">
        <f t="shared" ca="1" si="15"/>
        <v>7.5289572728997611E-2</v>
      </c>
      <c r="F187" s="74">
        <f t="shared" ca="1" si="16"/>
        <v>7.531175879925911E-2</v>
      </c>
      <c r="G187" s="13">
        <f ca="1"/>
        <v>0.98755206530755202</v>
      </c>
      <c r="H187" s="13" t="e">
        <f ca="1"/>
        <v>#VALUE!</v>
      </c>
      <c r="I187" s="13">
        <f ca="1"/>
        <v>0.98705449711338522</v>
      </c>
      <c r="J187" s="13">
        <f ca="1"/>
        <v>0.96193727396896445</v>
      </c>
      <c r="K187" s="13">
        <f ca="1"/>
        <v>0.96193440732127689</v>
      </c>
    </row>
    <row r="188" spans="1:11">
      <c r="A188" s="14">
        <f t="shared" ca="1" si="17"/>
        <v>43835</v>
      </c>
      <c r="B188" s="74">
        <f t="shared" ca="1" si="12"/>
        <v>2.53693225166296E-2</v>
      </c>
      <c r="C188" s="74" t="e">
        <f t="shared" ca="1" si="13"/>
        <v>#VALUE!</v>
      </c>
      <c r="D188" s="74">
        <f t="shared" ca="1" si="14"/>
        <v>2.6337030695687824E-2</v>
      </c>
      <c r="E188" s="74">
        <f t="shared" ca="1" si="15"/>
        <v>7.5273428026524924E-2</v>
      </c>
      <c r="F188" s="74">
        <f t="shared" ca="1" si="16"/>
        <v>7.5295604532271687E-2</v>
      </c>
      <c r="G188" s="13">
        <f ca="1"/>
        <v>0.98748258357516505</v>
      </c>
      <c r="H188" s="13" t="e">
        <f ca="1"/>
        <v>#VALUE!</v>
      </c>
      <c r="I188" s="13">
        <f ca="1"/>
        <v>0.98698236370691173</v>
      </c>
      <c r="J188" s="13">
        <f ca="1"/>
        <v>0.96173100116696719</v>
      </c>
      <c r="K188" s="13">
        <f ca="1"/>
        <v>0.96172807373552549</v>
      </c>
    </row>
    <row r="189" spans="1:11">
      <c r="A189" s="14">
        <f t="shared" ca="1" si="17"/>
        <v>43836</v>
      </c>
      <c r="B189" s="74">
        <f t="shared" ca="1" si="12"/>
        <v>2.5377810647767562E-2</v>
      </c>
      <c r="C189" s="74" t="e">
        <f t="shared" ca="1" si="13"/>
        <v>#VALUE!</v>
      </c>
      <c r="D189" s="74">
        <f t="shared" ca="1" si="14"/>
        <v>2.6345365898856055E-2</v>
      </c>
      <c r="E189" s="74">
        <f t="shared" ca="1" si="15"/>
        <v>7.5257286785984645E-2</v>
      </c>
      <c r="F189" s="74">
        <f t="shared" ca="1" si="16"/>
        <v>7.5279453730336954E-2</v>
      </c>
      <c r="G189" s="13">
        <f ca="1"/>
        <v>0.98741307858196881</v>
      </c>
      <c r="H189" s="13" t="e">
        <f ca="1"/>
        <v>#VALUE!</v>
      </c>
      <c r="I189" s="13">
        <f ca="1"/>
        <v>0.98691020745843039</v>
      </c>
      <c r="J189" s="13">
        <f ca="1"/>
        <v>0.96152477259703151</v>
      </c>
      <c r="K189" s="13">
        <f ca="1"/>
        <v>0.96152178440803981</v>
      </c>
    </row>
    <row r="190" spans="1:11">
      <c r="A190" s="14">
        <f t="shared" ca="1" si="17"/>
        <v>43837</v>
      </c>
      <c r="B190" s="74">
        <f t="shared" ca="1" si="12"/>
        <v>2.5386296714251522E-2</v>
      </c>
      <c r="C190" s="74" t="e">
        <f t="shared" ca="1" si="13"/>
        <v>#VALUE!</v>
      </c>
      <c r="D190" s="74">
        <f t="shared" ca="1" si="14"/>
        <v>2.6353698971358086E-2</v>
      </c>
      <c r="E190" s="74">
        <f t="shared" ca="1" si="15"/>
        <v>7.5241149006647357E-2</v>
      </c>
      <c r="F190" s="74">
        <f t="shared" ca="1" si="16"/>
        <v>7.5263306392766016E-2</v>
      </c>
      <c r="G190" s="13">
        <f ca="1"/>
        <v>0.98734355033361876</v>
      </c>
      <c r="H190" s="13" t="e">
        <f ca="1"/>
        <v>#VALUE!</v>
      </c>
      <c r="I190" s="13">
        <f ca="1"/>
        <v>0.98683802837377599</v>
      </c>
      <c r="J190" s="13">
        <f ca="1"/>
        <v>0.96131858824967265</v>
      </c>
      <c r="K190" s="13">
        <f ca="1"/>
        <v>0.96131553932932656</v>
      </c>
    </row>
    <row r="191" spans="1:11">
      <c r="A191" s="14">
        <f t="shared" ca="1" si="17"/>
        <v>43838</v>
      </c>
      <c r="B191" s="74">
        <f t="shared" ca="1" si="12"/>
        <v>2.53947807155952E-2</v>
      </c>
      <c r="C191" s="74" t="e">
        <f t="shared" ca="1" si="13"/>
        <v>#VALUE!</v>
      </c>
      <c r="D191" s="74">
        <f t="shared" ca="1" si="14"/>
        <v>2.636202991282921E-2</v>
      </c>
      <c r="E191" s="74">
        <f t="shared" ca="1" si="15"/>
        <v>7.5225014687905212E-2</v>
      </c>
      <c r="F191" s="74">
        <f t="shared" ca="1" si="16"/>
        <v>7.5247162518748412E-2</v>
      </c>
      <c r="G191" s="13">
        <f ca="1"/>
        <v>0.98727399883577149</v>
      </c>
      <c r="H191" s="13" t="e">
        <f ca="1"/>
        <v>#VALUE!</v>
      </c>
      <c r="I191" s="13">
        <f ca="1"/>
        <v>0.98676582645878597</v>
      </c>
      <c r="J191" s="13">
        <f ca="1"/>
        <v>0.96111244811540786</v>
      </c>
      <c r="K191" s="13">
        <f ca="1"/>
        <v>0.96110933848989433</v>
      </c>
    </row>
    <row r="192" spans="1:11">
      <c r="A192" s="14">
        <f t="shared" ca="1" si="17"/>
        <v>43839</v>
      </c>
      <c r="B192" s="74">
        <f t="shared" ca="1" si="12"/>
        <v>2.5403262651069181E-2</v>
      </c>
      <c r="C192" s="74" t="e">
        <f t="shared" ca="1" si="13"/>
        <v>#VALUE!</v>
      </c>
      <c r="D192" s="74">
        <f t="shared" ca="1" si="14"/>
        <v>2.637035872266158E-2</v>
      </c>
      <c r="E192" s="74">
        <f t="shared" ca="1" si="15"/>
        <v>7.5208883828866702E-2</v>
      </c>
      <c r="F192" s="74">
        <f t="shared" ca="1" si="16"/>
        <v>7.5231022107554724E-2</v>
      </c>
      <c r="G192" s="13">
        <f ca="1"/>
        <v>0.98720442409408493</v>
      </c>
      <c r="H192" s="13" t="e">
        <f ca="1"/>
        <v>#VALUE!</v>
      </c>
      <c r="I192" s="13">
        <f ca="1"/>
        <v>0.98669360171929876</v>
      </c>
      <c r="J192" s="13">
        <f ca="1"/>
        <v>0.96090635218475606</v>
      </c>
      <c r="K192" s="13">
        <f ca="1"/>
        <v>0.96090318188025392</v>
      </c>
    </row>
    <row r="193" spans="1:11">
      <c r="A193" s="14">
        <f t="shared" ca="1" si="17"/>
        <v>43840</v>
      </c>
      <c r="B193" s="74">
        <f t="shared" ca="1" si="12"/>
        <v>2.5411742520268232E-2</v>
      </c>
      <c r="C193" s="74" t="e">
        <f t="shared" ca="1" si="13"/>
        <v>#VALUE!</v>
      </c>
      <c r="D193" s="74">
        <f t="shared" ca="1" si="14"/>
        <v>2.6378685400287871E-2</v>
      </c>
      <c r="E193" s="74">
        <f t="shared" ca="1" si="15"/>
        <v>7.5192756428883456E-2</v>
      </c>
      <c r="F193" s="74">
        <f t="shared" ca="1" si="16"/>
        <v>7.5214885158455536E-2</v>
      </c>
      <c r="G193" s="13">
        <f ca="1"/>
        <v>0.98713482611421899</v>
      </c>
      <c r="H193" s="13" t="e">
        <f ca="1"/>
        <v>#VALUE!</v>
      </c>
      <c r="I193" s="13">
        <f ca="1"/>
        <v>0.98662135416115448</v>
      </c>
      <c r="J193" s="13">
        <f ca="1"/>
        <v>0.96070030044823862</v>
      </c>
      <c r="K193" s="13">
        <f ca="1"/>
        <v>0.96069706949091815</v>
      </c>
    </row>
    <row r="194" spans="1:11">
      <c r="A194" s="14">
        <f t="shared" ca="1" si="17"/>
        <v>43841</v>
      </c>
      <c r="B194" s="74">
        <f t="shared" ref="B194:B257" ca="1" si="18">(G194-G195)/($A195-$A194)*365</f>
        <v>2.5420220322503462E-2</v>
      </c>
      <c r="C194" s="74" t="e">
        <f t="shared" ref="C194:C257" ca="1" si="19">(H194-H195)/($A195-$A194)*365</f>
        <v>#VALUE!</v>
      </c>
      <c r="D194" s="74">
        <f t="shared" ref="D194:D257" ca="1" si="20">(I194-I195)/($A195-$A194)*365</f>
        <v>2.6387009945221807E-2</v>
      </c>
      <c r="E194" s="74">
        <f t="shared" ref="E194:E257" ca="1" si="21">(J194-J195)/($A195-$A194)*365</f>
        <v>7.5176632487104489E-2</v>
      </c>
      <c r="F194" s="74">
        <f t="shared" ref="F194:F257" ca="1" si="22">(K194-K195)/($A195-$A194)*365</f>
        <v>7.5198751670761954E-2</v>
      </c>
      <c r="G194" s="13">
        <f ca="1"/>
        <v>0.98706520490183469</v>
      </c>
      <c r="H194" s="13" t="e">
        <f ca="1"/>
        <v>#VALUE!</v>
      </c>
      <c r="I194" s="13">
        <f ca="1"/>
        <v>0.98654908379019479</v>
      </c>
      <c r="J194" s="13">
        <f ca="1"/>
        <v>0.96049429289637867</v>
      </c>
      <c r="K194" s="13">
        <f ca="1"/>
        <v>0.96049100131240184</v>
      </c>
    </row>
    <row r="195" spans="1:11">
      <c r="A195" s="14">
        <f t="shared" ca="1" si="17"/>
        <v>43842</v>
      </c>
      <c r="B195" s="74">
        <f t="shared" ca="1" si="18"/>
        <v>2.5428696057207545E-2</v>
      </c>
      <c r="C195" s="74" t="e">
        <f t="shared" ca="1" si="19"/>
        <v>#VALUE!</v>
      </c>
      <c r="D195" s="74">
        <f t="shared" ca="1" si="20"/>
        <v>2.6395332356855539E-2</v>
      </c>
      <c r="E195" s="74">
        <f t="shared" ca="1" si="21"/>
        <v>7.5160512002921953E-2</v>
      </c>
      <c r="F195" s="74">
        <f t="shared" ca="1" si="22"/>
        <v>7.5182621643622993E-2</v>
      </c>
      <c r="G195" s="13">
        <f ca="1"/>
        <v>0.98699556046259496</v>
      </c>
      <c r="H195" s="13" t="e">
        <f ca="1"/>
        <v>#VALUE!</v>
      </c>
      <c r="I195" s="13">
        <f ca="1"/>
        <v>0.98647679061226268</v>
      </c>
      <c r="J195" s="13">
        <f ca="1"/>
        <v>0.96028832951970167</v>
      </c>
      <c r="K195" s="13">
        <f ca="1"/>
        <v>0.96028497733522167</v>
      </c>
    </row>
    <row r="196" spans="1:11">
      <c r="A196" s="14">
        <f t="shared" ref="A196:A259" ca="1" si="23">A195+1</f>
        <v>43843</v>
      </c>
      <c r="B196" s="74">
        <f t="shared" ca="1" si="18"/>
        <v>2.5437169723894204E-2</v>
      </c>
      <c r="C196" s="74" t="e">
        <f t="shared" ca="1" si="19"/>
        <v>#VALUE!</v>
      </c>
      <c r="D196" s="74">
        <f t="shared" ca="1" si="20"/>
        <v>2.6403652634662267E-2</v>
      </c>
      <c r="E196" s="74">
        <f t="shared" ca="1" si="21"/>
        <v>7.5144394975525386E-2</v>
      </c>
      <c r="F196" s="74">
        <f t="shared" ca="1" si="22"/>
        <v>7.5166495076390283E-2</v>
      </c>
      <c r="G196" s="13">
        <f ca="1"/>
        <v>0.98692589280216425</v>
      </c>
      <c r="H196" s="13" t="e">
        <f ca="1"/>
        <v>#VALUE!</v>
      </c>
      <c r="I196" s="13">
        <f ca="1"/>
        <v>0.9864044746332028</v>
      </c>
      <c r="J196" s="13">
        <f ca="1"/>
        <v>0.96008241030873476</v>
      </c>
      <c r="K196" s="13">
        <f ca="1"/>
        <v>0.96007899754989667</v>
      </c>
    </row>
    <row r="197" spans="1:11">
      <c r="A197" s="14">
        <f t="shared" ca="1" si="23"/>
        <v>43844</v>
      </c>
      <c r="B197" s="74">
        <f t="shared" ca="1" si="18"/>
        <v>2.5445641321834023E-2</v>
      </c>
      <c r="C197" s="74" t="e">
        <f t="shared" ca="1" si="19"/>
        <v>#VALUE!</v>
      </c>
      <c r="D197" s="74">
        <f t="shared" ca="1" si="20"/>
        <v>2.641197077811519E-2</v>
      </c>
      <c r="E197" s="74">
        <f t="shared" ca="1" si="21"/>
        <v>7.5128281404144848E-2</v>
      </c>
      <c r="F197" s="74">
        <f t="shared" ca="1" si="22"/>
        <v>7.515037196825336E-2</v>
      </c>
      <c r="G197" s="13">
        <f ca="1"/>
        <v>0.98685620192620838</v>
      </c>
      <c r="H197" s="13" t="e">
        <f ca="1"/>
        <v>#VALUE!</v>
      </c>
      <c r="I197" s="13">
        <f ca="1"/>
        <v>0.98633213585886126</v>
      </c>
      <c r="J197" s="13">
        <f ca="1"/>
        <v>0.95987653525400729</v>
      </c>
      <c r="K197" s="13">
        <f ca="1"/>
        <v>0.95987306194694766</v>
      </c>
    </row>
    <row r="198" spans="1:11">
      <c r="A198" s="14">
        <f t="shared" ca="1" si="23"/>
        <v>43845</v>
      </c>
      <c r="B198" s="74">
        <f t="shared" ca="1" si="18"/>
        <v>2.5454110850621769E-2</v>
      </c>
      <c r="C198" s="74" t="e">
        <f t="shared" ca="1" si="19"/>
        <v>#VALUE!</v>
      </c>
      <c r="D198" s="74">
        <f t="shared" ca="1" si="20"/>
        <v>2.6420286786646985E-2</v>
      </c>
      <c r="E198" s="74">
        <f t="shared" ca="1" si="21"/>
        <v>7.5112171288131968E-2</v>
      </c>
      <c r="F198" s="74">
        <f t="shared" ca="1" si="22"/>
        <v>7.5134252318523331E-2</v>
      </c>
      <c r="G198" s="13">
        <f ca="1"/>
        <v>0.98678648784039513</v>
      </c>
      <c r="H198" s="13" t="e">
        <f ca="1"/>
        <v>#VALUE!</v>
      </c>
      <c r="I198" s="13">
        <f ca="1"/>
        <v>0.9862597742950856</v>
      </c>
      <c r="J198" s="13">
        <f ca="1"/>
        <v>0.95967070434605073</v>
      </c>
      <c r="K198" s="13">
        <f ca="1"/>
        <v>0.95966717051689765</v>
      </c>
    </row>
    <row r="199" spans="1:11">
      <c r="A199" s="14">
        <f t="shared" ca="1" si="23"/>
        <v>43846</v>
      </c>
      <c r="B199" s="74">
        <f t="shared" ca="1" si="18"/>
        <v>2.5462578309528028E-2</v>
      </c>
      <c r="C199" s="74" t="e">
        <f t="shared" ca="1" si="19"/>
        <v>#VALUE!</v>
      </c>
      <c r="D199" s="74">
        <f t="shared" ca="1" si="20"/>
        <v>2.6428600659690327E-2</v>
      </c>
      <c r="E199" s="74">
        <f t="shared" ca="1" si="21"/>
        <v>7.5096064626635761E-2</v>
      </c>
      <c r="F199" s="74">
        <f t="shared" ca="1" si="22"/>
        <v>7.5118136126389734E-2</v>
      </c>
      <c r="G199" s="13">
        <f ca="1"/>
        <v>0.98671675055039343</v>
      </c>
      <c r="H199" s="13" t="e">
        <f ca="1"/>
        <v>#VALUE!</v>
      </c>
      <c r="I199" s="13">
        <f ca="1"/>
        <v>0.98618738994772492</v>
      </c>
      <c r="J199" s="13">
        <f ca="1"/>
        <v>0.95946491757539831</v>
      </c>
      <c r="K199" s="13">
        <f ca="1"/>
        <v>0.95946132325027156</v>
      </c>
    </row>
    <row r="200" spans="1:11">
      <c r="A200" s="14">
        <f t="shared" ca="1" si="23"/>
        <v>43847</v>
      </c>
      <c r="B200" s="74">
        <f t="shared" ca="1" si="18"/>
        <v>2.5471043698147566E-2</v>
      </c>
      <c r="C200" s="74" t="e">
        <f t="shared" ca="1" si="19"/>
        <v>#VALUE!</v>
      </c>
      <c r="D200" s="74">
        <f t="shared" ca="1" si="20"/>
        <v>2.6436912396718415E-2</v>
      </c>
      <c r="E200" s="74">
        <f t="shared" ca="1" si="21"/>
        <v>7.5079961418967334E-2</v>
      </c>
      <c r="F200" s="74">
        <f t="shared" ca="1" si="22"/>
        <v>7.5102023391244721E-2</v>
      </c>
      <c r="G200" s="13">
        <f ca="1"/>
        <v>0.98664699006187417</v>
      </c>
      <c r="H200" s="13" t="e">
        <f ca="1"/>
        <v>#VALUE!</v>
      </c>
      <c r="I200" s="13">
        <f ca="1"/>
        <v>0.98611498282262988</v>
      </c>
      <c r="J200" s="13">
        <f ca="1"/>
        <v>0.95925917493258561</v>
      </c>
      <c r="K200" s="13">
        <f ca="1"/>
        <v>0.95925552013759652</v>
      </c>
    </row>
    <row r="201" spans="1:11">
      <c r="A201" s="14">
        <f t="shared" ca="1" si="23"/>
        <v>43848</v>
      </c>
      <c r="B201" s="74">
        <f t="shared" ca="1" si="18"/>
        <v>2.5479507015750968E-2</v>
      </c>
      <c r="C201" s="74" t="e">
        <f t="shared" ca="1" si="19"/>
        <v>#VALUE!</v>
      </c>
      <c r="D201" s="74">
        <f t="shared" ca="1" si="20"/>
        <v>2.6445221997123403E-2</v>
      </c>
      <c r="E201" s="74">
        <f t="shared" ca="1" si="21"/>
        <v>7.5063861664397269E-2</v>
      </c>
      <c r="F201" s="74">
        <f t="shared" ca="1" si="22"/>
        <v>7.508591411215626E-2</v>
      </c>
      <c r="G201" s="13">
        <f ca="1"/>
        <v>0.98657720638050939</v>
      </c>
      <c r="H201" s="13" t="e">
        <f ca="1"/>
        <v>#VALUE!</v>
      </c>
      <c r="I201" s="13">
        <f ca="1"/>
        <v>0.98604255292565257</v>
      </c>
      <c r="J201" s="13">
        <f ca="1"/>
        <v>0.95905347640815009</v>
      </c>
      <c r="K201" s="13">
        <f ca="1"/>
        <v>0.95904976116940133</v>
      </c>
    </row>
    <row r="202" spans="1:11">
      <c r="A202" s="14">
        <f t="shared" ca="1" si="23"/>
        <v>43849</v>
      </c>
      <c r="B202" s="74">
        <f t="shared" ca="1" si="18"/>
        <v>2.5487968261851957E-2</v>
      </c>
      <c r="C202" s="74" t="e">
        <f t="shared" ca="1" si="19"/>
        <v>#VALUE!</v>
      </c>
      <c r="D202" s="74">
        <f t="shared" ca="1" si="20"/>
        <v>2.6453529460459535E-2</v>
      </c>
      <c r="E202" s="74">
        <f t="shared" ca="1" si="21"/>
        <v>7.504776536219615E-2</v>
      </c>
      <c r="F202" s="74">
        <f t="shared" ca="1" si="22"/>
        <v>7.5069808288557027E-2</v>
      </c>
      <c r="G202" s="13">
        <f ca="1"/>
        <v>0.98650739951197308</v>
      </c>
      <c r="H202" s="13" t="e">
        <f ca="1"/>
        <v>#VALUE!</v>
      </c>
      <c r="I202" s="13">
        <f ca="1"/>
        <v>0.98597010026264675</v>
      </c>
      <c r="J202" s="13">
        <f ca="1"/>
        <v>0.95884782199263119</v>
      </c>
      <c r="K202" s="13">
        <f ca="1"/>
        <v>0.95884404633621734</v>
      </c>
    </row>
    <row r="203" spans="1:11">
      <c r="A203" s="14">
        <f t="shared" ca="1" si="23"/>
        <v>43850</v>
      </c>
      <c r="B203" s="74">
        <f t="shared" ca="1" si="18"/>
        <v>2.5496427435842683E-2</v>
      </c>
      <c r="C203" s="74" t="e">
        <f t="shared" ca="1" si="19"/>
        <v>#VALUE!</v>
      </c>
      <c r="D203" s="74">
        <f t="shared" ca="1" si="20"/>
        <v>2.6461834786118965E-2</v>
      </c>
      <c r="E203" s="74">
        <f t="shared" ca="1" si="21"/>
        <v>7.5031672511594039E-2</v>
      </c>
      <c r="F203" s="74">
        <f t="shared" ca="1" si="22"/>
        <v>7.505370591963656E-2</v>
      </c>
      <c r="G203" s="13">
        <f ca="1"/>
        <v>0.98643756946194061</v>
      </c>
      <c r="H203" s="13" t="e">
        <f ca="1"/>
        <v>#VALUE!</v>
      </c>
      <c r="I203" s="13">
        <f ca="1"/>
        <v>0.98589762483946741</v>
      </c>
      <c r="J203" s="13">
        <f ca="1"/>
        <v>0.95864221167657038</v>
      </c>
      <c r="K203" s="13">
        <f ca="1"/>
        <v>0.95863837562857745</v>
      </c>
    </row>
    <row r="204" spans="1:11">
      <c r="A204" s="14">
        <f t="shared" ca="1" si="23"/>
        <v>43851</v>
      </c>
      <c r="B204" s="74">
        <f t="shared" ca="1" si="18"/>
        <v>2.5504884537196348E-2</v>
      </c>
      <c r="C204" s="74" t="e">
        <f t="shared" ca="1" si="19"/>
        <v>#VALUE!</v>
      </c>
      <c r="D204" s="74">
        <f t="shared" ca="1" si="20"/>
        <v>2.6470137973534369E-2</v>
      </c>
      <c r="E204" s="74">
        <f t="shared" ca="1" si="21"/>
        <v>7.5015583111861517E-2</v>
      </c>
      <c r="F204" s="74">
        <f t="shared" ca="1" si="22"/>
        <v>7.5037607004624918E-2</v>
      </c>
      <c r="G204" s="13">
        <f ca="1"/>
        <v>0.98636771623608899</v>
      </c>
      <c r="H204" s="13" t="e">
        <f ca="1"/>
        <v>#VALUE!</v>
      </c>
      <c r="I204" s="13">
        <f ca="1"/>
        <v>0.9858251266619712</v>
      </c>
      <c r="J204" s="13">
        <f ca="1"/>
        <v>0.95843664545051122</v>
      </c>
      <c r="K204" s="13">
        <f ca="1"/>
        <v>0.95843274903701681</v>
      </c>
    </row>
    <row r="205" spans="1:11">
      <c r="A205" s="14">
        <f t="shared" ca="1" si="23"/>
        <v>43852</v>
      </c>
      <c r="B205" s="74">
        <f t="shared" ca="1" si="18"/>
        <v>2.5513339565264581E-2</v>
      </c>
      <c r="C205" s="74" t="e">
        <f t="shared" ca="1" si="19"/>
        <v>#VALUE!</v>
      </c>
      <c r="D205" s="74">
        <f t="shared" ca="1" si="20"/>
        <v>2.6478439022219469E-2</v>
      </c>
      <c r="E205" s="74">
        <f t="shared" ca="1" si="21"/>
        <v>7.4999497162228645E-2</v>
      </c>
      <c r="F205" s="74">
        <f t="shared" ca="1" si="22"/>
        <v>7.5021511542792685E-2</v>
      </c>
      <c r="G205" s="13">
        <f ca="1"/>
        <v>0.98629783984009667</v>
      </c>
      <c r="H205" s="13" t="e">
        <f ca="1"/>
        <v>#VALUE!</v>
      </c>
      <c r="I205" s="13">
        <f ca="1"/>
        <v>0.98575260573601631</v>
      </c>
      <c r="J205" s="13">
        <f ca="1"/>
        <v>0.95823112330499927</v>
      </c>
      <c r="K205" s="13">
        <f ca="1"/>
        <v>0.95822716655207263</v>
      </c>
    </row>
    <row r="206" spans="1:11">
      <c r="A206" s="14">
        <f t="shared" ca="1" si="23"/>
        <v>43853</v>
      </c>
      <c r="B206" s="74">
        <f t="shared" ca="1" si="18"/>
        <v>2.5521792519561104E-2</v>
      </c>
      <c r="C206" s="74" t="e">
        <f t="shared" ca="1" si="19"/>
        <v>#VALUE!</v>
      </c>
      <c r="D206" s="74">
        <f t="shared" ca="1" si="20"/>
        <v>2.6486737931566418E-2</v>
      </c>
      <c r="E206" s="74">
        <f t="shared" ca="1" si="21"/>
        <v>7.4983414662006531E-2</v>
      </c>
      <c r="F206" s="74">
        <f t="shared" ca="1" si="22"/>
        <v>7.5005419533410445E-2</v>
      </c>
      <c r="G206" s="13">
        <f ca="1"/>
        <v>0.98622794027964389</v>
      </c>
      <c r="H206" s="13" t="e">
        <f ca="1"/>
        <v>#VALUE!</v>
      </c>
      <c r="I206" s="13">
        <f ca="1"/>
        <v>0.98568006206746228</v>
      </c>
      <c r="J206" s="13">
        <f ca="1"/>
        <v>0.9580256452305822</v>
      </c>
      <c r="K206" s="13">
        <f ca="1"/>
        <v>0.95802162816428416</v>
      </c>
    </row>
    <row r="207" spans="1:11">
      <c r="A207" s="14">
        <f t="shared" ca="1" si="23"/>
        <v>43854</v>
      </c>
      <c r="B207" s="74">
        <f t="shared" ca="1" si="18"/>
        <v>2.5530243399437547E-2</v>
      </c>
      <c r="C207" s="74" t="e">
        <f t="shared" ca="1" si="19"/>
        <v>#VALUE!</v>
      </c>
      <c r="D207" s="74">
        <f t="shared" ca="1" si="20"/>
        <v>2.6495034701048414E-2</v>
      </c>
      <c r="E207" s="74">
        <f t="shared" ca="1" si="21"/>
        <v>7.4967335610425234E-2</v>
      </c>
      <c r="F207" s="74">
        <f t="shared" ca="1" si="22"/>
        <v>7.4989330975829827E-2</v>
      </c>
      <c r="G207" s="13">
        <f ca="1"/>
        <v>0.98615801756041221</v>
      </c>
      <c r="H207" s="13" t="e">
        <f ca="1"/>
        <v>#VALUE!</v>
      </c>
      <c r="I207" s="13">
        <f ca="1"/>
        <v>0.98560749566217032</v>
      </c>
      <c r="J207" s="13">
        <f ca="1"/>
        <v>0.95782021121780958</v>
      </c>
      <c r="K207" s="13">
        <f ca="1"/>
        <v>0.95781613386419262</v>
      </c>
    </row>
    <row r="208" spans="1:11">
      <c r="A208" s="14">
        <f t="shared" ca="1" si="23"/>
        <v>43855</v>
      </c>
      <c r="B208" s="74">
        <f t="shared" ca="1" si="18"/>
        <v>2.5538692204407631E-2</v>
      </c>
      <c r="C208" s="74" t="e">
        <f t="shared" ca="1" si="19"/>
        <v>#VALUE!</v>
      </c>
      <c r="D208" s="74">
        <f t="shared" ca="1" si="20"/>
        <v>2.6503329330098135E-2</v>
      </c>
      <c r="E208" s="74">
        <f t="shared" ca="1" si="21"/>
        <v>7.4951260006755338E-2</v>
      </c>
      <c r="F208" s="74">
        <f t="shared" ca="1" si="22"/>
        <v>7.4973245869118799E-2</v>
      </c>
      <c r="G208" s="13">
        <f ca="1"/>
        <v>0.98608807168808499</v>
      </c>
      <c r="H208" s="13" t="e">
        <f ca="1"/>
        <v>#VALUE!</v>
      </c>
      <c r="I208" s="13">
        <f ca="1"/>
        <v>0.98553490652600306</v>
      </c>
      <c r="J208" s="13">
        <f ca="1"/>
        <v>0.95761482125723307</v>
      </c>
      <c r="K208" s="13">
        <f ca="1"/>
        <v>0.95761068364234103</v>
      </c>
    </row>
    <row r="209" spans="1:11">
      <c r="A209" s="14">
        <f t="shared" ca="1" si="23"/>
        <v>43856</v>
      </c>
      <c r="B209" s="74">
        <f t="shared" ca="1" si="18"/>
        <v>2.5547138933782465E-2</v>
      </c>
      <c r="C209" s="74" t="e">
        <f t="shared" ca="1" si="19"/>
        <v>#VALUE!</v>
      </c>
      <c r="D209" s="74">
        <f t="shared" ca="1" si="20"/>
        <v>2.6511621818269826E-2</v>
      </c>
      <c r="E209" s="74">
        <f t="shared" ca="1" si="21"/>
        <v>7.4935187850267426E-2</v>
      </c>
      <c r="F209" s="74">
        <f t="shared" ca="1" si="22"/>
        <v>7.4957164212669514E-2</v>
      </c>
      <c r="G209" s="13">
        <f ca="1"/>
        <v>0.98601810266834689</v>
      </c>
      <c r="H209" s="13" t="e">
        <f ca="1"/>
        <v>#VALUE!</v>
      </c>
      <c r="I209" s="13">
        <f ca="1"/>
        <v>0.98546229466482471</v>
      </c>
      <c r="J209" s="13">
        <f ca="1"/>
        <v>0.95740947533940635</v>
      </c>
      <c r="K209" s="13">
        <f ca="1"/>
        <v>0.95740527748927495</v>
      </c>
    </row>
    <row r="210" spans="1:11">
      <c r="A210" s="14">
        <f t="shared" ca="1" si="23"/>
        <v>43857</v>
      </c>
      <c r="B210" s="74">
        <f t="shared" ca="1" si="18"/>
        <v>2.555558358707577E-2</v>
      </c>
      <c r="C210" s="74" t="e">
        <f t="shared" ca="1" si="19"/>
        <v>#VALUE!</v>
      </c>
      <c r="D210" s="74">
        <f t="shared" ca="1" si="20"/>
        <v>2.6519912164874593E-2</v>
      </c>
      <c r="E210" s="74">
        <f t="shared" ca="1" si="21"/>
        <v>7.4919119140151036E-2</v>
      </c>
      <c r="F210" s="74">
        <f t="shared" ca="1" si="22"/>
        <v>7.4941086005752555E-2</v>
      </c>
      <c r="G210" s="13">
        <f ca="1"/>
        <v>0.98594811050688447</v>
      </c>
      <c r="H210" s="13" t="e">
        <f ca="1"/>
        <v>#VALUE!</v>
      </c>
      <c r="I210" s="13">
        <f ca="1"/>
        <v>0.98538966008450068</v>
      </c>
      <c r="J210" s="13">
        <f ca="1"/>
        <v>0.95720417345488507</v>
      </c>
      <c r="K210" s="13">
        <f ca="1"/>
        <v>0.95719991539554161</v>
      </c>
    </row>
    <row r="211" spans="1:11">
      <c r="A211" s="14">
        <f t="shared" ca="1" si="23"/>
        <v>43858</v>
      </c>
      <c r="B211" s="74">
        <f t="shared" ca="1" si="18"/>
        <v>2.5564026163760745E-2</v>
      </c>
      <c r="C211" s="74" t="e">
        <f t="shared" ca="1" si="19"/>
        <v>#VALUE!</v>
      </c>
      <c r="D211" s="74">
        <f t="shared" ca="1" si="20"/>
        <v>2.6528200369426158E-2</v>
      </c>
      <c r="E211" s="74">
        <f t="shared" ca="1" si="21"/>
        <v>7.490305387579832E-2</v>
      </c>
      <c r="F211" s="74">
        <f t="shared" ca="1" si="22"/>
        <v>7.4925011247516937E-2</v>
      </c>
      <c r="G211" s="13">
        <f ca="1"/>
        <v>0.98587809520938563</v>
      </c>
      <c r="H211" s="13" t="e">
        <f ca="1"/>
        <v>#VALUE!</v>
      </c>
      <c r="I211" s="13">
        <f ca="1"/>
        <v>0.98531700279089829</v>
      </c>
      <c r="J211" s="13">
        <f ca="1"/>
        <v>0.95699891559422712</v>
      </c>
      <c r="K211" s="13">
        <f ca="1"/>
        <v>0.95699459735169023</v>
      </c>
    </row>
    <row r="212" spans="1:11">
      <c r="A212" s="14">
        <f t="shared" ca="1" si="23"/>
        <v>43859</v>
      </c>
      <c r="B212" s="74">
        <f t="shared" ca="1" si="18"/>
        <v>2.5572466663148496E-2</v>
      </c>
      <c r="C212" s="74" t="e">
        <f t="shared" ca="1" si="19"/>
        <v>#VALUE!</v>
      </c>
      <c r="D212" s="74">
        <f t="shared" ca="1" si="20"/>
        <v>2.6536486431438244E-2</v>
      </c>
      <c r="E212" s="74">
        <f t="shared" ca="1" si="21"/>
        <v>7.4886992056358292E-2</v>
      </c>
      <c r="F212" s="74">
        <f t="shared" ca="1" si="22"/>
        <v>7.4908939937354813E-2</v>
      </c>
      <c r="G212" s="13">
        <f ca="1"/>
        <v>0.98580805678153971</v>
      </c>
      <c r="H212" s="13" t="e">
        <f ca="1"/>
        <v>#VALUE!</v>
      </c>
      <c r="I212" s="13">
        <f ca="1"/>
        <v>0.98524432278988616</v>
      </c>
      <c r="J212" s="13">
        <f ca="1"/>
        <v>0.95679370174799205</v>
      </c>
      <c r="K212" s="13">
        <f ca="1"/>
        <v>0.95678932334827238</v>
      </c>
    </row>
    <row r="213" spans="1:11">
      <c r="A213" s="14">
        <f t="shared" ca="1" si="23"/>
        <v>43860</v>
      </c>
      <c r="B213" s="74">
        <f t="shared" ca="1" si="18"/>
        <v>2.5580905084752747E-2</v>
      </c>
      <c r="C213" s="74" t="e">
        <f t="shared" ca="1" si="19"/>
        <v>#VALUE!</v>
      </c>
      <c r="D213" s="74">
        <f t="shared" ca="1" si="20"/>
        <v>2.6544770350303004E-2</v>
      </c>
      <c r="E213" s="74">
        <f t="shared" ca="1" si="21"/>
        <v>7.487093368114206E-2</v>
      </c>
      <c r="F213" s="74">
        <f t="shared" ca="1" si="22"/>
        <v>7.4892872074455719E-2</v>
      </c>
      <c r="G213" s="13">
        <f ca="1"/>
        <v>0.98573799522903793</v>
      </c>
      <c r="H213" s="13" t="e">
        <f ca="1"/>
        <v>#VALUE!</v>
      </c>
      <c r="I213" s="13">
        <f ca="1"/>
        <v>0.98517162008733428</v>
      </c>
      <c r="J213" s="13">
        <f ca="1"/>
        <v>0.95658853190674176</v>
      </c>
      <c r="K213" s="13">
        <f ca="1"/>
        <v>0.95658409337584127</v>
      </c>
    </row>
    <row r="214" spans="1:11">
      <c r="A214" s="14">
        <f t="shared" ca="1" si="23"/>
        <v>43861</v>
      </c>
      <c r="B214" s="74">
        <f t="shared" ca="1" si="18"/>
        <v>2.5589341427965651E-2</v>
      </c>
      <c r="C214" s="74" t="e">
        <f t="shared" ca="1" si="19"/>
        <v>#VALUE!</v>
      </c>
      <c r="D214" s="74">
        <f t="shared" ca="1" si="20"/>
        <v>2.6553052125412591E-2</v>
      </c>
      <c r="E214" s="74">
        <f t="shared" ca="1" si="21"/>
        <v>7.4854878749379683E-2</v>
      </c>
      <c r="F214" s="74">
        <f t="shared" ca="1" si="22"/>
        <v>7.4876807658090239E-2</v>
      </c>
      <c r="G214" s="13">
        <f ca="1"/>
        <v>0.98566791055757286</v>
      </c>
      <c r="H214" s="13" t="e">
        <f ca="1"/>
        <v>#VALUE!</v>
      </c>
      <c r="I214" s="13">
        <f ca="1"/>
        <v>0.98509889468911427</v>
      </c>
      <c r="J214" s="13">
        <f ca="1"/>
        <v>0.95638340606104</v>
      </c>
      <c r="K214" s="13">
        <f ca="1"/>
        <v>0.95637890742495235</v>
      </c>
    </row>
    <row r="215" spans="1:11">
      <c r="A215" s="14">
        <f t="shared" ca="1" si="23"/>
        <v>43862</v>
      </c>
      <c r="B215" s="74">
        <f t="shared" ca="1" si="18"/>
        <v>2.5597775692260405E-2</v>
      </c>
      <c r="C215" s="74" t="e">
        <f t="shared" ca="1" si="19"/>
        <v>#VALUE!</v>
      </c>
      <c r="D215" s="74">
        <f t="shared" ca="1" si="20"/>
        <v>2.6561331756402295E-2</v>
      </c>
      <c r="E215" s="74">
        <f t="shared" ca="1" si="21"/>
        <v>7.4838827260382268E-2</v>
      </c>
      <c r="F215" s="74">
        <f t="shared" ca="1" si="22"/>
        <v>7.4860746687528956E-2</v>
      </c>
      <c r="G215" s="13">
        <f ca="1"/>
        <v>0.9855978027728387</v>
      </c>
      <c r="H215" s="13" t="e">
        <f ca="1"/>
        <v>#VALUE!</v>
      </c>
      <c r="I215" s="13">
        <f ca="1"/>
        <v>0.98502614660109944</v>
      </c>
      <c r="J215" s="13">
        <f ca="1"/>
        <v>0.95617832420145266</v>
      </c>
      <c r="K215" s="13">
        <f ca="1"/>
        <v>0.95617376548616306</v>
      </c>
    </row>
    <row r="216" spans="1:11">
      <c r="A216" s="14">
        <f t="shared" ca="1" si="23"/>
        <v>43863</v>
      </c>
      <c r="B216" s="74">
        <f t="shared" ca="1" si="18"/>
        <v>2.560620787698864E-2</v>
      </c>
      <c r="C216" s="74" t="e">
        <f t="shared" ca="1" si="19"/>
        <v>#VALUE!</v>
      </c>
      <c r="D216" s="74">
        <f t="shared" ca="1" si="20"/>
        <v>2.6569609242502179E-2</v>
      </c>
      <c r="E216" s="74">
        <f t="shared" ca="1" si="21"/>
        <v>7.4822779213339352E-2</v>
      </c>
      <c r="F216" s="74">
        <f t="shared" ca="1" si="22"/>
        <v>7.4844689161961409E-2</v>
      </c>
      <c r="G216" s="13">
        <f ca="1"/>
        <v>0.98552767188053114</v>
      </c>
      <c r="H216" s="13" t="e">
        <f ca="1"/>
        <v>#VALUE!</v>
      </c>
      <c r="I216" s="13">
        <f ca="1"/>
        <v>0.98495337582916409</v>
      </c>
      <c r="J216" s="13">
        <f ca="1"/>
        <v>0.9559732863185475</v>
      </c>
      <c r="K216" s="13">
        <f ca="1"/>
        <v>0.95596866755003285</v>
      </c>
    </row>
    <row r="217" spans="1:11">
      <c r="A217" s="14">
        <f t="shared" ca="1" si="23"/>
        <v>43864</v>
      </c>
      <c r="B217" s="74">
        <f t="shared" ca="1" si="18"/>
        <v>2.5614637981664079E-2</v>
      </c>
      <c r="C217" s="74" t="e">
        <f t="shared" ca="1" si="19"/>
        <v>#VALUE!</v>
      </c>
      <c r="D217" s="74">
        <f t="shared" ca="1" si="20"/>
        <v>2.6577884583388056E-2</v>
      </c>
      <c r="E217" s="74">
        <f t="shared" ca="1" si="21"/>
        <v>7.4806734607602565E-2</v>
      </c>
      <c r="F217" s="74">
        <f t="shared" ca="1" si="22"/>
        <v>7.4828635080779748E-2</v>
      </c>
      <c r="G217" s="13">
        <f ca="1"/>
        <v>0.98545751788634761</v>
      </c>
      <c r="H217" s="13" t="e">
        <f ca="1"/>
        <v>#VALUE!</v>
      </c>
      <c r="I217" s="13">
        <f ca="1"/>
        <v>0.98488058237918463</v>
      </c>
      <c r="J217" s="13">
        <f ca="1"/>
        <v>0.95576829240289451</v>
      </c>
      <c r="K217" s="13">
        <f ca="1"/>
        <v>0.95576361360712336</v>
      </c>
    </row>
    <row r="218" spans="1:11">
      <c r="A218" s="14">
        <f t="shared" ca="1" si="23"/>
        <v>43865</v>
      </c>
      <c r="B218" s="74">
        <f t="shared" ca="1" si="18"/>
        <v>2.5623066005678874E-2</v>
      </c>
      <c r="C218" s="74" t="e">
        <f t="shared" ca="1" si="19"/>
        <v>#VALUE!</v>
      </c>
      <c r="D218" s="74">
        <f t="shared" ca="1" si="20"/>
        <v>2.658615777833051E-2</v>
      </c>
      <c r="E218" s="74">
        <f t="shared" ca="1" si="21"/>
        <v>7.4790693442401968E-2</v>
      </c>
      <c r="F218" s="74">
        <f t="shared" ca="1" si="22"/>
        <v>7.4812584443173513E-2</v>
      </c>
      <c r="G218" s="13">
        <f ca="1"/>
        <v>0.98538734079598689</v>
      </c>
      <c r="H218" s="13" t="e">
        <f ca="1"/>
        <v>#VALUE!</v>
      </c>
      <c r="I218" s="13">
        <f ca="1"/>
        <v>0.98480776625703836</v>
      </c>
      <c r="J218" s="13">
        <f ca="1"/>
        <v>0.95556334244506547</v>
      </c>
      <c r="K218" s="13">
        <f ca="1"/>
        <v>0.95555860364799794</v>
      </c>
    </row>
    <row r="219" spans="1:11">
      <c r="A219" s="14">
        <f t="shared" ca="1" si="23"/>
        <v>43866</v>
      </c>
      <c r="B219" s="74">
        <f t="shared" ca="1" si="18"/>
        <v>2.5631491948506224E-2</v>
      </c>
      <c r="C219" s="74" t="e">
        <f t="shared" ca="1" si="19"/>
        <v>#VALUE!</v>
      </c>
      <c r="D219" s="74">
        <f t="shared" ca="1" si="20"/>
        <v>2.659442882692431E-2</v>
      </c>
      <c r="E219" s="74">
        <f t="shared" ca="1" si="21"/>
        <v>7.4774655716886573E-2</v>
      </c>
      <c r="F219" s="74">
        <f t="shared" ca="1" si="22"/>
        <v>7.479653724833224E-2</v>
      </c>
      <c r="G219" s="13">
        <f ca="1"/>
        <v>0.98531714061514941</v>
      </c>
      <c r="H219" s="13" t="e">
        <f ca="1"/>
        <v>#VALUE!</v>
      </c>
      <c r="I219" s="13">
        <f ca="1"/>
        <v>0.98473492746860458</v>
      </c>
      <c r="J219" s="13">
        <f ca="1"/>
        <v>0.95535843643563423</v>
      </c>
      <c r="K219" s="13">
        <f ca="1"/>
        <v>0.95535363766322212</v>
      </c>
    </row>
    <row r="220" spans="1:11">
      <c r="A220" s="14">
        <f t="shared" ca="1" si="23"/>
        <v>43867</v>
      </c>
      <c r="B220" s="74">
        <f t="shared" ca="1" si="18"/>
        <v>2.563991580949776E-2</v>
      </c>
      <c r="C220" s="74" t="e">
        <f t="shared" ca="1" si="19"/>
        <v>#VALUE!</v>
      </c>
      <c r="D220" s="74">
        <f t="shared" ca="1" si="20"/>
        <v>2.6602697728521085E-2</v>
      </c>
      <c r="E220" s="74">
        <f t="shared" ca="1" si="21"/>
        <v>7.4758621430529582E-2</v>
      </c>
      <c r="F220" s="74">
        <f t="shared" ca="1" si="22"/>
        <v>7.4780493495688605E-2</v>
      </c>
      <c r="G220" s="13">
        <f ca="1"/>
        <v>0.98524691734953707</v>
      </c>
      <c r="H220" s="13" t="e">
        <f ca="1"/>
        <v>#VALUE!</v>
      </c>
      <c r="I220" s="13">
        <f ca="1"/>
        <v>0.98466206601976369</v>
      </c>
      <c r="J220" s="13">
        <f ca="1"/>
        <v>0.955153574365177</v>
      </c>
      <c r="K220" s="13">
        <f ca="1"/>
        <v>0.95514871564336368</v>
      </c>
    </row>
    <row r="221" spans="1:11">
      <c r="A221" s="14">
        <f t="shared" ca="1" si="23"/>
        <v>43868</v>
      </c>
      <c r="B221" s="74">
        <f t="shared" ca="1" si="18"/>
        <v>2.564833758812668E-2</v>
      </c>
      <c r="C221" s="74" t="e">
        <f t="shared" ca="1" si="19"/>
        <v>#VALUE!</v>
      </c>
      <c r="D221" s="74">
        <f t="shared" ca="1" si="20"/>
        <v>2.6610964482675081E-2</v>
      </c>
      <c r="E221" s="74">
        <f t="shared" ca="1" si="21"/>
        <v>7.4742590582439483E-2</v>
      </c>
      <c r="F221" s="74">
        <f t="shared" ca="1" si="22"/>
        <v>7.4764453184351098E-2</v>
      </c>
      <c r="G221" s="13">
        <f ca="1"/>
        <v>0.98517667100485351</v>
      </c>
      <c r="H221" s="13" t="e">
        <f ca="1"/>
        <v>#VALUE!</v>
      </c>
      <c r="I221" s="13">
        <f ca="1"/>
        <v>0.98458918191639788</v>
      </c>
      <c r="J221" s="13">
        <f ca="1"/>
        <v>0.95494875622427144</v>
      </c>
      <c r="K221" s="13">
        <f ca="1"/>
        <v>0.95494383757899193</v>
      </c>
    </row>
    <row r="222" spans="1:11">
      <c r="A222" s="14">
        <f t="shared" ca="1" si="23"/>
        <v>43869</v>
      </c>
      <c r="B222" s="74">
        <f t="shared" ca="1" si="18"/>
        <v>2.5656757283866183E-2</v>
      </c>
      <c r="C222" s="74" t="e">
        <f t="shared" ca="1" si="19"/>
        <v>#VALUE!</v>
      </c>
      <c r="D222" s="74">
        <f t="shared" ca="1" si="20"/>
        <v>2.6619229088778451E-2</v>
      </c>
      <c r="E222" s="74">
        <f t="shared" ca="1" si="21"/>
        <v>7.4726563171886862E-2</v>
      </c>
      <c r="F222" s="74">
        <f t="shared" ca="1" si="22"/>
        <v>7.4748416313671351E-2</v>
      </c>
      <c r="G222" s="13">
        <f ca="1"/>
        <v>0.98510640158680385</v>
      </c>
      <c r="H222" s="13" t="e">
        <f ca="1"/>
        <v>#VALUE!</v>
      </c>
      <c r="I222" s="13">
        <f ca="1"/>
        <v>0.98451627516439055</v>
      </c>
      <c r="J222" s="13">
        <f ca="1"/>
        <v>0.95474398200349764</v>
      </c>
      <c r="K222" s="13">
        <f ca="1"/>
        <v>0.95473900346067864</v>
      </c>
    </row>
    <row r="223" spans="1:11">
      <c r="A223" s="14">
        <f t="shared" ca="1" si="23"/>
        <v>43870</v>
      </c>
      <c r="B223" s="74">
        <f t="shared" ca="1" si="18"/>
        <v>2.5665174896108423E-2</v>
      </c>
      <c r="C223" s="74" t="e">
        <f t="shared" ca="1" si="19"/>
        <v>#VALUE!</v>
      </c>
      <c r="D223" s="74">
        <f t="shared" ca="1" si="20"/>
        <v>2.6627491546304394E-2</v>
      </c>
      <c r="E223" s="74">
        <f t="shared" ca="1" si="21"/>
        <v>7.4710539198223347E-2</v>
      </c>
      <c r="F223" s="74">
        <f t="shared" ca="1" si="22"/>
        <v>7.4732382882838899E-2</v>
      </c>
      <c r="G223" s="13">
        <f ca="1"/>
        <v>0.98503610910109463</v>
      </c>
      <c r="H223" s="13" t="e">
        <f ca="1"/>
        <v>#VALUE!</v>
      </c>
      <c r="I223" s="13">
        <f ca="1"/>
        <v>0.98444334576962678</v>
      </c>
      <c r="J223" s="13">
        <f ca="1"/>
        <v>0.95453925169343767</v>
      </c>
      <c r="K223" s="13">
        <f ca="1"/>
        <v>0.95453421327899735</v>
      </c>
    </row>
    <row r="224" spans="1:11">
      <c r="A224" s="14">
        <f t="shared" ca="1" si="23"/>
        <v>43871</v>
      </c>
      <c r="B224" s="74">
        <f t="shared" ca="1" si="18"/>
        <v>2.5673590424286075E-2</v>
      </c>
      <c r="C224" s="74" t="e">
        <f t="shared" ca="1" si="19"/>
        <v>#VALUE!</v>
      </c>
      <c r="D224" s="74">
        <f t="shared" ca="1" si="20"/>
        <v>2.6635751854685585E-2</v>
      </c>
      <c r="E224" s="74">
        <f t="shared" ca="1" si="21"/>
        <v>7.4694518660597953E-2</v>
      </c>
      <c r="F224" s="74">
        <f t="shared" ca="1" si="22"/>
        <v>7.471635289116485E-2</v>
      </c>
      <c r="G224" s="13">
        <f ca="1"/>
        <v>0.98496579355343405</v>
      </c>
      <c r="H224" s="13" t="e">
        <f ca="1"/>
        <v>#VALUE!</v>
      </c>
      <c r="I224" s="13">
        <f ca="1"/>
        <v>0.98437039373799307</v>
      </c>
      <c r="J224" s="13">
        <f ca="1"/>
        <v>0.95433456528467542</v>
      </c>
      <c r="K224" s="13">
        <f ca="1"/>
        <v>0.95432946702452381</v>
      </c>
    </row>
    <row r="225" spans="1:11">
      <c r="A225" s="14">
        <f t="shared" ca="1" si="23"/>
        <v>43872</v>
      </c>
      <c r="B225" s="74">
        <f t="shared" ca="1" si="18"/>
        <v>2.5682003867831815E-2</v>
      </c>
      <c r="C225" s="74" t="e">
        <f t="shared" ca="1" si="19"/>
        <v>#VALUE!</v>
      </c>
      <c r="D225" s="74">
        <f t="shared" ca="1" si="20"/>
        <v>2.6644010013395225E-2</v>
      </c>
      <c r="E225" s="74">
        <f t="shared" ca="1" si="21"/>
        <v>7.4678501558402832E-2</v>
      </c>
      <c r="F225" s="74">
        <f t="shared" ca="1" si="22"/>
        <v>7.4700326337919787E-2</v>
      </c>
      <c r="G225" s="13">
        <f ca="1"/>
        <v>0.9848954549495319</v>
      </c>
      <c r="H225" s="13" t="e">
        <f ca="1"/>
        <v>#VALUE!</v>
      </c>
      <c r="I225" s="13">
        <f ca="1"/>
        <v>0.98429741907537749</v>
      </c>
      <c r="J225" s="13">
        <f ca="1"/>
        <v>0.95412992276779707</v>
      </c>
      <c r="K225" s="13">
        <f ca="1"/>
        <v>0.95412476468783569</v>
      </c>
    </row>
    <row r="226" spans="1:11">
      <c r="A226" s="14">
        <f t="shared" ca="1" si="23"/>
        <v>43873</v>
      </c>
      <c r="B226" s="74">
        <f t="shared" ca="1" si="18"/>
        <v>2.569041522617832E-2</v>
      </c>
      <c r="C226" s="74" t="e">
        <f t="shared" ca="1" si="19"/>
        <v>#VALUE!</v>
      </c>
      <c r="D226" s="74">
        <f t="shared" ca="1" si="20"/>
        <v>2.6652266021947035E-2</v>
      </c>
      <c r="E226" s="74">
        <f t="shared" ca="1" si="21"/>
        <v>7.4662487890786999E-2</v>
      </c>
      <c r="F226" s="74">
        <f t="shared" ca="1" si="22"/>
        <v>7.468430322233377E-2</v>
      </c>
      <c r="G226" s="13">
        <f ca="1"/>
        <v>0.98482509329509949</v>
      </c>
      <c r="H226" s="13" t="e">
        <f ca="1"/>
        <v>#VALUE!</v>
      </c>
      <c r="I226" s="13">
        <f ca="1"/>
        <v>0.98422442178766956</v>
      </c>
      <c r="J226" s="13">
        <f ca="1"/>
        <v>0.95392532413339048</v>
      </c>
      <c r="K226" s="13">
        <f ca="1"/>
        <v>0.95392010625951262</v>
      </c>
    </row>
    <row r="227" spans="1:11">
      <c r="A227" s="14">
        <f t="shared" ca="1" si="23"/>
        <v>43874</v>
      </c>
      <c r="B227" s="74">
        <f t="shared" ca="1" si="18"/>
        <v>2.5698824498798789E-2</v>
      </c>
      <c r="C227" s="74" t="e">
        <f t="shared" ca="1" si="19"/>
        <v>#VALUE!</v>
      </c>
      <c r="D227" s="74">
        <f t="shared" ca="1" si="20"/>
        <v>2.6660519879733169E-2</v>
      </c>
      <c r="E227" s="74">
        <f t="shared" ca="1" si="21"/>
        <v>7.4646477657021038E-2</v>
      </c>
      <c r="F227" s="74">
        <f t="shared" ca="1" si="22"/>
        <v>7.4668283543677383E-2</v>
      </c>
      <c r="G227" s="13">
        <f ca="1"/>
        <v>0.98475470859584968</v>
      </c>
      <c r="H227" s="13" t="e">
        <f ca="1"/>
        <v>#VALUE!</v>
      </c>
      <c r="I227" s="13">
        <f ca="1"/>
        <v>0.98415140188076011</v>
      </c>
      <c r="J227" s="13">
        <f ca="1"/>
        <v>0.95372076937204586</v>
      </c>
      <c r="K227" s="13">
        <f ca="1"/>
        <v>0.95371549173013637</v>
      </c>
    </row>
    <row r="228" spans="1:11">
      <c r="A228" s="14">
        <f t="shared" ca="1" si="23"/>
        <v>43875</v>
      </c>
      <c r="B228" s="74">
        <f t="shared" ca="1" si="18"/>
        <v>2.5707231685085374E-2</v>
      </c>
      <c r="C228" s="74" t="e">
        <f t="shared" ca="1" si="19"/>
        <v>#VALUE!</v>
      </c>
      <c r="D228" s="74">
        <f t="shared" ca="1" si="20"/>
        <v>2.6668771586267348E-2</v>
      </c>
      <c r="E228" s="74">
        <f t="shared" ca="1" si="21"/>
        <v>7.46304708564971E-2</v>
      </c>
      <c r="F228" s="74">
        <f t="shared" ca="1" si="22"/>
        <v>7.4652267301261732E-2</v>
      </c>
      <c r="G228" s="13">
        <f ca="1"/>
        <v>0.98468430085749681</v>
      </c>
      <c r="H228" s="13" t="e">
        <f ca="1"/>
        <v>#VALUE!</v>
      </c>
      <c r="I228" s="13">
        <f ca="1"/>
        <v>0.98407835936054167</v>
      </c>
      <c r="J228" s="13">
        <f ca="1"/>
        <v>0.95351625847435539</v>
      </c>
      <c r="K228" s="13">
        <f ca="1"/>
        <v>0.95351092109029068</v>
      </c>
    </row>
    <row r="229" spans="1:11">
      <c r="A229" s="14">
        <f t="shared" ca="1" si="23"/>
        <v>43876</v>
      </c>
      <c r="B229" s="74">
        <f t="shared" ca="1" si="18"/>
        <v>2.5715636784470752E-2</v>
      </c>
      <c r="C229" s="74" t="e">
        <f t="shared" ca="1" si="19"/>
        <v>#VALUE!</v>
      </c>
      <c r="D229" s="74">
        <f t="shared" ca="1" si="20"/>
        <v>2.6677021140901203E-2</v>
      </c>
      <c r="E229" s="74">
        <f t="shared" ca="1" si="21"/>
        <v>7.4614467488323677E-2</v>
      </c>
      <c r="F229" s="74">
        <f t="shared" ca="1" si="22"/>
        <v>7.4636254494235832E-2</v>
      </c>
      <c r="G229" s="13">
        <f ca="1"/>
        <v>0.98461387008575685</v>
      </c>
      <c r="H229" s="13" t="e">
        <f ca="1"/>
        <v>#VALUE!</v>
      </c>
      <c r="I229" s="13">
        <f ca="1"/>
        <v>0.98400529423290806</v>
      </c>
      <c r="J229" s="13">
        <f ca="1"/>
        <v>0.95331179143091294</v>
      </c>
      <c r="K229" s="13">
        <f ca="1"/>
        <v>0.95330639433056119</v>
      </c>
    </row>
    <row r="230" spans="1:11">
      <c r="A230" s="14">
        <f t="shared" ca="1" si="23"/>
        <v>43877</v>
      </c>
      <c r="B230" s="74">
        <f t="shared" ca="1" si="18"/>
        <v>2.5724039796387599E-2</v>
      </c>
      <c r="C230" s="74" t="e">
        <f t="shared" ca="1" si="19"/>
        <v>#VALUE!</v>
      </c>
      <c r="D230" s="74">
        <f t="shared" ca="1" si="20"/>
        <v>2.6685268543188978E-2</v>
      </c>
      <c r="E230" s="74">
        <f t="shared" ca="1" si="21"/>
        <v>7.4598467551852399E-2</v>
      </c>
      <c r="F230" s="74">
        <f t="shared" ca="1" si="22"/>
        <v>7.4620245121991835E-2</v>
      </c>
      <c r="G230" s="13">
        <f ca="1"/>
        <v>0.98454341628634734</v>
      </c>
      <c r="H230" s="13" t="e">
        <f ca="1"/>
        <v>#VALUE!</v>
      </c>
      <c r="I230" s="13">
        <f ca="1"/>
        <v>0.9839322065037549</v>
      </c>
      <c r="J230" s="13">
        <f ca="1"/>
        <v>0.95310736823231479</v>
      </c>
      <c r="K230" s="13">
        <f ca="1"/>
        <v>0.95310191144153589</v>
      </c>
    </row>
    <row r="231" spans="1:11">
      <c r="A231" s="14">
        <f t="shared" ca="1" si="23"/>
        <v>43878</v>
      </c>
      <c r="B231" s="74">
        <f t="shared" ca="1" si="18"/>
        <v>2.5732440720147021E-2</v>
      </c>
      <c r="C231" s="74" t="e">
        <f t="shared" ca="1" si="19"/>
        <v>#VALUE!</v>
      </c>
      <c r="D231" s="74">
        <f t="shared" ca="1" si="20"/>
        <v>2.6693513792603873E-2</v>
      </c>
      <c r="E231" s="74">
        <f t="shared" ca="1" si="21"/>
        <v>7.4582471046353849E-2</v>
      </c>
      <c r="F231" s="74">
        <f t="shared" ca="1" si="22"/>
        <v>7.4604239183759802E-2</v>
      </c>
      <c r="G231" s="13">
        <f ca="1"/>
        <v>0.98447293946498737</v>
      </c>
      <c r="H231" s="13" t="e">
        <f ca="1"/>
        <v>#VALUE!</v>
      </c>
      <c r="I231" s="13">
        <f ca="1"/>
        <v>0.98385909617897904</v>
      </c>
      <c r="J231" s="13">
        <f ca="1"/>
        <v>0.95290298886915903</v>
      </c>
      <c r="K231" s="13">
        <f ca="1"/>
        <v>0.9528974724138044</v>
      </c>
    </row>
    <row r="232" spans="1:11">
      <c r="A232" s="14">
        <f t="shared" ca="1" si="23"/>
        <v>43879</v>
      </c>
      <c r="B232" s="74">
        <f t="shared" ca="1" si="18"/>
        <v>2.5740839555627448E-2</v>
      </c>
      <c r="C232" s="74" t="e">
        <f t="shared" ca="1" si="19"/>
        <v>#VALUE!</v>
      </c>
      <c r="D232" s="74">
        <f t="shared" ca="1" si="20"/>
        <v>2.6701756888578565E-2</v>
      </c>
      <c r="E232" s="74">
        <f t="shared" ca="1" si="21"/>
        <v>7.4566477970977041E-2</v>
      </c>
      <c r="F232" s="74">
        <f t="shared" ca="1" si="22"/>
        <v>7.4588236678688746E-2</v>
      </c>
      <c r="G232" s="13">
        <f ca="1"/>
        <v>0.98440243962739793</v>
      </c>
      <c r="H232" s="13" t="e">
        <f ca="1"/>
        <v>#VALUE!</v>
      </c>
      <c r="I232" s="13">
        <f ca="1"/>
        <v>0.98378596326447876</v>
      </c>
      <c r="J232" s="13">
        <f ca="1"/>
        <v>0.95269865333204573</v>
      </c>
      <c r="K232" s="13">
        <f ca="1"/>
        <v>0.95269307723795849</v>
      </c>
    </row>
    <row r="233" spans="1:11">
      <c r="A233" s="14">
        <f t="shared" ca="1" si="23"/>
        <v>43880</v>
      </c>
      <c r="B233" s="74">
        <f t="shared" ca="1" si="18"/>
        <v>2.5749236301856326E-2</v>
      </c>
      <c r="C233" s="74" t="e">
        <f t="shared" ca="1" si="19"/>
        <v>#VALUE!</v>
      </c>
      <c r="D233" s="74">
        <f t="shared" ca="1" si="20"/>
        <v>2.670999783030259E-2</v>
      </c>
      <c r="E233" s="74">
        <f t="shared" ca="1" si="21"/>
        <v>7.4550488325154651E-2</v>
      </c>
      <c r="F233" s="74">
        <f t="shared" ca="1" si="22"/>
        <v>7.4572237606211345E-2</v>
      </c>
      <c r="G233" s="13">
        <f ca="1"/>
        <v>0.98433191677930032</v>
      </c>
      <c r="H233" s="13" t="e">
        <f ca="1"/>
        <v>#VALUE!</v>
      </c>
      <c r="I233" s="13">
        <f ca="1"/>
        <v>0.98371280776615388</v>
      </c>
      <c r="J233" s="13">
        <f ca="1"/>
        <v>0.9524943616115773</v>
      </c>
      <c r="K233" s="13">
        <f ca="1"/>
        <v>0.95248872590459221</v>
      </c>
    </row>
    <row r="234" spans="1:11">
      <c r="A234" s="14">
        <f t="shared" ca="1" si="23"/>
        <v>43881</v>
      </c>
      <c r="B234" s="74">
        <f t="shared" ca="1" si="18"/>
        <v>2.5757630958347377E-2</v>
      </c>
      <c r="C234" s="74" t="e">
        <f t="shared" ca="1" si="19"/>
        <v>#VALUE!</v>
      </c>
      <c r="D234" s="74">
        <f t="shared" ca="1" si="20"/>
        <v>2.671823661793804E-2</v>
      </c>
      <c r="E234" s="74">
        <f t="shared" ca="1" si="21"/>
        <v>7.4534502107995171E-2</v>
      </c>
      <c r="F234" s="74">
        <f t="shared" ca="1" si="22"/>
        <v>7.4556241965476611E-2</v>
      </c>
      <c r="G234" s="13">
        <f ca="1"/>
        <v>0.98426137092641852</v>
      </c>
      <c r="H234" s="13" t="e">
        <f ca="1"/>
        <v>#VALUE!</v>
      </c>
      <c r="I234" s="13">
        <f ca="1"/>
        <v>0.98363962968990648</v>
      </c>
      <c r="J234" s="13">
        <f ca="1"/>
        <v>0.9522901136983577</v>
      </c>
      <c r="K234" s="13">
        <f ca="1"/>
        <v>0.95228441840430123</v>
      </c>
    </row>
    <row r="235" spans="1:11">
      <c r="A235" s="14">
        <f t="shared" ca="1" si="23"/>
        <v>43882</v>
      </c>
      <c r="B235" s="74">
        <f t="shared" ca="1" si="18"/>
        <v>2.5766023524533277E-2</v>
      </c>
      <c r="C235" s="74" t="e">
        <f t="shared" ca="1" si="19"/>
        <v>#VALUE!</v>
      </c>
      <c r="D235" s="74">
        <f t="shared" ca="1" si="20"/>
        <v>2.6726473250309746E-2</v>
      </c>
      <c r="E235" s="74">
        <f t="shared" ca="1" si="21"/>
        <v>7.4518519318890752E-2</v>
      </c>
      <c r="F235" s="74">
        <f t="shared" ca="1" si="22"/>
        <v>7.4540249755755128E-2</v>
      </c>
      <c r="G235" s="13">
        <f ca="1"/>
        <v>0.98419080207447784</v>
      </c>
      <c r="H235" s="13" t="e">
        <f ca="1"/>
        <v>#VALUE!</v>
      </c>
      <c r="I235" s="13">
        <f ca="1"/>
        <v>0.98356642904163816</v>
      </c>
      <c r="J235" s="13">
        <f ca="1"/>
        <v>0.95208590958299333</v>
      </c>
      <c r="K235" s="13">
        <f ca="1"/>
        <v>0.95208015472768348</v>
      </c>
    </row>
    <row r="236" spans="1:11">
      <c r="A236" s="14">
        <f t="shared" ca="1" si="23"/>
        <v>43883</v>
      </c>
      <c r="B236" s="74">
        <f t="shared" ca="1" si="18"/>
        <v>2.5774413999927748E-2</v>
      </c>
      <c r="C236" s="74" t="e">
        <f t="shared" ca="1" si="19"/>
        <v>#VALUE!</v>
      </c>
      <c r="D236" s="74">
        <f t="shared" ca="1" si="20"/>
        <v>2.6734707727052998E-2</v>
      </c>
      <c r="E236" s="74">
        <f t="shared" ca="1" si="21"/>
        <v>7.4502539957071456E-2</v>
      </c>
      <c r="F236" s="74">
        <f t="shared" ca="1" si="22"/>
        <v>7.452426097643905E-2</v>
      </c>
      <c r="G236" s="13">
        <f ca="1"/>
        <v>0.98412021022920515</v>
      </c>
      <c r="H236" s="13" t="e">
        <f ca="1"/>
        <v>#VALUE!</v>
      </c>
      <c r="I236" s="13">
        <f ca="1"/>
        <v>0.98349320582725375</v>
      </c>
      <c r="J236" s="13">
        <f ca="1"/>
        <v>0.95188174925609226</v>
      </c>
      <c r="K236" s="13">
        <f ca="1"/>
        <v>0.95187593486533895</v>
      </c>
    </row>
    <row r="237" spans="1:11">
      <c r="A237" s="14">
        <f t="shared" ca="1" si="23"/>
        <v>43884</v>
      </c>
      <c r="B237" s="74">
        <f t="shared" ca="1" si="18"/>
        <v>2.5782802383882419E-2</v>
      </c>
      <c r="C237" s="74" t="e">
        <f t="shared" ca="1" si="19"/>
        <v>#VALUE!</v>
      </c>
      <c r="D237" s="74">
        <f t="shared" ca="1" si="20"/>
        <v>2.6742940047681518E-2</v>
      </c>
      <c r="E237" s="74">
        <f t="shared" ca="1" si="21"/>
        <v>7.448656402172682E-2</v>
      </c>
      <c r="F237" s="74">
        <f t="shared" ca="1" si="22"/>
        <v>7.4508275626596343E-2</v>
      </c>
      <c r="G237" s="13">
        <f ca="1"/>
        <v>0.98404959539632864</v>
      </c>
      <c r="H237" s="13" t="e">
        <f ca="1"/>
        <v>#VALUE!</v>
      </c>
      <c r="I237" s="13">
        <f ca="1"/>
        <v>0.98341996005265908</v>
      </c>
      <c r="J237" s="13">
        <f ca="1"/>
        <v>0.95167763270826466</v>
      </c>
      <c r="K237" s="13">
        <f ca="1"/>
        <v>0.95167175880786925</v>
      </c>
    </row>
    <row r="238" spans="1:11">
      <c r="A238" s="14">
        <f t="shared" ca="1" si="23"/>
        <v>43885</v>
      </c>
      <c r="B238" s="74">
        <f t="shared" ca="1" si="18"/>
        <v>2.5791188675870491E-2</v>
      </c>
      <c r="C238" s="74" t="e">
        <f t="shared" ca="1" si="19"/>
        <v>#VALUE!</v>
      </c>
      <c r="D238" s="74">
        <f t="shared" ca="1" si="20"/>
        <v>2.6751170211627984E-2</v>
      </c>
      <c r="E238" s="74">
        <f t="shared" ca="1" si="21"/>
        <v>7.447059151216795E-2</v>
      </c>
      <c r="F238" s="74">
        <f t="shared" ca="1" si="22"/>
        <v>7.4492293705619161E-2</v>
      </c>
      <c r="G238" s="13">
        <f ca="1"/>
        <v>0.98397895758157827</v>
      </c>
      <c r="H238" s="13" t="e">
        <f ca="1"/>
        <v>#VALUE!</v>
      </c>
      <c r="I238" s="13">
        <f ca="1"/>
        <v>0.98334669172376132</v>
      </c>
      <c r="J238" s="13">
        <f ca="1"/>
        <v>0.95147355993012295</v>
      </c>
      <c r="K238" s="13">
        <f ca="1"/>
        <v>0.95146762654587858</v>
      </c>
    </row>
    <row r="239" spans="1:11">
      <c r="A239" s="14">
        <f t="shared" ca="1" si="23"/>
        <v>43886</v>
      </c>
      <c r="B239" s="74">
        <f t="shared" ca="1" si="18"/>
        <v>2.5799572875365162E-2</v>
      </c>
      <c r="C239" s="74" t="e">
        <f t="shared" ca="1" si="19"/>
        <v>#VALUE!</v>
      </c>
      <c r="D239" s="74">
        <f t="shared" ca="1" si="20"/>
        <v>2.675939821832507E-2</v>
      </c>
      <c r="E239" s="74">
        <f t="shared" ca="1" si="21"/>
        <v>7.4454622427746475E-2</v>
      </c>
      <c r="F239" s="74">
        <f t="shared" ca="1" si="22"/>
        <v>7.4476315212778088E-2</v>
      </c>
      <c r="G239" s="13">
        <f ca="1"/>
        <v>0.98390829679068548</v>
      </c>
      <c r="H239" s="13" t="e">
        <f ca="1"/>
        <v>#VALUE!</v>
      </c>
      <c r="I239" s="13">
        <f ca="1"/>
        <v>0.98327340084646919</v>
      </c>
      <c r="J239" s="13">
        <f ca="1"/>
        <v>0.95126953091228139</v>
      </c>
      <c r="K239" s="13">
        <f ca="1"/>
        <v>0.95126353806997277</v>
      </c>
    </row>
    <row r="240" spans="1:11">
      <c r="A240" s="14">
        <f t="shared" ca="1" si="23"/>
        <v>43887</v>
      </c>
      <c r="B240" s="74">
        <f t="shared" ca="1" si="18"/>
        <v>2.5807954981758585E-2</v>
      </c>
      <c r="C240" s="74" t="e">
        <f t="shared" ca="1" si="19"/>
        <v>#VALUE!</v>
      </c>
      <c r="D240" s="74">
        <f t="shared" ca="1" si="20"/>
        <v>2.6767624067245976E-2</v>
      </c>
      <c r="E240" s="74">
        <f t="shared" ca="1" si="21"/>
        <v>7.4438656767611411E-2</v>
      </c>
      <c r="F240" s="74">
        <f t="shared" ca="1" si="22"/>
        <v>7.4460340147222137E-2</v>
      </c>
      <c r="G240" s="13">
        <f ca="1"/>
        <v>0.98383761302938311</v>
      </c>
      <c r="H240" s="13" t="e">
        <f ca="1"/>
        <v>#VALUE!</v>
      </c>
      <c r="I240" s="13">
        <f ca="1"/>
        <v>0.98320008742669296</v>
      </c>
      <c r="J240" s="13">
        <f ca="1"/>
        <v>0.95106554564535606</v>
      </c>
      <c r="K240" s="13">
        <f ca="1"/>
        <v>0.95105949337075968</v>
      </c>
    </row>
    <row r="241" spans="1:11">
      <c r="A241" s="14">
        <f t="shared" ca="1" si="23"/>
        <v>43888</v>
      </c>
      <c r="B241" s="74">
        <f t="shared" ca="1" si="18"/>
        <v>2.5816334994483436E-2</v>
      </c>
      <c r="C241" s="74" t="e">
        <f t="shared" ca="1" si="19"/>
        <v>#VALUE!</v>
      </c>
      <c r="D241" s="74">
        <f t="shared" ca="1" si="20"/>
        <v>2.6775847757944948E-2</v>
      </c>
      <c r="E241" s="74">
        <f t="shared" ca="1" si="21"/>
        <v>7.442269453103334E-2</v>
      </c>
      <c r="F241" s="74">
        <f t="shared" ca="1" si="22"/>
        <v>7.4444368508383985E-2</v>
      </c>
      <c r="G241" s="13">
        <f ca="1"/>
        <v>0.98376690630340569</v>
      </c>
      <c r="H241" s="13" t="e">
        <f ca="1"/>
        <v>#VALUE!</v>
      </c>
      <c r="I241" s="13">
        <f ca="1"/>
        <v>0.98312675147034434</v>
      </c>
      <c r="J241" s="13">
        <f ca="1"/>
        <v>0.95086160411996534</v>
      </c>
      <c r="K241" s="13">
        <f ca="1"/>
        <v>0.95085549243884948</v>
      </c>
    </row>
    <row r="242" spans="1:11">
      <c r="A242" s="14">
        <f t="shared" ca="1" si="23"/>
        <v>43889</v>
      </c>
      <c r="B242" s="74">
        <f t="shared" ca="1" si="18"/>
        <v>2.5824712913012915E-2</v>
      </c>
      <c r="C242" s="74" t="e">
        <f t="shared" ca="1" si="19"/>
        <v>#VALUE!</v>
      </c>
      <c r="D242" s="74">
        <f t="shared" ca="1" si="20"/>
        <v>2.6784069289733092E-2</v>
      </c>
      <c r="E242" s="74">
        <f t="shared" ca="1" si="21"/>
        <v>7.4406735717363892E-2</v>
      </c>
      <c r="F242" s="74">
        <f t="shared" ca="1" si="22"/>
        <v>7.4428400295372121E-2</v>
      </c>
      <c r="G242" s="13">
        <f ca="1"/>
        <v>0.98369617661848929</v>
      </c>
      <c r="H242" s="13" t="e">
        <f ca="1"/>
        <v>#VALUE!</v>
      </c>
      <c r="I242" s="13">
        <f ca="1"/>
        <v>0.98305339298333627</v>
      </c>
      <c r="J242" s="13">
        <f ca="1"/>
        <v>0.95065770632672963</v>
      </c>
      <c r="K242" s="13">
        <f ca="1"/>
        <v>0.95065153526485391</v>
      </c>
    </row>
    <row r="243" spans="1:11">
      <c r="A243" s="14">
        <f t="shared" ca="1" si="23"/>
        <v>43890</v>
      </c>
      <c r="B243" s="74">
        <f t="shared" ca="1" si="18"/>
        <v>2.5833088736779697E-2</v>
      </c>
      <c r="C243" s="74" t="e">
        <f t="shared" ca="1" si="19"/>
        <v>#VALUE!</v>
      </c>
      <c r="D243" s="74">
        <f t="shared" ca="1" si="20"/>
        <v>2.6792288662205177E-2</v>
      </c>
      <c r="E243" s="74">
        <f t="shared" ca="1" si="21"/>
        <v>7.4390780325792605E-2</v>
      </c>
      <c r="F243" s="74">
        <f t="shared" ca="1" si="22"/>
        <v>7.44124355075787E-2</v>
      </c>
      <c r="G243" s="13">
        <f ca="1"/>
        <v>0.98362542398037145</v>
      </c>
      <c r="H243" s="13" t="e">
        <f ca="1"/>
        <v>#VALUE!</v>
      </c>
      <c r="I243" s="13">
        <f ca="1"/>
        <v>0.98298001197158358</v>
      </c>
      <c r="J243" s="13">
        <f ca="1"/>
        <v>0.9504538522562711</v>
      </c>
      <c r="K243" s="13">
        <f ca="1"/>
        <v>0.95044762183938714</v>
      </c>
    </row>
    <row r="244" spans="1:11">
      <c r="A244" s="14">
        <f t="shared" ca="1" si="23"/>
        <v>43891</v>
      </c>
      <c r="B244" s="74">
        <f t="shared" ca="1" si="18"/>
        <v>2.5841462465175935E-2</v>
      </c>
      <c r="C244" s="74" t="e">
        <f t="shared" ca="1" si="19"/>
        <v>#VALUE!</v>
      </c>
      <c r="D244" s="74">
        <f t="shared" ca="1" si="20"/>
        <v>2.6800505874753355E-2</v>
      </c>
      <c r="E244" s="74">
        <f t="shared" ca="1" si="21"/>
        <v>7.4374828355630584E-2</v>
      </c>
      <c r="F244" s="74">
        <f t="shared" ca="1" si="22"/>
        <v>7.4396474144152736E-2</v>
      </c>
      <c r="G244" s="13">
        <f ca="1"/>
        <v>0.98355464839479123</v>
      </c>
      <c r="H244" s="13" t="e">
        <f ca="1"/>
        <v>#VALUE!</v>
      </c>
      <c r="I244" s="13">
        <f ca="1"/>
        <v>0.98290660844100219</v>
      </c>
      <c r="J244" s="13">
        <f ca="1"/>
        <v>0.95025004189921414</v>
      </c>
      <c r="K244" s="13">
        <f ca="1"/>
        <v>0.950243752153065</v>
      </c>
    </row>
    <row r="245" spans="1:11">
      <c r="A245" s="14">
        <f t="shared" ca="1" si="23"/>
        <v>43892</v>
      </c>
      <c r="B245" s="74">
        <f t="shared" ca="1" si="18"/>
        <v>2.5849834097715352E-2</v>
      </c>
      <c r="C245" s="74" t="e">
        <f t="shared" ca="1" si="19"/>
        <v>#VALUE!</v>
      </c>
      <c r="D245" s="74">
        <f t="shared" ca="1" si="20"/>
        <v>2.6808720926850826E-2</v>
      </c>
      <c r="E245" s="74">
        <f t="shared" ca="1" si="21"/>
        <v>7.4358879806148415E-2</v>
      </c>
      <c r="F245" s="74">
        <f t="shared" ca="1" si="22"/>
        <v>7.4380516204445857E-2</v>
      </c>
      <c r="G245" s="13">
        <f ca="1"/>
        <v>0.98348384986748938</v>
      </c>
      <c r="H245" s="13" t="e">
        <f ca="1"/>
        <v>#VALUE!</v>
      </c>
      <c r="I245" s="13">
        <f ca="1"/>
        <v>0.98283318239750972</v>
      </c>
      <c r="J245" s="13">
        <f ca="1"/>
        <v>0.95004627524618501</v>
      </c>
      <c r="K245" s="13">
        <f ca="1"/>
        <v>0.95003992619650568</v>
      </c>
    </row>
    <row r="246" spans="1:11">
      <c r="A246" s="14">
        <f t="shared" ca="1" si="23"/>
        <v>43893</v>
      </c>
      <c r="B246" s="74">
        <f t="shared" ca="1" si="18"/>
        <v>2.58582036337901E-2</v>
      </c>
      <c r="C246" s="74" t="e">
        <f t="shared" ca="1" si="19"/>
        <v>#VALUE!</v>
      </c>
      <c r="D246" s="74">
        <f t="shared" ca="1" si="20"/>
        <v>2.6816933818011313E-2</v>
      </c>
      <c r="E246" s="74">
        <f t="shared" ca="1" si="21"/>
        <v>7.4342934676495109E-2</v>
      </c>
      <c r="F246" s="74">
        <f t="shared" ca="1" si="22"/>
        <v>7.4364561687688124E-2</v>
      </c>
      <c r="G246" s="13">
        <f ca="1"/>
        <v>0.98341302840420797</v>
      </c>
      <c r="H246" s="13" t="e">
        <f ca="1"/>
        <v>#VALUE!</v>
      </c>
      <c r="I246" s="13">
        <f ca="1"/>
        <v>0.9827597338470252</v>
      </c>
      <c r="J246" s="13">
        <f ca="1"/>
        <v>0.949842552287812</v>
      </c>
      <c r="K246" s="13">
        <f ca="1"/>
        <v>0.94983614396032912</v>
      </c>
    </row>
    <row r="247" spans="1:11">
      <c r="A247" s="14">
        <f t="shared" ca="1" si="23"/>
        <v>43894</v>
      </c>
      <c r="B247" s="74">
        <f t="shared" ca="1" si="18"/>
        <v>2.5866571072832856E-2</v>
      </c>
      <c r="C247" s="74" t="e">
        <f t="shared" ca="1" si="19"/>
        <v>#VALUE!</v>
      </c>
      <c r="D247" s="74">
        <f t="shared" ca="1" si="20"/>
        <v>2.6825144547586444E-2</v>
      </c>
      <c r="E247" s="74">
        <f t="shared" ca="1" si="21"/>
        <v>7.4326992966143868E-2</v>
      </c>
      <c r="F247" s="74">
        <f t="shared" ca="1" si="22"/>
        <v>7.4348610593190645E-2</v>
      </c>
      <c r="G247" s="13">
        <f ca="1"/>
        <v>0.98334218401069073</v>
      </c>
      <c r="H247" s="13" t="e">
        <f ca="1"/>
        <v>#VALUE!</v>
      </c>
      <c r="I247" s="13">
        <f ca="1"/>
        <v>0.982686262795469</v>
      </c>
      <c r="J247" s="13">
        <f ca="1"/>
        <v>0.94963887301472572</v>
      </c>
      <c r="K247" s="13">
        <f ca="1"/>
        <v>0.94963240543515737</v>
      </c>
    </row>
    <row r="248" spans="1:11">
      <c r="A248" s="14">
        <f t="shared" ca="1" si="23"/>
        <v>43895</v>
      </c>
      <c r="B248" s="74">
        <f t="shared" ca="1" si="18"/>
        <v>2.5874936414276295E-2</v>
      </c>
      <c r="C248" s="74" t="e">
        <f t="shared" ca="1" si="19"/>
        <v>#VALUE!</v>
      </c>
      <c r="D248" s="74">
        <f t="shared" ca="1" si="20"/>
        <v>2.6833353115130465E-2</v>
      </c>
      <c r="E248" s="74">
        <f t="shared" ca="1" si="21"/>
        <v>7.4311054674203181E-2</v>
      </c>
      <c r="F248" s="74">
        <f t="shared" ca="1" si="22"/>
        <v>7.4332662920102432E-2</v>
      </c>
      <c r="G248" s="13">
        <f ca="1"/>
        <v>0.98327131669268297</v>
      </c>
      <c r="H248" s="13" t="e">
        <f ca="1"/>
        <v>#VALUE!</v>
      </c>
      <c r="I248" s="13">
        <f ca="1"/>
        <v>0.98261276924876328</v>
      </c>
      <c r="J248" s="13">
        <f ca="1"/>
        <v>0.9494352374175582</v>
      </c>
      <c r="K248" s="13">
        <f ca="1"/>
        <v>0.94942871061161438</v>
      </c>
    </row>
    <row r="249" spans="1:11">
      <c r="A249" s="14">
        <f t="shared" ca="1" si="23"/>
        <v>43896</v>
      </c>
      <c r="B249" s="74">
        <f t="shared" ca="1" si="18"/>
        <v>2.588329965763414E-2</v>
      </c>
      <c r="C249" s="74" t="e">
        <f t="shared" ca="1" si="19"/>
        <v>#VALUE!</v>
      </c>
      <c r="D249" s="74">
        <f t="shared" ca="1" si="20"/>
        <v>2.6841559520157099E-2</v>
      </c>
      <c r="E249" s="74">
        <f t="shared" ca="1" si="21"/>
        <v>7.4295119799943632E-2</v>
      </c>
      <c r="F249" s="74">
        <f t="shared" ca="1" si="22"/>
        <v>7.431671866781564E-2</v>
      </c>
      <c r="G249" s="13">
        <f ca="1"/>
        <v>0.98320042645593153</v>
      </c>
      <c r="H249" s="13" t="e">
        <f ca="1"/>
        <v>#VALUE!</v>
      </c>
      <c r="I249" s="13">
        <f ca="1"/>
        <v>0.98253925321283142</v>
      </c>
      <c r="J249" s="13">
        <f ca="1"/>
        <v>0.94923164548694394</v>
      </c>
      <c r="K249" s="13">
        <f ca="1"/>
        <v>0.94922505948032643</v>
      </c>
    </row>
    <row r="250" spans="1:11">
      <c r="A250" s="14">
        <f t="shared" ca="1" si="23"/>
        <v>43897</v>
      </c>
      <c r="B250" s="74">
        <f t="shared" ca="1" si="18"/>
        <v>2.5891660802258021E-2</v>
      </c>
      <c r="C250" s="74" t="e">
        <f t="shared" ca="1" si="19"/>
        <v>#VALUE!</v>
      </c>
      <c r="D250" s="74">
        <f t="shared" ca="1" si="20"/>
        <v>2.6849763761977452E-2</v>
      </c>
      <c r="E250" s="74">
        <f t="shared" ca="1" si="21"/>
        <v>7.4279188342757374E-2</v>
      </c>
      <c r="F250" s="74">
        <f t="shared" ca="1" si="22"/>
        <v>7.4300777835560328E-2</v>
      </c>
      <c r="G250" s="13">
        <f ca="1"/>
        <v>0.98312951330618459</v>
      </c>
      <c r="H250" s="13" t="e">
        <f ca="1"/>
        <v>#VALUE!</v>
      </c>
      <c r="I250" s="13">
        <f ca="1"/>
        <v>0.98246571469359811</v>
      </c>
      <c r="J250" s="13">
        <f ca="1"/>
        <v>0.94902809721351944</v>
      </c>
      <c r="K250" s="13">
        <f ca="1"/>
        <v>0.94902145203192145</v>
      </c>
    </row>
    <row r="251" spans="1:11">
      <c r="A251" s="14">
        <f t="shared" ca="1" si="23"/>
        <v>43898</v>
      </c>
      <c r="B251" s="74">
        <f t="shared" ca="1" si="18"/>
        <v>2.5900019847621136E-2</v>
      </c>
      <c r="C251" s="74" t="e">
        <f t="shared" ca="1" si="19"/>
        <v>#VALUE!</v>
      </c>
      <c r="D251" s="74">
        <f t="shared" ca="1" si="20"/>
        <v>2.6857965840186293E-2</v>
      </c>
      <c r="E251" s="74">
        <f t="shared" ca="1" si="21"/>
        <v>7.4263260301752898E-2</v>
      </c>
      <c r="F251" s="74">
        <f t="shared" ca="1" si="22"/>
        <v>7.4284840422566556E-2</v>
      </c>
      <c r="G251" s="13">
        <f ca="1"/>
        <v>0.9830585772491921</v>
      </c>
      <c r="H251" s="13" t="e">
        <f ca="1"/>
        <v>#VALUE!</v>
      </c>
      <c r="I251" s="13">
        <f ca="1"/>
        <v>0.98239215369698996</v>
      </c>
      <c r="J251" s="13">
        <f ca="1"/>
        <v>0.94882459258792284</v>
      </c>
      <c r="K251" s="13">
        <f ca="1"/>
        <v>0.94881788825702951</v>
      </c>
    </row>
    <row r="252" spans="1:11">
      <c r="A252" s="14">
        <f t="shared" ca="1" si="23"/>
        <v>43899</v>
      </c>
      <c r="B252" s="74">
        <f t="shared" ca="1" si="18"/>
        <v>2.5908376793237209E-2</v>
      </c>
      <c r="C252" s="74" t="e">
        <f t="shared" ca="1" si="19"/>
        <v>#VALUE!</v>
      </c>
      <c r="D252" s="74">
        <f t="shared" ca="1" si="20"/>
        <v>2.6866165754216298E-2</v>
      </c>
      <c r="E252" s="74">
        <f t="shared" ca="1" si="21"/>
        <v>7.4247335676322357E-2</v>
      </c>
      <c r="F252" s="74">
        <f t="shared" ca="1" si="22"/>
        <v>7.4268906428145431E-2</v>
      </c>
      <c r="G252" s="13">
        <f ca="1"/>
        <v>0.98298761829070547</v>
      </c>
      <c r="H252" s="13" t="e">
        <f ca="1"/>
        <v>#VALUE!</v>
      </c>
      <c r="I252" s="13">
        <f ca="1"/>
        <v>0.98231857022893465</v>
      </c>
      <c r="J252" s="13">
        <f ca="1"/>
        <v>0.94862113160079475</v>
      </c>
      <c r="K252" s="13">
        <f ca="1"/>
        <v>0.94861436814628275</v>
      </c>
    </row>
    <row r="253" spans="1:11">
      <c r="A253" s="14">
        <f t="shared" ca="1" si="23"/>
        <v>43900</v>
      </c>
      <c r="B253" s="74">
        <f t="shared" ca="1" si="18"/>
        <v>2.5916731638417345E-2</v>
      </c>
      <c r="C253" s="74" t="e">
        <f t="shared" ca="1" si="19"/>
        <v>#VALUE!</v>
      </c>
      <c r="D253" s="74">
        <f t="shared" ca="1" si="20"/>
        <v>2.6874363503500143E-2</v>
      </c>
      <c r="E253" s="74">
        <f t="shared" ca="1" si="21"/>
        <v>7.4231414465695811E-2</v>
      </c>
      <c r="F253" s="74">
        <f t="shared" ca="1" si="22"/>
        <v>7.4252975851486491E-2</v>
      </c>
      <c r="G253" s="13">
        <f ca="1"/>
        <v>0.98291663643647742</v>
      </c>
      <c r="H253" s="13" t="e">
        <f ca="1"/>
        <v>#VALUE!</v>
      </c>
      <c r="I253" s="13">
        <f ca="1"/>
        <v>0.98224496429536146</v>
      </c>
      <c r="J253" s="13">
        <f ca="1"/>
        <v>0.94841771424277743</v>
      </c>
      <c r="K253" s="13">
        <f ca="1"/>
        <v>0.94841089169031523</v>
      </c>
    </row>
    <row r="254" spans="1:11">
      <c r="A254" s="14">
        <f t="shared" ca="1" si="23"/>
        <v>43901</v>
      </c>
      <c r="B254" s="74">
        <f t="shared" ca="1" si="18"/>
        <v>2.5925084382675267E-2</v>
      </c>
      <c r="C254" s="74" t="e">
        <f t="shared" ca="1" si="19"/>
        <v>#VALUE!</v>
      </c>
      <c r="D254" s="74">
        <f t="shared" ca="1" si="20"/>
        <v>2.6882559087511027E-2</v>
      </c>
      <c r="E254" s="74">
        <f t="shared" ca="1" si="21"/>
        <v>7.4215496669062797E-2</v>
      </c>
      <c r="F254" s="74">
        <f t="shared" ca="1" si="22"/>
        <v>7.4237048692022412E-2</v>
      </c>
      <c r="G254" s="13">
        <f ca="1"/>
        <v>0.98284563169226258</v>
      </c>
      <c r="H254" s="13" t="e">
        <f ca="1"/>
        <v>#VALUE!</v>
      </c>
      <c r="I254" s="13">
        <f ca="1"/>
        <v>0.98217133590220118</v>
      </c>
      <c r="J254" s="13">
        <f ca="1"/>
        <v>0.94821434050451525</v>
      </c>
      <c r="K254" s="13">
        <f ca="1"/>
        <v>0.94820745887976321</v>
      </c>
    </row>
    <row r="255" spans="1:11">
      <c r="A255" s="14">
        <f t="shared" ca="1" si="23"/>
        <v>43902</v>
      </c>
      <c r="B255" s="74">
        <f t="shared" ca="1" si="18"/>
        <v>2.5965514899291553E-2</v>
      </c>
      <c r="C255" s="74" t="e">
        <f t="shared" ca="1" si="19"/>
        <v>#VALUE!</v>
      </c>
      <c r="D255" s="74">
        <f t="shared" ca="1" si="20"/>
        <v>2.6923033053078971E-2</v>
      </c>
      <c r="E255" s="74">
        <f t="shared" ca="1" si="21"/>
        <v>7.4199582285855992E-2</v>
      </c>
      <c r="F255" s="74">
        <f t="shared" ca="1" si="22"/>
        <v>7.422112494882116E-2</v>
      </c>
      <c r="G255" s="13">
        <f ca="1"/>
        <v>0.98277460406381689</v>
      </c>
      <c r="H255" s="13" t="e">
        <f ca="1"/>
        <v>#VALUE!</v>
      </c>
      <c r="I255" s="13">
        <f ca="1"/>
        <v>0.98209768505538608</v>
      </c>
      <c r="J255" s="13">
        <f ca="1"/>
        <v>0.94801101037665481</v>
      </c>
      <c r="K255" s="13">
        <f ca="1"/>
        <v>0.94800406970526452</v>
      </c>
    </row>
    <row r="256" spans="1:11">
      <c r="A256" s="14">
        <f t="shared" ca="1" si="23"/>
        <v>43903</v>
      </c>
      <c r="B256" s="74">
        <f t="shared" ca="1" si="18"/>
        <v>2.597411129095728E-2</v>
      </c>
      <c r="C256" s="74" t="e">
        <f t="shared" ca="1" si="19"/>
        <v>#VALUE!</v>
      </c>
      <c r="D256" s="74">
        <f t="shared" ca="1" si="20"/>
        <v>2.6931473530016903E-2</v>
      </c>
      <c r="E256" s="74">
        <f t="shared" ca="1" si="21"/>
        <v>7.4183671315143362E-2</v>
      </c>
      <c r="F256" s="74">
        <f t="shared" ca="1" si="22"/>
        <v>7.4205204621234366E-2</v>
      </c>
      <c r="G256" s="13">
        <f ca="1"/>
        <v>0.98270346566683253</v>
      </c>
      <c r="H256" s="13" t="e">
        <f ca="1"/>
        <v>#VALUE!</v>
      </c>
      <c r="I256" s="13">
        <f ca="1"/>
        <v>0.98202392332099409</v>
      </c>
      <c r="J256" s="13">
        <f ca="1"/>
        <v>0.94780772384984424</v>
      </c>
      <c r="K256" s="13">
        <f ca="1"/>
        <v>0.94780072415745953</v>
      </c>
    </row>
    <row r="257" spans="1:11">
      <c r="A257" s="14">
        <f t="shared" ca="1" si="23"/>
        <v>43904</v>
      </c>
      <c r="B257" s="74">
        <f t="shared" ca="1" si="18"/>
        <v>2.5982705522334393E-2</v>
      </c>
      <c r="C257" s="74" t="e">
        <f t="shared" ca="1" si="19"/>
        <v>#VALUE!</v>
      </c>
      <c r="D257" s="74">
        <f t="shared" ca="1" si="20"/>
        <v>2.6939911780086701E-2</v>
      </c>
      <c r="E257" s="74">
        <f t="shared" ca="1" si="21"/>
        <v>7.4167763756398108E-2</v>
      </c>
      <c r="F257" s="74">
        <f t="shared" ca="1" si="22"/>
        <v>7.418928770861366E-2</v>
      </c>
      <c r="G257" s="13">
        <f ca="1"/>
        <v>0.98263230371809018</v>
      </c>
      <c r="H257" s="13" t="e">
        <f ca="1"/>
        <v>#VALUE!</v>
      </c>
      <c r="I257" s="13">
        <f ca="1"/>
        <v>0.98195013846200774</v>
      </c>
      <c r="J257" s="13">
        <f ca="1"/>
        <v>0.94760448091473426</v>
      </c>
      <c r="K257" s="13">
        <f ca="1"/>
        <v>0.94759742222699039</v>
      </c>
    </row>
    <row r="258" spans="1:11">
      <c r="A258" s="14">
        <f t="shared" ca="1" si="23"/>
        <v>43905</v>
      </c>
      <c r="B258" s="74">
        <f t="shared" ref="B258:B321" ca="1" si="24">(G258-G259)/($A259-$A258)*365</f>
        <v>2.5991297591923535E-2</v>
      </c>
      <c r="C258" s="74" t="e">
        <f t="shared" ref="C258:C321" ca="1" si="25">(H258-H259)/($A259-$A258)*365</f>
        <v>#VALUE!</v>
      </c>
      <c r="D258" s="74">
        <f t="shared" ref="D258:D321" ca="1" si="26">(I258-I259)/($A259-$A258)*365</f>
        <v>2.6948347801789008E-2</v>
      </c>
      <c r="E258" s="74">
        <f t="shared" ref="E258:E321" ca="1" si="27">(J258-J259)/($A259-$A258)*365</f>
        <v>7.4151859608688198E-2</v>
      </c>
      <c r="F258" s="74">
        <f t="shared" ref="F258:F321" ca="1" si="28">(K258-K259)/($A259-$A258)*365</f>
        <v>7.4173374210108056E-2</v>
      </c>
      <c r="G258" s="13">
        <f ca="1"/>
        <v>0.98256111822350845</v>
      </c>
      <c r="H258" s="13" t="e">
        <f ca="1"/>
        <v>#VALUE!</v>
      </c>
      <c r="I258" s="13">
        <f ca="1"/>
        <v>0.98187633048452805</v>
      </c>
      <c r="J258" s="13">
        <f ca="1"/>
        <v>0.947401281561977</v>
      </c>
      <c r="K258" s="13">
        <f ca="1"/>
        <v>0.94739416390450104</v>
      </c>
    </row>
    <row r="259" spans="1:11">
      <c r="A259" s="14">
        <f t="shared" ca="1" si="23"/>
        <v>43906</v>
      </c>
      <c r="B259" s="74">
        <f t="shared" ca="1" si="24"/>
        <v>2.5999887500129937E-2</v>
      </c>
      <c r="C259" s="74" t="e">
        <f t="shared" ca="1" si="25"/>
        <v>#VALUE!</v>
      </c>
      <c r="D259" s="74">
        <f t="shared" ca="1" si="26"/>
        <v>2.6956781595366963E-2</v>
      </c>
      <c r="E259" s="74">
        <f t="shared" ca="1" si="27"/>
        <v>7.4135958871446306E-2</v>
      </c>
      <c r="F259" s="74">
        <f t="shared" ca="1" si="28"/>
        <v>7.4157464124988137E-2</v>
      </c>
      <c r="G259" s="13">
        <f ca="1"/>
        <v>0.98248990918901002</v>
      </c>
      <c r="H259" s="13" t="e">
        <f ca="1"/>
        <v>#VALUE!</v>
      </c>
      <c r="I259" s="13">
        <f ca="1"/>
        <v>0.98180249939466013</v>
      </c>
      <c r="J259" s="13">
        <f ca="1"/>
        <v>0.94719812578222717</v>
      </c>
      <c r="K259" s="13">
        <f ca="1"/>
        <v>0.94719094918063773</v>
      </c>
    </row>
    <row r="260" spans="1:11">
      <c r="A260" s="14">
        <f t="shared" ref="A260:A323" ca="1" si="29">A259+1</f>
        <v>43907</v>
      </c>
      <c r="B260" s="74">
        <f t="shared" ca="1" si="24"/>
        <v>2.6008475245332674E-2</v>
      </c>
      <c r="C260" s="74" t="e">
        <f t="shared" ca="1" si="25"/>
        <v>#VALUE!</v>
      </c>
      <c r="D260" s="74">
        <f t="shared" ca="1" si="26"/>
        <v>2.6965213159523826E-2</v>
      </c>
      <c r="E260" s="74">
        <f t="shared" ca="1" si="27"/>
        <v>7.412006154386197E-2</v>
      </c>
      <c r="F260" s="74">
        <f t="shared" ca="1" si="28"/>
        <v>7.4141557452605533E-2</v>
      </c>
      <c r="G260" s="13">
        <f ca="1"/>
        <v>0.98241867662051652</v>
      </c>
      <c r="H260" s="13" t="e">
        <f ca="1"/>
        <v>#VALUE!</v>
      </c>
      <c r="I260" s="13">
        <f ca="1"/>
        <v>0.98172864519850844</v>
      </c>
      <c r="J260" s="13">
        <f ca="1"/>
        <v>0.94699501356614102</v>
      </c>
      <c r="K260" s="13">
        <f ca="1"/>
        <v>0.94698777804604872</v>
      </c>
    </row>
    <row r="261" spans="1:11">
      <c r="A261" s="14">
        <f t="shared" ca="1" si="29"/>
        <v>43908</v>
      </c>
      <c r="B261" s="74">
        <f t="shared" ca="1" si="24"/>
        <v>2.6017060827936977E-2</v>
      </c>
      <c r="C261" s="74" t="e">
        <f t="shared" ca="1" si="25"/>
        <v>#VALUE!</v>
      </c>
      <c r="D261" s="74">
        <f t="shared" ca="1" si="26"/>
        <v>2.697364249442169E-2</v>
      </c>
      <c r="E261" s="74">
        <f t="shared" ca="1" si="27"/>
        <v>7.4327168103428543E-2</v>
      </c>
      <c r="F261" s="74">
        <f t="shared" ca="1" si="28"/>
        <v>7.436958491692347E-2</v>
      </c>
      <c r="G261" s="13">
        <f ca="1"/>
        <v>0.98234742052395396</v>
      </c>
      <c r="H261" s="13" t="e">
        <f ca="1"/>
        <v>#VALUE!</v>
      </c>
      <c r="I261" s="13">
        <f ca="1"/>
        <v>0.98165476790218098</v>
      </c>
      <c r="J261" s="13">
        <f ca="1"/>
        <v>0.94679194490437701</v>
      </c>
      <c r="K261" s="13">
        <f ca="1"/>
        <v>0.94678465049138405</v>
      </c>
    </row>
    <row r="262" spans="1:11">
      <c r="A262" s="14">
        <f t="shared" ca="1" si="29"/>
        <v>43909</v>
      </c>
      <c r="B262" s="74">
        <f t="shared" ca="1" si="24"/>
        <v>2.6025644246402968E-2</v>
      </c>
      <c r="C262" s="74" t="e">
        <f t="shared" ca="1" si="25"/>
        <v>#VALUE!</v>
      </c>
      <c r="D262" s="74">
        <f t="shared" ca="1" si="26"/>
        <v>2.6982069598966429E-2</v>
      </c>
      <c r="E262" s="74">
        <f t="shared" ca="1" si="27"/>
        <v>7.4311181810977067E-2</v>
      </c>
      <c r="F262" s="74">
        <f t="shared" ca="1" si="28"/>
        <v>7.4353580249942874E-2</v>
      </c>
      <c r="G262" s="13">
        <f ca="1"/>
        <v>0.98227614090524729</v>
      </c>
      <c r="H262" s="13" t="e">
        <f ca="1"/>
        <v>#VALUE!</v>
      </c>
      <c r="I262" s="13">
        <f ca="1"/>
        <v>0.9815808675117853</v>
      </c>
      <c r="J262" s="13">
        <f ca="1"/>
        <v>0.94658830882738132</v>
      </c>
      <c r="K262" s="13">
        <f ca="1"/>
        <v>0.94658089820394042</v>
      </c>
    </row>
    <row r="263" spans="1:11">
      <c r="A263" s="14">
        <f t="shared" ca="1" si="29"/>
        <v>43910</v>
      </c>
      <c r="B263" s="74">
        <f t="shared" ca="1" si="24"/>
        <v>2.6034225501095354E-2</v>
      </c>
      <c r="C263" s="74" t="e">
        <f t="shared" ca="1" si="25"/>
        <v>#VALUE!</v>
      </c>
      <c r="D263" s="74">
        <f t="shared" ca="1" si="26"/>
        <v>2.6990494472509674E-2</v>
      </c>
      <c r="E263" s="74">
        <f t="shared" ca="1" si="27"/>
        <v>7.4295198956833008E-2</v>
      </c>
      <c r="F263" s="74">
        <f t="shared" ca="1" si="28"/>
        <v>7.4337579027226597E-2</v>
      </c>
      <c r="G263" s="13">
        <f ca="1"/>
        <v>0.98220483777032563</v>
      </c>
      <c r="H263" s="13" t="e">
        <f ca="1"/>
        <v>#VALUE!</v>
      </c>
      <c r="I263" s="13">
        <f ca="1"/>
        <v>0.98150694403343197</v>
      </c>
      <c r="J263" s="13">
        <f ca="1"/>
        <v>0.94638471654844714</v>
      </c>
      <c r="K263" s="13">
        <f ca="1"/>
        <v>0.94637718976489948</v>
      </c>
    </row>
    <row r="264" spans="1:11">
      <c r="A264" s="14">
        <f t="shared" ca="1" si="29"/>
        <v>43911</v>
      </c>
      <c r="B264" s="74">
        <f t="shared" ca="1" si="24"/>
        <v>2.6042804590676871E-2</v>
      </c>
      <c r="C264" s="74" t="e">
        <f t="shared" ca="1" si="25"/>
        <v>#VALUE!</v>
      </c>
      <c r="D264" s="74">
        <f t="shared" ca="1" si="26"/>
        <v>2.6998917115172993E-2</v>
      </c>
      <c r="E264" s="74">
        <f t="shared" ca="1" si="27"/>
        <v>7.4279219540307473E-2</v>
      </c>
      <c r="F264" s="74">
        <f t="shared" ca="1" si="28"/>
        <v>7.4321581248045221E-2</v>
      </c>
      <c r="G264" s="13">
        <f ca="1"/>
        <v>0.98213351112511715</v>
      </c>
      <c r="H264" s="13" t="e">
        <f ca="1"/>
        <v>#VALUE!</v>
      </c>
      <c r="I264" s="13">
        <f ca="1"/>
        <v>0.98143299747323332</v>
      </c>
      <c r="J264" s="13">
        <f ca="1"/>
        <v>0.94618116805815444</v>
      </c>
      <c r="K264" s="13">
        <f ca="1"/>
        <v>0.94617352516482489</v>
      </c>
    </row>
    <row r="265" spans="1:11">
      <c r="A265" s="14">
        <f t="shared" ca="1" si="29"/>
        <v>43912</v>
      </c>
      <c r="B265" s="74">
        <f t="shared" ca="1" si="24"/>
        <v>2.6051381514620719E-2</v>
      </c>
      <c r="C265" s="74" t="e">
        <f t="shared" ca="1" si="25"/>
        <v>#VALUE!</v>
      </c>
      <c r="D265" s="74">
        <f t="shared" ca="1" si="26"/>
        <v>2.7007337525538078E-2</v>
      </c>
      <c r="E265" s="74">
        <f t="shared" ca="1" si="27"/>
        <v>7.4263243560630521E-2</v>
      </c>
      <c r="F265" s="74">
        <f t="shared" ca="1" si="28"/>
        <v>7.430558691166933E-2</v>
      </c>
      <c r="G265" s="13">
        <f ca="1"/>
        <v>0.98206216097555366</v>
      </c>
      <c r="H265" s="13" t="e">
        <f ca="1"/>
        <v>#VALUE!</v>
      </c>
      <c r="I265" s="13">
        <f ca="1"/>
        <v>0.98135902783730133</v>
      </c>
      <c r="J265" s="13">
        <f ca="1"/>
        <v>0.94597766334708511</v>
      </c>
      <c r="K265" s="13">
        <f ca="1"/>
        <v>0.9459699043942823</v>
      </c>
    </row>
    <row r="266" spans="1:11">
      <c r="A266" s="14">
        <f t="shared" ca="1" si="29"/>
        <v>43913</v>
      </c>
      <c r="B266" s="74">
        <f t="shared" ca="1" si="24"/>
        <v>2.6059956272926899E-2</v>
      </c>
      <c r="C266" s="74" t="e">
        <f t="shared" ca="1" si="25"/>
        <v>#VALUE!</v>
      </c>
      <c r="D266" s="74">
        <f t="shared" ca="1" si="26"/>
        <v>2.7015755703848066E-2</v>
      </c>
      <c r="E266" s="74">
        <f t="shared" ca="1" si="27"/>
        <v>7.4247271017113259E-2</v>
      </c>
      <c r="F266" s="74">
        <f t="shared" ca="1" si="28"/>
        <v>7.4289596017328985E-2</v>
      </c>
      <c r="G266" s="13">
        <f ca="1"/>
        <v>0.98199078732756839</v>
      </c>
      <c r="H266" s="13" t="e">
        <f ca="1"/>
        <v>#VALUE!</v>
      </c>
      <c r="I266" s="13">
        <f ca="1"/>
        <v>0.98128503513175191</v>
      </c>
      <c r="J266" s="13">
        <f ca="1"/>
        <v>0.94577420240582311</v>
      </c>
      <c r="K266" s="13">
        <f ca="1"/>
        <v>0.94576632744383937</v>
      </c>
    </row>
    <row r="267" spans="1:11">
      <c r="A267" s="14">
        <f t="shared" ca="1" si="29"/>
        <v>43914</v>
      </c>
      <c r="B267" s="74">
        <f t="shared" ca="1" si="24"/>
        <v>2.6068528864217622E-2</v>
      </c>
      <c r="C267" s="74" t="e">
        <f t="shared" ca="1" si="25"/>
        <v>#VALUE!</v>
      </c>
      <c r="D267" s="74">
        <f t="shared" ca="1" si="26"/>
        <v>2.7024171648684647E-2</v>
      </c>
      <c r="E267" s="74">
        <f t="shared" ca="1" si="27"/>
        <v>7.4231301908864178E-2</v>
      </c>
      <c r="F267" s="74">
        <f t="shared" ca="1" si="28"/>
        <v>7.4273608564335292E-2</v>
      </c>
      <c r="G267" s="13">
        <f ca="1"/>
        <v>0.98191939018709462</v>
      </c>
      <c r="H267" s="13" t="e">
        <f ca="1"/>
        <v>#VALUE!</v>
      </c>
      <c r="I267" s="13">
        <f ca="1"/>
        <v>0.98121101936270028</v>
      </c>
      <c r="J267" s="13">
        <f ca="1"/>
        <v>0.9455707852249543</v>
      </c>
      <c r="K267" s="13">
        <f ca="1"/>
        <v>0.94556279430406587</v>
      </c>
    </row>
    <row r="268" spans="1:11">
      <c r="A268" s="14">
        <f t="shared" ca="1" si="29"/>
        <v>43915</v>
      </c>
      <c r="B268" s="74">
        <f t="shared" ca="1" si="24"/>
        <v>2.6077099288695504E-2</v>
      </c>
      <c r="C268" s="74" t="e">
        <f t="shared" ca="1" si="25"/>
        <v>#VALUE!</v>
      </c>
      <c r="D268" s="74">
        <f t="shared" ca="1" si="26"/>
        <v>2.7032585360453054E-2</v>
      </c>
      <c r="E268" s="74">
        <f t="shared" ca="1" si="27"/>
        <v>7.4215336235356477E-2</v>
      </c>
      <c r="F268" s="74">
        <f t="shared" ca="1" si="28"/>
        <v>7.4257624551837265E-2</v>
      </c>
      <c r="G268" s="13">
        <f ca="1"/>
        <v>0.98184796956006937</v>
      </c>
      <c r="H268" s="13" t="e">
        <f ca="1"/>
        <v>#VALUE!</v>
      </c>
      <c r="I268" s="13">
        <f ca="1"/>
        <v>0.98113698053626552</v>
      </c>
      <c r="J268" s="13">
        <f ca="1"/>
        <v>0.945367411795067</v>
      </c>
      <c r="K268" s="13">
        <f ca="1"/>
        <v>0.94535930496553344</v>
      </c>
    </row>
    <row r="269" spans="1:11">
      <c r="A269" s="14">
        <f t="shared" ca="1" si="29"/>
        <v>43916</v>
      </c>
      <c r="B269" s="74">
        <f t="shared" ca="1" si="24"/>
        <v>2.608566754498276E-2</v>
      </c>
      <c r="C269" s="74" t="e">
        <f t="shared" ca="1" si="25"/>
        <v>#VALUE!</v>
      </c>
      <c r="D269" s="74">
        <f t="shared" ca="1" si="26"/>
        <v>2.7040996837816023E-2</v>
      </c>
      <c r="E269" s="74">
        <f t="shared" ca="1" si="27"/>
        <v>7.4199373995698648E-2</v>
      </c>
      <c r="F269" s="74">
        <f t="shared" ca="1" si="28"/>
        <v>7.4241643979227057E-2</v>
      </c>
      <c r="G269" s="13">
        <f ca="1"/>
        <v>0.98177652545242911</v>
      </c>
      <c r="H269" s="13" t="e">
        <f ca="1"/>
        <v>#VALUE!</v>
      </c>
      <c r="I269" s="13">
        <f ca="1"/>
        <v>0.98106291865856565</v>
      </c>
      <c r="J269" s="13">
        <f ca="1"/>
        <v>0.94516408210675096</v>
      </c>
      <c r="K269" s="13">
        <f ca="1"/>
        <v>0.94515585941881608</v>
      </c>
    </row>
    <row r="270" spans="1:11">
      <c r="A270" s="14">
        <f t="shared" ca="1" si="29"/>
        <v>43917</v>
      </c>
      <c r="B270" s="74">
        <f t="shared" ca="1" si="24"/>
        <v>2.6094233633322528E-2</v>
      </c>
      <c r="C270" s="74" t="e">
        <f t="shared" ca="1" si="25"/>
        <v>#VALUE!</v>
      </c>
      <c r="D270" s="74">
        <f t="shared" ca="1" si="26"/>
        <v>2.7049406080206229E-2</v>
      </c>
      <c r="E270" s="74">
        <f t="shared" ca="1" si="27"/>
        <v>7.4183415189201796E-2</v>
      </c>
      <c r="F270" s="74">
        <f t="shared" ca="1" si="28"/>
        <v>7.4225666845734728E-2</v>
      </c>
      <c r="G270" s="13">
        <f ca="1"/>
        <v>0.98170505787011408</v>
      </c>
      <c r="H270" s="13" t="e">
        <f ca="1"/>
        <v>#VALUE!</v>
      </c>
      <c r="I270" s="13">
        <f ca="1"/>
        <v>0.98098883373572232</v>
      </c>
      <c r="J270" s="13">
        <f ca="1"/>
        <v>0.94496079615059836</v>
      </c>
      <c r="K270" s="13">
        <f ca="1"/>
        <v>0.94495245765448943</v>
      </c>
    </row>
    <row r="271" spans="1:11">
      <c r="A271" s="14">
        <f t="shared" ca="1" si="29"/>
        <v>43918</v>
      </c>
      <c r="B271" s="74">
        <f t="shared" ca="1" si="24"/>
        <v>2.6102797552418067E-2</v>
      </c>
      <c r="C271" s="74" t="e">
        <f t="shared" ca="1" si="25"/>
        <v>#VALUE!</v>
      </c>
      <c r="D271" s="74">
        <f t="shared" ca="1" si="26"/>
        <v>2.7057813087866811E-2</v>
      </c>
      <c r="E271" s="74">
        <f t="shared" ca="1" si="27"/>
        <v>7.4167459815136505E-2</v>
      </c>
      <c r="F271" s="74">
        <f t="shared" ca="1" si="28"/>
        <v>7.4209693150509293E-2</v>
      </c>
      <c r="G271" s="13">
        <f ca="1"/>
        <v>0.98163356681906389</v>
      </c>
      <c r="H271" s="13" t="e">
        <f ca="1"/>
        <v>#VALUE!</v>
      </c>
      <c r="I271" s="13">
        <f ca="1"/>
        <v>0.98091472577385874</v>
      </c>
      <c r="J271" s="13">
        <f ca="1"/>
        <v>0.94475755391720329</v>
      </c>
      <c r="K271" s="13">
        <f ca="1"/>
        <v>0.94474909966313125</v>
      </c>
    </row>
    <row r="272" spans="1:11">
      <c r="A272" s="14">
        <f t="shared" ca="1" si="29"/>
        <v>43919</v>
      </c>
      <c r="B272" s="74">
        <f t="shared" ca="1" si="24"/>
        <v>2.6111359301783099E-2</v>
      </c>
      <c r="C272" s="74" t="e">
        <f t="shared" ca="1" si="25"/>
        <v>#VALUE!</v>
      </c>
      <c r="D272" s="74">
        <f t="shared" ca="1" si="26"/>
        <v>2.7066217859217367E-2</v>
      </c>
      <c r="E272" s="74">
        <f t="shared" ca="1" si="27"/>
        <v>7.4151507872732836E-2</v>
      </c>
      <c r="F272" s="74">
        <f t="shared" ca="1" si="28"/>
        <v>7.4193722892983427E-2</v>
      </c>
      <c r="G272" s="13">
        <f ca="1"/>
        <v>0.98156205230522164</v>
      </c>
      <c r="H272" s="13" t="e">
        <f ca="1"/>
        <v>#VALUE!</v>
      </c>
      <c r="I272" s="13">
        <f ca="1"/>
        <v>0.98084059477909746</v>
      </c>
      <c r="J272" s="13">
        <f ca="1"/>
        <v>0.94455435539716182</v>
      </c>
      <c r="K272" s="13">
        <f ca="1"/>
        <v>0.94454578543532164</v>
      </c>
    </row>
    <row r="273" spans="1:11">
      <c r="A273" s="14">
        <f t="shared" ca="1" si="29"/>
        <v>43920</v>
      </c>
      <c r="B273" s="74">
        <f t="shared" ca="1" si="24"/>
        <v>2.6119918881417625E-2</v>
      </c>
      <c r="C273" s="74" t="e">
        <f t="shared" ca="1" si="25"/>
        <v>#VALUE!</v>
      </c>
      <c r="D273" s="74">
        <f t="shared" ca="1" si="26"/>
        <v>2.7074620394582083E-2</v>
      </c>
      <c r="E273" s="74">
        <f t="shared" ca="1" si="27"/>
        <v>7.4135559361301895E-2</v>
      </c>
      <c r="F273" s="74">
        <f t="shared" ca="1" si="28"/>
        <v>7.4177756072265622E-2</v>
      </c>
      <c r="G273" s="13">
        <f ca="1"/>
        <v>0.98149051433453183</v>
      </c>
      <c r="H273" s="13" t="e">
        <f ca="1"/>
        <v>#VALUE!</v>
      </c>
      <c r="I273" s="13">
        <f ca="1"/>
        <v>0.98076644075756536</v>
      </c>
      <c r="J273" s="13">
        <f ca="1"/>
        <v>0.94435120058107214</v>
      </c>
      <c r="K273" s="13">
        <f ca="1"/>
        <v>0.94434251496164223</v>
      </c>
    </row>
    <row r="274" spans="1:11">
      <c r="A274" s="14">
        <f t="shared" ca="1" si="29"/>
        <v>43921</v>
      </c>
      <c r="B274" s="74">
        <f t="shared" ca="1" si="24"/>
        <v>2.6128476289862812E-2</v>
      </c>
      <c r="C274" s="74" t="e">
        <f t="shared" ca="1" si="25"/>
        <v>#VALUE!</v>
      </c>
      <c r="D274" s="74">
        <f t="shared" ca="1" si="26"/>
        <v>2.7083020692583171E-2</v>
      </c>
      <c r="E274" s="74">
        <f t="shared" ca="1" si="27"/>
        <v>7.4119614280073742E-2</v>
      </c>
      <c r="F274" s="74">
        <f t="shared" ca="1" si="28"/>
        <v>7.4161792687666983E-2</v>
      </c>
      <c r="G274" s="13">
        <f ca="1"/>
        <v>0.9814189529129389</v>
      </c>
      <c r="H274" s="13" t="e">
        <f ca="1"/>
        <v>#VALUE!</v>
      </c>
      <c r="I274" s="13">
        <f ca="1"/>
        <v>0.98069226371538842</v>
      </c>
      <c r="J274" s="13">
        <f ca="1"/>
        <v>0.94414808945953432</v>
      </c>
      <c r="K274" s="13">
        <f ca="1"/>
        <v>0.94413928823267712</v>
      </c>
    </row>
    <row r="275" spans="1:11">
      <c r="A275" s="14">
        <f t="shared" ca="1" si="29"/>
        <v>43922</v>
      </c>
      <c r="B275" s="74">
        <f t="shared" ca="1" si="24"/>
        <v>2.6137031527442844E-2</v>
      </c>
      <c r="C275" s="74" t="e">
        <f t="shared" ca="1" si="25"/>
        <v>#VALUE!</v>
      </c>
      <c r="D275" s="74">
        <f t="shared" ca="1" si="26"/>
        <v>2.7091418753504293E-2</v>
      </c>
      <c r="E275" s="74">
        <f t="shared" ca="1" si="27"/>
        <v>7.4103672628318962E-2</v>
      </c>
      <c r="F275" s="74">
        <f t="shared" ca="1" si="28"/>
        <v>7.4145832738539141E-2</v>
      </c>
      <c r="G275" s="13">
        <f ca="1"/>
        <v>0.98134736804639133</v>
      </c>
      <c r="H275" s="13" t="e">
        <f ca="1"/>
        <v>#VALUE!</v>
      </c>
      <c r="I275" s="13">
        <f ca="1"/>
        <v>0.98061806365869641</v>
      </c>
      <c r="J275" s="13">
        <f ca="1"/>
        <v>0.94394502202315056</v>
      </c>
      <c r="K275" s="13">
        <f ca="1"/>
        <v>0.94393610523901228</v>
      </c>
    </row>
    <row r="276" spans="1:11">
      <c r="A276" s="14">
        <f t="shared" ca="1" si="29"/>
        <v>43923</v>
      </c>
      <c r="B276" s="74">
        <f t="shared" ca="1" si="24"/>
        <v>2.6145584592658366E-2</v>
      </c>
      <c r="C276" s="74" t="e">
        <f t="shared" ca="1" si="25"/>
        <v>#VALUE!</v>
      </c>
      <c r="D276" s="74">
        <f t="shared" ca="1" si="26"/>
        <v>2.7099814576089232E-2</v>
      </c>
      <c r="E276" s="74">
        <f t="shared" ca="1" si="27"/>
        <v>7.4087734405267613E-2</v>
      </c>
      <c r="F276" s="74">
        <f t="shared" ca="1" si="28"/>
        <v>7.4129876223990587E-2</v>
      </c>
      <c r="G276" s="13">
        <f ca="1"/>
        <v>0.98127575974083669</v>
      </c>
      <c r="H276" s="13" t="e">
        <f ca="1"/>
        <v>#VALUE!</v>
      </c>
      <c r="I276" s="13">
        <f ca="1"/>
        <v>0.98054384059361832</v>
      </c>
      <c r="J276" s="13">
        <f ca="1"/>
        <v>0.94374199826252503</v>
      </c>
      <c r="K276" s="13">
        <f ca="1"/>
        <v>0.94373296597123546</v>
      </c>
    </row>
    <row r="277" spans="1:11">
      <c r="A277" s="14">
        <f t="shared" ca="1" si="29"/>
        <v>43924</v>
      </c>
      <c r="B277" s="74">
        <f t="shared" ca="1" si="24"/>
        <v>2.6154135485833563E-2</v>
      </c>
      <c r="C277" s="74" t="e">
        <f t="shared" ca="1" si="25"/>
        <v>#VALUE!</v>
      </c>
      <c r="D277" s="74">
        <f t="shared" ca="1" si="26"/>
        <v>2.7108208159892233E-2</v>
      </c>
      <c r="E277" s="74">
        <f t="shared" ca="1" si="27"/>
        <v>7.4071799610230804E-2</v>
      </c>
      <c r="F277" s="74">
        <f t="shared" ca="1" si="28"/>
        <v>7.4113923143413474E-2</v>
      </c>
      <c r="G277" s="13">
        <f ca="1"/>
        <v>0.98120412800222667</v>
      </c>
      <c r="H277" s="13" t="e">
        <f ca="1"/>
        <v>#VALUE!</v>
      </c>
      <c r="I277" s="13">
        <f ca="1"/>
        <v>0.98046959452628657</v>
      </c>
      <c r="J277" s="13">
        <f ca="1"/>
        <v>0.94353901816826402</v>
      </c>
      <c r="K277" s="13">
        <f ca="1"/>
        <v>0.94352987041993686</v>
      </c>
    </row>
    <row r="278" spans="1:11">
      <c r="A278" s="14">
        <f t="shared" ca="1" si="29"/>
        <v>43925</v>
      </c>
      <c r="B278" s="74">
        <f t="shared" ca="1" si="24"/>
        <v>2.6162684205469078E-2</v>
      </c>
      <c r="C278" s="74" t="e">
        <f t="shared" ca="1" si="25"/>
        <v>#VALUE!</v>
      </c>
      <c r="D278" s="74">
        <f t="shared" ca="1" si="26"/>
        <v>2.7116599504872774E-2</v>
      </c>
      <c r="E278" s="74">
        <f t="shared" ca="1" si="27"/>
        <v>7.4055868242438594E-2</v>
      </c>
      <c r="F278" s="74">
        <f t="shared" ca="1" si="28"/>
        <v>7.4097973495916292E-2</v>
      </c>
      <c r="G278" s="13">
        <f ca="1"/>
        <v>0.98113247283651206</v>
      </c>
      <c r="H278" s="13" t="e">
        <f ca="1"/>
        <v>#VALUE!</v>
      </c>
      <c r="I278" s="13">
        <f ca="1"/>
        <v>0.98039532546283481</v>
      </c>
      <c r="J278" s="13">
        <f ca="1"/>
        <v>0.94333608173097572</v>
      </c>
      <c r="K278" s="13">
        <f ca="1"/>
        <v>0.94332681857570833</v>
      </c>
    </row>
    <row r="279" spans="1:11">
      <c r="A279" s="14">
        <f t="shared" ca="1" si="29"/>
        <v>43926</v>
      </c>
      <c r="B279" s="74">
        <f t="shared" ca="1" si="24"/>
        <v>2.6171230751889096E-2</v>
      </c>
      <c r="C279" s="74" t="e">
        <f t="shared" ca="1" si="25"/>
        <v>#VALUE!</v>
      </c>
      <c r="D279" s="74">
        <f t="shared" ca="1" si="26"/>
        <v>2.7124988609653067E-2</v>
      </c>
      <c r="E279" s="74">
        <f t="shared" ca="1" si="27"/>
        <v>7.403994030120209E-2</v>
      </c>
      <c r="F279" s="74">
        <f t="shared" ca="1" si="28"/>
        <v>7.408202728097224E-2</v>
      </c>
      <c r="G279" s="13">
        <f ca="1"/>
        <v>0.98106079424964776</v>
      </c>
      <c r="H279" s="13" t="e">
        <f ca="1"/>
        <v>#VALUE!</v>
      </c>
      <c r="I279" s="13">
        <f ca="1"/>
        <v>0.9803210334093968</v>
      </c>
      <c r="J279" s="13">
        <f ca="1"/>
        <v>0.94313318894127041</v>
      </c>
      <c r="K279" s="13">
        <f ca="1"/>
        <v>0.94312381042914417</v>
      </c>
    </row>
    <row r="280" spans="1:11">
      <c r="A280" s="14">
        <f t="shared" ca="1" si="29"/>
        <v>43927</v>
      </c>
      <c r="B280" s="74">
        <f t="shared" ca="1" si="24"/>
        <v>2.6179775123837401E-2</v>
      </c>
      <c r="C280" s="74" t="e">
        <f t="shared" ca="1" si="25"/>
        <v>#VALUE!</v>
      </c>
      <c r="D280" s="74">
        <f t="shared" ca="1" si="26"/>
        <v>2.7133375474597821E-2</v>
      </c>
      <c r="E280" s="74">
        <f t="shared" ca="1" si="27"/>
        <v>7.4024015785670305E-2</v>
      </c>
      <c r="F280" s="74">
        <f t="shared" ca="1" si="28"/>
        <v>7.4066084497649287E-2</v>
      </c>
      <c r="G280" s="13">
        <f ca="1"/>
        <v>0.98098909224758779</v>
      </c>
      <c r="H280" s="13" t="e">
        <f ca="1"/>
        <v>#VALUE!</v>
      </c>
      <c r="I280" s="13">
        <f ca="1"/>
        <v>0.98024671837211008</v>
      </c>
      <c r="J280" s="13">
        <f ca="1"/>
        <v>0.94293033978976026</v>
      </c>
      <c r="K280" s="13">
        <f ca="1"/>
        <v>0.94292084597084014</v>
      </c>
    </row>
    <row r="281" spans="1:11">
      <c r="A281" s="14">
        <f t="shared" ca="1" si="29"/>
        <v>43928</v>
      </c>
      <c r="B281" s="74">
        <f t="shared" ca="1" si="24"/>
        <v>2.6188317320706145E-2</v>
      </c>
      <c r="C281" s="74" t="e">
        <f t="shared" ca="1" si="25"/>
        <v>#VALUE!</v>
      </c>
      <c r="D281" s="74">
        <f t="shared" ca="1" si="26"/>
        <v>2.7141760098167156E-2</v>
      </c>
      <c r="E281" s="74">
        <f t="shared" ca="1" si="27"/>
        <v>7.4008094695275917E-2</v>
      </c>
      <c r="F281" s="74">
        <f t="shared" ca="1" si="28"/>
        <v>7.4050145145339585E-2</v>
      </c>
      <c r="G281" s="13">
        <f ca="1"/>
        <v>0.98091736683628961</v>
      </c>
      <c r="H281" s="13" t="e">
        <f ca="1"/>
        <v>#VALUE!</v>
      </c>
      <c r="I281" s="13">
        <f ca="1"/>
        <v>0.98017238035711118</v>
      </c>
      <c r="J281" s="13">
        <f ca="1"/>
        <v>0.9427275342670598</v>
      </c>
      <c r="K281" s="13">
        <f ca="1"/>
        <v>0.94271792519139452</v>
      </c>
    </row>
    <row r="282" spans="1:11">
      <c r="A282" s="14">
        <f t="shared" ca="1" si="29"/>
        <v>43929</v>
      </c>
      <c r="B282" s="74">
        <f t="shared" ca="1" si="24"/>
        <v>2.6196857342616897E-2</v>
      </c>
      <c r="C282" s="74" t="e">
        <f t="shared" ca="1" si="25"/>
        <v>#VALUE!</v>
      </c>
      <c r="D282" s="74">
        <f t="shared" ca="1" si="26"/>
        <v>2.7150142480806827E-2</v>
      </c>
      <c r="E282" s="74">
        <f t="shared" ca="1" si="27"/>
        <v>7.3992177029127415E-2</v>
      </c>
      <c r="F282" s="74">
        <f t="shared" ca="1" si="28"/>
        <v>7.4034209223151626E-2</v>
      </c>
      <c r="G282" s="13">
        <f ca="1"/>
        <v>0.98084561802171233</v>
      </c>
      <c r="H282" s="13" t="e">
        <f ca="1"/>
        <v>#VALUE!</v>
      </c>
      <c r="I282" s="13">
        <f ca="1"/>
        <v>0.98009801937054086</v>
      </c>
      <c r="J282" s="13">
        <f ca="1"/>
        <v>0.94252477236378507</v>
      </c>
      <c r="K282" s="13">
        <f ca="1"/>
        <v>0.94251504808140729</v>
      </c>
    </row>
    <row r="283" spans="1:11">
      <c r="A283" s="14">
        <f t="shared" ca="1" si="29"/>
        <v>43930</v>
      </c>
      <c r="B283" s="74">
        <f t="shared" ca="1" si="24"/>
        <v>2.6205395188070302E-2</v>
      </c>
      <c r="C283" s="74" t="e">
        <f t="shared" ca="1" si="25"/>
        <v>#VALUE!</v>
      </c>
      <c r="D283" s="74">
        <f t="shared" ca="1" si="26"/>
        <v>2.715852262117957E-2</v>
      </c>
      <c r="E283" s="74">
        <f t="shared" ca="1" si="27"/>
        <v>7.3976262786616953E-2</v>
      </c>
      <c r="F283" s="74">
        <f t="shared" ca="1" si="28"/>
        <v>7.4018276730558608E-2</v>
      </c>
      <c r="G283" s="13">
        <f ca="1"/>
        <v>0.98077384580981475</v>
      </c>
      <c r="H283" s="13" t="e">
        <f ca="1"/>
        <v>#VALUE!</v>
      </c>
      <c r="I283" s="13">
        <f ca="1"/>
        <v>0.98002363541853865</v>
      </c>
      <c r="J283" s="13">
        <f ca="1"/>
        <v>0.94232205407055458</v>
      </c>
      <c r="K283" s="13">
        <f ca="1"/>
        <v>0.94231221463148085</v>
      </c>
    </row>
    <row r="284" spans="1:11">
      <c r="A284" s="14">
        <f t="shared" ca="1" si="29"/>
        <v>43931</v>
      </c>
      <c r="B284" s="74">
        <f t="shared" ca="1" si="24"/>
        <v>2.6213930857350021E-2</v>
      </c>
      <c r="C284" s="74" t="e">
        <f t="shared" ca="1" si="25"/>
        <v>#VALUE!</v>
      </c>
      <c r="D284" s="74">
        <f t="shared" ca="1" si="26"/>
        <v>2.7166900518799109E-2</v>
      </c>
      <c r="E284" s="74">
        <f t="shared" ca="1" si="27"/>
        <v>7.3960351966853022E-2</v>
      </c>
      <c r="F284" s="74">
        <f t="shared" ca="1" si="28"/>
        <v>7.4002347666628499E-2</v>
      </c>
      <c r="G284" s="13">
        <f ca="1"/>
        <v>0.98070205020655976</v>
      </c>
      <c r="H284" s="13" t="e">
        <f ca="1"/>
        <v>#VALUE!</v>
      </c>
      <c r="I284" s="13">
        <f ca="1"/>
        <v>0.97994922850724775</v>
      </c>
      <c r="J284" s="13">
        <f ca="1"/>
        <v>0.94211937937798851</v>
      </c>
      <c r="K284" s="13">
        <f ca="1"/>
        <v>0.94210942483221904</v>
      </c>
    </row>
    <row r="285" spans="1:11">
      <c r="A285" s="14">
        <f t="shared" ca="1" si="29"/>
        <v>43932</v>
      </c>
      <c r="B285" s="74">
        <f t="shared" ca="1" si="24"/>
        <v>2.6222464349037744E-2</v>
      </c>
      <c r="C285" s="74" t="e">
        <f t="shared" ca="1" si="25"/>
        <v>#VALUE!</v>
      </c>
      <c r="D285" s="74">
        <f t="shared" ca="1" si="26"/>
        <v>2.7175276173705964E-2</v>
      </c>
      <c r="E285" s="74">
        <f t="shared" ca="1" si="27"/>
        <v>7.3944444569268297E-2</v>
      </c>
      <c r="F285" s="74">
        <f t="shared" ca="1" si="28"/>
        <v>7.3986422030753451E-2</v>
      </c>
      <c r="G285" s="13">
        <f ca="1"/>
        <v>0.98063023121790949</v>
      </c>
      <c r="H285" s="13" t="e">
        <f ca="1"/>
        <v>#VALUE!</v>
      </c>
      <c r="I285" s="13">
        <f ca="1"/>
        <v>0.97987479864281268</v>
      </c>
      <c r="J285" s="13">
        <f ca="1"/>
        <v>0.94191674827670946</v>
      </c>
      <c r="K285" s="13">
        <f ca="1"/>
        <v>0.94190667867422828</v>
      </c>
    </row>
    <row r="286" spans="1:11">
      <c r="A286" s="14">
        <f t="shared" ca="1" si="29"/>
        <v>43933</v>
      </c>
      <c r="B286" s="74">
        <f t="shared" ca="1" si="24"/>
        <v>2.6230995663457657E-2</v>
      </c>
      <c r="C286" s="74" t="e">
        <f t="shared" ca="1" si="25"/>
        <v>#VALUE!</v>
      </c>
      <c r="D286" s="74">
        <f t="shared" ca="1" si="26"/>
        <v>2.7183649584522351E-2</v>
      </c>
      <c r="E286" s="74">
        <f t="shared" ca="1" si="27"/>
        <v>7.392854059297127E-2</v>
      </c>
      <c r="F286" s="74">
        <f t="shared" ca="1" si="28"/>
        <v>7.3970499822123004E-2</v>
      </c>
      <c r="G286" s="13">
        <f ca="1"/>
        <v>0.98055838884982993</v>
      </c>
      <c r="H286" s="13" t="e">
        <f ca="1"/>
        <v>#VALUE!</v>
      </c>
      <c r="I286" s="13">
        <f ca="1"/>
        <v>0.97980034583137787</v>
      </c>
      <c r="J286" s="13">
        <f ca="1"/>
        <v>0.9417141607573416</v>
      </c>
      <c r="K286" s="13">
        <f ca="1"/>
        <v>0.94170397614811663</v>
      </c>
    </row>
    <row r="287" spans="1:11">
      <c r="A287" s="14">
        <f t="shared" ca="1" si="29"/>
        <v>43934</v>
      </c>
      <c r="B287" s="74">
        <f t="shared" ca="1" si="24"/>
        <v>2.6239524798988834E-2</v>
      </c>
      <c r="C287" s="74" t="e">
        <f t="shared" ca="1" si="25"/>
        <v>#VALUE!</v>
      </c>
      <c r="D287" s="74">
        <f t="shared" ca="1" si="26"/>
        <v>2.7192020751531931E-2</v>
      </c>
      <c r="E287" s="74">
        <f t="shared" ca="1" si="27"/>
        <v>7.3912640037394617E-2</v>
      </c>
      <c r="F287" s="74">
        <f t="shared" ca="1" si="28"/>
        <v>7.3954581040048262E-2</v>
      </c>
      <c r="G287" s="13">
        <f ca="1"/>
        <v>0.98048652310828621</v>
      </c>
      <c r="H287" s="13" t="e">
        <f ca="1"/>
        <v>#VALUE!</v>
      </c>
      <c r="I287" s="13">
        <f ca="1"/>
        <v>0.97972587007909151</v>
      </c>
      <c r="J287" s="13">
        <f ca="1"/>
        <v>0.94151161681051154</v>
      </c>
      <c r="K287" s="13">
        <f ca="1"/>
        <v>0.94150131724449437</v>
      </c>
    </row>
    <row r="288" spans="1:11">
      <c r="A288" s="14">
        <f t="shared" ca="1" si="29"/>
        <v>43935</v>
      </c>
      <c r="B288" s="74">
        <f t="shared" ca="1" si="24"/>
        <v>2.6248051756077029E-2</v>
      </c>
      <c r="C288" s="74" t="e">
        <f t="shared" ca="1" si="25"/>
        <v>#VALUE!</v>
      </c>
      <c r="D288" s="74">
        <f t="shared" ca="1" si="26"/>
        <v>2.7200389673356917E-2</v>
      </c>
      <c r="E288" s="74">
        <f t="shared" ca="1" si="27"/>
        <v>7.3896742901646828E-2</v>
      </c>
      <c r="F288" s="74">
        <f t="shared" ca="1" si="28"/>
        <v>7.3938665683718763E-2</v>
      </c>
      <c r="G288" s="13">
        <f ca="1"/>
        <v>0.98041463399924789</v>
      </c>
      <c r="H288" s="13" t="e">
        <f ca="1"/>
        <v>#VALUE!</v>
      </c>
      <c r="I288" s="13">
        <f ca="1"/>
        <v>0.97965137139210101</v>
      </c>
      <c r="J288" s="13">
        <f ca="1"/>
        <v>0.94130911642684745</v>
      </c>
      <c r="K288" s="13">
        <f ca="1"/>
        <v>0.94129870195397369</v>
      </c>
    </row>
    <row r="289" spans="1:11">
      <c r="A289" s="14">
        <f t="shared" ca="1" si="29"/>
        <v>43936</v>
      </c>
      <c r="B289" s="74">
        <f t="shared" ca="1" si="24"/>
        <v>2.6256576533506548E-2</v>
      </c>
      <c r="C289" s="74" t="e">
        <f t="shared" ca="1" si="25"/>
        <v>#VALUE!</v>
      </c>
      <c r="D289" s="74">
        <f t="shared" ca="1" si="26"/>
        <v>2.7208756350240448E-2</v>
      </c>
      <c r="E289" s="74">
        <f t="shared" ca="1" si="27"/>
        <v>7.3880849185079533E-2</v>
      </c>
      <c r="F289" s="74">
        <f t="shared" ca="1" si="28"/>
        <v>7.3922753752486137E-2</v>
      </c>
      <c r="G289" s="13">
        <f ca="1"/>
        <v>0.98034272152868329</v>
      </c>
      <c r="H289" s="13" t="e">
        <f ca="1"/>
        <v>#VALUE!</v>
      </c>
      <c r="I289" s="13">
        <f ca="1"/>
        <v>0.97957684977655757</v>
      </c>
      <c r="J289" s="13">
        <f ca="1"/>
        <v>0.94110665959697992</v>
      </c>
      <c r="K289" s="13">
        <f ca="1"/>
        <v>0.94109613026716898</v>
      </c>
    </row>
    <row r="290" spans="1:11">
      <c r="A290" s="14">
        <f t="shared" ca="1" si="29"/>
        <v>43937</v>
      </c>
      <c r="B290" s="74">
        <f t="shared" ca="1" si="24"/>
        <v>2.6265099130507452E-2</v>
      </c>
      <c r="C290" s="74" t="e">
        <f t="shared" ca="1" si="25"/>
        <v>#VALUE!</v>
      </c>
      <c r="D290" s="74">
        <f t="shared" ca="1" si="26"/>
        <v>2.7217120781007353E-2</v>
      </c>
      <c r="E290" s="74">
        <f t="shared" ca="1" si="27"/>
        <v>7.3864958886922794E-2</v>
      </c>
      <c r="F290" s="74">
        <f t="shared" ca="1" si="28"/>
        <v>7.3906845245539921E-2</v>
      </c>
      <c r="G290" s="13">
        <f ca="1"/>
        <v>0.9802707857025641</v>
      </c>
      <c r="H290" s="13" t="e">
        <f ca="1"/>
        <v>#VALUE!</v>
      </c>
      <c r="I290" s="13">
        <f ca="1"/>
        <v>0.9795023052386117</v>
      </c>
      <c r="J290" s="13">
        <f ca="1"/>
        <v>0.94090424631154135</v>
      </c>
      <c r="K290" s="13">
        <f ca="1"/>
        <v>0.94089360217469642</v>
      </c>
    </row>
    <row r="291" spans="1:11">
      <c r="A291" s="14">
        <f t="shared" ca="1" si="29"/>
        <v>43938</v>
      </c>
      <c r="B291" s="74">
        <f t="shared" ca="1" si="24"/>
        <v>2.6273619547363403E-2</v>
      </c>
      <c r="C291" s="74" t="e">
        <f t="shared" ca="1" si="25"/>
        <v>#VALUE!</v>
      </c>
      <c r="D291" s="74">
        <f t="shared" ca="1" si="26"/>
        <v>2.7225482965049785E-2</v>
      </c>
      <c r="E291" s="74">
        <f t="shared" ca="1" si="27"/>
        <v>7.3849072006447192E-2</v>
      </c>
      <c r="F291" s="74">
        <f t="shared" ca="1" si="28"/>
        <v>7.3890940162231744E-2</v>
      </c>
      <c r="G291" s="13">
        <f ca="1"/>
        <v>0.98019882652686408</v>
      </c>
      <c r="H291" s="13" t="e">
        <f ca="1"/>
        <v>#VALUE!</v>
      </c>
      <c r="I291" s="13">
        <f ca="1"/>
        <v>0.97942773778441716</v>
      </c>
      <c r="J291" s="13">
        <f ca="1"/>
        <v>0.94070187656116622</v>
      </c>
      <c r="K291" s="13">
        <f ca="1"/>
        <v>0.94069111766717439</v>
      </c>
    </row>
    <row r="292" spans="1:11">
      <c r="A292" s="14">
        <f t="shared" ca="1" si="29"/>
        <v>43939</v>
      </c>
      <c r="B292" s="74">
        <f t="shared" ca="1" si="24"/>
        <v>2.6282137782493997E-2</v>
      </c>
      <c r="C292" s="74" t="e">
        <f t="shared" ca="1" si="25"/>
        <v>#VALUE!</v>
      </c>
      <c r="D292" s="74">
        <f t="shared" ca="1" si="26"/>
        <v>2.7233842902610883E-2</v>
      </c>
      <c r="E292" s="74">
        <f t="shared" ca="1" si="27"/>
        <v>7.3833188542923311E-2</v>
      </c>
      <c r="F292" s="74">
        <f t="shared" ca="1" si="28"/>
        <v>7.3875038501710621E-2</v>
      </c>
      <c r="G292" s="13">
        <f ca="1"/>
        <v>0.98012684400755623</v>
      </c>
      <c r="H292" s="13" t="e">
        <f ca="1"/>
        <v>#VALUE!</v>
      </c>
      <c r="I292" s="13">
        <f ca="1"/>
        <v>0.97935314742012936</v>
      </c>
      <c r="J292" s="13">
        <f ca="1"/>
        <v>0.94049955033649102</v>
      </c>
      <c r="K292" s="13">
        <f ca="1"/>
        <v>0.94048867673522307</v>
      </c>
    </row>
    <row r="293" spans="1:11">
      <c r="A293" s="14">
        <f t="shared" ca="1" si="29"/>
        <v>43940</v>
      </c>
      <c r="B293" s="74">
        <f t="shared" ca="1" si="24"/>
        <v>2.6290653836223421E-2</v>
      </c>
      <c r="C293" s="74" t="e">
        <f t="shared" ca="1" si="25"/>
        <v>#VALUE!</v>
      </c>
      <c r="D293" s="74">
        <f t="shared" ca="1" si="26"/>
        <v>2.7242200592069721E-2</v>
      </c>
      <c r="E293" s="74">
        <f t="shared" ca="1" si="27"/>
        <v>7.3817308495662259E-2</v>
      </c>
      <c r="F293" s="74">
        <f t="shared" ca="1" si="28"/>
        <v>7.3859140263287659E-2</v>
      </c>
      <c r="G293" s="13">
        <f ca="1"/>
        <v>0.98005483815061789</v>
      </c>
      <c r="H293" s="13" t="e">
        <f ca="1"/>
        <v>#VALUE!</v>
      </c>
      <c r="I293" s="13">
        <f ca="1"/>
        <v>0.97927853415190302</v>
      </c>
      <c r="J293" s="13">
        <f ca="1"/>
        <v>0.94029726762815424</v>
      </c>
      <c r="K293" s="13">
        <f ca="1"/>
        <v>0.94028627936946496</v>
      </c>
    </row>
    <row r="294" spans="1:11">
      <c r="A294" s="14">
        <f t="shared" ca="1" si="29"/>
        <v>43941</v>
      </c>
      <c r="B294" s="74">
        <f t="shared" ca="1" si="24"/>
        <v>2.6299167707092841E-2</v>
      </c>
      <c r="C294" s="74" t="e">
        <f t="shared" ca="1" si="25"/>
        <v>#VALUE!</v>
      </c>
      <c r="D294" s="74">
        <f t="shared" ca="1" si="26"/>
        <v>2.7250556033912576E-2</v>
      </c>
      <c r="E294" s="74">
        <f t="shared" ca="1" si="27"/>
        <v>7.380143186381305E-2</v>
      </c>
      <c r="F294" s="74">
        <f t="shared" ca="1" si="28"/>
        <v>7.3843245446314487E-2</v>
      </c>
      <c r="G294" s="13">
        <f ca="1"/>
        <v>0.9799828089620255</v>
      </c>
      <c r="H294" s="13" t="e">
        <f ca="1"/>
        <v>#VALUE!</v>
      </c>
      <c r="I294" s="13">
        <f ca="1"/>
        <v>0.97920389798589735</v>
      </c>
      <c r="J294" s="13">
        <f ca="1"/>
        <v>0.94009502842679626</v>
      </c>
      <c r="K294" s="13">
        <f ca="1"/>
        <v>0.94008392556052445</v>
      </c>
    </row>
    <row r="295" spans="1:11">
      <c r="A295" s="14">
        <f t="shared" ca="1" si="29"/>
        <v>43942</v>
      </c>
      <c r="B295" s="74">
        <f t="shared" ca="1" si="24"/>
        <v>2.6307679395466965E-2</v>
      </c>
      <c r="C295" s="74" t="e">
        <f t="shared" ca="1" si="25"/>
        <v>#VALUE!</v>
      </c>
      <c r="D295" s="74">
        <f t="shared" ca="1" si="26"/>
        <v>2.7258909226559047E-2</v>
      </c>
      <c r="E295" s="74">
        <f t="shared" ca="1" si="27"/>
        <v>7.3785558646727312E-2</v>
      </c>
      <c r="F295" s="74">
        <f t="shared" ca="1" si="28"/>
        <v>7.3827354049899596E-2</v>
      </c>
      <c r="G295" s="13">
        <f ca="1"/>
        <v>0.97991075644775949</v>
      </c>
      <c r="H295" s="13" t="e">
        <f ca="1"/>
        <v>#VALUE!</v>
      </c>
      <c r="I295" s="13">
        <f ca="1"/>
        <v>0.9791292389282702</v>
      </c>
      <c r="J295" s="13">
        <f ca="1"/>
        <v>0.93989283272305979</v>
      </c>
      <c r="K295" s="13">
        <f ca="1"/>
        <v>0.9398816152990277</v>
      </c>
    </row>
    <row r="296" spans="1:11">
      <c r="A296" s="14">
        <f t="shared" ca="1" si="29"/>
        <v>43943</v>
      </c>
      <c r="B296" s="74">
        <f t="shared" ca="1" si="24"/>
        <v>2.6316188899968007E-2</v>
      </c>
      <c r="C296" s="74" t="e">
        <f t="shared" ca="1" si="25"/>
        <v>#VALUE!</v>
      </c>
      <c r="D296" s="74">
        <f t="shared" ca="1" si="26"/>
        <v>2.7267260170495411E-2</v>
      </c>
      <c r="E296" s="74">
        <f t="shared" ca="1" si="27"/>
        <v>7.3769688843716152E-2</v>
      </c>
      <c r="F296" s="74">
        <f t="shared" ca="1" si="28"/>
        <v>7.3811466073435139E-2</v>
      </c>
      <c r="G296" s="13">
        <f ca="1"/>
        <v>0.97983868061379931</v>
      </c>
      <c r="H296" s="13" t="e">
        <f ca="1"/>
        <v>#VALUE!</v>
      </c>
      <c r="I296" s="13">
        <f ca="1"/>
        <v>0.97905455698518373</v>
      </c>
      <c r="J296" s="13">
        <f ca="1"/>
        <v>0.9396906805075893</v>
      </c>
      <c r="K296" s="13">
        <f ca="1"/>
        <v>0.93967934857560331</v>
      </c>
    </row>
    <row r="297" spans="1:11">
      <c r="A297" s="14">
        <f t="shared" ca="1" si="29"/>
        <v>43944</v>
      </c>
      <c r="B297" s="74">
        <f t="shared" ca="1" si="24"/>
        <v>2.6324696220069166E-2</v>
      </c>
      <c r="C297" s="74" t="e">
        <f t="shared" ca="1" si="25"/>
        <v>#VALUE!</v>
      </c>
      <c r="D297" s="74">
        <f t="shared" ca="1" si="26"/>
        <v>2.7275608864343881E-2</v>
      </c>
      <c r="E297" s="74">
        <f t="shared" ca="1" si="27"/>
        <v>7.3753822453888063E-2</v>
      </c>
      <c r="F297" s="74">
        <f t="shared" ca="1" si="28"/>
        <v>7.3795581516110653E-2</v>
      </c>
      <c r="G297" s="13">
        <f ca="1"/>
        <v>0.97976658146612816</v>
      </c>
      <c r="H297" s="13" t="e">
        <f ca="1"/>
        <v>#VALUE!</v>
      </c>
      <c r="I297" s="13">
        <f ca="1"/>
        <v>0.97897985216279881</v>
      </c>
      <c r="J297" s="13">
        <f ca="1"/>
        <v>0.93948857177103118</v>
      </c>
      <c r="K297" s="13">
        <f ca="1"/>
        <v>0.93947712538088157</v>
      </c>
    </row>
    <row r="298" spans="1:11">
      <c r="A298" s="14">
        <f t="shared" ca="1" si="29"/>
        <v>43945</v>
      </c>
      <c r="B298" s="74">
        <f t="shared" ca="1" si="24"/>
        <v>2.6333201355973057E-2</v>
      </c>
      <c r="C298" s="74" t="e">
        <f t="shared" ca="1" si="25"/>
        <v>#VALUE!</v>
      </c>
      <c r="D298" s="74">
        <f t="shared" ca="1" si="26"/>
        <v>2.728395530761818E-2</v>
      </c>
      <c r="E298" s="74">
        <f t="shared" ca="1" si="27"/>
        <v>7.3737959476675718E-2</v>
      </c>
      <c r="F298" s="74">
        <f t="shared" ca="1" si="28"/>
        <v>7.3779700377196722E-2</v>
      </c>
      <c r="G298" s="13">
        <f ca="1"/>
        <v>0.97969445901073071</v>
      </c>
      <c r="H298" s="13" t="e">
        <f ca="1"/>
        <v>#VALUE!</v>
      </c>
      <c r="I298" s="13">
        <f ca="1"/>
        <v>0.97890512446728006</v>
      </c>
      <c r="J298" s="13">
        <f ca="1"/>
        <v>0.93928650650403422</v>
      </c>
      <c r="K298" s="13">
        <f ca="1"/>
        <v>0.93927494570549497</v>
      </c>
    </row>
    <row r="299" spans="1:11">
      <c r="A299" s="14">
        <f t="shared" ca="1" si="29"/>
        <v>43946</v>
      </c>
      <c r="B299" s="74">
        <f t="shared" ca="1" si="24"/>
        <v>2.6341704306018232E-2</v>
      </c>
      <c r="C299" s="74" t="e">
        <f t="shared" ca="1" si="25"/>
        <v>#VALUE!</v>
      </c>
      <c r="D299" s="74">
        <f t="shared" ca="1" si="26"/>
        <v>2.7292299500520922E-2</v>
      </c>
      <c r="E299" s="74">
        <f t="shared" ca="1" si="27"/>
        <v>7.3722099911268657E-2</v>
      </c>
      <c r="F299" s="74">
        <f t="shared" ca="1" si="28"/>
        <v>7.3763822656004452E-2</v>
      </c>
      <c r="G299" s="13">
        <f ca="1"/>
        <v>0.97962231325359106</v>
      </c>
      <c r="H299" s="13" t="e">
        <f ca="1"/>
        <v>#VALUE!</v>
      </c>
      <c r="I299" s="13">
        <f ca="1"/>
        <v>0.97883037390479344</v>
      </c>
      <c r="J299" s="13">
        <f ca="1"/>
        <v>0.93908448469724881</v>
      </c>
      <c r="K299" s="13">
        <f ca="1"/>
        <v>0.93907280954007799</v>
      </c>
    </row>
    <row r="300" spans="1:11">
      <c r="A300" s="14">
        <f t="shared" ca="1" si="29"/>
        <v>43947</v>
      </c>
      <c r="B300" s="74">
        <f t="shared" ca="1" si="24"/>
        <v>2.6350205070690969E-2</v>
      </c>
      <c r="C300" s="74" t="e">
        <f t="shared" ca="1" si="25"/>
        <v>#VALUE!</v>
      </c>
      <c r="D300" s="74">
        <f t="shared" ca="1" si="26"/>
        <v>2.7300641441390661E-2</v>
      </c>
      <c r="E300" s="74">
        <f t="shared" ca="1" si="27"/>
        <v>7.3706243756896939E-2</v>
      </c>
      <c r="F300" s="74">
        <f t="shared" ca="1" si="28"/>
        <v>7.3747948351763903E-2</v>
      </c>
      <c r="G300" s="13">
        <f ca="1"/>
        <v>0.97955014420069786</v>
      </c>
      <c r="H300" s="13" t="e">
        <f ca="1"/>
        <v>#VALUE!</v>
      </c>
      <c r="I300" s="13">
        <f ca="1"/>
        <v>0.97875560048150434</v>
      </c>
      <c r="J300" s="13">
        <f ca="1"/>
        <v>0.93888250634132753</v>
      </c>
      <c r="K300" s="13">
        <f ca="1"/>
        <v>0.93887071687526702</v>
      </c>
    </row>
    <row r="301" spans="1:11">
      <c r="A301" s="14">
        <f t="shared" ca="1" si="29"/>
        <v>43948</v>
      </c>
      <c r="B301" s="74">
        <f t="shared" ca="1" si="24"/>
        <v>2.6358703648370341E-2</v>
      </c>
      <c r="C301" s="74" t="e">
        <f t="shared" ca="1" si="25"/>
        <v>#VALUE!</v>
      </c>
      <c r="D301" s="74">
        <f t="shared" ca="1" si="26"/>
        <v>2.7308981130835241E-2</v>
      </c>
      <c r="E301" s="74">
        <f t="shared" ca="1" si="27"/>
        <v>7.3690391012912193E-2</v>
      </c>
      <c r="F301" s="74">
        <f t="shared" ca="1" si="28"/>
        <v>7.373207746374566E-2</v>
      </c>
      <c r="G301" s="13">
        <f ca="1"/>
        <v>0.97947795185803843</v>
      </c>
      <c r="H301" s="13" t="e">
        <f ca="1"/>
        <v>#VALUE!</v>
      </c>
      <c r="I301" s="13">
        <f ca="1"/>
        <v>0.97868080420358272</v>
      </c>
      <c r="J301" s="13">
        <f ca="1"/>
        <v>0.93868057142692507</v>
      </c>
      <c r="K301" s="13">
        <f ca="1"/>
        <v>0.93866866770170054</v>
      </c>
    </row>
    <row r="302" spans="1:11">
      <c r="A302" s="14">
        <f t="shared" ca="1" si="29"/>
        <v>43949</v>
      </c>
      <c r="B302" s="74">
        <f t="shared" ca="1" si="24"/>
        <v>2.6367200039502103E-2</v>
      </c>
      <c r="C302" s="74" t="e">
        <f t="shared" ca="1" si="25"/>
        <v>#VALUE!</v>
      </c>
      <c r="D302" s="74">
        <f t="shared" ca="1" si="26"/>
        <v>2.7317318567152693E-2</v>
      </c>
      <c r="E302" s="74">
        <f t="shared" ca="1" si="27"/>
        <v>7.3674541678503958E-2</v>
      </c>
      <c r="F302" s="74">
        <f t="shared" ca="1" si="28"/>
        <v>7.3716209991179782E-2</v>
      </c>
      <c r="G302" s="13">
        <f ca="1"/>
        <v>0.97940573623160454</v>
      </c>
      <c r="H302" s="13" t="e">
        <f ca="1"/>
        <v>#VALUE!</v>
      </c>
      <c r="I302" s="13">
        <f ca="1"/>
        <v>0.97860598507719687</v>
      </c>
      <c r="J302" s="13">
        <f ca="1"/>
        <v>0.93847867994469791</v>
      </c>
      <c r="K302" s="13">
        <f ca="1"/>
        <v>0.93846666201001905</v>
      </c>
    </row>
    <row r="303" spans="1:11">
      <c r="A303" s="14">
        <f t="shared" ca="1" si="29"/>
        <v>43950</v>
      </c>
      <c r="B303" s="74">
        <f t="shared" ca="1" si="24"/>
        <v>2.6375694242505854E-2</v>
      </c>
      <c r="C303" s="74" t="e">
        <f t="shared" ca="1" si="25"/>
        <v>#VALUE!</v>
      </c>
      <c r="D303" s="74">
        <f t="shared" ca="1" si="26"/>
        <v>2.7325653750910339E-2</v>
      </c>
      <c r="E303" s="74">
        <f t="shared" ca="1" si="27"/>
        <v>7.3658695752983339E-2</v>
      </c>
      <c r="F303" s="74">
        <f t="shared" ca="1" si="28"/>
        <v>7.3700345933417899E-2</v>
      </c>
      <c r="G303" s="13">
        <f ca="1"/>
        <v>0.97933349732738673</v>
      </c>
      <c r="H303" s="13" t="e">
        <f ca="1"/>
        <v>#VALUE!</v>
      </c>
      <c r="I303" s="13">
        <f ca="1"/>
        <v>0.97853114310851974</v>
      </c>
      <c r="J303" s="13">
        <f ca="1"/>
        <v>0.93827683188530475</v>
      </c>
      <c r="K303" s="13">
        <f ca="1"/>
        <v>0.93826469979086513</v>
      </c>
    </row>
    <row r="304" spans="1:11">
      <c r="A304" s="14">
        <f t="shared" ca="1" si="29"/>
        <v>43951</v>
      </c>
      <c r="B304" s="74">
        <f t="shared" ca="1" si="24"/>
        <v>2.6384186257827347E-2</v>
      </c>
      <c r="C304" s="74" t="e">
        <f t="shared" ca="1" si="25"/>
        <v>#VALUE!</v>
      </c>
      <c r="D304" s="74">
        <f t="shared" ca="1" si="26"/>
        <v>2.733398668068987E-2</v>
      </c>
      <c r="E304" s="74">
        <f t="shared" ca="1" si="27"/>
        <v>7.364285323562092E-2</v>
      </c>
      <c r="F304" s="74">
        <f t="shared" ca="1" si="28"/>
        <v>7.3684485289649548E-2</v>
      </c>
      <c r="G304" s="13">
        <f ca="1"/>
        <v>0.97926123515137986</v>
      </c>
      <c r="H304" s="13" t="e">
        <f ca="1"/>
        <v>#VALUE!</v>
      </c>
      <c r="I304" s="13">
        <f ca="1"/>
        <v>0.97845627830372273</v>
      </c>
      <c r="J304" s="13">
        <f ca="1"/>
        <v>0.93807502723940617</v>
      </c>
      <c r="K304" s="13">
        <f ca="1"/>
        <v>0.93806278103488316</v>
      </c>
    </row>
    <row r="305" spans="1:11">
      <c r="A305" s="14">
        <f t="shared" ca="1" si="29"/>
        <v>43952</v>
      </c>
      <c r="B305" s="74">
        <f t="shared" ca="1" si="24"/>
        <v>2.6392676084048272E-2</v>
      </c>
      <c r="C305" s="74" t="e">
        <f t="shared" ca="1" si="25"/>
        <v>#VALUE!</v>
      </c>
      <c r="D305" s="74">
        <f t="shared" ca="1" si="26"/>
        <v>2.7342317356045531E-2</v>
      </c>
      <c r="E305" s="74">
        <f t="shared" ca="1" si="27"/>
        <v>7.3627014125646761E-2</v>
      </c>
      <c r="F305" s="74">
        <f t="shared" ca="1" si="28"/>
        <v>7.3668628059145314E-2</v>
      </c>
      <c r="G305" s="13">
        <f ca="1"/>
        <v>0.97918894970957759</v>
      </c>
      <c r="H305" s="13" t="e">
        <f ca="1"/>
        <v>#VALUE!</v>
      </c>
      <c r="I305" s="13">
        <f ca="1"/>
        <v>0.97838139066898111</v>
      </c>
      <c r="J305" s="13">
        <f ca="1"/>
        <v>0.93787326599766474</v>
      </c>
      <c r="K305" s="13">
        <f ca="1"/>
        <v>0.93786090573271974</v>
      </c>
    </row>
    <row r="306" spans="1:11">
      <c r="A306" s="14">
        <f t="shared" ca="1" si="29"/>
        <v>43953</v>
      </c>
      <c r="B306" s="74">
        <f t="shared" ca="1" si="24"/>
        <v>2.6401163720641829E-2</v>
      </c>
      <c r="C306" s="74" t="e">
        <f t="shared" ca="1" si="25"/>
        <v>#VALUE!</v>
      </c>
      <c r="D306" s="74">
        <f t="shared" ca="1" si="26"/>
        <v>2.7350645777098892E-2</v>
      </c>
      <c r="E306" s="74">
        <f t="shared" ca="1" si="27"/>
        <v>7.361117842237197E-2</v>
      </c>
      <c r="F306" s="74">
        <f t="shared" ca="1" si="28"/>
        <v>7.3652774241216301E-2</v>
      </c>
      <c r="G306" s="13">
        <f ca="1"/>
        <v>0.97911664100797746</v>
      </c>
      <c r="H306" s="13" t="e">
        <f ca="1"/>
        <v>#VALUE!</v>
      </c>
      <c r="I306" s="13">
        <f ca="1"/>
        <v>0.9783064802104714</v>
      </c>
      <c r="J306" s="13">
        <f ca="1"/>
        <v>0.93767154815074516</v>
      </c>
      <c r="K306" s="13">
        <f ca="1"/>
        <v>0.93765907387502345</v>
      </c>
    </row>
    <row r="307" spans="1:11">
      <c r="A307" s="14">
        <f t="shared" ca="1" si="29"/>
        <v>43954</v>
      </c>
      <c r="B307" s="74">
        <f t="shared" ca="1" si="24"/>
        <v>2.640964916789168E-2</v>
      </c>
      <c r="C307" s="74" t="e">
        <f t="shared" ca="1" si="25"/>
        <v>#VALUE!</v>
      </c>
      <c r="D307" s="74">
        <f t="shared" ca="1" si="26"/>
        <v>2.7358971942350596E-2</v>
      </c>
      <c r="E307" s="74">
        <f t="shared" ca="1" si="27"/>
        <v>7.3595346124986083E-2</v>
      </c>
      <c r="F307" s="74">
        <f t="shared" ca="1" si="28"/>
        <v>7.3636923835092571E-2</v>
      </c>
      <c r="G307" s="13">
        <f ca="1"/>
        <v>0.97904430905257844</v>
      </c>
      <c r="H307" s="13" t="e">
        <f ca="1"/>
        <v>#VALUE!</v>
      </c>
      <c r="I307" s="13">
        <f ca="1"/>
        <v>0.97823154693436976</v>
      </c>
      <c r="J307" s="13">
        <f ca="1"/>
        <v>0.937469873689314</v>
      </c>
      <c r="K307" s="13">
        <f ca="1"/>
        <v>0.93745728545244478</v>
      </c>
    </row>
    <row r="308" spans="1:11">
      <c r="A308" s="14">
        <f t="shared" ca="1" si="29"/>
        <v>43955</v>
      </c>
      <c r="B308" s="74">
        <f t="shared" ca="1" si="24"/>
        <v>2.6418132424014806E-2</v>
      </c>
      <c r="C308" s="74" t="e">
        <f t="shared" ca="1" si="25"/>
        <v>#VALUE!</v>
      </c>
      <c r="D308" s="74">
        <f t="shared" ca="1" si="26"/>
        <v>2.7367295852205875E-2</v>
      </c>
      <c r="E308" s="74">
        <f t="shared" ca="1" si="27"/>
        <v>7.3579517232881253E-2</v>
      </c>
      <c r="F308" s="74">
        <f t="shared" ca="1" si="28"/>
        <v>7.3621076840004185E-2</v>
      </c>
      <c r="G308" s="13">
        <f ca="1"/>
        <v>0.97897195384937874</v>
      </c>
      <c r="H308" s="13" t="e">
        <f ca="1"/>
        <v>#VALUE!</v>
      </c>
      <c r="I308" s="13">
        <f ca="1"/>
        <v>0.97815659084685647</v>
      </c>
      <c r="J308" s="13">
        <f ca="1"/>
        <v>0.93726824260404007</v>
      </c>
      <c r="K308" s="13">
        <f ca="1"/>
        <v>0.9372555404556363</v>
      </c>
    </row>
    <row r="309" spans="1:11">
      <c r="A309" s="14">
        <f t="shared" ca="1" si="29"/>
        <v>43956</v>
      </c>
      <c r="B309" s="74">
        <f t="shared" ca="1" si="24"/>
        <v>2.6426613489578532E-2</v>
      </c>
      <c r="C309" s="74" t="e">
        <f t="shared" ca="1" si="25"/>
        <v>#VALUE!</v>
      </c>
      <c r="D309" s="74">
        <f t="shared" ca="1" si="26"/>
        <v>2.737561750512485E-2</v>
      </c>
      <c r="E309" s="74">
        <f t="shared" ca="1" si="27"/>
        <v>7.3563691745206494E-2</v>
      </c>
      <c r="F309" s="74">
        <f t="shared" ca="1" si="28"/>
        <v>7.3605233255343294E-2</v>
      </c>
      <c r="G309" s="13">
        <f ca="1"/>
        <v>0.97889957540438144</v>
      </c>
      <c r="H309" s="13" t="e">
        <f ca="1"/>
        <v>#VALUE!</v>
      </c>
      <c r="I309" s="13">
        <f ca="1"/>
        <v>0.9780816119541107</v>
      </c>
      <c r="J309" s="13">
        <f ca="1"/>
        <v>0.93706665488559382</v>
      </c>
      <c r="K309" s="13">
        <f ca="1"/>
        <v>0.93705383887525273</v>
      </c>
    </row>
    <row r="310" spans="1:11">
      <c r="A310" s="14">
        <f t="shared" ca="1" si="29"/>
        <v>43957</v>
      </c>
      <c r="B310" s="74">
        <f t="shared" ca="1" si="24"/>
        <v>2.6435092363002455E-2</v>
      </c>
      <c r="C310" s="74" t="e">
        <f t="shared" ca="1" si="25"/>
        <v>#VALUE!</v>
      </c>
      <c r="D310" s="74">
        <f t="shared" ca="1" si="26"/>
        <v>2.7383936901593797E-2</v>
      </c>
      <c r="E310" s="74">
        <f t="shared" ca="1" si="27"/>
        <v>7.3547869661313436E-2</v>
      </c>
      <c r="F310" s="74">
        <f t="shared" ca="1" si="28"/>
        <v>7.358939308021839E-2</v>
      </c>
      <c r="G310" s="13">
        <f ca="1"/>
        <v>0.97882717372358807</v>
      </c>
      <c r="H310" s="13" t="e">
        <f ca="1"/>
        <v>#VALUE!</v>
      </c>
      <c r="I310" s="13">
        <f ca="1"/>
        <v>0.97800661026231583</v>
      </c>
      <c r="J310" s="13">
        <f ca="1"/>
        <v>0.93686511052464805</v>
      </c>
      <c r="K310" s="13">
        <f ca="1"/>
        <v>0.93685218070195042</v>
      </c>
    </row>
    <row r="311" spans="1:11">
      <c r="A311" s="14">
        <f t="shared" ca="1" si="29"/>
        <v>43958</v>
      </c>
      <c r="B311" s="74">
        <f t="shared" ca="1" si="24"/>
        <v>2.644356904461076E-2</v>
      </c>
      <c r="C311" s="74" t="e">
        <f t="shared" ca="1" si="25"/>
        <v>#VALUE!</v>
      </c>
      <c r="D311" s="74">
        <f t="shared" ca="1" si="26"/>
        <v>2.7392254040315978E-2</v>
      </c>
      <c r="E311" s="74">
        <f t="shared" ca="1" si="27"/>
        <v>7.3532050980391617E-2</v>
      </c>
      <c r="F311" s="74">
        <f t="shared" ca="1" si="28"/>
        <v>7.3573556313981103E-2</v>
      </c>
      <c r="G311" s="13">
        <f ca="1"/>
        <v>0.9787547488130045</v>
      </c>
      <c r="H311" s="13" t="e">
        <f ca="1"/>
        <v>#VALUE!</v>
      </c>
      <c r="I311" s="13">
        <f ca="1"/>
        <v>0.97793158577765393</v>
      </c>
      <c r="J311" s="13">
        <f ca="1"/>
        <v>0.93666360951187733</v>
      </c>
      <c r="K311" s="13">
        <f ca="1"/>
        <v>0.93665056592638818</v>
      </c>
    </row>
    <row r="312" spans="1:11">
      <c r="A312" s="14">
        <f t="shared" ca="1" si="29"/>
        <v>43959</v>
      </c>
      <c r="B312" s="74">
        <f t="shared" ca="1" si="24"/>
        <v>2.6452043533228276E-2</v>
      </c>
      <c r="C312" s="74" t="e">
        <f t="shared" ca="1" si="25"/>
        <v>#VALUE!</v>
      </c>
      <c r="D312" s="74">
        <f t="shared" ca="1" si="26"/>
        <v>2.7400568920602497E-2</v>
      </c>
      <c r="E312" s="74">
        <f t="shared" ca="1" si="27"/>
        <v>7.3516235701833188E-2</v>
      </c>
      <c r="F312" s="74">
        <f t="shared" ca="1" si="28"/>
        <v>7.3557722955942539E-2</v>
      </c>
      <c r="G312" s="13">
        <f ca="1"/>
        <v>0.97868230067863571</v>
      </c>
      <c r="H312" s="13" t="e">
        <f ca="1"/>
        <v>#VALUE!</v>
      </c>
      <c r="I312" s="13">
        <f ca="1"/>
        <v>0.9778565385063106</v>
      </c>
      <c r="J312" s="13">
        <f ca="1"/>
        <v>0.93646215183795845</v>
      </c>
      <c r="K312" s="13">
        <f ca="1"/>
        <v>0.93644899453922659</v>
      </c>
    </row>
    <row r="313" spans="1:11">
      <c r="A313" s="14">
        <f t="shared" ca="1" si="29"/>
        <v>43960</v>
      </c>
      <c r="B313" s="74">
        <f t="shared" ca="1" si="24"/>
        <v>2.6460515828085063E-2</v>
      </c>
      <c r="C313" s="74" t="e">
        <f t="shared" ca="1" si="25"/>
        <v>#VALUE!</v>
      </c>
      <c r="D313" s="74">
        <f t="shared" ca="1" si="26"/>
        <v>2.7408881542858587E-2</v>
      </c>
      <c r="E313" s="74">
        <f t="shared" ca="1" si="27"/>
        <v>7.3500423824746641E-2</v>
      </c>
      <c r="F313" s="74">
        <f t="shared" ca="1" si="28"/>
        <v>7.3541893005251713E-2</v>
      </c>
      <c r="G313" s="13">
        <f ca="1"/>
        <v>0.97860982932648988</v>
      </c>
      <c r="H313" s="13" t="e">
        <f ca="1"/>
        <v>#VALUE!</v>
      </c>
      <c r="I313" s="13">
        <f ca="1"/>
        <v>0.97778146845447333</v>
      </c>
      <c r="J313" s="13">
        <f ca="1"/>
        <v>0.93626073749356986</v>
      </c>
      <c r="K313" s="13">
        <f ca="1"/>
        <v>0.93624746653112811</v>
      </c>
    </row>
    <row r="314" spans="1:11">
      <c r="A314" s="14">
        <f t="shared" ca="1" si="29"/>
        <v>43961</v>
      </c>
      <c r="B314" s="74">
        <f t="shared" ca="1" si="24"/>
        <v>2.6468985929586353E-2</v>
      </c>
      <c r="C314" s="74" t="e">
        <f t="shared" ca="1" si="25"/>
        <v>#VALUE!</v>
      </c>
      <c r="D314" s="74">
        <f t="shared" ca="1" si="26"/>
        <v>2.7417191905382277E-2</v>
      </c>
      <c r="E314" s="74">
        <f t="shared" ca="1" si="27"/>
        <v>7.3484615348483606E-2</v>
      </c>
      <c r="F314" s="74">
        <f t="shared" ca="1" si="28"/>
        <v>7.3526066461260253E-2</v>
      </c>
      <c r="G314" s="13">
        <f ca="1"/>
        <v>0.97853733476257732</v>
      </c>
      <c r="H314" s="13" t="e">
        <f ca="1"/>
        <v>#VALUE!</v>
      </c>
      <c r="I314" s="13">
        <f ca="1"/>
        <v>0.97770637562832852</v>
      </c>
      <c r="J314" s="13">
        <f ca="1"/>
        <v>0.93605936646939247</v>
      </c>
      <c r="K314" s="13">
        <f ca="1"/>
        <v>0.93604598189275756</v>
      </c>
    </row>
    <row r="315" spans="1:11">
      <c r="A315" s="14">
        <f t="shared" ca="1" si="29"/>
        <v>43962</v>
      </c>
      <c r="B315" s="74">
        <f t="shared" ca="1" si="24"/>
        <v>2.6477453835908604E-2</v>
      </c>
      <c r="C315" s="74" t="e">
        <f t="shared" ca="1" si="25"/>
        <v>#VALUE!</v>
      </c>
      <c r="D315" s="74">
        <f t="shared" ca="1" si="26"/>
        <v>2.7425500008740888E-2</v>
      </c>
      <c r="E315" s="74">
        <f t="shared" ca="1" si="27"/>
        <v>7.3468810272355189E-2</v>
      </c>
      <c r="F315" s="74">
        <f t="shared" ca="1" si="28"/>
        <v>7.3510243323198221E-2</v>
      </c>
      <c r="G315" s="13">
        <f ca="1"/>
        <v>0.97846481699290722</v>
      </c>
      <c r="H315" s="13" t="e">
        <f ca="1"/>
        <v>#VALUE!</v>
      </c>
      <c r="I315" s="13">
        <f ca="1"/>
        <v>0.9776312600340672</v>
      </c>
      <c r="J315" s="13">
        <f ca="1"/>
        <v>0.93585803875610896</v>
      </c>
      <c r="K315" s="13">
        <f ca="1"/>
        <v>0.93584454061478151</v>
      </c>
    </row>
    <row r="316" spans="1:11">
      <c r="A316" s="14">
        <f t="shared" ca="1" si="29"/>
        <v>43963</v>
      </c>
      <c r="B316" s="74">
        <f t="shared" ca="1" si="24"/>
        <v>2.6485919547740711E-2</v>
      </c>
      <c r="C316" s="74" t="e">
        <f t="shared" ca="1" si="25"/>
        <v>#VALUE!</v>
      </c>
      <c r="D316" s="74">
        <f t="shared" ca="1" si="26"/>
        <v>2.7433805851232451E-2</v>
      </c>
      <c r="E316" s="74">
        <f t="shared" ca="1" si="27"/>
        <v>7.3453008595550928E-2</v>
      </c>
      <c r="F316" s="74">
        <f t="shared" ca="1" si="28"/>
        <v>7.3494423590376723E-2</v>
      </c>
      <c r="G316" s="13">
        <f ca="1"/>
        <v>0.97839227602349377</v>
      </c>
      <c r="H316" s="13" t="e">
        <f ca="1"/>
        <v>#VALUE!</v>
      </c>
      <c r="I316" s="13">
        <f ca="1"/>
        <v>0.97755612167787886</v>
      </c>
      <c r="J316" s="13">
        <f ca="1"/>
        <v>0.93565675434440387</v>
      </c>
      <c r="K316" s="13">
        <f ca="1"/>
        <v>0.93564314268786863</v>
      </c>
    </row>
    <row r="317" spans="1:11">
      <c r="A317" s="14">
        <f t="shared" ca="1" si="29"/>
        <v>43964</v>
      </c>
      <c r="B317" s="74">
        <f t="shared" ca="1" si="24"/>
        <v>2.649438306325913E-2</v>
      </c>
      <c r="C317" s="74" t="e">
        <f t="shared" ca="1" si="25"/>
        <v>#VALUE!</v>
      </c>
      <c r="D317" s="74">
        <f t="shared" ca="1" si="26"/>
        <v>2.7442109433505335E-2</v>
      </c>
      <c r="E317" s="74">
        <f t="shared" ca="1" si="27"/>
        <v>7.3437210317381929E-2</v>
      </c>
      <c r="F317" s="74">
        <f t="shared" ca="1" si="28"/>
        <v>7.3478607261985296E-2</v>
      </c>
      <c r="G317" s="13">
        <f ca="1"/>
        <v>0.97831971186034927</v>
      </c>
      <c r="H317" s="13" t="e">
        <f ca="1"/>
        <v>#VALUE!</v>
      </c>
      <c r="I317" s="13">
        <f ca="1"/>
        <v>0.97748096056595768</v>
      </c>
      <c r="J317" s="13">
        <f ca="1"/>
        <v>0.93545551322496401</v>
      </c>
      <c r="K317" s="13">
        <f ca="1"/>
        <v>0.93544178810268952</v>
      </c>
    </row>
    <row r="318" spans="1:11">
      <c r="A318" s="14">
        <f t="shared" ca="1" si="29"/>
        <v>43965</v>
      </c>
      <c r="B318" s="74">
        <f t="shared" ca="1" si="24"/>
        <v>2.6502844383071711E-2</v>
      </c>
      <c r="C318" s="74" t="e">
        <f t="shared" ca="1" si="25"/>
        <v>#VALUE!</v>
      </c>
      <c r="D318" s="74">
        <f t="shared" ca="1" si="26"/>
        <v>2.7450410754060184E-2</v>
      </c>
      <c r="E318" s="74">
        <f t="shared" ca="1" si="27"/>
        <v>7.3421415437118775E-2</v>
      </c>
      <c r="F318" s="74">
        <f t="shared" ca="1" si="28"/>
        <v>7.3462794337416093E-2</v>
      </c>
      <c r="G318" s="13">
        <f ca="1"/>
        <v>0.97824712450949103</v>
      </c>
      <c r="H318" s="13" t="e">
        <f ca="1"/>
        <v>#VALUE!</v>
      </c>
      <c r="I318" s="13">
        <f ca="1"/>
        <v>0.97740577670449602</v>
      </c>
      <c r="J318" s="13">
        <f ca="1"/>
        <v>0.93525431538847803</v>
      </c>
      <c r="K318" s="13">
        <f ca="1"/>
        <v>0.93524047684991696</v>
      </c>
    </row>
    <row r="319" spans="1:11">
      <c r="A319" s="14">
        <f t="shared" ca="1" si="29"/>
        <v>43966</v>
      </c>
      <c r="B319" s="74">
        <f t="shared" ca="1" si="24"/>
        <v>2.651130350547648E-2</v>
      </c>
      <c r="C319" s="74" t="e">
        <f t="shared" ca="1" si="25"/>
        <v>#VALUE!</v>
      </c>
      <c r="D319" s="74">
        <f t="shared" ca="1" si="26"/>
        <v>2.7458709812491766E-2</v>
      </c>
      <c r="E319" s="74">
        <f t="shared" ca="1" si="27"/>
        <v>7.3405623953991528E-2</v>
      </c>
      <c r="F319" s="74">
        <f t="shared" ca="1" si="28"/>
        <v>7.3446984815777605E-2</v>
      </c>
      <c r="G319" s="13">
        <f ca="1"/>
        <v>0.97817451397693467</v>
      </c>
      <c r="H319" s="13" t="e">
        <f ca="1"/>
        <v>#VALUE!</v>
      </c>
      <c r="I319" s="13">
        <f ca="1"/>
        <v>0.97733057009969038</v>
      </c>
      <c r="J319" s="13">
        <f ca="1"/>
        <v>0.93505316082563661</v>
      </c>
      <c r="K319" s="13">
        <f ca="1"/>
        <v>0.93503920892022541</v>
      </c>
    </row>
    <row r="320" spans="1:11">
      <c r="A320" s="14">
        <f t="shared" ca="1" si="29"/>
        <v>43967</v>
      </c>
      <c r="B320" s="74">
        <f t="shared" ca="1" si="24"/>
        <v>2.6519760431040762E-2</v>
      </c>
      <c r="C320" s="74" t="e">
        <f t="shared" ca="1" si="25"/>
        <v>#VALUE!</v>
      </c>
      <c r="D320" s="74">
        <f t="shared" ca="1" si="26"/>
        <v>2.7467006608921651E-2</v>
      </c>
      <c r="E320" s="74">
        <f t="shared" ca="1" si="27"/>
        <v>7.3389835867351816E-2</v>
      </c>
      <c r="F320" s="74">
        <f t="shared" ca="1" si="28"/>
        <v>7.3431178696461985E-2</v>
      </c>
      <c r="G320" s="13">
        <f ca="1"/>
        <v>0.97810188026870049</v>
      </c>
      <c r="H320" s="13" t="e">
        <f ca="1"/>
        <v>#VALUE!</v>
      </c>
      <c r="I320" s="13">
        <f ca="1"/>
        <v>0.97725534075773834</v>
      </c>
      <c r="J320" s="13">
        <f ca="1"/>
        <v>0.93485204952713252</v>
      </c>
      <c r="K320" s="13">
        <f ca="1"/>
        <v>0.93483798430429177</v>
      </c>
    </row>
    <row r="321" spans="1:11">
      <c r="A321" s="14">
        <f t="shared" ca="1" si="29"/>
        <v>43968</v>
      </c>
      <c r="B321" s="74">
        <f t="shared" ca="1" si="24"/>
        <v>2.6528215158305724E-2</v>
      </c>
      <c r="C321" s="74" t="e">
        <f t="shared" ca="1" si="25"/>
        <v>#VALUE!</v>
      </c>
      <c r="D321" s="74">
        <f t="shared" ca="1" si="26"/>
        <v>2.7475301141891006E-2</v>
      </c>
      <c r="E321" s="74">
        <f t="shared" ca="1" si="27"/>
        <v>7.3374051176348654E-2</v>
      </c>
      <c r="F321" s="74">
        <f t="shared" ca="1" si="28"/>
        <v>7.341537597865877E-2</v>
      </c>
      <c r="G321" s="13">
        <f ca="1"/>
        <v>0.97802922339080722</v>
      </c>
      <c r="H321" s="13" t="e">
        <f ca="1"/>
        <v>#VALUE!</v>
      </c>
      <c r="I321" s="13">
        <f ca="1"/>
        <v>0.97718008868483719</v>
      </c>
      <c r="J321" s="13">
        <f ca="1"/>
        <v>0.93465098148366033</v>
      </c>
      <c r="K321" s="13">
        <f ca="1"/>
        <v>0.93463680299279461</v>
      </c>
    </row>
    <row r="322" spans="1:11">
      <c r="A322" s="14">
        <f t="shared" ca="1" si="29"/>
        <v>43969</v>
      </c>
      <c r="B322" s="74">
        <f t="shared" ref="B322:B357" ca="1" si="30">(G322-G323)/($A323-$A322)*365</f>
        <v>2.6536667686785087E-2</v>
      </c>
      <c r="C322" s="74" t="e">
        <f t="shared" ref="C322:C357" ca="1" si="31">(H322-H323)/($A323-$A322)*365</f>
        <v>#VALUE!</v>
      </c>
      <c r="D322" s="74">
        <f t="shared" ref="D322:D357" ca="1" si="32">(I322-I323)/($A323-$A322)*365</f>
        <v>2.7483593411724017E-2</v>
      </c>
      <c r="E322" s="74">
        <f t="shared" ref="E322:E357" ca="1" si="33">(J322-J323)/($A323-$A322)*365</f>
        <v>7.3358269880333671E-2</v>
      </c>
      <c r="F322" s="74">
        <f t="shared" ref="F322:F357" ca="1" si="34">(K322-K323)/($A323-$A322)*365</f>
        <v>7.339957666171959E-2</v>
      </c>
      <c r="G322" s="13">
        <f ca="1"/>
        <v>0.97795654334927762</v>
      </c>
      <c r="H322" s="13" t="e">
        <f ca="1"/>
        <v>#VALUE!</v>
      </c>
      <c r="I322" s="13">
        <f ca="1"/>
        <v>0.97710481388718817</v>
      </c>
      <c r="J322" s="13">
        <f ca="1"/>
        <v>0.9344499566859169</v>
      </c>
      <c r="K322" s="13">
        <f ca="1"/>
        <v>0.93443566497641473</v>
      </c>
    </row>
    <row r="323" spans="1:11">
      <c r="A323" s="14">
        <f t="shared" ca="1" si="29"/>
        <v>43970</v>
      </c>
      <c r="B323" s="74">
        <f t="shared" ca="1" si="30"/>
        <v>2.6545118016600422E-2</v>
      </c>
      <c r="C323" s="74" t="e">
        <f t="shared" ca="1" si="31"/>
        <v>#VALUE!</v>
      </c>
      <c r="D323" s="74">
        <f t="shared" ca="1" si="32"/>
        <v>2.7491883417002372E-2</v>
      </c>
      <c r="E323" s="74">
        <f t="shared" ca="1" si="33"/>
        <v>7.3342491978577451E-2</v>
      </c>
      <c r="F323" s="74">
        <f t="shared" ca="1" si="34"/>
        <v>7.3383780744833982E-2</v>
      </c>
      <c r="G323" s="13">
        <f ca="1"/>
        <v>0.97788384015013574</v>
      </c>
      <c r="H323" s="13" t="e">
        <f ca="1"/>
        <v>#VALUE!</v>
      </c>
      <c r="I323" s="13">
        <f ca="1"/>
        <v>0.97702951637099167</v>
      </c>
      <c r="J323" s="13">
        <f ca="1"/>
        <v>0.93424897512460092</v>
      </c>
      <c r="K323" s="13">
        <f ca="1"/>
        <v>0.93423457024583467</v>
      </c>
    </row>
    <row r="324" spans="1:11">
      <c r="A324" s="14">
        <f t="shared" ref="A324:A357" ca="1" si="35">A323+1</f>
        <v>43971</v>
      </c>
      <c r="B324" s="74">
        <f t="shared" ca="1" si="30"/>
        <v>2.6553566146171326E-2</v>
      </c>
      <c r="C324" s="74" t="e">
        <f t="shared" ca="1" si="31"/>
        <v>#VALUE!</v>
      </c>
      <c r="D324" s="74">
        <f t="shared" ca="1" si="32"/>
        <v>2.7500171158131304E-2</v>
      </c>
      <c r="E324" s="74">
        <f t="shared" ca="1" si="33"/>
        <v>7.3326717470350578E-2</v>
      </c>
      <c r="F324" s="74">
        <f t="shared" ca="1" si="34"/>
        <v>7.3367988227313052E-2</v>
      </c>
      <c r="G324" s="13">
        <f ca="1"/>
        <v>0.97781111379940533</v>
      </c>
      <c r="H324" s="13" t="e">
        <f ca="1"/>
        <v>#VALUE!</v>
      </c>
      <c r="I324" s="13">
        <f ca="1"/>
        <v>0.97695419614245194</v>
      </c>
      <c r="J324" s="13">
        <f ca="1"/>
        <v>0.93404803679041304</v>
      </c>
      <c r="K324" s="13">
        <f ca="1"/>
        <v>0.93403351879173924</v>
      </c>
    </row>
    <row r="325" spans="1:11">
      <c r="A325" s="14">
        <f t="shared" ca="1" si="35"/>
        <v>43972</v>
      </c>
      <c r="B325" s="74">
        <f t="shared" ca="1" si="30"/>
        <v>2.6562012076065122E-2</v>
      </c>
      <c r="C325" s="74" t="e">
        <f t="shared" ca="1" si="31"/>
        <v>#VALUE!</v>
      </c>
      <c r="D325" s="74">
        <f t="shared" ca="1" si="32"/>
        <v>2.7508456633773548E-2</v>
      </c>
      <c r="E325" s="74">
        <f t="shared" ca="1" si="33"/>
        <v>7.3310946354883111E-2</v>
      </c>
      <c r="F325" s="74">
        <f t="shared" ca="1" si="34"/>
        <v>7.3352199108386862E-2</v>
      </c>
      <c r="G325" s="13">
        <f ca="1"/>
        <v>0.97773836430311445</v>
      </c>
      <c r="H325" s="13" t="e">
        <f ca="1"/>
        <v>#VALUE!</v>
      </c>
      <c r="I325" s="13">
        <f ca="1"/>
        <v>0.97687885320777212</v>
      </c>
      <c r="J325" s="13">
        <f ca="1"/>
        <v>0.93384714167405591</v>
      </c>
      <c r="K325" s="13">
        <f ca="1"/>
        <v>0.93383251060481509</v>
      </c>
    </row>
    <row r="326" spans="1:11">
      <c r="A326" s="14">
        <f t="shared" ca="1" si="35"/>
        <v>43973</v>
      </c>
      <c r="B326" s="74">
        <f t="shared" ca="1" si="30"/>
        <v>2.6570455804498794E-2</v>
      </c>
      <c r="C326" s="74" t="e">
        <f t="shared" ca="1" si="31"/>
        <v>#VALUE!</v>
      </c>
      <c r="D326" s="74">
        <f t="shared" ca="1" si="32"/>
        <v>2.7516739843402305E-2</v>
      </c>
      <c r="E326" s="74">
        <f t="shared" ca="1" si="33"/>
        <v>7.3295178631445634E-2</v>
      </c>
      <c r="F326" s="74">
        <f t="shared" ca="1" si="34"/>
        <v>7.333641338740704E-2</v>
      </c>
      <c r="G326" s="13">
        <f ca="1"/>
        <v>0.97766559166728961</v>
      </c>
      <c r="H326" s="13" t="e">
        <f ca="1"/>
        <v>#VALUE!</v>
      </c>
      <c r="I326" s="13">
        <f ca="1"/>
        <v>0.97680348757315905</v>
      </c>
      <c r="J326" s="13">
        <f ca="1"/>
        <v>0.93364628976623432</v>
      </c>
      <c r="K326" s="13">
        <f ca="1"/>
        <v>0.93363154567575102</v>
      </c>
    </row>
    <row r="327" spans="1:11">
      <c r="A327" s="14">
        <f t="shared" ca="1" si="35"/>
        <v>43974</v>
      </c>
      <c r="B327" s="74">
        <f t="shared" ca="1" si="30"/>
        <v>2.6578897332039664E-2</v>
      </c>
      <c r="C327" s="74" t="e">
        <f t="shared" ca="1" si="31"/>
        <v>#VALUE!</v>
      </c>
      <c r="D327" s="74">
        <f t="shared" ca="1" si="32"/>
        <v>2.7525020787301235E-2</v>
      </c>
      <c r="E327" s="74">
        <f t="shared" ca="1" si="33"/>
        <v>7.3279414299389778E-2</v>
      </c>
      <c r="F327" s="74">
        <f t="shared" ca="1" si="34"/>
        <v>7.3320631063482078E-2</v>
      </c>
      <c r="G327" s="13">
        <f ca="1"/>
        <v>0.97759279589796222</v>
      </c>
      <c r="H327" s="13" t="e">
        <f ca="1"/>
        <v>#VALUE!</v>
      </c>
      <c r="I327" s="13">
        <f ca="1"/>
        <v>0.97672809924482096</v>
      </c>
      <c r="J327" s="13">
        <f ca="1"/>
        <v>0.93344548105765501</v>
      </c>
      <c r="K327" s="13">
        <f ca="1"/>
        <v>0.93343062399523757</v>
      </c>
    </row>
    <row r="328" spans="1:11">
      <c r="A328" s="14">
        <f t="shared" ca="1" si="35"/>
        <v>43975</v>
      </c>
      <c r="B328" s="74">
        <f t="shared" ca="1" si="30"/>
        <v>2.658733665710733E-2</v>
      </c>
      <c r="C328" s="74" t="e">
        <f t="shared" ca="1" si="31"/>
        <v>#VALUE!</v>
      </c>
      <c r="D328" s="74">
        <f t="shared" ca="1" si="32"/>
        <v>2.7533299463768368E-2</v>
      </c>
      <c r="E328" s="74">
        <f t="shared" ca="1" si="33"/>
        <v>7.3263653357864555E-2</v>
      </c>
      <c r="F328" s="74">
        <f t="shared" ca="1" si="34"/>
        <v>7.3304852136085175E-2</v>
      </c>
      <c r="G328" s="13">
        <f ca="1"/>
        <v>0.97751997700116211</v>
      </c>
      <c r="H328" s="13" t="e">
        <f ca="1"/>
        <v>#VALUE!</v>
      </c>
      <c r="I328" s="13">
        <f ca="1"/>
        <v>0.97665268822896534</v>
      </c>
      <c r="J328" s="13">
        <f ca="1"/>
        <v>0.93324471553902655</v>
      </c>
      <c r="K328" s="13">
        <f ca="1"/>
        <v>0.93322974555396776</v>
      </c>
    </row>
    <row r="329" spans="1:11">
      <c r="A329" s="14">
        <f t="shared" ca="1" si="35"/>
        <v>43976</v>
      </c>
      <c r="B329" s="74">
        <f t="shared" ca="1" si="30"/>
        <v>2.6595773780147547E-2</v>
      </c>
      <c r="C329" s="74" t="e">
        <f t="shared" ca="1" si="31"/>
        <v>#VALUE!</v>
      </c>
      <c r="D329" s="74">
        <f t="shared" ca="1" si="32"/>
        <v>2.7541575873452073E-2</v>
      </c>
      <c r="E329" s="74">
        <f t="shared" ca="1" si="33"/>
        <v>7.324789580626212E-2</v>
      </c>
      <c r="F329" s="74">
        <f t="shared" ca="1" si="34"/>
        <v>7.3289076604365344E-2</v>
      </c>
      <c r="G329" s="13">
        <f ca="1"/>
        <v>0.97744713498292346</v>
      </c>
      <c r="H329" s="13" t="e">
        <f ca="1"/>
        <v>#VALUE!</v>
      </c>
      <c r="I329" s="13">
        <f ca="1"/>
        <v>0.97657725453180433</v>
      </c>
      <c r="J329" s="13">
        <f ca="1"/>
        <v>0.9330439932010598</v>
      </c>
      <c r="K329" s="13">
        <f ca="1"/>
        <v>0.93302891034263602</v>
      </c>
    </row>
    <row r="330" spans="1:11">
      <c r="A330" s="14">
        <f t="shared" ca="1" si="35"/>
        <v>43977</v>
      </c>
      <c r="B330" s="74">
        <f t="shared" ca="1" si="30"/>
        <v>2.6604208699701481E-2</v>
      </c>
      <c r="C330" s="74" t="e">
        <f t="shared" ca="1" si="31"/>
        <v>#VALUE!</v>
      </c>
      <c r="D330" s="74">
        <f t="shared" ca="1" si="32"/>
        <v>2.7549850014609856E-2</v>
      </c>
      <c r="E330" s="74">
        <f t="shared" ca="1" si="33"/>
        <v>7.3232141643731485E-2</v>
      </c>
      <c r="F330" s="74">
        <f t="shared" ca="1" si="34"/>
        <v>7.3273304467552647E-2</v>
      </c>
      <c r="G330" s="13">
        <f ca="1"/>
        <v>0.97737426984927922</v>
      </c>
      <c r="H330" s="13" t="e">
        <f ca="1"/>
        <v>#VALUE!</v>
      </c>
      <c r="I330" s="13">
        <f ca="1"/>
        <v>0.9765017981595483</v>
      </c>
      <c r="J330" s="13">
        <f ca="1"/>
        <v>0.9328433140344673</v>
      </c>
      <c r="K330" s="13">
        <f ca="1"/>
        <v>0.93282811835193913</v>
      </c>
    </row>
    <row r="331" spans="1:11">
      <c r="A331" s="14">
        <f t="shared" ca="1" si="35"/>
        <v>43978</v>
      </c>
      <c r="B331" s="74">
        <f t="shared" ca="1" si="30"/>
        <v>2.6612641415323379E-2</v>
      </c>
      <c r="C331" s="74" t="e">
        <f t="shared" ca="1" si="31"/>
        <v>#VALUE!</v>
      </c>
      <c r="D331" s="74">
        <f t="shared" ca="1" si="32"/>
        <v>2.7558121887890086E-2</v>
      </c>
      <c r="E331" s="74">
        <f t="shared" ca="1" si="33"/>
        <v>7.3216390869664805E-2</v>
      </c>
      <c r="F331" s="74">
        <f t="shared" ca="1" si="34"/>
        <v>7.3257535725039236E-2</v>
      </c>
      <c r="G331" s="13">
        <f ca="1"/>
        <v>0.97730138160626634</v>
      </c>
      <c r="H331" s="13" t="e">
        <f ca="1"/>
        <v>#VALUE!</v>
      </c>
      <c r="I331" s="13">
        <f ca="1"/>
        <v>0.97642631911841238</v>
      </c>
      <c r="J331" s="13">
        <f ca="1"/>
        <v>0.93264267802996392</v>
      </c>
      <c r="K331" s="13">
        <f ca="1"/>
        <v>0.93262736957257597</v>
      </c>
    </row>
    <row r="332" spans="1:11">
      <c r="A332" s="14">
        <f t="shared" ca="1" si="35"/>
        <v>43979</v>
      </c>
      <c r="B332" s="74">
        <f t="shared" ca="1" si="30"/>
        <v>2.6621071927256379E-2</v>
      </c>
      <c r="C332" s="74" t="e">
        <f t="shared" ca="1" si="31"/>
        <v>#VALUE!</v>
      </c>
      <c r="D332" s="74">
        <f t="shared" ca="1" si="32"/>
        <v>2.756639149183393E-2</v>
      </c>
      <c r="E332" s="74">
        <f t="shared" ca="1" si="33"/>
        <v>7.3200643483251615E-2</v>
      </c>
      <c r="F332" s="74">
        <f t="shared" ca="1" si="34"/>
        <v>7.3241770376014648E-2</v>
      </c>
      <c r="G332" s="13">
        <f ca="1"/>
        <v>0.97722847025992299</v>
      </c>
      <c r="H332" s="13" t="e">
        <f ca="1"/>
        <v>#VALUE!</v>
      </c>
      <c r="I332" s="13">
        <f ca="1"/>
        <v>0.97635081741460994</v>
      </c>
      <c r="J332" s="13">
        <f ca="1"/>
        <v>0.93244208517826621</v>
      </c>
      <c r="K332" s="13">
        <f ca="1"/>
        <v>0.9324266639952471</v>
      </c>
    </row>
    <row r="333" spans="1:11">
      <c r="A333" s="14">
        <f t="shared" ca="1" si="35"/>
        <v>43980</v>
      </c>
      <c r="B333" s="74">
        <f t="shared" ca="1" si="30"/>
        <v>2.6629500233717462E-2</v>
      </c>
      <c r="C333" s="74" t="e">
        <f t="shared" ca="1" si="31"/>
        <v>#VALUE!</v>
      </c>
      <c r="D333" s="74">
        <f t="shared" ca="1" si="32"/>
        <v>2.7574658825995635E-2</v>
      </c>
      <c r="E333" s="74">
        <f t="shared" ca="1" si="33"/>
        <v>7.3184899483803023E-2</v>
      </c>
      <c r="F333" s="74">
        <f t="shared" ca="1" si="34"/>
        <v>7.3226008419749467E-2</v>
      </c>
      <c r="G333" s="13">
        <f ca="1"/>
        <v>0.97715553581628667</v>
      </c>
      <c r="H333" s="13" t="e">
        <f ca="1"/>
        <v>#VALUE!</v>
      </c>
      <c r="I333" s="13">
        <f ca="1"/>
        <v>0.97627529305435834</v>
      </c>
      <c r="J333" s="13">
        <f ca="1"/>
        <v>0.93224153547009292</v>
      </c>
      <c r="K333" s="13">
        <f ca="1"/>
        <v>0.93222600161065527</v>
      </c>
    </row>
    <row r="334" spans="1:11">
      <c r="A334" s="14">
        <f t="shared" ca="1" si="35"/>
        <v>43981</v>
      </c>
      <c r="B334" s="74">
        <f t="shared" ca="1" si="30"/>
        <v>2.6637926335355E-2</v>
      </c>
      <c r="C334" s="74" t="e">
        <f t="shared" ca="1" si="31"/>
        <v>#VALUE!</v>
      </c>
      <c r="D334" s="74">
        <f t="shared" ca="1" si="32"/>
        <v>2.7582923890537292E-2</v>
      </c>
      <c r="E334" s="74">
        <f t="shared" ca="1" si="33"/>
        <v>7.3169158870508566E-2</v>
      </c>
      <c r="F334" s="74">
        <f t="shared" ca="1" si="34"/>
        <v>7.3210249855514276E-2</v>
      </c>
      <c r="G334" s="13">
        <f ca="1"/>
        <v>0.97708257828139977</v>
      </c>
      <c r="H334" s="13" t="e">
        <f ca="1"/>
        <v>#VALUE!</v>
      </c>
      <c r="I334" s="13">
        <f ca="1"/>
        <v>0.97619974604387616</v>
      </c>
      <c r="J334" s="13">
        <f ca="1"/>
        <v>0.93204102889616469</v>
      </c>
      <c r="K334" s="13">
        <f ca="1"/>
        <v>0.93202538240950528</v>
      </c>
    </row>
    <row r="335" spans="1:11">
      <c r="A335" s="14">
        <f t="shared" ca="1" si="35"/>
        <v>43982</v>
      </c>
      <c r="B335" s="74">
        <f t="shared" ca="1" si="30"/>
        <v>2.6646350230426497E-2</v>
      </c>
      <c r="C335" s="74" t="e">
        <f t="shared" ca="1" si="31"/>
        <v>#VALUE!</v>
      </c>
      <c r="D335" s="74">
        <f t="shared" ca="1" si="32"/>
        <v>2.7591186683919022E-2</v>
      </c>
      <c r="E335" s="74">
        <f t="shared" ca="1" si="33"/>
        <v>7.315342164280092E-2</v>
      </c>
      <c r="F335" s="74">
        <f t="shared" ca="1" si="34"/>
        <v>7.3194494682620181E-2</v>
      </c>
      <c r="G335" s="13">
        <f ca="1"/>
        <v>0.97700959766130291</v>
      </c>
      <c r="H335" s="13" t="e">
        <f ca="1"/>
        <v>#VALUE!</v>
      </c>
      <c r="I335" s="13">
        <f ca="1"/>
        <v>0.97612417638938154</v>
      </c>
      <c r="J335" s="13">
        <f ca="1"/>
        <v>0.93184056544720439</v>
      </c>
      <c r="K335" s="13">
        <f ca="1"/>
        <v>0.93182480638250387</v>
      </c>
    </row>
    <row r="336" spans="1:11">
      <c r="A336" s="14">
        <f t="shared" ca="1" si="35"/>
        <v>43983</v>
      </c>
      <c r="B336" s="74">
        <f t="shared" ca="1" si="30"/>
        <v>2.6654771919580322E-2</v>
      </c>
      <c r="C336" s="74" t="e">
        <f t="shared" ca="1" si="31"/>
        <v>#VALUE!</v>
      </c>
      <c r="D336" s="74">
        <f t="shared" ca="1" si="32"/>
        <v>2.7599447206667627E-2</v>
      </c>
      <c r="E336" s="74">
        <f t="shared" ca="1" si="33"/>
        <v>7.3137687799788575E-2</v>
      </c>
      <c r="F336" s="74">
        <f t="shared" ca="1" si="34"/>
        <v>7.3178742900256721E-2</v>
      </c>
      <c r="G336" s="13">
        <f ca="1"/>
        <v>0.97693659396204147</v>
      </c>
      <c r="H336" s="13" t="e">
        <f ca="1"/>
        <v>#VALUE!</v>
      </c>
      <c r="I336" s="13">
        <f ca="1"/>
        <v>0.97604858409709683</v>
      </c>
      <c r="J336" s="13">
        <f ca="1"/>
        <v>0.93164014511393645</v>
      </c>
      <c r="K336" s="13">
        <f ca="1"/>
        <v>0.9316242735203597</v>
      </c>
    </row>
    <row r="337" spans="1:11">
      <c r="A337" s="14">
        <f t="shared" ca="1" si="35"/>
        <v>43984</v>
      </c>
      <c r="B337" s="74">
        <f t="shared" ca="1" si="30"/>
        <v>2.6663191401236075E-2</v>
      </c>
      <c r="C337" s="74" t="e">
        <f t="shared" ca="1" si="31"/>
        <v>#VALUE!</v>
      </c>
      <c r="D337" s="74">
        <f t="shared" ca="1" si="32"/>
        <v>2.7607705457081133E-2</v>
      </c>
      <c r="E337" s="74">
        <f t="shared" ca="1" si="33"/>
        <v>7.3121957340863686E-2</v>
      </c>
      <c r="F337" s="74">
        <f t="shared" ca="1" si="34"/>
        <v>7.3162994507816048E-2</v>
      </c>
      <c r="G337" s="13">
        <f ca="1"/>
        <v>0.97686356718965905</v>
      </c>
      <c r="H337" s="13" t="e">
        <f ca="1"/>
        <v>#VALUE!</v>
      </c>
      <c r="I337" s="13">
        <f ca="1"/>
        <v>0.97597296917324294</v>
      </c>
      <c r="J337" s="13">
        <f ca="1"/>
        <v>0.93143976788708771</v>
      </c>
      <c r="K337" s="13">
        <f ca="1"/>
        <v>0.93142378381378366</v>
      </c>
    </row>
    <row r="338" spans="1:11">
      <c r="A338" s="14">
        <f t="shared" ca="1" si="35"/>
        <v>43985</v>
      </c>
      <c r="B338" s="74">
        <f t="shared" ca="1" si="30"/>
        <v>2.6671608674988523E-2</v>
      </c>
      <c r="C338" s="74" t="e">
        <f t="shared" ca="1" si="31"/>
        <v>#VALUE!</v>
      </c>
      <c r="D338" s="74">
        <f t="shared" ca="1" si="32"/>
        <v>2.7615961435848435E-2</v>
      </c>
      <c r="E338" s="74">
        <f t="shared" ca="1" si="33"/>
        <v>7.3106230265215788E-2</v>
      </c>
      <c r="F338" s="74">
        <f t="shared" ca="1" si="34"/>
        <v>7.3147249504487699E-2</v>
      </c>
      <c r="G338" s="13">
        <f ca="1"/>
        <v>0.97679051735020361</v>
      </c>
      <c r="H338" s="13" t="e">
        <f ca="1"/>
        <v>#VALUE!</v>
      </c>
      <c r="I338" s="13">
        <f ca="1"/>
        <v>0.97589733162404546</v>
      </c>
      <c r="J338" s="13">
        <f ca="1"/>
        <v>0.93123943375738671</v>
      </c>
      <c r="K338" s="13">
        <f ca="1"/>
        <v>0.93122333725348827</v>
      </c>
    </row>
    <row r="339" spans="1:11">
      <c r="A339" s="14">
        <f t="shared" ca="1" si="35"/>
        <v>43986</v>
      </c>
      <c r="B339" s="74">
        <f t="shared" ca="1" si="30"/>
        <v>2.6680023740999759E-2</v>
      </c>
      <c r="C339" s="74" t="e">
        <f t="shared" ca="1" si="31"/>
        <v>#VALUE!</v>
      </c>
      <c r="D339" s="74">
        <f t="shared" ca="1" si="32"/>
        <v>2.76242151415107E-2</v>
      </c>
      <c r="E339" s="74">
        <f t="shared" ca="1" si="33"/>
        <v>7.3090506572155989E-2</v>
      </c>
      <c r="F339" s="74">
        <f t="shared" ca="1" si="34"/>
        <v>7.3131507889542258E-2</v>
      </c>
      <c r="G339" s="13">
        <f ca="1"/>
        <v>0.97671744444972419</v>
      </c>
      <c r="H339" s="13" t="e">
        <f ca="1"/>
        <v>#VALUE!</v>
      </c>
      <c r="I339" s="13">
        <f ca="1"/>
        <v>0.97582167145572807</v>
      </c>
      <c r="J339" s="13">
        <f ca="1"/>
        <v>0.93103914271556421</v>
      </c>
      <c r="K339" s="13">
        <f ca="1"/>
        <v>0.9310229338301883</v>
      </c>
    </row>
    <row r="340" spans="1:11">
      <c r="A340" s="14">
        <f t="shared" ca="1" si="35"/>
        <v>43987</v>
      </c>
      <c r="B340" s="74">
        <f t="shared" ca="1" si="30"/>
        <v>2.6688436597648857E-2</v>
      </c>
      <c r="C340" s="74" t="e">
        <f t="shared" ca="1" si="31"/>
        <v>#VALUE!</v>
      </c>
      <c r="D340" s="74">
        <f t="shared" ca="1" si="32"/>
        <v>2.7632466573460079E-2</v>
      </c>
      <c r="E340" s="74">
        <f t="shared" ca="1" si="33"/>
        <v>7.3074786260914348E-2</v>
      </c>
      <c r="F340" s="74">
        <f t="shared" ca="1" si="34"/>
        <v>7.3115769662250307E-2</v>
      </c>
      <c r="G340" s="13">
        <f ca="1"/>
        <v>0.9766443484942694</v>
      </c>
      <c r="H340" s="13" t="e">
        <f ca="1"/>
        <v>#VALUE!</v>
      </c>
      <c r="I340" s="13">
        <f ca="1"/>
        <v>0.97574598867451845</v>
      </c>
      <c r="J340" s="13">
        <f ca="1"/>
        <v>0.93083889475235282</v>
      </c>
      <c r="K340" s="13">
        <f ca="1"/>
        <v>0.93082257353460052</v>
      </c>
    </row>
    <row r="341" spans="1:11">
      <c r="A341" s="14">
        <f t="shared" ca="1" si="35"/>
        <v>43988</v>
      </c>
      <c r="B341" s="74">
        <f t="shared" ca="1" si="30"/>
        <v>2.6696847245503141E-2</v>
      </c>
      <c r="C341" s="74" t="e">
        <f t="shared" ca="1" si="31"/>
        <v>#VALUE!</v>
      </c>
      <c r="D341" s="74">
        <f t="shared" ca="1" si="32"/>
        <v>2.7640715732142329E-2</v>
      </c>
      <c r="E341" s="74">
        <f t="shared" ca="1" si="33"/>
        <v>7.305906933088302E-2</v>
      </c>
      <c r="F341" s="74">
        <f t="shared" ca="1" si="34"/>
        <v>7.3100034821922955E-2</v>
      </c>
      <c r="G341" s="13">
        <f ca="1"/>
        <v>0.97657122948989228</v>
      </c>
      <c r="H341" s="13" t="e">
        <f ca="1"/>
        <v>#VALUE!</v>
      </c>
      <c r="I341" s="13">
        <f ca="1"/>
        <v>0.97567028328664596</v>
      </c>
      <c r="J341" s="13">
        <f ca="1"/>
        <v>0.9306386898584873</v>
      </c>
      <c r="K341" s="13">
        <f ca="1"/>
        <v>0.93062225635744367</v>
      </c>
    </row>
    <row r="342" spans="1:11">
      <c r="A342" s="14">
        <f t="shared" ca="1" si="35"/>
        <v>43989</v>
      </c>
      <c r="B342" s="74">
        <f t="shared" ca="1" si="30"/>
        <v>2.6705255682779594E-2</v>
      </c>
      <c r="C342" s="74" t="e">
        <f t="shared" ca="1" si="31"/>
        <v>#VALUE!</v>
      </c>
      <c r="D342" s="74">
        <f t="shared" ca="1" si="32"/>
        <v>2.7648962615774431E-2</v>
      </c>
      <c r="E342" s="74">
        <f t="shared" ca="1" si="33"/>
        <v>7.3043355781170494E-2</v>
      </c>
      <c r="F342" s="74">
        <f t="shared" ca="1" si="34"/>
        <v>7.3084303367749737E-2</v>
      </c>
      <c r="G342" s="13">
        <f ca="1"/>
        <v>0.97649808744264432</v>
      </c>
      <c r="H342" s="13" t="e">
        <f ca="1"/>
        <v>#VALUE!</v>
      </c>
      <c r="I342" s="13">
        <f ca="1"/>
        <v>0.97559455529833872</v>
      </c>
      <c r="J342" s="13">
        <f ca="1"/>
        <v>0.93043852802470406</v>
      </c>
      <c r="K342" s="13">
        <f ca="1"/>
        <v>0.9304219822894384</v>
      </c>
    </row>
    <row r="343" spans="1:11">
      <c r="A343" s="14">
        <f t="shared" ca="1" si="35"/>
        <v>43990</v>
      </c>
      <c r="B343" s="74">
        <f t="shared" ca="1" si="30"/>
        <v>2.6713661910167108E-2</v>
      </c>
      <c r="C343" s="74" t="e">
        <f t="shared" ca="1" si="31"/>
        <v>#VALUE!</v>
      </c>
      <c r="D343" s="74">
        <f t="shared" ca="1" si="32"/>
        <v>2.7657207225045277E-2</v>
      </c>
      <c r="E343" s="74">
        <f t="shared" ca="1" si="33"/>
        <v>7.3027645611168923E-2</v>
      </c>
      <c r="F343" s="74">
        <f t="shared" ca="1" si="34"/>
        <v>7.3068575299122807E-2</v>
      </c>
      <c r="G343" s="13">
        <f ca="1"/>
        <v>0.97642492235858191</v>
      </c>
      <c r="H343" s="13" t="e">
        <f ca="1"/>
        <v>#VALUE!</v>
      </c>
      <c r="I343" s="13">
        <f ca="1"/>
        <v>0.97551880471582975</v>
      </c>
      <c r="J343" s="13">
        <f ca="1"/>
        <v>0.93023840924174195</v>
      </c>
      <c r="K343" s="13">
        <f ca="1"/>
        <v>0.93022175132130758</v>
      </c>
    </row>
    <row r="344" spans="1:11">
      <c r="A344" s="14">
        <f t="shared" ca="1" si="35"/>
        <v>43991</v>
      </c>
      <c r="B344" s="74">
        <f t="shared" ca="1" si="30"/>
        <v>2.6722065925801619E-2</v>
      </c>
      <c r="C344" s="74" t="e">
        <f t="shared" ca="1" si="31"/>
        <v>#VALUE!</v>
      </c>
      <c r="D344" s="74">
        <f t="shared" ca="1" si="32"/>
        <v>2.7665449558171851E-2</v>
      </c>
      <c r="E344" s="74">
        <f t="shared" ca="1" si="33"/>
        <v>7.3011938820067845E-2</v>
      </c>
      <c r="F344" s="74">
        <f t="shared" ca="1" si="34"/>
        <v>7.3052850615191178E-2</v>
      </c>
      <c r="G344" s="13">
        <f ca="1"/>
        <v>0.97635173424375954</v>
      </c>
      <c r="H344" s="13" t="e">
        <f ca="1"/>
        <v>#VALUE!</v>
      </c>
      <c r="I344" s="13">
        <f ca="1"/>
        <v>0.97544303154535017</v>
      </c>
      <c r="J344" s="13">
        <f ca="1"/>
        <v>0.93003833350034149</v>
      </c>
      <c r="K344" s="13">
        <f ca="1"/>
        <v>0.93002156344377573</v>
      </c>
    </row>
    <row r="345" spans="1:11">
      <c r="A345" s="14">
        <f t="shared" ca="1" si="35"/>
        <v>43992</v>
      </c>
      <c r="B345" s="74">
        <f t="shared" ca="1" si="30"/>
        <v>2.6730467730453067E-2</v>
      </c>
      <c r="C345" s="74" t="e">
        <f t="shared" ca="1" si="31"/>
        <v>#VALUE!</v>
      </c>
      <c r="D345" s="74">
        <f t="shared" ca="1" si="32"/>
        <v>2.7673689615843045E-2</v>
      </c>
      <c r="E345" s="74">
        <f t="shared" ca="1" si="33"/>
        <v>7.2996235407259413E-2</v>
      </c>
      <c r="F345" s="74">
        <f t="shared" ca="1" si="34"/>
        <v>7.3037129315306482E-2</v>
      </c>
      <c r="G345" s="13">
        <f ca="1"/>
        <v>0.9762785231042368</v>
      </c>
      <c r="H345" s="13" t="e">
        <f ca="1"/>
        <v>#VALUE!</v>
      </c>
      <c r="I345" s="13">
        <f ca="1"/>
        <v>0.975367235793136</v>
      </c>
      <c r="J345" s="13">
        <f ca="1"/>
        <v>0.92983830079124541</v>
      </c>
      <c r="K345" s="13">
        <f ca="1"/>
        <v>0.92982141864756973</v>
      </c>
    </row>
    <row r="346" spans="1:11">
      <c r="A346" s="14">
        <f t="shared" ca="1" si="35"/>
        <v>43993</v>
      </c>
      <c r="B346" s="74">
        <f t="shared" ca="1" si="30"/>
        <v>2.675392866345272E-2</v>
      </c>
      <c r="C346" s="74" t="e">
        <f t="shared" ca="1" si="31"/>
        <v>#VALUE!</v>
      </c>
      <c r="D346" s="74">
        <f t="shared" ca="1" si="32"/>
        <v>2.7697020915478654E-2</v>
      </c>
      <c r="E346" s="74">
        <f t="shared" ca="1" si="33"/>
        <v>7.2980535371852118E-2</v>
      </c>
      <c r="F346" s="74">
        <f t="shared" ca="1" si="34"/>
        <v>7.30214113987393E-2</v>
      </c>
      <c r="G346" s="13">
        <f ca="1"/>
        <v>0.97620528894607117</v>
      </c>
      <c r="H346" s="13" t="e">
        <f ca="1"/>
        <v>#VALUE!</v>
      </c>
      <c r="I346" s="13">
        <f ca="1"/>
        <v>0.97529141746542136</v>
      </c>
      <c r="J346" s="13">
        <f ca="1"/>
        <v>0.92963831110519812</v>
      </c>
      <c r="K346" s="13">
        <f ca="1"/>
        <v>0.92962131692341821</v>
      </c>
    </row>
    <row r="347" spans="1:11">
      <c r="A347" s="14">
        <f t="shared" ca="1" si="35"/>
        <v>43994</v>
      </c>
      <c r="B347" s="74">
        <f t="shared" ca="1" si="30"/>
        <v>2.6762411045896939E-2</v>
      </c>
      <c r="C347" s="74" t="e">
        <f t="shared" ca="1" si="31"/>
        <v>#VALUE!</v>
      </c>
      <c r="D347" s="74">
        <f t="shared" ca="1" si="32"/>
        <v>2.7705341521563343E-2</v>
      </c>
      <c r="E347" s="74">
        <f t="shared" ca="1" si="33"/>
        <v>7.2964838713278635E-2</v>
      </c>
      <c r="F347" s="74">
        <f t="shared" ca="1" si="34"/>
        <v>7.300569686467917E-2</v>
      </c>
      <c r="G347" s="13">
        <f ca="1"/>
        <v>0.97613199051137678</v>
      </c>
      <c r="H347" s="13" t="e">
        <f ca="1"/>
        <v>#VALUE!</v>
      </c>
      <c r="I347" s="13">
        <f ca="1"/>
        <v>0.97521553521633786</v>
      </c>
      <c r="J347" s="13">
        <f ca="1"/>
        <v>0.92943836443294647</v>
      </c>
      <c r="K347" s="13">
        <f ca="1"/>
        <v>0.9294212582620518</v>
      </c>
    </row>
    <row r="348" spans="1:11">
      <c r="A348" s="14">
        <f t="shared" ca="1" si="35"/>
        <v>43995</v>
      </c>
      <c r="B348" s="74">
        <f t="shared" ca="1" si="30"/>
        <v>2.6770891193895197E-2</v>
      </c>
      <c r="C348" s="74" t="e">
        <f t="shared" ca="1" si="31"/>
        <v>#VALUE!</v>
      </c>
      <c r="D348" s="74">
        <f t="shared" ca="1" si="32"/>
        <v>2.7713659828081383E-2</v>
      </c>
      <c r="E348" s="74">
        <f t="shared" ca="1" si="33"/>
        <v>7.2949145430728501E-2</v>
      </c>
      <c r="F348" s="74">
        <f t="shared" ca="1" si="34"/>
        <v>7.2989985712518246E-2</v>
      </c>
      <c r="G348" s="13">
        <f ca="1"/>
        <v>0.97605866883727843</v>
      </c>
      <c r="H348" s="13" t="e">
        <f ca="1"/>
        <v>#VALUE!</v>
      </c>
      <c r="I348" s="13">
        <f ca="1"/>
        <v>0.9751396301710733</v>
      </c>
      <c r="J348" s="13">
        <f ca="1"/>
        <v>0.92923846076523886</v>
      </c>
      <c r="K348" s="13">
        <f ca="1"/>
        <v>0.92922124265420336</v>
      </c>
    </row>
    <row r="349" spans="1:11">
      <c r="A349" s="14">
        <f t="shared" ca="1" si="35"/>
        <v>43996</v>
      </c>
      <c r="B349" s="74">
        <f t="shared" ca="1" si="30"/>
        <v>2.6779369107204354E-2</v>
      </c>
      <c r="C349" s="74" t="e">
        <f t="shared" ca="1" si="31"/>
        <v>#VALUE!</v>
      </c>
      <c r="D349" s="74">
        <f t="shared" ca="1" si="32"/>
        <v>2.7721975834262835E-2</v>
      </c>
      <c r="E349" s="74">
        <f t="shared" ca="1" si="33"/>
        <v>7.2933455523512825E-2</v>
      </c>
      <c r="F349" s="74">
        <f t="shared" ca="1" si="34"/>
        <v>7.2974277941446064E-2</v>
      </c>
      <c r="G349" s="13">
        <f ca="1"/>
        <v>0.9759853239298979</v>
      </c>
      <c r="H349" s="13" t="e">
        <f ca="1"/>
        <v>#VALUE!</v>
      </c>
      <c r="I349" s="13">
        <f ca="1"/>
        <v>0.97506370233592787</v>
      </c>
      <c r="J349" s="13">
        <f ca="1"/>
        <v>0.92903860009282591</v>
      </c>
      <c r="K349" s="13">
        <f ca="1"/>
        <v>0.92902127009060742</v>
      </c>
    </row>
    <row r="350" spans="1:11">
      <c r="A350" s="14">
        <f t="shared" ca="1" si="35"/>
        <v>43997</v>
      </c>
      <c r="B350" s="74">
        <f t="shared" ca="1" si="30"/>
        <v>2.6787844784284531E-2</v>
      </c>
      <c r="C350" s="74" t="e">
        <f t="shared" ca="1" si="31"/>
        <v>#VALUE!</v>
      </c>
      <c r="D350" s="74">
        <f t="shared" ca="1" si="32"/>
        <v>2.7730289540512931E-2</v>
      </c>
      <c r="E350" s="74">
        <f t="shared" ca="1" si="33"/>
        <v>7.2917768990821141E-2</v>
      </c>
      <c r="F350" s="74">
        <f t="shared" ca="1" si="34"/>
        <v>7.2958573550733208E-2</v>
      </c>
      <c r="G350" s="13">
        <f ca="1"/>
        <v>0.97591195579535761</v>
      </c>
      <c r="H350" s="13" t="e">
        <f ca="1"/>
        <v>#VALUE!</v>
      </c>
      <c r="I350" s="13">
        <f ca="1"/>
        <v>0.97498775171720387</v>
      </c>
      <c r="J350" s="13">
        <f ca="1"/>
        <v>0.92883878240646012</v>
      </c>
      <c r="K350" s="13">
        <f ca="1"/>
        <v>0.92882134056200072</v>
      </c>
    </row>
    <row r="351" spans="1:11">
      <c r="A351" s="14">
        <f t="shared" ca="1" si="35"/>
        <v>43998</v>
      </c>
      <c r="B351" s="74">
        <f t="shared" ca="1" si="30"/>
        <v>2.679631822554096E-2</v>
      </c>
      <c r="C351" s="74" t="e">
        <f t="shared" ca="1" si="31"/>
        <v>#VALUE!</v>
      </c>
      <c r="D351" s="74">
        <f t="shared" ca="1" si="32"/>
        <v>2.7738600945210745E-2</v>
      </c>
      <c r="E351" s="74">
        <f t="shared" ca="1" si="33"/>
        <v>7.2902085832005081E-2</v>
      </c>
      <c r="F351" s="74">
        <f t="shared" ca="1" si="34"/>
        <v>7.2942872539690784E-2</v>
      </c>
      <c r="G351" s="13">
        <f ca="1"/>
        <v>0.97583856443978423</v>
      </c>
      <c r="H351" s="13" t="e">
        <f ca="1"/>
        <v>#VALUE!</v>
      </c>
      <c r="I351" s="13">
        <f ca="1"/>
        <v>0.97491177832120246</v>
      </c>
      <c r="J351" s="13">
        <f ca="1"/>
        <v>0.92863900769689622</v>
      </c>
      <c r="K351" s="13">
        <f ca="1"/>
        <v>0.928621454059122</v>
      </c>
    </row>
    <row r="352" spans="1:11">
      <c r="A352" s="14">
        <f t="shared" ca="1" si="35"/>
        <v>43999</v>
      </c>
      <c r="B352" s="74">
        <f t="shared" ca="1" si="30"/>
        <v>2.6804789430001086E-2</v>
      </c>
      <c r="C352" s="74" t="e">
        <f t="shared" ca="1" si="31"/>
        <v>#VALUE!</v>
      </c>
      <c r="D352" s="74">
        <f t="shared" ca="1" si="32"/>
        <v>2.7746910048234708E-2</v>
      </c>
      <c r="E352" s="74">
        <f t="shared" ca="1" si="33"/>
        <v>7.2886406046375751E-2</v>
      </c>
      <c r="F352" s="74">
        <f t="shared" ca="1" si="34"/>
        <v>7.2927174907589376E-2</v>
      </c>
      <c r="G352" s="13">
        <f ca="1"/>
        <v>0.97576514986930329</v>
      </c>
      <c r="H352" s="13" t="e">
        <f ca="1"/>
        <v>#VALUE!</v>
      </c>
      <c r="I352" s="13">
        <f ca="1"/>
        <v>0.97483578215422928</v>
      </c>
      <c r="J352" s="13">
        <f ca="1"/>
        <v>0.92843927595489073</v>
      </c>
      <c r="K352" s="13">
        <f ca="1"/>
        <v>0.92842161057271189</v>
      </c>
    </row>
    <row r="353" spans="1:11">
      <c r="A353" s="14">
        <f t="shared" ca="1" si="35"/>
        <v>44000</v>
      </c>
      <c r="B353" s="74">
        <f t="shared" ca="1" si="30"/>
        <v>2.6813258397219153E-2</v>
      </c>
      <c r="C353" s="74" t="e">
        <f t="shared" ca="1" si="31"/>
        <v>#VALUE!</v>
      </c>
      <c r="D353" s="74">
        <f t="shared" ca="1" si="32"/>
        <v>2.7755216849017494E-2</v>
      </c>
      <c r="E353" s="74">
        <f t="shared" ca="1" si="33"/>
        <v>7.2536865868984557E-2</v>
      </c>
      <c r="F353" s="74">
        <f t="shared" ca="1" si="34"/>
        <v>7.2603183497410018E-2</v>
      </c>
      <c r="G353" s="13">
        <f ca="1"/>
        <v>0.97569171209004302</v>
      </c>
      <c r="H353" s="13" t="e">
        <f ca="1"/>
        <v>#VALUE!</v>
      </c>
      <c r="I353" s="13">
        <f ca="1"/>
        <v>0.97475976322259028</v>
      </c>
      <c r="J353" s="13">
        <f ca="1"/>
        <v>0.92823958717120203</v>
      </c>
      <c r="K353" s="13">
        <f ca="1"/>
        <v>0.92822181009351301</v>
      </c>
    </row>
    <row r="354" spans="1:11">
      <c r="A354" s="14">
        <f t="shared" ca="1" si="35"/>
        <v>44001</v>
      </c>
      <c r="B354" s="74">
        <f t="shared" ca="1" si="30"/>
        <v>2.6821725126465745E-2</v>
      </c>
      <c r="C354" s="74" t="e">
        <f t="shared" ca="1" si="31"/>
        <v>#VALUE!</v>
      </c>
      <c r="D354" s="74">
        <f t="shared" ca="1" si="32"/>
        <v>2.776352134670812E-2</v>
      </c>
      <c r="E354" s="74">
        <f t="shared" ca="1" si="33"/>
        <v>7.2521336113353096E-2</v>
      </c>
      <c r="F354" s="74">
        <f t="shared" ca="1" si="34"/>
        <v>7.2587625034213343E-2</v>
      </c>
      <c r="G354" s="13">
        <f ca="1"/>
        <v>0.97561825110813283</v>
      </c>
      <c r="H354" s="13" t="e">
        <f ca="1"/>
        <v>#VALUE!</v>
      </c>
      <c r="I354" s="13">
        <f ca="1"/>
        <v>0.97468372153259297</v>
      </c>
      <c r="J354" s="13">
        <f ca="1"/>
        <v>0.92804085603183495</v>
      </c>
      <c r="K354" s="13">
        <f ca="1"/>
        <v>0.92802289726201326</v>
      </c>
    </row>
    <row r="355" spans="1:11">
      <c r="A355" s="14">
        <f t="shared" ca="1" si="35"/>
        <v>44002</v>
      </c>
      <c r="B355" s="74">
        <f t="shared" ca="1" si="30"/>
        <v>2.6830189617335631E-2</v>
      </c>
      <c r="C355" s="74" t="e">
        <f t="shared" ca="1" si="31"/>
        <v>#VALUE!</v>
      </c>
      <c r="D355" s="74">
        <f t="shared" ca="1" si="32"/>
        <v>2.7771823541590246E-2</v>
      </c>
      <c r="E355" s="74">
        <f t="shared" ca="1" si="33"/>
        <v>7.2505809682483213E-2</v>
      </c>
      <c r="F355" s="74">
        <f t="shared" ca="1" si="34"/>
        <v>7.2572069905220138E-2</v>
      </c>
      <c r="G355" s="13">
        <f ca="1"/>
        <v>0.97554476692970415</v>
      </c>
      <c r="H355" s="13" t="e">
        <f ca="1"/>
        <v>#VALUE!</v>
      </c>
      <c r="I355" s="13">
        <f ca="1"/>
        <v>0.9746076570905472</v>
      </c>
      <c r="J355" s="13">
        <f ca="1"/>
        <v>0.92784216743974357</v>
      </c>
      <c r="K355" s="13">
        <f ca="1"/>
        <v>0.92782402705644007</v>
      </c>
    </row>
    <row r="356" spans="1:11">
      <c r="A356" s="14">
        <f t="shared" ca="1" si="35"/>
        <v>44003</v>
      </c>
      <c r="B356" s="74">
        <f t="shared" ca="1" si="30"/>
        <v>2.6838651869099395E-2</v>
      </c>
      <c r="C356" s="74" t="e">
        <f t="shared" ca="1" si="31"/>
        <v>#VALUE!</v>
      </c>
      <c r="D356" s="74">
        <f t="shared" ca="1" si="32"/>
        <v>2.7780123432367132E-2</v>
      </c>
      <c r="E356" s="74">
        <f t="shared" ca="1" si="33"/>
        <v>7.249028657576706E-2</v>
      </c>
      <c r="F356" s="74">
        <f t="shared" ca="1" si="34"/>
        <v>7.2556518109579415E-2</v>
      </c>
      <c r="G356" s="13">
        <f ca="1"/>
        <v>0.97547125956088954</v>
      </c>
      <c r="H356" s="13" t="e">
        <f ca="1"/>
        <v>#VALUE!</v>
      </c>
      <c r="I356" s="13">
        <f ca="1"/>
        <v>0.97453156990276202</v>
      </c>
      <c r="J356" s="13">
        <f ca="1"/>
        <v>0.92764352138581896</v>
      </c>
      <c r="K356" s="13">
        <f ca="1"/>
        <v>0.92762519946765865</v>
      </c>
    </row>
    <row r="357" spans="1:11">
      <c r="A357" s="14">
        <f t="shared" ca="1" si="35"/>
        <v>44004</v>
      </c>
      <c r="B357" s="74">
        <f t="shared" ca="1" si="30"/>
        <v>2.684711188155442E-2</v>
      </c>
      <c r="C357" s="74" t="e">
        <f t="shared" ca="1" si="31"/>
        <v>#VALUE!</v>
      </c>
      <c r="D357" s="74">
        <f t="shared" ca="1" si="32"/>
        <v>2.7788421018593024E-2</v>
      </c>
      <c r="E357" s="74">
        <f t="shared" ca="1" si="33"/>
        <v>7.247476679247522E-2</v>
      </c>
      <c r="F357" s="74">
        <f t="shared" ca="1" si="34"/>
        <v>7.2540969646561759E-2</v>
      </c>
      <c r="G357" s="13">
        <f ca="1"/>
        <v>0.97539772900782351</v>
      </c>
      <c r="H357" s="13" t="e">
        <f ca="1"/>
        <v>#VALUE!</v>
      </c>
      <c r="I357" s="13">
        <f ca="1"/>
        <v>0.97445545997555005</v>
      </c>
      <c r="J357" s="13">
        <f ca="1"/>
        <v>0.92744491786095384</v>
      </c>
      <c r="K357" s="13">
        <f ca="1"/>
        <v>0.92742641448653651</v>
      </c>
    </row>
    <row r="358" spans="1:11" ht="12" thickBot="1">
      <c r="A358" s="15">
        <f ca="1">A357+1</f>
        <v>44005</v>
      </c>
      <c r="B358" s="74"/>
      <c r="C358" s="74"/>
      <c r="D358" s="74"/>
      <c r="E358" s="74"/>
      <c r="F358" s="74"/>
      <c r="G358" s="13">
        <f ca="1"/>
        <v>0.97532417527664117</v>
      </c>
      <c r="H358" s="13" t="e">
        <f ca="1"/>
        <v>#VALUE!</v>
      </c>
      <c r="I358" s="13">
        <f ca="1"/>
        <v>0.97437932731522514</v>
      </c>
      <c r="J358" s="13">
        <f ca="1"/>
        <v>0.92724635685604295</v>
      </c>
      <c r="K358" s="13">
        <f ca="1"/>
        <v>0.92722767210394319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AUDCurve</vt:lpstr>
      <vt:lpstr>GBPCurve</vt:lpstr>
      <vt:lpstr>Daily Forward Rates</vt:lpstr>
      <vt:lpstr>Daily Forward Curve Comparison</vt:lpstr>
      <vt:lpstr>Choice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amistry</dc:creator>
  <cp:lastModifiedBy>Alex</cp:lastModifiedBy>
  <cp:lastPrinted>2009-01-05T02:51:47Z</cp:lastPrinted>
  <dcterms:created xsi:type="dcterms:W3CDTF">2008-05-20T05:30:45Z</dcterms:created>
  <dcterms:modified xsi:type="dcterms:W3CDTF">2019-07-03T00:13:25Z</dcterms:modified>
</cp:coreProperties>
</file>