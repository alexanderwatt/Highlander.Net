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roduct Pricers\"/>
    </mc:Choice>
  </mc:AlternateContent>
  <xr:revisionPtr revIDLastSave="0" documentId="13_ncr:1_{5411A797-A421-4B6C-A7D3-CEC0F2ED4163}" xr6:coauthVersionLast="43" xr6:coauthVersionMax="43" xr10:uidLastSave="{00000000-0000-0000-0000-000000000000}"/>
  <bookViews>
    <workbookView xWindow="2415" yWindow="0" windowWidth="26370" windowHeight="14820" tabRatio="861" activeTab="8" xr2:uid="{00000000-000D-0000-FFFF-FFFF00000000}"/>
  </bookViews>
  <sheets>
    <sheet name="GetInfo &amp; GetInstrumentInfo" sheetId="2" r:id="rId1"/>
    <sheet name="SwapLeg Pricer" sheetId="14" r:id="rId2"/>
    <sheet name="SwapTransaction" sheetId="20" r:id="rId3"/>
    <sheet name="SimpleSwapPricer" sheetId="15" r:id="rId4"/>
    <sheet name="SwapPricer1" sheetId="21" r:id="rId5"/>
    <sheet name="SwapPricer2" sheetId="19" r:id="rId6"/>
    <sheet name="AUDCapVol" sheetId="17" r:id="rId7"/>
    <sheet name="SimpleCapPricer" sheetId="16" r:id="rId8"/>
    <sheet name="CapPricer" sheetId="18" r:id="rId9"/>
  </sheets>
  <definedNames>
    <definedName name="CurveList" localSheetId="8">'GetInfo &amp; GetInstrumentInfo'!$B$8:$B$77</definedName>
    <definedName name="CurveList" localSheetId="4">'GetInfo &amp; GetInstrumentInfo'!$B$8:$B$77</definedName>
    <definedName name="CurveList" localSheetId="5">'GetInfo &amp; GetInstrumentInfo'!$B$8:$B$77</definedName>
    <definedName name="CurveList">'GetInfo &amp; GetInstrumentInfo'!$B$8:$B$77</definedName>
    <definedName name="Metrics" localSheetId="4">SwapPricer1!$B$15:$B$22</definedName>
    <definedName name="Metrics" localSheetId="5">SwapPricer2!$B$15:$B$22</definedName>
    <definedName name="Metrics">CapPricer!$B$15:$B$22</definedName>
    <definedName name="PayCashFlows">#REF!</definedName>
    <definedName name="PayLeg">#REF!</definedName>
    <definedName name="RecCashFlows">#REF!</definedName>
    <definedName name="RecLeg">#REF!</definedName>
    <definedName name="SettleLag">#REF!</definedName>
    <definedName name="SwapTerms">#REF!</definedName>
    <definedName name="ValInput">#REF!</definedName>
    <definedName name="ValRange">#REF!</definedName>
    <definedName name="ValueResult">#REF!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20" l="1"/>
  <c r="C12" i="18" l="1"/>
  <c r="F4" i="18"/>
  <c r="F3" i="18"/>
  <c r="I3" i="18"/>
  <c r="D15" i="16" l="1"/>
  <c r="J3" i="16" l="1"/>
  <c r="C13" i="21"/>
  <c r="F4" i="21"/>
  <c r="I3" i="21"/>
  <c r="F3" i="21"/>
  <c r="C5" i="21" s="1"/>
  <c r="B15" i="21" a="1"/>
  <c r="C8" i="21"/>
  <c r="B21" i="21" l="1"/>
  <c r="B20" i="21"/>
  <c r="B27" i="21"/>
  <c r="B19" i="21"/>
  <c r="B24" i="21"/>
  <c r="B16" i="21"/>
  <c r="B15" i="21"/>
  <c r="B26" i="21"/>
  <c r="B18" i="21"/>
  <c r="B25" i="21"/>
  <c r="B17" i="21"/>
  <c r="B23" i="21"/>
  <c r="B22" i="21"/>
  <c r="I3" i="19"/>
  <c r="E11" i="21" a="1"/>
  <c r="E17" i="21" l="1"/>
  <c r="E15" i="21"/>
  <c r="E12" i="21"/>
  <c r="E21" i="21"/>
  <c r="E19" i="21"/>
  <c r="F11" i="21"/>
  <c r="F17" i="21"/>
  <c r="F15" i="21"/>
  <c r="E16" i="21"/>
  <c r="F13" i="21"/>
  <c r="E20" i="21"/>
  <c r="F12" i="21"/>
  <c r="F21" i="21"/>
  <c r="F19" i="21"/>
  <c r="F16" i="21"/>
  <c r="F14" i="21"/>
  <c r="E14" i="21"/>
  <c r="F20" i="21"/>
  <c r="F18" i="21"/>
  <c r="E18" i="21"/>
  <c r="E13" i="21"/>
  <c r="E11" i="21"/>
  <c r="M6" i="15"/>
  <c r="F10" i="15" l="1"/>
  <c r="F11" i="15"/>
  <c r="I10" i="15" l="1"/>
  <c r="I11" i="15"/>
  <c r="E33" i="20"/>
  <c r="B15" i="19" a="1"/>
  <c r="F12" i="15"/>
  <c r="I12" i="15" l="1"/>
  <c r="B15" i="19"/>
  <c r="B23" i="19"/>
  <c r="B16" i="19"/>
  <c r="B24" i="19"/>
  <c r="B17" i="19"/>
  <c r="B18" i="19"/>
  <c r="B26" i="19"/>
  <c r="B27" i="19"/>
  <c r="B20" i="19"/>
  <c r="B21" i="19"/>
  <c r="B25" i="19"/>
  <c r="B22" i="19"/>
  <c r="B19" i="19"/>
  <c r="E34" i="20"/>
  <c r="E32" i="20"/>
  <c r="B2" i="2"/>
  <c r="B8" i="2" a="1"/>
  <c r="F13" i="15"/>
  <c r="I13" i="15" l="1"/>
  <c r="B18" i="2"/>
  <c r="B42" i="2"/>
  <c r="B66" i="2"/>
  <c r="B30" i="2"/>
  <c r="B11" i="2"/>
  <c r="B19" i="2"/>
  <c r="B27" i="2"/>
  <c r="B35" i="2"/>
  <c r="B43" i="2"/>
  <c r="B51" i="2"/>
  <c r="B59" i="2"/>
  <c r="B67" i="2"/>
  <c r="B75" i="2"/>
  <c r="B21" i="2"/>
  <c r="B29" i="2"/>
  <c r="B53" i="2"/>
  <c r="B69" i="2"/>
  <c r="B38" i="2"/>
  <c r="B12" i="2"/>
  <c r="B20" i="2"/>
  <c r="B28" i="2"/>
  <c r="B36" i="2"/>
  <c r="B44" i="2"/>
  <c r="B52" i="2"/>
  <c r="B60" i="2"/>
  <c r="B68" i="2"/>
  <c r="B76" i="2"/>
  <c r="B13" i="2"/>
  <c r="B45" i="2"/>
  <c r="B61" i="2"/>
  <c r="B46" i="2"/>
  <c r="B37" i="2"/>
  <c r="B77" i="2"/>
  <c r="B22" i="2"/>
  <c r="B62" i="2"/>
  <c r="B70" i="2"/>
  <c r="B15" i="2"/>
  <c r="B23" i="2"/>
  <c r="B31" i="2"/>
  <c r="B39" i="2"/>
  <c r="B47" i="2"/>
  <c r="B55" i="2"/>
  <c r="B63" i="2"/>
  <c r="B71" i="2"/>
  <c r="B8" i="2"/>
  <c r="B16" i="2"/>
  <c r="B24" i="2"/>
  <c r="B32" i="2"/>
  <c r="B40" i="2"/>
  <c r="B48" i="2"/>
  <c r="B56" i="2"/>
  <c r="B64" i="2"/>
  <c r="B72" i="2"/>
  <c r="B9" i="2"/>
  <c r="B17" i="2"/>
  <c r="B25" i="2"/>
  <c r="B33" i="2"/>
  <c r="B41" i="2"/>
  <c r="B49" i="2"/>
  <c r="B57" i="2"/>
  <c r="B65" i="2"/>
  <c r="B73" i="2"/>
  <c r="B10" i="2"/>
  <c r="B26" i="2"/>
  <c r="B34" i="2"/>
  <c r="B50" i="2"/>
  <c r="B58" i="2"/>
  <c r="B74" i="2"/>
  <c r="B14" i="2"/>
  <c r="B54" i="2"/>
  <c r="B29" i="14"/>
  <c r="A29" i="14"/>
  <c r="F14" i="15"/>
  <c r="I14" i="15" l="1"/>
  <c r="B30" i="20"/>
  <c r="E5" i="20" s="1"/>
  <c r="B25" i="20"/>
  <c r="E25" i="20" s="1"/>
  <c r="B24" i="20"/>
  <c r="E24" i="20" s="1"/>
  <c r="C13" i="19"/>
  <c r="F4" i="19"/>
  <c r="F3" i="19"/>
  <c r="C5" i="19" s="1"/>
  <c r="E12" i="19" a="1"/>
  <c r="B28" i="20"/>
  <c r="F15" i="15"/>
  <c r="F12" i="19" l="1"/>
  <c r="F16" i="19"/>
  <c r="F20" i="19"/>
  <c r="F15" i="19"/>
  <c r="F19" i="19"/>
  <c r="E12" i="19"/>
  <c r="E16" i="19"/>
  <c r="E20" i="19"/>
  <c r="E13" i="19"/>
  <c r="E17" i="19"/>
  <c r="E15" i="19"/>
  <c r="E19" i="19"/>
  <c r="F13" i="19"/>
  <c r="F17" i="19"/>
  <c r="E14" i="19"/>
  <c r="E18" i="19"/>
  <c r="F14" i="19"/>
  <c r="F18" i="19"/>
  <c r="I15" i="15"/>
  <c r="C5" i="18"/>
  <c r="C22" i="17"/>
  <c r="C12" i="17"/>
  <c r="C10" i="17"/>
  <c r="C9" i="17"/>
  <c r="C3" i="17"/>
  <c r="G2" i="17"/>
  <c r="H2" i="17" s="1"/>
  <c r="I2" i="17" s="1"/>
  <c r="J2" i="17" s="1"/>
  <c r="K2" i="17" s="1"/>
  <c r="L2" i="17" s="1"/>
  <c r="M2" i="17" s="1"/>
  <c r="N2" i="17" s="1"/>
  <c r="C12" i="16"/>
  <c r="D16" i="16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C15" i="16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G4" i="16"/>
  <c r="G3" i="16"/>
  <c r="J10" i="15"/>
  <c r="J11" i="15" s="1"/>
  <c r="J12" i="15" s="1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28" i="15" s="1"/>
  <c r="J29" i="15" s="1"/>
  <c r="J30" i="15" s="1"/>
  <c r="G10" i="15"/>
  <c r="G11" i="15" s="1"/>
  <c r="G12" i="15" s="1"/>
  <c r="G13" i="15" s="1"/>
  <c r="G14" i="15" s="1"/>
  <c r="G15" i="15" s="1"/>
  <c r="G16" i="15" s="1"/>
  <c r="G17" i="15" s="1"/>
  <c r="G18" i="15" s="1"/>
  <c r="G19" i="15" s="1"/>
  <c r="G20" i="15" s="1"/>
  <c r="G21" i="15" s="1"/>
  <c r="G22" i="15" s="1"/>
  <c r="G23" i="15" s="1"/>
  <c r="G24" i="15" s="1"/>
  <c r="G25" i="15" s="1"/>
  <c r="G26" i="15" s="1"/>
  <c r="G27" i="15" s="1"/>
  <c r="G28" i="15" s="1"/>
  <c r="G29" i="15" s="1"/>
  <c r="G30" i="15" s="1"/>
  <c r="B37" i="15"/>
  <c r="B36" i="15"/>
  <c r="B35" i="15"/>
  <c r="B34" i="15"/>
  <c r="B33" i="15"/>
  <c r="B32" i="15"/>
  <c r="B31" i="15"/>
  <c r="B30" i="15"/>
  <c r="C7" i="15"/>
  <c r="C8" i="15" s="1"/>
  <c r="C3" i="15"/>
  <c r="B31" i="14"/>
  <c r="E10" i="18" a="1"/>
  <c r="B32" i="20"/>
  <c r="B1" i="15"/>
  <c r="D17" i="14" a="1"/>
  <c r="D2" i="14" a="1"/>
  <c r="F16" i="15"/>
  <c r="E10" i="18" l="1"/>
  <c r="E14" i="18"/>
  <c r="E18" i="18"/>
  <c r="E22" i="18"/>
  <c r="E26" i="18"/>
  <c r="E30" i="18"/>
  <c r="E34" i="18"/>
  <c r="E38" i="18"/>
  <c r="E42" i="18"/>
  <c r="E46" i="18"/>
  <c r="E50" i="18"/>
  <c r="E54" i="18"/>
  <c r="E58" i="18"/>
  <c r="E62" i="18"/>
  <c r="E66" i="18"/>
  <c r="E70" i="18"/>
  <c r="E74" i="18"/>
  <c r="E78" i="18"/>
  <c r="E82" i="18"/>
  <c r="E8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E11" i="18"/>
  <c r="E15" i="18"/>
  <c r="E19" i="18"/>
  <c r="E23" i="18"/>
  <c r="E27" i="18"/>
  <c r="E31" i="18"/>
  <c r="E35" i="18"/>
  <c r="E39" i="18"/>
  <c r="E43" i="18"/>
  <c r="E47" i="18"/>
  <c r="E51" i="18"/>
  <c r="E55" i="18"/>
  <c r="E59" i="18"/>
  <c r="E63" i="18"/>
  <c r="E67" i="18"/>
  <c r="E71" i="18"/>
  <c r="E75" i="18"/>
  <c r="E79" i="18"/>
  <c r="E83" i="18"/>
  <c r="E87" i="18"/>
  <c r="F15" i="18"/>
  <c r="F19" i="18"/>
  <c r="F23" i="18"/>
  <c r="F27" i="18"/>
  <c r="F31" i="18"/>
  <c r="F35" i="18"/>
  <c r="F39" i="18"/>
  <c r="F43" i="18"/>
  <c r="F47" i="18"/>
  <c r="F51" i="18"/>
  <c r="F55" i="18"/>
  <c r="F59" i="18"/>
  <c r="F63" i="18"/>
  <c r="F67" i="18"/>
  <c r="F71" i="18"/>
  <c r="F75" i="18"/>
  <c r="F83" i="18"/>
  <c r="F87" i="18"/>
  <c r="F13" i="18"/>
  <c r="F17" i="18"/>
  <c r="F21" i="18"/>
  <c r="F25" i="18"/>
  <c r="F29" i="18"/>
  <c r="F33" i="18"/>
  <c r="F37" i="18"/>
  <c r="F79" i="18"/>
  <c r="F11" i="18"/>
  <c r="E12" i="18"/>
  <c r="E16" i="18"/>
  <c r="E20" i="18"/>
  <c r="E24" i="18"/>
  <c r="E28" i="18"/>
  <c r="E32" i="18"/>
  <c r="E36" i="18"/>
  <c r="E40" i="18"/>
  <c r="E44" i="18"/>
  <c r="E48" i="18"/>
  <c r="E52" i="18"/>
  <c r="E56" i="18"/>
  <c r="E60" i="18"/>
  <c r="E64" i="18"/>
  <c r="E68" i="18"/>
  <c r="E72" i="18"/>
  <c r="E76" i="18"/>
  <c r="E80" i="18"/>
  <c r="E84" i="18"/>
  <c r="E8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E13" i="18"/>
  <c r="E17" i="18"/>
  <c r="E21" i="18"/>
  <c r="E25" i="18"/>
  <c r="E29" i="18"/>
  <c r="E33" i="18"/>
  <c r="E37" i="18"/>
  <c r="E41" i="18"/>
  <c r="E45" i="18"/>
  <c r="E49" i="18"/>
  <c r="E53" i="18"/>
  <c r="E57" i="18"/>
  <c r="E61" i="18"/>
  <c r="E65" i="18"/>
  <c r="E69" i="18"/>
  <c r="E73" i="18"/>
  <c r="E77" i="18"/>
  <c r="E81" i="18"/>
  <c r="E85" i="18"/>
  <c r="F49" i="18"/>
  <c r="F81" i="18"/>
  <c r="F53" i="18"/>
  <c r="F85" i="18"/>
  <c r="F57" i="18"/>
  <c r="F61" i="18"/>
  <c r="F65" i="18"/>
  <c r="F69" i="18"/>
  <c r="F41" i="18"/>
  <c r="F45" i="18"/>
  <c r="F77" i="18"/>
  <c r="F73" i="18"/>
  <c r="M14" i="15"/>
  <c r="M15" i="15" s="1"/>
  <c r="I16" i="15"/>
  <c r="B15" i="16"/>
  <c r="F2" i="14"/>
  <c r="N2" i="14"/>
  <c r="I3" i="14"/>
  <c r="D4" i="14"/>
  <c r="L4" i="14"/>
  <c r="G5" i="14"/>
  <c r="O5" i="14"/>
  <c r="J6" i="14"/>
  <c r="E7" i="14"/>
  <c r="M7" i="14"/>
  <c r="H8" i="14"/>
  <c r="P8" i="14"/>
  <c r="K9" i="14"/>
  <c r="F10" i="14"/>
  <c r="N10" i="14"/>
  <c r="I11" i="14"/>
  <c r="D12" i="14"/>
  <c r="L12" i="14"/>
  <c r="G13" i="14"/>
  <c r="O13" i="14"/>
  <c r="G2" i="14"/>
  <c r="O2" i="14"/>
  <c r="J3" i="14"/>
  <c r="E4" i="14"/>
  <c r="M4" i="14"/>
  <c r="H5" i="14"/>
  <c r="P5" i="14"/>
  <c r="K6" i="14"/>
  <c r="F7" i="14"/>
  <c r="N7" i="14"/>
  <c r="I8" i="14"/>
  <c r="D9" i="14"/>
  <c r="L9" i="14"/>
  <c r="G10" i="14"/>
  <c r="O10" i="14"/>
  <c r="J11" i="14"/>
  <c r="E12" i="14"/>
  <c r="M12" i="14"/>
  <c r="H13" i="14"/>
  <c r="P13" i="14"/>
  <c r="H2" i="14"/>
  <c r="P2" i="14"/>
  <c r="K3" i="14"/>
  <c r="F4" i="14"/>
  <c r="N4" i="14"/>
  <c r="I5" i="14"/>
  <c r="D6" i="14"/>
  <c r="L6" i="14"/>
  <c r="G7" i="14"/>
  <c r="O7" i="14"/>
  <c r="J8" i="14"/>
  <c r="E9" i="14"/>
  <c r="M9" i="14"/>
  <c r="H10" i="14"/>
  <c r="P10" i="14"/>
  <c r="K11" i="14"/>
  <c r="F12" i="14"/>
  <c r="N12" i="14"/>
  <c r="I13" i="14"/>
  <c r="I2" i="14"/>
  <c r="D3" i="14"/>
  <c r="L3" i="14"/>
  <c r="G4" i="14"/>
  <c r="O4" i="14"/>
  <c r="J5" i="14"/>
  <c r="E6" i="14"/>
  <c r="M6" i="14"/>
  <c r="H7" i="14"/>
  <c r="P7" i="14"/>
  <c r="K8" i="14"/>
  <c r="F9" i="14"/>
  <c r="N9" i="14"/>
  <c r="I10" i="14"/>
  <c r="D11" i="14"/>
  <c r="L11" i="14"/>
  <c r="G12" i="14"/>
  <c r="O12" i="14"/>
  <c r="J13" i="14"/>
  <c r="K2" i="14"/>
  <c r="F3" i="14"/>
  <c r="N3" i="14"/>
  <c r="I4" i="14"/>
  <c r="D5" i="14"/>
  <c r="L5" i="14"/>
  <c r="G6" i="14"/>
  <c r="J2" i="14"/>
  <c r="E3" i="14"/>
  <c r="M3" i="14"/>
  <c r="H4" i="14"/>
  <c r="P4" i="14"/>
  <c r="K5" i="14"/>
  <c r="F6" i="14"/>
  <c r="N6" i="14"/>
  <c r="I7" i="14"/>
  <c r="D8" i="14"/>
  <c r="L8" i="14"/>
  <c r="G9" i="14"/>
  <c r="O9" i="14"/>
  <c r="J10" i="14"/>
  <c r="E11" i="14"/>
  <c r="M11" i="14"/>
  <c r="H12" i="14"/>
  <c r="P12" i="14"/>
  <c r="K13" i="14"/>
  <c r="M2" i="14"/>
  <c r="F5" i="14"/>
  <c r="J7" i="14"/>
  <c r="O8" i="14"/>
  <c r="L10" i="14"/>
  <c r="I12" i="14"/>
  <c r="N13" i="14"/>
  <c r="G3" i="14"/>
  <c r="M5" i="14"/>
  <c r="K7" i="14"/>
  <c r="H9" i="14"/>
  <c r="M10" i="14"/>
  <c r="J12" i="14"/>
  <c r="H3" i="14"/>
  <c r="N5" i="14"/>
  <c r="L7" i="14"/>
  <c r="I9" i="14"/>
  <c r="F11" i="14"/>
  <c r="K12" i="14"/>
  <c r="O3" i="14"/>
  <c r="H6" i="14"/>
  <c r="E8" i="14"/>
  <c r="J9" i="14"/>
  <c r="G11" i="14"/>
  <c r="D13" i="14"/>
  <c r="F13" i="14"/>
  <c r="E2" i="14"/>
  <c r="P6" i="14"/>
  <c r="E10" i="14"/>
  <c r="L2" i="14"/>
  <c r="D7" i="14"/>
  <c r="K10" i="14"/>
  <c r="M13" i="14"/>
  <c r="P3" i="14"/>
  <c r="I6" i="14"/>
  <c r="F8" i="14"/>
  <c r="P9" i="14"/>
  <c r="H11" i="14"/>
  <c r="E13" i="14"/>
  <c r="D2" i="14"/>
  <c r="J4" i="14"/>
  <c r="O6" i="14"/>
  <c r="G8" i="14"/>
  <c r="D10" i="14"/>
  <c r="N11" i="14"/>
  <c r="K4" i="14"/>
  <c r="M8" i="14"/>
  <c r="O11" i="14"/>
  <c r="L13" i="14"/>
  <c r="E5" i="14"/>
  <c r="N8" i="14"/>
  <c r="P11" i="14"/>
  <c r="O21" i="14"/>
  <c r="J30" i="14"/>
  <c r="D17" i="14"/>
  <c r="L17" i="14"/>
  <c r="G18" i="14"/>
  <c r="O18" i="14"/>
  <c r="J19" i="14"/>
  <c r="E20" i="14"/>
  <c r="M20" i="14"/>
  <c r="H21" i="14"/>
  <c r="P21" i="14"/>
  <c r="K22" i="14"/>
  <c r="F23" i="14"/>
  <c r="N23" i="14"/>
  <c r="I24" i="14"/>
  <c r="D25" i="14"/>
  <c r="L25" i="14"/>
  <c r="G26" i="14"/>
  <c r="O26" i="14"/>
  <c r="J27" i="14"/>
  <c r="E28" i="14"/>
  <c r="M28" i="14"/>
  <c r="H29" i="14"/>
  <c r="P29" i="14"/>
  <c r="K30" i="14"/>
  <c r="F31" i="14"/>
  <c r="N31" i="14"/>
  <c r="L27" i="14"/>
  <c r="J29" i="14"/>
  <c r="H31" i="14"/>
  <c r="L24" i="14"/>
  <c r="E27" i="14"/>
  <c r="K29" i="14"/>
  <c r="I31" i="14"/>
  <c r="K18" i="14"/>
  <c r="I20" i="14"/>
  <c r="G22" i="14"/>
  <c r="E24" i="14"/>
  <c r="P25" i="14"/>
  <c r="I28" i="14"/>
  <c r="J31" i="14"/>
  <c r="M21" i="14"/>
  <c r="F24" i="14"/>
  <c r="L26" i="14"/>
  <c r="H30" i="14"/>
  <c r="J25" i="14"/>
  <c r="P27" i="14"/>
  <c r="K17" i="14"/>
  <c r="J22" i="14"/>
  <c r="N26" i="14"/>
  <c r="M31" i="14"/>
  <c r="E17" i="14"/>
  <c r="M17" i="14"/>
  <c r="H18" i="14"/>
  <c r="P18" i="14"/>
  <c r="K19" i="14"/>
  <c r="F20" i="14"/>
  <c r="N20" i="14"/>
  <c r="I21" i="14"/>
  <c r="D22" i="14"/>
  <c r="L22" i="14"/>
  <c r="G23" i="14"/>
  <c r="O23" i="14"/>
  <c r="J24" i="14"/>
  <c r="E25" i="14"/>
  <c r="M25" i="14"/>
  <c r="H26" i="14"/>
  <c r="P26" i="14"/>
  <c r="K27" i="14"/>
  <c r="F28" i="14"/>
  <c r="N28" i="14"/>
  <c r="I29" i="14"/>
  <c r="D30" i="14"/>
  <c r="L30" i="14"/>
  <c r="G31" i="14"/>
  <c r="O31" i="14"/>
  <c r="I26" i="14"/>
  <c r="O28" i="14"/>
  <c r="M30" i="14"/>
  <c r="G25" i="14"/>
  <c r="H28" i="14"/>
  <c r="F30" i="14"/>
  <c r="H17" i="14"/>
  <c r="L21" i="14"/>
  <c r="M24" i="14"/>
  <c r="F27" i="14"/>
  <c r="L29" i="14"/>
  <c r="O19" i="14"/>
  <c r="K23" i="14"/>
  <c r="G27" i="14"/>
  <c r="P30" i="14"/>
  <c r="O24" i="14"/>
  <c r="K28" i="14"/>
  <c r="L20" i="14"/>
  <c r="K25" i="14"/>
  <c r="E31" i="14"/>
  <c r="F17" i="14"/>
  <c r="N17" i="14"/>
  <c r="I18" i="14"/>
  <c r="D19" i="14"/>
  <c r="L19" i="14"/>
  <c r="G20" i="14"/>
  <c r="O20" i="14"/>
  <c r="J21" i="14"/>
  <c r="E22" i="14"/>
  <c r="M22" i="14"/>
  <c r="H23" i="14"/>
  <c r="P23" i="14"/>
  <c r="K24" i="14"/>
  <c r="F25" i="14"/>
  <c r="N25" i="14"/>
  <c r="D27" i="14"/>
  <c r="G28" i="14"/>
  <c r="E30" i="14"/>
  <c r="P31" i="14"/>
  <c r="O25" i="14"/>
  <c r="M27" i="14"/>
  <c r="P28" i="14"/>
  <c r="P17" i="14"/>
  <c r="D21" i="14"/>
  <c r="O22" i="14"/>
  <c r="H25" i="14"/>
  <c r="N27" i="14"/>
  <c r="G30" i="14"/>
  <c r="E21" i="14"/>
  <c r="P22" i="14"/>
  <c r="D26" i="14"/>
  <c r="J28" i="14"/>
  <c r="K31" i="14"/>
  <c r="G24" i="14"/>
  <c r="F29" i="14"/>
  <c r="F18" i="14"/>
  <c r="E23" i="14"/>
  <c r="I27" i="14"/>
  <c r="G17" i="14"/>
  <c r="O17" i="14"/>
  <c r="J18" i="14"/>
  <c r="E19" i="14"/>
  <c r="M19" i="14"/>
  <c r="H20" i="14"/>
  <c r="P20" i="14"/>
  <c r="K21" i="14"/>
  <c r="F22" i="14"/>
  <c r="N22" i="14"/>
  <c r="I23" i="14"/>
  <c r="D24" i="14"/>
  <c r="J26" i="14"/>
  <c r="N30" i="14"/>
  <c r="F19" i="14"/>
  <c r="J23" i="14"/>
  <c r="K26" i="14"/>
  <c r="D29" i="14"/>
  <c r="O30" i="14"/>
  <c r="G19" i="14"/>
  <c r="I25" i="14"/>
  <c r="E29" i="14"/>
  <c r="L23" i="14"/>
  <c r="M26" i="14"/>
  <c r="I30" i="14"/>
  <c r="I19" i="14"/>
  <c r="H24" i="14"/>
  <c r="L28" i="14"/>
  <c r="N19" i="14"/>
  <c r="O27" i="14"/>
  <c r="E26" i="14"/>
  <c r="D31" i="14"/>
  <c r="D20" i="14"/>
  <c r="M23" i="14"/>
  <c r="D28" i="14"/>
  <c r="I17" i="14"/>
  <c r="D18" i="14"/>
  <c r="L18" i="14"/>
  <c r="J20" i="14"/>
  <c r="H22" i="14"/>
  <c r="N24" i="14"/>
  <c r="M29" i="14"/>
  <c r="H27" i="14"/>
  <c r="N29" i="14"/>
  <c r="N18" i="14"/>
  <c r="P24" i="14"/>
  <c r="G29" i="14"/>
  <c r="J17" i="14"/>
  <c r="E18" i="14"/>
  <c r="M18" i="14"/>
  <c r="H19" i="14"/>
  <c r="P19" i="14"/>
  <c r="K20" i="14"/>
  <c r="F21" i="14"/>
  <c r="N21" i="14"/>
  <c r="I22" i="14"/>
  <c r="D23" i="14"/>
  <c r="L31" i="14"/>
  <c r="G21" i="14"/>
  <c r="F26" i="14"/>
  <c r="O29" i="14"/>
  <c r="C4" i="17"/>
  <c r="C6" i="17" s="1"/>
  <c r="C19" i="17"/>
  <c r="B55" i="15" a="1"/>
  <c r="C1" i="17"/>
  <c r="B16" i="16"/>
  <c r="F17" i="15"/>
  <c r="I17" i="15" l="1"/>
  <c r="C55" i="15"/>
  <c r="C56" i="15"/>
  <c r="C57" i="15"/>
  <c r="B65" i="15"/>
  <c r="B67" i="15"/>
  <c r="C65" i="15"/>
  <c r="C67" i="15"/>
  <c r="C68" i="15"/>
  <c r="C73" i="15"/>
  <c r="B62" i="15"/>
  <c r="B55" i="15"/>
  <c r="C71" i="15"/>
  <c r="C72" i="15"/>
  <c r="B58" i="15"/>
  <c r="C58" i="15"/>
  <c r="B63" i="15"/>
  <c r="B60" i="15"/>
  <c r="B57" i="15"/>
  <c r="B70" i="15"/>
  <c r="C62" i="15"/>
  <c r="B71" i="15"/>
  <c r="B64" i="15"/>
  <c r="B61" i="15"/>
  <c r="B56" i="15"/>
  <c r="C70" i="15"/>
  <c r="C60" i="15"/>
  <c r="B73" i="15"/>
  <c r="C64" i="15"/>
  <c r="C66" i="15"/>
  <c r="B68" i="15"/>
  <c r="B69" i="15"/>
  <c r="B72" i="15"/>
  <c r="B59" i="15"/>
  <c r="C59" i="15"/>
  <c r="C61" i="15"/>
  <c r="B66" i="15"/>
  <c r="C63" i="15"/>
  <c r="C69" i="15"/>
  <c r="F18" i="15"/>
  <c r="B17" i="16"/>
  <c r="I18" i="15" l="1"/>
  <c r="B18" i="16"/>
  <c r="F19" i="15"/>
  <c r="I19" i="15" l="1"/>
  <c r="B19" i="16"/>
  <c r="F20" i="15"/>
  <c r="I20" i="15" l="1"/>
  <c r="B20" i="16"/>
  <c r="F21" i="15"/>
  <c r="I21" i="15" l="1"/>
  <c r="F22" i="15"/>
  <c r="B21" i="16"/>
  <c r="I22" i="15" l="1"/>
  <c r="F23" i="15"/>
  <c r="B22" i="16"/>
  <c r="I23" i="15" l="1"/>
  <c r="B23" i="16"/>
  <c r="F24" i="15"/>
  <c r="I24" i="15" l="1"/>
  <c r="F25" i="15"/>
  <c r="B24" i="16"/>
  <c r="I25" i="15" l="1"/>
  <c r="F26" i="15"/>
  <c r="B25" i="16"/>
  <c r="I26" i="15" l="1"/>
  <c r="B26" i="16"/>
  <c r="F27" i="15"/>
  <c r="I27" i="15" l="1"/>
  <c r="F28" i="15"/>
  <c r="B27" i="16"/>
  <c r="I28" i="15" l="1"/>
  <c r="F29" i="15"/>
  <c r="B28" i="16"/>
  <c r="I29" i="15" l="1"/>
  <c r="B29" i="16"/>
  <c r="F30" i="15"/>
  <c r="B30" i="16"/>
  <c r="I30" i="15" l="1"/>
  <c r="J4" i="15"/>
  <c r="F33" i="15" a="1"/>
  <c r="J3" i="15"/>
  <c r="J6" i="15"/>
  <c r="B31" i="16"/>
  <c r="J2" i="15"/>
  <c r="J34" i="15"/>
  <c r="F33" i="15" l="1"/>
  <c r="F37" i="15"/>
  <c r="F41" i="15"/>
  <c r="F45" i="15"/>
  <c r="F49" i="15"/>
  <c r="F53" i="15"/>
  <c r="F57" i="15"/>
  <c r="F61" i="15"/>
  <c r="F65" i="15"/>
  <c r="F69" i="15"/>
  <c r="F73" i="15"/>
  <c r="F77" i="15"/>
  <c r="F81" i="15"/>
  <c r="F85" i="15"/>
  <c r="F89" i="15"/>
  <c r="F93" i="15"/>
  <c r="G37" i="15"/>
  <c r="G41" i="15"/>
  <c r="G49" i="15"/>
  <c r="G53" i="15"/>
  <c r="G57" i="15"/>
  <c r="G61" i="15"/>
  <c r="G69" i="15"/>
  <c r="G73" i="15"/>
  <c r="G81" i="15"/>
  <c r="G85" i="15"/>
  <c r="G93" i="15"/>
  <c r="F34" i="15"/>
  <c r="F42" i="15"/>
  <c r="F46" i="15"/>
  <c r="F54" i="15"/>
  <c r="F62" i="15"/>
  <c r="F70" i="15"/>
  <c r="F78" i="15"/>
  <c r="F86" i="15"/>
  <c r="G71" i="15"/>
  <c r="G91" i="15"/>
  <c r="F44" i="15"/>
  <c r="F76" i="15"/>
  <c r="G48" i="15"/>
  <c r="G60" i="15"/>
  <c r="G76" i="15"/>
  <c r="G33" i="15"/>
  <c r="G45" i="15"/>
  <c r="G65" i="15"/>
  <c r="G77" i="15"/>
  <c r="G89" i="15"/>
  <c r="F38" i="15"/>
  <c r="F50" i="15"/>
  <c r="F58" i="15"/>
  <c r="F66" i="15"/>
  <c r="F74" i="15"/>
  <c r="F82" i="15"/>
  <c r="F90" i="15"/>
  <c r="G67" i="15"/>
  <c r="G87" i="15"/>
  <c r="F48" i="15"/>
  <c r="F68" i="15"/>
  <c r="F92" i="15"/>
  <c r="G44" i="15"/>
  <c r="G56" i="15"/>
  <c r="G72" i="15"/>
  <c r="G84" i="15"/>
  <c r="G34" i="15"/>
  <c r="G38" i="15"/>
  <c r="G42" i="15"/>
  <c r="G46" i="15"/>
  <c r="G50" i="15"/>
  <c r="G54" i="15"/>
  <c r="G58" i="15"/>
  <c r="G62" i="15"/>
  <c r="G66" i="15"/>
  <c r="G70" i="15"/>
  <c r="G74" i="15"/>
  <c r="G78" i="15"/>
  <c r="G82" i="15"/>
  <c r="G86" i="15"/>
  <c r="G90" i="15"/>
  <c r="G83" i="15"/>
  <c r="F36" i="15"/>
  <c r="F60" i="15"/>
  <c r="F80" i="15"/>
  <c r="F35" i="15"/>
  <c r="F39" i="15"/>
  <c r="F43" i="15"/>
  <c r="F47" i="15"/>
  <c r="F51" i="15"/>
  <c r="F55" i="15"/>
  <c r="F59" i="15"/>
  <c r="F63" i="15"/>
  <c r="F67" i="15"/>
  <c r="F71" i="15"/>
  <c r="F75" i="15"/>
  <c r="F79" i="15"/>
  <c r="F83" i="15"/>
  <c r="F87" i="15"/>
  <c r="F91" i="15"/>
  <c r="G47" i="15"/>
  <c r="G59" i="15"/>
  <c r="G75" i="15"/>
  <c r="F40" i="15"/>
  <c r="F56" i="15"/>
  <c r="F72" i="15"/>
  <c r="F88" i="15"/>
  <c r="G36" i="15"/>
  <c r="G52" i="15"/>
  <c r="G64" i="15"/>
  <c r="G80" i="15"/>
  <c r="G88" i="15"/>
  <c r="G35" i="15"/>
  <c r="G39" i="15"/>
  <c r="G32" i="15" s="1"/>
  <c r="J5" i="15" s="1"/>
  <c r="G43" i="15"/>
  <c r="G51" i="15"/>
  <c r="G55" i="15"/>
  <c r="G63" i="15"/>
  <c r="G79" i="15"/>
  <c r="F52" i="15"/>
  <c r="F64" i="15"/>
  <c r="F84" i="15"/>
  <c r="G40" i="15"/>
  <c r="G68" i="15"/>
  <c r="G92" i="15"/>
  <c r="B32" i="16"/>
  <c r="B33" i="16"/>
  <c r="B34" i="16"/>
  <c r="B35" i="16" s="1"/>
  <c r="F45" i="16" s="1" a="1"/>
  <c r="F14" i="16" a="1"/>
  <c r="G45" i="16" l="1"/>
  <c r="G49" i="16"/>
  <c r="G53" i="16"/>
  <c r="G57" i="16"/>
  <c r="G61" i="16"/>
  <c r="G65" i="16"/>
  <c r="G69" i="16"/>
  <c r="G73" i="16"/>
  <c r="G77" i="16"/>
  <c r="F46" i="16"/>
  <c r="F50" i="16"/>
  <c r="F54" i="16"/>
  <c r="F58" i="16"/>
  <c r="F62" i="16"/>
  <c r="F66" i="16"/>
  <c r="F70" i="16"/>
  <c r="F74" i="16"/>
  <c r="F78" i="16"/>
  <c r="G48" i="16"/>
  <c r="G52" i="16"/>
  <c r="G56" i="16"/>
  <c r="G60" i="16"/>
  <c r="G64" i="16"/>
  <c r="G68" i="16"/>
  <c r="G72" i="16"/>
  <c r="G76" i="16"/>
  <c r="F45" i="16"/>
  <c r="F57" i="16"/>
  <c r="F61" i="16"/>
  <c r="F65" i="16"/>
  <c r="F69" i="16"/>
  <c r="F73" i="16"/>
  <c r="F77" i="16"/>
  <c r="F53" i="16"/>
  <c r="G46" i="16"/>
  <c r="G50" i="16"/>
  <c r="G54" i="16"/>
  <c r="G58" i="16"/>
  <c r="G62" i="16"/>
  <c r="G66" i="16"/>
  <c r="G70" i="16"/>
  <c r="G74" i="16"/>
  <c r="G78" i="16"/>
  <c r="F47" i="16"/>
  <c r="F51" i="16"/>
  <c r="F55" i="16"/>
  <c r="F59" i="16"/>
  <c r="F63" i="16"/>
  <c r="F67" i="16"/>
  <c r="F71" i="16"/>
  <c r="F75" i="16"/>
  <c r="F79" i="16"/>
  <c r="G47" i="16"/>
  <c r="G51" i="16"/>
  <c r="G55" i="16"/>
  <c r="G59" i="16"/>
  <c r="G63" i="16"/>
  <c r="G67" i="16"/>
  <c r="G71" i="16"/>
  <c r="G75" i="16"/>
  <c r="G79" i="16"/>
  <c r="F48" i="16"/>
  <c r="F52" i="16"/>
  <c r="F56" i="16"/>
  <c r="F60" i="16"/>
  <c r="F64" i="16"/>
  <c r="F68" i="16"/>
  <c r="F72" i="16"/>
  <c r="F76" i="16"/>
  <c r="F49" i="16"/>
  <c r="F19" i="16"/>
  <c r="F23" i="16"/>
  <c r="G24" i="16"/>
  <c r="F18" i="16"/>
  <c r="G38" i="16"/>
  <c r="F24" i="16"/>
  <c r="F22" i="16"/>
  <c r="F21" i="16"/>
  <c r="F28" i="16"/>
  <c r="F26" i="16"/>
  <c r="F42" i="16"/>
  <c r="F15" i="16"/>
  <c r="F34" i="16"/>
  <c r="G40" i="16"/>
  <c r="G27" i="16"/>
  <c r="F14" i="16"/>
  <c r="G28" i="16"/>
  <c r="G32" i="16"/>
  <c r="G21" i="16"/>
  <c r="F35" i="16"/>
  <c r="F37" i="16"/>
  <c r="G23" i="16"/>
  <c r="F27" i="16"/>
  <c r="F36" i="16"/>
  <c r="G16" i="16"/>
  <c r="G22" i="16"/>
  <c r="G20" i="16"/>
  <c r="F25" i="16"/>
  <c r="G29" i="16"/>
  <c r="G39" i="16"/>
  <c r="G30" i="16"/>
  <c r="F17" i="16"/>
  <c r="G35" i="16"/>
  <c r="F31" i="16"/>
  <c r="F39" i="16"/>
  <c r="G36" i="16"/>
  <c r="F29" i="16"/>
  <c r="G34" i="16"/>
  <c r="F33" i="16"/>
  <c r="F16" i="16"/>
  <c r="G42" i="16"/>
  <c r="G41" i="16"/>
  <c r="F30" i="16"/>
  <c r="G26" i="16"/>
  <c r="G33" i="16"/>
  <c r="G37" i="16"/>
  <c r="G18" i="16"/>
  <c r="G31" i="16"/>
  <c r="F41" i="16"/>
  <c r="F40" i="16"/>
  <c r="F20" i="16"/>
  <c r="G15" i="16"/>
  <c r="F38" i="16"/>
  <c r="G14" i="16"/>
  <c r="G25" i="16"/>
  <c r="G19" i="16"/>
  <c r="F32" i="16"/>
  <c r="G17" i="16"/>
  <c r="G44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D2" authorId="0" shapeId="0" xr:uid="{00000000-0006-0000-0100-000001000000}">
      <text>
        <r>
          <rPr>
            <b/>
            <sz val="9"/>
            <color indexed="16"/>
            <rFont val="Tahoma"/>
            <family val="2"/>
          </rPr>
          <t>ExcelApi:
The object with name 'Highlander.Configuration.DateRules.BusinessCenterDateRules' is not in the local cache.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34" authorId="0" shapeId="0" xr:uid="{00000000-0006-0000-03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  <comment ref="B55" authorId="0" shapeId="0" xr:uid="{00000000-0006-0000-0300-000003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3" authorId="0" shapeId="0" xr:uid="{00000000-0006-0000-0400-000002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F46" authorId="0" shapeId="0" xr:uid="{00000000-0006-0000-06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</author>
  </authors>
  <commentList>
    <comment ref="E42" authorId="0" shapeId="0" xr:uid="{00000000-0006-0000-0700-000001000000}">
      <text>
        <r>
          <rPr>
            <b/>
            <sz val="9"/>
            <color indexed="16"/>
            <rFont val="Tahoma"/>
            <family val="2"/>
          </rPr>
          <t>ExcelApi:
Object reference not set to an instance of an object.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wap" type="4" refreshedVersion="0" background="1">
    <webPr xml="1" sourceData="1" url="C:\swap.xml" htmlTables="1" htmlFormat="all"/>
  </connection>
</connections>
</file>

<file path=xl/sharedStrings.xml><?xml version="1.0" encoding="utf-8"?>
<sst xmlns="http://schemas.openxmlformats.org/spreadsheetml/2006/main" count="526" uniqueCount="215">
  <si>
    <t>AUD</t>
  </si>
  <si>
    <t>Rate</t>
  </si>
  <si>
    <t>6m</t>
  </si>
  <si>
    <t>FOLLOWING</t>
  </si>
  <si>
    <t>NONE</t>
  </si>
  <si>
    <t>ACT/360</t>
  </si>
  <si>
    <t>ValuationDate</t>
  </si>
  <si>
    <t>AUSY</t>
  </si>
  <si>
    <t>AUSY-GBLO</t>
  </si>
  <si>
    <t>Current version:</t>
  </si>
  <si>
    <t>MODFOLLOWING</t>
  </si>
  <si>
    <t>Type</t>
  </si>
  <si>
    <t>Currency</t>
  </si>
  <si>
    <t>Sydney</t>
  </si>
  <si>
    <t>Floating</t>
  </si>
  <si>
    <t>Adjusted</t>
  </si>
  <si>
    <t>ACT/365.FIXED</t>
  </si>
  <si>
    <t>PRECEDING</t>
  </si>
  <si>
    <t>Spread</t>
  </si>
  <si>
    <t>RollConvention</t>
  </si>
  <si>
    <t>GetCurves</t>
  </si>
  <si>
    <t>PricingStructureType</t>
  </si>
  <si>
    <t>RateCurve</t>
  </si>
  <si>
    <t>CurveList</t>
  </si>
  <si>
    <t>Version</t>
  </si>
  <si>
    <t>Properties</t>
  </si>
  <si>
    <t>Notional</t>
  </si>
  <si>
    <t>Payer</t>
  </si>
  <si>
    <t>Receiver</t>
  </si>
  <si>
    <t>NotionalAmount</t>
  </si>
  <si>
    <t>EffectiveDate</t>
  </si>
  <si>
    <t>MaturityDate</t>
  </si>
  <si>
    <t>FirstRegularPeriodStartDate</t>
  </si>
  <si>
    <t>AdjustedType</t>
  </si>
  <si>
    <t>LegType</t>
  </si>
  <si>
    <t>CouponOrLastResetRate</t>
  </si>
  <si>
    <t>FloatingRateSpread</t>
  </si>
  <si>
    <t>PaymentFrequency</t>
  </si>
  <si>
    <t>DayCount</t>
  </si>
  <si>
    <t>PaymentCalendar</t>
  </si>
  <si>
    <t>PaymentBusinessDayAdjustments</t>
  </si>
  <si>
    <t>FixingCalendar</t>
  </si>
  <si>
    <t>FixingBusinessDayAdjustments</t>
  </si>
  <si>
    <t>DiscountCurve</t>
  </si>
  <si>
    <t>ForecastCurve</t>
  </si>
  <si>
    <t>DiscountingType</t>
  </si>
  <si>
    <t>Standard</t>
  </si>
  <si>
    <t>NAB</t>
  </si>
  <si>
    <t>ABN</t>
  </si>
  <si>
    <t>LastRegularPeriodEndDate</t>
  </si>
  <si>
    <t>CouponPaymentType</t>
  </si>
  <si>
    <t>InArrears</t>
  </si>
  <si>
    <t>FirstCouponType</t>
  </si>
  <si>
    <t>Full</t>
  </si>
  <si>
    <t>ForecastIndexName</t>
  </si>
  <si>
    <t>AUD-BBR-BBSW-6M</t>
  </si>
  <si>
    <t>BaseParty</t>
  </si>
  <si>
    <t>StartDate</t>
  </si>
  <si>
    <t>PayDate</t>
  </si>
  <si>
    <t>Days</t>
  </si>
  <si>
    <t>DF</t>
  </si>
  <si>
    <t>Curve Characteristics</t>
  </si>
  <si>
    <t>BuildDateTime</t>
  </si>
  <si>
    <t>MarketName</t>
  </si>
  <si>
    <t>IndexName</t>
  </si>
  <si>
    <t>AUD-LIBOR-BBA</t>
  </si>
  <si>
    <t>IndexTenor</t>
  </si>
  <si>
    <t>3M</t>
  </si>
  <si>
    <t>CurveName</t>
  </si>
  <si>
    <t>Identifier</t>
  </si>
  <si>
    <t>Algorithm</t>
  </si>
  <si>
    <t>FastLinearZero</t>
  </si>
  <si>
    <t>IR Term Structure</t>
  </si>
  <si>
    <t>Instrument</t>
  </si>
  <si>
    <t>AdjRate</t>
  </si>
  <si>
    <t>Additional</t>
  </si>
  <si>
    <t>AUD-Deposit-1D</t>
  </si>
  <si>
    <t>AUD-Deposit-1W</t>
  </si>
  <si>
    <t>AUD-Deposit-2W</t>
  </si>
  <si>
    <t>AUD-Deposit-1M</t>
  </si>
  <si>
    <t>AUD-Deposit-2M</t>
  </si>
  <si>
    <t>AUD-Deposit-3M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</si>
  <si>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</si>
  <si>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</si>
  <si>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</si>
  <si>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</si>
  <si>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</si>
  <si>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</si>
  <si>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</si>
  <si>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</si>
  <si>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</si>
  <si>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</si>
  <si>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Continuous</t>
  </si>
  <si>
    <t>FlatForward</t>
  </si>
  <si>
    <t>LinearZero</t>
  </si>
  <si>
    <t>Base algorithm</t>
  </si>
  <si>
    <t>COE</t>
  </si>
  <si>
    <t>SimpleGapStep</t>
  </si>
  <si>
    <t>Daily</t>
  </si>
  <si>
    <t>Quarterly</t>
  </si>
  <si>
    <t>Semi</t>
  </si>
  <si>
    <t>Annual</t>
  </si>
  <si>
    <t>AccrualFactor</t>
  </si>
  <si>
    <t>DeltaR</t>
  </si>
  <si>
    <t>NPV</t>
  </si>
  <si>
    <t>ImpliedQuote</t>
  </si>
  <si>
    <t>QR_LIVE</t>
  </si>
  <si>
    <t>Roll Dates</t>
  </si>
  <si>
    <t>Initial Notional</t>
  </si>
  <si>
    <t>TRADE</t>
  </si>
  <si>
    <t>Notionals</t>
  </si>
  <si>
    <t>VALUATION METRICS</t>
  </si>
  <si>
    <t>VALUATION SET</t>
  </si>
  <si>
    <t>BaseDate</t>
  </si>
  <si>
    <t>ReportingCurrency</t>
  </si>
  <si>
    <t>Ammotisation</t>
  </si>
  <si>
    <t>DeltaBucketTotal</t>
  </si>
  <si>
    <t>RECEIVE FIXED LEG</t>
  </si>
  <si>
    <t>PAY FLOATING LEG</t>
  </si>
  <si>
    <t>Strikes</t>
  </si>
  <si>
    <t>Strike</t>
  </si>
  <si>
    <t>PaymentCenters</t>
  </si>
  <si>
    <t>PaymentConvention</t>
  </si>
  <si>
    <t>ResetCenters</t>
  </si>
  <si>
    <t>ResetConvention</t>
  </si>
  <si>
    <t>ResetPeriod</t>
  </si>
  <si>
    <t>FloatingRateIndex</t>
  </si>
  <si>
    <t>RateVolatilityMatrix</t>
  </si>
  <si>
    <t>Expiry</t>
  </si>
  <si>
    <t>1D</t>
  </si>
  <si>
    <t>1W</t>
  </si>
  <si>
    <t>1M</t>
  </si>
  <si>
    <t>MarketDate</t>
  </si>
  <si>
    <t>2M</t>
  </si>
  <si>
    <t>AUD-Xibor-3M</t>
  </si>
  <si>
    <t>Source</t>
  </si>
  <si>
    <t>SydneySwapDesk</t>
  </si>
  <si>
    <t>6M</t>
  </si>
  <si>
    <t>1Y</t>
  </si>
  <si>
    <t>2Y</t>
  </si>
  <si>
    <t>Linear</t>
  </si>
  <si>
    <t>3Y</t>
  </si>
  <si>
    <t>5Y</t>
  </si>
  <si>
    <t>QuoteUnits</t>
  </si>
  <si>
    <t>LogNormalVolatility</t>
  </si>
  <si>
    <t>7Y</t>
  </si>
  <si>
    <t>InformationSource</t>
  </si>
  <si>
    <t>SwapDesk</t>
  </si>
  <si>
    <t>10Y</t>
  </si>
  <si>
    <t>MeasureType</t>
  </si>
  <si>
    <t>Volatility</t>
  </si>
  <si>
    <t>StrikeQuoteUnits</t>
  </si>
  <si>
    <t>QuotationSide</t>
  </si>
  <si>
    <t>Mid</t>
  </si>
  <si>
    <t>Timing</t>
  </si>
  <si>
    <t>Close</t>
  </si>
  <si>
    <t>BusinessCenter</t>
  </si>
  <si>
    <t>ExpiryTime</t>
  </si>
  <si>
    <t>Time</t>
  </si>
  <si>
    <t>RiskName</t>
  </si>
  <si>
    <t>ResetRate2</t>
  </si>
  <si>
    <t>ResetRate1</t>
  </si>
  <si>
    <t>RESET RATES</t>
  </si>
  <si>
    <t>CAP</t>
  </si>
  <si>
    <t>Term</t>
  </si>
  <si>
    <t>Effective Date</t>
  </si>
  <si>
    <t>RawValue</t>
  </si>
  <si>
    <t>ExpectedValue</t>
  </si>
  <si>
    <t>Delta0</t>
  </si>
  <si>
    <t>Gamma0</t>
  </si>
  <si>
    <t>Theta0</t>
  </si>
  <si>
    <t>Vega0</t>
  </si>
  <si>
    <t>Include First</t>
  </si>
  <si>
    <t>AssetId</t>
  </si>
  <si>
    <t>IRSwap-001</t>
  </si>
  <si>
    <t>Filename</t>
  </si>
  <si>
    <t>LIVE</t>
  </si>
  <si>
    <t>OptimizeBuild</t>
  </si>
  <si>
    <t>Function</t>
  </si>
  <si>
    <t>Market</t>
  </si>
  <si>
    <t>Market.QR_LIVE.RateCurve.AUD-BBR-BBSW-3M</t>
  </si>
  <si>
    <t>AUD-BBR-BBSW</t>
  </si>
  <si>
    <t>GeneratePrincipalExchanges</t>
  </si>
  <si>
    <t>FixingDate</t>
  </si>
  <si>
    <t>EndDate</t>
  </si>
  <si>
    <t>FV</t>
  </si>
  <si>
    <t>PV</t>
  </si>
  <si>
    <t>TRADE Terms:</t>
  </si>
  <si>
    <t>TradeId</t>
  </si>
  <si>
    <t>TradeDate</t>
  </si>
  <si>
    <t>Party1</t>
  </si>
  <si>
    <t>CBA</t>
  </si>
  <si>
    <t>Party2</t>
  </si>
  <si>
    <t>aw001</t>
  </si>
  <si>
    <t>IsDiscounted</t>
  </si>
  <si>
    <t>PROPERTIES</t>
  </si>
  <si>
    <t>BusinessDayConvention</t>
  </si>
  <si>
    <t>BusinessCentersAsString</t>
  </si>
  <si>
    <t>CurveToPerturb</t>
  </si>
  <si>
    <t>FixedLegDayCount</t>
  </si>
  <si>
    <t>FloatingLegDayCount</t>
  </si>
  <si>
    <t>The directory requires access rights.</t>
  </si>
  <si>
    <t>REST RATES</t>
  </si>
  <si>
    <t>SWAP</t>
  </si>
  <si>
    <t>Backward Roll</t>
  </si>
  <si>
    <t>FloatingFrequency</t>
  </si>
  <si>
    <t>FixedFrequency</t>
  </si>
  <si>
    <t>IRSwap-002</t>
  </si>
  <si>
    <t>Market.LIVE.RateCurve.3M-AUD-LIBOR-BBA-3M</t>
  </si>
  <si>
    <t>VolatilitySurface</t>
  </si>
  <si>
    <t>Market.QR_LIVE.RateVolatilityMatrix.AUD-Xibor-3M</t>
  </si>
  <si>
    <t>IsCap</t>
  </si>
  <si>
    <t>IRCap-001</t>
  </si>
  <si>
    <t>Premium</t>
  </si>
  <si>
    <t>C:\_qds\swap.xml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</si>
</sst>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0000"/>
    <numFmt numFmtId="166" formatCode="0.0000000"/>
    <numFmt numFmtId="167" formatCode="0.0000%"/>
    <numFmt numFmtId="168" formatCode="d/mm/yyyy;@"/>
    <numFmt numFmtId="169" formatCode="0.000%"/>
    <numFmt numFmtId="170" formatCode="dd/mm/yyyy;@"/>
    <numFmt numFmtId="171" formatCode="&quot;$&quot;#,##0\ ;\(&quot;$&quot;#,##0\)"/>
    <numFmt numFmtId="172" formatCode="0.00_)"/>
    <numFmt numFmtId="173" formatCode="#,##0.0;#,##0.0"/>
    <numFmt numFmtId="174" formatCode="\+#,##0.00;\-#,##0.00"/>
    <numFmt numFmtId="175" formatCode="0.0"/>
    <numFmt numFmtId="176" formatCode="hh:mm:ss;@"/>
    <numFmt numFmtId="177" formatCode="0.0%"/>
    <numFmt numFmtId="178" formatCode="dd/mm/yy;@"/>
    <numFmt numFmtId="179" formatCode="#,##0_ ;[Red]\-#,##0\ "/>
    <numFmt numFmtId="180" formatCode="_-* #,##0_-;\-* #,##0_-;_-* &quot;-&quot;??_-;_-@_-"/>
    <numFmt numFmtId="181" formatCode="#,##0.00000_ ;[Red]\-#,##0.00000\ "/>
  </numFmts>
  <fonts count="4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i/>
      <sz val="10"/>
      <name val="Arial"/>
      <family val="2"/>
    </font>
    <font>
      <b/>
      <sz val="8"/>
      <color indexed="9"/>
      <name val="Verdana"/>
      <family val="2"/>
    </font>
    <font>
      <b/>
      <sz val="8"/>
      <color indexed="9"/>
      <name val="Times New Roman"/>
      <family val="1"/>
    </font>
    <font>
      <sz val="8"/>
      <name val="Verdana"/>
      <family val="2"/>
    </font>
    <font>
      <b/>
      <i/>
      <sz val="8"/>
      <color indexed="9"/>
      <name val="Verdana"/>
      <family val="2"/>
    </font>
    <font>
      <sz val="8"/>
      <name val="Arial"/>
      <family val="2"/>
    </font>
    <font>
      <b/>
      <sz val="9"/>
      <color indexed="16"/>
      <name val="Tahoma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u/>
      <sz val="10"/>
      <color indexed="12"/>
      <name val="Arial"/>
      <family val="2"/>
    </font>
    <font>
      <sz val="10"/>
      <color rgb="FFFF0000"/>
      <name val="Arial"/>
      <family val="2"/>
    </font>
    <font>
      <sz val="10"/>
      <name val="Arial"/>
    </font>
    <font>
      <sz val="10"/>
      <name val="Times New Roman"/>
      <family val="1"/>
    </font>
    <font>
      <sz val="10"/>
      <color theme="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14"/>
      </right>
      <top style="medium">
        <color indexed="14"/>
      </top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</borders>
  <cellStyleXfs count="68">
    <xf numFmtId="0" fontId="0" fillId="0" borderId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9" fontId="8" fillId="0" borderId="0" applyFont="0" applyFill="0" applyBorder="0" applyAlignment="0" applyProtection="0"/>
    <xf numFmtId="0" fontId="10" fillId="4" borderId="0"/>
    <xf numFmtId="9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20" fillId="17" borderId="0" applyAlignment="0"/>
    <xf numFmtId="3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0" fontId="21" fillId="18" borderId="0" applyNumberFormat="0" applyBorder="0">
      <alignment horizontal="right" vertical="center"/>
    </xf>
    <xf numFmtId="19" fontId="21" fillId="18" borderId="6" applyNumberFormat="0" applyBorder="0">
      <alignment horizontal="left" vertical="center"/>
    </xf>
    <xf numFmtId="2" fontId="22" fillId="19" borderId="0">
      <alignment horizontal="center" vertical="center"/>
    </xf>
    <xf numFmtId="2" fontId="22" fillId="19" borderId="5" applyBorder="0">
      <alignment horizontal="left" vertical="center"/>
    </xf>
    <xf numFmtId="0" fontId="21" fillId="18" borderId="0">
      <alignment horizontal="right" vertical="center"/>
    </xf>
    <xf numFmtId="19" fontId="23" fillId="18" borderId="23" applyNumberFormat="0" applyBorder="0">
      <alignment horizontal="left" vertical="center" indent="1"/>
    </xf>
    <xf numFmtId="2" fontId="24" fillId="19" borderId="26" applyBorder="0">
      <alignment horizontal="left" vertical="center" indent="1"/>
    </xf>
    <xf numFmtId="2" fontId="24" fillId="19" borderId="10" applyBorder="0">
      <alignment horizontal="center" vertical="center"/>
    </xf>
    <xf numFmtId="2" fontId="10" fillId="20" borderId="27" applyBorder="0">
      <alignment horizontal="left" vertical="center" indent="1"/>
    </xf>
    <xf numFmtId="0" fontId="10" fillId="20" borderId="0">
      <alignment horizontal="right" vertical="center"/>
    </xf>
    <xf numFmtId="2" fontId="10" fillId="20" borderId="6" applyNumberFormat="0" applyBorder="0">
      <alignment horizontal="right" vertical="center"/>
    </xf>
    <xf numFmtId="2" fontId="25" fillId="21" borderId="23" applyBorder="0">
      <alignment horizontal="left" vertical="center" indent="1"/>
    </xf>
    <xf numFmtId="2" fontId="25" fillId="21" borderId="0">
      <alignment horizontal="right" vertical="center"/>
    </xf>
    <xf numFmtId="2" fontId="25" fillId="21" borderId="5" applyBorder="0">
      <alignment horizontal="left" vertical="center"/>
    </xf>
    <xf numFmtId="2" fontId="25" fillId="21" borderId="9" applyBorder="0">
      <alignment horizontal="center" vertical="center"/>
    </xf>
    <xf numFmtId="19" fontId="23" fillId="22" borderId="28" applyNumberFormat="0" applyBorder="0">
      <alignment horizontal="left" vertical="center"/>
    </xf>
    <xf numFmtId="15" fontId="23" fillId="22" borderId="10" applyNumberFormat="0" applyBorder="0">
      <alignment horizontal="right" vertical="center"/>
    </xf>
    <xf numFmtId="19" fontId="23" fillId="22" borderId="1" applyNumberFormat="0" applyBorder="0">
      <alignment horizontal="right" vertical="center"/>
    </xf>
    <xf numFmtId="2" fontId="24" fillId="23" borderId="29" applyBorder="0">
      <alignment horizontal="left" vertical="center" indent="1"/>
    </xf>
    <xf numFmtId="2" fontId="24" fillId="23" borderId="5" applyNumberFormat="0">
      <alignment horizontal="center" vertical="center"/>
    </xf>
    <xf numFmtId="2" fontId="24" fillId="23" borderId="5" applyNumberFormat="0" applyBorder="0">
      <alignment horizontal="left" vertical="center"/>
    </xf>
    <xf numFmtId="2" fontId="10" fillId="24" borderId="1" applyNumberFormat="0" applyBorder="0">
      <alignment horizontal="right" vertical="center"/>
    </xf>
    <xf numFmtId="0" fontId="10" fillId="0" borderId="0" applyNumberFormat="0" applyFont="0" applyFill="0" applyBorder="0" applyAlignment="0"/>
    <xf numFmtId="172" fontId="26" fillId="0" borderId="0"/>
    <xf numFmtId="0" fontId="9" fillId="25" borderId="3" applyNumberFormat="0" applyBorder="0">
      <alignment horizontal="left" vertical="center"/>
    </xf>
    <xf numFmtId="2" fontId="9" fillId="25" borderId="5" applyNumberFormat="0" applyBorder="0">
      <alignment horizontal="left" vertical="center"/>
    </xf>
    <xf numFmtId="2" fontId="25" fillId="21" borderId="11" applyNumberFormat="0" applyBorder="0">
      <alignment horizontal="left" vertical="center"/>
    </xf>
    <xf numFmtId="2" fontId="25" fillId="21" borderId="5" applyNumberFormat="0" applyBorder="0">
      <alignment horizontal="left" vertical="center"/>
    </xf>
    <xf numFmtId="19" fontId="10" fillId="26" borderId="24" applyNumberFormat="0" applyBorder="0">
      <alignment horizontal="left" vertical="center" indent="1"/>
    </xf>
    <xf numFmtId="0" fontId="10" fillId="26" borderId="0">
      <alignment horizontal="right" vertical="center"/>
    </xf>
    <xf numFmtId="19" fontId="10" fillId="26" borderId="1" applyNumberFormat="0" applyBorder="0">
      <alignment horizontal="right" vertical="center"/>
    </xf>
    <xf numFmtId="2" fontId="27" fillId="27" borderId="26" applyBorder="0">
      <alignment horizontal="left" vertical="center" indent="1"/>
    </xf>
    <xf numFmtId="2" fontId="27" fillId="27" borderId="0">
      <alignment horizontal="center" vertical="center"/>
    </xf>
    <xf numFmtId="2" fontId="27" fillId="27" borderId="7">
      <alignment horizontal="left" vertical="center"/>
    </xf>
    <xf numFmtId="0" fontId="28" fillId="28" borderId="9">
      <alignment horizontal="center"/>
    </xf>
    <xf numFmtId="169" fontId="29" fillId="29" borderId="0" applyNumberFormat="0" applyBorder="0">
      <alignment horizontal="right" vertical="center"/>
    </xf>
    <xf numFmtId="169" fontId="29" fillId="29" borderId="0" applyNumberFormat="0" applyBorder="0">
      <alignment horizontal="right" vertical="center"/>
    </xf>
    <xf numFmtId="0" fontId="30" fillId="30" borderId="9" applyNumberFormat="0">
      <alignment horizontal="center" vertical="center"/>
    </xf>
    <xf numFmtId="0" fontId="30" fillId="30" borderId="0" applyNumberFormat="0" applyBorder="0">
      <alignment horizontal="left" vertical="center" indent="1"/>
    </xf>
    <xf numFmtId="173" fontId="31" fillId="31" borderId="0">
      <alignment horizontal="center" vertical="center"/>
    </xf>
    <xf numFmtId="174" fontId="32" fillId="32" borderId="0">
      <alignment horizontal="center" vertical="center"/>
      <protection locked="0"/>
    </xf>
    <xf numFmtId="0" fontId="10" fillId="0" borderId="0">
      <alignment horizontal="left" wrapText="1"/>
    </xf>
    <xf numFmtId="2" fontId="33" fillId="33" borderId="3" applyNumberFormat="0" applyFill="0" applyBorder="0" applyAlignment="0">
      <alignment horizontal="center"/>
      <protection locked="0"/>
    </xf>
    <xf numFmtId="2" fontId="10" fillId="34" borderId="5" applyNumberFormat="0" applyBorder="0">
      <alignment horizontal="right" vertical="center"/>
    </xf>
    <xf numFmtId="2" fontId="10" fillId="34" borderId="0">
      <alignment horizontal="right" vertical="center"/>
    </xf>
    <xf numFmtId="2" fontId="25" fillId="35" borderId="9">
      <alignment horizontal="center" vertical="center"/>
    </xf>
    <xf numFmtId="2" fontId="25" fillId="35" borderId="0" applyNumberFormat="0" applyBorder="0">
      <alignment horizontal="left" vertical="center"/>
    </xf>
    <xf numFmtId="2" fontId="25" fillId="35" borderId="9">
      <alignment horizontal="center" vertical="center"/>
    </xf>
    <xf numFmtId="38" fontId="34" fillId="0" borderId="0" applyFont="0" applyFill="0" applyBorder="0" applyAlignment="0" applyProtection="0"/>
    <xf numFmtId="0" fontId="34" fillId="0" borderId="0"/>
    <xf numFmtId="0" fontId="10" fillId="0" borderId="0"/>
    <xf numFmtId="0" fontId="10" fillId="4" borderId="0"/>
    <xf numFmtId="0" fontId="35" fillId="0" borderId="0" applyNumberFormat="0" applyFill="0" applyBorder="0" applyAlignment="0" applyProtection="0">
      <alignment vertical="top"/>
      <protection locked="0"/>
    </xf>
    <xf numFmtId="0" fontId="37" fillId="4" borderId="0"/>
    <xf numFmtId="43" fontId="37" fillId="0" borderId="0" applyFont="0" applyFill="0" applyBorder="0" applyAlignment="0" applyProtection="0"/>
  </cellStyleXfs>
  <cellXfs count="194">
    <xf numFmtId="0" fontId="0" fillId="0" borderId="0" xfId="0"/>
    <xf numFmtId="0" fontId="9" fillId="0" borderId="0" xfId="0" applyFont="1"/>
    <xf numFmtId="0" fontId="12" fillId="6" borderId="0" xfId="2" applyBorder="1"/>
    <xf numFmtId="14" fontId="12" fillId="5" borderId="0" xfId="1" applyNumberFormat="1" applyBorder="1" applyAlignment="1">
      <alignment horizontal="left"/>
    </xf>
    <xf numFmtId="0" fontId="12" fillId="5" borderId="0" xfId="1" applyBorder="1" applyAlignment="1">
      <alignment horizontal="left"/>
    </xf>
    <xf numFmtId="2" fontId="12" fillId="5" borderId="0" xfId="1" applyNumberFormat="1" applyBorder="1" applyAlignment="1">
      <alignment horizontal="left"/>
    </xf>
    <xf numFmtId="166" fontId="12" fillId="5" borderId="0" xfId="1" applyNumberFormat="1" applyBorder="1" applyAlignment="1">
      <alignment horizontal="left"/>
    </xf>
    <xf numFmtId="0" fontId="10" fillId="0" borderId="0" xfId="0" applyFont="1"/>
    <xf numFmtId="0" fontId="0" fillId="8" borderId="0" xfId="0" applyFill="1"/>
    <xf numFmtId="0" fontId="13" fillId="7" borderId="14" xfId="0" applyFont="1" applyFill="1" applyBorder="1"/>
    <xf numFmtId="0" fontId="0" fillId="9" borderId="0" xfId="0" applyFill="1"/>
    <xf numFmtId="0" fontId="0" fillId="10" borderId="0" xfId="0" applyFill="1"/>
    <xf numFmtId="0" fontId="13" fillId="11" borderId="0" xfId="0" applyFont="1" applyFill="1"/>
    <xf numFmtId="167" fontId="0" fillId="0" borderId="0" xfId="3" applyNumberFormat="1" applyFont="1"/>
    <xf numFmtId="0" fontId="7" fillId="6" borderId="0" xfId="2" applyFont="1" applyBorder="1"/>
    <xf numFmtId="0" fontId="7" fillId="5" borderId="0" xfId="1" applyFont="1" applyBorder="1" applyAlignment="1">
      <alignment horizontal="left"/>
    </xf>
    <xf numFmtId="14" fontId="7" fillId="5" borderId="0" xfId="1" applyNumberFormat="1" applyFont="1" applyBorder="1" applyAlignment="1">
      <alignment horizontal="left"/>
    </xf>
    <xf numFmtId="2" fontId="7" fillId="5" borderId="0" xfId="1" applyNumberFormat="1" applyFont="1" applyBorder="1" applyAlignment="1">
      <alignment horizontal="left"/>
    </xf>
    <xf numFmtId="49" fontId="7" fillId="5" borderId="0" xfId="1" applyNumberFormat="1" applyFont="1" applyBorder="1" applyAlignment="1">
      <alignment horizontal="left"/>
    </xf>
    <xf numFmtId="0" fontId="6" fillId="6" borderId="0" xfId="2" applyFont="1" applyBorder="1"/>
    <xf numFmtId="0" fontId="6" fillId="5" borderId="0" xfId="1" applyFont="1" applyBorder="1" applyAlignment="1">
      <alignment horizontal="left"/>
    </xf>
    <xf numFmtId="0" fontId="5" fillId="6" borderId="0" xfId="2" applyFont="1" applyBorder="1"/>
    <xf numFmtId="0" fontId="5" fillId="5" borderId="0" xfId="1" applyFont="1" applyBorder="1" applyAlignment="1">
      <alignment horizontal="left"/>
    </xf>
    <xf numFmtId="0" fontId="13" fillId="12" borderId="0" xfId="0" applyFont="1" applyFill="1" applyAlignment="1">
      <alignment horizontal="center"/>
    </xf>
    <xf numFmtId="0" fontId="14" fillId="13" borderId="11" xfId="4" applyFon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horizontal="center"/>
    </xf>
    <xf numFmtId="0" fontId="14" fillId="13" borderId="3" xfId="4" applyFont="1" applyFill="1" applyBorder="1" applyAlignment="1">
      <alignment horizontal="center"/>
    </xf>
    <xf numFmtId="0" fontId="14" fillId="13" borderId="1" xfId="4" applyFont="1" applyFill="1" applyBorder="1" applyAlignment="1">
      <alignment horizontal="center"/>
    </xf>
    <xf numFmtId="0" fontId="16" fillId="14" borderId="15" xfId="4" applyFont="1" applyFill="1" applyBorder="1" applyAlignment="1">
      <alignment horizontal="center"/>
    </xf>
    <xf numFmtId="170" fontId="16" fillId="15" borderId="1" xfId="4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16" fillId="14" borderId="15" xfId="4" applyNumberFormat="1" applyFont="1" applyFill="1" applyBorder="1" applyAlignment="1">
      <alignment horizontal="center"/>
    </xf>
    <xf numFmtId="0" fontId="16" fillId="15" borderId="1" xfId="4" applyFont="1" applyFill="1" applyBorder="1" applyAlignment="1">
      <alignment horizontal="center"/>
    </xf>
    <xf numFmtId="22" fontId="16" fillId="15" borderId="1" xfId="4" applyNumberFormat="1" applyFont="1" applyFill="1" applyBorder="1" applyAlignment="1">
      <alignment horizontal="center"/>
    </xf>
    <xf numFmtId="0" fontId="16" fillId="14" borderId="16" xfId="4" applyFont="1" applyFill="1" applyBorder="1" applyAlignment="1">
      <alignment horizontal="center"/>
    </xf>
    <xf numFmtId="0" fontId="16" fillId="15" borderId="2" xfId="4" applyFont="1" applyFill="1" applyBorder="1" applyAlignment="1">
      <alignment horizontal="center"/>
    </xf>
    <xf numFmtId="0" fontId="14" fillId="13" borderId="10" xfId="4" applyFont="1" applyFill="1" applyBorder="1" applyAlignment="1">
      <alignment horizontal="center"/>
    </xf>
    <xf numFmtId="0" fontId="15" fillId="13" borderId="17" xfId="4" applyFont="1" applyFill="1" applyBorder="1" applyAlignment="1">
      <alignment horizontal="center"/>
    </xf>
    <xf numFmtId="0" fontId="15" fillId="13" borderId="6" xfId="4" applyFont="1" applyFill="1" applyBorder="1"/>
    <xf numFmtId="0" fontId="14" fillId="13" borderId="4" xfId="4" applyFont="1" applyFill="1" applyBorder="1" applyAlignment="1">
      <alignment horizontal="center"/>
    </xf>
    <xf numFmtId="0" fontId="15" fillId="13" borderId="18" xfId="4" applyFont="1" applyFill="1" applyBorder="1" applyAlignment="1">
      <alignment horizontal="center"/>
    </xf>
    <xf numFmtId="0" fontId="15" fillId="13" borderId="2" xfId="4" applyFont="1" applyFill="1" applyBorder="1"/>
    <xf numFmtId="0" fontId="17" fillId="13" borderId="19" xfId="4" applyFont="1" applyFill="1" applyBorder="1" applyAlignment="1">
      <alignment horizontal="center"/>
    </xf>
    <xf numFmtId="0" fontId="17" fillId="13" borderId="18" xfId="4" applyFont="1" applyFill="1" applyBorder="1" applyAlignment="1">
      <alignment horizontal="center"/>
    </xf>
    <xf numFmtId="0" fontId="16" fillId="15" borderId="20" xfId="4" applyFont="1" applyFill="1" applyBorder="1" applyAlignment="1">
      <alignment horizontal="center"/>
    </xf>
    <xf numFmtId="10" fontId="16" fillId="15" borderId="21" xfId="4" applyNumberFormat="1" applyFont="1" applyFill="1" applyBorder="1" applyAlignment="1">
      <alignment horizontal="center"/>
    </xf>
    <xf numFmtId="10" fontId="16" fillId="15" borderId="6" xfId="5" applyNumberFormat="1" applyFont="1" applyFill="1" applyBorder="1" applyAlignment="1">
      <alignment horizontal="right"/>
    </xf>
    <xf numFmtId="0" fontId="16" fillId="15" borderId="15" xfId="4" applyFont="1" applyFill="1" applyBorder="1" applyAlignment="1">
      <alignment horizontal="center"/>
    </xf>
    <xf numFmtId="10" fontId="16" fillId="15" borderId="22" xfId="4" applyNumberFormat="1" applyFont="1" applyFill="1" applyBorder="1" applyAlignment="1">
      <alignment horizontal="center"/>
    </xf>
    <xf numFmtId="10" fontId="16" fillId="15" borderId="1" xfId="5" applyNumberFormat="1" applyFont="1" applyFill="1" applyBorder="1" applyAlignment="1">
      <alignment horizontal="right"/>
    </xf>
    <xf numFmtId="0" fontId="16" fillId="15" borderId="16" xfId="4" applyFont="1" applyFill="1" applyBorder="1" applyAlignment="1">
      <alignment horizontal="center"/>
    </xf>
    <xf numFmtId="10" fontId="16" fillId="15" borderId="19" xfId="4" applyNumberFormat="1" applyFont="1" applyFill="1" applyBorder="1" applyAlignment="1">
      <alignment horizontal="center"/>
    </xf>
    <xf numFmtId="10" fontId="16" fillId="15" borderId="2" xfId="5" applyNumberFormat="1" applyFont="1" applyFill="1" applyBorder="1" applyAlignment="1">
      <alignment horizontal="right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/>
    <xf numFmtId="0" fontId="16" fillId="15" borderId="23" xfId="4" applyFont="1" applyFill="1" applyBorder="1" applyAlignment="1">
      <alignment horizontal="center"/>
    </xf>
    <xf numFmtId="0" fontId="16" fillId="15" borderId="24" xfId="4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6" fillId="15" borderId="25" xfId="4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16" borderId="23" xfId="0" applyFont="1" applyFill="1" applyBorder="1" applyAlignment="1">
      <alignment horizontal="center"/>
    </xf>
    <xf numFmtId="0" fontId="10" fillId="16" borderId="24" xfId="0" applyFont="1" applyFill="1" applyBorder="1" applyAlignment="1">
      <alignment horizontal="center"/>
    </xf>
    <xf numFmtId="0" fontId="10" fillId="16" borderId="25" xfId="0" applyFont="1" applyFill="1" applyBorder="1" applyAlignment="1">
      <alignment horizontal="center"/>
    </xf>
    <xf numFmtId="169" fontId="0" fillId="0" borderId="0" xfId="5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4" fontId="0" fillId="0" borderId="0" xfId="0" applyNumberFormat="1"/>
    <xf numFmtId="10" fontId="0" fillId="2" borderId="8" xfId="0" applyNumberFormat="1" applyFill="1" applyBorder="1" applyAlignment="1">
      <alignment horizontal="center"/>
    </xf>
    <xf numFmtId="2" fontId="0" fillId="2" borderId="7" xfId="0" applyNumberForma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9" fillId="3" borderId="10" xfId="0" applyFont="1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14" fontId="0" fillId="2" borderId="9" xfId="0" applyNumberFormat="1" applyFill="1" applyBorder="1" applyAlignment="1">
      <alignment horizontal="center"/>
    </xf>
    <xf numFmtId="14" fontId="0" fillId="2" borderId="9" xfId="0" applyNumberFormat="1" applyFon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167" fontId="0" fillId="2" borderId="8" xfId="0" applyNumberFormat="1" applyFill="1" applyBorder="1" applyAlignment="1">
      <alignment horizontal="center"/>
    </xf>
    <xf numFmtId="175" fontId="0" fillId="36" borderId="5" xfId="0" applyNumberFormat="1" applyFill="1" applyBorder="1" applyAlignment="1">
      <alignment horizontal="center"/>
    </xf>
    <xf numFmtId="175" fontId="0" fillId="36" borderId="7" xfId="0" applyNumberFormat="1" applyFill="1" applyBorder="1" applyAlignment="1">
      <alignment horizontal="center"/>
    </xf>
    <xf numFmtId="175" fontId="0" fillId="36" borderId="8" xfId="0" applyNumberFormat="1" applyFill="1" applyBorder="1" applyAlignment="1">
      <alignment horizontal="center"/>
    </xf>
    <xf numFmtId="175" fontId="0" fillId="0" borderId="0" xfId="0" applyNumberFormat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2" fontId="0" fillId="37" borderId="5" xfId="0" applyNumberFormat="1" applyFill="1" applyBorder="1" applyAlignment="1">
      <alignment horizontal="center"/>
    </xf>
    <xf numFmtId="2" fontId="0" fillId="37" borderId="7" xfId="0" applyNumberFormat="1" applyFill="1" applyBorder="1" applyAlignment="1">
      <alignment horizontal="center"/>
    </xf>
    <xf numFmtId="169" fontId="0" fillId="2" borderId="1" xfId="0" applyNumberFormat="1" applyFill="1" applyBorder="1" applyAlignment="1">
      <alignment horizontal="center"/>
    </xf>
    <xf numFmtId="14" fontId="0" fillId="2" borderId="8" xfId="0" applyNumberFormat="1" applyFill="1" applyBorder="1" applyAlignment="1">
      <alignment horizontal="center"/>
    </xf>
    <xf numFmtId="169" fontId="0" fillId="2" borderId="2" xfId="0" applyNumberFormat="1" applyFill="1" applyBorder="1" applyAlignment="1">
      <alignment horizontal="center"/>
    </xf>
    <xf numFmtId="14" fontId="10" fillId="2" borderId="7" xfId="0" applyNumberFormat="1" applyFont="1" applyFill="1" applyBorder="1" applyAlignment="1">
      <alignment horizontal="center"/>
    </xf>
    <xf numFmtId="0" fontId="10" fillId="0" borderId="0" xfId="63" applyAlignment="1">
      <alignment horizontal="center"/>
    </xf>
    <xf numFmtId="0" fontId="10" fillId="0" borderId="0" xfId="63"/>
    <xf numFmtId="0" fontId="14" fillId="13" borderId="9" xfId="4" applyFont="1" applyFill="1" applyBorder="1" applyAlignment="1">
      <alignment horizontal="center"/>
    </xf>
    <xf numFmtId="10" fontId="17" fillId="13" borderId="13" xfId="4" applyNumberFormat="1" applyFont="1" applyFill="1" applyBorder="1" applyAlignment="1">
      <alignment horizontal="center"/>
    </xf>
    <xf numFmtId="10" fontId="17" fillId="13" borderId="12" xfId="4" applyNumberFormat="1" applyFont="1" applyFill="1" applyBorder="1" applyAlignment="1">
      <alignment horizontal="center"/>
    </xf>
    <xf numFmtId="0" fontId="16" fillId="14" borderId="5" xfId="4" applyFont="1" applyFill="1" applyBorder="1" applyAlignment="1">
      <alignment horizontal="center"/>
    </xf>
    <xf numFmtId="22" fontId="16" fillId="15" borderId="6" xfId="4" applyNumberFormat="1" applyFont="1" applyFill="1" applyBorder="1" applyAlignment="1">
      <alignment horizontal="center"/>
    </xf>
    <xf numFmtId="0" fontId="16" fillId="15" borderId="7" xfId="4" applyFont="1" applyFill="1" applyBorder="1" applyAlignment="1">
      <alignment horizontal="center"/>
    </xf>
    <xf numFmtId="10" fontId="16" fillId="15" borderId="0" xfId="4" applyNumberFormat="1" applyFont="1" applyFill="1" applyBorder="1" applyAlignment="1">
      <alignment horizontal="center"/>
    </xf>
    <xf numFmtId="10" fontId="16" fillId="15" borderId="1" xfId="4" applyNumberFormat="1" applyFont="1" applyFill="1" applyBorder="1" applyAlignment="1">
      <alignment horizontal="center"/>
    </xf>
    <xf numFmtId="0" fontId="16" fillId="14" borderId="7" xfId="4" applyFont="1" applyFill="1" applyBorder="1" applyAlignment="1">
      <alignment horizontal="center"/>
    </xf>
    <xf numFmtId="14" fontId="16" fillId="14" borderId="7" xfId="4" applyNumberFormat="1" applyFont="1" applyFill="1" applyBorder="1" applyAlignment="1">
      <alignment horizontal="center"/>
    </xf>
    <xf numFmtId="168" fontId="16" fillId="15" borderId="1" xfId="4" applyNumberFormat="1" applyFont="1" applyFill="1" applyBorder="1" applyAlignment="1">
      <alignment horizontal="center"/>
    </xf>
    <xf numFmtId="0" fontId="16" fillId="15" borderId="8" xfId="4" applyFont="1" applyFill="1" applyBorder="1" applyAlignment="1">
      <alignment horizontal="center"/>
    </xf>
    <xf numFmtId="10" fontId="16" fillId="15" borderId="18" xfId="4" applyNumberFormat="1" applyFont="1" applyFill="1" applyBorder="1" applyAlignment="1">
      <alignment horizontal="center"/>
    </xf>
    <xf numFmtId="10" fontId="16" fillId="15" borderId="2" xfId="4" applyNumberFormat="1" applyFont="1" applyFill="1" applyBorder="1" applyAlignment="1">
      <alignment horizontal="center"/>
    </xf>
    <xf numFmtId="14" fontId="16" fillId="14" borderId="8" xfId="4" applyNumberFormat="1" applyFont="1" applyFill="1" applyBorder="1" applyAlignment="1">
      <alignment horizontal="center"/>
    </xf>
    <xf numFmtId="22" fontId="16" fillId="15" borderId="2" xfId="4" applyNumberFormat="1" applyFont="1" applyFill="1" applyBorder="1" applyAlignment="1">
      <alignment horizontal="center"/>
    </xf>
    <xf numFmtId="176" fontId="16" fillId="15" borderId="1" xfId="4" applyNumberFormat="1" applyFont="1" applyFill="1" applyBorder="1" applyAlignment="1">
      <alignment horizontal="center"/>
    </xf>
    <xf numFmtId="0" fontId="16" fillId="14" borderId="8" xfId="64" applyFont="1" applyFill="1" applyBorder="1" applyAlignment="1">
      <alignment horizontal="center"/>
    </xf>
    <xf numFmtId="0" fontId="16" fillId="15" borderId="2" xfId="64" applyFont="1" applyFill="1" applyBorder="1" applyAlignment="1">
      <alignment horizontal="center"/>
    </xf>
    <xf numFmtId="14" fontId="0" fillId="36" borderId="9" xfId="0" applyNumberFormat="1" applyFont="1" applyFill="1" applyBorder="1" applyAlignment="1">
      <alignment horizontal="center"/>
    </xf>
    <xf numFmtId="2" fontId="0" fillId="36" borderId="5" xfId="0" applyNumberFormat="1" applyFill="1" applyBorder="1" applyAlignment="1">
      <alignment horizontal="center"/>
    </xf>
    <xf numFmtId="2" fontId="0" fillId="36" borderId="7" xfId="0" applyNumberFormat="1" applyFill="1" applyBorder="1" applyAlignment="1">
      <alignment horizontal="center"/>
    </xf>
    <xf numFmtId="2" fontId="0" fillId="36" borderId="8" xfId="0" applyNumberFormat="1" applyFill="1" applyBorder="1" applyAlignment="1">
      <alignment horizontal="center"/>
    </xf>
    <xf numFmtId="4" fontId="0" fillId="2" borderId="7" xfId="0" applyNumberFormat="1" applyFill="1" applyBorder="1" applyAlignment="1">
      <alignment horizontal="center"/>
    </xf>
    <xf numFmtId="4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169" fontId="0" fillId="36" borderId="1" xfId="0" applyNumberFormat="1" applyFill="1" applyBorder="1" applyAlignment="1">
      <alignment horizontal="center"/>
    </xf>
    <xf numFmtId="14" fontId="0" fillId="2" borderId="8" xfId="3" applyNumberFormat="1" applyFont="1" applyFill="1" applyBorder="1" applyAlignment="1">
      <alignment horizontal="center"/>
    </xf>
    <xf numFmtId="3" fontId="0" fillId="36" borderId="1" xfId="0" applyNumberFormat="1" applyFill="1" applyBorder="1" applyAlignment="1">
      <alignment horizontal="center"/>
    </xf>
    <xf numFmtId="3" fontId="0" fillId="36" borderId="2" xfId="0" applyNumberFormat="1" applyFill="1" applyBorder="1" applyAlignment="1">
      <alignment horizontal="center"/>
    </xf>
    <xf numFmtId="3" fontId="0" fillId="2" borderId="5" xfId="0" applyNumberFormat="1" applyFill="1" applyBorder="1" applyAlignment="1">
      <alignment horizontal="center"/>
    </xf>
    <xf numFmtId="3" fontId="0" fillId="2" borderId="7" xfId="0" applyNumberForma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10" fontId="0" fillId="2" borderId="5" xfId="3" applyNumberFormat="1" applyFont="1" applyFill="1" applyBorder="1" applyAlignment="1">
      <alignment horizontal="center"/>
    </xf>
    <xf numFmtId="10" fontId="0" fillId="2" borderId="7" xfId="3" applyNumberFormat="1" applyFont="1" applyFill="1" applyBorder="1" applyAlignment="1">
      <alignment horizontal="center"/>
    </xf>
    <xf numFmtId="177" fontId="0" fillId="2" borderId="8" xfId="0" applyNumberForma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4" fillId="6" borderId="0" xfId="2" applyFont="1" applyBorder="1"/>
    <xf numFmtId="0" fontId="36" fillId="8" borderId="0" xfId="0" applyFont="1" applyFill="1"/>
    <xf numFmtId="178" fontId="0" fillId="0" borderId="0" xfId="0" applyNumberFormat="1"/>
    <xf numFmtId="0" fontId="3" fillId="5" borderId="0" xfId="1" applyFont="1" applyBorder="1" applyAlignment="1">
      <alignment horizontal="left"/>
    </xf>
    <xf numFmtId="167" fontId="38" fillId="0" borderId="17" xfId="3" applyNumberFormat="1" applyFont="1" applyFill="1" applyBorder="1"/>
    <xf numFmtId="0" fontId="38" fillId="0" borderId="10" xfId="66" applyFont="1" applyFill="1" applyBorder="1"/>
    <xf numFmtId="0" fontId="38" fillId="0" borderId="6" xfId="66" applyFont="1" applyFill="1" applyBorder="1"/>
    <xf numFmtId="0" fontId="38" fillId="14" borderId="10" xfId="66" applyFont="1" applyFill="1" applyBorder="1"/>
    <xf numFmtId="3" fontId="38" fillId="4" borderId="6" xfId="66" applyNumberFormat="1" applyFont="1" applyFill="1" applyBorder="1"/>
    <xf numFmtId="0" fontId="38" fillId="14" borderId="3" xfId="66" applyFont="1" applyFill="1" applyBorder="1"/>
    <xf numFmtId="14" fontId="38" fillId="4" borderId="1" xfId="66" applyNumberFormat="1" applyFont="1" applyFill="1" applyBorder="1"/>
    <xf numFmtId="0" fontId="38" fillId="14" borderId="4" xfId="66" applyFont="1" applyFill="1" applyBorder="1"/>
    <xf numFmtId="14" fontId="38" fillId="4" borderId="2" xfId="66" applyNumberFormat="1" applyFont="1" applyFill="1" applyBorder="1"/>
    <xf numFmtId="14" fontId="2" fillId="5" borderId="0" xfId="1" applyNumberFormat="1" applyFont="1" applyBorder="1" applyAlignment="1">
      <alignment horizontal="left"/>
    </xf>
    <xf numFmtId="1" fontId="0" fillId="0" borderId="0" xfId="5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180" fontId="0" fillId="2" borderId="7" xfId="67" applyNumberFormat="1" applyFont="1" applyFill="1" applyBorder="1" applyAlignment="1">
      <alignment horizontal="center"/>
    </xf>
    <xf numFmtId="180" fontId="0" fillId="2" borderId="8" xfId="67" applyNumberFormat="1" applyFont="1" applyFill="1" applyBorder="1" applyAlignment="1">
      <alignment horizontal="center"/>
    </xf>
    <xf numFmtId="4" fontId="0" fillId="36" borderId="1" xfId="0" applyNumberFormat="1" applyFill="1" applyBorder="1" applyAlignment="1">
      <alignment horizontal="center"/>
    </xf>
    <xf numFmtId="0" fontId="1" fillId="6" borderId="0" xfId="2" applyFont="1" applyBorder="1"/>
    <xf numFmtId="2" fontId="0" fillId="2" borderId="8" xfId="0" applyNumberFormat="1" applyFill="1" applyBorder="1" applyAlignment="1">
      <alignment horizontal="center"/>
    </xf>
    <xf numFmtId="178" fontId="8" fillId="0" borderId="10" xfId="66" applyNumberFormat="1" applyFont="1" applyFill="1" applyBorder="1"/>
    <xf numFmtId="179" fontId="8" fillId="0" borderId="17" xfId="66" applyNumberFormat="1" applyFont="1" applyFill="1" applyBorder="1"/>
    <xf numFmtId="180" fontId="8" fillId="0" borderId="17" xfId="67" applyNumberFormat="1" applyFont="1" applyFill="1" applyBorder="1"/>
    <xf numFmtId="181" fontId="8" fillId="0" borderId="17" xfId="66" applyNumberFormat="1" applyFont="1" applyFill="1" applyBorder="1"/>
    <xf numFmtId="178" fontId="8" fillId="0" borderId="17" xfId="66" applyNumberFormat="1" applyFont="1" applyFill="1" applyBorder="1"/>
    <xf numFmtId="167" fontId="8" fillId="0" borderId="17" xfId="3" applyNumberFormat="1" applyFont="1" applyFill="1" applyBorder="1"/>
    <xf numFmtId="167" fontId="8" fillId="0" borderId="6" xfId="3" applyNumberFormat="1" applyFont="1" applyFill="1" applyBorder="1"/>
    <xf numFmtId="178" fontId="8" fillId="0" borderId="3" xfId="66" applyNumberFormat="1" applyFont="1" applyFill="1" applyBorder="1"/>
    <xf numFmtId="179" fontId="8" fillId="0" borderId="0" xfId="66" applyNumberFormat="1" applyFont="1" applyFill="1" applyBorder="1"/>
    <xf numFmtId="180" fontId="8" fillId="0" borderId="0" xfId="67" applyNumberFormat="1" applyFont="1" applyFill="1" applyBorder="1"/>
    <xf numFmtId="181" fontId="8" fillId="0" borderId="0" xfId="66" applyNumberFormat="1" applyFont="1" applyFill="1" applyBorder="1"/>
    <xf numFmtId="178" fontId="8" fillId="0" borderId="0" xfId="66" applyNumberFormat="1" applyFont="1" applyFill="1" applyBorder="1"/>
    <xf numFmtId="167" fontId="8" fillId="0" borderId="0" xfId="3" applyNumberFormat="1" applyFont="1" applyFill="1" applyBorder="1"/>
    <xf numFmtId="167" fontId="8" fillId="0" borderId="1" xfId="3" applyNumberFormat="1" applyFont="1" applyFill="1" applyBorder="1"/>
    <xf numFmtId="178" fontId="8" fillId="0" borderId="4" xfId="66" applyNumberFormat="1" applyFont="1" applyFill="1" applyBorder="1"/>
    <xf numFmtId="179" fontId="8" fillId="0" borderId="18" xfId="66" applyNumberFormat="1" applyFont="1" applyFill="1" applyBorder="1"/>
    <xf numFmtId="180" fontId="8" fillId="0" borderId="18" xfId="67" applyNumberFormat="1" applyFont="1" applyFill="1" applyBorder="1"/>
    <xf numFmtId="181" fontId="8" fillId="0" borderId="18" xfId="66" applyNumberFormat="1" applyFont="1" applyFill="1" applyBorder="1"/>
    <xf numFmtId="178" fontId="8" fillId="0" borderId="18" xfId="66" applyNumberFormat="1" applyFont="1" applyFill="1" applyBorder="1"/>
    <xf numFmtId="167" fontId="8" fillId="0" borderId="18" xfId="3" applyNumberFormat="1" applyFont="1" applyFill="1" applyBorder="1"/>
    <xf numFmtId="167" fontId="8" fillId="0" borderId="2" xfId="3" applyNumberFormat="1" applyFont="1" applyFill="1" applyBorder="1"/>
    <xf numFmtId="165" fontId="0" fillId="0" borderId="0" xfId="0" applyNumberFormat="1" applyAlignment="1">
      <alignment horizontal="center"/>
    </xf>
    <xf numFmtId="167" fontId="0" fillId="2" borderId="7" xfId="3" applyNumberFormat="1" applyFont="1" applyFill="1" applyBorder="1" applyAlignment="1">
      <alignment horizontal="center"/>
    </xf>
    <xf numFmtId="14" fontId="10" fillId="2" borderId="8" xfId="0" applyNumberFormat="1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39" fillId="0" borderId="9" xfId="0" applyFont="1" applyBorder="1" applyAlignment="1">
      <alignment horizontal="center"/>
    </xf>
    <xf numFmtId="10" fontId="0" fillId="0" borderId="0" xfId="3" applyNumberFormat="1" applyFont="1" applyAlignment="1">
      <alignment horizontal="center"/>
    </xf>
    <xf numFmtId="180" fontId="0" fillId="0" borderId="0" xfId="67" applyNumberFormat="1" applyFont="1" applyAlignment="1">
      <alignment horizontal="center"/>
    </xf>
    <xf numFmtId="0" fontId="9" fillId="3" borderId="9" xfId="0" applyFont="1" applyFill="1" applyBorder="1" applyAlignment="1">
      <alignment horizontal="center"/>
    </xf>
    <xf numFmtId="14" fontId="7" fillId="6" borderId="0" xfId="2" applyNumberFormat="1" applyFont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6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5" fillId="13" borderId="11" xfId="4" applyFont="1" applyFill="1" applyBorder="1" applyAlignment="1">
      <alignment horizontal="center"/>
    </xf>
    <xf numFmtId="0" fontId="15" fillId="13" borderId="12" xfId="4" applyFont="1" applyFill="1" applyBorder="1" applyAlignment="1">
      <alignment horizontal="center"/>
    </xf>
  </cellXfs>
  <cellStyles count="68">
    <cellStyle name="_Copy of Portfolios to Archeus 6-3-04 (2)" xfId="7" xr:uid="{00000000-0005-0000-0000-000000000000}"/>
    <cellStyle name="40% - Accent3" xfId="1" builtinId="39"/>
    <cellStyle name="40% - Accent6" xfId="2" builtinId="51"/>
    <cellStyle name="back" xfId="8" xr:uid="{00000000-0005-0000-0000-000003000000}"/>
    <cellStyle name="Comma" xfId="67" builtinId="3"/>
    <cellStyle name="Comma0" xfId="9" xr:uid="{00000000-0005-0000-0000-000005000000}"/>
    <cellStyle name="Currency 2" xfId="6" xr:uid="{00000000-0005-0000-0000-000006000000}"/>
    <cellStyle name="Currency0" xfId="10" xr:uid="{00000000-0005-0000-0000-000007000000}"/>
    <cellStyle name="Date" xfId="11" xr:uid="{00000000-0005-0000-0000-000008000000}"/>
    <cellStyle name="Fixed" xfId="12" xr:uid="{00000000-0005-0000-0000-000009000000}"/>
    <cellStyle name="Hyperlink_nabCapital IR Curves Simple v2.5" xfId="65" xr:uid="{00000000-0005-0000-0000-00000A000000}"/>
    <cellStyle name="InfoDataColumn" xfId="13" xr:uid="{00000000-0005-0000-0000-00000B000000}"/>
    <cellStyle name="InfoDataRow" xfId="14" xr:uid="{00000000-0005-0000-0000-00000C000000}"/>
    <cellStyle name="InfoLabelColumn" xfId="15" xr:uid="{00000000-0005-0000-0000-00000D000000}"/>
    <cellStyle name="InfoLabelRow" xfId="16" xr:uid="{00000000-0005-0000-0000-00000E000000}"/>
    <cellStyle name="InfolDataColumn" xfId="17" xr:uid="{00000000-0005-0000-0000-00000F000000}"/>
    <cellStyle name="InformationalData" xfId="18" xr:uid="{00000000-0005-0000-0000-000010000000}"/>
    <cellStyle name="InformationalLabel" xfId="19" xr:uid="{00000000-0005-0000-0000-000011000000}"/>
    <cellStyle name="InformationalLabelTop" xfId="20" xr:uid="{00000000-0005-0000-0000-000012000000}"/>
    <cellStyle name="InputData" xfId="21" xr:uid="{00000000-0005-0000-0000-000013000000}"/>
    <cellStyle name="InputDataColumn" xfId="22" xr:uid="{00000000-0005-0000-0000-000014000000}"/>
    <cellStyle name="InputDataRow" xfId="23" xr:uid="{00000000-0005-0000-0000-000015000000}"/>
    <cellStyle name="InputLabel" xfId="24" xr:uid="{00000000-0005-0000-0000-000016000000}"/>
    <cellStyle name="InputLabelColumn" xfId="25" xr:uid="{00000000-0005-0000-0000-000017000000}"/>
    <cellStyle name="InputLabelRow" xfId="26" xr:uid="{00000000-0005-0000-0000-000018000000}"/>
    <cellStyle name="InputLabelTop" xfId="27" xr:uid="{00000000-0005-0000-0000-000019000000}"/>
    <cellStyle name="IntermediateData" xfId="28" xr:uid="{00000000-0005-0000-0000-00001A000000}"/>
    <cellStyle name="IntermediateDataColumn" xfId="29" xr:uid="{00000000-0005-0000-0000-00001B000000}"/>
    <cellStyle name="IntermediateDataRow" xfId="30" xr:uid="{00000000-0005-0000-0000-00001C000000}"/>
    <cellStyle name="IntermediateLabel" xfId="31" xr:uid="{00000000-0005-0000-0000-00001D000000}"/>
    <cellStyle name="IntermediateLabelColumn" xfId="32" xr:uid="{00000000-0005-0000-0000-00001E000000}"/>
    <cellStyle name="IntermediateLabelRow" xfId="33" xr:uid="{00000000-0005-0000-0000-00001F000000}"/>
    <cellStyle name="InvalidCell" xfId="34" xr:uid="{00000000-0005-0000-0000-000020000000}"/>
    <cellStyle name="NewSheet" xfId="35" xr:uid="{00000000-0005-0000-0000-000021000000}"/>
    <cellStyle name="Normal" xfId="0" builtinId="0"/>
    <cellStyle name="Normal - Style1" xfId="36" xr:uid="{00000000-0005-0000-0000-000023000000}"/>
    <cellStyle name="Normal 2" xfId="63" xr:uid="{00000000-0005-0000-0000-000024000000}"/>
    <cellStyle name="Normal 4" xfId="66" xr:uid="{00000000-0005-0000-0000-000025000000}"/>
    <cellStyle name="Normal_Sheet1" xfId="4" xr:uid="{00000000-0005-0000-0000-000026000000}"/>
    <cellStyle name="Normal_Sheet1 2" xfId="64" xr:uid="{00000000-0005-0000-0000-000027000000}"/>
    <cellStyle name="ObjectDataColumn" xfId="37" xr:uid="{00000000-0005-0000-0000-000028000000}"/>
    <cellStyle name="ObjectDataRow" xfId="38" xr:uid="{00000000-0005-0000-0000-000029000000}"/>
    <cellStyle name="ObjectLabelColumn" xfId="39" xr:uid="{00000000-0005-0000-0000-00002A000000}"/>
    <cellStyle name="ObjectLabelRow" xfId="40" xr:uid="{00000000-0005-0000-0000-00002B000000}"/>
    <cellStyle name="OutputData" xfId="41" xr:uid="{00000000-0005-0000-0000-00002C000000}"/>
    <cellStyle name="OutputDataColumn" xfId="42" xr:uid="{00000000-0005-0000-0000-00002D000000}"/>
    <cellStyle name="OutputDataRow" xfId="43" xr:uid="{00000000-0005-0000-0000-00002E000000}"/>
    <cellStyle name="OutputLabel" xfId="44" xr:uid="{00000000-0005-0000-0000-00002F000000}"/>
    <cellStyle name="OutputLabelColumn" xfId="45" xr:uid="{00000000-0005-0000-0000-000030000000}"/>
    <cellStyle name="OutputLabelRow" xfId="46" xr:uid="{00000000-0005-0000-0000-000031000000}"/>
    <cellStyle name="PanelLabel" xfId="47" xr:uid="{00000000-0005-0000-0000-000032000000}"/>
    <cellStyle name="Percent" xfId="3" builtinId="5"/>
    <cellStyle name="Percent 2" xfId="5" xr:uid="{00000000-0005-0000-0000-000034000000}"/>
    <cellStyle name="PersonalDataColumn" xfId="48" xr:uid="{00000000-0005-0000-0000-000035000000}"/>
    <cellStyle name="PersonalDataRow" xfId="49" xr:uid="{00000000-0005-0000-0000-000036000000}"/>
    <cellStyle name="PersonalLabelColumn" xfId="50" xr:uid="{00000000-0005-0000-0000-000037000000}"/>
    <cellStyle name="PersonalLabelRow" xfId="51" xr:uid="{00000000-0005-0000-0000-000038000000}"/>
    <cellStyle name="result" xfId="52" xr:uid="{00000000-0005-0000-0000-000039000000}"/>
    <cellStyle name="spreads" xfId="53" xr:uid="{00000000-0005-0000-0000-00003A000000}"/>
    <cellStyle name="Style 1" xfId="54" xr:uid="{00000000-0005-0000-0000-00003B000000}"/>
    <cellStyle name="swaptn" xfId="55" xr:uid="{00000000-0005-0000-0000-00003C000000}"/>
    <cellStyle name="TableDataColumn" xfId="56" xr:uid="{00000000-0005-0000-0000-00003D000000}"/>
    <cellStyle name="TableDataRow" xfId="57" xr:uid="{00000000-0005-0000-0000-00003E000000}"/>
    <cellStyle name="TableLabelColumn" xfId="58" xr:uid="{00000000-0005-0000-0000-00003F000000}"/>
    <cellStyle name="TableLabelRow" xfId="59" xr:uid="{00000000-0005-0000-0000-000040000000}"/>
    <cellStyle name="TableLabelTop" xfId="60" xr:uid="{00000000-0005-0000-0000-000041000000}"/>
    <cellStyle name="桁区切り_NewDemo" xfId="61" xr:uid="{00000000-0005-0000-0000-000042000000}"/>
    <cellStyle name="標準_NewDemo" xfId="62" xr:uid="{00000000-0005-0000-0000-00004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fpml.org/2009/FpML-4-7'">
  <Schema ID="Schema1" Namespace="http://www.fpml.org/2009/FpML-4-7">
    <xsd:schema xmlns:xsd="http://www.w3.org/2001/XMLSchema" xmlns:ns0="http://www.fpml.org/2009/FpML-4-7" xmlns="" targetNamespace="http://www.fpml.org/2009/FpML-4-7">
      <xsd:element nillable="true" name="swap">
        <xsd:complexType>
          <xsd:sequence minOccurs="0">
            <xsd:element minOccurs="0" maxOccurs="unbounded" nillable="true" name="swapStream" form="qualified">
              <xsd:complexType>
                <xsd:sequence minOccurs="0">
                  <xsd:element minOccurs="0" nillable="true" name="pay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receiverPartyReference" form="qualified">
                    <xsd:complexType>
                      <xsd:attribute name="href" form="unqualified" type="xsd:string"/>
                    </xsd:complexType>
                  </xsd:element>
                  <xsd:element minOccurs="0" nillable="true" name="calculationPeriodDates" form="qualified">
                    <xsd:complexType>
                      <xsd:sequence minOccurs="0">
                        <xsd:element minOccurs="0" nillable="true" name="effective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terminationDate" form="qualified">
                          <xsd:complexType>
                            <xsd:sequence minOccurs="0">
                              <xsd:element minOccurs="0" nillable="true" type="xsd:date" name="unadjustedDate" form="qualified"/>
                              <xsd:element minOccurs="0" nillable="true" name="dateAdjustments" form="qualified">
                                <xsd:complexType>
                                  <xsd:sequence minOccurs="0">
                                    <xsd:element minOccurs="0" nillable="true" type="xsd:string" name="businessDayConvention" form="qualified"/>
                                    <xsd:element minOccurs="0" nillable="true" name="businessCenters" form="qualified">
                                      <xsd:complexType>
                                        <xsd:sequence minOccurs="0">
                                          <xsd:element minOccurs="0" maxOccurs="unbounded" nillable="true" type="xsd:string" name="businessCenter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calculationPeriod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integer" name="rollConvention" form="qualified"/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aymentDates" form="qualified">
                    <xsd:complexType>
                      <xsd:sequence minOccurs="0">
                        <xsd:element minOccurs="0" nillable="true" name="paymen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type="xsd:string" name="payRelativeTo" form="qualified"/>
                        <xsd:element minOccurs="0" nillable="true" name="paymen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resetDates" form="qualified">
                    <xsd:complexType>
                      <xsd:sequence minOccurs="0">
                        <xsd:element minOccurs="0" nillable="true" name="fixingDates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  <xsd:element minOccurs="0" nillable="true" type="xsd:string" name="dayType" form="qualified"/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  <xsd:element minOccurs="0" nillable="true" name="dateRelativeTo" form="qualified">
                                <xsd:complexType>
                                  <xsd:attribute name="href" form="unqualified" type="xsd:string"/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resetFrequency" form="qualified">
                          <xsd:complexType>
                            <xsd:sequence minOccurs="0">
                              <xsd:element minOccurs="0" nillable="true" type="xsd:integer" name="periodMultiplier" form="qualified"/>
                              <xsd:element minOccurs="0" nillable="true" type="xsd:string" name="period" form="qualified"/>
                            </xsd:sequence>
                          </xsd:complexType>
                        </xsd:element>
                        <xsd:element minOccurs="0" nillable="true" name="resetDatesAdjustments" form="qualified">
                          <xsd:complexType>
                            <xsd:sequence minOccurs="0">
                              <xsd:element minOccurs="0" nillable="true" type="xsd:string" name="businessDayConvention" form="qualified"/>
                              <xsd:element minOccurs="0" nillable="true" name="businessCenters" form="qualified">
                                <xsd:complexType>
                                  <xsd:sequence minOccurs="0">
                                    <xsd:element minOccurs="0" maxOccurs="unbounded" nillable="true" type="xsd:string" name="businessCenter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calculationPeriodAmount" form="qualified">
                    <xsd:complexType>
                      <xsd:sequence minOccurs="0">
                        <xsd:element minOccurs="0" nillable="true" name="calculation" form="qualified">
                          <xsd:complexType>
                            <xsd:sequence minOccurs="0">
                              <xsd:element minOccurs="0" nillable="true" name="notionalSchedule" form="qualified">
                                <xsd:complexType>
                                  <xsd:sequence minOccurs="0">
                                    <xsd:element minOccurs="0" nillable="true" name="notionalStep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  <xsd:element minOccurs="0" nillable="true" type="xsd:string" name="currency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name="floatingRateCalculation" form="qualified">
                                <xsd:complexType>
                                  <xsd:sequence minOccurs="0">
                                    <xsd:element minOccurs="0" nillable="true" type="xsd:string" name="floatingRateIndex" form="qualified"/>
                                    <xsd:element minOccurs="0" nillable="true" name="indexTenor" form="qualified">
                                      <xsd:complexType>
                                        <xsd:sequence minOccurs="0">
                                          <xsd:element minOccurs="0" nillable="true" type="xsd:integer" name="periodMultiplier" form="qualified"/>
                                          <xsd:element minOccurs="0" nillable="true" type="xsd:string" name="period" form="qualified"/>
                                        </xsd:sequence>
                                      </xsd:complexType>
                                    </xsd:element>
                                    <xsd:element minOccurs="0" nillable="true" name="spreadSchedule" form="qualified">
                                      <xsd:complexType>
                                        <xsd:sequence minOccurs="0">
                                          <xsd:element minOccurs="0" nillable="true" type="xsd:integer" name="initialValue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  <xsd:element minOccurs="0" nillable="true" type="xsd:string" name="dayCountFraction" form="qualified"/>
                              <xsd:element minOccurs="0" nillable="true" name="discounting" form="qualified">
                                <xsd:complexType>
                                  <xsd:sequence minOccurs="0">
                                    <xsd:element minOccurs="0" nillable="true" type="xsd:string" name="discountingType" form="qualified"/>
                                    <xsd:element minOccurs="0" nillable="true" type="xsd:integer" name="discountRate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  <xsd:element minOccurs="0" nillable="true" name="principalExchanges" form="qualified">
                    <xsd:complexType>
                      <xsd:sequence minOccurs="0">
                        <xsd:element minOccurs="0" nillable="true" type="xsd:boolean" name="initialExchange" form="qualified"/>
                        <xsd:element minOccurs="0" nillable="true" type="xsd:boolean" name="finalExchange" form="qualified"/>
                        <xsd:element minOccurs="0" nillable="true" type="xsd:boolean" name="intermediateExchange" form="qualified"/>
                      </xsd:sequence>
                    </xsd:complexType>
                  </xsd:element>
                  <xsd:element minOccurs="0" nillable="true" name="cashflows" form="qualified">
                    <xsd:complexType>
                      <xsd:sequence minOccurs="0">
                        <xsd:element minOccurs="0" nillable="true" type="xsd:boolean" name="cashflowsMatchParameters" form="qualified"/>
                        <xsd:element minOccurs="0" maxOccurs="unbounded" nillable="true" name="paymentCalculationPeriod" form="qualified">
                          <xsd:complexType>
                            <xsd:sequence minOccurs="0">
                              <xsd:element minOccurs="0" nillable="true" type="xsd:date" name="adjustedPaymentDate" form="qualified"/>
                              <xsd:element minOccurs="0" nillable="true" name="calculationPeriod" form="qualified">
                                <xsd:complexType>
                                  <xsd:sequence minOccurs="0">
                                    <xsd:element minOccurs="0" nillable="true" type="xsd:date" name="unadjustedStartDate" form="qualified"/>
                                    <xsd:element minOccurs="0" nillable="true" type="xsd:date" name="unadjustedEndDate" form="qualified"/>
                                    <xsd:element minOccurs="0" nillable="true" type="xsd:date" name="adjustedStartDate" form="qualified"/>
                                    <xsd:element minOccurs="0" nillable="true" type="xsd:date" name="adjustedEndDate" form="qualified"/>
                                    <xsd:element minOccurs="0" nillable="true" type="xsd:integer" name="calculationPeriodNumberOfDays" form="qualified"/>
                                    <xsd:element minOccurs="0" nillable="true" type="xsd:integer" name="notionalAmount" form="qualified"/>
                                    <xsd:element minOccurs="0" nillable="true" name="floatingRateDefinition" form="qualified">
                                      <xsd:complexType>
                                        <xsd:sequence minOccurs="0">
                                          <xsd:element minOccurs="0" nillable="true" type="xsd:double" name="calculatedRate" form="qualified"/>
                                          <xsd:element minOccurs="0" nillable="true" name="rateObservation" form="qualified">
                                            <xsd:complexType>
                                              <xsd:sequence minOccurs="0">
                                                <xsd:element minOccurs="0" nillable="true" type="xsd:double" name="forecastRat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integer" name="spread" form="qualified"/>
                                        </xsd:sequence>
                                      </xsd:complexType>
                                    </xsd:element>
                                    <xsd:element minOccurs="0" nillable="true" type="xsd:double" name="dayCountYearFraction" form="qualified"/>
                                  </xsd:sequence>
                                </xsd:complexType>
                              </xsd:element>
                              <xsd:element minOccurs="0" nillable="true" type="xsd:double" name="discountFactor" form="qualified"/>
                              <xsd:element minOccurs="0" nillable="true" name="forecastPayment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  <xsd:element minOccurs="0" nillable="true" name="presentValueAmount" form="qualified">
                                <xsd:complexType>
                                  <xsd:sequence minOccurs="0">
                                    <xsd:element minOccurs="0" nillable="true" type="xsd:string" name="currency" form="qualified"/>
                                    <xsd:element minOccurs="0" nillable="true" type="xsd:double" name="amount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swap_Map" RootElement="swap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xmlMaps" Target="xmlMap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77"/>
  <sheetViews>
    <sheetView topLeftCell="B1" workbookViewId="0">
      <selection activeCell="B3" sqref="B3"/>
    </sheetView>
  </sheetViews>
  <sheetFormatPr defaultRowHeight="12.75"/>
  <cols>
    <col min="1" max="1" width="19.42578125" customWidth="1"/>
    <col min="2" max="2" width="59.42578125" bestFit="1" customWidth="1"/>
    <col min="3" max="3" width="10.5703125" bestFit="1" customWidth="1"/>
    <col min="4" max="4" width="48.85546875" customWidth="1"/>
    <col min="5" max="5" width="18.28515625" bestFit="1" customWidth="1"/>
    <col min="7" max="7" width="12.5703125" customWidth="1"/>
    <col min="8" max="8" width="15.7109375" customWidth="1"/>
    <col min="9" max="9" width="14.28515625" customWidth="1"/>
  </cols>
  <sheetData>
    <row r="1" spans="1:5">
      <c r="B1" s="1" t="s">
        <v>24</v>
      </c>
    </row>
    <row r="2" spans="1:5">
      <c r="A2" s="1" t="s">
        <v>9</v>
      </c>
      <c r="B2" t="str">
        <f>_xll.HLV5r3.Financial.Cache.GetCurveEngineVersionInfo()</f>
        <v>Version: FpML.V5r3 v1.0 Built on : 28/06/2019, 9:25 AM</v>
      </c>
    </row>
    <row r="4" spans="1:5">
      <c r="B4" s="1" t="s">
        <v>20</v>
      </c>
      <c r="D4" s="7" t="s">
        <v>25</v>
      </c>
    </row>
    <row r="5" spans="1:5">
      <c r="B5" s="8"/>
      <c r="D5" s="12" t="s">
        <v>21</v>
      </c>
      <c r="E5" s="12" t="s">
        <v>22</v>
      </c>
    </row>
    <row r="6" spans="1:5">
      <c r="D6" s="12" t="s">
        <v>178</v>
      </c>
      <c r="E6" s="12" t="s">
        <v>179</v>
      </c>
    </row>
    <row r="7" spans="1:5">
      <c r="B7" s="9" t="s">
        <v>23</v>
      </c>
      <c r="C7" s="7"/>
      <c r="D7" s="12" t="s">
        <v>63</v>
      </c>
      <c r="E7" s="12" t="s">
        <v>106</v>
      </c>
    </row>
    <row r="8" spans="1:5">
      <c r="B8" s="10" t="str">
        <f t="array" ref="B8:B77">_xll.HLV5r3.Financial.Cache.ListUpTo100PricingStructures(D5:E7)</f>
        <v>Market.QR_LIVE.RateCurve.USD-LIBOR-BBA-3M</v>
      </c>
    </row>
    <row r="9" spans="1:5">
      <c r="B9" s="10" t="str">
        <v>Market.QR_LIVE.RateCurve.AUD-AONIA-OIS-COMPOUND</v>
      </c>
      <c r="D9" s="11" t="s">
        <v>180</v>
      </c>
      <c r="E9" s="11"/>
    </row>
    <row r="10" spans="1:5">
      <c r="B10" s="10" t="str">
        <v>Market.QR_LIVE.RateCurve.AUD-BBR-BBSW-2M</v>
      </c>
    </row>
    <row r="11" spans="1:5">
      <c r="B11" s="10" t="str">
        <v>Market.QR_LIVE.RateCurve.EUR-EURIBOR-Reuters-1M</v>
      </c>
    </row>
    <row r="12" spans="1:5">
      <c r="B12" s="10" t="str">
        <v>Market.QR_LIVE.RateCurve.EUR-EURIBOR-Reuters-3M</v>
      </c>
    </row>
    <row r="13" spans="1:5">
      <c r="B13" s="10" t="str">
        <v>Market.QR_LIVE.RateCurve.EUR-EURIBOR-Reuters-6M</v>
      </c>
    </row>
    <row r="14" spans="1:5">
      <c r="B14" s="10" t="str">
        <v>Market.QR_LIVE.RateCurve.EUR-LIBOR-BBA-1M</v>
      </c>
    </row>
    <row r="15" spans="1:5">
      <c r="B15" s="10" t="str">
        <v>Market.QR_LIVE.RateCurve.EUR-LIBOR-BBA-3M</v>
      </c>
    </row>
    <row r="16" spans="1:5">
      <c r="B16" s="10" t="str">
        <v>Market.QR_LIVE.RateCurve.EUR-LIBOR-BBA-6M</v>
      </c>
    </row>
    <row r="17" spans="2:2">
      <c r="B17" s="10" t="str">
        <v>Market.QR_LIVE.RateCurve.GBP-LIBOR-BBA-3M</v>
      </c>
    </row>
    <row r="18" spans="2:2">
      <c r="B18" s="10" t="str">
        <v>Market.QR_LIVE.RateCurve.JPY-LIBOR-BBA-1M</v>
      </c>
    </row>
    <row r="19" spans="2:2">
      <c r="B19" s="10" t="str">
        <v>Market.QR_LIVE.RateCurve.JPY-LIBOR-BBA-3M</v>
      </c>
    </row>
    <row r="20" spans="2:2">
      <c r="B20" s="10" t="str">
        <v>Market.QR_LIVE.RateCurve.JPY-LIBOR-BBA-6M</v>
      </c>
    </row>
    <row r="21" spans="2:2">
      <c r="B21" s="10" t="str">
        <v>Market.QR_LIVE.RateCurve.JPY-LIBOR-ISDA-1M</v>
      </c>
    </row>
    <row r="22" spans="2:2">
      <c r="B22" s="10" t="str">
        <v>Market.QR_LIVE.RateCurve.JPY-LIBOR-ISDA-3M</v>
      </c>
    </row>
    <row r="23" spans="2:2">
      <c r="B23" s="10" t="str">
        <v>Market.QR_LIVE.RateCurve.JPY-LIBOR-ISDA-6M</v>
      </c>
    </row>
    <row r="24" spans="2:2">
      <c r="B24" s="10" t="str">
        <v>Market.QR_LIVE.RateCurve.NZD-BBR-FRA-1M</v>
      </c>
    </row>
    <row r="25" spans="2:2">
      <c r="B25" s="10" t="str">
        <v>Market.QR_LIVE.RateCurve.NZD-BBR-FRA-3M</v>
      </c>
    </row>
    <row r="26" spans="2:2">
      <c r="B26" s="10" t="str">
        <v>Market.QR_LIVE.RateCurve.NZD-BBR-FRA-6M</v>
      </c>
    </row>
    <row r="27" spans="2:2">
      <c r="B27" s="10" t="str">
        <v>Market.QR_LIVE.RateCurve.USD-LIBOR-BBA-1M</v>
      </c>
    </row>
    <row r="28" spans="2:2">
      <c r="B28" s="10" t="str">
        <v>Market.QR_LIVE.RateCurve.USD-LIBOR-BBA-6M</v>
      </c>
    </row>
    <row r="29" spans="2:2">
      <c r="B29" s="10" t="str">
        <v>Market.QR_LIVE.RateCurve.GBP-LIBOR-BBA-1M</v>
      </c>
    </row>
    <row r="30" spans="2:2">
      <c r="B30" s="10" t="str">
        <v>Market.QR_LIVE.RateCurve.GBP-LIBOR-BBA-6M</v>
      </c>
    </row>
    <row r="31" spans="2:2">
      <c r="B31" s="10" t="str">
        <v>Market.QR_LIVE.RateCurve.CHF-LIBOR-BBA-1M</v>
      </c>
    </row>
    <row r="32" spans="2:2">
      <c r="B32" s="10" t="str">
        <v>Market.QR_LIVE.RateCurve.CHF-LIBOR-BBA-6M</v>
      </c>
    </row>
    <row r="33" spans="2:2">
      <c r="B33" s="10" t="str">
        <v>Market.QR_LIVE.RateCurve.CHF-LIBOR-BBA-3M</v>
      </c>
    </row>
    <row r="34" spans="2:2">
      <c r="B34" s="10" t="str">
        <v>Market.QR_LIVE.RateCurve.EUR-EURIBOR-Telerate-6M</v>
      </c>
    </row>
    <row r="35" spans="2:2">
      <c r="B35" s="10" t="str">
        <v>Market.QR_LIVE.RateCurve.EUR-EURIBOR-Telerate-3M</v>
      </c>
    </row>
    <row r="36" spans="2:2">
      <c r="B36" s="10" t="str">
        <v>Market.QR_LIVE.RateCurve.EUR-EURIBOR-Telerate-1M</v>
      </c>
    </row>
    <row r="37" spans="2:2">
      <c r="B37" s="10" t="str">
        <v>Market.QR_LIVE.RateCurve.AUD-LIBOR-BBA-3M.AUD-Deposit-1M</v>
      </c>
    </row>
    <row r="38" spans="2:2">
      <c r="B38" s="10" t="str">
        <v>Market.QR_LIVE.RateCurve.AUD-LIBOR-BBA-3M.AUD-Deposit-2M</v>
      </c>
    </row>
    <row r="39" spans="2:2">
      <c r="B39" s="10" t="str">
        <v>Market.QR_LIVE.RateCurve.AUD-LIBOR-BBA-3M.AUD-Deposit-3M</v>
      </c>
    </row>
    <row r="40" spans="2:2">
      <c r="B40" s="10" t="str">
        <v>Market.QR_LIVE.RateCurve.AUD-LIBOR-BBA-3M.AUD-IRFuture-IR-1</v>
      </c>
    </row>
    <row r="41" spans="2:2">
      <c r="B41" s="10" t="str">
        <v>Market.QR_LIVE.RateCurve.AUD-LIBOR-BBA-3M.AUD-IRFuture-IR-2</v>
      </c>
    </row>
    <row r="42" spans="2:2">
      <c r="B42" s="10" t="str">
        <v>Market.QR_LIVE.RateCurve.AUD-LIBOR-BBA-3M.AUD-IRFuture-IR-3</v>
      </c>
    </row>
    <row r="43" spans="2:2">
      <c r="B43" s="10" t="str">
        <v>Market.QR_LIVE.RateCurve.AUD-LIBOR-BBA-3M.AUD-IRFuture-IR-4</v>
      </c>
    </row>
    <row r="44" spans="2:2">
      <c r="B44" s="10" t="str">
        <v>Market.QR_LIVE.RateCurve.AUD-LIBOR-BBA-3M.AUD-IRFuture-IR-5</v>
      </c>
    </row>
    <row r="45" spans="2:2">
      <c r="B45" s="10" t="str">
        <v>Market.QR_LIVE.RateCurve.AUD-LIBOR-BBA-3M.AUD-IRFuture-IR-6</v>
      </c>
    </row>
    <row r="46" spans="2:2">
      <c r="B46" s="10" t="str">
        <v>Market.QR_LIVE.RateCurve.AUD-LIBOR-BBA-3M.AUD-IRFuture-IR-7</v>
      </c>
    </row>
    <row r="47" spans="2:2">
      <c r="B47" s="10" t="str">
        <v>Market.QR_LIVE.RateCurve.AUD-LIBOR-BBA-3M.AUD-IRFuture-IR-8</v>
      </c>
    </row>
    <row r="48" spans="2:2">
      <c r="B48" s="10" t="str">
        <v>Market.QR_LIVE.RateCurve.AUD-LIBOR-BBA-3M.AUD-IRSwap-3Y</v>
      </c>
    </row>
    <row r="49" spans="2:2">
      <c r="B49" s="10" t="str">
        <v>Market.QR_LIVE.RateCurve.AUD-LIBOR-BBA-3M.AUD-IRSwap-4Y</v>
      </c>
    </row>
    <row r="50" spans="2:2">
      <c r="B50" s="10" t="str">
        <v>Market.QR_LIVE.RateCurve.AUD-LIBOR-BBA-3M.AUD-IRSwap-5Y</v>
      </c>
    </row>
    <row r="51" spans="2:2">
      <c r="B51" s="10" t="str">
        <v>Market.QR_LIVE.RateCurve.AUD-LIBOR-BBA-3M.AUD-IRSwap-6Y</v>
      </c>
    </row>
    <row r="52" spans="2:2">
      <c r="B52" s="10" t="str">
        <v>Market.QR_LIVE.RateCurve.AUD-LIBOR-BBA-3M.AUD-IRSwap-7Y</v>
      </c>
    </row>
    <row r="53" spans="2:2">
      <c r="B53" s="10" t="str">
        <v>Market.QR_LIVE.RateCurve.AUD-LIBOR-BBA-3M.AUD-IRSwap-8Y</v>
      </c>
    </row>
    <row r="54" spans="2:2">
      <c r="B54" s="10" t="str">
        <v>Market.QR_LIVE.RateCurve.AUD-LIBOR-BBA-3M.AUD-IRSwap-9Y</v>
      </c>
    </row>
    <row r="55" spans="2:2">
      <c r="B55" s="10" t="str">
        <v>Market.QR_LIVE.RateCurve.AUD-LIBOR-BBA-3M.AUD-IRSwap-10Y</v>
      </c>
    </row>
    <row r="56" spans="2:2">
      <c r="B56" s="10" t="str">
        <v>Market.QR_LIVE.RateCurve.AUD-LIBOR-BBA-3M.AUD-IRSwap-15Y</v>
      </c>
    </row>
    <row r="57" spans="2:2">
      <c r="B57" s="10" t="str">
        <v>Market.QR_LIVE.RateCurve.AUD-LIBOR-BBA-3M.AUD-IRSwap-20Y</v>
      </c>
    </row>
    <row r="58" spans="2:2">
      <c r="B58" s="10" t="str">
        <v>Market.QR_LIVE.RateCurve.AUD-LIBOR-BBA-3M.AUD-Deposit-1D</v>
      </c>
    </row>
    <row r="59" spans="2:2">
      <c r="B59" s="10" t="str">
        <v>Market.QR_LIVE.RateCurve.AUD-LIBOR-BBA-3M.AUD-Deposit-1W</v>
      </c>
    </row>
    <row r="60" spans="2:2">
      <c r="B60" s="10" t="str">
        <v>Market.QR_LIVE.RateCurve.AUD-LIBOR-BBA-3M.AUD-Deposit-2W</v>
      </c>
    </row>
    <row r="61" spans="2:2">
      <c r="B61" s="10" t="str">
        <v>Market.QR_LIVE.RateCurve.AUD-LIBOR-BBA-3M</v>
      </c>
    </row>
    <row r="62" spans="2:2">
      <c r="B62" s="10" t="str">
        <v>Market.QR_LIVE.RateCurve.GBP-LIBOR-ISDA-3M</v>
      </c>
    </row>
    <row r="63" spans="2:2">
      <c r="B63" s="10" t="str">
        <v>Market.QR_LIVE.RateCurve.GBP-LIBOR-ISDA-1M</v>
      </c>
    </row>
    <row r="64" spans="2:2">
      <c r="B64" s="10" t="str">
        <v>Market.QR_LIVE.RateCurve.USD-Federal Funds-H15-OIS-COMPOUND-1D</v>
      </c>
    </row>
    <row r="65" spans="2:2">
      <c r="B65" s="10" t="str">
        <v>Market.QR_LIVE.RateCurve.USD-LIBOR-ISDA-6M</v>
      </c>
    </row>
    <row r="66" spans="2:2">
      <c r="B66" s="10" t="str">
        <v>Market.QR_LIVE.RateCurve.GBP-LIBOR-ISDA-6M</v>
      </c>
    </row>
    <row r="67" spans="2:2">
      <c r="B67" s="10" t="str">
        <v>Market.QR_LIVE.RateCurve.AUD-AONIA-OIS-COMPOUND-1D</v>
      </c>
    </row>
    <row r="68" spans="2:2">
      <c r="B68" s="10" t="str">
        <v>Market.QR_LIVE.RateCurve.AUD-BBR-BBSW-3M</v>
      </c>
    </row>
    <row r="69" spans="2:2">
      <c r="B69" s="10" t="str">
        <v>Market.QR_LIVE.RateCurve.AUD-BBR-BBSW-6M</v>
      </c>
    </row>
    <row r="70" spans="2:2">
      <c r="B70" s="10" t="e">
        <v>#N/A</v>
      </c>
    </row>
    <row r="71" spans="2:2">
      <c r="B71" s="10" t="e">
        <v>#N/A</v>
      </c>
    </row>
    <row r="72" spans="2:2">
      <c r="B72" s="10" t="e">
        <v>#N/A</v>
      </c>
    </row>
    <row r="73" spans="2:2">
      <c r="B73" s="10" t="e">
        <v>#N/A</v>
      </c>
    </row>
    <row r="74" spans="2:2">
      <c r="B74" s="10" t="e">
        <v>#N/A</v>
      </c>
    </row>
    <row r="75" spans="2:2">
      <c r="B75" s="10" t="e">
        <v>#N/A</v>
      </c>
    </row>
    <row r="76" spans="2:2">
      <c r="B76" s="10" t="e">
        <v>#N/A</v>
      </c>
    </row>
    <row r="77" spans="2:2">
      <c r="B77" s="10" t="e">
        <v>#N/A</v>
      </c>
    </row>
  </sheetData>
  <phoneticPr fontId="0" type="noConversion"/>
  <dataValidations count="1">
    <dataValidation type="list" allowBlank="1" showInputMessage="1" showErrorMessage="1" sqref="D9" xr:uid="{00000000-0002-0000-0000-000000000000}">
      <formula1>CurveList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Q32"/>
  <sheetViews>
    <sheetView workbookViewId="0">
      <selection activeCell="B6" sqref="B6"/>
    </sheetView>
  </sheetViews>
  <sheetFormatPr defaultRowHeight="12.75"/>
  <cols>
    <col min="1" max="1" width="43.42578125" customWidth="1"/>
    <col min="2" max="2" width="50.7109375" bestFit="1" customWidth="1"/>
    <col min="3" max="3" width="10.42578125" customWidth="1"/>
    <col min="4" max="4" width="9.5703125" bestFit="1" customWidth="1"/>
    <col min="5" max="5" width="5.7109375" bestFit="1" customWidth="1"/>
    <col min="6" max="7" width="8.7109375" bestFit="1" customWidth="1"/>
    <col min="8" max="8" width="8.140625" bestFit="1" customWidth="1"/>
    <col min="9" max="9" width="11" bestFit="1" customWidth="1"/>
    <col min="10" max="10" width="9.5703125" bestFit="1" customWidth="1"/>
    <col min="11" max="11" width="9" bestFit="1" customWidth="1"/>
    <col min="12" max="12" width="8.5703125" bestFit="1" customWidth="1"/>
    <col min="13" max="13" width="11.28515625" bestFit="1" customWidth="1"/>
    <col min="14" max="14" width="5.85546875" bestFit="1" customWidth="1"/>
    <col min="15" max="16" width="8.28515625" bestFit="1" customWidth="1"/>
  </cols>
  <sheetData>
    <row r="1" spans="1:17" ht="15.75" thickBot="1">
      <c r="A1" s="14" t="s">
        <v>27</v>
      </c>
      <c r="B1" s="16" t="s">
        <v>47</v>
      </c>
      <c r="D1" s="23" t="s">
        <v>12</v>
      </c>
      <c r="E1" s="23" t="s">
        <v>59</v>
      </c>
      <c r="F1" s="23" t="s">
        <v>185</v>
      </c>
      <c r="G1" s="23" t="s">
        <v>186</v>
      </c>
      <c r="H1" s="23" t="s">
        <v>60</v>
      </c>
      <c r="I1" s="23" t="s">
        <v>183</v>
      </c>
      <c r="J1" s="23" t="s">
        <v>57</v>
      </c>
      <c r="K1" s="23" t="s">
        <v>184</v>
      </c>
      <c r="L1" s="23" t="s">
        <v>58</v>
      </c>
      <c r="M1" s="23" t="s">
        <v>26</v>
      </c>
      <c r="N1" s="23" t="s">
        <v>11</v>
      </c>
      <c r="O1" s="23" t="s">
        <v>1</v>
      </c>
      <c r="P1" s="23" t="s">
        <v>18</v>
      </c>
    </row>
    <row r="2" spans="1:17" ht="15">
      <c r="A2" s="14" t="s">
        <v>28</v>
      </c>
      <c r="B2" s="16" t="s">
        <v>48</v>
      </c>
      <c r="D2" s="156" t="str">
        <f t="array" aca="1" ref="D2:P13" ca="1">_xll.HLV5r3.Financial.Cache.GetSwapLegDetailedCashflowsWithNotionalSchedule(A1:B26, A29:B29,A30:B31)</f>
        <v>AUD</v>
      </c>
      <c r="E2" s="157">
        <f ca="1"/>
        <v>182</v>
      </c>
      <c r="F2" s="158">
        <f ca="1"/>
        <v>338867.13547272072</v>
      </c>
      <c r="G2" s="158">
        <f ca="1"/>
        <v>314916.74957056396</v>
      </c>
      <c r="H2" s="159">
        <f ca="1"/>
        <v>0.92932219328750798</v>
      </c>
      <c r="I2" s="160">
        <f ca="1"/>
        <v>43865</v>
      </c>
      <c r="J2" s="160">
        <f ca="1"/>
        <v>43865</v>
      </c>
      <c r="K2" s="160">
        <f ca="1"/>
        <v>44047</v>
      </c>
      <c r="L2" s="160">
        <f ca="1"/>
        <v>44047</v>
      </c>
      <c r="M2" s="158">
        <f ca="1"/>
        <v>10000000</v>
      </c>
      <c r="N2" s="161" t="str">
        <f ca="1"/>
        <v>Float</v>
      </c>
      <c r="O2" s="161">
        <f ca="1"/>
        <v>6.70286641594392E-2</v>
      </c>
      <c r="P2" s="162">
        <f ca="1"/>
        <v>0</v>
      </c>
      <c r="Q2" s="139"/>
    </row>
    <row r="3" spans="1:17" ht="15">
      <c r="A3" s="14" t="s">
        <v>29</v>
      </c>
      <c r="B3" s="5">
        <v>10000000</v>
      </c>
      <c r="D3" s="163" t="str">
        <f ca="1"/>
        <v>AUD</v>
      </c>
      <c r="E3" s="164">
        <f ca="1"/>
        <v>184</v>
      </c>
      <c r="F3" s="165">
        <f ca="1"/>
        <v>335104.41016702738</v>
      </c>
      <c r="G3" s="165">
        <f ca="1"/>
        <v>301311.0421214262</v>
      </c>
      <c r="H3" s="166">
        <f ca="1"/>
        <v>0.89915570484805796</v>
      </c>
      <c r="I3" s="167">
        <f ca="1"/>
        <v>44047</v>
      </c>
      <c r="J3" s="167">
        <f ca="1"/>
        <v>44047</v>
      </c>
      <c r="K3" s="167">
        <f ca="1"/>
        <v>44231</v>
      </c>
      <c r="L3" s="167">
        <f ca="1"/>
        <v>44231</v>
      </c>
      <c r="M3" s="165">
        <f ca="1"/>
        <v>10000000</v>
      </c>
      <c r="N3" s="168" t="str">
        <f ca="1"/>
        <v>Float</v>
      </c>
      <c r="O3" s="168">
        <f ca="1"/>
        <v>6.5563906337027106E-2</v>
      </c>
      <c r="P3" s="169">
        <f ca="1"/>
        <v>0</v>
      </c>
    </row>
    <row r="4" spans="1:17" ht="15">
      <c r="A4" s="14" t="s">
        <v>30</v>
      </c>
      <c r="B4" s="3">
        <v>43865</v>
      </c>
      <c r="D4" s="163" t="str">
        <f ca="1"/>
        <v>AUD</v>
      </c>
      <c r="E4" s="164">
        <f ca="1"/>
        <v>181</v>
      </c>
      <c r="F4" s="165">
        <f ca="1"/>
        <v>329334.73562819028</v>
      </c>
      <c r="G4" s="165">
        <f ca="1"/>
        <v>286704.98450244137</v>
      </c>
      <c r="H4" s="166">
        <f ca="1"/>
        <v>0.87055798701453502</v>
      </c>
      <c r="I4" s="167">
        <f ca="1"/>
        <v>44231</v>
      </c>
      <c r="J4" s="167">
        <f ca="1"/>
        <v>44231</v>
      </c>
      <c r="K4" s="167">
        <f ca="1"/>
        <v>44412</v>
      </c>
      <c r="L4" s="167">
        <f ca="1"/>
        <v>44412</v>
      </c>
      <c r="M4" s="165">
        <f ca="1"/>
        <v>10000000</v>
      </c>
      <c r="N4" s="168" t="str">
        <f ca="1"/>
        <v>Float</v>
      </c>
      <c r="O4" s="168">
        <f ca="1"/>
        <v>6.5503041340413501E-2</v>
      </c>
      <c r="P4" s="169">
        <f ca="1"/>
        <v>0</v>
      </c>
    </row>
    <row r="5" spans="1:17" ht="15">
      <c r="A5" s="14" t="s">
        <v>31</v>
      </c>
      <c r="B5" s="3">
        <v>44961</v>
      </c>
      <c r="D5" s="163" t="str">
        <f ca="1"/>
        <v>AUD</v>
      </c>
      <c r="E5" s="164">
        <f ca="1"/>
        <v>184</v>
      </c>
      <c r="F5" s="165">
        <f ca="1"/>
        <v>454967.88046433625</v>
      </c>
      <c r="G5" s="165">
        <f ca="1"/>
        <v>378908.71436632588</v>
      </c>
      <c r="H5" s="166">
        <f ca="1"/>
        <v>0.83282519631850704</v>
      </c>
      <c r="I5" s="167">
        <f ca="1"/>
        <v>44412</v>
      </c>
      <c r="J5" s="167">
        <f ca="1"/>
        <v>44412</v>
      </c>
      <c r="K5" s="167">
        <f ca="1"/>
        <v>44596</v>
      </c>
      <c r="L5" s="167">
        <f ca="1"/>
        <v>44596</v>
      </c>
      <c r="M5" s="165">
        <f ca="1"/>
        <v>10000000</v>
      </c>
      <c r="N5" s="168" t="str">
        <f ca="1"/>
        <v>Float</v>
      </c>
      <c r="O5" s="168">
        <f ca="1"/>
        <v>8.9015454873457106E-2</v>
      </c>
      <c r="P5" s="169">
        <f ca="1"/>
        <v>0</v>
      </c>
    </row>
    <row r="6" spans="1:17" ht="15">
      <c r="A6" s="14" t="s">
        <v>32</v>
      </c>
      <c r="B6" s="18"/>
      <c r="D6" s="163" t="str">
        <f ca="1"/>
        <v>AUD</v>
      </c>
      <c r="E6" s="164">
        <f ca="1"/>
        <v>181</v>
      </c>
      <c r="F6" s="165">
        <f ca="1"/>
        <v>478968.50215656526</v>
      </c>
      <c r="G6" s="165">
        <f ca="1"/>
        <v>380589.87735321658</v>
      </c>
      <c r="H6" s="166">
        <f ca="1"/>
        <v>0.79460314329565096</v>
      </c>
      <c r="I6" s="167">
        <f ca="1"/>
        <v>44596</v>
      </c>
      <c r="J6" s="167">
        <f ca="1"/>
        <v>44596</v>
      </c>
      <c r="K6" s="167">
        <f ca="1"/>
        <v>44777</v>
      </c>
      <c r="L6" s="167">
        <f ca="1"/>
        <v>44777</v>
      </c>
      <c r="M6" s="165">
        <f ca="1"/>
        <v>10000000</v>
      </c>
      <c r="N6" s="168" t="str">
        <f ca="1"/>
        <v>Float</v>
      </c>
      <c r="O6" s="168">
        <f ca="1"/>
        <v>9.5264453467604093E-2</v>
      </c>
      <c r="P6" s="169">
        <f ca="1"/>
        <v>0</v>
      </c>
    </row>
    <row r="7" spans="1:17" ht="15">
      <c r="A7" s="19" t="s">
        <v>49</v>
      </c>
      <c r="B7" s="18"/>
      <c r="D7" s="163" t="str">
        <f ca="1"/>
        <v>AUD</v>
      </c>
      <c r="E7" s="164">
        <f ca="1"/>
        <v>184</v>
      </c>
      <c r="F7" s="165">
        <f ca="1"/>
        <v>366251.77924283361</v>
      </c>
      <c r="G7" s="165">
        <f ca="1"/>
        <v>280740.6962685567</v>
      </c>
      <c r="H7" s="166">
        <f ca="1"/>
        <v>0.76652377457098697</v>
      </c>
      <c r="I7" s="167">
        <f ca="1"/>
        <v>44777</v>
      </c>
      <c r="J7" s="167">
        <f ca="1"/>
        <v>44777</v>
      </c>
      <c r="K7" s="167">
        <f ca="1"/>
        <v>44961</v>
      </c>
      <c r="L7" s="167">
        <f ca="1"/>
        <v>44961</v>
      </c>
      <c r="M7" s="165">
        <f ca="1"/>
        <v>10000000</v>
      </c>
      <c r="N7" s="168" t="str">
        <f ca="1"/>
        <v>Float</v>
      </c>
      <c r="O7" s="168">
        <f ca="1"/>
        <v>7.1657956808380496E-2</v>
      </c>
      <c r="P7" s="169">
        <f ca="1"/>
        <v>0</v>
      </c>
    </row>
    <row r="8" spans="1:17" ht="15">
      <c r="A8" s="14" t="s">
        <v>33</v>
      </c>
      <c r="B8" s="15" t="s">
        <v>15</v>
      </c>
      <c r="D8" s="163" t="e">
        <f ca="1"/>
        <v>#N/A</v>
      </c>
      <c r="E8" s="164" t="e">
        <f ca="1"/>
        <v>#N/A</v>
      </c>
      <c r="F8" s="165" t="e">
        <f ca="1"/>
        <v>#N/A</v>
      </c>
      <c r="G8" s="165" t="e">
        <f ca="1"/>
        <v>#N/A</v>
      </c>
      <c r="H8" s="166" t="e">
        <f ca="1"/>
        <v>#N/A</v>
      </c>
      <c r="I8" s="167" t="e">
        <f ca="1"/>
        <v>#N/A</v>
      </c>
      <c r="J8" s="167" t="e">
        <f ca="1"/>
        <v>#N/A</v>
      </c>
      <c r="K8" s="167" t="e">
        <f ca="1"/>
        <v>#N/A</v>
      </c>
      <c r="L8" s="167" t="e">
        <f ca="1"/>
        <v>#N/A</v>
      </c>
      <c r="M8" s="165" t="e">
        <f ca="1"/>
        <v>#N/A</v>
      </c>
      <c r="N8" s="168" t="e">
        <f ca="1"/>
        <v>#N/A</v>
      </c>
      <c r="O8" s="168" t="e">
        <f ca="1"/>
        <v>#N/A</v>
      </c>
      <c r="P8" s="169" t="e">
        <f ca="1"/>
        <v>#N/A</v>
      </c>
    </row>
    <row r="9" spans="1:17" ht="15">
      <c r="A9" s="19" t="s">
        <v>52</v>
      </c>
      <c r="B9" s="20" t="s">
        <v>53</v>
      </c>
      <c r="D9" s="163" t="e">
        <f ca="1"/>
        <v>#N/A</v>
      </c>
      <c r="E9" s="164" t="e">
        <f ca="1"/>
        <v>#N/A</v>
      </c>
      <c r="F9" s="165" t="e">
        <f ca="1"/>
        <v>#N/A</v>
      </c>
      <c r="G9" s="165" t="e">
        <f ca="1"/>
        <v>#N/A</v>
      </c>
      <c r="H9" s="166" t="e">
        <f ca="1"/>
        <v>#N/A</v>
      </c>
      <c r="I9" s="167" t="e">
        <f ca="1"/>
        <v>#N/A</v>
      </c>
      <c r="J9" s="167" t="e">
        <f ca="1"/>
        <v>#N/A</v>
      </c>
      <c r="K9" s="167" t="e">
        <f ca="1"/>
        <v>#N/A</v>
      </c>
      <c r="L9" s="167" t="e">
        <f ca="1"/>
        <v>#N/A</v>
      </c>
      <c r="M9" s="165" t="e">
        <f ca="1"/>
        <v>#N/A</v>
      </c>
      <c r="N9" s="168" t="e">
        <f ca="1"/>
        <v>#N/A</v>
      </c>
      <c r="O9" s="168" t="e">
        <f ca="1"/>
        <v>#N/A</v>
      </c>
      <c r="P9" s="169" t="e">
        <f ca="1"/>
        <v>#N/A</v>
      </c>
    </row>
    <row r="10" spans="1:17" ht="15">
      <c r="A10" s="19" t="s">
        <v>50</v>
      </c>
      <c r="B10" s="4" t="s">
        <v>51</v>
      </c>
      <c r="D10" s="163" t="e">
        <f ca="1"/>
        <v>#N/A</v>
      </c>
      <c r="E10" s="164" t="e">
        <f ca="1"/>
        <v>#N/A</v>
      </c>
      <c r="F10" s="165" t="e">
        <f ca="1"/>
        <v>#N/A</v>
      </c>
      <c r="G10" s="165" t="e">
        <f ca="1"/>
        <v>#N/A</v>
      </c>
      <c r="H10" s="166" t="e">
        <f ca="1"/>
        <v>#N/A</v>
      </c>
      <c r="I10" s="167" t="e">
        <f ca="1"/>
        <v>#N/A</v>
      </c>
      <c r="J10" s="167" t="e">
        <f ca="1"/>
        <v>#N/A</v>
      </c>
      <c r="K10" s="167" t="e">
        <f ca="1"/>
        <v>#N/A</v>
      </c>
      <c r="L10" s="167" t="e">
        <f ca="1"/>
        <v>#N/A</v>
      </c>
      <c r="M10" s="165" t="e">
        <f ca="1"/>
        <v>#N/A</v>
      </c>
      <c r="N10" s="168" t="e">
        <f ca="1"/>
        <v>#N/A</v>
      </c>
      <c r="O10" s="168" t="e">
        <f ca="1"/>
        <v>#N/A</v>
      </c>
      <c r="P10" s="169" t="e">
        <f ca="1"/>
        <v>#N/A</v>
      </c>
    </row>
    <row r="11" spans="1:17" ht="15">
      <c r="A11" s="14" t="s">
        <v>19</v>
      </c>
      <c r="B11" s="20">
        <v>4</v>
      </c>
      <c r="D11" s="163" t="e">
        <f ca="1"/>
        <v>#N/A</v>
      </c>
      <c r="E11" s="164" t="e">
        <f ca="1"/>
        <v>#N/A</v>
      </c>
      <c r="F11" s="165" t="e">
        <f ca="1"/>
        <v>#N/A</v>
      </c>
      <c r="G11" s="165" t="e">
        <f ca="1"/>
        <v>#N/A</v>
      </c>
      <c r="H11" s="166" t="e">
        <f ca="1"/>
        <v>#N/A</v>
      </c>
      <c r="I11" s="167" t="e">
        <f ca="1"/>
        <v>#N/A</v>
      </c>
      <c r="J11" s="167" t="e">
        <f ca="1"/>
        <v>#N/A</v>
      </c>
      <c r="K11" s="167" t="e">
        <f ca="1"/>
        <v>#N/A</v>
      </c>
      <c r="L11" s="167" t="e">
        <f ca="1"/>
        <v>#N/A</v>
      </c>
      <c r="M11" s="165" t="e">
        <f ca="1"/>
        <v>#N/A</v>
      </c>
      <c r="N11" s="168" t="e">
        <f ca="1"/>
        <v>#N/A</v>
      </c>
      <c r="O11" s="168" t="e">
        <f ca="1"/>
        <v>#N/A</v>
      </c>
      <c r="P11" s="169" t="e">
        <f ca="1"/>
        <v>#N/A</v>
      </c>
    </row>
    <row r="12" spans="1:17" ht="15">
      <c r="A12" s="14" t="s">
        <v>34</v>
      </c>
      <c r="B12" s="15" t="s">
        <v>14</v>
      </c>
      <c r="D12" s="163" t="e">
        <f ca="1"/>
        <v>#N/A</v>
      </c>
      <c r="E12" s="164" t="e">
        <f ca="1"/>
        <v>#N/A</v>
      </c>
      <c r="F12" s="165" t="e">
        <f ca="1"/>
        <v>#N/A</v>
      </c>
      <c r="G12" s="165" t="e">
        <f ca="1"/>
        <v>#N/A</v>
      </c>
      <c r="H12" s="166" t="e">
        <f ca="1"/>
        <v>#N/A</v>
      </c>
      <c r="I12" s="167" t="e">
        <f ca="1"/>
        <v>#N/A</v>
      </c>
      <c r="J12" s="167" t="e">
        <f ca="1"/>
        <v>#N/A</v>
      </c>
      <c r="K12" s="167" t="e">
        <f ca="1"/>
        <v>#N/A</v>
      </c>
      <c r="L12" s="167" t="e">
        <f ca="1"/>
        <v>#N/A</v>
      </c>
      <c r="M12" s="165" t="e">
        <f ca="1"/>
        <v>#N/A</v>
      </c>
      <c r="N12" s="168" t="e">
        <f ca="1"/>
        <v>#N/A</v>
      </c>
      <c r="O12" s="168" t="e">
        <f ca="1"/>
        <v>#N/A</v>
      </c>
      <c r="P12" s="169" t="e">
        <f ca="1"/>
        <v>#N/A</v>
      </c>
    </row>
    <row r="13" spans="1:17" ht="15.75" thickBot="1">
      <c r="A13" s="14" t="s">
        <v>12</v>
      </c>
      <c r="B13" s="17" t="s">
        <v>0</v>
      </c>
      <c r="D13" s="170" t="e">
        <f ca="1"/>
        <v>#N/A</v>
      </c>
      <c r="E13" s="171" t="e">
        <f ca="1"/>
        <v>#N/A</v>
      </c>
      <c r="F13" s="172" t="e">
        <f ca="1"/>
        <v>#N/A</v>
      </c>
      <c r="G13" s="172" t="e">
        <f ca="1"/>
        <v>#N/A</v>
      </c>
      <c r="H13" s="173" t="e">
        <f ca="1"/>
        <v>#N/A</v>
      </c>
      <c r="I13" s="174" t="e">
        <f ca="1"/>
        <v>#N/A</v>
      </c>
      <c r="J13" s="174" t="e">
        <f ca="1"/>
        <v>#N/A</v>
      </c>
      <c r="K13" s="174" t="e">
        <f ca="1"/>
        <v>#N/A</v>
      </c>
      <c r="L13" s="174" t="e">
        <f ca="1"/>
        <v>#N/A</v>
      </c>
      <c r="M13" s="172" t="e">
        <f ca="1"/>
        <v>#N/A</v>
      </c>
      <c r="N13" s="175" t="e">
        <f ca="1"/>
        <v>#N/A</v>
      </c>
      <c r="O13" s="175" t="e">
        <f ca="1"/>
        <v>#N/A</v>
      </c>
      <c r="P13" s="176" t="e">
        <f ca="1"/>
        <v>#N/A</v>
      </c>
    </row>
    <row r="14" spans="1:17" ht="15">
      <c r="A14" s="14" t="s">
        <v>35</v>
      </c>
      <c r="B14" s="4">
        <v>0.05</v>
      </c>
      <c r="D14" s="167"/>
      <c r="E14" s="164"/>
      <c r="F14" s="165"/>
      <c r="G14" s="165"/>
      <c r="H14" s="166"/>
      <c r="I14" s="167"/>
      <c r="J14" s="167"/>
      <c r="K14" s="167"/>
      <c r="L14" s="167"/>
      <c r="M14" s="165"/>
      <c r="N14" s="168"/>
      <c r="O14" s="168"/>
      <c r="P14" s="168"/>
    </row>
    <row r="15" spans="1:17" ht="15">
      <c r="A15" s="14" t="s">
        <v>36</v>
      </c>
      <c r="B15" s="6">
        <v>0</v>
      </c>
      <c r="D15" s="167"/>
      <c r="E15" s="164"/>
      <c r="F15" s="165"/>
      <c r="G15" s="165"/>
      <c r="H15" s="166"/>
      <c r="I15" s="167"/>
      <c r="J15" s="167"/>
      <c r="K15" s="167"/>
      <c r="L15" s="167"/>
      <c r="M15" s="165"/>
      <c r="N15" s="168"/>
      <c r="O15" s="168"/>
      <c r="P15" s="168"/>
    </row>
    <row r="16" spans="1:17" ht="15.75" thickBot="1">
      <c r="A16" s="14" t="s">
        <v>37</v>
      </c>
      <c r="B16" s="15" t="s">
        <v>2</v>
      </c>
      <c r="D16" s="167"/>
      <c r="E16" s="164"/>
      <c r="F16" s="165"/>
      <c r="G16" s="165"/>
      <c r="H16" s="166"/>
      <c r="I16" s="167"/>
      <c r="J16" s="167"/>
      <c r="K16" s="167"/>
      <c r="L16" s="167"/>
      <c r="M16" s="165"/>
      <c r="N16" s="168"/>
      <c r="O16" s="168"/>
      <c r="P16" s="168"/>
    </row>
    <row r="17" spans="1:16" ht="15">
      <c r="A17" s="14" t="s">
        <v>38</v>
      </c>
      <c r="B17" s="4" t="s">
        <v>5</v>
      </c>
      <c r="D17" s="156" t="str">
        <f t="array" aca="1" ref="D17:P31" ca="1">_xll.HLV5r3.Financial.Cache.GetSwapLegDetailedCashflowsWithNotionalSchedule(A1:B26, A29:B29,A30:B31)</f>
        <v>AUD</v>
      </c>
      <c r="E17" s="157">
        <f ca="1"/>
        <v>182</v>
      </c>
      <c r="F17" s="158">
        <f ca="1"/>
        <v>338867.13547272072</v>
      </c>
      <c r="G17" s="158">
        <f ca="1"/>
        <v>314916.74957056396</v>
      </c>
      <c r="H17" s="159">
        <f ca="1"/>
        <v>0.92932219328750798</v>
      </c>
      <c r="I17" s="160">
        <f ca="1"/>
        <v>43865</v>
      </c>
      <c r="J17" s="160">
        <f ca="1"/>
        <v>43865</v>
      </c>
      <c r="K17" s="160">
        <f ca="1"/>
        <v>44047</v>
      </c>
      <c r="L17" s="160">
        <f ca="1"/>
        <v>44047</v>
      </c>
      <c r="M17" s="158">
        <f ca="1"/>
        <v>10000000</v>
      </c>
      <c r="N17" s="161" t="str">
        <f ca="1"/>
        <v>Float</v>
      </c>
      <c r="O17" s="161">
        <f ca="1"/>
        <v>6.70286641594392E-2</v>
      </c>
      <c r="P17" s="162">
        <f ca="1"/>
        <v>0</v>
      </c>
    </row>
    <row r="18" spans="1:16" ht="15">
      <c r="A18" s="14" t="s">
        <v>39</v>
      </c>
      <c r="B18" s="4" t="s">
        <v>8</v>
      </c>
      <c r="D18" s="163" t="str">
        <f ca="1"/>
        <v>AUD</v>
      </c>
      <c r="E18" s="164">
        <f ca="1"/>
        <v>184</v>
      </c>
      <c r="F18" s="165">
        <f ca="1"/>
        <v>335104.41016702738</v>
      </c>
      <c r="G18" s="165">
        <f ca="1"/>
        <v>301311.0421214262</v>
      </c>
      <c r="H18" s="166">
        <f ca="1"/>
        <v>0.89915570484805796</v>
      </c>
      <c r="I18" s="167">
        <f ca="1"/>
        <v>44047</v>
      </c>
      <c r="J18" s="167">
        <f ca="1"/>
        <v>44047</v>
      </c>
      <c r="K18" s="167">
        <f ca="1"/>
        <v>44231</v>
      </c>
      <c r="L18" s="167">
        <f ca="1"/>
        <v>44231</v>
      </c>
      <c r="M18" s="165">
        <f ca="1"/>
        <v>10000000</v>
      </c>
      <c r="N18" s="168" t="str">
        <f ca="1"/>
        <v>Float</v>
      </c>
      <c r="O18" s="168">
        <f ca="1"/>
        <v>6.5563906337027106E-2</v>
      </c>
      <c r="P18" s="169">
        <f ca="1"/>
        <v>0</v>
      </c>
    </row>
    <row r="19" spans="1:16" ht="15">
      <c r="A19" s="14" t="s">
        <v>40</v>
      </c>
      <c r="B19" s="4" t="s">
        <v>3</v>
      </c>
      <c r="D19" s="163" t="str">
        <f ca="1"/>
        <v>AUD</v>
      </c>
      <c r="E19" s="164">
        <f ca="1"/>
        <v>181</v>
      </c>
      <c r="F19" s="165">
        <f ca="1"/>
        <v>329334.73562819028</v>
      </c>
      <c r="G19" s="165">
        <f ca="1"/>
        <v>286704.98450244137</v>
      </c>
      <c r="H19" s="166">
        <f ca="1"/>
        <v>0.87055798701453502</v>
      </c>
      <c r="I19" s="167">
        <f ca="1"/>
        <v>44231</v>
      </c>
      <c r="J19" s="167">
        <f ca="1"/>
        <v>44231</v>
      </c>
      <c r="K19" s="167">
        <f ca="1"/>
        <v>44412</v>
      </c>
      <c r="L19" s="167">
        <f ca="1"/>
        <v>44412</v>
      </c>
      <c r="M19" s="165">
        <f ca="1"/>
        <v>10000000</v>
      </c>
      <c r="N19" s="168" t="str">
        <f ca="1"/>
        <v>Float</v>
      </c>
      <c r="O19" s="168">
        <f ca="1"/>
        <v>6.5503041340413501E-2</v>
      </c>
      <c r="P19" s="169">
        <f ca="1"/>
        <v>0</v>
      </c>
    </row>
    <row r="20" spans="1:16" ht="15">
      <c r="A20" s="14" t="s">
        <v>41</v>
      </c>
      <c r="B20" s="4" t="s">
        <v>8</v>
      </c>
      <c r="D20" s="163" t="str">
        <f ca="1"/>
        <v>AUD</v>
      </c>
      <c r="E20" s="164">
        <f ca="1"/>
        <v>184</v>
      </c>
      <c r="F20" s="165">
        <f ca="1"/>
        <v>454967.88046433625</v>
      </c>
      <c r="G20" s="165">
        <f ca="1"/>
        <v>378908.71436632588</v>
      </c>
      <c r="H20" s="166">
        <f ca="1"/>
        <v>0.83282519631850704</v>
      </c>
      <c r="I20" s="167">
        <f ca="1"/>
        <v>44412</v>
      </c>
      <c r="J20" s="167">
        <f ca="1"/>
        <v>44412</v>
      </c>
      <c r="K20" s="167">
        <f ca="1"/>
        <v>44596</v>
      </c>
      <c r="L20" s="167">
        <f ca="1"/>
        <v>44596</v>
      </c>
      <c r="M20" s="165">
        <f ca="1"/>
        <v>10000000</v>
      </c>
      <c r="N20" s="168" t="str">
        <f ca="1"/>
        <v>Float</v>
      </c>
      <c r="O20" s="168">
        <f ca="1"/>
        <v>8.9015454873457106E-2</v>
      </c>
      <c r="P20" s="169">
        <f ca="1"/>
        <v>0</v>
      </c>
    </row>
    <row r="21" spans="1:16" ht="15">
      <c r="A21" s="14" t="s">
        <v>42</v>
      </c>
      <c r="B21" s="15" t="s">
        <v>4</v>
      </c>
      <c r="D21" s="163" t="str">
        <f ca="1"/>
        <v>AUD</v>
      </c>
      <c r="E21" s="164">
        <f ca="1"/>
        <v>181</v>
      </c>
      <c r="F21" s="165">
        <f ca="1"/>
        <v>478968.50215656526</v>
      </c>
      <c r="G21" s="165">
        <f ca="1"/>
        <v>380589.87735321658</v>
      </c>
      <c r="H21" s="166">
        <f ca="1"/>
        <v>0.79460314329565096</v>
      </c>
      <c r="I21" s="167">
        <f ca="1"/>
        <v>44596</v>
      </c>
      <c r="J21" s="167">
        <f ca="1"/>
        <v>44596</v>
      </c>
      <c r="K21" s="167">
        <f ca="1"/>
        <v>44777</v>
      </c>
      <c r="L21" s="167">
        <f ca="1"/>
        <v>44777</v>
      </c>
      <c r="M21" s="165">
        <f ca="1"/>
        <v>10000000</v>
      </c>
      <c r="N21" s="168" t="str">
        <f ca="1"/>
        <v>Float</v>
      </c>
      <c r="O21" s="168">
        <f ca="1"/>
        <v>9.5264453467604093E-2</v>
      </c>
      <c r="P21" s="169">
        <f ca="1"/>
        <v>0</v>
      </c>
    </row>
    <row r="22" spans="1:16" ht="15">
      <c r="A22" s="19" t="s">
        <v>54</v>
      </c>
      <c r="B22" s="138" t="s">
        <v>181</v>
      </c>
      <c r="D22" s="163" t="str">
        <f ca="1"/>
        <v>AUD</v>
      </c>
      <c r="E22" s="164">
        <f ca="1"/>
        <v>184</v>
      </c>
      <c r="F22" s="165">
        <f ca="1"/>
        <v>366251.77924283361</v>
      </c>
      <c r="G22" s="165">
        <f ca="1"/>
        <v>280740.6962685567</v>
      </c>
      <c r="H22" s="166">
        <f ca="1"/>
        <v>0.76652377457098697</v>
      </c>
      <c r="I22" s="167">
        <f ca="1"/>
        <v>44777</v>
      </c>
      <c r="J22" s="167">
        <f ca="1"/>
        <v>44777</v>
      </c>
      <c r="K22" s="167">
        <f ca="1"/>
        <v>44961</v>
      </c>
      <c r="L22" s="167">
        <f ca="1"/>
        <v>44961</v>
      </c>
      <c r="M22" s="165">
        <f ca="1"/>
        <v>10000000</v>
      </c>
      <c r="N22" s="168" t="str">
        <f ca="1"/>
        <v>Float</v>
      </c>
      <c r="O22" s="168">
        <f ca="1"/>
        <v>7.1657956808380496E-2</v>
      </c>
      <c r="P22" s="169">
        <f ca="1"/>
        <v>0</v>
      </c>
    </row>
    <row r="23" spans="1:16" ht="15">
      <c r="A23" s="14" t="s">
        <v>43</v>
      </c>
      <c r="B23" s="3" t="s">
        <v>180</v>
      </c>
      <c r="D23" s="163" t="e">
        <f ca="1"/>
        <v>#N/A</v>
      </c>
      <c r="E23" s="164" t="e">
        <f ca="1"/>
        <v>#N/A</v>
      </c>
      <c r="F23" s="165" t="e">
        <f ca="1"/>
        <v>#N/A</v>
      </c>
      <c r="G23" s="165" t="e">
        <f ca="1"/>
        <v>#N/A</v>
      </c>
      <c r="H23" s="166" t="e">
        <f ca="1"/>
        <v>#N/A</v>
      </c>
      <c r="I23" s="167" t="e">
        <f ca="1"/>
        <v>#N/A</v>
      </c>
      <c r="J23" s="167" t="e">
        <f ca="1"/>
        <v>#N/A</v>
      </c>
      <c r="K23" s="167" t="e">
        <f ca="1"/>
        <v>#N/A</v>
      </c>
      <c r="L23" s="167" t="e">
        <f ca="1"/>
        <v>#N/A</v>
      </c>
      <c r="M23" s="165" t="e">
        <f ca="1"/>
        <v>#N/A</v>
      </c>
      <c r="N23" s="168" t="e">
        <f ca="1"/>
        <v>#N/A</v>
      </c>
      <c r="O23" s="168" t="e">
        <f ca="1"/>
        <v>#N/A</v>
      </c>
      <c r="P23" s="169" t="e">
        <f ca="1"/>
        <v>#N/A</v>
      </c>
    </row>
    <row r="24" spans="1:16" ht="15">
      <c r="A24" s="14" t="s">
        <v>44</v>
      </c>
      <c r="B24" s="4" t="s">
        <v>180</v>
      </c>
      <c r="D24" s="163" t="e">
        <f ca="1"/>
        <v>#N/A</v>
      </c>
      <c r="E24" s="164" t="e">
        <f ca="1"/>
        <v>#N/A</v>
      </c>
      <c r="F24" s="165" t="e">
        <f ca="1"/>
        <v>#N/A</v>
      </c>
      <c r="G24" s="165" t="e">
        <f ca="1"/>
        <v>#N/A</v>
      </c>
      <c r="H24" s="166" t="e">
        <f ca="1"/>
        <v>#N/A</v>
      </c>
      <c r="I24" s="167" t="e">
        <f ca="1"/>
        <v>#N/A</v>
      </c>
      <c r="J24" s="167" t="e">
        <f ca="1"/>
        <v>#N/A</v>
      </c>
      <c r="K24" s="167" t="e">
        <f ca="1"/>
        <v>#N/A</v>
      </c>
      <c r="L24" s="167" t="e">
        <f ca="1"/>
        <v>#N/A</v>
      </c>
      <c r="M24" s="165" t="e">
        <f ca="1"/>
        <v>#N/A</v>
      </c>
      <c r="N24" s="168" t="e">
        <f ca="1"/>
        <v>#N/A</v>
      </c>
      <c r="O24" s="168" t="e">
        <f ca="1"/>
        <v>#N/A</v>
      </c>
      <c r="P24" s="169" t="e">
        <f ca="1"/>
        <v>#N/A</v>
      </c>
    </row>
    <row r="25" spans="1:16" ht="15">
      <c r="A25" s="14" t="s">
        <v>45</v>
      </c>
      <c r="B25" s="15"/>
      <c r="D25" s="163" t="e">
        <f ca="1"/>
        <v>#N/A</v>
      </c>
      <c r="E25" s="164" t="e">
        <f ca="1"/>
        <v>#N/A</v>
      </c>
      <c r="F25" s="165" t="e">
        <f ca="1"/>
        <v>#N/A</v>
      </c>
      <c r="G25" s="165" t="e">
        <f ca="1"/>
        <v>#N/A</v>
      </c>
      <c r="H25" s="166" t="e">
        <f ca="1"/>
        <v>#N/A</v>
      </c>
      <c r="I25" s="167" t="e">
        <f ca="1"/>
        <v>#N/A</v>
      </c>
      <c r="J25" s="167" t="e">
        <f ca="1"/>
        <v>#N/A</v>
      </c>
      <c r="K25" s="167" t="e">
        <f ca="1"/>
        <v>#N/A</v>
      </c>
      <c r="L25" s="167" t="e">
        <f ca="1"/>
        <v>#N/A</v>
      </c>
      <c r="M25" s="165" t="e">
        <f ca="1"/>
        <v>#N/A</v>
      </c>
      <c r="N25" s="168" t="e">
        <f ca="1"/>
        <v>#N/A</v>
      </c>
      <c r="O25" s="168" t="e">
        <f ca="1"/>
        <v>#N/A</v>
      </c>
      <c r="P25" s="169" t="e">
        <f ca="1"/>
        <v>#N/A</v>
      </c>
    </row>
    <row r="26" spans="1:16" ht="15">
      <c r="A26" s="14" t="s">
        <v>182</v>
      </c>
      <c r="B26" s="15" t="b">
        <v>1</v>
      </c>
      <c r="D26" s="163" t="e">
        <f ca="1"/>
        <v>#N/A</v>
      </c>
      <c r="E26" s="164" t="e">
        <f ca="1"/>
        <v>#N/A</v>
      </c>
      <c r="F26" s="165" t="e">
        <f ca="1"/>
        <v>#N/A</v>
      </c>
      <c r="G26" s="165" t="e">
        <f ca="1"/>
        <v>#N/A</v>
      </c>
      <c r="H26" s="166" t="e">
        <f ca="1"/>
        <v>#N/A</v>
      </c>
      <c r="I26" s="167" t="e">
        <f ca="1"/>
        <v>#N/A</v>
      </c>
      <c r="J26" s="167" t="e">
        <f ca="1"/>
        <v>#N/A</v>
      </c>
      <c r="K26" s="167" t="e">
        <f ca="1"/>
        <v>#N/A</v>
      </c>
      <c r="L26" s="167" t="e">
        <f ca="1"/>
        <v>#N/A</v>
      </c>
      <c r="M26" s="165" t="e">
        <f ca="1"/>
        <v>#N/A</v>
      </c>
      <c r="N26" s="168" t="e">
        <f ca="1"/>
        <v>#N/A</v>
      </c>
      <c r="O26" s="168" t="e">
        <f ca="1"/>
        <v>#N/A</v>
      </c>
      <c r="P26" s="169" t="e">
        <f ca="1"/>
        <v>#N/A</v>
      </c>
    </row>
    <row r="27" spans="1:16">
      <c r="D27" s="163" t="e">
        <f ca="1"/>
        <v>#N/A</v>
      </c>
      <c r="E27" s="164" t="e">
        <f ca="1"/>
        <v>#N/A</v>
      </c>
      <c r="F27" s="165" t="e">
        <f ca="1"/>
        <v>#N/A</v>
      </c>
      <c r="G27" s="165" t="e">
        <f ca="1"/>
        <v>#N/A</v>
      </c>
      <c r="H27" s="166" t="e">
        <f ca="1"/>
        <v>#N/A</v>
      </c>
      <c r="I27" s="167" t="e">
        <f ca="1"/>
        <v>#N/A</v>
      </c>
      <c r="J27" s="167" t="e">
        <f ca="1"/>
        <v>#N/A</v>
      </c>
      <c r="K27" s="167" t="e">
        <f ca="1"/>
        <v>#N/A</v>
      </c>
      <c r="L27" s="167" t="e">
        <f ca="1"/>
        <v>#N/A</v>
      </c>
      <c r="M27" s="165" t="e">
        <f ca="1"/>
        <v>#N/A</v>
      </c>
      <c r="N27" s="168" t="e">
        <f ca="1"/>
        <v>#N/A</v>
      </c>
      <c r="O27" s="168" t="e">
        <f ca="1"/>
        <v>#N/A</v>
      </c>
      <c r="P27" s="169" t="e">
        <f ca="1"/>
        <v>#N/A</v>
      </c>
    </row>
    <row r="28" spans="1:16">
      <c r="D28" s="163" t="e">
        <f ca="1"/>
        <v>#N/A</v>
      </c>
      <c r="E28" s="164" t="e">
        <f ca="1"/>
        <v>#N/A</v>
      </c>
      <c r="F28" s="165" t="e">
        <f ca="1"/>
        <v>#N/A</v>
      </c>
      <c r="G28" s="165" t="e">
        <f ca="1"/>
        <v>#N/A</v>
      </c>
      <c r="H28" s="166" t="e">
        <f ca="1"/>
        <v>#N/A</v>
      </c>
      <c r="I28" s="167" t="e">
        <f ca="1"/>
        <v>#N/A</v>
      </c>
      <c r="J28" s="167" t="e">
        <f ca="1"/>
        <v>#N/A</v>
      </c>
      <c r="K28" s="167" t="e">
        <f ca="1"/>
        <v>#N/A</v>
      </c>
      <c r="L28" s="167" t="e">
        <f ca="1"/>
        <v>#N/A</v>
      </c>
      <c r="M28" s="165" t="e">
        <f ca="1"/>
        <v>#N/A</v>
      </c>
      <c r="N28" s="168" t="e">
        <f ca="1"/>
        <v>#N/A</v>
      </c>
      <c r="O28" s="168" t="e">
        <f ca="1"/>
        <v>#N/A</v>
      </c>
      <c r="P28" s="169" t="e">
        <f ca="1"/>
        <v>#N/A</v>
      </c>
    </row>
    <row r="29" spans="1:16" ht="15">
      <c r="A29" s="187">
        <f>B4</f>
        <v>43865</v>
      </c>
      <c r="B29" s="17">
        <f>B3</f>
        <v>10000000</v>
      </c>
      <c r="D29" s="163" t="e">
        <f ca="1"/>
        <v>#N/A</v>
      </c>
      <c r="E29" s="164" t="e">
        <f ca="1"/>
        <v>#N/A</v>
      </c>
      <c r="F29" s="165" t="e">
        <f ca="1"/>
        <v>#N/A</v>
      </c>
      <c r="G29" s="165" t="e">
        <f ca="1"/>
        <v>#N/A</v>
      </c>
      <c r="H29" s="166" t="e">
        <f ca="1"/>
        <v>#N/A</v>
      </c>
      <c r="I29" s="167" t="e">
        <f ca="1"/>
        <v>#N/A</v>
      </c>
      <c r="J29" s="167" t="e">
        <f ca="1"/>
        <v>#N/A</v>
      </c>
      <c r="K29" s="167" t="e">
        <f ca="1"/>
        <v>#N/A</v>
      </c>
      <c r="L29" s="167" t="e">
        <f ca="1"/>
        <v>#N/A</v>
      </c>
      <c r="M29" s="165" t="e">
        <f ca="1"/>
        <v>#N/A</v>
      </c>
      <c r="N29" s="168" t="e">
        <f ca="1"/>
        <v>#N/A</v>
      </c>
      <c r="O29" s="168" t="e">
        <f ca="1"/>
        <v>#N/A</v>
      </c>
      <c r="P29" s="169" t="e">
        <f ca="1"/>
        <v>#N/A</v>
      </c>
    </row>
    <row r="30" spans="1:16" ht="15">
      <c r="A30" s="21" t="s">
        <v>56</v>
      </c>
      <c r="B30" s="22" t="s">
        <v>47</v>
      </c>
      <c r="D30" s="163" t="e">
        <f ca="1"/>
        <v>#N/A</v>
      </c>
      <c r="E30" s="164" t="e">
        <f ca="1"/>
        <v>#N/A</v>
      </c>
      <c r="F30" s="165" t="e">
        <f ca="1"/>
        <v>#N/A</v>
      </c>
      <c r="G30" s="165" t="e">
        <f ca="1"/>
        <v>#N/A</v>
      </c>
      <c r="H30" s="166" t="e">
        <f ca="1"/>
        <v>#N/A</v>
      </c>
      <c r="I30" s="167" t="e">
        <f ca="1"/>
        <v>#N/A</v>
      </c>
      <c r="J30" s="167" t="e">
        <f ca="1"/>
        <v>#N/A</v>
      </c>
      <c r="K30" s="167" t="e">
        <f ca="1"/>
        <v>#N/A</v>
      </c>
      <c r="L30" s="167" t="e">
        <f ca="1"/>
        <v>#N/A</v>
      </c>
      <c r="M30" s="165" t="e">
        <f ca="1"/>
        <v>#N/A</v>
      </c>
      <c r="N30" s="168" t="e">
        <f ca="1"/>
        <v>#N/A</v>
      </c>
      <c r="O30" s="168" t="e">
        <f ca="1"/>
        <v>#N/A</v>
      </c>
      <c r="P30" s="169" t="e">
        <f ca="1"/>
        <v>#N/A</v>
      </c>
    </row>
    <row r="31" spans="1:16" ht="15.75" thickBot="1">
      <c r="A31" s="2" t="s">
        <v>6</v>
      </c>
      <c r="B31" s="3">
        <f ca="1">TODAY()</f>
        <v>43647</v>
      </c>
      <c r="D31" s="170" t="e">
        <f ca="1"/>
        <v>#N/A</v>
      </c>
      <c r="E31" s="171" t="e">
        <f ca="1"/>
        <v>#N/A</v>
      </c>
      <c r="F31" s="172" t="e">
        <f ca="1"/>
        <v>#N/A</v>
      </c>
      <c r="G31" s="172" t="e">
        <f ca="1"/>
        <v>#N/A</v>
      </c>
      <c r="H31" s="173" t="e">
        <f ca="1"/>
        <v>#N/A</v>
      </c>
      <c r="I31" s="174" t="e">
        <f ca="1"/>
        <v>#N/A</v>
      </c>
      <c r="J31" s="174" t="e">
        <f ca="1"/>
        <v>#N/A</v>
      </c>
      <c r="K31" s="174" t="e">
        <f ca="1"/>
        <v>#N/A</v>
      </c>
      <c r="L31" s="174" t="e">
        <f ca="1"/>
        <v>#N/A</v>
      </c>
      <c r="M31" s="172" t="e">
        <f ca="1"/>
        <v>#N/A</v>
      </c>
      <c r="N31" s="175" t="e">
        <f ca="1"/>
        <v>#N/A</v>
      </c>
      <c r="O31" s="175" t="e">
        <f ca="1"/>
        <v>#N/A</v>
      </c>
      <c r="P31" s="176" t="e">
        <f ca="1"/>
        <v>#N/A</v>
      </c>
    </row>
    <row r="32" spans="1:16">
      <c r="A32" s="7"/>
      <c r="B32" s="13"/>
    </row>
  </sheetData>
  <dataValidations disablePrompts="1" count="1">
    <dataValidation type="list" allowBlank="1" showInputMessage="1" showErrorMessage="1" sqref="B12" xr:uid="{00000000-0002-0000-01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2:E52"/>
  <sheetViews>
    <sheetView workbookViewId="0">
      <selection activeCell="B34" sqref="B34"/>
    </sheetView>
  </sheetViews>
  <sheetFormatPr defaultRowHeight="12.75"/>
  <cols>
    <col min="1" max="1" width="43.42578125" customWidth="1"/>
    <col min="2" max="2" width="50.7109375" bestFit="1" customWidth="1"/>
    <col min="3" max="3" width="12" bestFit="1" customWidth="1"/>
    <col min="4" max="4" width="31.85546875" bestFit="1" customWidth="1"/>
    <col min="5" max="5" width="54.7109375" bestFit="1" customWidth="1"/>
  </cols>
  <sheetData>
    <row r="2" spans="1:5" ht="15">
      <c r="A2" s="14" t="s">
        <v>27</v>
      </c>
      <c r="B2" s="148" t="s">
        <v>190</v>
      </c>
      <c r="D2" s="14" t="s">
        <v>27</v>
      </c>
      <c r="E2" s="148" t="s">
        <v>192</v>
      </c>
    </row>
    <row r="3" spans="1:5" ht="15">
      <c r="A3" s="14" t="s">
        <v>28</v>
      </c>
      <c r="B3" s="148" t="s">
        <v>192</v>
      </c>
      <c r="D3" s="14" t="s">
        <v>28</v>
      </c>
      <c r="E3" s="148" t="s">
        <v>190</v>
      </c>
    </row>
    <row r="4" spans="1:5" ht="15">
      <c r="A4" s="14" t="s">
        <v>29</v>
      </c>
      <c r="B4" s="5">
        <v>10000000</v>
      </c>
      <c r="D4" s="14" t="s">
        <v>29</v>
      </c>
      <c r="E4" s="5">
        <v>10000000</v>
      </c>
    </row>
    <row r="5" spans="1:5" ht="15">
      <c r="A5" s="14" t="s">
        <v>30</v>
      </c>
      <c r="B5" s="3">
        <v>43865</v>
      </c>
      <c r="D5" s="14" t="s">
        <v>30</v>
      </c>
      <c r="E5" s="3">
        <f>B5</f>
        <v>43865</v>
      </c>
    </row>
    <row r="6" spans="1:5" ht="15">
      <c r="A6" s="14" t="s">
        <v>31</v>
      </c>
      <c r="B6" s="3">
        <v>45692</v>
      </c>
      <c r="D6" s="14" t="s">
        <v>31</v>
      </c>
      <c r="E6" s="3">
        <f>B6</f>
        <v>45692</v>
      </c>
    </row>
    <row r="7" spans="1:5" ht="15">
      <c r="A7" s="14" t="s">
        <v>32</v>
      </c>
      <c r="B7" s="18"/>
      <c r="D7" s="14" t="s">
        <v>32</v>
      </c>
      <c r="E7" s="18"/>
    </row>
    <row r="8" spans="1:5" ht="15">
      <c r="A8" s="19" t="s">
        <v>49</v>
      </c>
      <c r="B8" s="18"/>
      <c r="D8" s="19" t="s">
        <v>49</v>
      </c>
      <c r="E8" s="18"/>
    </row>
    <row r="9" spans="1:5" ht="15">
      <c r="A9" s="14" t="s">
        <v>33</v>
      </c>
      <c r="B9" s="15" t="s">
        <v>15</v>
      </c>
      <c r="D9" s="14" t="s">
        <v>33</v>
      </c>
      <c r="E9" s="15" t="s">
        <v>15</v>
      </c>
    </row>
    <row r="10" spans="1:5" ht="15">
      <c r="A10" s="19" t="s">
        <v>52</v>
      </c>
      <c r="B10" s="20" t="s">
        <v>53</v>
      </c>
      <c r="D10" s="19" t="s">
        <v>52</v>
      </c>
      <c r="E10" s="20" t="s">
        <v>53</v>
      </c>
    </row>
    <row r="11" spans="1:5" ht="15">
      <c r="A11" s="19" t="s">
        <v>50</v>
      </c>
      <c r="B11" s="4" t="s">
        <v>51</v>
      </c>
      <c r="D11" s="19" t="s">
        <v>50</v>
      </c>
      <c r="E11" s="4" t="s">
        <v>51</v>
      </c>
    </row>
    <row r="12" spans="1:5" ht="15">
      <c r="A12" s="14" t="s">
        <v>19</v>
      </c>
      <c r="B12" s="20">
        <v>4</v>
      </c>
      <c r="D12" s="14" t="s">
        <v>19</v>
      </c>
      <c r="E12" s="20">
        <v>4</v>
      </c>
    </row>
    <row r="13" spans="1:5" ht="15">
      <c r="A13" s="14" t="s">
        <v>34</v>
      </c>
      <c r="B13" s="15" t="s">
        <v>14</v>
      </c>
      <c r="D13" s="14" t="s">
        <v>34</v>
      </c>
      <c r="E13" s="15" t="s">
        <v>14</v>
      </c>
    </row>
    <row r="14" spans="1:5" ht="15">
      <c r="A14" s="14" t="s">
        <v>12</v>
      </c>
      <c r="B14" s="17" t="s">
        <v>0</v>
      </c>
      <c r="D14" s="14" t="s">
        <v>12</v>
      </c>
      <c r="E14" s="17" t="s">
        <v>0</v>
      </c>
    </row>
    <row r="15" spans="1:5" ht="15">
      <c r="A15" s="14" t="s">
        <v>35</v>
      </c>
      <c r="B15" s="4">
        <v>0.05</v>
      </c>
      <c r="D15" s="14" t="s">
        <v>35</v>
      </c>
      <c r="E15" s="4">
        <v>0.05</v>
      </c>
    </row>
    <row r="16" spans="1:5" ht="15">
      <c r="A16" s="14" t="s">
        <v>36</v>
      </c>
      <c r="B16" s="6">
        <v>0</v>
      </c>
      <c r="D16" s="14" t="s">
        <v>36</v>
      </c>
      <c r="E16" s="6">
        <v>0</v>
      </c>
    </row>
    <row r="17" spans="1:5" ht="15">
      <c r="A17" s="14" t="s">
        <v>37</v>
      </c>
      <c r="B17" s="15" t="s">
        <v>2</v>
      </c>
      <c r="D17" s="14" t="s">
        <v>37</v>
      </c>
      <c r="E17" s="15" t="s">
        <v>2</v>
      </c>
    </row>
    <row r="18" spans="1:5" ht="15">
      <c r="A18" s="14" t="s">
        <v>38</v>
      </c>
      <c r="B18" s="4" t="s">
        <v>5</v>
      </c>
      <c r="D18" s="14" t="s">
        <v>38</v>
      </c>
      <c r="E18" s="4" t="s">
        <v>5</v>
      </c>
    </row>
    <row r="19" spans="1:5" ht="15">
      <c r="A19" s="14" t="s">
        <v>39</v>
      </c>
      <c r="B19" s="4" t="s">
        <v>8</v>
      </c>
      <c r="D19" s="14" t="s">
        <v>39</v>
      </c>
      <c r="E19" s="4" t="s">
        <v>8</v>
      </c>
    </row>
    <row r="20" spans="1:5" ht="15">
      <c r="A20" s="14" t="s">
        <v>40</v>
      </c>
      <c r="B20" s="4" t="s">
        <v>3</v>
      </c>
      <c r="D20" s="14" t="s">
        <v>40</v>
      </c>
      <c r="E20" s="4" t="s">
        <v>3</v>
      </c>
    </row>
    <row r="21" spans="1:5" ht="15">
      <c r="A21" s="14" t="s">
        <v>41</v>
      </c>
      <c r="B21" s="4" t="s">
        <v>8</v>
      </c>
      <c r="D21" s="14" t="s">
        <v>41</v>
      </c>
      <c r="E21" s="4" t="s">
        <v>8</v>
      </c>
    </row>
    <row r="22" spans="1:5" ht="15">
      <c r="A22" s="14" t="s">
        <v>42</v>
      </c>
      <c r="B22" s="15" t="s">
        <v>4</v>
      </c>
      <c r="D22" s="14" t="s">
        <v>42</v>
      </c>
      <c r="E22" s="15" t="s">
        <v>4</v>
      </c>
    </row>
    <row r="23" spans="1:5" ht="15">
      <c r="A23" s="19" t="s">
        <v>54</v>
      </c>
      <c r="B23" s="20" t="s">
        <v>55</v>
      </c>
      <c r="D23" s="19" t="s">
        <v>54</v>
      </c>
      <c r="E23" s="20" t="s">
        <v>55</v>
      </c>
    </row>
    <row r="24" spans="1:5" ht="15">
      <c r="A24" s="14" t="s">
        <v>43</v>
      </c>
      <c r="B24" s="3" t="str">
        <f>'GetInfo &amp; GetInstrumentInfo'!D9</f>
        <v>Market.QR_LIVE.RateCurve.AUD-BBR-BBSW-3M</v>
      </c>
      <c r="D24" s="14" t="s">
        <v>43</v>
      </c>
      <c r="E24" s="3" t="str">
        <f>B24</f>
        <v>Market.QR_LIVE.RateCurve.AUD-BBR-BBSW-3M</v>
      </c>
    </row>
    <row r="25" spans="1:5" ht="15">
      <c r="A25" s="14" t="s">
        <v>44</v>
      </c>
      <c r="B25" s="4" t="str">
        <f>'GetInfo &amp; GetInstrumentInfo'!D9</f>
        <v>Market.QR_LIVE.RateCurve.AUD-BBR-BBSW-3M</v>
      </c>
      <c r="D25" s="14" t="s">
        <v>44</v>
      </c>
      <c r="E25" s="4" t="str">
        <f>B25</f>
        <v>Market.QR_LIVE.RateCurve.AUD-BBR-BBSW-3M</v>
      </c>
    </row>
    <row r="26" spans="1:5" ht="15">
      <c r="A26" s="14" t="s">
        <v>45</v>
      </c>
      <c r="B26" s="15" t="s">
        <v>46</v>
      </c>
      <c r="D26" s="14" t="s">
        <v>45</v>
      </c>
      <c r="E26" s="15" t="s">
        <v>46</v>
      </c>
    </row>
    <row r="27" spans="1:5" ht="15">
      <c r="A27" s="14" t="s">
        <v>182</v>
      </c>
      <c r="B27" s="15" t="b">
        <v>0</v>
      </c>
      <c r="D27" s="14" t="s">
        <v>182</v>
      </c>
      <c r="E27" s="15" t="b">
        <v>0</v>
      </c>
    </row>
    <row r="28" spans="1:5">
      <c r="B28" t="str">
        <f ca="1">_xll.HLV5r3.Financial.Cache.CreateInterestRateSwapWithProperties(A2:B27,D2:E26, D31:E36)</f>
        <v>Trade.SpreadSheet.swap.aw001</v>
      </c>
    </row>
    <row r="29" spans="1:5" ht="15.75" thickBot="1">
      <c r="A29" s="21" t="s">
        <v>56</v>
      </c>
      <c r="B29" s="22" t="s">
        <v>47</v>
      </c>
    </row>
    <row r="30" spans="1:5" ht="15.75" thickBot="1">
      <c r="A30" s="2" t="s">
        <v>6</v>
      </c>
      <c r="B30" s="3">
        <f ca="1">TODAY()</f>
        <v>43647</v>
      </c>
      <c r="D30" s="140" t="s">
        <v>187</v>
      </c>
      <c r="E30" s="141"/>
    </row>
    <row r="31" spans="1:5" ht="15">
      <c r="A31" s="135" t="s">
        <v>175</v>
      </c>
      <c r="B31" t="s">
        <v>214</v>
      </c>
      <c r="D31" s="142" t="s">
        <v>188</v>
      </c>
      <c r="E31" s="143" t="s">
        <v>193</v>
      </c>
    </row>
    <row r="32" spans="1:5" ht="15">
      <c r="A32" s="154" t="s">
        <v>201</v>
      </c>
      <c r="B32" s="136" t="str">
        <f ca="1">_xll.HLV5r3.Financial.Cache.SaveTradeToFile(B28,B31)</f>
        <v>C:\_qds\swap.xml</v>
      </c>
      <c r="D32" s="144" t="s">
        <v>189</v>
      </c>
      <c r="E32" s="145">
        <f ca="1">TODAY()</f>
        <v>43647</v>
      </c>
    </row>
    <row r="33" spans="1:5">
      <c r="D33" s="144" t="s">
        <v>31</v>
      </c>
      <c r="E33" s="145">
        <f>E6</f>
        <v>45692</v>
      </c>
    </row>
    <row r="34" spans="1:5">
      <c r="A34" s="137"/>
      <c r="D34" s="144" t="s">
        <v>6</v>
      </c>
      <c r="E34" s="145">
        <f ca="1">TODAY()</f>
        <v>43647</v>
      </c>
    </row>
    <row r="35" spans="1:5">
      <c r="A35" s="137"/>
      <c r="D35" s="144" t="s">
        <v>190</v>
      </c>
      <c r="E35" s="145" t="s">
        <v>191</v>
      </c>
    </row>
    <row r="36" spans="1:5" ht="13.5" thickBot="1">
      <c r="A36" s="137"/>
      <c r="D36" s="146" t="s">
        <v>192</v>
      </c>
      <c r="E36" s="147" t="s">
        <v>47</v>
      </c>
    </row>
    <row r="37" spans="1:5">
      <c r="A37" s="137"/>
    </row>
    <row r="38" spans="1:5">
      <c r="A38" s="137"/>
    </row>
    <row r="39" spans="1:5">
      <c r="A39" s="137"/>
    </row>
    <row r="40" spans="1:5">
      <c r="A40" s="137"/>
    </row>
    <row r="41" spans="1:5">
      <c r="A41" s="137"/>
    </row>
    <row r="42" spans="1:5">
      <c r="A42" s="137"/>
    </row>
    <row r="43" spans="1:5">
      <c r="A43" s="137"/>
    </row>
    <row r="44" spans="1:5">
      <c r="A44" s="137"/>
    </row>
    <row r="45" spans="1:5">
      <c r="A45" s="137"/>
    </row>
    <row r="46" spans="1:5">
      <c r="A46" s="137"/>
    </row>
    <row r="47" spans="1:5">
      <c r="A47" s="137"/>
    </row>
    <row r="48" spans="1:5">
      <c r="A48" s="137"/>
    </row>
    <row r="49" spans="1:1">
      <c r="A49" s="137"/>
    </row>
    <row r="50" spans="1:1">
      <c r="A50" s="137"/>
    </row>
    <row r="51" spans="1:1">
      <c r="A51" s="137"/>
    </row>
    <row r="52" spans="1:1">
      <c r="A52" s="137"/>
    </row>
  </sheetData>
  <dataValidations disablePrompts="1" count="1">
    <dataValidation type="list" allowBlank="1" showInputMessage="1" showErrorMessage="1" sqref="B13 E13" xr:uid="{00000000-0002-0000-0200-000000000000}">
      <formula1>"Fixed, Floating"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M93"/>
  <sheetViews>
    <sheetView topLeftCell="B1" workbookViewId="0">
      <selection activeCell="J38" sqref="J38"/>
    </sheetView>
  </sheetViews>
  <sheetFormatPr defaultRowHeight="12.75"/>
  <cols>
    <col min="1" max="1" width="4.42578125" customWidth="1"/>
    <col min="2" max="2" width="21.42578125" style="26" bestFit="1" customWidth="1"/>
    <col min="3" max="3" width="20.85546875" style="26" bestFit="1" customWidth="1"/>
    <col min="4" max="4" width="10.85546875" bestFit="1" customWidth="1"/>
    <col min="5" max="5" width="2.42578125" customWidth="1"/>
    <col min="6" max="6" width="29.28515625" style="26" bestFit="1" customWidth="1"/>
    <col min="7" max="7" width="16.42578125" style="26" bestFit="1" customWidth="1"/>
    <col min="8" max="8" width="2.28515625" style="26" customWidth="1"/>
    <col min="9" max="9" width="18.28515625" style="26" bestFit="1" customWidth="1"/>
    <col min="10" max="10" width="16.42578125" style="26" bestFit="1" customWidth="1"/>
    <col min="11" max="11" width="2.42578125" customWidth="1"/>
    <col min="12" max="12" width="23" style="26" bestFit="1" customWidth="1"/>
    <col min="13" max="13" width="42.5703125" style="26" bestFit="1" customWidth="1"/>
  </cols>
  <sheetData>
    <row r="1" spans="2:13" ht="13.5" thickBot="1">
      <c r="B1" s="192" t="str">
        <f ca="1">_xll.HLV5r3.Financial.Cache.CreateCurve( B2:C10, B14:D37)</f>
        <v>Market.LIVE.RateCurve.3M-AUD-LIBOR-BBA-3M</v>
      </c>
      <c r="C1" s="193"/>
      <c r="D1" s="25"/>
      <c r="F1" s="71" t="s">
        <v>109</v>
      </c>
      <c r="G1" s="72"/>
      <c r="I1" s="191" t="s">
        <v>111</v>
      </c>
      <c r="J1" s="190"/>
      <c r="L1" s="191" t="s">
        <v>202</v>
      </c>
      <c r="M1" s="190"/>
    </row>
    <row r="2" spans="2:13">
      <c r="B2" s="27" t="s">
        <v>21</v>
      </c>
      <c r="C2" s="28" t="s">
        <v>22</v>
      </c>
      <c r="D2" s="25"/>
      <c r="F2" s="73" t="s">
        <v>12</v>
      </c>
      <c r="G2" s="74" t="s">
        <v>0</v>
      </c>
      <c r="I2" s="73" t="s">
        <v>102</v>
      </c>
      <c r="J2" s="80">
        <f ca="1">_xll.HLV5r3.Financial.Cache.GetIRSwapMetric($F$10:$F$30,$G$10:$G$30,$I$10:$I$30,$J$10:$J$30,$M$2:$M$3,I2,$L$6:$M$17)</f>
        <v>2.4144072244986789</v>
      </c>
      <c r="L2" s="73" t="s">
        <v>161</v>
      </c>
      <c r="M2" s="80"/>
    </row>
    <row r="3" spans="2:13" ht="13.5" thickBot="1">
      <c r="B3" s="29" t="s">
        <v>62</v>
      </c>
      <c r="C3" s="30">
        <f ca="1">TODAY()</f>
        <v>43647</v>
      </c>
      <c r="D3" s="25"/>
      <c r="F3" s="75" t="s">
        <v>108</v>
      </c>
      <c r="G3" s="151">
        <v>1000000</v>
      </c>
      <c r="I3" s="75" t="s">
        <v>103</v>
      </c>
      <c r="J3" s="70">
        <f ca="1">_xll.HLV5r3.Financial.Cache.GetIRSwapMetric($F$10:$F$30,$G$10:$G$30,$I$10:$I$30,$J$10:$J$30,$M$2:$M$3,I3,$L$6:$M$17)</f>
        <v>241.44072244986785</v>
      </c>
      <c r="L3" s="77" t="s">
        <v>160</v>
      </c>
      <c r="M3" s="155"/>
    </row>
    <row r="4" spans="2:13" ht="13.5" thickBot="1">
      <c r="B4" s="32" t="s">
        <v>63</v>
      </c>
      <c r="C4" s="33" t="s">
        <v>176</v>
      </c>
      <c r="D4" s="25"/>
      <c r="F4" s="75" t="s">
        <v>115</v>
      </c>
      <c r="G4" s="151">
        <v>50000</v>
      </c>
      <c r="I4" s="75" t="s">
        <v>104</v>
      </c>
      <c r="J4" s="70">
        <f ca="1">_xll.HLV5r3.Financial.Cache.GetIRSwapMetric($F$10:$F$30,$G$10:$G$30,$I$10:$I$30,$J$10:$J$30,$M$2:$M$3,I4,$L$6:$M$17)</f>
        <v>-1.0606746822590154</v>
      </c>
    </row>
    <row r="5" spans="2:13" ht="13.5" thickBot="1">
      <c r="B5" s="29" t="s">
        <v>64</v>
      </c>
      <c r="C5" s="34" t="s">
        <v>65</v>
      </c>
      <c r="D5" s="25"/>
      <c r="F5" s="77" t="s">
        <v>194</v>
      </c>
      <c r="G5" s="152" t="b">
        <v>0</v>
      </c>
      <c r="I5" s="75" t="s">
        <v>116</v>
      </c>
      <c r="J5" s="70">
        <f ca="1">G32</f>
        <v>-239.88551429114165</v>
      </c>
      <c r="L5" s="191" t="s">
        <v>195</v>
      </c>
      <c r="M5" s="190"/>
    </row>
    <row r="6" spans="2:13" ht="13.5" thickBot="1">
      <c r="B6" s="29" t="s">
        <v>66</v>
      </c>
      <c r="C6" s="33" t="s">
        <v>67</v>
      </c>
      <c r="D6" s="25"/>
      <c r="I6" s="77" t="s">
        <v>105</v>
      </c>
      <c r="J6" s="81">
        <f ca="1">_xll.HLV5r3.Financial.Cache.GetIRSwapMetric($F$10:$F$30,$G$10:$G$30,$I$10:$I$30,$J$10:$J$30,$M$2:$M$3,I6,$L$6:$M$17)</f>
        <v>5.233843931059827E-2</v>
      </c>
      <c r="L6" s="73" t="s">
        <v>113</v>
      </c>
      <c r="M6" s="74">
        <f ca="1">TODAY()</f>
        <v>43647</v>
      </c>
    </row>
    <row r="7" spans="2:13" ht="13.5" thickBot="1">
      <c r="B7" s="29" t="s">
        <v>68</v>
      </c>
      <c r="C7" s="33" t="str">
        <f>C5&amp;"-"&amp;C6</f>
        <v>AUD-LIBOR-BBA-3M</v>
      </c>
      <c r="D7" s="25"/>
      <c r="L7" s="75" t="s">
        <v>12</v>
      </c>
      <c r="M7" s="76" t="s">
        <v>0</v>
      </c>
    </row>
    <row r="8" spans="2:13" ht="13.5" thickBot="1">
      <c r="B8" s="29" t="s">
        <v>68</v>
      </c>
      <c r="C8" s="33" t="str">
        <f>C6&amp;"-"&amp;C7</f>
        <v>3M-AUD-LIBOR-BBA-3M</v>
      </c>
      <c r="D8" s="25"/>
      <c r="F8" s="188" t="s">
        <v>117</v>
      </c>
      <c r="G8" s="189"/>
      <c r="I8" s="188" t="s">
        <v>118</v>
      </c>
      <c r="J8" s="190"/>
      <c r="L8" s="75" t="s">
        <v>1</v>
      </c>
      <c r="M8" s="178">
        <v>5.2338000000000003E-2</v>
      </c>
    </row>
    <row r="9" spans="2:13" ht="13.5" thickBot="1">
      <c r="B9" s="29" t="s">
        <v>177</v>
      </c>
      <c r="C9" s="30" t="b">
        <v>0</v>
      </c>
      <c r="D9" s="25"/>
      <c r="F9" s="78" t="s">
        <v>107</v>
      </c>
      <c r="G9" s="79" t="s">
        <v>110</v>
      </c>
      <c r="I9" s="74" t="s">
        <v>107</v>
      </c>
      <c r="J9" s="79" t="s">
        <v>110</v>
      </c>
      <c r="L9" s="75" t="s">
        <v>18</v>
      </c>
      <c r="M9" s="131">
        <v>2.5000000000000001E-3</v>
      </c>
    </row>
    <row r="10" spans="2:13" ht="13.5" thickBot="1">
      <c r="B10" s="35" t="s">
        <v>70</v>
      </c>
      <c r="C10" s="36" t="s">
        <v>71</v>
      </c>
      <c r="D10" s="25"/>
      <c r="F10" s="74">
        <f ca="1">TODAY()</f>
        <v>43647</v>
      </c>
      <c r="G10" s="80">
        <f>G3</f>
        <v>1000000</v>
      </c>
      <c r="I10" s="74">
        <f ca="1">F10</f>
        <v>43647</v>
      </c>
      <c r="J10" s="80">
        <f>G3</f>
        <v>1000000</v>
      </c>
      <c r="L10" s="75" t="s">
        <v>196</v>
      </c>
      <c r="M10" s="76" t="s">
        <v>10</v>
      </c>
    </row>
    <row r="11" spans="2:13">
      <c r="B11" s="37" t="s">
        <v>72</v>
      </c>
      <c r="C11" s="38"/>
      <c r="D11" s="39"/>
      <c r="F11" s="76">
        <f ca="1">_xll.HLV5r3.Financial.Cache.AddPeriod(F10,"3m",$M$11,$M$10,"Calendar")</f>
        <v>43739</v>
      </c>
      <c r="G11" s="70">
        <f t="shared" ref="G11:G30" si="0">G10-$G$4</f>
        <v>950000</v>
      </c>
      <c r="I11" s="76">
        <f ca="1">F11</f>
        <v>43739</v>
      </c>
      <c r="J11" s="70">
        <f t="shared" ref="J11:J30" si="1">J10-$G$4</f>
        <v>950000</v>
      </c>
      <c r="L11" s="75" t="s">
        <v>197</v>
      </c>
      <c r="M11" s="76" t="s">
        <v>7</v>
      </c>
    </row>
    <row r="12" spans="2:13" ht="13.5" thickBot="1">
      <c r="B12" s="40"/>
      <c r="C12" s="41"/>
      <c r="D12" s="42"/>
      <c r="F12" s="76">
        <f ca="1">_xll.HLV5r3.Financial.Cache.AddPeriod(F11,"3m",$M$11,$M$10,"Calendar")</f>
        <v>43832</v>
      </c>
      <c r="G12" s="70">
        <f t="shared" si="0"/>
        <v>900000</v>
      </c>
      <c r="I12" s="76">
        <f t="shared" ref="I12:I30" ca="1" si="2">F12</f>
        <v>43832</v>
      </c>
      <c r="J12" s="70">
        <f t="shared" si="1"/>
        <v>900000</v>
      </c>
      <c r="L12" s="75" t="s">
        <v>199</v>
      </c>
      <c r="M12" s="76" t="s">
        <v>16</v>
      </c>
    </row>
    <row r="13" spans="2:13" ht="13.5" thickBot="1">
      <c r="B13" s="40" t="s">
        <v>73</v>
      </c>
      <c r="C13" s="43" t="s">
        <v>74</v>
      </c>
      <c r="D13" s="44" t="s">
        <v>75</v>
      </c>
      <c r="F13" s="76">
        <f ca="1">_xll.HLV5r3.Financial.Cache.AddPeriod(F12,"3m",$M$11,$M$10,"Calendar")</f>
        <v>43923</v>
      </c>
      <c r="G13" s="70">
        <f t="shared" si="0"/>
        <v>850000</v>
      </c>
      <c r="I13" s="76">
        <f t="shared" ca="1" si="2"/>
        <v>43923</v>
      </c>
      <c r="J13" s="70">
        <f t="shared" si="1"/>
        <v>850000</v>
      </c>
      <c r="L13" s="75" t="s">
        <v>200</v>
      </c>
      <c r="M13" s="76" t="s">
        <v>16</v>
      </c>
    </row>
    <row r="14" spans="2:13">
      <c r="B14" s="45" t="s">
        <v>76</v>
      </c>
      <c r="C14" s="46">
        <v>0.05</v>
      </c>
      <c r="D14" s="47">
        <v>0</v>
      </c>
      <c r="F14" s="76">
        <f ca="1">_xll.HLV5r3.Financial.Cache.AddPeriod(F13,"3m",$M$11,$M$10,"Calendar")</f>
        <v>44014</v>
      </c>
      <c r="G14" s="70">
        <f t="shared" si="0"/>
        <v>800000</v>
      </c>
      <c r="I14" s="76">
        <f t="shared" ca="1" si="2"/>
        <v>44014</v>
      </c>
      <c r="J14" s="70">
        <f t="shared" si="1"/>
        <v>800000</v>
      </c>
      <c r="L14" s="75" t="s">
        <v>44</v>
      </c>
      <c r="M14" s="76" t="str">
        <f ca="1">B1</f>
        <v>Market.LIVE.RateCurve.3M-AUD-LIBOR-BBA-3M</v>
      </c>
    </row>
    <row r="15" spans="2:13">
      <c r="B15" s="48" t="s">
        <v>77</v>
      </c>
      <c r="C15" s="49">
        <v>0.05</v>
      </c>
      <c r="D15" s="50">
        <v>0</v>
      </c>
      <c r="F15" s="76">
        <f ca="1">_xll.HLV5r3.Financial.Cache.AddPeriod(F14,"3m",$M$11,$M$10,"Calendar")</f>
        <v>44106</v>
      </c>
      <c r="G15" s="70">
        <f t="shared" si="0"/>
        <v>750000</v>
      </c>
      <c r="I15" s="76">
        <f t="shared" ca="1" si="2"/>
        <v>44106</v>
      </c>
      <c r="J15" s="70">
        <f t="shared" si="1"/>
        <v>750000</v>
      </c>
      <c r="L15" s="75" t="s">
        <v>43</v>
      </c>
      <c r="M15" s="76" t="str">
        <f ca="1">M14</f>
        <v>Market.LIVE.RateCurve.3M-AUD-LIBOR-BBA-3M</v>
      </c>
    </row>
    <row r="16" spans="2:13">
      <c r="B16" s="48" t="s">
        <v>78</v>
      </c>
      <c r="C16" s="49">
        <v>0.05</v>
      </c>
      <c r="D16" s="50">
        <v>0</v>
      </c>
      <c r="F16" s="76">
        <f ca="1">_xll.HLV5r3.Financial.Cache.AddPeriod(F15,"3m",$M$11,$M$10,"Calendar")</f>
        <v>44200</v>
      </c>
      <c r="G16" s="70">
        <f t="shared" si="0"/>
        <v>700000</v>
      </c>
      <c r="I16" s="76">
        <f t="shared" ca="1" si="2"/>
        <v>44200</v>
      </c>
      <c r="J16" s="70">
        <f t="shared" si="1"/>
        <v>700000</v>
      </c>
      <c r="L16" s="75" t="s">
        <v>194</v>
      </c>
      <c r="M16" s="76" t="b">
        <v>0</v>
      </c>
    </row>
    <row r="17" spans="1:13" ht="13.5" thickBot="1">
      <c r="B17" s="48" t="s">
        <v>79</v>
      </c>
      <c r="C17" s="49">
        <v>0.05</v>
      </c>
      <c r="D17" s="50">
        <v>0</v>
      </c>
      <c r="F17" s="76">
        <f ca="1">_xll.HLV5r3.Financial.Cache.AddPeriod(F16,"3m",$M$11,$M$10,"Calendar")</f>
        <v>44292</v>
      </c>
      <c r="G17" s="70">
        <f t="shared" si="0"/>
        <v>650000</v>
      </c>
      <c r="I17" s="76">
        <f t="shared" ca="1" si="2"/>
        <v>44292</v>
      </c>
      <c r="J17" s="70">
        <f t="shared" si="1"/>
        <v>650000</v>
      </c>
      <c r="L17" s="77" t="s">
        <v>198</v>
      </c>
      <c r="M17" s="69" t="s">
        <v>44</v>
      </c>
    </row>
    <row r="18" spans="1:13">
      <c r="B18" s="48" t="s">
        <v>80</v>
      </c>
      <c r="C18" s="49">
        <v>0.05</v>
      </c>
      <c r="D18" s="50">
        <v>0</v>
      </c>
      <c r="F18" s="76">
        <f ca="1">_xll.HLV5r3.Financial.Cache.AddPeriod(F17,"3m",$M$11,$M$10,"Calendar")</f>
        <v>44383</v>
      </c>
      <c r="G18" s="70">
        <f t="shared" si="0"/>
        <v>600000</v>
      </c>
      <c r="I18" s="76">
        <f t="shared" ca="1" si="2"/>
        <v>44383</v>
      </c>
      <c r="J18" s="70">
        <f t="shared" si="1"/>
        <v>600000</v>
      </c>
    </row>
    <row r="19" spans="1:13">
      <c r="B19" s="48" t="s">
        <v>81</v>
      </c>
      <c r="C19" s="49">
        <v>0.05</v>
      </c>
      <c r="D19" s="50">
        <v>0</v>
      </c>
      <c r="F19" s="76">
        <f ca="1">_xll.HLV5r3.Financial.Cache.AddPeriod(F18,"3m",$M$11,$M$10,"Calendar")</f>
        <v>44475</v>
      </c>
      <c r="G19" s="70">
        <f t="shared" si="0"/>
        <v>550000</v>
      </c>
      <c r="I19" s="76">
        <f t="shared" ca="1" si="2"/>
        <v>44475</v>
      </c>
      <c r="J19" s="70">
        <f t="shared" si="1"/>
        <v>550000</v>
      </c>
    </row>
    <row r="20" spans="1:13">
      <c r="B20" s="48" t="s">
        <v>82</v>
      </c>
      <c r="C20" s="49">
        <v>0.05</v>
      </c>
      <c r="D20" s="50">
        <v>0</v>
      </c>
      <c r="F20" s="76">
        <f ca="1">_xll.HLV5r3.Financial.Cache.AddPeriod(F19,"3m",$M$11,$M$10,"Calendar")</f>
        <v>44567</v>
      </c>
      <c r="G20" s="70">
        <f t="shared" si="0"/>
        <v>500000</v>
      </c>
      <c r="I20" s="76">
        <f t="shared" ca="1" si="2"/>
        <v>44567</v>
      </c>
      <c r="J20" s="70">
        <f t="shared" si="1"/>
        <v>500000</v>
      </c>
    </row>
    <row r="21" spans="1:13">
      <c r="B21" s="48" t="s">
        <v>83</v>
      </c>
      <c r="C21" s="49">
        <v>0.05</v>
      </c>
      <c r="D21" s="50">
        <v>0</v>
      </c>
      <c r="F21" s="76">
        <f ca="1">_xll.HLV5r3.Financial.Cache.AddPeriod(F20,"3m",$M$11,$M$10,"Calendar")</f>
        <v>44657</v>
      </c>
      <c r="G21" s="70">
        <f t="shared" si="0"/>
        <v>450000</v>
      </c>
      <c r="I21" s="76">
        <f t="shared" ca="1" si="2"/>
        <v>44657</v>
      </c>
      <c r="J21" s="70">
        <f t="shared" si="1"/>
        <v>450000</v>
      </c>
    </row>
    <row r="22" spans="1:13">
      <c r="B22" s="48" t="s">
        <v>84</v>
      </c>
      <c r="C22" s="49">
        <v>0.05</v>
      </c>
      <c r="D22" s="50">
        <v>0</v>
      </c>
      <c r="F22" s="76">
        <f ca="1">_xll.HLV5r3.Financial.Cache.AddPeriod(F21,"3m",$M$11,$M$10,"Calendar")</f>
        <v>44748</v>
      </c>
      <c r="G22" s="70">
        <f t="shared" si="0"/>
        <v>400000</v>
      </c>
      <c r="I22" s="76">
        <f t="shared" ca="1" si="2"/>
        <v>44748</v>
      </c>
      <c r="J22" s="70">
        <f t="shared" si="1"/>
        <v>400000</v>
      </c>
    </row>
    <row r="23" spans="1:13">
      <c r="B23" s="48" t="s">
        <v>85</v>
      </c>
      <c r="C23" s="49">
        <v>0.05</v>
      </c>
      <c r="D23" s="50">
        <v>0</v>
      </c>
      <c r="F23" s="76">
        <f ca="1">_xll.HLV5r3.Financial.Cache.AddPeriod(F22,"3m",$M$11,$M$10,"Calendar")</f>
        <v>44840</v>
      </c>
      <c r="G23" s="70">
        <f t="shared" si="0"/>
        <v>350000</v>
      </c>
      <c r="I23" s="76">
        <f t="shared" ca="1" si="2"/>
        <v>44840</v>
      </c>
      <c r="J23" s="70">
        <f t="shared" si="1"/>
        <v>350000</v>
      </c>
    </row>
    <row r="24" spans="1:13">
      <c r="B24" s="48" t="s">
        <v>86</v>
      </c>
      <c r="C24" s="49">
        <v>0.05</v>
      </c>
      <c r="D24" s="50">
        <v>0</v>
      </c>
      <c r="F24" s="76">
        <f ca="1">_xll.HLV5r3.Financial.Cache.AddPeriod(F23,"3m",$M$11,$M$10,"Calendar")</f>
        <v>44932</v>
      </c>
      <c r="G24" s="70">
        <f t="shared" si="0"/>
        <v>300000</v>
      </c>
      <c r="I24" s="76">
        <f t="shared" ca="1" si="2"/>
        <v>44932</v>
      </c>
      <c r="J24" s="70">
        <f t="shared" si="1"/>
        <v>300000</v>
      </c>
    </row>
    <row r="25" spans="1:13">
      <c r="B25" s="48" t="s">
        <v>87</v>
      </c>
      <c r="C25" s="49">
        <v>0.05</v>
      </c>
      <c r="D25" s="50">
        <v>0</v>
      </c>
      <c r="F25" s="76">
        <f ca="1">_xll.HLV5r3.Financial.Cache.AddPeriod(F24,"3m",$M$11,$M$10,"Calendar")</f>
        <v>45022</v>
      </c>
      <c r="G25" s="70">
        <f t="shared" si="0"/>
        <v>250000</v>
      </c>
      <c r="I25" s="76">
        <f t="shared" ca="1" si="2"/>
        <v>45022</v>
      </c>
      <c r="J25" s="70">
        <f t="shared" si="1"/>
        <v>250000</v>
      </c>
    </row>
    <row r="26" spans="1:13">
      <c r="B26" s="48" t="s">
        <v>88</v>
      </c>
      <c r="C26" s="49">
        <v>0.05</v>
      </c>
      <c r="D26" s="50">
        <v>0</v>
      </c>
      <c r="F26" s="76">
        <f ca="1">_xll.HLV5r3.Financial.Cache.AddPeriod(F25,"3m",$M$11,$M$10,"Calendar")</f>
        <v>45113</v>
      </c>
      <c r="G26" s="70">
        <f t="shared" si="0"/>
        <v>200000</v>
      </c>
      <c r="I26" s="76">
        <f t="shared" ca="1" si="2"/>
        <v>45113</v>
      </c>
      <c r="J26" s="70">
        <f t="shared" si="1"/>
        <v>200000</v>
      </c>
    </row>
    <row r="27" spans="1:13">
      <c r="B27" s="48" t="s">
        <v>89</v>
      </c>
      <c r="C27" s="49">
        <v>0.05</v>
      </c>
      <c r="D27" s="50">
        <v>0</v>
      </c>
      <c r="F27" s="76">
        <f ca="1">_xll.HLV5r3.Financial.Cache.AddPeriod(F26,"3m",$M$11,$M$10,"Calendar")</f>
        <v>45205</v>
      </c>
      <c r="G27" s="70">
        <f t="shared" si="0"/>
        <v>150000</v>
      </c>
      <c r="I27" s="76">
        <f t="shared" ca="1" si="2"/>
        <v>45205</v>
      </c>
      <c r="J27" s="70">
        <f t="shared" si="1"/>
        <v>150000</v>
      </c>
    </row>
    <row r="28" spans="1:13">
      <c r="B28" s="48" t="s">
        <v>90</v>
      </c>
      <c r="C28" s="49">
        <v>0.05</v>
      </c>
      <c r="D28" s="50">
        <v>0</v>
      </c>
      <c r="F28" s="76">
        <f ca="1">_xll.HLV5r3.Financial.Cache.AddPeriod(F27,"3m",$M$11,$M$10,"Calendar")</f>
        <v>45299</v>
      </c>
      <c r="G28" s="70">
        <f t="shared" si="0"/>
        <v>100000</v>
      </c>
      <c r="I28" s="76">
        <f t="shared" ca="1" si="2"/>
        <v>45299</v>
      </c>
      <c r="J28" s="70">
        <f t="shared" si="1"/>
        <v>100000</v>
      </c>
    </row>
    <row r="29" spans="1:13" ht="13.5" thickBot="1">
      <c r="B29" s="51" t="s">
        <v>91</v>
      </c>
      <c r="C29" s="52">
        <v>0.05</v>
      </c>
      <c r="D29" s="53">
        <v>0</v>
      </c>
      <c r="F29" s="76">
        <f ca="1">_xll.HLV5r3.Financial.Cache.AddPeriod(F28,"3m",$M$11,$M$10,"Calendar")</f>
        <v>45390</v>
      </c>
      <c r="G29" s="70">
        <f t="shared" si="0"/>
        <v>50000</v>
      </c>
      <c r="I29" s="76">
        <f t="shared" ca="1" si="2"/>
        <v>45390</v>
      </c>
      <c r="J29" s="70">
        <f t="shared" si="1"/>
        <v>50000</v>
      </c>
    </row>
    <row r="30" spans="1:13">
      <c r="A30">
        <v>1</v>
      </c>
      <c r="B30" s="54" t="str">
        <f>"AUD-IRFuture-IR-"&amp;$A30</f>
        <v>AUD-IRFuture-IR-1</v>
      </c>
      <c r="C30" s="46">
        <v>0.05</v>
      </c>
      <c r="D30" s="50">
        <v>0.15</v>
      </c>
      <c r="F30" s="76">
        <f ca="1">_xll.HLV5r3.Financial.Cache.AddPeriod(F29,"3m",$M$11,$M$10,"Calendar")</f>
        <v>45481</v>
      </c>
      <c r="G30" s="70">
        <f t="shared" si="0"/>
        <v>0</v>
      </c>
      <c r="I30" s="76">
        <f t="shared" ca="1" si="2"/>
        <v>45481</v>
      </c>
      <c r="J30" s="70">
        <f t="shared" si="1"/>
        <v>0</v>
      </c>
    </row>
    <row r="31" spans="1:13" ht="13.5" thickBot="1">
      <c r="A31">
        <v>2</v>
      </c>
      <c r="B31" s="54" t="str">
        <f t="shared" ref="B31:B37" si="3">"AUD-IRFuture-IR-"&amp;$A31</f>
        <v>AUD-IRFuture-IR-2</v>
      </c>
      <c r="C31" s="49">
        <v>0.05</v>
      </c>
      <c r="D31" s="50">
        <v>0.15</v>
      </c>
      <c r="F31" s="91"/>
      <c r="G31" s="155"/>
      <c r="I31" s="91"/>
      <c r="J31" s="155"/>
    </row>
    <row r="32" spans="1:13" ht="13.5" thickBot="1">
      <c r="A32">
        <v>3</v>
      </c>
      <c r="B32" s="54" t="str">
        <f t="shared" si="3"/>
        <v>AUD-IRFuture-IR-3</v>
      </c>
      <c r="C32" s="49">
        <v>0.05</v>
      </c>
      <c r="D32" s="50">
        <v>0.15</v>
      </c>
      <c r="G32" s="177">
        <f ca="1">SUMIF(G33:G67,"&lt;&gt;#N/A")</f>
        <v>-239.88551429114165</v>
      </c>
    </row>
    <row r="33" spans="1:10">
      <c r="A33">
        <v>4</v>
      </c>
      <c r="B33" s="54" t="str">
        <f t="shared" si="3"/>
        <v>AUD-IRFuture-IR-4</v>
      </c>
      <c r="C33" s="49">
        <v>0.05</v>
      </c>
      <c r="D33" s="50">
        <v>0.15</v>
      </c>
      <c r="F33" s="82" t="str">
        <f t="array" aca="1" ref="F33:G93" ca="1">_xll.HLV5r3.Financial.Cache.GetIRSwapPDH(F10:F30,G10:G30,I10:I30,J10:J30,M2:M3,L6:M17)</f>
        <v>ForecastCurve:AUD-Deposit-1D</v>
      </c>
      <c r="G33" s="88">
        <f ca="1"/>
        <v>-0.28151444979262963</v>
      </c>
      <c r="J33" s="70"/>
    </row>
    <row r="34" spans="1:10">
      <c r="A34" s="7">
        <v>5</v>
      </c>
      <c r="B34" s="54" t="str">
        <f t="shared" si="3"/>
        <v>AUD-IRFuture-IR-5</v>
      </c>
      <c r="C34" s="49">
        <v>0.05</v>
      </c>
      <c r="D34" s="50">
        <v>0.15</v>
      </c>
      <c r="F34" s="83" t="str">
        <f ca="1"/>
        <v>ForecastCurve:AUD-Deposit-1W</v>
      </c>
      <c r="G34" s="89">
        <f ca="1"/>
        <v>0</v>
      </c>
      <c r="I34" s="26" t="s">
        <v>104</v>
      </c>
      <c r="J34" s="70">
        <f ca="1">_xll.HLV5r3.Financial.Cache.GetIRSwapMetric($F$10:$F$30,$G$10:$G$30,$I$10:$I$30,$J$10:$J$30,$M$2:$M$3,I34,$L$6:$M$17)</f>
        <v>-1.0606746822590154</v>
      </c>
    </row>
    <row r="35" spans="1:10">
      <c r="A35" s="7">
        <v>6</v>
      </c>
      <c r="B35" s="54" t="str">
        <f t="shared" si="3"/>
        <v>AUD-IRFuture-IR-6</v>
      </c>
      <c r="C35" s="49">
        <v>0.05</v>
      </c>
      <c r="D35" s="50">
        <v>0.15</v>
      </c>
      <c r="F35" s="83" t="str">
        <f ca="1"/>
        <v>ForecastCurve:AUD-Deposit-2W</v>
      </c>
      <c r="G35" s="89">
        <f ca="1"/>
        <v>0</v>
      </c>
    </row>
    <row r="36" spans="1:10">
      <c r="A36" s="7">
        <v>7</v>
      </c>
      <c r="B36" s="54" t="str">
        <f t="shared" si="3"/>
        <v>AUD-IRFuture-IR-7</v>
      </c>
      <c r="C36" s="49">
        <v>0.05</v>
      </c>
      <c r="D36" s="50">
        <v>0.15</v>
      </c>
      <c r="F36" s="83" t="str">
        <f ca="1"/>
        <v>ForecastCurve:AUD-Deposit-1M</v>
      </c>
      <c r="G36" s="89">
        <f ca="1"/>
        <v>0</v>
      </c>
    </row>
    <row r="37" spans="1:10" ht="13.5" thickBot="1">
      <c r="A37" s="7">
        <v>8</v>
      </c>
      <c r="B37" s="55" t="str">
        <f t="shared" si="3"/>
        <v>AUD-IRFuture-IR-8</v>
      </c>
      <c r="C37" s="52">
        <v>0.05</v>
      </c>
      <c r="D37" s="53">
        <v>0.15</v>
      </c>
      <c r="F37" s="83" t="str">
        <f ca="1"/>
        <v>ForecastCurve:AUD-Deposit-2M</v>
      </c>
      <c r="G37" s="89">
        <f ca="1"/>
        <v>-5.664262464762456</v>
      </c>
    </row>
    <row r="38" spans="1:10">
      <c r="B38" s="56"/>
      <c r="C38" s="56"/>
      <c r="D38" s="57"/>
      <c r="F38" s="83" t="str">
        <f ca="1"/>
        <v>ForecastCurve:AUD-Deposit-3M</v>
      </c>
      <c r="G38" s="89">
        <f ca="1"/>
        <v>-4.6680828377930537</v>
      </c>
    </row>
    <row r="39" spans="1:10">
      <c r="B39" s="56"/>
      <c r="C39" s="56"/>
      <c r="D39" s="57"/>
      <c r="F39" s="83" t="str">
        <f ca="1"/>
        <v>ForecastCurve:AUD-IRFuture-IR-1</v>
      </c>
      <c r="G39" s="89">
        <f ca="1"/>
        <v>-10.912677653153198</v>
      </c>
    </row>
    <row r="40" spans="1:10">
      <c r="B40" s="26" t="s">
        <v>92</v>
      </c>
      <c r="C40" s="26" t="b">
        <v>1</v>
      </c>
      <c r="F40" s="83" t="str">
        <f ca="1"/>
        <v>ForecastCurve:AUD-IRFuture-IR-2</v>
      </c>
      <c r="G40" s="89">
        <f ca="1"/>
        <v>-9.8934882199530634</v>
      </c>
    </row>
    <row r="41" spans="1:10">
      <c r="B41" s="58" t="s">
        <v>71</v>
      </c>
      <c r="F41" s="83" t="str">
        <f ca="1"/>
        <v>ForecastCurve:AUD-IRFuture-IR-3</v>
      </c>
      <c r="G41" s="89">
        <f ca="1"/>
        <v>-8.525184626369489</v>
      </c>
    </row>
    <row r="42" spans="1:10">
      <c r="B42" s="58" t="s">
        <v>93</v>
      </c>
      <c r="C42" s="26" t="b">
        <v>1</v>
      </c>
      <c r="F42" s="83" t="str">
        <f ca="1"/>
        <v>ForecastCurve:AUD-IRFuture-IR-4</v>
      </c>
      <c r="G42" s="89">
        <f ca="1"/>
        <v>-7.3068831157366461</v>
      </c>
    </row>
    <row r="43" spans="1:10">
      <c r="B43" s="59" t="s">
        <v>94</v>
      </c>
      <c r="C43" s="26" t="b">
        <v>0</v>
      </c>
      <c r="F43" s="83" t="str">
        <f ca="1"/>
        <v>ForecastCurve:AUD-IRFuture-IR-5</v>
      </c>
      <c r="G43" s="89">
        <f ca="1"/>
        <v>-6.015332206766475</v>
      </c>
    </row>
    <row r="44" spans="1:10">
      <c r="B44" s="60" t="s">
        <v>95</v>
      </c>
      <c r="F44" s="83" t="str">
        <f ca="1"/>
        <v>ForecastCurve:AUD-IRFuture-IR-6</v>
      </c>
      <c r="G44" s="89">
        <f ca="1"/>
        <v>-4.882762770318287</v>
      </c>
    </row>
    <row r="45" spans="1:10">
      <c r="B45" s="60" t="s">
        <v>96</v>
      </c>
      <c r="F45" s="83" t="str">
        <f ca="1"/>
        <v>ForecastCurve:AUD-IRFuture-IR-7</v>
      </c>
      <c r="G45" s="89">
        <f ca="1"/>
        <v>-3.6608673487098939</v>
      </c>
    </row>
    <row r="46" spans="1:10">
      <c r="B46" s="61" t="s">
        <v>97</v>
      </c>
      <c r="C46" s="62"/>
      <c r="F46" s="83" t="str">
        <f ca="1"/>
        <v>ForecastCurve:AUD-IRFuture-IR-8</v>
      </c>
      <c r="G46" s="89">
        <f ca="1"/>
        <v>-2.5491615665171352</v>
      </c>
    </row>
    <row r="47" spans="1:10">
      <c r="C47" s="62"/>
      <c r="F47" s="83" t="str">
        <f ca="1"/>
        <v>ForecastCurve:AUD-IRSwap-3Y</v>
      </c>
      <c r="G47" s="89">
        <f ca="1"/>
        <v>-51.475207331040671</v>
      </c>
    </row>
    <row r="48" spans="1:10">
      <c r="B48" s="63" t="s">
        <v>92</v>
      </c>
      <c r="C48" s="62"/>
      <c r="F48" s="83" t="str">
        <f ca="1"/>
        <v>ForecastCurve:AUD-IRSwap-4Y</v>
      </c>
      <c r="G48" s="89">
        <f ca="1"/>
        <v>-70.82785582943508</v>
      </c>
    </row>
    <row r="49" spans="2:7">
      <c r="B49" s="64" t="s">
        <v>98</v>
      </c>
      <c r="C49" s="62"/>
      <c r="F49" s="83" t="str">
        <f ca="1"/>
        <v>ForecastCurve:AUD-IRSwap-5Y</v>
      </c>
      <c r="G49" s="89">
        <f ca="1"/>
        <v>-52.860608303780722</v>
      </c>
    </row>
    <row r="50" spans="2:7">
      <c r="B50" s="64" t="s">
        <v>99</v>
      </c>
      <c r="C50" s="62"/>
      <c r="F50" s="83" t="str">
        <f ca="1"/>
        <v>ForecastCurve:AUD-IRSwap-6Y</v>
      </c>
      <c r="G50" s="89">
        <f ca="1"/>
        <v>-0.36162556701283571</v>
      </c>
    </row>
    <row r="51" spans="2:7">
      <c r="B51" s="64" t="s">
        <v>100</v>
      </c>
      <c r="C51" s="62"/>
      <c r="F51" s="83" t="str">
        <f ca="1"/>
        <v>ForecastCurve:AUD-IRSwap-7Y</v>
      </c>
      <c r="G51" s="89">
        <f ca="1"/>
        <v>0</v>
      </c>
    </row>
    <row r="52" spans="2:7">
      <c r="B52" s="65" t="s">
        <v>101</v>
      </c>
      <c r="C52" s="62"/>
      <c r="F52" s="83" t="str">
        <f ca="1"/>
        <v>ForecastCurve:AUD-IRSwap-8Y</v>
      </c>
      <c r="G52" s="89">
        <f ca="1"/>
        <v>0</v>
      </c>
    </row>
    <row r="53" spans="2:7">
      <c r="B53" s="31" t="s">
        <v>99</v>
      </c>
      <c r="C53" s="62"/>
      <c r="F53" s="83" t="str">
        <f ca="1"/>
        <v>ForecastCurve:AUD-IRSwap-9Y</v>
      </c>
      <c r="G53" s="89">
        <f ca="1"/>
        <v>0</v>
      </c>
    </row>
    <row r="54" spans="2:7">
      <c r="F54" s="83" t="str">
        <f ca="1"/>
        <v>ForecastCurve:AUD-IRSwap-10Y</v>
      </c>
      <c r="G54" s="89">
        <f ca="1"/>
        <v>0</v>
      </c>
    </row>
    <row r="55" spans="2:7">
      <c r="B55" s="149">
        <f t="array" aca="1" ref="B55:C73" ca="1">_xll.HLV5r3.Financial.Cache.GetDaysAndRates(B1, C3, B48)</f>
        <v>0</v>
      </c>
      <c r="C55" s="150">
        <f ca="1"/>
        <v>4.9996575655055331E-2</v>
      </c>
      <c r="F55" s="83" t="str">
        <f ca="1"/>
        <v>ForecastCurve:AUD-IRSwap-15Y</v>
      </c>
      <c r="G55" s="89">
        <f ca="1"/>
        <v>0</v>
      </c>
    </row>
    <row r="56" spans="2:7">
      <c r="B56" s="149">
        <f ca="1"/>
        <v>1</v>
      </c>
      <c r="C56" s="150">
        <f ca="1"/>
        <v>4.9996575655055331E-2</v>
      </c>
      <c r="F56" s="83" t="str">
        <f ca="1"/>
        <v>ForecastCurve:AUD-IRSwap-20Y</v>
      </c>
      <c r="G56" s="89">
        <f ca="1"/>
        <v>0</v>
      </c>
    </row>
    <row r="57" spans="2:7">
      <c r="B57" s="149">
        <f ca="1"/>
        <v>8</v>
      </c>
      <c r="C57" s="150">
        <f ca="1"/>
        <v>4.9978609329164266E-2</v>
      </c>
      <c r="F57" s="83" t="e">
        <f ca="1"/>
        <v>#N/A</v>
      </c>
      <c r="G57" s="89" t="e">
        <f ca="1"/>
        <v>#N/A</v>
      </c>
    </row>
    <row r="58" spans="2:7">
      <c r="B58" s="149">
        <f ca="1"/>
        <v>15</v>
      </c>
      <c r="C58" s="150">
        <f ca="1"/>
        <v>4.9955079982865289E-2</v>
      </c>
      <c r="F58" s="83" t="e">
        <f ca="1"/>
        <v>#N/A</v>
      </c>
      <c r="G58" s="89" t="e">
        <f ca="1"/>
        <v>#N/A</v>
      </c>
    </row>
    <row r="59" spans="2:7">
      <c r="B59" s="149">
        <f ca="1"/>
        <v>32</v>
      </c>
      <c r="C59" s="150">
        <f ca="1"/>
        <v>4.9897336482746753E-2</v>
      </c>
      <c r="F59" s="83" t="e">
        <f ca="1"/>
        <v>#N/A</v>
      </c>
      <c r="G59" s="89" t="e">
        <f ca="1"/>
        <v>#N/A</v>
      </c>
    </row>
    <row r="60" spans="2:7">
      <c r="B60" s="149">
        <f ca="1"/>
        <v>63</v>
      </c>
      <c r="C60" s="150">
        <f ca="1"/>
        <v>4.9792162834311232E-2</v>
      </c>
      <c r="F60" s="83" t="e">
        <f ca="1"/>
        <v>#N/A</v>
      </c>
      <c r="G60" s="89" t="e">
        <f ca="1"/>
        <v>#N/A</v>
      </c>
    </row>
    <row r="61" spans="2:7">
      <c r="B61" s="149">
        <f ca="1"/>
        <v>93</v>
      </c>
      <c r="C61" s="150">
        <f ca="1"/>
        <v>4.9690876701007997E-2</v>
      </c>
      <c r="F61" s="83" t="e">
        <f ca="1"/>
        <v>#N/A</v>
      </c>
      <c r="G61" s="89" t="e">
        <f ca="1"/>
        <v>#N/A</v>
      </c>
    </row>
    <row r="62" spans="2:7">
      <c r="B62" s="149">
        <f ca="1"/>
        <v>164</v>
      </c>
      <c r="C62" s="150">
        <f ca="1"/>
        <v>4.9721073495085977E-2</v>
      </c>
      <c r="F62" s="83" t="e">
        <f ca="1"/>
        <v>#N/A</v>
      </c>
      <c r="G62" s="89" t="e">
        <f ca="1"/>
        <v>#N/A</v>
      </c>
    </row>
    <row r="63" spans="2:7">
      <c r="B63" s="149">
        <f ca="1"/>
        <v>255</v>
      </c>
      <c r="C63" s="150">
        <f ca="1"/>
        <v>4.970957002226653E-2</v>
      </c>
      <c r="F63" s="83" t="e">
        <f ca="1"/>
        <v>#N/A</v>
      </c>
      <c r="G63" s="89" t="e">
        <f ca="1"/>
        <v>#N/A</v>
      </c>
    </row>
    <row r="64" spans="2:7">
      <c r="B64" s="149">
        <f ca="1"/>
        <v>346</v>
      </c>
      <c r="C64" s="150">
        <f ca="1"/>
        <v>4.9702084015109067E-2</v>
      </c>
      <c r="F64" s="83" t="e">
        <f ca="1"/>
        <v>#N/A</v>
      </c>
      <c r="G64" s="89" t="e">
        <f ca="1"/>
        <v>#N/A</v>
      </c>
    </row>
    <row r="65" spans="2:7">
      <c r="B65" s="149">
        <f ca="1"/>
        <v>437</v>
      </c>
      <c r="C65" s="150">
        <f ca="1"/>
        <v>4.9695453816292749E-2</v>
      </c>
      <c r="F65" s="83" t="e">
        <f ca="1"/>
        <v>#N/A</v>
      </c>
      <c r="G65" s="89" t="e">
        <f ca="1"/>
        <v>#N/A</v>
      </c>
    </row>
    <row r="66" spans="2:7">
      <c r="B66" s="149">
        <f ca="1"/>
        <v>528</v>
      </c>
      <c r="C66" s="150">
        <f ca="1"/>
        <v>4.9688713209090726E-2</v>
      </c>
      <c r="F66" s="83" t="e">
        <f ca="1"/>
        <v>#N/A</v>
      </c>
      <c r="G66" s="89" t="e">
        <f ca="1"/>
        <v>#N/A</v>
      </c>
    </row>
    <row r="67" spans="2:7">
      <c r="B67" s="149">
        <f ca="1"/>
        <v>619</v>
      </c>
      <c r="C67" s="150">
        <f ca="1"/>
        <v>4.9681474974561102E-2</v>
      </c>
      <c r="F67" s="83" t="e">
        <f ca="1"/>
        <v>#N/A</v>
      </c>
      <c r="G67" s="89" t="e">
        <f ca="1"/>
        <v>#N/A</v>
      </c>
    </row>
    <row r="68" spans="2:7">
      <c r="B68" s="149">
        <f ca="1"/>
        <v>710</v>
      </c>
      <c r="C68" s="150">
        <f ca="1"/>
        <v>4.9673564520688676E-2</v>
      </c>
      <c r="F68" s="83" t="e">
        <f ca="1"/>
        <v>#N/A</v>
      </c>
      <c r="G68" s="89" t="e">
        <f ca="1"/>
        <v>#N/A</v>
      </c>
    </row>
    <row r="69" spans="2:7">
      <c r="B69" s="149">
        <f ca="1"/>
        <v>801</v>
      </c>
      <c r="C69" s="150">
        <f ca="1"/>
        <v>4.9664896066848638E-2</v>
      </c>
      <c r="F69" s="83" t="e">
        <f ca="1"/>
        <v>#N/A</v>
      </c>
      <c r="G69" s="89" t="e">
        <f ca="1"/>
        <v>#N/A</v>
      </c>
    </row>
    <row r="70" spans="2:7">
      <c r="B70" s="149">
        <f ca="1"/>
        <v>1099</v>
      </c>
      <c r="C70" s="150">
        <f ca="1"/>
        <v>4.9689855980022145E-2</v>
      </c>
      <c r="F70" s="83" t="e">
        <f ca="1"/>
        <v>#N/A</v>
      </c>
      <c r="G70" s="89" t="e">
        <f ca="1"/>
        <v>#N/A</v>
      </c>
    </row>
    <row r="71" spans="2:7">
      <c r="B71" s="149">
        <f ca="1"/>
        <v>1463</v>
      </c>
      <c r="C71" s="150">
        <f ca="1"/>
        <v>4.9360402709856088E-2</v>
      </c>
      <c r="F71" s="83" t="e">
        <f ca="1"/>
        <v>#N/A</v>
      </c>
      <c r="G71" s="89" t="e">
        <f ca="1"/>
        <v>#N/A</v>
      </c>
    </row>
    <row r="72" spans="2:7">
      <c r="B72" s="149">
        <f ca="1"/>
        <v>1828</v>
      </c>
      <c r="C72" s="150">
        <f ca="1"/>
        <v>4.9365360196443255E-2</v>
      </c>
      <c r="F72" s="83" t="e">
        <f ca="1"/>
        <v>#N/A</v>
      </c>
      <c r="G72" s="89" t="e">
        <f ca="1"/>
        <v>#N/A</v>
      </c>
    </row>
    <row r="73" spans="2:7">
      <c r="B73" s="149">
        <f ca="1"/>
        <v>2193</v>
      </c>
      <c r="C73" s="150">
        <f ca="1"/>
        <v>4.9368652924723012E-2</v>
      </c>
      <c r="F73" s="83" t="e">
        <f ca="1"/>
        <v>#N/A</v>
      </c>
      <c r="G73" s="89" t="e">
        <f ca="1"/>
        <v>#N/A</v>
      </c>
    </row>
    <row r="74" spans="2:7">
      <c r="B74" s="66"/>
      <c r="F74" s="83" t="e">
        <f ca="1"/>
        <v>#N/A</v>
      </c>
      <c r="G74" s="89" t="e">
        <f ca="1"/>
        <v>#N/A</v>
      </c>
    </row>
    <row r="75" spans="2:7">
      <c r="B75" s="66"/>
      <c r="F75" s="83" t="e">
        <f ca="1"/>
        <v>#N/A</v>
      </c>
      <c r="G75" s="89" t="e">
        <f ca="1"/>
        <v>#N/A</v>
      </c>
    </row>
    <row r="76" spans="2:7">
      <c r="B76" s="66"/>
      <c r="F76" s="83" t="e">
        <f ca="1"/>
        <v>#N/A</v>
      </c>
      <c r="G76" s="89" t="e">
        <f ca="1"/>
        <v>#N/A</v>
      </c>
    </row>
    <row r="77" spans="2:7">
      <c r="B77" s="66"/>
      <c r="C77" s="67"/>
      <c r="E77" s="68"/>
      <c r="F77" s="83" t="e">
        <f ca="1"/>
        <v>#N/A</v>
      </c>
      <c r="G77" s="89" t="e">
        <f ca="1"/>
        <v>#N/A</v>
      </c>
    </row>
    <row r="78" spans="2:7">
      <c r="B78" s="66"/>
      <c r="C78" s="67"/>
      <c r="E78" s="68"/>
      <c r="F78" s="83" t="e">
        <f ca="1"/>
        <v>#N/A</v>
      </c>
      <c r="G78" s="89" t="e">
        <f ca="1"/>
        <v>#N/A</v>
      </c>
    </row>
    <row r="79" spans="2:7">
      <c r="B79" s="66"/>
      <c r="C79" s="67"/>
      <c r="E79" s="68"/>
      <c r="F79" s="83" t="e">
        <f ca="1"/>
        <v>#N/A</v>
      </c>
      <c r="G79" s="89" t="e">
        <f ca="1"/>
        <v>#N/A</v>
      </c>
    </row>
    <row r="80" spans="2:7">
      <c r="F80" s="83" t="e">
        <f ca="1"/>
        <v>#N/A</v>
      </c>
      <c r="G80" s="89" t="e">
        <f ca="1"/>
        <v>#N/A</v>
      </c>
    </row>
    <row r="81" spans="6:7">
      <c r="F81" s="83" t="e">
        <f ca="1"/>
        <v>#N/A</v>
      </c>
      <c r="G81" s="89" t="e">
        <f ca="1"/>
        <v>#N/A</v>
      </c>
    </row>
    <row r="82" spans="6:7">
      <c r="F82" s="83" t="e">
        <f ca="1"/>
        <v>#N/A</v>
      </c>
      <c r="G82" s="89" t="e">
        <f ca="1"/>
        <v>#N/A</v>
      </c>
    </row>
    <row r="83" spans="6:7">
      <c r="F83" s="83" t="e">
        <f ca="1"/>
        <v>#N/A</v>
      </c>
      <c r="G83" s="89" t="e">
        <f ca="1"/>
        <v>#N/A</v>
      </c>
    </row>
    <row r="84" spans="6:7">
      <c r="F84" s="26" t="e">
        <f ca="1"/>
        <v>#N/A</v>
      </c>
      <c r="G84" s="26" t="e">
        <f ca="1"/>
        <v>#N/A</v>
      </c>
    </row>
    <row r="85" spans="6:7">
      <c r="F85" s="26" t="e">
        <f ca="1"/>
        <v>#N/A</v>
      </c>
      <c r="G85" s="26" t="e">
        <f ca="1"/>
        <v>#N/A</v>
      </c>
    </row>
    <row r="86" spans="6:7">
      <c r="F86" s="26" t="e">
        <f ca="1"/>
        <v>#N/A</v>
      </c>
      <c r="G86" s="26" t="e">
        <f ca="1"/>
        <v>#N/A</v>
      </c>
    </row>
    <row r="87" spans="6:7">
      <c r="F87" s="26" t="e">
        <f ca="1"/>
        <v>#N/A</v>
      </c>
      <c r="G87" s="26" t="e">
        <f ca="1"/>
        <v>#N/A</v>
      </c>
    </row>
    <row r="88" spans="6:7">
      <c r="F88" s="26" t="e">
        <f ca="1"/>
        <v>#N/A</v>
      </c>
      <c r="G88" s="26" t="e">
        <f ca="1"/>
        <v>#N/A</v>
      </c>
    </row>
    <row r="89" spans="6:7">
      <c r="F89" s="26" t="e">
        <f ca="1"/>
        <v>#N/A</v>
      </c>
      <c r="G89" s="26" t="e">
        <f ca="1"/>
        <v>#N/A</v>
      </c>
    </row>
    <row r="90" spans="6:7">
      <c r="F90" s="26" t="e">
        <f ca="1"/>
        <v>#N/A</v>
      </c>
      <c r="G90" s="26" t="e">
        <f ca="1"/>
        <v>#N/A</v>
      </c>
    </row>
    <row r="91" spans="6:7">
      <c r="F91" s="26" t="e">
        <f ca="1"/>
        <v>#N/A</v>
      </c>
      <c r="G91" s="26" t="e">
        <f ca="1"/>
        <v>#N/A</v>
      </c>
    </row>
    <row r="92" spans="6:7">
      <c r="F92" s="26" t="e">
        <f ca="1"/>
        <v>#N/A</v>
      </c>
      <c r="G92" s="26" t="e">
        <f ca="1"/>
        <v>#N/A</v>
      </c>
    </row>
    <row r="93" spans="6:7">
      <c r="F93" s="26" t="e">
        <f ca="1"/>
        <v>#N/A</v>
      </c>
      <c r="G93" s="26" t="e">
        <f ca="1"/>
        <v>#N/A</v>
      </c>
    </row>
  </sheetData>
  <protectedRanges>
    <protectedRange sqref="B41:B43 B46 C10" name="Range2_1"/>
  </protectedRanges>
  <mergeCells count="6">
    <mergeCell ref="F8:G8"/>
    <mergeCell ref="I8:J8"/>
    <mergeCell ref="I1:J1"/>
    <mergeCell ref="L5:M5"/>
    <mergeCell ref="B1:C1"/>
    <mergeCell ref="L1:M1"/>
  </mergeCells>
  <dataValidations count="6">
    <dataValidation type="list" allowBlank="1" showInputMessage="1" showErrorMessage="1" sqref="C10" xr:uid="{00000000-0002-0000-0300-000000000000}">
      <formula1>$B$41:$B$46</formula1>
    </dataValidation>
    <dataValidation type="list" allowBlank="1" showInputMessage="1" showErrorMessage="1" sqref="B53" xr:uid="{00000000-0002-0000-0300-000001000000}">
      <formula1>$B$48:$B$52</formula1>
    </dataValidation>
    <dataValidation type="list" allowBlank="1" showInputMessage="1" showErrorMessage="1" sqref="C40" xr:uid="{00000000-0002-0000-0300-000002000000}">
      <formula1>$C$42:$C$43</formula1>
    </dataValidation>
    <dataValidation type="list" allowBlank="1" showInputMessage="1" showErrorMessage="1" sqref="G5" xr:uid="{31340A47-5213-49CF-9851-A4E59510342A}">
      <formula1>"true,false"</formula1>
    </dataValidation>
    <dataValidation type="list" allowBlank="1" showInputMessage="1" showErrorMessage="1" sqref="M17" xr:uid="{7E5AF56E-2A44-46F4-BF91-0B5547F3B88B}">
      <formula1>"DiscountCurve, ForecastCurve, Both"</formula1>
    </dataValidation>
    <dataValidation type="list" allowBlank="1" showInputMessage="1" showErrorMessage="1" sqref="M16" xr:uid="{49FF6AAA-D649-4515-BBBC-2EFA329CC4C5}">
      <formula1>"TRUE, FALSE"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C0A5F-D9DC-4644-A349-5454F2762051}">
  <sheetPr codeName="Sheet10"/>
  <dimension ref="B1:J92"/>
  <sheetViews>
    <sheetView workbookViewId="0">
      <selection activeCell="E11" sqref="E11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9.28515625" style="26" bestFit="1" customWidth="1"/>
    <col min="6" max="6" width="12.14062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81" t="s">
        <v>109</v>
      </c>
      <c r="C2" s="180"/>
      <c r="E2" s="191" t="s">
        <v>112</v>
      </c>
      <c r="F2" s="190"/>
      <c r="H2" s="191" t="s">
        <v>195</v>
      </c>
      <c r="I2" s="190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43647</v>
      </c>
      <c r="H3" s="73" t="s">
        <v>113</v>
      </c>
      <c r="I3" s="74">
        <f ca="1">TODAY()</f>
        <v>43647</v>
      </c>
    </row>
    <row r="4" spans="2:10">
      <c r="B4" s="75" t="s">
        <v>108</v>
      </c>
      <c r="C4" s="151">
        <v>1000000</v>
      </c>
      <c r="E4" s="75" t="s">
        <v>114</v>
      </c>
      <c r="F4" s="76" t="str">
        <f>C3</f>
        <v>AUD</v>
      </c>
      <c r="H4" s="75" t="s">
        <v>173</v>
      </c>
      <c r="I4" s="76" t="s">
        <v>174</v>
      </c>
    </row>
    <row r="5" spans="2:10" ht="13.5" thickBot="1">
      <c r="B5" s="77" t="s">
        <v>165</v>
      </c>
      <c r="C5" s="124">
        <f ca="1">F3+4</f>
        <v>43651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204</v>
      </c>
      <c r="F6" s="81" t="b">
        <v>1</v>
      </c>
      <c r="H6" s="75" t="s">
        <v>196</v>
      </c>
      <c r="I6" s="76" t="s">
        <v>3</v>
      </c>
    </row>
    <row r="7" spans="2:10" ht="13.5" thickBot="1">
      <c r="H7" s="75" t="s">
        <v>197</v>
      </c>
      <c r="I7" s="76" t="s">
        <v>7</v>
      </c>
    </row>
    <row r="8" spans="2:10" ht="13.5" thickBot="1">
      <c r="B8" s="182" t="s">
        <v>203</v>
      </c>
      <c r="C8" s="183" t="str">
        <f ca="1">_xll.HLV5r3.Financial.Cache.CreateIRSwap(C5,C4,F9,F5,F6,C12,C11,C13,H3:I19)</f>
        <v>IRSwap-001</v>
      </c>
      <c r="E8" s="191" t="s">
        <v>162</v>
      </c>
      <c r="F8" s="190"/>
      <c r="H8" s="75" t="s">
        <v>199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206</v>
      </c>
      <c r="I9" s="76" t="s">
        <v>67</v>
      </c>
    </row>
    <row r="10" spans="2:10">
      <c r="B10" s="75" t="s">
        <v>122</v>
      </c>
      <c r="C10" s="93" t="s">
        <v>3</v>
      </c>
      <c r="H10" s="75" t="s">
        <v>200</v>
      </c>
      <c r="I10" s="76" t="s">
        <v>16</v>
      </c>
    </row>
    <row r="11" spans="2:10">
      <c r="B11" s="75" t="s">
        <v>123</v>
      </c>
      <c r="C11" s="93" t="s">
        <v>7</v>
      </c>
      <c r="E11" s="26" t="str">
        <f t="array" aca="1" ref="E11:F21" ca="1">TRANSPOSE(_xll.HLV5r3.Financial.Cache.EvaluateMetrics(B16:B18,I15,C8,I3))</f>
        <v>IRSwap-001</v>
      </c>
      <c r="F11" s="26" t="str">
        <f ca="1"/>
        <v>IRSwap-001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26" t="str">
        <f ca="1"/>
        <v>NPV</v>
      </c>
      <c r="F12" s="26" t="str">
        <f ca="1"/>
        <v>NPV</v>
      </c>
      <c r="H12" s="75" t="s">
        <v>205</v>
      </c>
      <c r="I12" s="93" t="s">
        <v>67</v>
      </c>
    </row>
    <row r="13" spans="2:10" ht="13.5" thickBot="1">
      <c r="B13" s="77" t="s">
        <v>125</v>
      </c>
      <c r="C13" s="179" t="str">
        <f>"-1D"</f>
        <v>-1D</v>
      </c>
      <c r="E13" s="185">
        <f ca="1"/>
        <v>24803.207849582799</v>
      </c>
      <c r="F13" s="185">
        <f ca="1"/>
        <v>24803.207849582799</v>
      </c>
      <c r="H13" s="75" t="s">
        <v>164</v>
      </c>
      <c r="I13" s="93" t="s">
        <v>142</v>
      </c>
    </row>
    <row r="14" spans="2:10">
      <c r="E14" s="26" t="str">
        <f ca="1"/>
        <v>AccrualFactor</v>
      </c>
      <c r="F14" s="26" t="str">
        <f ca="1"/>
        <v>AccrualFactor</v>
      </c>
      <c r="H14" s="75" t="s">
        <v>194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26">
        <f ca="1"/>
        <v>4.4076963884466398</v>
      </c>
      <c r="F15" s="26">
        <f ca="1"/>
        <v>4.4076963884466398</v>
      </c>
      <c r="H15" s="75" t="s">
        <v>44</v>
      </c>
      <c r="I15" s="76" t="s">
        <v>208</v>
      </c>
      <c r="J15" s="31"/>
    </row>
    <row r="16" spans="2:10">
      <c r="B16" s="26" t="str">
        <v>NPV</v>
      </c>
      <c r="E16" s="26" t="str">
        <f ca="1"/>
        <v>ImpliedQuote</v>
      </c>
      <c r="F16" s="26" t="str">
        <f ca="1"/>
        <v>ImpliedQuote</v>
      </c>
      <c r="H16" s="75" t="s">
        <v>43</v>
      </c>
      <c r="I16" s="76" t="s">
        <v>208</v>
      </c>
    </row>
    <row r="17" spans="2:9" s="26" customFormat="1">
      <c r="B17" s="26" t="str">
        <v>AccrualFactor</v>
      </c>
      <c r="E17" s="184">
        <f ca="1"/>
        <v>4.9642750374867824E-2</v>
      </c>
      <c r="F17" s="184">
        <f ca="1"/>
        <v>4.9642750374867824E-2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26" t="e">
        <f ca="1"/>
        <v>#N/A</v>
      </c>
      <c r="F18" s="26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26" t="e">
        <f ca="1"/>
        <v>#N/A</v>
      </c>
      <c r="F19" s="26" t="e">
        <f ca="1"/>
        <v>#N/A</v>
      </c>
      <c r="H19" s="77" t="s">
        <v>198</v>
      </c>
      <c r="I19" s="69" t="s">
        <v>43</v>
      </c>
    </row>
    <row r="20" spans="2:9" s="26" customFormat="1">
      <c r="B20" s="26" t="str">
        <v>DeltaR</v>
      </c>
      <c r="E20" s="26" t="e">
        <f ca="1"/>
        <v>#N/A</v>
      </c>
      <c r="F20" s="85" t="e">
        <f ca="1"/>
        <v>#N/A</v>
      </c>
    </row>
    <row r="21" spans="2:9" s="26" customFormat="1">
      <c r="B21" s="26" t="str">
        <v>MarketQuote</v>
      </c>
      <c r="E21" s="26" t="e">
        <f ca="1"/>
        <v>#N/A</v>
      </c>
      <c r="F21" s="85" t="e">
        <f ca="1"/>
        <v>#N/A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="26" customFormat="1"/>
    <row r="34" s="26" customFormat="1"/>
    <row r="35" s="26" customFormat="1"/>
    <row r="36" s="26" customFormat="1"/>
    <row r="37" s="26" customFormat="1"/>
    <row r="38" s="26" customFormat="1"/>
    <row r="39" s="26" customFormat="1"/>
    <row r="40" s="26" customFormat="1"/>
    <row r="41" s="26" customFormat="1"/>
    <row r="42" s="26" customFormat="1"/>
    <row r="43" s="26" customFormat="1"/>
    <row r="44" s="26" customFormat="1"/>
    <row r="45" s="26" customFormat="1"/>
    <row r="46" s="26" customFormat="1"/>
    <row r="47" s="26" customFormat="1"/>
    <row r="48" s="26" customFormat="1"/>
    <row r="49" s="26" customFormat="1"/>
    <row r="50" s="26" customFormat="1"/>
    <row r="52" s="26" customFormat="1"/>
    <row r="53" s="26" customFormat="1"/>
    <row r="54" s="26" customFormat="1"/>
    <row r="55" s="26" customFormat="1"/>
    <row r="56" s="26" customFormat="1"/>
    <row r="57" s="26" customFormat="1"/>
    <row r="58" s="26" customFormat="1"/>
    <row r="59" s="26" customFormat="1"/>
    <row r="60" s="26" customFormat="1"/>
    <row r="61" s="26" customFormat="1"/>
    <row r="62" s="26" customFormat="1"/>
    <row r="63" s="26" customFormat="1"/>
    <row r="64" s="26" customFormat="1"/>
    <row r="65" s="26" customFormat="1"/>
    <row r="66" s="26" customFormat="1"/>
    <row r="67" s="26" customFormat="1"/>
    <row r="68" s="26" customFormat="1"/>
    <row r="69" s="26" customFormat="1"/>
    <row r="70" s="26" customFormat="1"/>
    <row r="71" s="26" customFormat="1"/>
    <row r="72" s="26" customFormat="1"/>
    <row r="73" s="26" customFormat="1"/>
    <row r="74" s="26" customFormat="1"/>
    <row r="75" s="26" customFormat="1"/>
    <row r="76" s="26" customFormat="1"/>
    <row r="77" s="26" customFormat="1"/>
    <row r="78" s="26" customFormat="1"/>
    <row r="79" s="26" customFormat="1"/>
    <row r="80" s="26" customFormat="1"/>
    <row r="81" spans="8:8" s="26" customFormat="1"/>
    <row r="82" spans="8:8" s="26" customFormat="1"/>
    <row r="83" spans="8:8" s="26" customFormat="1"/>
    <row r="84" spans="8:8" s="26" customFormat="1"/>
    <row r="85" spans="8:8" s="26" customFormat="1"/>
    <row r="86" spans="8:8" s="26" customFormat="1"/>
    <row r="87" spans="8:8" s="26" customFormat="1"/>
    <row r="88" spans="8:8">
      <c r="H88" s="26"/>
    </row>
    <row r="89" spans="8:8">
      <c r="H89" s="26"/>
    </row>
    <row r="90" spans="8:8">
      <c r="H90" s="26"/>
    </row>
    <row r="91" spans="8:8">
      <c r="H91" s="26"/>
    </row>
    <row r="92" spans="8:8">
      <c r="H92" s="26"/>
    </row>
  </sheetData>
  <mergeCells count="3">
    <mergeCell ref="E2:F2"/>
    <mergeCell ref="H2:I2"/>
    <mergeCell ref="E8:F8"/>
  </mergeCells>
  <dataValidations disablePrompts="1" count="2">
    <dataValidation type="list" allowBlank="1" showInputMessage="1" showErrorMessage="1" sqref="I19" xr:uid="{AC0053B1-3B2B-4FAB-9B39-4A5AC381A04F}">
      <formula1>"DiscountCurve, ForecastCurve, Both"</formula1>
    </dataValidation>
    <dataValidation type="list" allowBlank="1" showInputMessage="1" showErrorMessage="1" sqref="F5" xr:uid="{4F9DBE34-BFFD-4910-A4EE-C2761CF96047}">
      <formula1>"TRUE,FALSE"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B1:J87"/>
  <sheetViews>
    <sheetView workbookViewId="0">
      <selection activeCell="H2" sqref="H2:I19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2.5703125" style="26" bestFit="1" customWidth="1"/>
    <col min="6" max="6" width="45" style="26" bestFit="1" customWidth="1"/>
    <col min="7" max="7" width="3.140625" style="26" customWidth="1"/>
    <col min="8" max="8" width="29.28515625" bestFit="1" customWidth="1"/>
    <col min="9" max="9" width="43.42578125" style="26" bestFit="1" customWidth="1"/>
    <col min="10" max="10" width="25.85546875" style="26" bestFit="1" customWidth="1"/>
  </cols>
  <sheetData>
    <row r="1" spans="2:10" ht="13.5" thickBot="1"/>
    <row r="2" spans="2:10" ht="13.5" thickBot="1">
      <c r="B2" s="134" t="s">
        <v>109</v>
      </c>
      <c r="C2" s="133"/>
      <c r="E2" s="191" t="s">
        <v>112</v>
      </c>
      <c r="F2" s="190"/>
      <c r="H2" s="191" t="s">
        <v>195</v>
      </c>
      <c r="I2" s="190"/>
    </row>
    <row r="3" spans="2:10">
      <c r="B3" s="73" t="s">
        <v>12</v>
      </c>
      <c r="C3" s="74" t="s">
        <v>0</v>
      </c>
      <c r="E3" s="73" t="s">
        <v>113</v>
      </c>
      <c r="F3" s="76">
        <f ca="1">TODAY()</f>
        <v>43647</v>
      </c>
      <c r="H3" s="73" t="s">
        <v>113</v>
      </c>
      <c r="I3" s="74">
        <f ca="1">TODAY()</f>
        <v>43647</v>
      </c>
    </row>
    <row r="4" spans="2:10">
      <c r="B4" s="75" t="s">
        <v>108</v>
      </c>
      <c r="C4" s="151">
        <v>1000000</v>
      </c>
      <c r="E4" s="75" t="s">
        <v>114</v>
      </c>
      <c r="F4" s="76" t="str">
        <f>C3</f>
        <v>AUD</v>
      </c>
      <c r="H4" s="75" t="s">
        <v>173</v>
      </c>
      <c r="I4" s="76" t="s">
        <v>207</v>
      </c>
    </row>
    <row r="5" spans="2:10" ht="13.5" thickBot="1">
      <c r="B5" s="77" t="s">
        <v>165</v>
      </c>
      <c r="C5" s="124">
        <f ca="1">F3+4</f>
        <v>43651</v>
      </c>
      <c r="E5" s="75" t="s">
        <v>172</v>
      </c>
      <c r="F5" s="70" t="b">
        <v>1</v>
      </c>
      <c r="H5" s="75" t="s">
        <v>12</v>
      </c>
      <c r="I5" s="76" t="s">
        <v>0</v>
      </c>
    </row>
    <row r="6" spans="2:10" ht="13.5" thickBot="1">
      <c r="E6" s="77" t="s">
        <v>204</v>
      </c>
      <c r="F6" s="81" t="b">
        <v>1</v>
      </c>
      <c r="H6" s="75" t="s">
        <v>196</v>
      </c>
      <c r="I6" s="76" t="s">
        <v>3</v>
      </c>
    </row>
    <row r="7" spans="2:10" ht="13.5" thickBot="1">
      <c r="H7" s="75" t="s">
        <v>197</v>
      </c>
      <c r="I7" s="76" t="s">
        <v>7</v>
      </c>
    </row>
    <row r="8" spans="2:10" ht="13.5" thickBot="1">
      <c r="B8" s="182" t="s">
        <v>203</v>
      </c>
      <c r="C8" s="183"/>
      <c r="E8" s="191" t="s">
        <v>162</v>
      </c>
      <c r="F8" s="190"/>
      <c r="H8" s="75" t="s">
        <v>199</v>
      </c>
      <c r="I8" s="76" t="s">
        <v>16</v>
      </c>
    </row>
    <row r="9" spans="2:10" ht="13.5" thickBot="1">
      <c r="B9" s="75" t="s">
        <v>121</v>
      </c>
      <c r="C9" s="93" t="s">
        <v>7</v>
      </c>
      <c r="E9" s="77" t="s">
        <v>161</v>
      </c>
      <c r="F9" s="132"/>
      <c r="H9" s="75" t="s">
        <v>206</v>
      </c>
      <c r="I9" s="76" t="s">
        <v>67</v>
      </c>
    </row>
    <row r="10" spans="2:10" ht="13.5" thickBot="1">
      <c r="B10" s="75" t="s">
        <v>122</v>
      </c>
      <c r="C10" s="93" t="s">
        <v>3</v>
      </c>
      <c r="H10" s="75" t="s">
        <v>200</v>
      </c>
      <c r="I10" s="76" t="s">
        <v>16</v>
      </c>
    </row>
    <row r="11" spans="2:10" ht="13.5" thickBot="1">
      <c r="B11" s="75" t="s">
        <v>123</v>
      </c>
      <c r="C11" s="93" t="s">
        <v>7</v>
      </c>
      <c r="E11" s="115" t="s">
        <v>159</v>
      </c>
      <c r="F11" s="75" t="s">
        <v>104</v>
      </c>
      <c r="H11" s="75" t="s">
        <v>126</v>
      </c>
      <c r="I11" s="93" t="s">
        <v>65</v>
      </c>
    </row>
    <row r="12" spans="2:10">
      <c r="B12" s="75" t="s">
        <v>124</v>
      </c>
      <c r="C12" s="93" t="s">
        <v>17</v>
      </c>
      <c r="E12" s="116" t="str">
        <f t="array" aca="1" ref="E12:F20" ca="1">_xll.HLV5r3.Financial.Cache.GetIRSwapMetrics2(C5,C4,F9,F5,F6,C10,C9,C12,C11,C13,B16:B18,H3:I19)</f>
        <v>NPV</v>
      </c>
      <c r="F12" s="125">
        <f ca="1"/>
        <v>24803.207849582799</v>
      </c>
      <c r="H12" s="75" t="s">
        <v>205</v>
      </c>
      <c r="I12" s="93" t="s">
        <v>67</v>
      </c>
    </row>
    <row r="13" spans="2:10" ht="13.5" thickBot="1">
      <c r="B13" s="77" t="s">
        <v>125</v>
      </c>
      <c r="C13" s="179" t="str">
        <f>"-1D"</f>
        <v>-1D</v>
      </c>
      <c r="E13" s="117" t="str">
        <f ca="1"/>
        <v>AccrualFactor</v>
      </c>
      <c r="F13" s="153">
        <f ca="1"/>
        <v>4.4076963884466398</v>
      </c>
      <c r="H13" s="75" t="s">
        <v>164</v>
      </c>
      <c r="I13" s="93" t="s">
        <v>142</v>
      </c>
    </row>
    <row r="14" spans="2:10">
      <c r="E14" s="117" t="str">
        <f ca="1"/>
        <v>ImpliedQuote</v>
      </c>
      <c r="F14" s="123">
        <f ca="1"/>
        <v>4.9642750374867824E-2</v>
      </c>
      <c r="H14" s="75" t="s">
        <v>194</v>
      </c>
      <c r="I14" s="76" t="b">
        <v>0</v>
      </c>
    </row>
    <row r="15" spans="2:10">
      <c r="B15" s="26" t="str">
        <f t="array" ref="B15:B27">_xll.HLV5r3.Financial.Cache.SupportedRateMetrics()</f>
        <v>DiscountFactorAtMaturity</v>
      </c>
      <c r="E15" s="117" t="e">
        <f ca="1"/>
        <v>#N/A</v>
      </c>
      <c r="F15" s="123" t="e">
        <f ca="1"/>
        <v>#N/A</v>
      </c>
      <c r="H15" s="75" t="s">
        <v>44</v>
      </c>
      <c r="I15" s="76" t="s">
        <v>208</v>
      </c>
      <c r="J15" s="31"/>
    </row>
    <row r="16" spans="2:10">
      <c r="B16" s="26" t="str">
        <v>NPV</v>
      </c>
      <c r="E16" s="117" t="e">
        <f ca="1"/>
        <v>#N/A</v>
      </c>
      <c r="F16" s="125" t="e">
        <f ca="1"/>
        <v>#N/A</v>
      </c>
      <c r="H16" s="75" t="s">
        <v>43</v>
      </c>
      <c r="I16" s="76" t="s">
        <v>208</v>
      </c>
    </row>
    <row r="17" spans="2:9" s="26" customFormat="1">
      <c r="B17" s="26" t="str">
        <v>AccrualFactor</v>
      </c>
      <c r="E17" s="117" t="e">
        <f ca="1"/>
        <v>#N/A</v>
      </c>
      <c r="F17" s="123" t="e">
        <f ca="1"/>
        <v>#N/A</v>
      </c>
      <c r="H17" s="75" t="s">
        <v>1</v>
      </c>
      <c r="I17" s="131">
        <v>5.527E-2</v>
      </c>
    </row>
    <row r="18" spans="2:9" s="26" customFormat="1">
      <c r="B18" s="26" t="str">
        <v>ImpliedQuote</v>
      </c>
      <c r="E18" s="117" t="e">
        <f ca="1"/>
        <v>#N/A</v>
      </c>
      <c r="F18" s="125" t="e">
        <f ca="1"/>
        <v>#N/A</v>
      </c>
      <c r="H18" s="75" t="s">
        <v>18</v>
      </c>
      <c r="I18" s="131">
        <v>0</v>
      </c>
    </row>
    <row r="19" spans="2:9" s="26" customFormat="1" ht="13.5" thickBot="1">
      <c r="B19" s="26" t="str">
        <v>ConvexityAdjustment</v>
      </c>
      <c r="E19" s="117" t="e">
        <f ca="1"/>
        <v>#N/A</v>
      </c>
      <c r="F19" s="125" t="e">
        <f ca="1"/>
        <v>#N/A</v>
      </c>
      <c r="H19" s="77" t="s">
        <v>198</v>
      </c>
      <c r="I19" s="69" t="s">
        <v>43</v>
      </c>
    </row>
    <row r="20" spans="2:9" s="26" customFormat="1">
      <c r="B20" s="26" t="str">
        <v>DeltaR</v>
      </c>
      <c r="E20" s="117" t="e">
        <f ca="1"/>
        <v>#N/A</v>
      </c>
      <c r="F20" s="125" t="e">
        <f ca="1"/>
        <v>#N/A</v>
      </c>
    </row>
    <row r="21" spans="2:9" s="26" customFormat="1">
      <c r="B21" s="26" t="str">
        <v>MarketQuote</v>
      </c>
    </row>
    <row r="22" spans="2:9" s="26" customFormat="1">
      <c r="B22" s="26" t="str">
        <v>NPVChange</v>
      </c>
    </row>
    <row r="23" spans="2:9" s="26" customFormat="1">
      <c r="B23" s="26" t="e">
        <v>#N/A</v>
      </c>
    </row>
    <row r="24" spans="2:9" s="26" customFormat="1">
      <c r="B24" s="26" t="e">
        <v>#N/A</v>
      </c>
    </row>
    <row r="25" spans="2:9" s="26" customFormat="1">
      <c r="B25" s="26" t="e">
        <v>#N/A</v>
      </c>
    </row>
    <row r="26" spans="2:9" s="26" customFormat="1">
      <c r="B26" s="26" t="e">
        <v>#N/A</v>
      </c>
    </row>
    <row r="27" spans="2:9" s="26" customFormat="1">
      <c r="B27" s="26" t="e">
        <v>#N/A</v>
      </c>
    </row>
    <row r="28" spans="2:9" s="26" customFormat="1"/>
    <row r="29" spans="2:9" s="26" customFormat="1"/>
    <row r="30" spans="2:9" s="26" customFormat="1"/>
    <row r="31" spans="2:9" s="26" customFormat="1"/>
    <row r="32" spans="2:9" s="26" customFormat="1"/>
    <row r="33" spans="5:8" s="26" customFormat="1"/>
    <row r="34" spans="5:8" s="26" customFormat="1"/>
    <row r="35" spans="5:8" s="26" customFormat="1"/>
    <row r="36" spans="5:8" s="26" customFormat="1">
      <c r="E36"/>
      <c r="H36"/>
    </row>
    <row r="37" spans="5:8" s="26" customFormat="1">
      <c r="E37"/>
      <c r="H37"/>
    </row>
    <row r="38" spans="5:8" s="26" customFormat="1">
      <c r="E38"/>
      <c r="H38"/>
    </row>
    <row r="39" spans="5:8" s="26" customFormat="1">
      <c r="E39"/>
      <c r="H39"/>
    </row>
    <row r="40" spans="5:8" s="26" customFormat="1">
      <c r="E40"/>
      <c r="H40"/>
    </row>
    <row r="41" spans="5:8" s="26" customFormat="1">
      <c r="H41"/>
    </row>
    <row r="42" spans="5:8" s="26" customFormat="1">
      <c r="H42"/>
    </row>
    <row r="43" spans="5:8" s="26" customFormat="1">
      <c r="H43"/>
    </row>
    <row r="44" spans="5:8" s="26" customFormat="1">
      <c r="H44"/>
    </row>
    <row r="45" spans="5:8" s="26" customFormat="1">
      <c r="H45"/>
    </row>
    <row r="46" spans="5:8" s="26" customFormat="1">
      <c r="H46"/>
    </row>
    <row r="47" spans="5:8" s="26" customFormat="1">
      <c r="H47"/>
    </row>
    <row r="48" spans="5:8" s="26" customFormat="1">
      <c r="H48"/>
    </row>
    <row r="49" spans="8:8" s="26" customFormat="1">
      <c r="H49"/>
    </row>
    <row r="50" spans="8:8" s="26" customFormat="1">
      <c r="H50"/>
    </row>
    <row r="52" spans="8:8" s="26" customFormat="1">
      <c r="H52"/>
    </row>
    <row r="53" spans="8:8" s="26" customFormat="1">
      <c r="H53"/>
    </row>
    <row r="54" spans="8:8" s="26" customFormat="1">
      <c r="H54"/>
    </row>
    <row r="55" spans="8:8" s="26" customFormat="1">
      <c r="H55"/>
    </row>
    <row r="56" spans="8:8" s="26" customFormat="1">
      <c r="H56"/>
    </row>
    <row r="57" spans="8:8" s="26" customFormat="1">
      <c r="H57"/>
    </row>
    <row r="58" spans="8:8" s="26" customFormat="1">
      <c r="H58"/>
    </row>
    <row r="59" spans="8:8" s="26" customFormat="1">
      <c r="H59"/>
    </row>
    <row r="60" spans="8:8" s="26" customFormat="1">
      <c r="H60"/>
    </row>
    <row r="61" spans="8:8" s="26" customFormat="1">
      <c r="H61"/>
    </row>
    <row r="62" spans="8:8" s="26" customFormat="1">
      <c r="H62"/>
    </row>
    <row r="63" spans="8:8" s="26" customFormat="1">
      <c r="H63"/>
    </row>
    <row r="64" spans="8:8" s="26" customFormat="1">
      <c r="H64"/>
    </row>
    <row r="65" spans="6:8" s="26" customFormat="1">
      <c r="H65"/>
    </row>
    <row r="66" spans="6:8" s="26" customFormat="1">
      <c r="H66"/>
    </row>
    <row r="67" spans="6:8" s="26" customFormat="1">
      <c r="H67"/>
    </row>
    <row r="68" spans="6:8" s="26" customFormat="1">
      <c r="H68"/>
    </row>
    <row r="69" spans="6:8" s="26" customFormat="1">
      <c r="H69"/>
    </row>
    <row r="70" spans="6:8" s="26" customFormat="1">
      <c r="H70"/>
    </row>
    <row r="71" spans="6:8" s="26" customFormat="1">
      <c r="H71"/>
    </row>
    <row r="72" spans="6:8" s="26" customFormat="1">
      <c r="H72"/>
    </row>
    <row r="73" spans="6:8" s="26" customFormat="1">
      <c r="H73"/>
    </row>
    <row r="74" spans="6:8" s="26" customFormat="1">
      <c r="H74"/>
    </row>
    <row r="75" spans="6:8" s="26" customFormat="1">
      <c r="H75"/>
    </row>
    <row r="76" spans="6:8" s="26" customFormat="1">
      <c r="H76"/>
    </row>
    <row r="77" spans="6:8" s="26" customFormat="1">
      <c r="F77" s="85"/>
      <c r="H77"/>
    </row>
    <row r="78" spans="6:8" s="26" customFormat="1">
      <c r="F78" s="85"/>
      <c r="H78"/>
    </row>
    <row r="79" spans="6:8" s="26" customFormat="1">
      <c r="H79"/>
    </row>
    <row r="80" spans="6:8" s="26" customFormat="1">
      <c r="H80"/>
    </row>
    <row r="81" spans="8:8" s="26" customFormat="1">
      <c r="H81"/>
    </row>
    <row r="82" spans="8:8" s="26" customFormat="1">
      <c r="H82"/>
    </row>
    <row r="83" spans="8:8" s="26" customFormat="1">
      <c r="H83"/>
    </row>
    <row r="84" spans="8:8" s="26" customFormat="1">
      <c r="H84"/>
    </row>
    <row r="85" spans="8:8" s="26" customFormat="1">
      <c r="H85"/>
    </row>
    <row r="86" spans="8:8" s="26" customFormat="1">
      <c r="H86"/>
    </row>
    <row r="87" spans="8:8" s="26" customFormat="1">
      <c r="H87"/>
    </row>
  </sheetData>
  <mergeCells count="3">
    <mergeCell ref="E2:F2"/>
    <mergeCell ref="E8:F8"/>
    <mergeCell ref="H2:I2"/>
  </mergeCells>
  <dataValidations disablePrompts="1" count="3">
    <dataValidation type="list" allowBlank="1" showInputMessage="1" showErrorMessage="1" sqref="F5" xr:uid="{00000000-0002-0000-0400-000000000000}">
      <formula1>"TRUE,FALSE"</formula1>
    </dataValidation>
    <dataValidation type="list" allowBlank="1" showInputMessage="1" showErrorMessage="1" sqref="F11" xr:uid="{00000000-0002-0000-0400-000001000000}">
      <formula1>Metrics</formula1>
    </dataValidation>
    <dataValidation type="list" allowBlank="1" showInputMessage="1" showErrorMessage="1" sqref="I19" xr:uid="{DCD5E42F-ACF6-425C-BA75-5A1D0BC79C30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3"/>
  <sheetViews>
    <sheetView workbookViewId="0">
      <selection activeCell="C1" sqref="C1"/>
    </sheetView>
  </sheetViews>
  <sheetFormatPr defaultColWidth="9.140625" defaultRowHeight="12.75"/>
  <cols>
    <col min="1" max="1" width="9.140625" style="95"/>
    <col min="2" max="2" width="21.42578125" style="94" bestFit="1" customWidth="1"/>
    <col min="3" max="3" width="45" style="94" bestFit="1" customWidth="1"/>
    <col min="4" max="4" width="1.140625" style="95" customWidth="1"/>
    <col min="5" max="5" width="10.140625" style="95" bestFit="1" customWidth="1"/>
    <col min="6" max="15" width="9.140625" style="95"/>
    <col min="16" max="16" width="59" style="95" customWidth="1"/>
    <col min="17" max="17" width="24.42578125" style="95" customWidth="1"/>
    <col min="18" max="18" width="18.5703125" style="95" customWidth="1"/>
    <col min="19" max="19" width="40" style="95" customWidth="1"/>
    <col min="20" max="20" width="37.5703125" style="95" customWidth="1"/>
    <col min="21" max="21" width="35.28515625" style="95" customWidth="1"/>
    <col min="22" max="22" width="31.85546875" style="95" customWidth="1"/>
    <col min="23" max="16384" width="9.140625" style="95"/>
  </cols>
  <sheetData>
    <row r="1" spans="2:14" ht="13.5" thickBot="1">
      <c r="B1" s="24" t="s">
        <v>61</v>
      </c>
      <c r="C1" s="94" t="str">
        <f ca="1">_xll.HLV5r3.Financial.Cache.CreateVolatilitySurfaceWithProperties(B2:C20, E3:E14, F2:N2, F3:N14)</f>
        <v>Market.QR_LIVE.RateVolatilityMatrix.AUD-Xibor-3M</v>
      </c>
    </row>
    <row r="2" spans="2:14" ht="13.5" thickBot="1">
      <c r="B2" s="27" t="s">
        <v>21</v>
      </c>
      <c r="C2" s="28" t="s">
        <v>127</v>
      </c>
      <c r="E2" s="96" t="s">
        <v>128</v>
      </c>
      <c r="F2" s="97">
        <v>3.5000000000000003E-2</v>
      </c>
      <c r="G2" s="97">
        <f t="shared" ref="G2:N2" si="0">F2+0.5%</f>
        <v>0.04</v>
      </c>
      <c r="H2" s="97">
        <f t="shared" si="0"/>
        <v>4.4999999999999998E-2</v>
      </c>
      <c r="I2" s="97">
        <f t="shared" si="0"/>
        <v>4.9999999999999996E-2</v>
      </c>
      <c r="J2" s="97">
        <f t="shared" si="0"/>
        <v>5.4999999999999993E-2</v>
      </c>
      <c r="K2" s="97">
        <f t="shared" si="0"/>
        <v>5.9999999999999991E-2</v>
      </c>
      <c r="L2" s="97">
        <f t="shared" si="0"/>
        <v>6.4999999999999988E-2</v>
      </c>
      <c r="M2" s="97">
        <f t="shared" si="0"/>
        <v>6.9999999999999993E-2</v>
      </c>
      <c r="N2" s="98">
        <f t="shared" si="0"/>
        <v>7.4999999999999997E-2</v>
      </c>
    </row>
    <row r="3" spans="2:14">
      <c r="B3" s="99" t="s">
        <v>62</v>
      </c>
      <c r="C3" s="100">
        <f ca="1">NOW()</f>
        <v>43647.638391203705</v>
      </c>
      <c r="E3" s="101" t="s">
        <v>129</v>
      </c>
      <c r="F3" s="102">
        <v>0.12</v>
      </c>
      <c r="G3" s="102">
        <v>0.12</v>
      </c>
      <c r="H3" s="102">
        <v>0.12</v>
      </c>
      <c r="I3" s="102">
        <v>0.12</v>
      </c>
      <c r="J3" s="102">
        <v>0.12</v>
      </c>
      <c r="K3" s="102">
        <v>0.12</v>
      </c>
      <c r="L3" s="102">
        <v>0.12</v>
      </c>
      <c r="M3" s="102">
        <v>0.12</v>
      </c>
      <c r="N3" s="103">
        <v>0.12</v>
      </c>
    </row>
    <row r="4" spans="2:14">
      <c r="B4" s="104" t="s">
        <v>113</v>
      </c>
      <c r="C4" s="30">
        <f ca="1">C3</f>
        <v>43647.638391203705</v>
      </c>
      <c r="E4" s="101" t="s">
        <v>130</v>
      </c>
      <c r="F4" s="102">
        <v>0.12</v>
      </c>
      <c r="G4" s="102">
        <v>0.12</v>
      </c>
      <c r="H4" s="102">
        <v>0.12</v>
      </c>
      <c r="I4" s="102">
        <v>0.12</v>
      </c>
      <c r="J4" s="102">
        <v>0.12</v>
      </c>
      <c r="K4" s="102">
        <v>0.12</v>
      </c>
      <c r="L4" s="102">
        <v>0.12</v>
      </c>
      <c r="M4" s="102">
        <v>0.12</v>
      </c>
      <c r="N4" s="103">
        <v>0.12</v>
      </c>
    </row>
    <row r="5" spans="2:14">
      <c r="B5" s="105" t="s">
        <v>63</v>
      </c>
      <c r="C5" s="33" t="s">
        <v>106</v>
      </c>
      <c r="E5" s="101" t="s">
        <v>131</v>
      </c>
      <c r="F5" s="102">
        <v>0.12</v>
      </c>
      <c r="G5" s="102">
        <v>0.12</v>
      </c>
      <c r="H5" s="102">
        <v>0.12</v>
      </c>
      <c r="I5" s="102">
        <v>0.12</v>
      </c>
      <c r="J5" s="102">
        <v>0.12</v>
      </c>
      <c r="K5" s="102">
        <v>0.12</v>
      </c>
      <c r="L5" s="102">
        <v>0.12</v>
      </c>
      <c r="M5" s="102">
        <v>0.12</v>
      </c>
      <c r="N5" s="103">
        <v>0.12</v>
      </c>
    </row>
    <row r="6" spans="2:14">
      <c r="B6" s="104" t="s">
        <v>132</v>
      </c>
      <c r="C6" s="106">
        <f ca="1">C4</f>
        <v>43647.638391203705</v>
      </c>
      <c r="E6" s="101" t="s">
        <v>133</v>
      </c>
      <c r="F6" s="102">
        <v>0.12</v>
      </c>
      <c r="G6" s="102">
        <v>0.12</v>
      </c>
      <c r="H6" s="102">
        <v>0.12</v>
      </c>
      <c r="I6" s="102">
        <v>0.12</v>
      </c>
      <c r="J6" s="102">
        <v>0.12</v>
      </c>
      <c r="K6" s="102">
        <v>0.12</v>
      </c>
      <c r="L6" s="102">
        <v>0.12</v>
      </c>
      <c r="M6" s="102">
        <v>0.12</v>
      </c>
      <c r="N6" s="103">
        <v>0.12</v>
      </c>
    </row>
    <row r="7" spans="2:14">
      <c r="B7" s="105" t="s">
        <v>73</v>
      </c>
      <c r="C7" s="34" t="s">
        <v>134</v>
      </c>
      <c r="E7" s="101" t="s">
        <v>67</v>
      </c>
      <c r="F7" s="102">
        <v>0.12</v>
      </c>
      <c r="G7" s="102">
        <v>0.12</v>
      </c>
      <c r="H7" s="102">
        <v>0.12</v>
      </c>
      <c r="I7" s="102">
        <v>0.12</v>
      </c>
      <c r="J7" s="102">
        <v>0.12</v>
      </c>
      <c r="K7" s="102">
        <v>0.12</v>
      </c>
      <c r="L7" s="102">
        <v>0.12</v>
      </c>
      <c r="M7" s="102">
        <v>0.12</v>
      </c>
      <c r="N7" s="103">
        <v>0.12</v>
      </c>
    </row>
    <row r="8" spans="2:14">
      <c r="B8" s="105" t="s">
        <v>135</v>
      </c>
      <c r="C8" s="34" t="s">
        <v>136</v>
      </c>
      <c r="E8" s="101" t="s">
        <v>137</v>
      </c>
      <c r="F8" s="102">
        <v>0.12</v>
      </c>
      <c r="G8" s="102">
        <v>0.12</v>
      </c>
      <c r="H8" s="102">
        <v>0.12</v>
      </c>
      <c r="I8" s="102">
        <v>0.12</v>
      </c>
      <c r="J8" s="102">
        <v>0.12</v>
      </c>
      <c r="K8" s="102">
        <v>0.12</v>
      </c>
      <c r="L8" s="102">
        <v>0.12</v>
      </c>
      <c r="M8" s="102">
        <v>0.12</v>
      </c>
      <c r="N8" s="103">
        <v>0.12</v>
      </c>
    </row>
    <row r="9" spans="2:14">
      <c r="B9" s="105" t="s">
        <v>68</v>
      </c>
      <c r="C9" s="34" t="str">
        <f>C7&amp;"-"&amp;C8</f>
        <v>AUD-Xibor-3M-SydneySwapDesk</v>
      </c>
      <c r="E9" s="101" t="s">
        <v>138</v>
      </c>
      <c r="F9" s="102">
        <v>0.12</v>
      </c>
      <c r="G9" s="102">
        <v>0.12</v>
      </c>
      <c r="H9" s="102">
        <v>0.12</v>
      </c>
      <c r="I9" s="102">
        <v>0.12</v>
      </c>
      <c r="J9" s="102">
        <v>0.12</v>
      </c>
      <c r="K9" s="102">
        <v>0.12</v>
      </c>
      <c r="L9" s="102">
        <v>0.12</v>
      </c>
      <c r="M9" s="102">
        <v>0.12</v>
      </c>
      <c r="N9" s="103">
        <v>0.12</v>
      </c>
    </row>
    <row r="10" spans="2:14">
      <c r="B10" s="105" t="s">
        <v>69</v>
      </c>
      <c r="C10" s="34" t="str">
        <f>C2&amp;"."&amp;C7</f>
        <v>RateVolatilityMatrix.AUD-Xibor-3M</v>
      </c>
      <c r="E10" s="101" t="s">
        <v>139</v>
      </c>
      <c r="F10" s="102">
        <v>0.12</v>
      </c>
      <c r="G10" s="102">
        <v>0.12</v>
      </c>
      <c r="H10" s="102">
        <v>0.12</v>
      </c>
      <c r="I10" s="102">
        <v>0.12</v>
      </c>
      <c r="J10" s="102">
        <v>0.12</v>
      </c>
      <c r="K10" s="102">
        <v>0.12</v>
      </c>
      <c r="L10" s="102">
        <v>0.12</v>
      </c>
      <c r="M10" s="102">
        <v>0.12</v>
      </c>
      <c r="N10" s="103">
        <v>0.12</v>
      </c>
    </row>
    <row r="11" spans="2:14">
      <c r="B11" s="105" t="s">
        <v>70</v>
      </c>
      <c r="C11" s="34" t="s">
        <v>140</v>
      </c>
      <c r="E11" s="101" t="s">
        <v>141</v>
      </c>
      <c r="F11" s="102">
        <v>0.12</v>
      </c>
      <c r="G11" s="102">
        <v>0.12</v>
      </c>
      <c r="H11" s="102">
        <v>0.12</v>
      </c>
      <c r="I11" s="102">
        <v>0.12</v>
      </c>
      <c r="J11" s="102">
        <v>0.12</v>
      </c>
      <c r="K11" s="102">
        <v>0.12</v>
      </c>
      <c r="L11" s="102">
        <v>0.12</v>
      </c>
      <c r="M11" s="102">
        <v>0.12</v>
      </c>
      <c r="N11" s="103">
        <v>0.12</v>
      </c>
    </row>
    <row r="12" spans="2:14">
      <c r="B12" s="105" t="s">
        <v>12</v>
      </c>
      <c r="C12" s="34" t="str">
        <f>MID(C7,1,3)</f>
        <v>AUD</v>
      </c>
      <c r="E12" s="101" t="s">
        <v>142</v>
      </c>
      <c r="F12" s="102">
        <v>0.12</v>
      </c>
      <c r="G12" s="102">
        <v>0.12</v>
      </c>
      <c r="H12" s="102">
        <v>0.12</v>
      </c>
      <c r="I12" s="102">
        <v>0.12</v>
      </c>
      <c r="J12" s="102">
        <v>0.12</v>
      </c>
      <c r="K12" s="102">
        <v>0.12</v>
      </c>
      <c r="L12" s="102">
        <v>0.12</v>
      </c>
      <c r="M12" s="102">
        <v>0.12</v>
      </c>
      <c r="N12" s="103">
        <v>0.12</v>
      </c>
    </row>
    <row r="13" spans="2:14">
      <c r="B13" s="105" t="s">
        <v>143</v>
      </c>
      <c r="C13" s="34" t="s">
        <v>144</v>
      </c>
      <c r="E13" s="101" t="s">
        <v>145</v>
      </c>
      <c r="F13" s="102">
        <v>0.12</v>
      </c>
      <c r="G13" s="102">
        <v>0.12</v>
      </c>
      <c r="H13" s="102">
        <v>0.12</v>
      </c>
      <c r="I13" s="102">
        <v>0.12</v>
      </c>
      <c r="J13" s="102">
        <v>0.12</v>
      </c>
      <c r="K13" s="102">
        <v>0.12</v>
      </c>
      <c r="L13" s="102">
        <v>0.12</v>
      </c>
      <c r="M13" s="102">
        <v>0.12</v>
      </c>
      <c r="N13" s="103">
        <v>0.12</v>
      </c>
    </row>
    <row r="14" spans="2:14" ht="13.5" thickBot="1">
      <c r="B14" s="105" t="s">
        <v>146</v>
      </c>
      <c r="C14" s="34" t="s">
        <v>147</v>
      </c>
      <c r="E14" s="107" t="s">
        <v>148</v>
      </c>
      <c r="F14" s="108">
        <v>0.12</v>
      </c>
      <c r="G14" s="108">
        <v>0.12</v>
      </c>
      <c r="H14" s="108">
        <v>0.12</v>
      </c>
      <c r="I14" s="108">
        <v>0.12</v>
      </c>
      <c r="J14" s="108">
        <v>0.12</v>
      </c>
      <c r="K14" s="108">
        <v>0.12</v>
      </c>
      <c r="L14" s="108">
        <v>0.12</v>
      </c>
      <c r="M14" s="108">
        <v>0.12</v>
      </c>
      <c r="N14" s="109">
        <v>0.12</v>
      </c>
    </row>
    <row r="15" spans="2:14">
      <c r="B15" s="105" t="s">
        <v>149</v>
      </c>
      <c r="C15" s="34" t="s">
        <v>150</v>
      </c>
    </row>
    <row r="16" spans="2:14">
      <c r="B16" s="105" t="s">
        <v>151</v>
      </c>
      <c r="C16" s="34" t="s">
        <v>1</v>
      </c>
    </row>
    <row r="17" spans="2:3">
      <c r="B17" s="105" t="s">
        <v>152</v>
      </c>
      <c r="C17" s="34" t="s">
        <v>153</v>
      </c>
    </row>
    <row r="18" spans="2:3">
      <c r="B18" s="105" t="s">
        <v>154</v>
      </c>
      <c r="C18" s="34" t="s">
        <v>155</v>
      </c>
    </row>
    <row r="19" spans="2:3">
      <c r="B19" s="105" t="s">
        <v>6</v>
      </c>
      <c r="C19" s="106">
        <f ca="1">C3</f>
        <v>43647.638391203705</v>
      </c>
    </row>
    <row r="20" spans="2:3" ht="13.5" thickBot="1">
      <c r="B20" s="110" t="s">
        <v>156</v>
      </c>
      <c r="C20" s="111" t="s">
        <v>13</v>
      </c>
    </row>
    <row r="21" spans="2:3">
      <c r="B21" s="105" t="s">
        <v>157</v>
      </c>
      <c r="C21" s="112">
        <v>0.66666666666666663</v>
      </c>
    </row>
    <row r="22" spans="2:3">
      <c r="B22" s="105" t="s">
        <v>158</v>
      </c>
      <c r="C22" s="112">
        <f>C21</f>
        <v>0.66666666666666663</v>
      </c>
    </row>
    <row r="23" spans="2:3" ht="13.5" thickBot="1">
      <c r="B23" s="113"/>
      <c r="C23" s="114"/>
    </row>
  </sheetData>
  <dataValidations count="1">
    <dataValidation type="list" allowBlank="1" showInputMessage="1" showErrorMessage="1" sqref="C11" xr:uid="{00000000-0002-0000-0500-000000000000}">
      <formula1>"Linear"</formula1>
    </dataValidation>
  </dataValidations>
  <pageMargins left="0.75" right="0.75" top="1" bottom="1" header="0.5" footer="0.5"/>
  <pageSetup paperSize="9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79"/>
  <sheetViews>
    <sheetView workbookViewId="0">
      <selection activeCell="J30" sqref="J30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13.28515625" style="26" customWidth="1"/>
    <col min="5" max="5" width="3.85546875" style="26" customWidth="1"/>
    <col min="6" max="6" width="29.28515625" style="26" bestFit="1" customWidth="1"/>
    <col min="7" max="7" width="45" style="26" bestFit="1" customWidth="1"/>
    <col min="8" max="8" width="2.42578125" customWidth="1"/>
    <col min="9" max="9" width="24.28515625" style="26" bestFit="1" customWidth="1"/>
    <col min="10" max="10" width="45" style="26" bestFit="1" customWidth="1"/>
  </cols>
  <sheetData>
    <row r="1" spans="1:10" ht="13.5" thickBot="1"/>
    <row r="2" spans="1:10" ht="13.5" thickBot="1">
      <c r="B2" s="87" t="s">
        <v>109</v>
      </c>
      <c r="C2" s="86"/>
      <c r="F2" s="191" t="s">
        <v>112</v>
      </c>
      <c r="G2" s="190"/>
      <c r="I2" s="191" t="s">
        <v>195</v>
      </c>
      <c r="J2" s="190"/>
    </row>
    <row r="3" spans="1:10">
      <c r="B3" s="73" t="s">
        <v>12</v>
      </c>
      <c r="C3" s="74" t="s">
        <v>0</v>
      </c>
      <c r="F3" s="73" t="s">
        <v>113</v>
      </c>
      <c r="G3" s="74">
        <f ca="1">TODAY()</f>
        <v>43647</v>
      </c>
      <c r="I3" s="73" t="s">
        <v>113</v>
      </c>
      <c r="J3" s="74">
        <f ca="1">TODAY()</f>
        <v>43647</v>
      </c>
    </row>
    <row r="4" spans="1:10" ht="13.5" thickBot="1">
      <c r="B4" s="75" t="s">
        <v>108</v>
      </c>
      <c r="C4" s="119">
        <v>1000000</v>
      </c>
      <c r="F4" s="77" t="s">
        <v>114</v>
      </c>
      <c r="G4" s="91" t="str">
        <f>C3</f>
        <v>AUD</v>
      </c>
      <c r="I4" s="75" t="s">
        <v>173</v>
      </c>
      <c r="J4" s="76" t="s">
        <v>212</v>
      </c>
    </row>
    <row r="5" spans="1:10" ht="13.5" thickBot="1">
      <c r="B5" s="77" t="s">
        <v>115</v>
      </c>
      <c r="C5" s="120">
        <v>0</v>
      </c>
      <c r="I5" s="75" t="s">
        <v>12</v>
      </c>
      <c r="J5" s="76" t="s">
        <v>0</v>
      </c>
    </row>
    <row r="6" spans="1:10" ht="13.5" thickBot="1">
      <c r="F6" s="191" t="s">
        <v>162</v>
      </c>
      <c r="G6" s="190"/>
      <c r="I6" s="75" t="s">
        <v>196</v>
      </c>
      <c r="J6" s="76" t="s">
        <v>3</v>
      </c>
    </row>
    <row r="7" spans="1:10">
      <c r="B7" s="188" t="s">
        <v>163</v>
      </c>
      <c r="C7" s="189"/>
      <c r="F7" s="73" t="s">
        <v>161</v>
      </c>
      <c r="G7" s="130">
        <v>0.05</v>
      </c>
      <c r="I7" s="75" t="s">
        <v>197</v>
      </c>
      <c r="J7" s="76" t="s">
        <v>7</v>
      </c>
    </row>
    <row r="8" spans="1:10">
      <c r="B8" s="75" t="s">
        <v>121</v>
      </c>
      <c r="C8" s="93" t="s">
        <v>7</v>
      </c>
      <c r="F8" s="75" t="s">
        <v>160</v>
      </c>
      <c r="G8" s="131">
        <v>0.05</v>
      </c>
      <c r="I8" s="75" t="s">
        <v>200</v>
      </c>
      <c r="J8" s="76" t="s">
        <v>16</v>
      </c>
    </row>
    <row r="9" spans="1:10">
      <c r="A9" s="26"/>
      <c r="B9" s="75" t="s">
        <v>122</v>
      </c>
      <c r="C9" s="93" t="s">
        <v>3</v>
      </c>
      <c r="F9" s="75"/>
      <c r="G9" s="70"/>
      <c r="I9" s="75" t="s">
        <v>126</v>
      </c>
      <c r="J9" s="93" t="s">
        <v>65</v>
      </c>
    </row>
    <row r="10" spans="1:10">
      <c r="A10" s="26"/>
      <c r="B10" s="75" t="s">
        <v>123</v>
      </c>
      <c r="C10" s="93" t="s">
        <v>7</v>
      </c>
      <c r="F10" s="75"/>
      <c r="G10" s="70"/>
      <c r="I10" s="75" t="s">
        <v>66</v>
      </c>
      <c r="J10" s="93" t="s">
        <v>67</v>
      </c>
    </row>
    <row r="11" spans="1:10" ht="13.5" thickBot="1">
      <c r="A11" s="26"/>
      <c r="B11" s="75" t="s">
        <v>124</v>
      </c>
      <c r="C11" s="93" t="s">
        <v>17</v>
      </c>
      <c r="F11" s="77"/>
      <c r="G11" s="81"/>
      <c r="I11" s="75" t="s">
        <v>164</v>
      </c>
      <c r="J11" s="93" t="s">
        <v>142</v>
      </c>
    </row>
    <row r="12" spans="1:10" ht="13.5" thickBot="1">
      <c r="B12" s="77" t="s">
        <v>125</v>
      </c>
      <c r="C12" s="179" t="str">
        <f>"-1D"</f>
        <v>-1D</v>
      </c>
      <c r="I12" s="75" t="s">
        <v>194</v>
      </c>
      <c r="J12" s="76" t="b">
        <v>0</v>
      </c>
    </row>
    <row r="13" spans="1:10" ht="13.5" thickBot="1">
      <c r="F13" s="115" t="s">
        <v>159</v>
      </c>
      <c r="G13" s="75" t="s">
        <v>104</v>
      </c>
      <c r="I13" s="75" t="s">
        <v>44</v>
      </c>
      <c r="J13" s="76" t="s">
        <v>208</v>
      </c>
    </row>
    <row r="14" spans="1:10" ht="13.5" thickBot="1">
      <c r="B14" s="78" t="s">
        <v>107</v>
      </c>
      <c r="C14" s="79" t="s">
        <v>110</v>
      </c>
      <c r="D14" s="78" t="s">
        <v>119</v>
      </c>
      <c r="F14" s="116" t="str">
        <f t="array" aca="1" ref="F14:G42" ca="1">_xll.HLV5r3.Financial.Cache.GetIRCapFloorMetric(B15:B35,C15:C34,D15:D34,G7:G8,C9,C8,C11,C10,C12,G13,I3:J19)</f>
        <v>NPVItem.0</v>
      </c>
      <c r="G14" s="125">
        <f ca="1"/>
        <v>55.725051167698602</v>
      </c>
      <c r="I14" s="75" t="s">
        <v>43</v>
      </c>
      <c r="J14" s="76" t="s">
        <v>208</v>
      </c>
    </row>
    <row r="15" spans="1:10">
      <c r="B15" s="74">
        <f ca="1">CapPricer!C5</f>
        <v>43651</v>
      </c>
      <c r="C15" s="127">
        <f>C4</f>
        <v>1000000</v>
      </c>
      <c r="D15" s="90">
        <f>J17</f>
        <v>0.05</v>
      </c>
      <c r="F15" s="117" t="str">
        <f ca="1"/>
        <v>NPVItem.1</v>
      </c>
      <c r="G15" s="125">
        <f ca="1"/>
        <v>299.85061904640099</v>
      </c>
      <c r="I15" s="75" t="s">
        <v>209</v>
      </c>
      <c r="J15" s="76" t="s">
        <v>210</v>
      </c>
    </row>
    <row r="16" spans="1:10">
      <c r="B16" s="76">
        <f ca="1">_xll.HLV5r3.Financial.Cache.AddPeriod(B15, "3M", $C$10, $C$9, "Calendar")</f>
        <v>43746</v>
      </c>
      <c r="C16" s="128">
        <f>C15-$C$5</f>
        <v>1000000</v>
      </c>
      <c r="D16" s="90">
        <f>D15</f>
        <v>0.05</v>
      </c>
      <c r="F16" s="117" t="str">
        <f ca="1"/>
        <v>NPVItem.2</v>
      </c>
      <c r="G16" s="125">
        <f ca="1"/>
        <v>413.56001950461098</v>
      </c>
      <c r="I16" s="75" t="s">
        <v>213</v>
      </c>
      <c r="J16" s="131">
        <v>0</v>
      </c>
    </row>
    <row r="17" spans="2:10">
      <c r="B17" s="76">
        <f ca="1">_xll.HLV5r3.Financial.Cache.AddPeriod(B16, "3M", $C$10, $C$9, "Calendar")</f>
        <v>43838</v>
      </c>
      <c r="C17" s="128">
        <f t="shared" ref="C17:C34" si="0">C16-$C$5</f>
        <v>1000000</v>
      </c>
      <c r="D17" s="90">
        <f t="shared" ref="D17:D34" si="1">D16</f>
        <v>0.05</v>
      </c>
      <c r="F17" s="117" t="str">
        <f ca="1"/>
        <v>NPVItem.3</v>
      </c>
      <c r="G17" s="125">
        <f ca="1"/>
        <v>495.80983625319698</v>
      </c>
      <c r="I17" s="75" t="s">
        <v>120</v>
      </c>
      <c r="J17" s="131">
        <v>0.05</v>
      </c>
    </row>
    <row r="18" spans="2:10">
      <c r="B18" s="76">
        <f ca="1">_xll.HLV5r3.Financial.Cache.AddPeriod(B17, "3M", $C$10, $C$9, "Calendar")</f>
        <v>43929</v>
      </c>
      <c r="C18" s="128">
        <f t="shared" si="0"/>
        <v>1000000</v>
      </c>
      <c r="D18" s="90">
        <f t="shared" si="1"/>
        <v>0.05</v>
      </c>
      <c r="F18" s="117" t="str">
        <f ca="1"/>
        <v>NPVItem.4</v>
      </c>
      <c r="G18" s="125">
        <f ca="1"/>
        <v>568.68067393800902</v>
      </c>
      <c r="I18" s="75" t="s">
        <v>211</v>
      </c>
      <c r="J18" s="131" t="b">
        <v>1</v>
      </c>
    </row>
    <row r="19" spans="2:10" ht="13.5" thickBot="1">
      <c r="B19" s="76">
        <f ca="1">_xll.HLV5r3.Financial.Cache.AddPeriod(B18, "3M", $C$10, $C$9, "Calendar")</f>
        <v>44020</v>
      </c>
      <c r="C19" s="128">
        <f t="shared" si="0"/>
        <v>1000000</v>
      </c>
      <c r="D19" s="90">
        <f t="shared" si="1"/>
        <v>0.05</v>
      </c>
      <c r="F19" s="117" t="str">
        <f ca="1"/>
        <v>NPVItem.5</v>
      </c>
      <c r="G19" s="125">
        <f ca="1"/>
        <v>625.57022750033696</v>
      </c>
      <c r="I19" s="77" t="s">
        <v>198</v>
      </c>
      <c r="J19" s="69" t="s">
        <v>44</v>
      </c>
    </row>
    <row r="20" spans="2:10">
      <c r="B20" s="76">
        <f ca="1">_xll.HLV5r3.Financial.Cache.AddPeriod(B19, "3M", $C$10, $C$9, "Calendar")</f>
        <v>44112</v>
      </c>
      <c r="C20" s="128">
        <f t="shared" si="0"/>
        <v>1000000</v>
      </c>
      <c r="D20" s="90">
        <f t="shared" si="1"/>
        <v>0.05</v>
      </c>
      <c r="F20" s="117" t="str">
        <f ca="1"/>
        <v>NPVItem.6</v>
      </c>
      <c r="G20" s="125">
        <f ca="1"/>
        <v>659.09943574291594</v>
      </c>
    </row>
    <row r="21" spans="2:10">
      <c r="B21" s="76">
        <f ca="1">_xll.HLV5r3.Financial.Cache.AddPeriod(B20, "3M", $C$10, $C$9, "Calendar")</f>
        <v>44204</v>
      </c>
      <c r="C21" s="128">
        <f t="shared" si="0"/>
        <v>1000000</v>
      </c>
      <c r="D21" s="90">
        <f t="shared" si="1"/>
        <v>0.05</v>
      </c>
      <c r="F21" s="117" t="str">
        <f ca="1"/>
        <v>NPVItem.7</v>
      </c>
      <c r="G21" s="125">
        <f ca="1"/>
        <v>707.876220170122</v>
      </c>
    </row>
    <row r="22" spans="2:10">
      <c r="B22" s="76">
        <f ca="1">_xll.HLV5r3.Financial.Cache.AddPeriod(B21, "3M", $C$10, $C$9, "Calendar")</f>
        <v>44294</v>
      </c>
      <c r="C22" s="128">
        <f t="shared" si="0"/>
        <v>1000000</v>
      </c>
      <c r="D22" s="90">
        <f t="shared" si="1"/>
        <v>0.05</v>
      </c>
      <c r="F22" s="117" t="str">
        <f ca="1"/>
        <v>NPVItem.8</v>
      </c>
      <c r="G22" s="125">
        <f ca="1"/>
        <v>758.89676789126202</v>
      </c>
    </row>
    <row r="23" spans="2:10">
      <c r="B23" s="76">
        <f ca="1">_xll.HLV5r3.Financial.Cache.AddPeriod(B22, "3M", $C$10, $C$9, "Calendar")</f>
        <v>44385</v>
      </c>
      <c r="C23" s="128">
        <f t="shared" si="0"/>
        <v>1000000</v>
      </c>
      <c r="D23" s="90">
        <f t="shared" si="1"/>
        <v>0.05</v>
      </c>
      <c r="F23" s="117" t="str">
        <f ca="1"/>
        <v>NPVItem.9</v>
      </c>
      <c r="G23" s="125">
        <f ca="1"/>
        <v>826.02854409082795</v>
      </c>
    </row>
    <row r="24" spans="2:10">
      <c r="B24" s="76">
        <f ca="1">_xll.HLV5r3.Financial.Cache.AddPeriod(B23, "3M", $C$10, $C$9, "Calendar")</f>
        <v>44477</v>
      </c>
      <c r="C24" s="128">
        <f t="shared" si="0"/>
        <v>1000000</v>
      </c>
      <c r="D24" s="90">
        <f t="shared" si="1"/>
        <v>0.05</v>
      </c>
      <c r="F24" s="117" t="str">
        <f ca="1"/>
        <v>NPVItem.10</v>
      </c>
      <c r="G24" s="125">
        <f ca="1"/>
        <v>832.61063781848395</v>
      </c>
    </row>
    <row r="25" spans="2:10">
      <c r="B25" s="76">
        <f ca="1">_xll.HLV5r3.Financial.Cache.AddPeriod(B24, "3M", $C$10, $C$9, "Calendar")</f>
        <v>44571</v>
      </c>
      <c r="C25" s="128">
        <f t="shared" si="0"/>
        <v>1000000</v>
      </c>
      <c r="D25" s="90">
        <f t="shared" si="1"/>
        <v>0.05</v>
      </c>
      <c r="F25" s="117" t="str">
        <f ca="1"/>
        <v>NPVItem.11</v>
      </c>
      <c r="G25" s="125">
        <f ca="1"/>
        <v>853.44193227360199</v>
      </c>
    </row>
    <row r="26" spans="2:10">
      <c r="B26" s="76">
        <f ca="1">_xll.HLV5r3.Financial.Cache.AddPeriod(B25, "3M", $C$10, $C$9, "Calendar")</f>
        <v>44662</v>
      </c>
      <c r="C26" s="128">
        <f t="shared" si="0"/>
        <v>1000000</v>
      </c>
      <c r="D26" s="90">
        <f t="shared" si="1"/>
        <v>0.05</v>
      </c>
      <c r="F26" s="117" t="str">
        <f ca="1"/>
        <v>NPVItem.12</v>
      </c>
      <c r="G26" s="125">
        <f ca="1"/>
        <v>766.82009832469896</v>
      </c>
    </row>
    <row r="27" spans="2:10">
      <c r="B27" s="76">
        <f ca="1">_xll.HLV5r3.Financial.Cache.AddPeriod(B26, "3M", $C$10, $C$9, "Calendar")</f>
        <v>44753</v>
      </c>
      <c r="C27" s="128">
        <f t="shared" si="0"/>
        <v>1000000</v>
      </c>
      <c r="D27" s="90">
        <f t="shared" si="1"/>
        <v>0.05</v>
      </c>
      <c r="F27" s="117" t="str">
        <f ca="1"/>
        <v>NPVItem.13</v>
      </c>
      <c r="G27" s="125">
        <f ca="1"/>
        <v>775.643485425736</v>
      </c>
    </row>
    <row r="28" spans="2:10">
      <c r="B28" s="76">
        <f ca="1">_xll.HLV5r3.Financial.Cache.AddPeriod(B27, "3M", $C$10, $C$9, "Calendar")</f>
        <v>44845</v>
      </c>
      <c r="C28" s="128">
        <f t="shared" si="0"/>
        <v>1000000</v>
      </c>
      <c r="D28" s="90">
        <f t="shared" si="1"/>
        <v>0.05</v>
      </c>
      <c r="F28" s="117" t="str">
        <f ca="1"/>
        <v>NPVItem.14</v>
      </c>
      <c r="G28" s="125">
        <f ca="1"/>
        <v>764.81312705156404</v>
      </c>
    </row>
    <row r="29" spans="2:10">
      <c r="B29" s="76">
        <f ca="1">_xll.HLV5r3.Financial.Cache.AddPeriod(B28, "3M", $C$10, $C$9, "Calendar")</f>
        <v>44937</v>
      </c>
      <c r="C29" s="128">
        <f t="shared" si="0"/>
        <v>1000000</v>
      </c>
      <c r="D29" s="90">
        <f t="shared" si="1"/>
        <v>0.05</v>
      </c>
      <c r="F29" s="117" t="str">
        <f ca="1"/>
        <v>NPVItem.15</v>
      </c>
      <c r="G29" s="125">
        <f ca="1"/>
        <v>789.07300425013204</v>
      </c>
    </row>
    <row r="30" spans="2:10">
      <c r="B30" s="76">
        <f ca="1">_xll.HLV5r3.Financial.Cache.AddPeriod(B29, "3M", $C$10, $C$9, "Calendar")</f>
        <v>45027</v>
      </c>
      <c r="C30" s="128">
        <f t="shared" si="0"/>
        <v>1000000</v>
      </c>
      <c r="D30" s="90">
        <f t="shared" si="1"/>
        <v>0.05</v>
      </c>
      <c r="F30" s="117" t="str">
        <f ca="1"/>
        <v>NPVItem.16</v>
      </c>
      <c r="G30" s="125">
        <f ca="1"/>
        <v>943.43883914108903</v>
      </c>
    </row>
    <row r="31" spans="2:10">
      <c r="B31" s="76">
        <f ca="1">_xll.HLV5r3.Financial.Cache.AddPeriod(B30, "3M", $C$10, $C$9, "Calendar")</f>
        <v>45118</v>
      </c>
      <c r="C31" s="128">
        <f t="shared" si="0"/>
        <v>1000000</v>
      </c>
      <c r="D31" s="90">
        <f t="shared" si="1"/>
        <v>0.05</v>
      </c>
      <c r="F31" s="117" t="str">
        <f ca="1"/>
        <v>NPVItem.17</v>
      </c>
      <c r="G31" s="125">
        <f ca="1"/>
        <v>961.55036224334799</v>
      </c>
    </row>
    <row r="32" spans="2:10">
      <c r="B32" s="76">
        <f ca="1">_xll.HLV5r3.Financial.Cache.AddPeriod(B31, "3M", $C$10, $C$9, "Calendar")</f>
        <v>45210</v>
      </c>
      <c r="C32" s="128">
        <f t="shared" si="0"/>
        <v>1000000</v>
      </c>
      <c r="D32" s="90">
        <f t="shared" si="1"/>
        <v>0.05</v>
      </c>
      <c r="F32" s="117" t="str">
        <f ca="1"/>
        <v>NPVItem.18</v>
      </c>
      <c r="G32" s="125">
        <f ca="1"/>
        <v>967.34966321932495</v>
      </c>
    </row>
    <row r="33" spans="2:7">
      <c r="B33" s="76">
        <f ca="1">_xll.HLV5r3.Financial.Cache.AddPeriod(B32, "3M", $C$10, $C$9, "Calendar")</f>
        <v>45302</v>
      </c>
      <c r="C33" s="128">
        <f t="shared" si="0"/>
        <v>1000000</v>
      </c>
      <c r="D33" s="90">
        <f t="shared" si="1"/>
        <v>0.05</v>
      </c>
      <c r="F33" s="117" t="str">
        <f ca="1"/>
        <v>NPVItem.19</v>
      </c>
      <c r="G33" s="125">
        <f ca="1"/>
        <v>982.26666580080496</v>
      </c>
    </row>
    <row r="34" spans="2:7">
      <c r="B34" s="76">
        <f ca="1">_xll.HLV5r3.Financial.Cache.AddPeriod(B33, "3M", $C$10, $C$9, "Calendar")</f>
        <v>45393</v>
      </c>
      <c r="C34" s="128">
        <f t="shared" si="0"/>
        <v>1000000</v>
      </c>
      <c r="D34" s="90">
        <f t="shared" si="1"/>
        <v>0.05</v>
      </c>
      <c r="F34" s="117" t="e">
        <f ca="1"/>
        <v>#N/A</v>
      </c>
      <c r="G34" s="125" t="e">
        <f ca="1"/>
        <v>#N/A</v>
      </c>
    </row>
    <row r="35" spans="2:7">
      <c r="B35" s="76">
        <f ca="1">_xll.HLV5r3.Financial.Cache.AddPeriod(B34, "3M", $C$10, $C$9, "Calendar")</f>
        <v>45484</v>
      </c>
      <c r="C35" s="128"/>
      <c r="D35" s="90"/>
      <c r="F35" s="117" t="e">
        <f ca="1"/>
        <v>#N/A</v>
      </c>
      <c r="G35" s="125" t="e">
        <f ca="1"/>
        <v>#N/A</v>
      </c>
    </row>
    <row r="36" spans="2:7">
      <c r="B36" s="76"/>
      <c r="C36" s="128"/>
      <c r="D36" s="90"/>
      <c r="F36" s="117" t="e">
        <f ca="1"/>
        <v>#N/A</v>
      </c>
      <c r="G36" s="125" t="e">
        <f ca="1"/>
        <v>#N/A</v>
      </c>
    </row>
    <row r="37" spans="2:7">
      <c r="B37" s="76"/>
      <c r="C37" s="128"/>
      <c r="D37" s="90"/>
      <c r="F37" s="117" t="e">
        <f ca="1"/>
        <v>#N/A</v>
      </c>
      <c r="G37" s="125" t="e">
        <f ca="1"/>
        <v>#N/A</v>
      </c>
    </row>
    <row r="38" spans="2:7">
      <c r="B38" s="76"/>
      <c r="C38" s="128"/>
      <c r="D38" s="90"/>
      <c r="F38" s="117" t="e">
        <f ca="1"/>
        <v>#N/A</v>
      </c>
      <c r="G38" s="125" t="e">
        <f ca="1"/>
        <v>#N/A</v>
      </c>
    </row>
    <row r="39" spans="2:7">
      <c r="B39" s="76"/>
      <c r="C39" s="128"/>
      <c r="D39" s="90"/>
      <c r="F39" s="117" t="e">
        <f ca="1"/>
        <v>#N/A</v>
      </c>
      <c r="G39" s="125" t="e">
        <f ca="1"/>
        <v>#N/A</v>
      </c>
    </row>
    <row r="40" spans="2:7">
      <c r="B40" s="76"/>
      <c r="C40" s="128"/>
      <c r="D40" s="90"/>
      <c r="F40" s="117" t="e">
        <f ca="1"/>
        <v>#N/A</v>
      </c>
      <c r="G40" s="125" t="e">
        <f ca="1"/>
        <v>#N/A</v>
      </c>
    </row>
    <row r="41" spans="2:7">
      <c r="B41" s="76"/>
      <c r="C41" s="128"/>
      <c r="D41" s="90"/>
      <c r="F41" s="117" t="e">
        <f ca="1"/>
        <v>#N/A</v>
      </c>
      <c r="G41" s="125" t="e">
        <f ca="1"/>
        <v>#N/A</v>
      </c>
    </row>
    <row r="42" spans="2:7" ht="13.5" thickBot="1">
      <c r="B42" s="76"/>
      <c r="C42" s="128"/>
      <c r="D42" s="90"/>
      <c r="F42" s="118" t="e">
        <f ca="1"/>
        <v>#N/A</v>
      </c>
      <c r="G42" s="126" t="e">
        <f ca="1"/>
        <v>#N/A</v>
      </c>
    </row>
    <row r="43" spans="2:7" ht="13.5" thickBot="1">
      <c r="B43" s="91"/>
      <c r="C43" s="129"/>
      <c r="D43" s="92"/>
    </row>
    <row r="44" spans="2:7" ht="13.5" thickBot="1">
      <c r="G44" s="85">
        <f ca="1">SUM(G45:G68)</f>
        <v>-215.17122813186688</v>
      </c>
    </row>
    <row r="45" spans="2:7">
      <c r="F45" s="82" t="str">
        <f t="array" aca="1" ref="F45:G79" ca="1">_xll.HLV5r3.Financial.Cache.GetIRCapFloorPDH(B15:B35,C15:C34,D15:D34,G7:G8,C9,C8,C11,C10,C12,$I$3:$J$19)</f>
        <v>ForecastCurve:AUD-Deposit-1D</v>
      </c>
      <c r="G45" s="88">
        <f ca="1"/>
        <v>1.1233144883590285E-2</v>
      </c>
    </row>
    <row r="46" spans="2:7">
      <c r="F46" s="83" t="str">
        <f ca="1"/>
        <v>ForecastCurve:AUD-Deposit-1W</v>
      </c>
      <c r="G46" s="89">
        <f ca="1"/>
        <v>0</v>
      </c>
    </row>
    <row r="47" spans="2:7">
      <c r="F47" s="83" t="str">
        <f ca="1"/>
        <v>ForecastCurve:AUD-Deposit-2W</v>
      </c>
      <c r="G47" s="89">
        <f ca="1"/>
        <v>0</v>
      </c>
    </row>
    <row r="48" spans="2:7">
      <c r="F48" s="83" t="str">
        <f ca="1"/>
        <v>ForecastCurve:AUD-Deposit-1M</v>
      </c>
      <c r="G48" s="89">
        <f ca="1"/>
        <v>0</v>
      </c>
    </row>
    <row r="49" spans="6:7">
      <c r="F49" s="83" t="str">
        <f ca="1"/>
        <v>ForecastCurve:AUD-Deposit-2M</v>
      </c>
      <c r="G49" s="89">
        <f ca="1"/>
        <v>6.9634964479064365</v>
      </c>
    </row>
    <row r="50" spans="6:7">
      <c r="F50" s="83" t="str">
        <f ca="1"/>
        <v>ForecastCurve:AUD-Deposit-3M</v>
      </c>
      <c r="G50" s="89">
        <f ca="1"/>
        <v>4.0501178393315058</v>
      </c>
    </row>
    <row r="51" spans="6:7">
      <c r="F51" s="83" t="str">
        <f ca="1"/>
        <v>ForecastCurve:AUD-IRFuture-IR-1</v>
      </c>
      <c r="G51" s="89">
        <f ca="1"/>
        <v>13.527753482267144</v>
      </c>
    </row>
    <row r="52" spans="6:7">
      <c r="F52" s="83" t="str">
        <f ca="1"/>
        <v>ForecastCurve:AUD-IRFuture-IR-2</v>
      </c>
      <c r="G52" s="89">
        <f ca="1"/>
        <v>3.1619532052663999</v>
      </c>
    </row>
    <row r="53" spans="6:7">
      <c r="F53" s="83" t="str">
        <f ca="1"/>
        <v>ForecastCurve:AUD-IRFuture-IR-3</v>
      </c>
      <c r="G53" s="89">
        <f ca="1"/>
        <v>0.42544510879270092</v>
      </c>
    </row>
    <row r="54" spans="6:7">
      <c r="F54" s="83" t="str">
        <f ca="1"/>
        <v>ForecastCurve:AUD-IRFuture-IR-4</v>
      </c>
      <c r="G54" s="89">
        <f ca="1"/>
        <v>0.27423924704635283</v>
      </c>
    </row>
    <row r="55" spans="6:7">
      <c r="F55" s="83" t="str">
        <f ca="1"/>
        <v>ForecastCurve:AUD-IRFuture-IR-5</v>
      </c>
      <c r="G55" s="89">
        <f ca="1"/>
        <v>0.31230012161177001</v>
      </c>
    </row>
    <row r="56" spans="6:7">
      <c r="F56" s="83" t="str">
        <f ca="1"/>
        <v>ForecastCurve:AUD-IRFuture-IR-6</v>
      </c>
      <c r="G56" s="89">
        <f ca="1"/>
        <v>0.20090460990650172</v>
      </c>
    </row>
    <row r="57" spans="6:7">
      <c r="F57" s="83" t="str">
        <f ca="1"/>
        <v>ForecastCurve:AUD-IRFuture-IR-7</v>
      </c>
      <c r="G57" s="89">
        <f ca="1"/>
        <v>0.23421751024761761</v>
      </c>
    </row>
    <row r="58" spans="6:7">
      <c r="F58" s="83" t="str">
        <f ca="1"/>
        <v>ForecastCurve:AUD-IRFuture-IR-8</v>
      </c>
      <c r="G58" s="89">
        <f ca="1"/>
        <v>9.5761491578741698E-2</v>
      </c>
    </row>
    <row r="59" spans="6:7">
      <c r="F59" s="83" t="str">
        <f ca="1"/>
        <v>ForecastCurve:AUD-IRSwap-3Y</v>
      </c>
      <c r="G59" s="89">
        <f ca="1"/>
        <v>-15.581140991191205</v>
      </c>
    </row>
    <row r="60" spans="6:7">
      <c r="F60" s="83" t="str">
        <f ca="1"/>
        <v>ForecastCurve:AUD-IRSwap-4Y</v>
      </c>
      <c r="G60" s="89">
        <f ca="1"/>
        <v>10.475645081580296</v>
      </c>
    </row>
    <row r="61" spans="6:7">
      <c r="F61" s="83" t="str">
        <f ca="1"/>
        <v>ForecastCurve:AUD-IRSwap-5Y</v>
      </c>
      <c r="G61" s="89">
        <f ca="1"/>
        <v>-233.41676429471227</v>
      </c>
    </row>
    <row r="62" spans="6:7">
      <c r="F62" s="83" t="str">
        <f ca="1"/>
        <v>ForecastCurve:AUD-IRSwap-6Y</v>
      </c>
      <c r="G62" s="89">
        <f ca="1"/>
        <v>-5.9063901363824698</v>
      </c>
    </row>
    <row r="63" spans="6:7">
      <c r="F63" s="83" t="str">
        <f ca="1"/>
        <v>ForecastCurve:AUD-IRSwap-7Y</v>
      </c>
      <c r="G63" s="89">
        <f ca="1"/>
        <v>0</v>
      </c>
    </row>
    <row r="64" spans="6:7">
      <c r="F64" s="83" t="str">
        <f ca="1"/>
        <v>ForecastCurve:AUD-IRSwap-8Y</v>
      </c>
      <c r="G64" s="89">
        <f ca="1"/>
        <v>0</v>
      </c>
    </row>
    <row r="65" spans="6:7">
      <c r="F65" s="83" t="str">
        <f ca="1"/>
        <v>ForecastCurve:AUD-IRSwap-9Y</v>
      </c>
      <c r="G65" s="89">
        <f ca="1"/>
        <v>0</v>
      </c>
    </row>
    <row r="66" spans="6:7">
      <c r="F66" s="83" t="str">
        <f ca="1"/>
        <v>ForecastCurve:AUD-IRSwap-10Y</v>
      </c>
      <c r="G66" s="89">
        <f ca="1"/>
        <v>0</v>
      </c>
    </row>
    <row r="67" spans="6:7">
      <c r="F67" s="83" t="str">
        <f ca="1"/>
        <v>ForecastCurve:AUD-IRSwap-15Y</v>
      </c>
      <c r="G67" s="89">
        <f ca="1"/>
        <v>0</v>
      </c>
    </row>
    <row r="68" spans="6:7">
      <c r="F68" s="83" t="str">
        <f ca="1"/>
        <v>ForecastCurve:AUD-IRSwap-20Y</v>
      </c>
      <c r="G68" s="89">
        <f ca="1"/>
        <v>0</v>
      </c>
    </row>
    <row r="69" spans="6:7">
      <c r="F69" s="83" t="e">
        <f ca="1"/>
        <v>#N/A</v>
      </c>
      <c r="G69" s="89" t="e">
        <f ca="1"/>
        <v>#N/A</v>
      </c>
    </row>
    <row r="70" spans="6:7">
      <c r="F70" s="83" t="e">
        <f ca="1"/>
        <v>#N/A</v>
      </c>
      <c r="G70" s="89" t="e">
        <f ca="1"/>
        <v>#N/A</v>
      </c>
    </row>
    <row r="71" spans="6:7">
      <c r="F71" s="83" t="e">
        <f ca="1"/>
        <v>#N/A</v>
      </c>
      <c r="G71" s="89" t="e">
        <f ca="1"/>
        <v>#N/A</v>
      </c>
    </row>
    <row r="72" spans="6:7">
      <c r="F72" s="83" t="e">
        <f ca="1"/>
        <v>#N/A</v>
      </c>
      <c r="G72" s="89" t="e">
        <f ca="1"/>
        <v>#N/A</v>
      </c>
    </row>
    <row r="73" spans="6:7">
      <c r="F73" s="83" t="e">
        <f ca="1"/>
        <v>#N/A</v>
      </c>
      <c r="G73" s="89" t="e">
        <f ca="1"/>
        <v>#N/A</v>
      </c>
    </row>
    <row r="74" spans="6:7">
      <c r="F74" s="83" t="e">
        <f ca="1"/>
        <v>#N/A</v>
      </c>
      <c r="G74" s="89" t="e">
        <f ca="1"/>
        <v>#N/A</v>
      </c>
    </row>
    <row r="75" spans="6:7">
      <c r="F75" s="83" t="e">
        <f ca="1"/>
        <v>#N/A</v>
      </c>
      <c r="G75" s="89" t="e">
        <f ca="1"/>
        <v>#N/A</v>
      </c>
    </row>
    <row r="76" spans="6:7">
      <c r="F76" s="83" t="e">
        <f ca="1"/>
        <v>#N/A</v>
      </c>
      <c r="G76" s="89" t="e">
        <f ca="1"/>
        <v>#N/A</v>
      </c>
    </row>
    <row r="77" spans="6:7">
      <c r="F77" s="83" t="e">
        <f ca="1"/>
        <v>#N/A</v>
      </c>
      <c r="G77" s="89" t="e">
        <f ca="1"/>
        <v>#N/A</v>
      </c>
    </row>
    <row r="78" spans="6:7">
      <c r="F78" s="83" t="e">
        <f ca="1"/>
        <v>#N/A</v>
      </c>
      <c r="G78" s="89" t="e">
        <f ca="1"/>
        <v>#N/A</v>
      </c>
    </row>
    <row r="79" spans="6:7" ht="13.5" thickBot="1">
      <c r="F79" s="84" t="e">
        <f ca="1"/>
        <v>#N/A</v>
      </c>
      <c r="G79" s="89" t="e">
        <f ca="1"/>
        <v>#N/A</v>
      </c>
    </row>
  </sheetData>
  <mergeCells count="4">
    <mergeCell ref="F2:G2"/>
    <mergeCell ref="F6:G6"/>
    <mergeCell ref="B7:C7"/>
    <mergeCell ref="I2:J2"/>
  </mergeCells>
  <dataValidations count="3">
    <dataValidation type="list" allowBlank="1" showInputMessage="1" showErrorMessage="1" sqref="G13" xr:uid="{00000000-0002-0000-0600-000000000000}">
      <formula1>"RawValue,ExpectedValue,NPV,AccrualFactor,Delta0,Gamma0,Theta0,Vega0, Greeks"</formula1>
    </dataValidation>
    <dataValidation type="list" allowBlank="1" showInputMessage="1" showErrorMessage="1" sqref="B7:C7" xr:uid="{00000000-0002-0000-0600-000001000000}">
      <formula1>"CAP,FLOOR"</formula1>
    </dataValidation>
    <dataValidation type="list" allowBlank="1" showInputMessage="1" showErrorMessage="1" sqref="J19" xr:uid="{06135E14-F821-4B9E-BF00-63F8CCAD4544}">
      <formula1>"DiscountCurve, ForecastCurve, Both"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B1:I88"/>
  <sheetViews>
    <sheetView tabSelected="1" workbookViewId="0">
      <selection activeCell="E10" sqref="E10"/>
    </sheetView>
  </sheetViews>
  <sheetFormatPr defaultRowHeight="12.75"/>
  <cols>
    <col min="1" max="1" width="2.42578125" customWidth="1"/>
    <col min="2" max="2" width="19.5703125" style="26" bestFit="1" customWidth="1"/>
    <col min="3" max="3" width="15.42578125" style="26" bestFit="1" customWidth="1"/>
    <col min="4" max="4" width="3.85546875" style="26" customWidth="1"/>
    <col min="5" max="5" width="20" style="26" bestFit="1" customWidth="1"/>
    <col min="6" max="6" width="45" style="26" bestFit="1" customWidth="1"/>
    <col min="7" max="7" width="2.42578125" customWidth="1"/>
    <col min="8" max="8" width="24.28515625" style="26" bestFit="1" customWidth="1"/>
    <col min="9" max="9" width="45" style="26" bestFit="1" customWidth="1"/>
  </cols>
  <sheetData>
    <row r="1" spans="2:9" ht="13.5" thickBot="1"/>
    <row r="2" spans="2:9" ht="13.5" thickBot="1">
      <c r="B2" s="122" t="s">
        <v>109</v>
      </c>
      <c r="C2" s="121"/>
      <c r="E2" s="191" t="s">
        <v>112</v>
      </c>
      <c r="F2" s="190"/>
      <c r="H2" s="191" t="s">
        <v>195</v>
      </c>
      <c r="I2" s="190"/>
    </row>
    <row r="3" spans="2:9">
      <c r="B3" s="73" t="s">
        <v>12</v>
      </c>
      <c r="C3" s="74" t="s">
        <v>0</v>
      </c>
      <c r="E3" s="73" t="s">
        <v>113</v>
      </c>
      <c r="F3" s="74">
        <f ca="1">TODAY()</f>
        <v>43647</v>
      </c>
      <c r="H3" s="73" t="s">
        <v>113</v>
      </c>
      <c r="I3" s="74">
        <f ca="1">TODAY()</f>
        <v>43647</v>
      </c>
    </row>
    <row r="4" spans="2:9" ht="13.5" thickBot="1">
      <c r="B4" s="75" t="s">
        <v>108</v>
      </c>
      <c r="C4" s="151">
        <v>1000000</v>
      </c>
      <c r="E4" s="77" t="s">
        <v>114</v>
      </c>
      <c r="F4" s="91" t="str">
        <f>B3</f>
        <v>Currency</v>
      </c>
      <c r="H4" s="75" t="s">
        <v>173</v>
      </c>
      <c r="I4" s="76" t="s">
        <v>212</v>
      </c>
    </row>
    <row r="5" spans="2:9" ht="13.5" thickBot="1">
      <c r="B5" s="77" t="s">
        <v>165</v>
      </c>
      <c r="C5" s="124">
        <f ca="1">F3+4</f>
        <v>43651</v>
      </c>
      <c r="H5" s="75" t="s">
        <v>12</v>
      </c>
      <c r="I5" s="76" t="s">
        <v>0</v>
      </c>
    </row>
    <row r="6" spans="2:9" ht="13.5" thickBot="1">
      <c r="E6" s="191" t="s">
        <v>162</v>
      </c>
      <c r="F6" s="190"/>
      <c r="H6" s="75" t="s">
        <v>196</v>
      </c>
      <c r="I6" s="76" t="s">
        <v>3</v>
      </c>
    </row>
    <row r="7" spans="2:9" ht="13.5" thickBot="1">
      <c r="B7" s="188" t="s">
        <v>163</v>
      </c>
      <c r="C7" s="189"/>
      <c r="E7" s="77" t="s">
        <v>161</v>
      </c>
      <c r="F7" s="132"/>
      <c r="H7" s="75" t="s">
        <v>197</v>
      </c>
      <c r="I7" s="76" t="s">
        <v>7</v>
      </c>
    </row>
    <row r="8" spans="2:9" ht="13.5" thickBot="1">
      <c r="B8" s="75" t="s">
        <v>121</v>
      </c>
      <c r="C8" s="93" t="s">
        <v>7</v>
      </c>
      <c r="H8" s="75" t="s">
        <v>200</v>
      </c>
      <c r="I8" s="76" t="s">
        <v>16</v>
      </c>
    </row>
    <row r="9" spans="2:9" ht="13.5" thickBot="1">
      <c r="B9" s="75" t="s">
        <v>122</v>
      </c>
      <c r="C9" s="93" t="s">
        <v>3</v>
      </c>
      <c r="E9" s="115" t="s">
        <v>159</v>
      </c>
      <c r="F9" s="186" t="s">
        <v>104</v>
      </c>
      <c r="H9" s="75" t="s">
        <v>126</v>
      </c>
      <c r="I9" s="93" t="s">
        <v>65</v>
      </c>
    </row>
    <row r="10" spans="2:9">
      <c r="B10" s="75" t="s">
        <v>123</v>
      </c>
      <c r="C10" s="93" t="s">
        <v>7</v>
      </c>
      <c r="E10" s="116" t="e">
        <f t="array" aca="1" ref="E10:F88" ca="1">_xll.HLV5r3.Financial.Cache.GetIRCapFloorMetrics(C5,C4,I16,F7,TRUE,TRUE,C9,C8,C11,C10,C12,Metrics,TRUE,H3:I18)</f>
        <v>#VALUE!</v>
      </c>
      <c r="F10" s="125" t="e">
        <f ca="1"/>
        <v>#VALUE!</v>
      </c>
      <c r="H10" s="75" t="s">
        <v>66</v>
      </c>
      <c r="I10" s="93" t="s">
        <v>67</v>
      </c>
    </row>
    <row r="11" spans="2:9">
      <c r="B11" s="75" t="s">
        <v>124</v>
      </c>
      <c r="C11" s="93" t="s">
        <v>17</v>
      </c>
      <c r="E11" s="117" t="e">
        <f ca="1"/>
        <v>#VALUE!</v>
      </c>
      <c r="F11" s="125" t="e">
        <f ca="1"/>
        <v>#VALUE!</v>
      </c>
      <c r="H11" s="75" t="s">
        <v>164</v>
      </c>
      <c r="I11" s="93" t="s">
        <v>142</v>
      </c>
    </row>
    <row r="12" spans="2:9" ht="13.5" thickBot="1">
      <c r="B12" s="77" t="s">
        <v>125</v>
      </c>
      <c r="C12" s="179" t="str">
        <f>"-1D"</f>
        <v>-1D</v>
      </c>
      <c r="E12" s="117" t="e">
        <f ca="1"/>
        <v>#VALUE!</v>
      </c>
      <c r="F12" s="125" t="e">
        <f ca="1"/>
        <v>#VALUE!</v>
      </c>
      <c r="H12" s="75" t="s">
        <v>194</v>
      </c>
      <c r="I12" s="76" t="b">
        <v>0</v>
      </c>
    </row>
    <row r="13" spans="2:9">
      <c r="E13" s="117" t="e">
        <f ca="1"/>
        <v>#VALUE!</v>
      </c>
      <c r="F13" s="125" t="e">
        <f ca="1"/>
        <v>#VALUE!</v>
      </c>
      <c r="H13" s="75" t="s">
        <v>44</v>
      </c>
      <c r="I13" s="76" t="s">
        <v>208</v>
      </c>
    </row>
    <row r="14" spans="2:9">
      <c r="E14" s="117" t="e">
        <f ca="1"/>
        <v>#VALUE!</v>
      </c>
      <c r="F14" s="125" t="e">
        <f ca="1"/>
        <v>#VALUE!</v>
      </c>
      <c r="H14" s="75" t="s">
        <v>43</v>
      </c>
      <c r="I14" s="76" t="s">
        <v>208</v>
      </c>
    </row>
    <row r="15" spans="2:9">
      <c r="B15" s="26" t="s">
        <v>166</v>
      </c>
      <c r="E15" s="117" t="e">
        <f ca="1"/>
        <v>#VALUE!</v>
      </c>
      <c r="F15" s="125" t="e">
        <f ca="1"/>
        <v>#VALUE!</v>
      </c>
      <c r="H15" s="75" t="s">
        <v>209</v>
      </c>
      <c r="I15" s="76" t="s">
        <v>210</v>
      </c>
    </row>
    <row r="16" spans="2:9">
      <c r="B16" s="26" t="s">
        <v>167</v>
      </c>
      <c r="E16" s="117" t="e">
        <f ca="1"/>
        <v>#VALUE!</v>
      </c>
      <c r="F16" s="125" t="e">
        <f ca="1"/>
        <v>#VALUE!</v>
      </c>
      <c r="H16" s="75" t="s">
        <v>120</v>
      </c>
      <c r="I16" s="131">
        <v>0.05</v>
      </c>
    </row>
    <row r="17" spans="2:9" s="26" customFormat="1">
      <c r="B17" s="26" t="s">
        <v>104</v>
      </c>
      <c r="E17" s="117" t="e">
        <f ca="1"/>
        <v>#VALUE!</v>
      </c>
      <c r="F17" s="125" t="e">
        <f ca="1"/>
        <v>#VALUE!</v>
      </c>
      <c r="H17" s="75" t="s">
        <v>211</v>
      </c>
      <c r="I17" s="131" t="b">
        <v>1</v>
      </c>
    </row>
    <row r="18" spans="2:9" s="26" customFormat="1" ht="13.5" thickBot="1">
      <c r="B18" s="26" t="s">
        <v>102</v>
      </c>
      <c r="E18" s="117" t="e">
        <f ca="1"/>
        <v>#VALUE!</v>
      </c>
      <c r="F18" s="125" t="e">
        <f ca="1"/>
        <v>#VALUE!</v>
      </c>
      <c r="H18" s="77" t="s">
        <v>198</v>
      </c>
      <c r="I18" s="69" t="s">
        <v>43</v>
      </c>
    </row>
    <row r="19" spans="2:9" s="26" customFormat="1">
      <c r="B19" s="26" t="s">
        <v>168</v>
      </c>
      <c r="E19" s="117" t="e">
        <f ca="1"/>
        <v>#VALUE!</v>
      </c>
      <c r="F19" s="125" t="e">
        <f ca="1"/>
        <v>#VALUE!</v>
      </c>
    </row>
    <row r="20" spans="2:9" s="26" customFormat="1">
      <c r="B20" s="26" t="s">
        <v>169</v>
      </c>
      <c r="E20" s="117" t="e">
        <f ca="1"/>
        <v>#VALUE!</v>
      </c>
      <c r="F20" s="125" t="e">
        <f ca="1"/>
        <v>#VALUE!</v>
      </c>
    </row>
    <row r="21" spans="2:9" s="26" customFormat="1">
      <c r="B21" s="26" t="s">
        <v>170</v>
      </c>
      <c r="E21" s="117" t="e">
        <f ca="1"/>
        <v>#VALUE!</v>
      </c>
      <c r="F21" s="125" t="e">
        <f ca="1"/>
        <v>#VALUE!</v>
      </c>
    </row>
    <row r="22" spans="2:9" s="26" customFormat="1">
      <c r="B22" s="26" t="s">
        <v>171</v>
      </c>
      <c r="E22" s="117" t="e">
        <f ca="1"/>
        <v>#VALUE!</v>
      </c>
      <c r="F22" s="125" t="e">
        <f ca="1"/>
        <v>#VALUE!</v>
      </c>
    </row>
    <row r="23" spans="2:9" s="26" customFormat="1">
      <c r="E23" s="117" t="e">
        <f ca="1"/>
        <v>#VALUE!</v>
      </c>
      <c r="F23" s="125" t="e">
        <f ca="1"/>
        <v>#VALUE!</v>
      </c>
    </row>
    <row r="24" spans="2:9" s="26" customFormat="1">
      <c r="E24" s="117" t="e">
        <f ca="1"/>
        <v>#VALUE!</v>
      </c>
      <c r="F24" s="125" t="e">
        <f ca="1"/>
        <v>#VALUE!</v>
      </c>
    </row>
    <row r="25" spans="2:9" s="26" customFormat="1">
      <c r="E25" s="117" t="e">
        <f ca="1"/>
        <v>#VALUE!</v>
      </c>
      <c r="F25" s="125" t="e">
        <f ca="1"/>
        <v>#VALUE!</v>
      </c>
    </row>
    <row r="26" spans="2:9" s="26" customFormat="1">
      <c r="E26" s="117" t="e">
        <f ca="1"/>
        <v>#VALUE!</v>
      </c>
      <c r="F26" s="125" t="e">
        <f ca="1"/>
        <v>#VALUE!</v>
      </c>
    </row>
    <row r="27" spans="2:9" s="26" customFormat="1">
      <c r="E27" s="117" t="e">
        <f ca="1"/>
        <v>#VALUE!</v>
      </c>
      <c r="F27" s="125" t="e">
        <f ca="1"/>
        <v>#VALUE!</v>
      </c>
    </row>
    <row r="28" spans="2:9" s="26" customFormat="1">
      <c r="E28" s="117" t="e">
        <f ca="1"/>
        <v>#VALUE!</v>
      </c>
      <c r="F28" s="125" t="e">
        <f ca="1"/>
        <v>#VALUE!</v>
      </c>
    </row>
    <row r="29" spans="2:9" s="26" customFormat="1">
      <c r="E29" s="117" t="e">
        <f ca="1"/>
        <v>#VALUE!</v>
      </c>
      <c r="F29" s="125" t="e">
        <f ca="1"/>
        <v>#VALUE!</v>
      </c>
    </row>
    <row r="30" spans="2:9" s="26" customFormat="1">
      <c r="E30" s="117" t="e">
        <f ca="1"/>
        <v>#VALUE!</v>
      </c>
      <c r="F30" s="125" t="e">
        <f ca="1"/>
        <v>#VALUE!</v>
      </c>
    </row>
    <row r="31" spans="2:9" s="26" customFormat="1">
      <c r="E31" s="117" t="e">
        <f ca="1"/>
        <v>#VALUE!</v>
      </c>
      <c r="F31" s="125" t="e">
        <f ca="1"/>
        <v>#VALUE!</v>
      </c>
    </row>
    <row r="32" spans="2:9" s="26" customFormat="1">
      <c r="E32" s="117" t="e">
        <f ca="1"/>
        <v>#VALUE!</v>
      </c>
      <c r="F32" s="125" t="e">
        <f ca="1"/>
        <v>#VALUE!</v>
      </c>
    </row>
    <row r="33" spans="5:6" s="26" customFormat="1">
      <c r="E33" s="117" t="e">
        <f ca="1"/>
        <v>#VALUE!</v>
      </c>
      <c r="F33" s="125" t="e">
        <f ca="1"/>
        <v>#VALUE!</v>
      </c>
    </row>
    <row r="34" spans="5:6" s="26" customFormat="1">
      <c r="E34" s="117" t="e">
        <f ca="1"/>
        <v>#VALUE!</v>
      </c>
      <c r="F34" s="125" t="e">
        <f ca="1"/>
        <v>#VALUE!</v>
      </c>
    </row>
    <row r="35" spans="5:6" s="26" customFormat="1">
      <c r="E35" s="117" t="e">
        <f ca="1"/>
        <v>#VALUE!</v>
      </c>
      <c r="F35" s="125" t="e">
        <f ca="1"/>
        <v>#VALUE!</v>
      </c>
    </row>
    <row r="36" spans="5:6" s="26" customFormat="1">
      <c r="E36" s="117" t="e">
        <f ca="1"/>
        <v>#VALUE!</v>
      </c>
      <c r="F36" s="125" t="e">
        <f ca="1"/>
        <v>#VALUE!</v>
      </c>
    </row>
    <row r="37" spans="5:6" s="26" customFormat="1">
      <c r="E37" s="117" t="e">
        <f ca="1"/>
        <v>#VALUE!</v>
      </c>
      <c r="F37" s="125" t="e">
        <f ca="1"/>
        <v>#VALUE!</v>
      </c>
    </row>
    <row r="38" spans="5:6" s="26" customFormat="1">
      <c r="E38" s="117" t="e">
        <f ca="1"/>
        <v>#VALUE!</v>
      </c>
      <c r="F38" s="125" t="e">
        <f ca="1"/>
        <v>#VALUE!</v>
      </c>
    </row>
    <row r="39" spans="5:6" s="26" customFormat="1">
      <c r="E39" s="117" t="e">
        <f ca="1"/>
        <v>#VALUE!</v>
      </c>
      <c r="F39" s="125" t="e">
        <f ca="1"/>
        <v>#VALUE!</v>
      </c>
    </row>
    <row r="40" spans="5:6" s="26" customFormat="1">
      <c r="E40" s="117" t="e">
        <f ca="1"/>
        <v>#VALUE!</v>
      </c>
      <c r="F40" s="125" t="e">
        <f ca="1"/>
        <v>#VALUE!</v>
      </c>
    </row>
    <row r="41" spans="5:6" s="26" customFormat="1">
      <c r="E41" s="117" t="e">
        <f ca="1"/>
        <v>#VALUE!</v>
      </c>
      <c r="F41" s="125" t="e">
        <f ca="1"/>
        <v>#VALUE!</v>
      </c>
    </row>
    <row r="42" spans="5:6" s="26" customFormat="1">
      <c r="E42" s="117" t="e">
        <f ca="1"/>
        <v>#VALUE!</v>
      </c>
      <c r="F42" s="125" t="e">
        <f ca="1"/>
        <v>#VALUE!</v>
      </c>
    </row>
    <row r="43" spans="5:6" s="26" customFormat="1">
      <c r="E43" s="117" t="e">
        <f ca="1"/>
        <v>#VALUE!</v>
      </c>
      <c r="F43" s="125" t="e">
        <f ca="1"/>
        <v>#VALUE!</v>
      </c>
    </row>
    <row r="44" spans="5:6" s="26" customFormat="1">
      <c r="E44" s="117" t="e">
        <f ca="1"/>
        <v>#VALUE!</v>
      </c>
      <c r="F44" s="125" t="e">
        <f ca="1"/>
        <v>#VALUE!</v>
      </c>
    </row>
    <row r="45" spans="5:6" s="26" customFormat="1">
      <c r="E45" s="117" t="e">
        <f ca="1"/>
        <v>#VALUE!</v>
      </c>
      <c r="F45" s="125" t="e">
        <f ca="1"/>
        <v>#VALUE!</v>
      </c>
    </row>
    <row r="46" spans="5:6" s="26" customFormat="1">
      <c r="E46" s="117" t="e">
        <f ca="1"/>
        <v>#VALUE!</v>
      </c>
      <c r="F46" s="125" t="e">
        <f ca="1"/>
        <v>#VALUE!</v>
      </c>
    </row>
    <row r="47" spans="5:6" s="26" customFormat="1">
      <c r="E47" s="117" t="e">
        <f ca="1"/>
        <v>#VALUE!</v>
      </c>
      <c r="F47" s="125" t="e">
        <f ca="1"/>
        <v>#VALUE!</v>
      </c>
    </row>
    <row r="48" spans="5:6" s="26" customFormat="1">
      <c r="E48" s="117" t="e">
        <f ca="1"/>
        <v>#VALUE!</v>
      </c>
      <c r="F48" s="125" t="e">
        <f ca="1"/>
        <v>#VALUE!</v>
      </c>
    </row>
    <row r="49" spans="5:6" s="26" customFormat="1">
      <c r="E49" s="117" t="e">
        <f ca="1"/>
        <v>#VALUE!</v>
      </c>
      <c r="F49" s="125" t="e">
        <f ca="1"/>
        <v>#VALUE!</v>
      </c>
    </row>
    <row r="50" spans="5:6" s="26" customFormat="1">
      <c r="E50" s="117" t="e">
        <f ca="1"/>
        <v>#VALUE!</v>
      </c>
      <c r="F50" s="125" t="e">
        <f ca="1"/>
        <v>#VALUE!</v>
      </c>
    </row>
    <row r="51" spans="5:6">
      <c r="E51" s="117" t="e">
        <f ca="1"/>
        <v>#VALUE!</v>
      </c>
      <c r="F51" s="125" t="e">
        <f ca="1"/>
        <v>#VALUE!</v>
      </c>
    </row>
    <row r="52" spans="5:6" s="26" customFormat="1">
      <c r="E52" s="117" t="e">
        <f ca="1"/>
        <v>#VALUE!</v>
      </c>
      <c r="F52" s="125" t="e">
        <f ca="1"/>
        <v>#VALUE!</v>
      </c>
    </row>
    <row r="53" spans="5:6" s="26" customFormat="1">
      <c r="E53" s="117" t="e">
        <f ca="1"/>
        <v>#VALUE!</v>
      </c>
      <c r="F53" s="125" t="e">
        <f ca="1"/>
        <v>#VALUE!</v>
      </c>
    </row>
    <row r="54" spans="5:6" s="26" customFormat="1">
      <c r="E54" s="117" t="e">
        <f ca="1"/>
        <v>#VALUE!</v>
      </c>
      <c r="F54" s="125" t="e">
        <f ca="1"/>
        <v>#VALUE!</v>
      </c>
    </row>
    <row r="55" spans="5:6" s="26" customFormat="1">
      <c r="E55" s="117" t="e">
        <f ca="1"/>
        <v>#VALUE!</v>
      </c>
      <c r="F55" s="125" t="e">
        <f ca="1"/>
        <v>#VALUE!</v>
      </c>
    </row>
    <row r="56" spans="5:6" s="26" customFormat="1">
      <c r="E56" s="117" t="e">
        <f ca="1"/>
        <v>#VALUE!</v>
      </c>
      <c r="F56" s="125" t="e">
        <f ca="1"/>
        <v>#VALUE!</v>
      </c>
    </row>
    <row r="57" spans="5:6" s="26" customFormat="1">
      <c r="E57" s="117" t="e">
        <f ca="1"/>
        <v>#VALUE!</v>
      </c>
      <c r="F57" s="125" t="e">
        <f ca="1"/>
        <v>#VALUE!</v>
      </c>
    </row>
    <row r="58" spans="5:6" s="26" customFormat="1">
      <c r="E58" s="117" t="e">
        <f ca="1"/>
        <v>#VALUE!</v>
      </c>
      <c r="F58" s="125" t="e">
        <f ca="1"/>
        <v>#VALUE!</v>
      </c>
    </row>
    <row r="59" spans="5:6" s="26" customFormat="1">
      <c r="E59" s="117" t="e">
        <f ca="1"/>
        <v>#VALUE!</v>
      </c>
      <c r="F59" s="125" t="e">
        <f ca="1"/>
        <v>#VALUE!</v>
      </c>
    </row>
    <row r="60" spans="5:6" s="26" customFormat="1">
      <c r="E60" s="117" t="e">
        <f ca="1"/>
        <v>#VALUE!</v>
      </c>
      <c r="F60" s="125" t="e">
        <f ca="1"/>
        <v>#VALUE!</v>
      </c>
    </row>
    <row r="61" spans="5:6" s="26" customFormat="1">
      <c r="E61" s="117" t="e">
        <f ca="1"/>
        <v>#VALUE!</v>
      </c>
      <c r="F61" s="125" t="e">
        <f ca="1"/>
        <v>#VALUE!</v>
      </c>
    </row>
    <row r="62" spans="5:6" s="26" customFormat="1">
      <c r="E62" s="117" t="e">
        <f ca="1"/>
        <v>#VALUE!</v>
      </c>
      <c r="F62" s="125" t="e">
        <f ca="1"/>
        <v>#VALUE!</v>
      </c>
    </row>
    <row r="63" spans="5:6" s="26" customFormat="1">
      <c r="E63" s="117" t="e">
        <f ca="1"/>
        <v>#VALUE!</v>
      </c>
      <c r="F63" s="125" t="e">
        <f ca="1"/>
        <v>#VALUE!</v>
      </c>
    </row>
    <row r="64" spans="5:6" s="26" customFormat="1">
      <c r="E64" s="117" t="e">
        <f ca="1"/>
        <v>#VALUE!</v>
      </c>
      <c r="F64" s="125" t="e">
        <f ca="1"/>
        <v>#VALUE!</v>
      </c>
    </row>
    <row r="65" spans="5:6" s="26" customFormat="1">
      <c r="E65" s="117" t="e">
        <f ca="1"/>
        <v>#VALUE!</v>
      </c>
      <c r="F65" s="125" t="e">
        <f ca="1"/>
        <v>#VALUE!</v>
      </c>
    </row>
    <row r="66" spans="5:6" s="26" customFormat="1">
      <c r="E66" s="117" t="e">
        <f ca="1"/>
        <v>#VALUE!</v>
      </c>
      <c r="F66" s="125" t="e">
        <f ca="1"/>
        <v>#VALUE!</v>
      </c>
    </row>
    <row r="67" spans="5:6" s="26" customFormat="1">
      <c r="E67" s="117" t="e">
        <f ca="1"/>
        <v>#VALUE!</v>
      </c>
      <c r="F67" s="125" t="e">
        <f ca="1"/>
        <v>#VALUE!</v>
      </c>
    </row>
    <row r="68" spans="5:6" s="26" customFormat="1">
      <c r="E68" s="117" t="e">
        <f ca="1"/>
        <v>#VALUE!</v>
      </c>
      <c r="F68" s="125" t="e">
        <f ca="1"/>
        <v>#VALUE!</v>
      </c>
    </row>
    <row r="69" spans="5:6" s="26" customFormat="1">
      <c r="E69" s="117" t="e">
        <f ca="1"/>
        <v>#VALUE!</v>
      </c>
      <c r="F69" s="125" t="e">
        <f ca="1"/>
        <v>#VALUE!</v>
      </c>
    </row>
    <row r="70" spans="5:6" s="26" customFormat="1">
      <c r="E70" s="117" t="e">
        <f ca="1"/>
        <v>#VALUE!</v>
      </c>
      <c r="F70" s="125" t="e">
        <f ca="1"/>
        <v>#VALUE!</v>
      </c>
    </row>
    <row r="71" spans="5:6" s="26" customFormat="1">
      <c r="E71" s="117" t="e">
        <f ca="1"/>
        <v>#VALUE!</v>
      </c>
      <c r="F71" s="125" t="e">
        <f ca="1"/>
        <v>#VALUE!</v>
      </c>
    </row>
    <row r="72" spans="5:6" s="26" customFormat="1">
      <c r="E72" s="117" t="e">
        <f ca="1"/>
        <v>#VALUE!</v>
      </c>
      <c r="F72" s="125" t="e">
        <f ca="1"/>
        <v>#VALUE!</v>
      </c>
    </row>
    <row r="73" spans="5:6" s="26" customFormat="1">
      <c r="E73" s="117" t="e">
        <f ca="1"/>
        <v>#VALUE!</v>
      </c>
      <c r="F73" s="125" t="e">
        <f ca="1"/>
        <v>#VALUE!</v>
      </c>
    </row>
    <row r="74" spans="5:6" s="26" customFormat="1">
      <c r="E74" s="117" t="e">
        <f ca="1"/>
        <v>#VALUE!</v>
      </c>
      <c r="F74" s="125" t="e">
        <f ca="1"/>
        <v>#VALUE!</v>
      </c>
    </row>
    <row r="75" spans="5:6" s="26" customFormat="1">
      <c r="E75" s="117" t="e">
        <f ca="1"/>
        <v>#VALUE!</v>
      </c>
      <c r="F75" s="125" t="e">
        <f ca="1"/>
        <v>#VALUE!</v>
      </c>
    </row>
    <row r="76" spans="5:6" s="26" customFormat="1">
      <c r="E76" s="117" t="e">
        <f ca="1"/>
        <v>#VALUE!</v>
      </c>
      <c r="F76" s="125" t="e">
        <f ca="1"/>
        <v>#VALUE!</v>
      </c>
    </row>
    <row r="77" spans="5:6" s="26" customFormat="1">
      <c r="E77" s="117" t="e">
        <f ca="1"/>
        <v>#VALUE!</v>
      </c>
      <c r="F77" s="125" t="e">
        <f ca="1"/>
        <v>#VALUE!</v>
      </c>
    </row>
    <row r="78" spans="5:6" s="26" customFormat="1">
      <c r="E78" s="117" t="e">
        <f ca="1"/>
        <v>#VALUE!</v>
      </c>
      <c r="F78" s="125" t="e">
        <f ca="1"/>
        <v>#VALUE!</v>
      </c>
    </row>
    <row r="79" spans="5:6" s="26" customFormat="1">
      <c r="E79" s="26" t="e">
        <f ca="1"/>
        <v>#VALUE!</v>
      </c>
      <c r="F79" s="26" t="e">
        <f ca="1"/>
        <v>#VALUE!</v>
      </c>
    </row>
    <row r="80" spans="5:6" s="26" customFormat="1">
      <c r="E80" s="26" t="e">
        <f ca="1"/>
        <v>#VALUE!</v>
      </c>
      <c r="F80" s="26" t="e">
        <f ca="1"/>
        <v>#VALUE!</v>
      </c>
    </row>
    <row r="81" spans="5:6" s="26" customFormat="1">
      <c r="E81" s="26" t="e">
        <f ca="1"/>
        <v>#VALUE!</v>
      </c>
      <c r="F81" s="26" t="e">
        <f ca="1"/>
        <v>#VALUE!</v>
      </c>
    </row>
    <row r="82" spans="5:6" s="26" customFormat="1">
      <c r="E82" s="26" t="e">
        <f ca="1"/>
        <v>#VALUE!</v>
      </c>
      <c r="F82" s="26" t="e">
        <f ca="1"/>
        <v>#VALUE!</v>
      </c>
    </row>
    <row r="83" spans="5:6" s="26" customFormat="1">
      <c r="E83" s="26" t="e">
        <f ca="1"/>
        <v>#VALUE!</v>
      </c>
      <c r="F83" s="26" t="e">
        <f ca="1"/>
        <v>#VALUE!</v>
      </c>
    </row>
    <row r="84" spans="5:6" s="26" customFormat="1">
      <c r="E84" s="26" t="e">
        <f ca="1"/>
        <v>#VALUE!</v>
      </c>
      <c r="F84" s="26" t="e">
        <f ca="1"/>
        <v>#VALUE!</v>
      </c>
    </row>
    <row r="85" spans="5:6" s="26" customFormat="1">
      <c r="E85" s="26" t="e">
        <f ca="1"/>
        <v>#VALUE!</v>
      </c>
      <c r="F85" s="26" t="e">
        <f ca="1"/>
        <v>#VALUE!</v>
      </c>
    </row>
    <row r="86" spans="5:6" s="26" customFormat="1">
      <c r="E86" s="26" t="e">
        <f ca="1"/>
        <v>#VALUE!</v>
      </c>
      <c r="F86" s="26" t="e">
        <f ca="1"/>
        <v>#VALUE!</v>
      </c>
    </row>
    <row r="87" spans="5:6" s="26" customFormat="1">
      <c r="E87" s="26" t="e">
        <f ca="1"/>
        <v>#VALUE!</v>
      </c>
      <c r="F87" s="26" t="e">
        <f ca="1"/>
        <v>#VALUE!</v>
      </c>
    </row>
    <row r="88" spans="5:6">
      <c r="E88" s="26" t="e">
        <f ca="1"/>
        <v>#VALUE!</v>
      </c>
      <c r="F88" s="26" t="e">
        <f ca="1"/>
        <v>#VALUE!</v>
      </c>
    </row>
  </sheetData>
  <mergeCells count="4">
    <mergeCell ref="E2:F2"/>
    <mergeCell ref="B7:C7"/>
    <mergeCell ref="E6:F6"/>
    <mergeCell ref="H2:I2"/>
  </mergeCells>
  <dataValidations count="3">
    <dataValidation type="list" allowBlank="1" showInputMessage="1" showErrorMessage="1" sqref="F9" xr:uid="{00000000-0002-0000-0700-000000000000}">
      <formula1>Metrics</formula1>
    </dataValidation>
    <dataValidation type="list" allowBlank="1" showInputMessage="1" showErrorMessage="1" sqref="I18" xr:uid="{3239A2EA-DE3F-4DCC-8F99-9BC89A3913CC}">
      <formula1>"DiscountCurve, ForecastCurve, Both"</formula1>
    </dataValidation>
    <dataValidation type="list" allowBlank="1" showInputMessage="1" showErrorMessage="1" sqref="B7:C7" xr:uid="{5959A4CD-0F41-4128-86A4-9802DB003B65}">
      <formula1>"CAP,FLOOR"</formula1>
    </dataValidation>
  </dataValidations>
  <pageMargins left="0.75" right="0.75" top="1" bottom="1" header="0.5" footer="0.5"/>
  <pageSetup paperSize="9" scale="60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GetInfo &amp; GetInstrumentInfo</vt:lpstr>
      <vt:lpstr>SwapLeg Pricer</vt:lpstr>
      <vt:lpstr>SwapTransaction</vt:lpstr>
      <vt:lpstr>SimpleSwapPricer</vt:lpstr>
      <vt:lpstr>SwapPricer1</vt:lpstr>
      <vt:lpstr>SwapPricer2</vt:lpstr>
      <vt:lpstr>AUDCapVol</vt:lpstr>
      <vt:lpstr>SimpleCapPricer</vt:lpstr>
      <vt:lpstr>CapPricer</vt:lpstr>
      <vt:lpstr>CapPricer!CurveList</vt:lpstr>
      <vt:lpstr>SwapPricer1!CurveList</vt:lpstr>
      <vt:lpstr>SwapPricer2!CurveList</vt:lpstr>
      <vt:lpstr>CurveList</vt:lpstr>
      <vt:lpstr>SwapPricer1!Metrics</vt:lpstr>
      <vt:lpstr>SwapPricer2!Metrics</vt:lpstr>
      <vt:lpstr>Metrics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Sukhov</dc:creator>
  <cp:lastModifiedBy>Alex</cp:lastModifiedBy>
  <cp:lastPrinted>2007-07-23T14:35:21Z</cp:lastPrinted>
  <dcterms:created xsi:type="dcterms:W3CDTF">2007-04-01T23:59:39Z</dcterms:created>
  <dcterms:modified xsi:type="dcterms:W3CDTF">2019-07-01T05:19:18Z</dcterms:modified>
</cp:coreProperties>
</file>