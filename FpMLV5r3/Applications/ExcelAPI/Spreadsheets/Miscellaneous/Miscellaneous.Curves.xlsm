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Miscellaneous\"/>
    </mc:Choice>
  </mc:AlternateContent>
  <xr:revisionPtr revIDLastSave="0" documentId="13_ncr:1_{550D4784-A633-484C-A355-1AABD47847BD}" xr6:coauthVersionLast="43" xr6:coauthVersionMax="43" xr10:uidLastSave="{00000000-0000-0000-0000-000000000000}"/>
  <bookViews>
    <workbookView xWindow="2415" yWindow="0" windowWidth="26370" windowHeight="14820" tabRatio="700" activeTab="8" xr2:uid="{00000000-000D-0000-FFFF-FFFF00000000}"/>
  </bookViews>
  <sheets>
    <sheet name="Rates &amp; Dates" sheetId="1" r:id="rId1"/>
    <sheet name="PDH Calc" sheetId="11" r:id="rId2"/>
    <sheet name="Peturbed_Zeros" sheetId="12" r:id="rId3"/>
    <sheet name="Holidays" sheetId="4" r:id="rId4"/>
    <sheet name="Global Params" sheetId="13" r:id="rId5"/>
    <sheet name="IR" sheetId="14" r:id="rId6"/>
    <sheet name="AUD SCB" sheetId="15" r:id="rId7"/>
    <sheet name="FX" sheetId="16" r:id="rId8"/>
    <sheet name="ETO" sheetId="17" r:id="rId9"/>
  </sheets>
  <definedNames>
    <definedName name="AbsVol">'Rates &amp; Dates'!$E$12</definedName>
    <definedName name="Alpha">'Rates &amp; Dates'!$E$11</definedName>
    <definedName name="Calc_Date">'Rates &amp; Dates'!$E$9</definedName>
    <definedName name="CF">'Rates &amp; Dates'!$CJ$44:$ER$68</definedName>
    <definedName name="CF_Dates">'Rates &amp; Dates'!$Z$15:$CH$39</definedName>
    <definedName name="CF_Days">'Rates &amp; Dates'!$Z$44:$CH$68</definedName>
    <definedName name="Holidays">Holidays!$A$2:$A$558</definedName>
    <definedName name="Inputs">'Rates &amp; Dates'!$B$15:$N$39</definedName>
    <definedName name="Interp_Method">'Rates &amp; Dates'!$X$47</definedName>
    <definedName name="InterpSpace">'Rates &amp; Dates'!$U$9</definedName>
    <definedName name="Method">'Rates &amp; Dates'!$U$11</definedName>
    <definedName name="Par_Shifts">'Rates &amp; Dates'!$Q$15:$Q$39</definedName>
    <definedName name="ParRates">'Rates &amp; Dates'!$P$15:$P$39</definedName>
    <definedName name="Peturbed_DF">'PDH Calc'!$M$3:$AH$503</definedName>
    <definedName name="Peturbed_QZ">Peturbed_Zeros!$A$2:$AA$27</definedName>
    <definedName name="PV">'Rates &amp; Dates'!$W$44:$X$68</definedName>
    <definedName name="QZ_Nodes">'Rates &amp; Dates'!$U$14:$V$39</definedName>
    <definedName name="Seed">'Rates &amp; Dates'!$R$15:$R$39</definedName>
    <definedName name="solver_adj" localSheetId="1" hidden="1">'PDH Calc'!$G$3,'PDH Calc'!$G$13</definedName>
    <definedName name="solver_adj" hidden="1">'Rates &amp; Dates'!$V$39</definedName>
    <definedName name="solver_cvg" localSheetId="1" hidden="1">0.0001</definedName>
    <definedName name="solver_cvg" hidden="1">0.0001</definedName>
    <definedName name="solver_drv" localSheetId="1" hidden="1">1</definedName>
    <definedName name="solver_drv" hidden="1">1</definedName>
    <definedName name="solver_est" localSheetId="1" hidden="1">1</definedName>
    <definedName name="solver_est" hidden="1">1</definedName>
    <definedName name="solver_itr" localSheetId="1" hidden="1">100</definedName>
    <definedName name="solver_itr" hidden="1">100</definedName>
    <definedName name="solver_lin" localSheetId="1" hidden="1">2</definedName>
    <definedName name="solver_lin" hidden="1">2</definedName>
    <definedName name="solver_neg" localSheetId="1" hidden="1">2</definedName>
    <definedName name="solver_neg" hidden="1">2</definedName>
    <definedName name="solver_num" localSheetId="1" hidden="1">0</definedName>
    <definedName name="solver_num" hidden="1">0</definedName>
    <definedName name="solver_nwt" localSheetId="1" hidden="1">1</definedName>
    <definedName name="solver_nwt" hidden="1">1</definedName>
    <definedName name="solver_opt" localSheetId="1" hidden="1">'PDH Calc'!#REF!</definedName>
    <definedName name="solver_opt" hidden="1">'Rates &amp; Dates'!#REF!</definedName>
    <definedName name="solver_pre" localSheetId="1" hidden="1">0.000001</definedName>
    <definedName name="solver_pre" hidden="1">0.0000000000000001</definedName>
    <definedName name="solver_scl" localSheetId="1" hidden="1">2</definedName>
    <definedName name="solver_scl" hidden="1">0</definedName>
    <definedName name="solver_sho" localSheetId="1" hidden="1">2</definedName>
    <definedName name="solver_sho" hidden="1">2</definedName>
    <definedName name="solver_tim" localSheetId="1" hidden="1">100</definedName>
    <definedName name="solver_tim" hidden="1">100</definedName>
    <definedName name="solver_tol" localSheetId="1" hidden="1">0.05</definedName>
    <definedName name="solver_tol" hidden="1">0.05</definedName>
    <definedName name="solver_typ" localSheetId="1" hidden="1">2</definedName>
    <definedName name="solver_typ" hidden="1">3</definedName>
    <definedName name="solver_val" localSheetId="1" hidden="1">0</definedName>
    <definedName name="solver_val" hidden="1">0</definedName>
    <definedName name="StripCalcsQtrly">'Rates &amp; Dates'!$B$48:$G$60</definedName>
    <definedName name="StripCalcsSemi">'Rates &amp; Dates'!$B$64:$G$124</definedName>
    <definedName name="Today">'Global Params'!$B$1</definedName>
    <definedName name="ZeroCompFreq">'Rates &amp; Dates'!$U$10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1" l="1"/>
  <c r="D17" i="1"/>
  <c r="D16" i="1"/>
  <c r="G20" i="1"/>
  <c r="G21" i="1" s="1"/>
  <c r="G22" i="1" s="1"/>
  <c r="G23" i="1" s="1"/>
  <c r="G24" i="1" s="1"/>
  <c r="B129" i="1"/>
  <c r="B132" i="1"/>
  <c r="W30" i="1"/>
  <c r="W28" i="1"/>
  <c r="W26" i="1"/>
  <c r="M22" i="1"/>
  <c r="W22" i="1"/>
  <c r="W20" i="1"/>
  <c r="W18" i="1"/>
  <c r="N22" i="1"/>
  <c r="M20" i="1"/>
  <c r="W29" i="1"/>
  <c r="W27" i="1"/>
  <c r="W33" i="1"/>
  <c r="N20" i="1"/>
  <c r="W39" i="1"/>
  <c r="W37" i="1"/>
  <c r="W35" i="1"/>
  <c r="W16" i="1"/>
  <c r="M24" i="1"/>
  <c r="W31" i="1"/>
  <c r="W21" i="1"/>
  <c r="W19" i="1"/>
  <c r="W14" i="1"/>
  <c r="M19" i="1"/>
  <c r="N19" i="1" s="1"/>
  <c r="W23" i="1"/>
  <c r="W15" i="1"/>
  <c r="W24" i="1"/>
  <c r="N24" i="1"/>
  <c r="M23" i="1"/>
  <c r="N23" i="1" s="1"/>
  <c r="I63" i="1"/>
  <c r="W38" i="1"/>
  <c r="W36" i="1"/>
  <c r="W34" i="1"/>
  <c r="M21" i="1"/>
  <c r="N21" i="1" s="1"/>
  <c r="W32" i="1"/>
  <c r="W17" i="1"/>
  <c r="W25" i="1"/>
  <c r="E9" i="1" l="1"/>
  <c r="M34" i="1"/>
  <c r="M33" i="1"/>
  <c r="M17" i="1"/>
  <c r="M39" i="1"/>
  <c r="M35" i="1"/>
  <c r="M38" i="1"/>
  <c r="M32" i="1"/>
  <c r="M30" i="1"/>
  <c r="M18" i="1"/>
  <c r="M37" i="1"/>
  <c r="M31" i="1"/>
  <c r="M29" i="1"/>
  <c r="M36" i="1"/>
  <c r="M28" i="1"/>
  <c r="M27" i="1"/>
  <c r="M16" i="1"/>
  <c r="C132" i="1"/>
  <c r="E16" i="1" l="1"/>
  <c r="E17" i="1"/>
  <c r="N33" i="1"/>
  <c r="N31" i="1"/>
  <c r="N30" i="1"/>
  <c r="N17" i="1"/>
  <c r="N32" i="1"/>
  <c r="D132" i="1"/>
  <c r="N36" i="1"/>
  <c r="N34" i="1"/>
  <c r="N16" i="1"/>
  <c r="C128" i="1"/>
  <c r="N37" i="1"/>
  <c r="N35" i="1"/>
  <c r="N28" i="1"/>
  <c r="N18" i="1"/>
  <c r="N29" i="1"/>
  <c r="N27" i="1"/>
  <c r="N39" i="1"/>
  <c r="C129" i="1"/>
  <c r="C131" i="1"/>
  <c r="N38" i="1"/>
  <c r="I4" i="11" l="1"/>
  <c r="H5" i="11"/>
  <c r="H4" i="11"/>
  <c r="D128" i="1"/>
  <c r="D131" i="1"/>
  <c r="D129" i="1"/>
  <c r="P84" i="1" l="1"/>
  <c r="P85" i="1" s="1"/>
  <c r="P86" i="1" s="1"/>
  <c r="P87" i="1" s="1"/>
  <c r="P88" i="1" s="1"/>
  <c r="P89" i="1" s="1"/>
  <c r="P90" i="1" s="1"/>
  <c r="Y40" i="1" l="1"/>
  <c r="U87" i="1" l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A3" i="11"/>
  <c r="A27" i="12" l="1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T35" i="1" l="1"/>
  <c r="B35" i="1"/>
  <c r="A23" i="11" s="1"/>
  <c r="Y35" i="1" l="1"/>
  <c r="Y64" i="1"/>
  <c r="T34" i="1"/>
  <c r="B34" i="1"/>
  <c r="A22" i="11" s="1"/>
  <c r="Y34" i="1" l="1"/>
  <c r="Y63" i="1"/>
  <c r="T33" i="1"/>
  <c r="B33" i="1"/>
  <c r="A21" i="11" s="1"/>
  <c r="Y33" i="1" l="1"/>
  <c r="Y62" i="1"/>
  <c r="T32" i="1"/>
  <c r="B32" i="1"/>
  <c r="A20" i="11" s="1"/>
  <c r="Y32" i="1" l="1"/>
  <c r="Y61" i="1"/>
  <c r="T31" i="1"/>
  <c r="B31" i="1"/>
  <c r="A19" i="11" s="1"/>
  <c r="Y31" i="1" l="1"/>
  <c r="Y60" i="1"/>
  <c r="T30" i="1"/>
  <c r="B30" i="1"/>
  <c r="A18" i="11" s="1"/>
  <c r="Y30" i="1" l="1"/>
  <c r="Y59" i="1"/>
  <c r="U71" i="1" l="1"/>
  <c r="V71" i="1"/>
  <c r="U72" i="1"/>
  <c r="V72" i="1"/>
  <c r="A50" i="1" l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F13" i="1"/>
  <c r="AB14" i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U14" i="1" s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CG14" i="1" s="1"/>
  <c r="CH14" i="1" s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M1" i="1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1" i="12"/>
  <c r="A10" i="12"/>
  <c r="A9" i="12"/>
  <c r="A8" i="12"/>
  <c r="A7" i="12"/>
  <c r="A6" i="12"/>
  <c r="A5" i="12"/>
  <c r="A4" i="12"/>
  <c r="A3" i="12"/>
  <c r="A2" i="12"/>
  <c r="T14" i="1"/>
  <c r="T15" i="1"/>
  <c r="Y15" i="1"/>
  <c r="B16" i="1"/>
  <c r="T16" i="1"/>
  <c r="B17" i="1"/>
  <c r="A5" i="11" s="1"/>
  <c r="T17" i="1"/>
  <c r="B18" i="1"/>
  <c r="T18" i="1"/>
  <c r="T19" i="1"/>
  <c r="T20" i="1"/>
  <c r="T21" i="1"/>
  <c r="T22" i="1"/>
  <c r="T23" i="1"/>
  <c r="T24" i="1"/>
  <c r="T25" i="1"/>
  <c r="T26" i="1"/>
  <c r="B27" i="1"/>
  <c r="Y56" i="1" s="1"/>
  <c r="T27" i="1"/>
  <c r="B28" i="1"/>
  <c r="T28" i="1"/>
  <c r="B29" i="1"/>
  <c r="Y58" i="1" s="1"/>
  <c r="T29" i="1"/>
  <c r="B36" i="1"/>
  <c r="T36" i="1"/>
  <c r="B37" i="1"/>
  <c r="Y37" i="1" s="1"/>
  <c r="T37" i="1"/>
  <c r="B38" i="1"/>
  <c r="A26" i="11" s="1"/>
  <c r="T38" i="1"/>
  <c r="B39" i="1"/>
  <c r="A27" i="11" s="1"/>
  <c r="T39" i="1"/>
  <c r="AB43" i="1"/>
  <c r="AC43" i="1" s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BQ43" i="1" s="1"/>
  <c r="BR43" i="1" s="1"/>
  <c r="BS43" i="1" s="1"/>
  <c r="BT43" i="1" s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L43" i="1"/>
  <c r="CM43" i="1" s="1"/>
  <c r="CN43" i="1" s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EB43" i="1" s="1"/>
  <c r="EC43" i="1" s="1"/>
  <c r="ED43" i="1" s="1"/>
  <c r="EE43" i="1" s="1"/>
  <c r="EF43" i="1" s="1"/>
  <c r="EG43" i="1" s="1"/>
  <c r="EH43" i="1" s="1"/>
  <c r="EI43" i="1" s="1"/>
  <c r="EJ43" i="1" s="1"/>
  <c r="EK43" i="1" s="1"/>
  <c r="EL43" i="1" s="1"/>
  <c r="EM43" i="1" s="1"/>
  <c r="EN43" i="1" s="1"/>
  <c r="EO43" i="1" s="1"/>
  <c r="EP43" i="1" s="1"/>
  <c r="EQ43" i="1" s="1"/>
  <c r="ER43" i="1" s="1"/>
  <c r="Y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W45" i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Q62" i="1"/>
  <c r="P61" i="1"/>
  <c r="P62" i="1"/>
  <c r="Q63" i="1"/>
  <c r="P63" i="1"/>
  <c r="Q61" i="1"/>
  <c r="D44" i="1" l="1"/>
  <c r="D26" i="1"/>
  <c r="D43" i="1"/>
  <c r="D19" i="1"/>
  <c r="D23" i="1"/>
  <c r="D20" i="1"/>
  <c r="D21" i="1"/>
  <c r="D25" i="1"/>
  <c r="D22" i="1"/>
  <c r="D24" i="1"/>
  <c r="Y17" i="1"/>
  <c r="Y46" i="1"/>
  <c r="N1" i="11"/>
  <c r="Y65" i="1"/>
  <c r="A24" i="11"/>
  <c r="Y57" i="1"/>
  <c r="A16" i="11"/>
  <c r="Y18" i="1"/>
  <c r="A6" i="11"/>
  <c r="Y45" i="1"/>
  <c r="A4" i="11"/>
  <c r="Y66" i="1"/>
  <c r="A25" i="11"/>
  <c r="Y29" i="1"/>
  <c r="A17" i="11"/>
  <c r="Y27" i="1"/>
  <c r="A15" i="11"/>
  <c r="Y67" i="1"/>
  <c r="Y39" i="1"/>
  <c r="Y68" i="1"/>
  <c r="Z35" i="1"/>
  <c r="Z34" i="1"/>
  <c r="Z33" i="1"/>
  <c r="Z32" i="1"/>
  <c r="Z31" i="1"/>
  <c r="Z30" i="1"/>
  <c r="Y38" i="1"/>
  <c r="K3" i="11"/>
  <c r="K74" i="11"/>
  <c r="K448" i="11"/>
  <c r="K237" i="11"/>
  <c r="K199" i="11"/>
  <c r="K410" i="11"/>
  <c r="K357" i="11"/>
  <c r="K474" i="11"/>
  <c r="K108" i="11"/>
  <c r="K195" i="11"/>
  <c r="K192" i="11"/>
  <c r="M15" i="1"/>
  <c r="K148" i="11"/>
  <c r="K331" i="11"/>
  <c r="K367" i="11"/>
  <c r="K321" i="11"/>
  <c r="K483" i="11"/>
  <c r="K267" i="11"/>
  <c r="K404" i="11"/>
  <c r="K486" i="11"/>
  <c r="K70" i="11"/>
  <c r="K409" i="11"/>
  <c r="K65" i="11"/>
  <c r="K280" i="11"/>
  <c r="K299" i="11"/>
  <c r="K101" i="11"/>
  <c r="K374" i="11"/>
  <c r="K219" i="11"/>
  <c r="K238" i="11"/>
  <c r="K493" i="11"/>
  <c r="K153" i="11"/>
  <c r="K364" i="11"/>
  <c r="Y16" i="1"/>
  <c r="Y28" i="1"/>
  <c r="Y47" i="1"/>
  <c r="Y36" i="1"/>
  <c r="M65" i="1"/>
  <c r="K212" i="11"/>
  <c r="K128" i="11"/>
  <c r="K138" i="11"/>
  <c r="K123" i="11"/>
  <c r="K421" i="11"/>
  <c r="K468" i="11"/>
  <c r="K210" i="11"/>
  <c r="K130" i="11"/>
  <c r="K67" i="11"/>
  <c r="K110" i="11"/>
  <c r="K466" i="11"/>
  <c r="K345" i="11"/>
  <c r="K173" i="11"/>
  <c r="K503" i="11"/>
  <c r="K384" i="11"/>
  <c r="K216" i="11"/>
  <c r="K406" i="11"/>
  <c r="K485" i="11"/>
  <c r="K229" i="11"/>
  <c r="K479" i="11"/>
  <c r="K276" i="11"/>
  <c r="K187" i="11"/>
  <c r="K395" i="11"/>
  <c r="K106" i="11"/>
  <c r="K294" i="11"/>
  <c r="K111" i="11"/>
  <c r="K334" i="11"/>
  <c r="K158" i="11"/>
  <c r="K447" i="11"/>
  <c r="K279" i="11"/>
  <c r="K330" i="11"/>
  <c r="K449" i="11"/>
  <c r="K365" i="11"/>
  <c r="K281" i="11"/>
  <c r="K193" i="11"/>
  <c r="K109" i="11"/>
  <c r="K492" i="11"/>
  <c r="K408" i="11"/>
  <c r="K320" i="11"/>
  <c r="K236" i="11"/>
  <c r="K152" i="11"/>
  <c r="K470" i="11"/>
  <c r="K391" i="11"/>
  <c r="K165" i="11"/>
  <c r="K71" i="11"/>
  <c r="K454" i="11"/>
  <c r="K283" i="11"/>
  <c r="K239" i="11"/>
  <c r="K270" i="11"/>
  <c r="K407" i="11"/>
  <c r="K282" i="11"/>
  <c r="K429" i="11"/>
  <c r="K257" i="11"/>
  <c r="K89" i="11"/>
  <c r="K472" i="11"/>
  <c r="K300" i="11"/>
  <c r="K211" i="11"/>
  <c r="K182" i="11"/>
  <c r="K354" i="11"/>
  <c r="K293" i="11"/>
  <c r="K340" i="11"/>
  <c r="K84" i="11"/>
  <c r="K438" i="11"/>
  <c r="K243" i="11"/>
  <c r="K162" i="11"/>
  <c r="K379" i="11"/>
  <c r="K154" i="11"/>
  <c r="K398" i="11"/>
  <c r="K198" i="11"/>
  <c r="K319" i="11"/>
  <c r="K370" i="11"/>
  <c r="K473" i="11"/>
  <c r="K385" i="11"/>
  <c r="K301" i="11"/>
  <c r="K217" i="11"/>
  <c r="K129" i="11"/>
  <c r="K459" i="11"/>
  <c r="K428" i="11"/>
  <c r="K344" i="11"/>
  <c r="K256" i="11"/>
  <c r="K172" i="11"/>
  <c r="K88" i="11"/>
  <c r="K183" i="11"/>
  <c r="K223" i="11"/>
  <c r="K139" i="11"/>
  <c r="K114" i="11"/>
  <c r="K155" i="11"/>
  <c r="K347" i="11"/>
  <c r="K150" i="11"/>
  <c r="K359" i="11"/>
  <c r="K450" i="11"/>
  <c r="K322" i="11"/>
  <c r="K469" i="11"/>
  <c r="K405" i="11"/>
  <c r="K341" i="11"/>
  <c r="K277" i="11"/>
  <c r="K213" i="11"/>
  <c r="K149" i="11"/>
  <c r="K85" i="11"/>
  <c r="K463" i="11"/>
  <c r="K452" i="11"/>
  <c r="K388" i="11"/>
  <c r="K324" i="11"/>
  <c r="K260" i="11"/>
  <c r="K196" i="11"/>
  <c r="K132" i="11"/>
  <c r="K68" i="11"/>
  <c r="K98" i="11"/>
  <c r="K242" i="11"/>
  <c r="K251" i="11"/>
  <c r="K235" i="11"/>
  <c r="K435" i="11"/>
  <c r="K419" i="11"/>
  <c r="K307" i="11"/>
  <c r="K231" i="11"/>
  <c r="K171" i="11"/>
  <c r="K115" i="11"/>
  <c r="K371" i="11"/>
  <c r="K263" i="11"/>
  <c r="K203" i="11"/>
  <c r="K147" i="11"/>
  <c r="K91" i="11"/>
  <c r="K443" i="11"/>
  <c r="K358" i="11"/>
  <c r="K275" i="11"/>
  <c r="K227" i="11"/>
  <c r="K186" i="11"/>
  <c r="K143" i="11"/>
  <c r="K99" i="11"/>
  <c r="K446" i="11"/>
  <c r="K382" i="11"/>
  <c r="K318" i="11"/>
  <c r="K262" i="11"/>
  <c r="K230" i="11"/>
  <c r="K190" i="11"/>
  <c r="K142" i="11"/>
  <c r="K102" i="11"/>
  <c r="K439" i="11"/>
  <c r="K399" i="11"/>
  <c r="K351" i="11"/>
  <c r="K311" i="11"/>
  <c r="K271" i="11"/>
  <c r="K442" i="11"/>
  <c r="K402" i="11"/>
  <c r="K362" i="11"/>
  <c r="K314" i="11"/>
  <c r="K274" i="11"/>
  <c r="K489" i="11"/>
  <c r="K465" i="11"/>
  <c r="K445" i="11"/>
  <c r="K425" i="11"/>
  <c r="K401" i="11"/>
  <c r="K381" i="11"/>
  <c r="K361" i="11"/>
  <c r="K337" i="11"/>
  <c r="K317" i="11"/>
  <c r="K297" i="11"/>
  <c r="K273" i="11"/>
  <c r="K253" i="11"/>
  <c r="K233" i="11"/>
  <c r="K209" i="11"/>
  <c r="K189" i="11"/>
  <c r="K169" i="11"/>
  <c r="K145" i="11"/>
  <c r="K125" i="11"/>
  <c r="K105" i="11"/>
  <c r="K81" i="11"/>
  <c r="K499" i="11"/>
  <c r="K475" i="11"/>
  <c r="K455" i="11"/>
  <c r="K488" i="11"/>
  <c r="K464" i="11"/>
  <c r="K444" i="11"/>
  <c r="K424" i="11"/>
  <c r="K400" i="11"/>
  <c r="K380" i="11"/>
  <c r="K360" i="11"/>
  <c r="K336" i="11"/>
  <c r="K316" i="11"/>
  <c r="K296" i="11"/>
  <c r="K272" i="11"/>
  <c r="K252" i="11"/>
  <c r="K232" i="11"/>
  <c r="K208" i="11"/>
  <c r="K188" i="11"/>
  <c r="K168" i="11"/>
  <c r="K144" i="11"/>
  <c r="K124" i="11"/>
  <c r="K104" i="11"/>
  <c r="K80" i="11"/>
  <c r="K490" i="11"/>
  <c r="K255" i="11"/>
  <c r="K387" i="11"/>
  <c r="K326" i="11"/>
  <c r="B137" i="1"/>
  <c r="K95" i="11"/>
  <c r="K226" i="11"/>
  <c r="K214" i="11"/>
  <c r="K86" i="11"/>
  <c r="K423" i="11"/>
  <c r="K295" i="11"/>
  <c r="K386" i="11"/>
  <c r="K501" i="11"/>
  <c r="K437" i="11"/>
  <c r="K373" i="11"/>
  <c r="K309" i="11"/>
  <c r="K245" i="11"/>
  <c r="K181" i="11"/>
  <c r="K117" i="11"/>
  <c r="K495" i="11"/>
  <c r="K484" i="11"/>
  <c r="K420" i="11"/>
  <c r="K356" i="11"/>
  <c r="K292" i="11"/>
  <c r="K228" i="11"/>
  <c r="K164" i="11"/>
  <c r="K100" i="11"/>
  <c r="K167" i="11"/>
  <c r="K355" i="11"/>
  <c r="K107" i="11"/>
  <c r="K179" i="11"/>
  <c r="K323" i="11"/>
  <c r="K363" i="11"/>
  <c r="K258" i="11"/>
  <c r="K202" i="11"/>
  <c r="K146" i="11"/>
  <c r="K87" i="11"/>
  <c r="K427" i="11"/>
  <c r="K310" i="11"/>
  <c r="K234" i="11"/>
  <c r="K178" i="11"/>
  <c r="K119" i="11"/>
  <c r="K403" i="11"/>
  <c r="K315" i="11"/>
  <c r="K250" i="11"/>
  <c r="K207" i="11"/>
  <c r="K163" i="11"/>
  <c r="K122" i="11"/>
  <c r="K79" i="11"/>
  <c r="K502" i="11"/>
  <c r="K414" i="11"/>
  <c r="K350" i="11"/>
  <c r="K286" i="11"/>
  <c r="K246" i="11"/>
  <c r="K206" i="11"/>
  <c r="K166" i="11"/>
  <c r="K126" i="11"/>
  <c r="K78" i="11"/>
  <c r="K478" i="11"/>
  <c r="K415" i="11"/>
  <c r="K375" i="11"/>
  <c r="K335" i="11"/>
  <c r="K287" i="11"/>
  <c r="K482" i="11"/>
  <c r="K426" i="11"/>
  <c r="K378" i="11"/>
  <c r="K338" i="11"/>
  <c r="K298" i="11"/>
  <c r="K497" i="11"/>
  <c r="K477" i="11"/>
  <c r="K457" i="11"/>
  <c r="K433" i="11"/>
  <c r="K413" i="11"/>
  <c r="K393" i="11"/>
  <c r="K369" i="11"/>
  <c r="K349" i="11"/>
  <c r="K329" i="11"/>
  <c r="K305" i="11"/>
  <c r="K285" i="11"/>
  <c r="K265" i="11"/>
  <c r="K241" i="11"/>
  <c r="K221" i="11"/>
  <c r="K201" i="11"/>
  <c r="K177" i="11"/>
  <c r="K157" i="11"/>
  <c r="K137" i="11"/>
  <c r="K113" i="11"/>
  <c r="K93" i="11"/>
  <c r="K73" i="11"/>
  <c r="K487" i="11"/>
  <c r="K467" i="11"/>
  <c r="K496" i="11"/>
  <c r="K476" i="11"/>
  <c r="K456" i="11"/>
  <c r="K432" i="11"/>
  <c r="K412" i="11"/>
  <c r="K392" i="11"/>
  <c r="K368" i="11"/>
  <c r="K348" i="11"/>
  <c r="K328" i="11"/>
  <c r="K304" i="11"/>
  <c r="K284" i="11"/>
  <c r="K264" i="11"/>
  <c r="K240" i="11"/>
  <c r="K220" i="11"/>
  <c r="K200" i="11"/>
  <c r="K176" i="11"/>
  <c r="K156" i="11"/>
  <c r="K136" i="11"/>
  <c r="K112" i="11"/>
  <c r="K92" i="11"/>
  <c r="K72" i="11"/>
  <c r="K82" i="11"/>
  <c r="K83" i="11"/>
  <c r="K66" i="11"/>
  <c r="K194" i="11"/>
  <c r="K411" i="11"/>
  <c r="K118" i="11"/>
  <c r="K462" i="11"/>
  <c r="K327" i="11"/>
  <c r="K418" i="11"/>
  <c r="K290" i="11"/>
  <c r="K453" i="11"/>
  <c r="K389" i="11"/>
  <c r="K325" i="11"/>
  <c r="K261" i="11"/>
  <c r="K197" i="11"/>
  <c r="K133" i="11"/>
  <c r="K69" i="11"/>
  <c r="B134" i="1"/>
  <c r="K500" i="11"/>
  <c r="K436" i="11"/>
  <c r="K372" i="11"/>
  <c r="K308" i="11"/>
  <c r="K244" i="11"/>
  <c r="K180" i="11"/>
  <c r="K116" i="11"/>
  <c r="K127" i="11"/>
  <c r="K291" i="11"/>
  <c r="K170" i="11"/>
  <c r="K151" i="11"/>
  <c r="K266" i="11"/>
  <c r="K390" i="11"/>
  <c r="K278" i="11"/>
  <c r="K215" i="11"/>
  <c r="K159" i="11"/>
  <c r="K103" i="11"/>
  <c r="K458" i="11"/>
  <c r="K342" i="11"/>
  <c r="K247" i="11"/>
  <c r="K191" i="11"/>
  <c r="K135" i="11"/>
  <c r="K75" i="11"/>
  <c r="K422" i="11"/>
  <c r="K339" i="11"/>
  <c r="K259" i="11"/>
  <c r="K218" i="11"/>
  <c r="K175" i="11"/>
  <c r="K131" i="11"/>
  <c r="K90" i="11"/>
  <c r="K430" i="11"/>
  <c r="K366" i="11"/>
  <c r="K302" i="11"/>
  <c r="K254" i="11"/>
  <c r="K222" i="11"/>
  <c r="K174" i="11"/>
  <c r="K134" i="11"/>
  <c r="K94" i="11"/>
  <c r="K494" i="11"/>
  <c r="K431" i="11"/>
  <c r="K383" i="11"/>
  <c r="K343" i="11"/>
  <c r="K303" i="11"/>
  <c r="K498" i="11"/>
  <c r="K434" i="11"/>
  <c r="K394" i="11"/>
  <c r="K346" i="11"/>
  <c r="K306" i="11"/>
  <c r="K481" i="11"/>
  <c r="K461" i="11"/>
  <c r="K441" i="11"/>
  <c r="K417" i="11"/>
  <c r="K397" i="11"/>
  <c r="K377" i="11"/>
  <c r="K353" i="11"/>
  <c r="K333" i="11"/>
  <c r="K313" i="11"/>
  <c r="K289" i="11"/>
  <c r="K269" i="11"/>
  <c r="K249" i="11"/>
  <c r="K225" i="11"/>
  <c r="K205" i="11"/>
  <c r="K185" i="11"/>
  <c r="K161" i="11"/>
  <c r="K141" i="11"/>
  <c r="K121" i="11"/>
  <c r="K97" i="11"/>
  <c r="K77" i="11"/>
  <c r="K491" i="11"/>
  <c r="K471" i="11"/>
  <c r="K451" i="11"/>
  <c r="K480" i="11"/>
  <c r="K460" i="11"/>
  <c r="K440" i="11"/>
  <c r="K416" i="11"/>
  <c r="K396" i="11"/>
  <c r="K376" i="11"/>
  <c r="K352" i="11"/>
  <c r="K332" i="11"/>
  <c r="K312" i="11"/>
  <c r="K288" i="11"/>
  <c r="K268" i="11"/>
  <c r="K248" i="11"/>
  <c r="K224" i="11"/>
  <c r="K204" i="11"/>
  <c r="K184" i="11"/>
  <c r="K160" i="11"/>
  <c r="K140" i="11"/>
  <c r="K120" i="11"/>
  <c r="K96" i="11"/>
  <c r="K76" i="11"/>
  <c r="BW30" i="1"/>
  <c r="L160" i="11"/>
  <c r="AJ31" i="1"/>
  <c r="BT35" i="1"/>
  <c r="CF33" i="1"/>
  <c r="L421" i="11"/>
  <c r="CG34" i="1"/>
  <c r="L327" i="11"/>
  <c r="L281" i="11"/>
  <c r="AM32" i="1"/>
  <c r="BD30" i="1"/>
  <c r="L454" i="11"/>
  <c r="CH31" i="1"/>
  <c r="CE35" i="1"/>
  <c r="AJ33" i="1"/>
  <c r="F20" i="1"/>
  <c r="CA34" i="1"/>
  <c r="L278" i="11"/>
  <c r="L85" i="11"/>
  <c r="CF31" i="1"/>
  <c r="CD33" i="1"/>
  <c r="BC35" i="1"/>
  <c r="L412" i="11"/>
  <c r="AE31" i="1"/>
  <c r="AN35" i="1"/>
  <c r="AG32" i="1"/>
  <c r="L268" i="11"/>
  <c r="AH34" i="1"/>
  <c r="L352" i="11"/>
  <c r="L149" i="11"/>
  <c r="AK33" i="1"/>
  <c r="L336" i="11"/>
  <c r="BK35" i="1"/>
  <c r="L444" i="11"/>
  <c r="L455" i="11"/>
  <c r="AS31" i="1"/>
  <c r="AJ35" i="1"/>
  <c r="AR32" i="1"/>
  <c r="L324" i="11"/>
  <c r="AB34" i="1"/>
  <c r="L240" i="11"/>
  <c r="L303" i="11"/>
  <c r="BC32" i="1"/>
  <c r="L375" i="11"/>
  <c r="BS35" i="1"/>
  <c r="L405" i="11"/>
  <c r="L286" i="11"/>
  <c r="BF31" i="1"/>
  <c r="L121" i="11"/>
  <c r="AA34" i="1"/>
  <c r="BF32" i="1"/>
  <c r="BB34" i="1"/>
  <c r="L234" i="11"/>
  <c r="AQ31" i="1"/>
  <c r="L351" i="11"/>
  <c r="L165" i="11"/>
  <c r="BH32" i="1"/>
  <c r="L173" i="11"/>
  <c r="BP34" i="1"/>
  <c r="L158" i="11"/>
  <c r="L245" i="11"/>
  <c r="CC31" i="1"/>
  <c r="L154" i="11"/>
  <c r="L210" i="11"/>
  <c r="CB33" i="1"/>
  <c r="L377" i="11"/>
  <c r="BN31" i="1"/>
  <c r="L283" i="11"/>
  <c r="L265" i="11"/>
  <c r="L289" i="11"/>
  <c r="BZ30" i="1"/>
  <c r="AC33" i="1"/>
  <c r="BQ32" i="1"/>
  <c r="CB35" i="1"/>
  <c r="AL33" i="1"/>
  <c r="CB31" i="1"/>
  <c r="L169" i="11"/>
  <c r="CG31" i="1"/>
  <c r="BV35" i="1"/>
  <c r="BA33" i="1"/>
  <c r="L249" i="11"/>
  <c r="AE30" i="1"/>
  <c r="L186" i="11"/>
  <c r="L193" i="11"/>
  <c r="AH31" i="1"/>
  <c r="L345" i="11"/>
  <c r="AZ35" i="1"/>
  <c r="L175" i="11"/>
  <c r="L275" i="11"/>
  <c r="AC31" i="1"/>
  <c r="L298" i="11"/>
  <c r="AA30" i="1"/>
  <c r="BR33" i="1"/>
  <c r="L355" i="11"/>
  <c r="AN30" i="1"/>
  <c r="L174" i="11"/>
  <c r="L197" i="11"/>
  <c r="AO31" i="1"/>
  <c r="L139" i="11"/>
  <c r="BH35" i="1"/>
  <c r="AD30" i="1"/>
  <c r="L279" i="11"/>
  <c r="L132" i="11"/>
  <c r="AD31" i="1"/>
  <c r="L436" i="11"/>
  <c r="BJ35" i="1"/>
  <c r="AV33" i="1"/>
  <c r="L463" i="11"/>
  <c r="AP34" i="1"/>
  <c r="L433" i="11"/>
  <c r="E21" i="1"/>
  <c r="AG31" i="1"/>
  <c r="L129" i="11"/>
  <c r="BN34" i="1"/>
  <c r="L122" i="11"/>
  <c r="L488" i="11"/>
  <c r="BE30" i="1"/>
  <c r="L416" i="11"/>
  <c r="AY35" i="1"/>
  <c r="BJ33" i="1"/>
  <c r="L363" i="11"/>
  <c r="AO34" i="1"/>
  <c r="L80" i="11"/>
  <c r="L476" i="11"/>
  <c r="AY31" i="1"/>
  <c r="L465" i="11"/>
  <c r="BV34" i="1"/>
  <c r="AP33" i="1"/>
  <c r="L335" i="11"/>
  <c r="AR30" i="1"/>
  <c r="L447" i="11"/>
  <c r="AA35" i="1"/>
  <c r="BU33" i="1"/>
  <c r="AV35" i="1"/>
  <c r="L273" i="11"/>
  <c r="L228" i="11"/>
  <c r="BS31" i="1"/>
  <c r="C137" i="1"/>
  <c r="BQ35" i="1"/>
  <c r="BV32" i="1"/>
  <c r="E19" i="1"/>
  <c r="BI34" i="1"/>
  <c r="L274" i="11"/>
  <c r="L442" i="11"/>
  <c r="BE32" i="1"/>
  <c r="BM33" i="1"/>
  <c r="BM30" i="1"/>
  <c r="AH32" i="1"/>
  <c r="L376" i="11"/>
  <c r="BR35" i="1"/>
  <c r="BI33" i="1"/>
  <c r="L491" i="11"/>
  <c r="BT30" i="1"/>
  <c r="L469" i="11"/>
  <c r="AP31" i="1"/>
  <c r="L389" i="11"/>
  <c r="BZ35" i="1"/>
  <c r="L105" i="11"/>
  <c r="L73" i="11"/>
  <c r="AJ32" i="1"/>
  <c r="L185" i="11"/>
  <c r="AH35" i="1"/>
  <c r="BQ33" i="1"/>
  <c r="L177" i="11"/>
  <c r="AT30" i="1"/>
  <c r="F23" i="1"/>
  <c r="L359" i="11"/>
  <c r="BC31" i="1"/>
  <c r="L97" i="11"/>
  <c r="AO35" i="1"/>
  <c r="L482" i="11"/>
  <c r="L93" i="11"/>
  <c r="L257" i="11"/>
  <c r="AQ30" i="1"/>
  <c r="L309" i="11"/>
  <c r="L450" i="11"/>
  <c r="AW33" i="1"/>
  <c r="AI34" i="1"/>
  <c r="L204" i="11"/>
  <c r="L333" i="11"/>
  <c r="L462" i="11"/>
  <c r="BY32" i="1"/>
  <c r="L161" i="11"/>
  <c r="L163" i="11"/>
  <c r="BV30" i="1"/>
  <c r="L136" i="11"/>
  <c r="AC32" i="1"/>
  <c r="L113" i="11"/>
  <c r="AS34" i="1"/>
  <c r="BK33" i="1"/>
  <c r="L198" i="11"/>
  <c r="AY30" i="1"/>
  <c r="L432" i="11"/>
  <c r="L364" i="11"/>
  <c r="L75" i="11"/>
  <c r="AY34" i="1"/>
  <c r="L349" i="11"/>
  <c r="L225" i="11"/>
  <c r="AL32" i="1"/>
  <c r="AW34" i="1"/>
  <c r="BX33" i="1"/>
  <c r="L356" i="11"/>
  <c r="BL30" i="1"/>
  <c r="AR35" i="1"/>
  <c r="BT33" i="1"/>
  <c r="L350" i="11"/>
  <c r="BA34" i="1"/>
  <c r="L170" i="11"/>
  <c r="L206" i="11"/>
  <c r="BN32" i="1"/>
  <c r="L314" i="11"/>
  <c r="AB35" i="1"/>
  <c r="AB33" i="1"/>
  <c r="L191" i="11"/>
  <c r="BN30" i="1"/>
  <c r="L131" i="11"/>
  <c r="BA35" i="1"/>
  <c r="BP32" i="1"/>
  <c r="L325" i="11"/>
  <c r="BO34" i="1"/>
  <c r="L248" i="11"/>
  <c r="L483" i="11"/>
  <c r="AE32" i="1"/>
  <c r="L320" i="11"/>
  <c r="AK35" i="1"/>
  <c r="AN33" i="1"/>
  <c r="L404" i="11"/>
  <c r="BG30" i="1"/>
  <c r="BI35" i="1"/>
  <c r="AO32" i="1"/>
  <c r="L77" i="11"/>
  <c r="BZ34" i="1"/>
  <c r="L492" i="11"/>
  <c r="F26" i="1"/>
  <c r="AQ32" i="1"/>
  <c r="B135" i="1"/>
  <c r="BB33" i="1"/>
  <c r="L430" i="11"/>
  <c r="AW30" i="1"/>
  <c r="B138" i="1"/>
  <c r="L259" i="11"/>
  <c r="BA31" i="1"/>
  <c r="L229" i="11"/>
  <c r="AQ35" i="1"/>
  <c r="L125" i="11"/>
  <c r="BT31" i="1"/>
  <c r="L138" i="11"/>
  <c r="L241" i="11"/>
  <c r="CF32" i="1"/>
  <c r="AQ34" i="1"/>
  <c r="AU31" i="1"/>
  <c r="L115" i="11"/>
  <c r="AK32" i="1"/>
  <c r="F24" i="1"/>
  <c r="CC34" i="1"/>
  <c r="L452" i="11"/>
  <c r="AP30" i="1"/>
  <c r="L489" i="11"/>
  <c r="AE33" i="1"/>
  <c r="AL31" i="1"/>
  <c r="L237" i="11"/>
  <c r="L250" i="11"/>
  <c r="AT32" i="1"/>
  <c r="AJ34" i="1"/>
  <c r="L145" i="11"/>
  <c r="CB30" i="1"/>
  <c r="L179" i="11"/>
  <c r="AR33" i="1"/>
  <c r="L446" i="11"/>
  <c r="L223" i="11"/>
  <c r="L411" i="11"/>
  <c r="BM35" i="1"/>
  <c r="CE33" i="1"/>
  <c r="L311" i="11"/>
  <c r="L501" i="11"/>
  <c r="L464" i="11"/>
  <c r="L262" i="11"/>
  <c r="L82" i="11"/>
  <c r="AM30" i="1"/>
  <c r="BC33" i="1"/>
  <c r="BN33" i="1"/>
  <c r="F43" i="1"/>
  <c r="AM34" i="1"/>
  <c r="L394" i="11"/>
  <c r="F44" i="1"/>
  <c r="BP31" i="1"/>
  <c r="L195" i="11"/>
  <c r="AI35" i="1"/>
  <c r="AF32" i="1"/>
  <c r="L373" i="11"/>
  <c r="BK34" i="1"/>
  <c r="L264" i="11"/>
  <c r="L332" i="11"/>
  <c r="BV33" i="1"/>
  <c r="AS35" i="1"/>
  <c r="L94" i="11"/>
  <c r="CD31" i="1"/>
  <c r="L400" i="11"/>
  <c r="AW35" i="1"/>
  <c r="BM32" i="1"/>
  <c r="F21" i="1"/>
  <c r="BS34" i="1"/>
  <c r="L468" i="11"/>
  <c r="L190" i="11"/>
  <c r="BZ32" i="1"/>
  <c r="L182" i="11"/>
  <c r="AU35" i="1"/>
  <c r="L448" i="11"/>
  <c r="AV31" i="1"/>
  <c r="L79" i="11"/>
  <c r="L397" i="11"/>
  <c r="AZ32" i="1"/>
  <c r="F25" i="1"/>
  <c r="BT34" i="1"/>
  <c r="L134" i="11"/>
  <c r="AI31" i="1"/>
  <c r="L443" i="11"/>
  <c r="BD35" i="1"/>
  <c r="L133" i="11"/>
  <c r="L395" i="11"/>
  <c r="BD31" i="1"/>
  <c r="L296" i="11"/>
  <c r="BG32" i="1"/>
  <c r="L218" i="11"/>
  <c r="CB34" i="1"/>
  <c r="L187" i="11"/>
  <c r="AT31" i="1"/>
  <c r="L437" i="11"/>
  <c r="AF35" i="1"/>
  <c r="L90" i="11"/>
  <c r="BL31" i="1"/>
  <c r="L69" i="11"/>
  <c r="BU32" i="1"/>
  <c r="L81" i="11"/>
  <c r="BW34" i="1"/>
  <c r="L284" i="11"/>
  <c r="L189" i="11"/>
  <c r="BJ30" i="1"/>
  <c r="L495" i="11"/>
  <c r="L334" i="11"/>
  <c r="BS33" i="1"/>
  <c r="L461" i="11"/>
  <c r="CE34" i="1"/>
  <c r="L322" i="11"/>
  <c r="CE31" i="1"/>
  <c r="L379" i="11"/>
  <c r="AE35" i="1"/>
  <c r="BH30" i="1"/>
  <c r="L486" i="11"/>
  <c r="CA31" i="1"/>
  <c r="L109" i="11"/>
  <c r="AT35" i="1"/>
  <c r="L214" i="11"/>
  <c r="L156" i="11"/>
  <c r="BH34" i="1"/>
  <c r="L317" i="11"/>
  <c r="L215" i="11"/>
  <c r="BK32" i="1"/>
  <c r="L178" i="11"/>
  <c r="BY30" i="1"/>
  <c r="L166" i="11"/>
  <c r="BH31" i="1"/>
  <c r="L235" i="11"/>
  <c r="BF35" i="1"/>
  <c r="L471" i="11"/>
  <c r="L441" i="11"/>
  <c r="BU34" i="1"/>
  <c r="L310" i="11"/>
  <c r="BW32" i="1"/>
  <c r="AX31" i="1"/>
  <c r="BU30" i="1"/>
  <c r="BZ31" i="1"/>
  <c r="L297" i="11"/>
  <c r="BE34" i="1"/>
  <c r="AD32" i="1"/>
  <c r="AU30" i="1"/>
  <c r="BE33" i="1"/>
  <c r="BH33" i="1"/>
  <c r="L378" i="11"/>
  <c r="L358" i="11"/>
  <c r="L429" i="11"/>
  <c r="L226" i="11"/>
  <c r="BA32" i="1"/>
  <c r="L92" i="11"/>
  <c r="AA31" i="1"/>
  <c r="BY33" i="1"/>
  <c r="L341" i="11"/>
  <c r="AC30" i="1"/>
  <c r="L76" i="11"/>
  <c r="L337" i="11"/>
  <c r="AF31" i="1"/>
  <c r="L276" i="11"/>
  <c r="BB35" i="1"/>
  <c r="L386" i="11"/>
  <c r="L367" i="11"/>
  <c r="BI32" i="1"/>
  <c r="L220" i="11"/>
  <c r="L86" i="11"/>
  <c r="CG33" i="1"/>
  <c r="AZ30" i="1"/>
  <c r="L232" i="11"/>
  <c r="L207" i="11"/>
  <c r="AW31" i="1"/>
  <c r="L89" i="11"/>
  <c r="BN35" i="1"/>
  <c r="L180" i="11"/>
  <c r="L316" i="11"/>
  <c r="N65" i="1"/>
  <c r="CC30" i="1"/>
  <c r="L151" i="11"/>
  <c r="L413" i="11"/>
  <c r="AT33" i="1"/>
  <c r="L253" i="11"/>
  <c r="AG30" i="1"/>
  <c r="L126" i="11"/>
  <c r="L458" i="11"/>
  <c r="BG31" i="1"/>
  <c r="E23" i="1"/>
  <c r="BP35" i="1"/>
  <c r="L72" i="11"/>
  <c r="CG30" i="1"/>
  <c r="L224" i="11"/>
  <c r="AG33" i="1"/>
  <c r="AV30" i="1"/>
  <c r="L425" i="11"/>
  <c r="BO31" i="1"/>
  <c r="L346" i="11"/>
  <c r="BX35" i="1"/>
  <c r="L374" i="11"/>
  <c r="AX30" i="1"/>
  <c r="N15" i="1"/>
  <c r="AU33" i="1"/>
  <c r="BI30" i="1"/>
  <c r="BW31" i="1"/>
  <c r="CF35" i="1"/>
  <c r="AO33" i="1"/>
  <c r="L124" i="11"/>
  <c r="BJ34" i="1"/>
  <c r="L227" i="11"/>
  <c r="L328" i="11"/>
  <c r="AP32" i="1"/>
  <c r="L168" i="11"/>
  <c r="BG35" i="1"/>
  <c r="CA33" i="1"/>
  <c r="L65" i="11"/>
  <c r="BC30" i="1"/>
  <c r="L301" i="11"/>
  <c r="F22" i="1"/>
  <c r="BY34" i="1"/>
  <c r="BO33" i="1"/>
  <c r="BQ30" i="1"/>
  <c r="L183" i="11"/>
  <c r="AD33" i="1"/>
  <c r="L280" i="11"/>
  <c r="AL35" i="1"/>
  <c r="L157" i="11"/>
  <c r="AK31" i="1"/>
  <c r="AC34" i="1"/>
  <c r="BW33" i="1"/>
  <c r="L330" i="11"/>
  <c r="BP30" i="1"/>
  <c r="L263" i="11"/>
  <c r="L111" i="11"/>
  <c r="BX32" i="1"/>
  <c r="L398" i="11"/>
  <c r="AX35" i="1"/>
  <c r="L205" i="11"/>
  <c r="L321" i="11"/>
  <c r="BE35" i="1"/>
  <c r="BQ34" i="1"/>
  <c r="L388" i="11"/>
  <c r="AR31" i="1"/>
  <c r="L255" i="11"/>
  <c r="L293" i="11"/>
  <c r="CF30" i="1"/>
  <c r="BW35" i="1"/>
  <c r="L221" i="11"/>
  <c r="BE31" i="1"/>
  <c r="L153" i="11"/>
  <c r="BM31" i="1"/>
  <c r="L354" i="11"/>
  <c r="AZ31" i="1"/>
  <c r="L287" i="11"/>
  <c r="BD32" i="1"/>
  <c r="F19" i="1"/>
  <c r="BX34" i="1"/>
  <c r="L323" i="11"/>
  <c r="L474" i="11"/>
  <c r="AK30" i="1"/>
  <c r="L167" i="11"/>
  <c r="AI33" i="1"/>
  <c r="L307" i="11"/>
  <c r="BK31" i="1"/>
  <c r="L384" i="11"/>
  <c r="BL32" i="1"/>
  <c r="BG34" i="1"/>
  <c r="L445" i="11"/>
  <c r="L104" i="11"/>
  <c r="AF30" i="1"/>
  <c r="L434" i="11"/>
  <c r="L304" i="11"/>
  <c r="AS33" i="1"/>
  <c r="L137" i="11"/>
  <c r="AL34" i="1"/>
  <c r="L342" i="11"/>
  <c r="L344" i="11"/>
  <c r="AV32" i="1"/>
  <c r="L3" i="11"/>
  <c r="AF34" i="1"/>
  <c r="AM33" i="1"/>
  <c r="L71" i="11"/>
  <c r="AS30" i="1"/>
  <c r="L252" i="11"/>
  <c r="L496" i="11"/>
  <c r="L470" i="11"/>
  <c r="AZ34" i="1"/>
  <c r="L74" i="11"/>
  <c r="CA32" i="1"/>
  <c r="AX34" i="1"/>
  <c r="AZ33" i="1"/>
  <c r="L392" i="11"/>
  <c r="BK30" i="1"/>
  <c r="L353" i="11"/>
  <c r="L222" i="11"/>
  <c r="L68" i="11"/>
  <c r="BM34" i="1"/>
  <c r="AB32" i="1"/>
  <c r="AD35" i="1"/>
  <c r="BL33" i="1"/>
  <c r="CH30" i="1"/>
  <c r="L267" i="11"/>
  <c r="CD32" i="1"/>
  <c r="L308" i="11"/>
  <c r="CA35" i="1"/>
  <c r="AY33" i="1"/>
  <c r="L261" i="11"/>
  <c r="BR31" i="1"/>
  <c r="L479" i="11"/>
  <c r="L451" i="11"/>
  <c r="BS32" i="1"/>
  <c r="AP35" i="1"/>
  <c r="L292" i="11"/>
  <c r="L427" i="11"/>
  <c r="BY35" i="1"/>
  <c r="AS32" i="1"/>
  <c r="AD34" i="1"/>
  <c r="L424" i="11"/>
  <c r="BI31" i="1"/>
  <c r="L415" i="11"/>
  <c r="BD33" i="1"/>
  <c r="L407" i="11"/>
  <c r="BS30" i="1"/>
  <c r="CG35" i="1"/>
  <c r="BB32" i="1"/>
  <c r="L371" i="11"/>
  <c r="BR34" i="1"/>
  <c r="L251" i="11"/>
  <c r="BB31" i="1"/>
  <c r="L372" i="11"/>
  <c r="L361" i="11"/>
  <c r="AQ33" i="1"/>
  <c r="L231" i="11"/>
  <c r="AB30" i="1"/>
  <c r="L439" i="11"/>
  <c r="L108" i="11"/>
  <c r="L315" i="11"/>
  <c r="AI32" i="1"/>
  <c r="BO35" i="1"/>
  <c r="L357" i="11"/>
  <c r="L260" i="11"/>
  <c r="BL35" i="1"/>
  <c r="AN32" i="1"/>
  <c r="AJ30" i="1"/>
  <c r="BR30" i="1"/>
  <c r="AF33" i="1"/>
  <c r="L194" i="11"/>
  <c r="AC35" i="1"/>
  <c r="AE34" i="1"/>
  <c r="BD34" i="1"/>
  <c r="AN31" i="1"/>
  <c r="L347" i="11"/>
  <c r="L498" i="11"/>
  <c r="AN34" i="1"/>
  <c r="AL30" i="1"/>
  <c r="BF30" i="1"/>
  <c r="L128" i="11"/>
  <c r="CD30" i="1"/>
  <c r="L305" i="11"/>
  <c r="AT34" i="1"/>
  <c r="L135" i="11"/>
  <c r="L98" i="11"/>
  <c r="L271" i="11"/>
  <c r="AA33" i="1"/>
  <c r="L143" i="11"/>
  <c r="AG34" i="1"/>
  <c r="L420" i="11"/>
  <c r="L164" i="11"/>
  <c r="L119" i="11"/>
  <c r="L78" i="11"/>
  <c r="L393" i="11"/>
  <c r="L200" i="11"/>
  <c r="L290" i="11"/>
  <c r="L127" i="11"/>
  <c r="L159" i="11"/>
  <c r="L366" i="11"/>
  <c r="L431" i="11"/>
  <c r="L140" i="11"/>
  <c r="L84" i="11"/>
  <c r="L242" i="11"/>
  <c r="BT32" i="1"/>
  <c r="L192" i="11"/>
  <c r="L247" i="11"/>
  <c r="L110" i="11"/>
  <c r="E24" i="1"/>
  <c r="AX33" i="1"/>
  <c r="AH33" i="1"/>
  <c r="L101" i="11"/>
  <c r="CH35" i="1"/>
  <c r="L387" i="11"/>
  <c r="L478" i="11"/>
  <c r="L348" i="11"/>
  <c r="L453" i="11"/>
  <c r="L383" i="11"/>
  <c r="L120" i="11"/>
  <c r="L211" i="11"/>
  <c r="L440" i="11"/>
  <c r="CC33" i="1"/>
  <c r="CH33" i="1"/>
  <c r="L199" i="11"/>
  <c r="L148" i="11"/>
  <c r="L70" i="11"/>
  <c r="L238" i="11"/>
  <c r="L130" i="11"/>
  <c r="L216" i="11"/>
  <c r="L106" i="11"/>
  <c r="L449" i="11"/>
  <c r="L236" i="11"/>
  <c r="L239" i="11"/>
  <c r="L300" i="11"/>
  <c r="L243" i="11"/>
  <c r="L473" i="11"/>
  <c r="L256" i="11"/>
  <c r="L277" i="11"/>
  <c r="L435" i="11"/>
  <c r="L203" i="11"/>
  <c r="L402" i="11"/>
  <c r="L401" i="11"/>
  <c r="L499" i="11"/>
  <c r="L380" i="11"/>
  <c r="L208" i="11"/>
  <c r="L423" i="11"/>
  <c r="L181" i="11"/>
  <c r="L258" i="11"/>
  <c r="L502" i="11"/>
  <c r="L487" i="11"/>
  <c r="L83" i="11"/>
  <c r="C134" i="1"/>
  <c r="L422" i="11"/>
  <c r="L306" i="11"/>
  <c r="L484" i="11"/>
  <c r="BO32" i="1"/>
  <c r="BF34" i="1"/>
  <c r="CD34" i="1"/>
  <c r="CC35" i="1"/>
  <c r="L417" i="11"/>
  <c r="L503" i="11"/>
  <c r="L107" i="11"/>
  <c r="L295" i="11"/>
  <c r="L201" i="11"/>
  <c r="L302" i="11"/>
  <c r="AA32" i="1"/>
  <c r="L217" i="11"/>
  <c r="L410" i="11"/>
  <c r="L331" i="11"/>
  <c r="L409" i="11"/>
  <c r="L212" i="11"/>
  <c r="L67" i="11"/>
  <c r="L294" i="11"/>
  <c r="L365" i="11"/>
  <c r="L152" i="11"/>
  <c r="L270" i="11"/>
  <c r="L162" i="11"/>
  <c r="L385" i="11"/>
  <c r="L172" i="11"/>
  <c r="L150" i="11"/>
  <c r="L213" i="11"/>
  <c r="L196" i="11"/>
  <c r="L419" i="11"/>
  <c r="L147" i="11"/>
  <c r="L99" i="11"/>
  <c r="L102" i="11"/>
  <c r="L362" i="11"/>
  <c r="L381" i="11"/>
  <c r="L475" i="11"/>
  <c r="L360" i="11"/>
  <c r="L188" i="11"/>
  <c r="L117" i="11"/>
  <c r="L100" i="11"/>
  <c r="L338" i="11"/>
  <c r="L176" i="11"/>
  <c r="L103" i="11"/>
  <c r="L460" i="11"/>
  <c r="L155" i="11"/>
  <c r="L171" i="11"/>
  <c r="L370" i="11"/>
  <c r="BQ31" i="1"/>
  <c r="BR32" i="1"/>
  <c r="CC32" i="1"/>
  <c r="CH34" i="1"/>
  <c r="CA30" i="1"/>
  <c r="CE30" i="1"/>
  <c r="L146" i="11"/>
  <c r="L408" i="11"/>
  <c r="L118" i="11"/>
  <c r="BG33" i="1"/>
  <c r="L116" i="11"/>
  <c r="L230" i="11"/>
  <c r="L457" i="11"/>
  <c r="BJ31" i="1"/>
  <c r="L282" i="11"/>
  <c r="BF33" i="1"/>
  <c r="L406" i="11"/>
  <c r="CG32" i="1"/>
  <c r="L312" i="11"/>
  <c r="AV34" i="1"/>
  <c r="E20" i="1"/>
  <c r="L233" i="11"/>
  <c r="BZ33" i="1"/>
  <c r="AR34" i="1"/>
  <c r="L497" i="11"/>
  <c r="L426" i="11"/>
  <c r="L428" i="11"/>
  <c r="L418" i="11"/>
  <c r="BA30" i="1"/>
  <c r="BB30" i="1"/>
  <c r="L319" i="11"/>
  <c r="CF34" i="1"/>
  <c r="BC34" i="1"/>
  <c r="L414" i="11"/>
  <c r="L66" i="11"/>
  <c r="L339" i="11"/>
  <c r="L141" i="11"/>
  <c r="L477" i="11"/>
  <c r="L485" i="11"/>
  <c r="L456" i="11"/>
  <c r="L396" i="11"/>
  <c r="L285" i="11"/>
  <c r="L114" i="11"/>
  <c r="L329" i="11"/>
  <c r="L480" i="11"/>
  <c r="CE32" i="1"/>
  <c r="L219" i="11"/>
  <c r="BP33" i="1"/>
  <c r="L246" i="11"/>
  <c r="L466" i="11"/>
  <c r="L142" i="11"/>
  <c r="BO30" i="1"/>
  <c r="L123" i="11"/>
  <c r="AO30" i="1"/>
  <c r="L490" i="11"/>
  <c r="AW32" i="1"/>
  <c r="L299" i="11"/>
  <c r="L391" i="11"/>
  <c r="CD35" i="1"/>
  <c r="L87" i="11"/>
  <c r="BL34" i="1"/>
  <c r="L88" i="11"/>
  <c r="BX31" i="1"/>
  <c r="AU32" i="1"/>
  <c r="L244" i="11"/>
  <c r="L368" i="11"/>
  <c r="AU34" i="1"/>
  <c r="AB31" i="1"/>
  <c r="L318" i="11"/>
  <c r="L326" i="11"/>
  <c r="L390" i="11"/>
  <c r="BV31" i="1"/>
  <c r="L399" i="11"/>
  <c r="L202" i="11"/>
  <c r="L467" i="11"/>
  <c r="L291" i="11"/>
  <c r="L288" i="11"/>
  <c r="L112" i="11"/>
  <c r="AM35" i="1"/>
  <c r="L343" i="11"/>
  <c r="BJ32" i="1"/>
  <c r="CH32" i="1"/>
  <c r="L184" i="11"/>
  <c r="BY31" i="1"/>
  <c r="AH30" i="1"/>
  <c r="CB32" i="1"/>
  <c r="AY32" i="1"/>
  <c r="L269" i="11"/>
  <c r="BU31" i="1"/>
  <c r="E22" i="1"/>
  <c r="AM31" i="1"/>
  <c r="AX32" i="1"/>
  <c r="L472" i="11"/>
  <c r="AK34" i="1"/>
  <c r="L382" i="11"/>
  <c r="BX30" i="1"/>
  <c r="L459" i="11"/>
  <c r="AI30" i="1"/>
  <c r="L494" i="11"/>
  <c r="L95" i="11"/>
  <c r="L340" i="11"/>
  <c r="L91" i="11"/>
  <c r="L144" i="11"/>
  <c r="L438" i="11"/>
  <c r="BU35" i="1"/>
  <c r="L266" i="11"/>
  <c r="L369" i="11"/>
  <c r="L500" i="11"/>
  <c r="L313" i="11"/>
  <c r="L254" i="11"/>
  <c r="L96" i="11"/>
  <c r="AG35" i="1"/>
  <c r="L272" i="11"/>
  <c r="L209" i="11"/>
  <c r="L493" i="11"/>
  <c r="L481" i="11"/>
  <c r="L403" i="11"/>
  <c r="Z61" i="1" l="1"/>
  <c r="Z60" i="1"/>
  <c r="Z64" i="1"/>
  <c r="Z59" i="1"/>
  <c r="Z63" i="1"/>
  <c r="Z62" i="1"/>
  <c r="Z15" i="1"/>
  <c r="Z44" i="1" s="1"/>
  <c r="O1" i="11"/>
  <c r="E132" i="1"/>
  <c r="P1" i="11" l="1"/>
  <c r="Q1" i="11" l="1"/>
  <c r="R1" i="11" l="1"/>
  <c r="G25" i="1"/>
  <c r="G26" i="1" l="1"/>
  <c r="S1" i="11"/>
  <c r="N269" i="11"/>
  <c r="O372" i="11"/>
  <c r="O328" i="11"/>
  <c r="P443" i="11"/>
  <c r="O429" i="11"/>
  <c r="P328" i="11"/>
  <c r="M310" i="11"/>
  <c r="P229" i="11"/>
  <c r="N145" i="11"/>
  <c r="N358" i="11"/>
  <c r="N175" i="11"/>
  <c r="M133" i="11"/>
  <c r="O170" i="11"/>
  <c r="P446" i="11"/>
  <c r="Q278" i="11"/>
  <c r="M407" i="11"/>
  <c r="P398" i="11"/>
  <c r="N280" i="11"/>
  <c r="Q250" i="11"/>
  <c r="M308" i="11"/>
  <c r="Q286" i="11"/>
  <c r="M68" i="11"/>
  <c r="M464" i="11"/>
  <c r="N169" i="11"/>
  <c r="O123" i="11"/>
  <c r="Q227" i="11"/>
  <c r="M124" i="11"/>
  <c r="O443" i="11"/>
  <c r="N445" i="11"/>
  <c r="O357" i="11"/>
  <c r="M170" i="11"/>
  <c r="Q217" i="11"/>
  <c r="Q112" i="11"/>
  <c r="M85" i="11"/>
  <c r="N133" i="11"/>
  <c r="Q136" i="11"/>
  <c r="O274" i="11"/>
  <c r="N151" i="11"/>
  <c r="P265" i="11"/>
  <c r="P317" i="11"/>
  <c r="P101" i="11"/>
  <c r="O144" i="11"/>
  <c r="P274" i="11"/>
  <c r="Q350" i="11"/>
  <c r="Q162" i="11"/>
  <c r="M314" i="11"/>
  <c r="O230" i="11"/>
  <c r="M154" i="11"/>
  <c r="Q138" i="11"/>
  <c r="Q461" i="11"/>
  <c r="Q325" i="11"/>
  <c r="O437" i="11"/>
  <c r="N173" i="11"/>
  <c r="P351" i="11"/>
  <c r="M113" i="11"/>
  <c r="N318" i="11"/>
  <c r="Q296" i="11"/>
  <c r="P248" i="11"/>
  <c r="O93" i="11"/>
  <c r="P386" i="11"/>
  <c r="O495" i="11"/>
  <c r="P345" i="11"/>
  <c r="M406" i="11"/>
  <c r="Q184" i="11"/>
  <c r="M411" i="11"/>
  <c r="Q224" i="11"/>
  <c r="N464" i="11"/>
  <c r="M456" i="11"/>
  <c r="Q275" i="11"/>
  <c r="P193" i="11"/>
  <c r="Q180" i="11"/>
  <c r="Q114" i="11"/>
  <c r="P286" i="11"/>
  <c r="M488" i="11"/>
  <c r="O240" i="11"/>
  <c r="P497" i="11"/>
  <c r="Q419" i="11"/>
  <c r="Q321" i="11"/>
  <c r="N94" i="11"/>
  <c r="O464" i="11"/>
  <c r="N158" i="11"/>
  <c r="Q335" i="11"/>
  <c r="Q454" i="11"/>
  <c r="Q310" i="11"/>
  <c r="O136" i="11"/>
  <c r="N207" i="11"/>
  <c r="Q391" i="11"/>
  <c r="Q197" i="11"/>
  <c r="Q496" i="11"/>
  <c r="M479" i="11"/>
  <c r="M459" i="11"/>
  <c r="N264" i="11"/>
  <c r="N390" i="11"/>
  <c r="O141" i="11"/>
  <c r="O133" i="11"/>
  <c r="M95" i="11"/>
  <c r="Q305" i="11"/>
  <c r="Q133" i="11"/>
  <c r="O113" i="11"/>
  <c r="P192" i="11"/>
  <c r="P138" i="11"/>
  <c r="O184" i="11"/>
  <c r="N345" i="11"/>
  <c r="N134" i="11"/>
  <c r="O163" i="11"/>
  <c r="M249" i="11"/>
  <c r="M420" i="11"/>
  <c r="O282" i="11"/>
  <c r="O398" i="11"/>
  <c r="M382" i="11"/>
  <c r="O459" i="11"/>
  <c r="P247" i="11"/>
  <c r="P429" i="11"/>
  <c r="M374" i="11"/>
  <c r="P113" i="11"/>
  <c r="P174" i="11"/>
  <c r="P299" i="11"/>
  <c r="N129" i="11"/>
  <c r="N474" i="11"/>
  <c r="Q409" i="11"/>
  <c r="N327" i="11"/>
  <c r="P474" i="11"/>
  <c r="P115" i="11"/>
  <c r="Q182" i="11"/>
  <c r="M264" i="11"/>
  <c r="P434" i="11"/>
  <c r="P125" i="11"/>
  <c r="M25" i="1"/>
  <c r="N25" i="1" s="1"/>
  <c r="N224" i="11"/>
  <c r="M358" i="11"/>
  <c r="O229" i="11"/>
  <c r="N428" i="11"/>
  <c r="O450" i="11"/>
  <c r="O135" i="11"/>
  <c r="O151" i="11"/>
  <c r="N98" i="11"/>
  <c r="N174" i="11"/>
  <c r="Q299" i="11"/>
  <c r="N317" i="11"/>
  <c r="O334" i="11"/>
  <c r="P275" i="11"/>
  <c r="O202" i="11"/>
  <c r="O356" i="11"/>
  <c r="M108" i="11"/>
  <c r="O193" i="11"/>
  <c r="O479" i="11"/>
  <c r="N77" i="11"/>
  <c r="O134" i="11"/>
  <c r="M105" i="11"/>
  <c r="Q71" i="11"/>
  <c r="O194" i="11"/>
  <c r="M484" i="11"/>
  <c r="O318" i="11"/>
  <c r="M466" i="11"/>
  <c r="O483" i="11"/>
  <c r="O453" i="11"/>
  <c r="N124" i="11"/>
  <c r="P279" i="11"/>
  <c r="M132" i="11"/>
  <c r="C135" i="1"/>
  <c r="N488" i="11"/>
  <c r="M412" i="11"/>
  <c r="N354" i="11"/>
  <c r="O498" i="11"/>
  <c r="Q231" i="11"/>
  <c r="Q131" i="11"/>
  <c r="P371" i="11"/>
  <c r="P112" i="11"/>
  <c r="M399" i="11"/>
  <c r="M483" i="11"/>
  <c r="Q171" i="11"/>
  <c r="Q337" i="11"/>
  <c r="N102" i="11"/>
  <c r="Q141" i="11"/>
  <c r="Q295" i="11"/>
  <c r="O169" i="11"/>
  <c r="M247" i="11"/>
  <c r="N484" i="11"/>
  <c r="N249" i="11"/>
  <c r="P476" i="11"/>
  <c r="N266" i="11"/>
  <c r="O428" i="11"/>
  <c r="O250" i="11"/>
  <c r="O286" i="11"/>
  <c r="P489" i="11"/>
  <c r="P257" i="11"/>
  <c r="O419" i="11"/>
  <c r="P405" i="11"/>
  <c r="O168" i="11"/>
  <c r="M414" i="11"/>
  <c r="N242" i="11"/>
  <c r="Q266" i="11"/>
  <c r="O248" i="11"/>
  <c r="N194" i="11"/>
  <c r="M275" i="11"/>
  <c r="N479" i="11"/>
  <c r="Q364" i="11"/>
  <c r="P282" i="11"/>
  <c r="M87" i="11"/>
  <c r="O218" i="11"/>
  <c r="O114" i="11"/>
  <c r="Q274" i="11"/>
  <c r="P175" i="11"/>
  <c r="Q464" i="11"/>
  <c r="M496" i="11"/>
  <c r="Q503" i="11"/>
  <c r="P88" i="11"/>
  <c r="N222" i="11"/>
  <c r="N284" i="11"/>
  <c r="Q355" i="11"/>
  <c r="M129" i="11"/>
  <c r="Q194" i="11"/>
  <c r="M3" i="11"/>
  <c r="O491" i="11"/>
  <c r="N411" i="11"/>
  <c r="Q382" i="11"/>
  <c r="Q308" i="11"/>
  <c r="P301" i="11"/>
  <c r="Q193" i="11"/>
  <c r="O132" i="11"/>
  <c r="P362" i="11"/>
  <c r="Q65" i="11"/>
  <c r="P218" i="11"/>
  <c r="Q276" i="11"/>
  <c r="Q303" i="11"/>
  <c r="M71" i="11"/>
  <c r="P459" i="11"/>
  <c r="P214" i="11"/>
  <c r="Q466" i="11"/>
  <c r="N375" i="11"/>
  <c r="M389" i="11"/>
  <c r="M361" i="11"/>
  <c r="Q218" i="11"/>
  <c r="O375" i="11"/>
  <c r="O261" i="11"/>
  <c r="Q145" i="11"/>
  <c r="Q375" i="11"/>
  <c r="M98" i="11"/>
  <c r="N171" i="11"/>
  <c r="Q173" i="11"/>
  <c r="P137" i="11"/>
  <c r="O317" i="11"/>
  <c r="Q317" i="11"/>
  <c r="N321" i="11"/>
  <c r="N304" i="11"/>
  <c r="N223" i="11"/>
  <c r="M317" i="11"/>
  <c r="O87" i="11"/>
  <c r="Q175" i="11"/>
  <c r="N459" i="11"/>
  <c r="N265" i="11"/>
  <c r="P381" i="11"/>
  <c r="O118" i="11"/>
  <c r="M246" i="11"/>
  <c r="P390" i="11"/>
  <c r="Q298" i="11"/>
  <c r="Q93" i="11"/>
  <c r="Q476" i="11"/>
  <c r="Q483" i="11"/>
  <c r="N107" i="11"/>
  <c r="M174" i="11"/>
  <c r="N371" i="11"/>
  <c r="O411" i="11"/>
  <c r="O95" i="11"/>
  <c r="N489" i="11"/>
  <c r="M122" i="11"/>
  <c r="O223" i="11"/>
  <c r="P382" i="11"/>
  <c r="O131" i="11"/>
  <c r="M364" i="11"/>
  <c r="P180" i="11"/>
  <c r="Q102" i="11"/>
  <c r="Q192" i="11"/>
  <c r="P337" i="11"/>
  <c r="P355" i="11"/>
  <c r="Q229" i="11"/>
  <c r="N257" i="11"/>
  <c r="P76" i="11"/>
  <c r="P129" i="11"/>
  <c r="N234" i="11"/>
  <c r="Q498" i="11"/>
  <c r="M437" i="11"/>
  <c r="M165" i="11"/>
  <c r="M349" i="11"/>
  <c r="N342" i="11"/>
  <c r="Q67" i="11"/>
  <c r="N323" i="11"/>
  <c r="Q314" i="11"/>
  <c r="M337" i="11"/>
  <c r="N286" i="11"/>
  <c r="O364" i="11"/>
  <c r="N372" i="11"/>
  <c r="Q479" i="11"/>
  <c r="M443" i="11"/>
  <c r="O308" i="11"/>
  <c r="N114" i="11"/>
  <c r="M93" i="11"/>
  <c r="O138" i="11"/>
  <c r="P372" i="11"/>
  <c r="P374" i="11"/>
  <c r="M474" i="11"/>
  <c r="N313" i="11"/>
  <c r="P445" i="11"/>
  <c r="N481" i="11"/>
  <c r="Q408" i="11"/>
  <c r="P377" i="11"/>
  <c r="N273" i="11"/>
  <c r="O224" i="11"/>
  <c r="M284" i="11"/>
  <c r="N184" i="11"/>
  <c r="N299" i="11"/>
  <c r="Q345" i="11"/>
  <c r="N91" i="11"/>
  <c r="M416" i="11"/>
  <c r="O416" i="11"/>
  <c r="M375" i="11"/>
  <c r="M470" i="11"/>
  <c r="O313" i="11"/>
  <c r="Q140" i="11"/>
  <c r="D134" i="1"/>
  <c r="O316" i="11"/>
  <c r="O299" i="11"/>
  <c r="M351" i="11"/>
  <c r="M450" i="11"/>
  <c r="P234" i="11"/>
  <c r="P285" i="11"/>
  <c r="O68" i="11"/>
  <c r="P389" i="11"/>
  <c r="O269" i="11"/>
  <c r="M265" i="11"/>
  <c r="M194" i="11"/>
  <c r="N349" i="11"/>
  <c r="Q187" i="11"/>
  <c r="M467" i="11"/>
  <c r="O421" i="11"/>
  <c r="P454" i="11"/>
  <c r="M489" i="11"/>
  <c r="P394" i="11"/>
  <c r="N416" i="11"/>
  <c r="O322" i="11"/>
  <c r="O371" i="11"/>
  <c r="O351" i="11"/>
  <c r="M197" i="11"/>
  <c r="N135" i="11"/>
  <c r="P364" i="11"/>
  <c r="Q398" i="11"/>
  <c r="P491" i="11"/>
  <c r="Q488" i="11"/>
  <c r="Q134" i="11"/>
  <c r="P501" i="11"/>
  <c r="P108" i="11"/>
  <c r="M180" i="11"/>
  <c r="O257" i="11"/>
  <c r="O234" i="11"/>
  <c r="O321" i="11"/>
  <c r="O262" i="11"/>
  <c r="O231" i="11"/>
  <c r="M80" i="11"/>
  <c r="Q226" i="11"/>
  <c r="O361" i="11"/>
  <c r="N120" i="11"/>
  <c r="O434" i="11"/>
  <c r="P177" i="11"/>
  <c r="M262" i="11"/>
  <c r="O390" i="11"/>
  <c r="M66" i="11"/>
  <c r="O166" i="11"/>
  <c r="O417" i="11"/>
  <c r="P165" i="11"/>
  <c r="N136" i="11"/>
  <c r="O303" i="11"/>
  <c r="N123" i="11"/>
  <c r="M476" i="11"/>
  <c r="P354" i="11"/>
  <c r="M217" i="11"/>
  <c r="P488" i="11"/>
  <c r="P464" i="11"/>
  <c r="N285" i="11"/>
  <c r="P441" i="11"/>
  <c r="M355" i="11"/>
  <c r="M441" i="11"/>
  <c r="Q354" i="11"/>
  <c r="M213" i="11"/>
  <c r="O394" i="11"/>
  <c r="P163" i="11"/>
  <c r="Q104" i="11"/>
  <c r="O408" i="11"/>
  <c r="N118" i="11"/>
  <c r="N476" i="11"/>
  <c r="Q80" i="11"/>
  <c r="O342" i="11"/>
  <c r="O226" i="11"/>
  <c r="P77" i="11"/>
  <c r="Q223" i="11"/>
  <c r="P95" i="11"/>
  <c r="N398" i="11"/>
  <c r="Q412" i="11"/>
  <c r="M196" i="11"/>
  <c r="O254" i="11"/>
  <c r="N364" i="11"/>
  <c r="M76" i="11"/>
  <c r="Q477" i="11"/>
  <c r="O183" i="11"/>
  <c r="P154" i="11"/>
  <c r="M321" i="11"/>
  <c r="N71" i="11"/>
  <c r="N156" i="11"/>
  <c r="P231" i="11"/>
  <c r="Q234" i="11"/>
  <c r="N247" i="11"/>
  <c r="P450" i="11"/>
  <c r="Q158" i="11"/>
  <c r="M405" i="11"/>
  <c r="O336" i="11"/>
  <c r="P496" i="11"/>
  <c r="N144" i="11"/>
  <c r="Q123" i="11"/>
  <c r="O335" i="11"/>
  <c r="P223" i="11"/>
  <c r="N443" i="11"/>
  <c r="O246" i="11"/>
  <c r="N104" i="11"/>
  <c r="O337" i="11"/>
  <c r="Q98" i="11"/>
  <c r="M446" i="11"/>
  <c r="P427" i="11"/>
  <c r="M495" i="11"/>
  <c r="O99" i="11"/>
  <c r="N501" i="11"/>
  <c r="O323" i="11"/>
  <c r="M214" i="11"/>
  <c r="P107" i="11"/>
  <c r="O310" i="11"/>
  <c r="N157" i="11"/>
  <c r="M175" i="11"/>
  <c r="P98" i="11"/>
  <c r="O175" i="11"/>
  <c r="P80" i="11"/>
  <c r="M139" i="11"/>
  <c r="Q97" i="11"/>
  <c r="P273" i="11"/>
  <c r="M136" i="11"/>
  <c r="Q113" i="11"/>
  <c r="P246" i="11"/>
  <c r="M187" i="11"/>
  <c r="M376" i="11"/>
  <c r="O396" i="11"/>
  <c r="O462" i="11"/>
  <c r="N503" i="11"/>
  <c r="M335" i="11"/>
  <c r="O85" i="11"/>
  <c r="Q443" i="11"/>
  <c r="O297" i="11"/>
  <c r="Q249" i="11"/>
  <c r="M462" i="11"/>
  <c r="O242" i="11"/>
  <c r="M280" i="11"/>
  <c r="O488" i="11"/>
  <c r="P325" i="11"/>
  <c r="O399" i="11"/>
  <c r="Q338" i="11"/>
  <c r="M295" i="11"/>
  <c r="O441" i="11"/>
  <c r="P411" i="11"/>
  <c r="M398" i="11"/>
  <c r="M157" i="11"/>
  <c r="Q183" i="11"/>
  <c r="N163" i="11"/>
  <c r="M207" i="11"/>
  <c r="N214" i="11"/>
  <c r="Q474" i="11"/>
  <c r="O98" i="11"/>
  <c r="P484" i="11"/>
  <c r="M391" i="11"/>
  <c r="Q108" i="11"/>
  <c r="P358" i="11"/>
  <c r="N454" i="11"/>
  <c r="O197" i="11"/>
  <c r="Q129" i="11"/>
  <c r="M498" i="11"/>
  <c r="O158" i="11"/>
  <c r="O247" i="11"/>
  <c r="Q396" i="11"/>
  <c r="P104" i="11"/>
  <c r="M282" i="11"/>
  <c r="N496" i="11"/>
  <c r="Q387" i="11"/>
  <c r="O314" i="11"/>
  <c r="Q406" i="11"/>
  <c r="M100" i="11"/>
  <c r="P150" i="11"/>
  <c r="P268" i="11"/>
  <c r="N365" i="11"/>
  <c r="P359" i="11"/>
  <c r="M227" i="11"/>
  <c r="N231" i="11"/>
  <c r="P465" i="11"/>
  <c r="N183" i="11"/>
  <c r="M104" i="11"/>
  <c r="N334" i="11"/>
  <c r="N165" i="11"/>
  <c r="M171" i="11"/>
  <c r="Q139" i="11"/>
  <c r="P194" i="11"/>
  <c r="Q334" i="11"/>
  <c r="M461" i="11"/>
  <c r="Q302" i="11"/>
  <c r="Q289" i="11"/>
  <c r="Q469" i="11"/>
  <c r="N162" i="11"/>
  <c r="P456" i="11"/>
  <c r="P412" i="11"/>
  <c r="O180" i="11"/>
  <c r="O156" i="11"/>
  <c r="O474" i="11"/>
  <c r="Q151" i="11"/>
  <c r="N131" i="11"/>
  <c r="M248" i="11"/>
  <c r="Q399" i="11"/>
  <c r="Q394" i="11"/>
  <c r="Q261" i="11"/>
  <c r="Q109" i="11"/>
  <c r="Q475" i="11"/>
  <c r="P379" i="11"/>
  <c r="M385" i="11"/>
  <c r="O319" i="11"/>
  <c r="M408" i="11"/>
  <c r="M266" i="11"/>
  <c r="O265" i="11"/>
  <c r="P145" i="11"/>
  <c r="P139" i="11"/>
  <c r="O461" i="11"/>
  <c r="M345" i="11"/>
  <c r="N226" i="11"/>
  <c r="M465" i="11"/>
  <c r="P156" i="11"/>
  <c r="O192" i="11"/>
  <c r="P151" i="11"/>
  <c r="M230" i="11"/>
  <c r="P492" i="11"/>
  <c r="Q150" i="11"/>
  <c r="M329" i="11"/>
  <c r="Q484" i="11"/>
  <c r="O345" i="11"/>
  <c r="O71" i="11"/>
  <c r="O276" i="11"/>
  <c r="N394" i="11"/>
  <c r="P316" i="11"/>
  <c r="O280" i="11"/>
  <c r="M224" i="11"/>
  <c r="P376" i="11"/>
  <c r="P266" i="11"/>
  <c r="O267" i="11"/>
  <c r="P322" i="11"/>
  <c r="N250" i="11"/>
  <c r="P357" i="11"/>
  <c r="Q481" i="11"/>
  <c r="Q441" i="11"/>
  <c r="P334" i="11"/>
  <c r="M322" i="11"/>
  <c r="P97" i="11"/>
  <c r="M297" i="11"/>
  <c r="O465" i="11"/>
  <c r="N85" i="11"/>
  <c r="O501" i="11"/>
  <c r="P293" i="11"/>
  <c r="P280" i="11"/>
  <c r="O484" i="11"/>
  <c r="M377" i="11"/>
  <c r="N326" i="11"/>
  <c r="M231" i="11"/>
  <c r="O128" i="11"/>
  <c r="N288" i="11"/>
  <c r="D137" i="1"/>
  <c r="O374" i="11"/>
  <c r="Q157" i="11"/>
  <c r="P131" i="11"/>
  <c r="N325" i="11"/>
  <c r="M109" i="11"/>
  <c r="P267" i="11"/>
  <c r="N261" i="11"/>
  <c r="N296" i="11"/>
  <c r="O293" i="11"/>
  <c r="M274" i="11"/>
  <c r="P410" i="11"/>
  <c r="M218" i="11"/>
  <c r="O154" i="11"/>
  <c r="P307" i="11"/>
  <c r="O3" i="11"/>
  <c r="O377" i="11"/>
  <c r="P124" i="11"/>
  <c r="Q328" i="11"/>
  <c r="M145" i="11"/>
  <c r="O325" i="11"/>
  <c r="Q3" i="11"/>
  <c r="Q411" i="11"/>
  <c r="M429" i="11"/>
  <c r="N427" i="11"/>
  <c r="N248" i="11"/>
  <c r="Q285" i="11"/>
  <c r="M193" i="11"/>
  <c r="N399" i="11"/>
  <c r="P303" i="11"/>
  <c r="P420" i="11"/>
  <c r="Q463" i="11"/>
  <c r="P417" i="11"/>
  <c r="O354" i="11"/>
  <c r="O112" i="11"/>
  <c r="Q304" i="11"/>
  <c r="O454" i="11"/>
  <c r="P134" i="11"/>
  <c r="P373" i="11"/>
  <c r="N139" i="11"/>
  <c r="P350" i="11"/>
  <c r="M369" i="11"/>
  <c r="N328" i="11"/>
  <c r="O369" i="11"/>
  <c r="N458" i="11"/>
  <c r="P172" i="11"/>
  <c r="P475" i="11"/>
  <c r="P110" i="11"/>
  <c r="M163" i="11"/>
  <c r="O466" i="11"/>
  <c r="Q428" i="11"/>
  <c r="M427" i="11"/>
  <c r="O101" i="11"/>
  <c r="N465" i="11"/>
  <c r="P461" i="11"/>
  <c r="M354" i="11"/>
  <c r="N275" i="11"/>
  <c r="N351" i="11"/>
  <c r="P227" i="11"/>
  <c r="Q416" i="11"/>
  <c r="M226" i="11"/>
  <c r="P447" i="11"/>
  <c r="N138" i="11"/>
  <c r="M107" i="11"/>
  <c r="Q297" i="11"/>
  <c r="Q342" i="11"/>
  <c r="M134" i="11"/>
  <c r="M303" i="11"/>
  <c r="P105" i="11"/>
  <c r="P136" i="11"/>
  <c r="P109" i="11"/>
  <c r="M463" i="11"/>
  <c r="O137" i="11"/>
  <c r="N122" i="11"/>
  <c r="P249" i="11"/>
  <c r="N87" i="11"/>
  <c r="Q456" i="11"/>
  <c r="O66" i="11"/>
  <c r="M153" i="11"/>
  <c r="M112" i="11"/>
  <c r="O376" i="11"/>
  <c r="M296" i="11"/>
  <c r="N461" i="11"/>
  <c r="P408" i="11"/>
  <c r="P284" i="11"/>
  <c r="P477" i="11"/>
  <c r="M158" i="11"/>
  <c r="Q376" i="11"/>
  <c r="Q101" i="11"/>
  <c r="Q156" i="11"/>
  <c r="Q242" i="11"/>
  <c r="N409" i="11"/>
  <c r="M325" i="11"/>
  <c r="Q446" i="11"/>
  <c r="O288" i="11"/>
  <c r="M114" i="11"/>
  <c r="N303" i="11"/>
  <c r="Q137" i="11"/>
  <c r="Q273" i="11"/>
  <c r="P158" i="11"/>
  <c r="Q246" i="11"/>
  <c r="Q329" i="11"/>
  <c r="N376" i="11"/>
  <c r="M501" i="11"/>
  <c r="O108" i="11"/>
  <c r="Q269" i="11"/>
  <c r="Q377" i="11"/>
  <c r="N113" i="11"/>
  <c r="N109" i="11"/>
  <c r="M338" i="11"/>
  <c r="M111" i="11"/>
  <c r="O65" i="1"/>
  <c r="N267" i="11"/>
  <c r="Q459" i="11"/>
  <c r="N437" i="11"/>
  <c r="M101" i="11"/>
  <c r="N477" i="11"/>
  <c r="N101" i="11"/>
  <c r="N227" i="11"/>
  <c r="M169" i="11"/>
  <c r="P183" i="11"/>
  <c r="M276" i="11"/>
  <c r="O476" i="11"/>
  <c r="N491" i="11"/>
  <c r="M319" i="11"/>
  <c r="N192" i="11"/>
  <c r="M312" i="11"/>
  <c r="Q429" i="11"/>
  <c r="O284" i="11"/>
  <c r="M135" i="11"/>
  <c r="O427" i="11"/>
  <c r="P123" i="11"/>
  <c r="N329" i="11"/>
  <c r="Q497" i="11"/>
  <c r="O358" i="11"/>
  <c r="Q154" i="11"/>
  <c r="O157" i="11"/>
  <c r="M137" i="11"/>
  <c r="M77" i="11"/>
  <c r="N336" i="11"/>
  <c r="O182" i="11"/>
  <c r="M410" i="11"/>
  <c r="O149" i="11"/>
  <c r="O285" i="11"/>
  <c r="M394" i="11"/>
  <c r="Q77" i="11"/>
  <c r="Q371" i="11"/>
  <c r="M318" i="11"/>
  <c r="Q169" i="11"/>
  <c r="O391" i="11"/>
  <c r="N382" i="11"/>
  <c r="M257" i="11"/>
  <c r="O76" i="11"/>
  <c r="M390" i="11"/>
  <c r="O97" i="11"/>
  <c r="M285" i="11"/>
  <c r="N93" i="11"/>
  <c r="M123" i="11"/>
  <c r="N229" i="11"/>
  <c r="P93" i="11"/>
  <c r="P479" i="11"/>
  <c r="N246" i="11"/>
  <c r="P498" i="11"/>
  <c r="O105" i="11"/>
  <c r="P463" i="11"/>
  <c r="N483" i="11"/>
  <c r="M316" i="11"/>
  <c r="M503" i="11"/>
  <c r="N408" i="11"/>
  <c r="O503" i="11"/>
  <c r="Q465" i="11"/>
  <c r="M144" i="11"/>
  <c r="Q322" i="11"/>
  <c r="M182" i="11"/>
  <c r="P365" i="11"/>
  <c r="N188" i="11"/>
  <c r="O206" i="11"/>
  <c r="P391" i="11"/>
  <c r="M151" i="11"/>
  <c r="P269" i="11"/>
  <c r="N80" i="11"/>
  <c r="Q489" i="11"/>
  <c r="O107" i="11"/>
  <c r="P207" i="11"/>
  <c r="M222" i="11"/>
  <c r="P335" i="11"/>
  <c r="N497" i="11"/>
  <c r="Q163" i="11"/>
  <c r="O273" i="11"/>
  <c r="O222" i="11"/>
  <c r="M103" i="11"/>
  <c r="Q359" i="11"/>
  <c r="N76" i="11"/>
  <c r="P261" i="11"/>
  <c r="M242" i="11"/>
  <c r="N355" i="11"/>
  <c r="Q95" i="11"/>
  <c r="M269" i="11"/>
  <c r="Q85" i="11"/>
  <c r="N193" i="11"/>
  <c r="Q265" i="11"/>
  <c r="M118" i="11"/>
  <c r="M371" i="11"/>
  <c r="M293" i="11"/>
  <c r="Q462" i="11"/>
  <c r="M156" i="11"/>
  <c r="N439" i="11"/>
  <c r="P331" i="11"/>
  <c r="O497" i="11"/>
  <c r="P304" i="11"/>
  <c r="P68" i="11"/>
  <c r="M138" i="11"/>
  <c r="Q374" i="11"/>
  <c r="O389" i="11"/>
  <c r="N282" i="11"/>
  <c r="P375" i="11"/>
  <c r="O109" i="11"/>
  <c r="Q358" i="11"/>
  <c r="N3" i="11"/>
  <c r="N137" i="11"/>
  <c r="Q420" i="11"/>
  <c r="M453" i="11"/>
  <c r="Q455" i="11"/>
  <c r="Q403" i="11"/>
  <c r="Q282" i="11"/>
  <c r="Q450" i="11"/>
  <c r="Q135" i="11"/>
  <c r="O214" i="11"/>
  <c r="O145" i="11"/>
  <c r="N389" i="11"/>
  <c r="O249" i="11"/>
  <c r="N456" i="11"/>
  <c r="P226" i="11"/>
  <c r="P71" i="11"/>
  <c r="N293" i="11"/>
  <c r="O259" i="11"/>
  <c r="N308" i="11"/>
  <c r="N298" i="11"/>
  <c r="O469" i="11"/>
  <c r="O188" i="11"/>
  <c r="N305" i="11"/>
  <c r="Q280" i="11"/>
  <c r="O489" i="11"/>
  <c r="M305" i="11"/>
  <c r="Q122" i="11"/>
  <c r="P308" i="11"/>
  <c r="N112" i="11"/>
  <c r="O104" i="11"/>
  <c r="N97" i="11"/>
  <c r="O412" i="11"/>
  <c r="N322" i="11"/>
  <c r="M328" i="11"/>
  <c r="O270" i="11"/>
  <c r="O415" i="11"/>
  <c r="Q196" i="11"/>
  <c r="P171" i="11"/>
  <c r="P466" i="11"/>
  <c r="P242" i="11"/>
  <c r="O77" i="11"/>
  <c r="P503" i="11"/>
  <c r="O463" i="11"/>
  <c r="N218" i="11"/>
  <c r="M183" i="11"/>
  <c r="N417" i="11"/>
  <c r="N95" i="11"/>
  <c r="O171" i="11"/>
  <c r="N367" i="11"/>
  <c r="P296" i="11"/>
  <c r="M497" i="11"/>
  <c r="Q144" i="11"/>
  <c r="N441" i="11"/>
  <c r="N276" i="11"/>
  <c r="O122" i="11"/>
  <c r="Q124" i="11"/>
  <c r="M342" i="11"/>
  <c r="N297" i="11"/>
  <c r="Q316" i="11"/>
  <c r="M267" i="11"/>
  <c r="Q501" i="11"/>
  <c r="M439" i="11"/>
  <c r="P168" i="11"/>
  <c r="M254" i="11"/>
  <c r="N377" i="11"/>
  <c r="P329" i="11"/>
  <c r="O129" i="11"/>
  <c r="P276" i="11"/>
  <c r="M173" i="11"/>
  <c r="N420" i="11"/>
  <c r="P184" i="11"/>
  <c r="Q437" i="11"/>
  <c r="M454" i="11"/>
  <c r="M131" i="11"/>
  <c r="Q491" i="11"/>
  <c r="Q248" i="11"/>
  <c r="Q174" i="11"/>
  <c r="O117" i="11"/>
  <c r="Q389" i="11"/>
  <c r="Q485" i="11"/>
  <c r="P121" i="11"/>
  <c r="Q115" i="11"/>
  <c r="P197" i="11"/>
  <c r="C138" i="1"/>
  <c r="Q427" i="11"/>
  <c r="O165" i="11"/>
  <c r="P250" i="11"/>
  <c r="O296" i="11"/>
  <c r="P416" i="11"/>
  <c r="Q214" i="11"/>
  <c r="O275" i="11"/>
  <c r="N463" i="11"/>
  <c r="M372" i="11"/>
  <c r="O91" i="11"/>
  <c r="P169" i="11"/>
  <c r="O379" i="11"/>
  <c r="P369" i="11"/>
  <c r="Q284" i="11"/>
  <c r="M299" i="11"/>
  <c r="O382" i="11"/>
  <c r="P87" i="11"/>
  <c r="Q293" i="11"/>
  <c r="P135" i="11"/>
  <c r="Q87" i="11"/>
  <c r="P133" i="11"/>
  <c r="P437" i="11"/>
  <c r="N450" i="11"/>
  <c r="P396" i="11"/>
  <c r="P217" i="11"/>
  <c r="N316" i="11"/>
  <c r="N444" i="11"/>
  <c r="P166" i="11"/>
  <c r="M360" i="11"/>
  <c r="M97" i="11"/>
  <c r="Q318" i="11"/>
  <c r="O329" i="11"/>
  <c r="P3" i="11"/>
  <c r="Q257" i="11"/>
  <c r="P342" i="11"/>
  <c r="P222" i="11"/>
  <c r="O124" i="11"/>
  <c r="P483" i="11"/>
  <c r="N68" i="11"/>
  <c r="M334" i="11"/>
  <c r="N281" i="11"/>
  <c r="P462" i="11"/>
  <c r="P198" i="11"/>
  <c r="P65" i="11"/>
  <c r="P211" i="11"/>
  <c r="P114" i="11"/>
  <c r="N274" i="11"/>
  <c r="Q118" i="11"/>
  <c r="P321" i="11"/>
  <c r="N108" i="11"/>
  <c r="N498" i="11"/>
  <c r="P122" i="11"/>
  <c r="N374" i="11"/>
  <c r="P157" i="11"/>
  <c r="N197" i="11"/>
  <c r="O174" i="11"/>
  <c r="N217" i="11"/>
  <c r="N259" i="11"/>
  <c r="P310" i="11"/>
  <c r="M128" i="11"/>
  <c r="N337" i="11"/>
  <c r="O80" i="11"/>
  <c r="Q247" i="11"/>
  <c r="O207" i="11"/>
  <c r="M491" i="11"/>
  <c r="O456" i="11"/>
  <c r="P118" i="11"/>
  <c r="M396" i="11"/>
  <c r="P224" i="11"/>
  <c r="O305" i="11"/>
  <c r="P305" i="11"/>
  <c r="Q165" i="11"/>
  <c r="M291" i="11"/>
  <c r="M229" i="11"/>
  <c r="Q111" i="11"/>
  <c r="N471" i="11"/>
  <c r="Q207" i="11"/>
  <c r="M417" i="11"/>
  <c r="N335" i="11"/>
  <c r="M273" i="11"/>
  <c r="Q372" i="11"/>
  <c r="P173" i="11"/>
  <c r="O217" i="11"/>
  <c r="N429" i="11"/>
  <c r="Q107" i="11"/>
  <c r="N466" i="11"/>
  <c r="P297" i="11"/>
  <c r="Q76" i="11"/>
  <c r="M261" i="11"/>
  <c r="N180" i="11"/>
  <c r="Q351" i="11"/>
  <c r="P318" i="11"/>
  <c r="M234" i="11"/>
  <c r="O304" i="11"/>
  <c r="M184" i="11"/>
  <c r="M192" i="11"/>
  <c r="Q68" i="11"/>
  <c r="O355" i="11"/>
  <c r="M477" i="11"/>
  <c r="N412" i="11"/>
  <c r="O173" i="11"/>
  <c r="O111" i="11"/>
  <c r="Q415" i="11"/>
  <c r="Q222" i="11"/>
  <c r="Q319" i="11"/>
  <c r="N177" i="11"/>
  <c r="O420" i="11"/>
  <c r="M301" i="11"/>
  <c r="Q252" i="11"/>
  <c r="N404" i="11"/>
  <c r="O433" i="11"/>
  <c r="M333" i="11"/>
  <c r="P356" i="11"/>
  <c r="O326" i="11"/>
  <c r="Q433" i="11"/>
  <c r="O490" i="11"/>
  <c r="P312" i="11"/>
  <c r="O164" i="11"/>
  <c r="M146" i="11"/>
  <c r="Q326" i="11"/>
  <c r="M386" i="11"/>
  <c r="Q244" i="11"/>
  <c r="P254" i="11"/>
  <c r="O102" i="11"/>
  <c r="N167" i="11"/>
  <c r="Q191" i="11"/>
  <c r="N270" i="11"/>
  <c r="M352" i="11"/>
  <c r="P182" i="11"/>
  <c r="M238" i="11"/>
  <c r="N422" i="11"/>
  <c r="P148" i="11"/>
  <c r="O236" i="11"/>
  <c r="P195" i="11"/>
  <c r="Q327" i="11"/>
  <c r="M302" i="11"/>
  <c r="O373" i="11"/>
  <c r="O348" i="11"/>
  <c r="M313" i="11"/>
  <c r="N291" i="11"/>
  <c r="P455" i="11"/>
  <c r="P161" i="11"/>
  <c r="O309" i="11"/>
  <c r="P352" i="11"/>
  <c r="P69" i="11"/>
  <c r="Q66" i="11"/>
  <c r="O211" i="11"/>
  <c r="N125" i="11"/>
  <c r="Q128" i="11"/>
  <c r="N386" i="11"/>
  <c r="N307" i="11"/>
  <c r="N292" i="11"/>
  <c r="M110" i="11"/>
  <c r="O449" i="11"/>
  <c r="N470" i="11"/>
  <c r="Q444" i="11"/>
  <c r="Q490" i="11"/>
  <c r="P326" i="11"/>
  <c r="M256" i="11"/>
  <c r="Q373" i="11"/>
  <c r="O425" i="11"/>
  <c r="O227" i="11"/>
  <c r="M397" i="11"/>
  <c r="M259" i="11"/>
  <c r="O331" i="11"/>
  <c r="O496" i="11"/>
  <c r="M426" i="11"/>
  <c r="O89" i="11"/>
  <c r="Q164" i="11"/>
  <c r="M401" i="11"/>
  <c r="P238" i="11"/>
  <c r="P199" i="11"/>
  <c r="M199" i="11"/>
  <c r="Q110" i="11"/>
  <c r="P244" i="11"/>
  <c r="P94" i="11"/>
  <c r="P348" i="11"/>
  <c r="N230" i="11"/>
  <c r="Q100" i="11"/>
  <c r="O292" i="11"/>
  <c r="N213" i="11"/>
  <c r="P481" i="11"/>
  <c r="N153" i="11"/>
  <c r="Q471" i="11"/>
  <c r="P493" i="11"/>
  <c r="M258" i="11"/>
  <c r="Q442" i="11"/>
  <c r="Q263" i="11"/>
  <c r="P428" i="11"/>
  <c r="Q432" i="11"/>
  <c r="N65" i="11"/>
  <c r="O307" i="11"/>
  <c r="O161" i="11"/>
  <c r="P140" i="11"/>
  <c r="P495" i="11"/>
  <c r="M191" i="11"/>
  <c r="Q146" i="11"/>
  <c r="O381" i="11"/>
  <c r="P499" i="11"/>
  <c r="P327" i="11"/>
  <c r="M223" i="11"/>
  <c r="N415" i="11"/>
  <c r="Q447" i="11"/>
  <c r="Q103" i="11"/>
  <c r="O480" i="11"/>
  <c r="N414" i="11"/>
  <c r="O470" i="11"/>
  <c r="N75" i="11"/>
  <c r="M469" i="11"/>
  <c r="P167" i="11"/>
  <c r="Q279" i="11"/>
  <c r="Q381" i="11"/>
  <c r="M190" i="11"/>
  <c r="N343" i="11"/>
  <c r="N462" i="11"/>
  <c r="M167" i="11"/>
  <c r="O455" i="11"/>
  <c r="P294" i="11"/>
  <c r="M166" i="11"/>
  <c r="N424" i="11"/>
  <c r="P253" i="11"/>
  <c r="Q421" i="11"/>
  <c r="Q152" i="11"/>
  <c r="P230" i="11"/>
  <c r="N240" i="11"/>
  <c r="N72" i="11"/>
  <c r="N128" i="11"/>
  <c r="Q349" i="11"/>
  <c r="M251" i="11"/>
  <c r="M315" i="11"/>
  <c r="P367" i="11"/>
  <c r="P467" i="11"/>
  <c r="Q404" i="11"/>
  <c r="P82" i="11"/>
  <c r="Q380" i="11"/>
  <c r="O482" i="11"/>
  <c r="O125" i="11"/>
  <c r="M150" i="11"/>
  <c r="P256" i="11"/>
  <c r="N344" i="11"/>
  <c r="P272" i="11"/>
  <c r="M172" i="11"/>
  <c r="P102" i="11"/>
  <c r="P387" i="11"/>
  <c r="O201" i="11"/>
  <c r="N268" i="11"/>
  <c r="P159" i="11"/>
  <c r="M499" i="11"/>
  <c r="N225" i="11"/>
  <c r="N370" i="11"/>
  <c r="N186" i="11"/>
  <c r="P343" i="11"/>
  <c r="M283" i="11"/>
  <c r="P120" i="11"/>
  <c r="O281" i="11"/>
  <c r="Q117" i="11"/>
  <c r="O291" i="11"/>
  <c r="O205" i="11"/>
  <c r="M143" i="11"/>
  <c r="P395" i="11"/>
  <c r="N219" i="11"/>
  <c r="O216" i="11"/>
  <c r="P431" i="11"/>
  <c r="N127" i="11"/>
  <c r="N255" i="11"/>
  <c r="O255" i="11"/>
  <c r="O185" i="11"/>
  <c r="P203" i="11"/>
  <c r="N160" i="11"/>
  <c r="O360" i="11"/>
  <c r="O196" i="11"/>
  <c r="O294" i="11"/>
  <c r="N140" i="11"/>
  <c r="M348" i="11"/>
  <c r="N209" i="11"/>
  <c r="O311" i="11"/>
  <c r="P111" i="11"/>
  <c r="P336" i="11"/>
  <c r="M445" i="11"/>
  <c r="P79" i="11"/>
  <c r="Q341" i="11"/>
  <c r="N252" i="11"/>
  <c r="N357" i="11"/>
  <c r="O432" i="11"/>
  <c r="N407" i="11"/>
  <c r="Q201" i="11"/>
  <c r="M212" i="11"/>
  <c r="O424" i="11"/>
  <c r="M422" i="11"/>
  <c r="N99" i="11"/>
  <c r="N360" i="11"/>
  <c r="N432" i="11"/>
  <c r="N457" i="11"/>
  <c r="N419" i="11"/>
  <c r="P300" i="11"/>
  <c r="M270" i="11"/>
  <c r="N105" i="11"/>
  <c r="Q149" i="11"/>
  <c r="Q270" i="11"/>
  <c r="P339" i="11"/>
  <c r="P460" i="11"/>
  <c r="N211" i="11"/>
  <c r="P370" i="11"/>
  <c r="Q166" i="11"/>
  <c r="Q367" i="11"/>
  <c r="M96" i="11"/>
  <c r="N147" i="11"/>
  <c r="Q119" i="11"/>
  <c r="M250" i="11"/>
  <c r="M379" i="11"/>
  <c r="O146" i="11"/>
  <c r="P67" i="11"/>
  <c r="N362" i="11"/>
  <c r="M359" i="11"/>
  <c r="P399" i="11"/>
  <c r="Q267" i="11"/>
  <c r="M121" i="11"/>
  <c r="O475" i="11"/>
  <c r="Q172" i="11"/>
  <c r="O502" i="11"/>
  <c r="P442" i="11"/>
  <c r="O400" i="11"/>
  <c r="N294" i="11"/>
  <c r="N187" i="11"/>
  <c r="Q236" i="11"/>
  <c r="Q410" i="11"/>
  <c r="P471" i="11"/>
  <c r="O471" i="11"/>
  <c r="M294" i="11"/>
  <c r="O493" i="11"/>
  <c r="O445" i="11"/>
  <c r="M168" i="11"/>
  <c r="N195" i="11"/>
  <c r="M70" i="11"/>
  <c r="P208" i="11"/>
  <c r="P243" i="11"/>
  <c r="N106" i="11"/>
  <c r="N130" i="11"/>
  <c r="P458" i="11"/>
  <c r="M300" i="11"/>
  <c r="N220" i="11"/>
  <c r="M161" i="11"/>
  <c r="O446" i="11"/>
  <c r="Q356" i="11"/>
  <c r="N356" i="11"/>
  <c r="Q495" i="11"/>
  <c r="Q397" i="11"/>
  <c r="N493" i="11"/>
  <c r="P75" i="11"/>
  <c r="P302" i="11"/>
  <c r="P360" i="11"/>
  <c r="O481" i="11"/>
  <c r="P100" i="11"/>
  <c r="Q405" i="11"/>
  <c r="N397" i="11"/>
  <c r="Q386" i="11"/>
  <c r="Q132" i="11"/>
  <c r="O251" i="11"/>
  <c r="M460" i="11"/>
  <c r="N238" i="11"/>
  <c r="Q237" i="11"/>
  <c r="Q221" i="11"/>
  <c r="Q142" i="11"/>
  <c r="M413" i="11"/>
  <c r="M155" i="11"/>
  <c r="Q208" i="11"/>
  <c r="O457" i="11"/>
  <c r="M353" i="11"/>
  <c r="Q333" i="11"/>
  <c r="O187" i="11"/>
  <c r="Q202" i="11"/>
  <c r="N348" i="11"/>
  <c r="M115" i="11"/>
  <c r="N182" i="11"/>
  <c r="O78" i="11"/>
  <c r="N447" i="11"/>
  <c r="O500" i="11"/>
  <c r="P96" i="11"/>
  <c r="M202" i="11"/>
  <c r="M482" i="11"/>
  <c r="O256" i="11"/>
  <c r="Q211" i="11"/>
  <c r="N433" i="11"/>
  <c r="P128" i="11"/>
  <c r="P404" i="11"/>
  <c r="M177" i="11"/>
  <c r="P344" i="11"/>
  <c r="P400" i="11"/>
  <c r="N300" i="11"/>
  <c r="N206" i="11"/>
  <c r="M340" i="11"/>
  <c r="N413" i="11"/>
  <c r="N324" i="11"/>
  <c r="Q253" i="11"/>
  <c r="P283" i="11"/>
  <c r="P472" i="11"/>
  <c r="M480" i="11"/>
  <c r="M288" i="11"/>
  <c r="Q439" i="11"/>
  <c r="Q478" i="11"/>
  <c r="P289" i="11"/>
  <c r="Q312" i="11"/>
  <c r="M89" i="11"/>
  <c r="N103" i="11"/>
  <c r="Q92" i="11"/>
  <c r="O96" i="11"/>
  <c r="M415" i="11"/>
  <c r="M253" i="11"/>
  <c r="O147" i="11"/>
  <c r="P278" i="11"/>
  <c r="P309" i="11"/>
  <c r="M94" i="11"/>
  <c r="O110" i="11"/>
  <c r="P415" i="11"/>
  <c r="P86" i="11"/>
  <c r="O460" i="11"/>
  <c r="M306" i="11"/>
  <c r="Q168" i="11"/>
  <c r="O88" i="11"/>
  <c r="Q86" i="11"/>
  <c r="N96" i="11"/>
  <c r="P494" i="11"/>
  <c r="M343" i="11"/>
  <c r="N203" i="11"/>
  <c r="P486" i="11"/>
  <c r="Q228" i="11"/>
  <c r="N185" i="11"/>
  <c r="Q69" i="11"/>
  <c r="O451" i="11"/>
  <c r="M344" i="11"/>
  <c r="O83" i="11"/>
  <c r="N191" i="11"/>
  <c r="O347" i="11"/>
  <c r="N69" i="11"/>
  <c r="O430" i="11"/>
  <c r="N363" i="11"/>
  <c r="P366" i="11"/>
  <c r="Q324" i="11"/>
  <c r="P363" i="11"/>
  <c r="Q72" i="11"/>
  <c r="N283" i="11"/>
  <c r="O81" i="11"/>
  <c r="O266" i="11"/>
  <c r="P349" i="11"/>
  <c r="N310" i="11"/>
  <c r="M475" i="11"/>
  <c r="M403" i="11"/>
  <c r="N301" i="11"/>
  <c r="N196" i="11"/>
  <c r="M380" i="11"/>
  <c r="M485" i="11"/>
  <c r="N403" i="11"/>
  <c r="N320" i="11"/>
  <c r="O397" i="11"/>
  <c r="M176" i="11"/>
  <c r="P485" i="11"/>
  <c r="Q198" i="11"/>
  <c r="M84" i="11"/>
  <c r="Q121" i="11"/>
  <c r="P91" i="11"/>
  <c r="Q369" i="11"/>
  <c r="N410" i="11"/>
  <c r="O478" i="11"/>
  <c r="Q384" i="11"/>
  <c r="N401" i="11"/>
  <c r="P232" i="11"/>
  <c r="P186" i="11"/>
  <c r="M494" i="11"/>
  <c r="O260" i="11"/>
  <c r="M428" i="11"/>
  <c r="P433" i="11"/>
  <c r="O84" i="11"/>
  <c r="O301" i="11"/>
  <c r="P206" i="11"/>
  <c r="N385" i="11"/>
  <c r="N421" i="11"/>
  <c r="Q190" i="11"/>
  <c r="O272" i="11"/>
  <c r="N314" i="11"/>
  <c r="Q473" i="11"/>
  <c r="Q445" i="11"/>
  <c r="O289" i="11"/>
  <c r="N319" i="11"/>
  <c r="M492" i="11"/>
  <c r="M381" i="11"/>
  <c r="Q288" i="11"/>
  <c r="M438" i="11"/>
  <c r="O447" i="11"/>
  <c r="Q457" i="11"/>
  <c r="P480" i="11"/>
  <c r="N350" i="11"/>
  <c r="N155" i="11"/>
  <c r="Q83" i="11"/>
  <c r="N258" i="11"/>
  <c r="Q203" i="11"/>
  <c r="O215" i="11"/>
  <c r="O177" i="11"/>
  <c r="O121" i="11"/>
  <c r="P478" i="11"/>
  <c r="O327" i="11"/>
  <c r="M323" i="11"/>
  <c r="N287" i="11"/>
  <c r="Q195" i="11"/>
  <c r="M78" i="11"/>
  <c r="N295" i="11"/>
  <c r="P202" i="11"/>
  <c r="P277" i="11"/>
  <c r="Q258" i="11"/>
  <c r="P314" i="11"/>
  <c r="N88" i="11"/>
  <c r="P240" i="11"/>
  <c r="P323" i="11"/>
  <c r="N117" i="11"/>
  <c r="Q361" i="11"/>
  <c r="P146" i="11"/>
  <c r="Q189" i="11"/>
  <c r="N254" i="11"/>
  <c r="M127" i="11"/>
  <c r="Q366" i="11"/>
  <c r="Q167" i="11"/>
  <c r="O402" i="11"/>
  <c r="N263" i="11"/>
  <c r="N425" i="11"/>
  <c r="P78" i="11"/>
  <c r="P469" i="11"/>
  <c r="N478" i="11"/>
  <c r="O444" i="11"/>
  <c r="O383" i="11"/>
  <c r="P444" i="11"/>
  <c r="N378" i="11"/>
  <c r="P176" i="11"/>
  <c r="M404" i="11"/>
  <c r="Q230" i="11"/>
  <c r="O365" i="11"/>
  <c r="M487" i="11"/>
  <c r="Q402" i="11"/>
  <c r="M189" i="11"/>
  <c r="N150" i="11"/>
  <c r="N359" i="11"/>
  <c r="N152" i="11"/>
  <c r="P213" i="11"/>
  <c r="M431" i="11"/>
  <c r="Q147" i="11"/>
  <c r="N369" i="11"/>
  <c r="O290" i="11"/>
  <c r="M152" i="11"/>
  <c r="M188" i="11"/>
  <c r="P263" i="11"/>
  <c r="Q216" i="11"/>
  <c r="O115" i="11"/>
  <c r="O452" i="11"/>
  <c r="M200" i="11"/>
  <c r="O190" i="11"/>
  <c r="N235" i="11"/>
  <c r="M126" i="11"/>
  <c r="M228" i="11"/>
  <c r="P74" i="11"/>
  <c r="O159" i="11"/>
  <c r="M330" i="11"/>
  <c r="P225" i="11"/>
  <c r="N455" i="11"/>
  <c r="O431" i="11"/>
  <c r="N70" i="11"/>
  <c r="O401" i="11"/>
  <c r="N271" i="11"/>
  <c r="N74" i="11"/>
  <c r="N396" i="11"/>
  <c r="M201" i="11"/>
  <c r="O312" i="11"/>
  <c r="P453" i="11"/>
  <c r="P212" i="11"/>
  <c r="N278" i="11"/>
  <c r="O362" i="11"/>
  <c r="N341" i="11"/>
  <c r="N204" i="11"/>
  <c r="M432" i="11"/>
  <c r="N502" i="11"/>
  <c r="P205" i="11"/>
  <c r="N132" i="11"/>
  <c r="P403" i="11"/>
  <c r="N202" i="11"/>
  <c r="M421" i="11"/>
  <c r="O65" i="11"/>
  <c r="M451" i="11"/>
  <c r="N405" i="11"/>
  <c r="M181" i="11"/>
  <c r="O160" i="11"/>
  <c r="M204" i="11"/>
  <c r="Q160" i="11"/>
  <c r="O353" i="11"/>
  <c r="P306" i="11"/>
  <c r="P119" i="11"/>
  <c r="P402" i="11"/>
  <c r="M209" i="11"/>
  <c r="M268" i="11"/>
  <c r="Q264" i="11"/>
  <c r="Q204" i="11"/>
  <c r="M458" i="11"/>
  <c r="M433" i="11"/>
  <c r="P291" i="11"/>
  <c r="M281" i="11"/>
  <c r="P130" i="11"/>
  <c r="N500" i="11"/>
  <c r="N309" i="11"/>
  <c r="Q311" i="11"/>
  <c r="P397" i="11"/>
  <c r="M120" i="11"/>
  <c r="P204" i="11"/>
  <c r="O405" i="11"/>
  <c r="O350" i="11"/>
  <c r="P147" i="11"/>
  <c r="O67" i="11"/>
  <c r="M287" i="11"/>
  <c r="N387" i="11"/>
  <c r="M378" i="11"/>
  <c r="N388" i="11"/>
  <c r="Q458" i="11"/>
  <c r="Q283" i="11"/>
  <c r="Q401" i="11"/>
  <c r="M235" i="11"/>
  <c r="Q126" i="11"/>
  <c r="Q161" i="11"/>
  <c r="O414" i="11"/>
  <c r="P383" i="11"/>
  <c r="O213" i="11"/>
  <c r="P196" i="11"/>
  <c r="M419" i="11"/>
  <c r="M502" i="11"/>
  <c r="O252" i="11"/>
  <c r="Q340" i="11"/>
  <c r="O119" i="11"/>
  <c r="P298" i="11"/>
  <c r="M210" i="11"/>
  <c r="Q383" i="11"/>
  <c r="Q357" i="11"/>
  <c r="M149" i="11"/>
  <c r="Q407" i="11"/>
  <c r="P295" i="11"/>
  <c r="Q243" i="11"/>
  <c r="N302" i="11"/>
  <c r="N492" i="11"/>
  <c r="M393" i="11"/>
  <c r="P162" i="11"/>
  <c r="O363" i="11"/>
  <c r="M388" i="11"/>
  <c r="M370" i="11"/>
  <c r="Q155" i="11"/>
  <c r="N346" i="11"/>
  <c r="Q385" i="11"/>
  <c r="M500" i="11"/>
  <c r="N141" i="11"/>
  <c r="P470" i="11"/>
  <c r="M331" i="11"/>
  <c r="M117" i="11"/>
  <c r="N198" i="11"/>
  <c r="M198" i="11"/>
  <c r="O279" i="11"/>
  <c r="Q159" i="11"/>
  <c r="P141" i="11"/>
  <c r="N315" i="11"/>
  <c r="Q315" i="11"/>
  <c r="M326" i="11"/>
  <c r="P152" i="11"/>
  <c r="Q268" i="11"/>
  <c r="N495" i="11"/>
  <c r="O152" i="11"/>
  <c r="M195" i="11"/>
  <c r="M83" i="11"/>
  <c r="Q209" i="11"/>
  <c r="M73" i="11"/>
  <c r="P209" i="11"/>
  <c r="Q105" i="11"/>
  <c r="Q460" i="11"/>
  <c r="N446" i="11"/>
  <c r="P439" i="11"/>
  <c r="O72" i="11"/>
  <c r="O195" i="11"/>
  <c r="M490" i="11"/>
  <c r="M357" i="11"/>
  <c r="Q143" i="11"/>
  <c r="M125" i="11"/>
  <c r="N418" i="11"/>
  <c r="M455" i="11"/>
  <c r="N168" i="11"/>
  <c r="N84" i="11"/>
  <c r="M350" i="11"/>
  <c r="Q176" i="11"/>
  <c r="N487" i="11"/>
  <c r="Q331" i="11"/>
  <c r="Q88" i="11"/>
  <c r="Q486" i="11"/>
  <c r="N166" i="11"/>
  <c r="N434" i="11"/>
  <c r="O388" i="11"/>
  <c r="O203" i="11"/>
  <c r="O366" i="11"/>
  <c r="P103" i="11"/>
  <c r="P85" i="11"/>
  <c r="Q294" i="11"/>
  <c r="O209" i="11"/>
  <c r="Q336" i="11"/>
  <c r="Q291" i="11"/>
  <c r="M140" i="11"/>
  <c r="O153" i="11"/>
  <c r="P189" i="11"/>
  <c r="M88" i="11"/>
  <c r="N172" i="11"/>
  <c r="P187" i="11"/>
  <c r="P190" i="11"/>
  <c r="P200" i="11"/>
  <c r="Q448" i="11"/>
  <c r="P419" i="11"/>
  <c r="N475" i="11"/>
  <c r="Q307" i="11"/>
  <c r="N66" i="11"/>
  <c r="N373" i="11"/>
  <c r="N212" i="11"/>
  <c r="N406" i="11"/>
  <c r="Q422" i="11"/>
  <c r="M290" i="11"/>
  <c r="M244" i="11"/>
  <c r="P388" i="11"/>
  <c r="Q378" i="11"/>
  <c r="M425" i="11"/>
  <c r="Q468" i="11"/>
  <c r="O212" i="11"/>
  <c r="Q188" i="11"/>
  <c r="M278" i="11"/>
  <c r="P338" i="11"/>
  <c r="Q170" i="11"/>
  <c r="N176" i="11"/>
  <c r="N339" i="11"/>
  <c r="M430" i="11"/>
  <c r="Q500" i="11"/>
  <c r="P83" i="11"/>
  <c r="Q177" i="11"/>
  <c r="M356" i="11"/>
  <c r="O486" i="11"/>
  <c r="P500" i="11"/>
  <c r="O172" i="11"/>
  <c r="M309" i="11"/>
  <c r="N453" i="11"/>
  <c r="P393" i="11"/>
  <c r="M221" i="11"/>
  <c r="M346" i="11"/>
  <c r="Q365" i="11"/>
  <c r="N161" i="11"/>
  <c r="M363" i="11"/>
  <c r="Q181" i="11"/>
  <c r="N368" i="11"/>
  <c r="N83" i="11"/>
  <c r="P89" i="11"/>
  <c r="O237" i="11"/>
  <c r="Q313" i="11"/>
  <c r="Q492" i="11"/>
  <c r="Q323" i="11"/>
  <c r="O349" i="11"/>
  <c r="M240" i="11"/>
  <c r="N262" i="11"/>
  <c r="O407" i="11"/>
  <c r="M205" i="11"/>
  <c r="M69" i="11"/>
  <c r="M142" i="11"/>
  <c r="Q301" i="11"/>
  <c r="O258" i="11"/>
  <c r="O100" i="11"/>
  <c r="N467" i="11"/>
  <c r="Q120" i="11"/>
  <c r="N485" i="11"/>
  <c r="Q96" i="11"/>
  <c r="P144" i="11"/>
  <c r="O410" i="11"/>
  <c r="O167" i="11"/>
  <c r="Q99" i="11"/>
  <c r="Q430" i="11"/>
  <c r="O120" i="11"/>
  <c r="O69" i="11"/>
  <c r="N333" i="11"/>
  <c r="P241" i="11"/>
  <c r="O278" i="11"/>
  <c r="M478" i="11"/>
  <c r="O338" i="11"/>
  <c r="M373" i="11"/>
  <c r="Q470" i="11"/>
  <c r="Q212" i="11"/>
  <c r="P421" i="11"/>
  <c r="N312" i="11"/>
  <c r="P287" i="11"/>
  <c r="Q240" i="11"/>
  <c r="N381" i="11"/>
  <c r="O150" i="11"/>
  <c r="O73" i="11"/>
  <c r="N179" i="11"/>
  <c r="N86" i="11"/>
  <c r="Q235" i="11"/>
  <c r="O341" i="11"/>
  <c r="N391" i="11"/>
  <c r="O458" i="11"/>
  <c r="M252" i="11"/>
  <c r="M471" i="11"/>
  <c r="P281" i="11"/>
  <c r="P252" i="11"/>
  <c r="M444" i="11"/>
  <c r="M211" i="11"/>
  <c r="N236" i="11"/>
  <c r="Q260" i="11"/>
  <c r="M434" i="11"/>
  <c r="N79" i="11"/>
  <c r="M286" i="11"/>
  <c r="M339" i="11"/>
  <c r="Q84" i="11"/>
  <c r="Q205" i="11"/>
  <c r="M147" i="11"/>
  <c r="M298" i="11"/>
  <c r="N146" i="11"/>
  <c r="N331" i="11"/>
  <c r="N338" i="11"/>
  <c r="O233" i="11"/>
  <c r="P270" i="11"/>
  <c r="M74" i="11"/>
  <c r="M341" i="11"/>
  <c r="P142" i="11"/>
  <c r="P440" i="11"/>
  <c r="M245" i="11"/>
  <c r="O477" i="11"/>
  <c r="Q480" i="11"/>
  <c r="M162" i="11"/>
  <c r="M367" i="11"/>
  <c r="Q360" i="11"/>
  <c r="N289" i="11"/>
  <c r="N260" i="11"/>
  <c r="P259" i="11"/>
  <c r="P81" i="11"/>
  <c r="M185" i="11"/>
  <c r="M206" i="11"/>
  <c r="P201" i="11"/>
  <c r="Q451" i="11"/>
  <c r="M304" i="11"/>
  <c r="N469" i="11"/>
  <c r="O409" i="11"/>
  <c r="N448" i="11"/>
  <c r="O393" i="11"/>
  <c r="Q379" i="11"/>
  <c r="N330" i="11"/>
  <c r="P188" i="11"/>
  <c r="N392" i="11"/>
  <c r="N473" i="11"/>
  <c r="O359" i="11"/>
  <c r="O225" i="11"/>
  <c r="O385" i="11"/>
  <c r="O378" i="11"/>
  <c r="N241" i="11"/>
  <c r="N110" i="11"/>
  <c r="O162" i="11"/>
  <c r="N111" i="11"/>
  <c r="O367" i="11"/>
  <c r="N121" i="11"/>
  <c r="M336" i="11"/>
  <c r="P320" i="11"/>
  <c r="P414" i="11"/>
  <c r="Q94" i="11"/>
  <c r="O271" i="11"/>
  <c r="Q239" i="11"/>
  <c r="M75" i="11"/>
  <c r="M493" i="11"/>
  <c r="N480" i="11"/>
  <c r="O244" i="11"/>
  <c r="O339" i="11"/>
  <c r="O492" i="11"/>
  <c r="M327" i="11"/>
  <c r="O485" i="11"/>
  <c r="P251" i="11"/>
  <c r="M289" i="11"/>
  <c r="P353" i="11"/>
  <c r="Q287" i="11"/>
  <c r="Q423" i="11"/>
  <c r="Q241" i="11"/>
  <c r="N332" i="11"/>
  <c r="P106" i="11"/>
  <c r="N205" i="11"/>
  <c r="O75" i="11"/>
  <c r="N164" i="11"/>
  <c r="Q499" i="11"/>
  <c r="Q309" i="11"/>
  <c r="N90" i="11"/>
  <c r="O306" i="11"/>
  <c r="P502" i="11"/>
  <c r="N490" i="11"/>
  <c r="Q254" i="11"/>
  <c r="P185" i="11"/>
  <c r="O422" i="11"/>
  <c r="M324" i="11"/>
  <c r="M106" i="11"/>
  <c r="P72" i="11"/>
  <c r="N452" i="11"/>
  <c r="O343" i="11"/>
  <c r="Q79" i="11"/>
  <c r="N154" i="11"/>
  <c r="N279" i="11"/>
  <c r="O189" i="11"/>
  <c r="M99" i="11"/>
  <c r="O467" i="11"/>
  <c r="N228" i="11"/>
  <c r="O140" i="11"/>
  <c r="N393" i="11"/>
  <c r="O228" i="11"/>
  <c r="Q153" i="11"/>
  <c r="N92" i="11"/>
  <c r="O139" i="11"/>
  <c r="P66" i="11"/>
  <c r="P117" i="11"/>
  <c r="Q362" i="11"/>
  <c r="N361" i="11"/>
  <c r="P84" i="11"/>
  <c r="P116" i="11"/>
  <c r="P409" i="11"/>
  <c r="M332" i="11"/>
  <c r="Q431" i="11"/>
  <c r="M279" i="11"/>
  <c r="N256" i="11"/>
  <c r="O442" i="11"/>
  <c r="N383" i="11"/>
  <c r="O142" i="11"/>
  <c r="Q125" i="11"/>
  <c r="O264" i="11"/>
  <c r="M365" i="11"/>
  <c r="N115" i="11"/>
  <c r="P99" i="11"/>
  <c r="O287" i="11"/>
  <c r="O302" i="11"/>
  <c r="P153" i="11"/>
  <c r="Q255" i="11"/>
  <c r="M102" i="11"/>
  <c r="N170" i="11"/>
  <c r="Q494" i="11"/>
  <c r="O204" i="11"/>
  <c r="P406" i="11"/>
  <c r="O403" i="11"/>
  <c r="P385" i="11"/>
  <c r="Q339" i="11"/>
  <c r="N149" i="11"/>
  <c r="O439" i="11"/>
  <c r="M307" i="11"/>
  <c r="Q449" i="11"/>
  <c r="Q332" i="11"/>
  <c r="P432" i="11"/>
  <c r="N277" i="11"/>
  <c r="O200" i="11"/>
  <c r="N306" i="11"/>
  <c r="M141" i="11"/>
  <c r="O435" i="11"/>
  <c r="P264" i="11"/>
  <c r="N189" i="11"/>
  <c r="Q91" i="11"/>
  <c r="Q453" i="11"/>
  <c r="O315" i="11"/>
  <c r="N460" i="11"/>
  <c r="O178" i="11"/>
  <c r="O268" i="11"/>
  <c r="Q348" i="11"/>
  <c r="P448" i="11"/>
  <c r="P262" i="11"/>
  <c r="P255" i="11"/>
  <c r="Q417" i="11"/>
  <c r="O406" i="11"/>
  <c r="P170" i="11"/>
  <c r="M448" i="11"/>
  <c r="Q206" i="11"/>
  <c r="Q251" i="11"/>
  <c r="M362" i="11"/>
  <c r="P237" i="11"/>
  <c r="Q493" i="11"/>
  <c r="O368" i="11"/>
  <c r="Q213" i="11"/>
  <c r="Q233" i="11"/>
  <c r="N499" i="11"/>
  <c r="M311" i="11"/>
  <c r="Q81" i="11"/>
  <c r="P332" i="11"/>
  <c r="M447" i="11"/>
  <c r="O103" i="11"/>
  <c r="O298" i="11"/>
  <c r="O386" i="11"/>
  <c r="M91" i="11"/>
  <c r="P313" i="11"/>
  <c r="M164" i="11"/>
  <c r="M383" i="11"/>
  <c r="O263" i="11"/>
  <c r="M468" i="11"/>
  <c r="Q414" i="11"/>
  <c r="Q75" i="11"/>
  <c r="O404" i="11"/>
  <c r="O198" i="11"/>
  <c r="M67" i="11"/>
  <c r="M409" i="11"/>
  <c r="O94" i="11"/>
  <c r="N100" i="11"/>
  <c r="M232" i="11"/>
  <c r="N379" i="11"/>
  <c r="O295" i="11"/>
  <c r="O494" i="11"/>
  <c r="N251" i="11"/>
  <c r="O232" i="11"/>
  <c r="O70" i="11"/>
  <c r="M243" i="11"/>
  <c r="P361" i="11"/>
  <c r="O82" i="11"/>
  <c r="M148" i="11"/>
  <c r="N82" i="11"/>
  <c r="Q435" i="11"/>
  <c r="N438" i="11"/>
  <c r="Q106" i="11"/>
  <c r="M449" i="11"/>
  <c r="P290" i="11"/>
  <c r="Q418" i="11"/>
  <c r="Q343" i="11"/>
  <c r="P155" i="11"/>
  <c r="M384" i="11"/>
  <c r="O423" i="11"/>
  <c r="M418" i="11"/>
  <c r="M442" i="11"/>
  <c r="Q200" i="11"/>
  <c r="N440" i="11"/>
  <c r="O370" i="11"/>
  <c r="M86" i="11"/>
  <c r="M225" i="11"/>
  <c r="O86" i="11"/>
  <c r="N426" i="11"/>
  <c r="Q400" i="11"/>
  <c r="O346" i="11"/>
  <c r="O344" i="11"/>
  <c r="O330" i="11"/>
  <c r="O143" i="11"/>
  <c r="M72" i="11"/>
  <c r="P418" i="11"/>
  <c r="M473" i="11"/>
  <c r="M82" i="11"/>
  <c r="Q300" i="11"/>
  <c r="Q277" i="11"/>
  <c r="P181" i="11"/>
  <c r="O380" i="11"/>
  <c r="N239" i="11"/>
  <c r="P319" i="11"/>
  <c r="M90" i="11"/>
  <c r="P430" i="11"/>
  <c r="Q425" i="11"/>
  <c r="O106" i="11"/>
  <c r="M472" i="11"/>
  <c r="Q178" i="11"/>
  <c r="P236" i="11"/>
  <c r="M215" i="11"/>
  <c r="P324" i="11"/>
  <c r="P90" i="11"/>
  <c r="O116" i="11"/>
  <c r="P468" i="11"/>
  <c r="O283" i="11"/>
  <c r="N442" i="11"/>
  <c r="Q245" i="11"/>
  <c r="O235" i="11"/>
  <c r="O155" i="11"/>
  <c r="R216" i="11"/>
  <c r="R338" i="11"/>
  <c r="R198" i="11"/>
  <c r="R334" i="11"/>
  <c r="R303" i="11"/>
  <c r="R126" i="11"/>
  <c r="R356" i="11"/>
  <c r="R406" i="11"/>
  <c r="R152" i="11"/>
  <c r="R113" i="11"/>
  <c r="R380" i="11"/>
  <c r="R330" i="11"/>
  <c r="R148" i="11"/>
  <c r="R240" i="11"/>
  <c r="R284" i="11"/>
  <c r="R461" i="11"/>
  <c r="R89" i="11"/>
  <c r="R352" i="11"/>
  <c r="R81" i="11"/>
  <c r="R159" i="11"/>
  <c r="R383" i="11"/>
  <c r="R87" i="11"/>
  <c r="R145" i="11"/>
  <c r="R73" i="11"/>
  <c r="R410" i="11"/>
  <c r="R286" i="11"/>
  <c r="R389" i="11"/>
  <c r="R398" i="11"/>
  <c r="R468" i="11"/>
  <c r="R490" i="11"/>
  <c r="R355" i="11"/>
  <c r="R91" i="11"/>
  <c r="R104" i="11"/>
  <c r="R272" i="11"/>
  <c r="R160" i="11"/>
  <c r="R492" i="11"/>
  <c r="R214" i="11"/>
  <c r="R109" i="11"/>
  <c r="R290" i="11"/>
  <c r="R208" i="11"/>
  <c r="R282" i="11"/>
  <c r="R241" i="11"/>
  <c r="R262" i="11"/>
  <c r="R412" i="11"/>
  <c r="R227" i="11"/>
  <c r="R496" i="11"/>
  <c r="R345" i="11"/>
  <c r="P73" i="11"/>
  <c r="P392" i="11"/>
  <c r="M220" i="11"/>
  <c r="Q82" i="11"/>
  <c r="M452" i="11"/>
  <c r="N423" i="11"/>
  <c r="P178" i="11"/>
  <c r="Q482" i="11"/>
  <c r="R165" i="11"/>
  <c r="R408" i="11"/>
  <c r="R384" i="11"/>
  <c r="R430" i="11"/>
  <c r="R288" i="11"/>
  <c r="R271" i="11"/>
  <c r="R424" i="11"/>
  <c r="R111" i="11"/>
  <c r="N472" i="11"/>
  <c r="Q434" i="11"/>
  <c r="N78" i="11"/>
  <c r="M292" i="11"/>
  <c r="P235" i="11"/>
  <c r="M260" i="11"/>
  <c r="O239" i="11"/>
  <c r="P341" i="11"/>
  <c r="M387" i="11"/>
  <c r="Q272" i="11"/>
  <c r="N67" i="11"/>
  <c r="Q220" i="11"/>
  <c r="P143" i="11"/>
  <c r="D138" i="1"/>
  <c r="P340" i="11"/>
  <c r="M179" i="11"/>
  <c r="O219" i="11"/>
  <c r="M92" i="11"/>
  <c r="Q89" i="11"/>
  <c r="O126" i="11"/>
  <c r="Q199" i="11"/>
  <c r="N253" i="11"/>
  <c r="Q185" i="11"/>
  <c r="N215" i="11"/>
  <c r="N311" i="11"/>
  <c r="O487" i="11"/>
  <c r="P426" i="11"/>
  <c r="M263" i="11"/>
  <c r="Q186" i="11"/>
  <c r="M236" i="11"/>
  <c r="N395" i="11"/>
  <c r="N430" i="11"/>
  <c r="M277" i="11"/>
  <c r="Q73" i="11"/>
  <c r="O324" i="11"/>
  <c r="P436" i="11"/>
  <c r="O220" i="11"/>
  <c r="P449" i="11"/>
  <c r="P126" i="11"/>
  <c r="R245" i="11"/>
  <c r="R142" i="11"/>
  <c r="R194" i="11"/>
  <c r="R289" i="11"/>
  <c r="R285" i="11"/>
  <c r="R353" i="11"/>
  <c r="R88" i="11"/>
  <c r="R120" i="11"/>
  <c r="R94" i="11"/>
  <c r="R358" i="11"/>
  <c r="R332" i="11"/>
  <c r="R92" i="11"/>
  <c r="R106" i="11"/>
  <c r="R103" i="11"/>
  <c r="R372" i="11"/>
  <c r="R248" i="11"/>
  <c r="R344" i="11"/>
  <c r="R253" i="11"/>
  <c r="R264" i="11"/>
  <c r="R379" i="11"/>
  <c r="R444" i="11"/>
  <c r="R443" i="11"/>
  <c r="R114" i="11"/>
  <c r="R67" i="11"/>
  <c r="R307" i="11"/>
  <c r="R501" i="11"/>
  <c r="R175" i="11"/>
  <c r="R173" i="11"/>
  <c r="R442" i="11"/>
  <c r="R221" i="11"/>
  <c r="R71" i="11"/>
  <c r="R420" i="11"/>
  <c r="R474" i="11"/>
  <c r="R206" i="11"/>
  <c r="R147" i="11"/>
  <c r="R369" i="11"/>
  <c r="R312" i="11"/>
  <c r="R224" i="11"/>
  <c r="R219" i="11"/>
  <c r="R401" i="11"/>
  <c r="R397" i="11"/>
  <c r="R373" i="11"/>
  <c r="R137" i="11"/>
  <c r="R246" i="11"/>
  <c r="R75" i="11"/>
  <c r="R72" i="11"/>
  <c r="R121" i="11"/>
  <c r="R323" i="11"/>
  <c r="R375" i="11"/>
  <c r="R465" i="11"/>
  <c r="R233" i="11"/>
  <c r="R278" i="11"/>
  <c r="R281" i="11"/>
  <c r="R98" i="11"/>
  <c r="R328" i="11"/>
  <c r="R291" i="11"/>
  <c r="R144" i="11"/>
  <c r="R228" i="11"/>
  <c r="R223" i="11"/>
  <c r="R276" i="11"/>
  <c r="R115" i="11"/>
  <c r="R483" i="11"/>
  <c r="R225" i="11"/>
  <c r="R163" i="11"/>
  <c r="R367" i="11"/>
  <c r="M272" i="11"/>
  <c r="P423" i="11"/>
  <c r="O387" i="11"/>
  <c r="M65" i="11"/>
  <c r="Q179" i="11"/>
  <c r="R388" i="11"/>
  <c r="R327" i="11"/>
  <c r="R196" i="11"/>
  <c r="R329" i="11"/>
  <c r="R260" i="11"/>
  <c r="R381" i="11"/>
  <c r="R371" i="11"/>
  <c r="N244" i="11"/>
  <c r="Q467" i="11"/>
  <c r="N159" i="11"/>
  <c r="M271" i="11"/>
  <c r="N232" i="11"/>
  <c r="P380" i="11"/>
  <c r="O90" i="11"/>
  <c r="Q363" i="11"/>
  <c r="O418" i="11"/>
  <c r="Q502" i="11"/>
  <c r="Q353" i="11"/>
  <c r="O199" i="11"/>
  <c r="N143" i="11"/>
  <c r="P179" i="11"/>
  <c r="P368" i="11"/>
  <c r="N352" i="11"/>
  <c r="O352" i="11"/>
  <c r="M347" i="11"/>
  <c r="N237" i="11"/>
  <c r="N353" i="11"/>
  <c r="M436" i="11"/>
  <c r="O179" i="11"/>
  <c r="M208" i="11"/>
  <c r="Q90" i="11"/>
  <c r="M116" i="11"/>
  <c r="O340" i="11"/>
  <c r="M440" i="11"/>
  <c r="N81" i="11"/>
  <c r="Q225" i="11"/>
  <c r="N435" i="11"/>
  <c r="P422" i="11"/>
  <c r="P407" i="11"/>
  <c r="N400" i="11"/>
  <c r="O148" i="11"/>
  <c r="N89" i="11"/>
  <c r="P401" i="11"/>
  <c r="M366" i="11"/>
  <c r="Q210" i="11"/>
  <c r="Q232" i="11"/>
  <c r="R256" i="11"/>
  <c r="R331" i="11"/>
  <c r="R280" i="11"/>
  <c r="R189" i="11"/>
  <c r="R396" i="11"/>
  <c r="R283" i="11"/>
  <c r="R392" i="11"/>
  <c r="R421" i="11"/>
  <c r="R193" i="11"/>
  <c r="R462" i="11"/>
  <c r="R368" i="11"/>
  <c r="R486" i="11"/>
  <c r="R362" i="11"/>
  <c r="R313" i="11"/>
  <c r="R265" i="11"/>
  <c r="R131" i="11"/>
  <c r="R418" i="11"/>
  <c r="R447" i="11"/>
  <c r="R363" i="11"/>
  <c r="R458" i="11"/>
  <c r="R217" i="11"/>
  <c r="R105" i="11"/>
  <c r="R310" i="11"/>
  <c r="R86" i="11"/>
  <c r="R415" i="11"/>
  <c r="R488" i="11"/>
  <c r="R297" i="11"/>
  <c r="R394" i="11"/>
  <c r="R292" i="11"/>
  <c r="R254" i="11"/>
  <c r="R171" i="11"/>
  <c r="R354" i="11"/>
  <c r="R395" i="11"/>
  <c r="R83" i="11"/>
  <c r="R405" i="11"/>
  <c r="R205" i="11"/>
  <c r="R467" i="11"/>
  <c r="R118" i="11"/>
  <c r="R237" i="11"/>
  <c r="R309" i="11"/>
  <c r="R277" i="11"/>
  <c r="R65" i="11"/>
  <c r="R298" i="11"/>
  <c r="R255" i="11"/>
  <c r="R235" i="11"/>
  <c r="R90" i="11"/>
  <c r="R161" i="11"/>
  <c r="R476" i="11"/>
  <c r="R263" i="11"/>
  <c r="R463" i="11"/>
  <c r="R266" i="11"/>
  <c r="R385" i="11"/>
  <c r="R123" i="11"/>
  <c r="R96" i="11"/>
  <c r="R321" i="11"/>
  <c r="Q215" i="11"/>
  <c r="Q424" i="11"/>
  <c r="O243" i="11"/>
  <c r="Q281" i="11"/>
  <c r="P384" i="11"/>
  <c r="R436" i="11"/>
  <c r="R167" i="11"/>
  <c r="R153" i="11"/>
  <c r="R139" i="11"/>
  <c r="R428" i="11"/>
  <c r="R122" i="11"/>
  <c r="R127" i="11"/>
  <c r="R489" i="11"/>
  <c r="R136" i="11"/>
  <c r="O333" i="11"/>
  <c r="Q219" i="11"/>
  <c r="O221" i="11"/>
  <c r="Q390" i="11"/>
  <c r="Q78" i="11"/>
  <c r="N221" i="11"/>
  <c r="N181" i="11"/>
  <c r="P435" i="11"/>
  <c r="P132" i="11"/>
  <c r="Q344" i="11"/>
  <c r="P451" i="11"/>
  <c r="N116" i="11"/>
  <c r="P219" i="11"/>
  <c r="Q440" i="11"/>
  <c r="P258" i="11"/>
  <c r="Q368" i="11"/>
  <c r="M203" i="11"/>
  <c r="O332" i="11"/>
  <c r="N347" i="11"/>
  <c r="N451" i="11"/>
  <c r="Q320" i="11"/>
  <c r="N190" i="11"/>
  <c r="N178" i="11"/>
  <c r="N380" i="11"/>
  <c r="N340" i="11"/>
  <c r="Q262" i="11"/>
  <c r="P413" i="11"/>
  <c r="M423" i="11"/>
  <c r="N366" i="11"/>
  <c r="O300" i="11"/>
  <c r="M368" i="11"/>
  <c r="P191" i="11"/>
  <c r="M392" i="11"/>
  <c r="P271" i="11"/>
  <c r="P260" i="11"/>
  <c r="Q347" i="11"/>
  <c r="P215" i="11"/>
  <c r="M457" i="11"/>
  <c r="O241" i="11"/>
  <c r="R82" i="11"/>
  <c r="R117" i="11"/>
  <c r="R93" i="11"/>
  <c r="R351" i="11"/>
  <c r="R322" i="11"/>
  <c r="R199" i="11"/>
  <c r="R143" i="11"/>
  <c r="R301" i="11"/>
  <c r="R319" i="11"/>
  <c r="R101" i="11"/>
  <c r="R431" i="11"/>
  <c r="R236" i="11"/>
  <c r="R393" i="11"/>
  <c r="R110" i="11"/>
  <c r="R201" i="11"/>
  <c r="R273" i="11"/>
  <c r="R340" i="11"/>
  <c r="R472" i="11"/>
  <c r="R482" i="11"/>
  <c r="R188" i="11"/>
  <c r="R230" i="11"/>
  <c r="R184" i="11"/>
  <c r="R437" i="11"/>
  <c r="R349" i="11"/>
  <c r="R140" i="11"/>
  <c r="R135" i="11"/>
  <c r="R386" i="11"/>
  <c r="R296" i="11"/>
  <c r="R370" i="11"/>
  <c r="R209" i="11"/>
  <c r="R503" i="11"/>
  <c r="R174" i="11"/>
  <c r="R181" i="11"/>
  <c r="R452" i="11"/>
  <c r="R99" i="11"/>
  <c r="R102" i="11"/>
  <c r="R134" i="11"/>
  <c r="R129" i="11"/>
  <c r="R178" i="11"/>
  <c r="R238" i="11"/>
  <c r="R315" i="11"/>
  <c r="R247" i="11"/>
  <c r="R425" i="11"/>
  <c r="R409" i="11"/>
  <c r="R376" i="11"/>
  <c r="R169" i="11"/>
  <c r="R439" i="11"/>
  <c r="O413" i="11"/>
  <c r="O130" i="11"/>
  <c r="P245" i="11"/>
  <c r="O436" i="11"/>
  <c r="O468" i="11"/>
  <c r="N73" i="11"/>
  <c r="Q352" i="11"/>
  <c r="O186" i="11"/>
  <c r="R305" i="11"/>
  <c r="R343" i="11"/>
  <c r="R170" i="11"/>
  <c r="R475" i="11"/>
  <c r="R156" i="11"/>
  <c r="R220" i="11"/>
  <c r="R485" i="11"/>
  <c r="R133" i="11"/>
  <c r="P487" i="11"/>
  <c r="O448" i="11"/>
  <c r="M186" i="11"/>
  <c r="P221" i="11"/>
  <c r="O208" i="11"/>
  <c r="N201" i="11"/>
  <c r="N233" i="11"/>
  <c r="N245" i="11"/>
  <c r="P239" i="11"/>
  <c r="D135" i="1"/>
  <c r="O176" i="11"/>
  <c r="M219" i="11"/>
  <c r="N482" i="11"/>
  <c r="P216" i="11"/>
  <c r="Q452" i="11"/>
  <c r="N486" i="11"/>
  <c r="P473" i="11"/>
  <c r="M481" i="11"/>
  <c r="Q292" i="11"/>
  <c r="P346" i="11"/>
  <c r="M320" i="11"/>
  <c r="N210" i="11"/>
  <c r="M119" i="11"/>
  <c r="P292" i="11"/>
  <c r="O245" i="11"/>
  <c r="M486" i="11"/>
  <c r="P330" i="11"/>
  <c r="O127" i="11"/>
  <c r="O473" i="11"/>
  <c r="Q438" i="11"/>
  <c r="P92" i="11"/>
  <c r="Q370" i="11"/>
  <c r="Q395" i="11"/>
  <c r="N216" i="11"/>
  <c r="O426" i="11"/>
  <c r="N199" i="11"/>
  <c r="P333" i="11"/>
  <c r="P347" i="11"/>
  <c r="Q238" i="11"/>
  <c r="R306" i="11"/>
  <c r="R365" i="11"/>
  <c r="R158" i="11"/>
  <c r="R76" i="11"/>
  <c r="R190" i="11"/>
  <c r="R258" i="11"/>
  <c r="R279" i="11"/>
  <c r="R414" i="11"/>
  <c r="R261" i="11"/>
  <c r="R107" i="11"/>
  <c r="R435" i="11"/>
  <c r="R252" i="11"/>
  <c r="R378" i="11"/>
  <c r="R495" i="11"/>
  <c r="R176" i="11"/>
  <c r="R68" i="11"/>
  <c r="R130" i="11"/>
  <c r="R259" i="11"/>
  <c r="R432" i="11"/>
  <c r="R460" i="11"/>
  <c r="R484" i="11"/>
  <c r="R3" i="11"/>
  <c r="R257" i="11"/>
  <c r="R302" i="11"/>
  <c r="R407" i="11"/>
  <c r="R222" i="11"/>
  <c r="R441" i="11"/>
  <c r="R293" i="11"/>
  <c r="R413" i="11"/>
  <c r="R470" i="11"/>
  <c r="R498" i="11"/>
  <c r="R456" i="11"/>
  <c r="R438" i="11"/>
  <c r="R499" i="11"/>
  <c r="R494" i="11"/>
  <c r="R182" i="11"/>
  <c r="R287" i="11"/>
  <c r="R464" i="11"/>
  <c r="R200" i="11"/>
  <c r="R204" i="11"/>
  <c r="R455" i="11"/>
  <c r="R172" i="11"/>
  <c r="R183" i="11"/>
  <c r="R400" i="11"/>
  <c r="R423" i="11"/>
  <c r="R295" i="11"/>
  <c r="R387" i="11"/>
  <c r="R207" i="11"/>
  <c r="R391" i="11"/>
  <c r="R97" i="11"/>
  <c r="R320" i="11"/>
  <c r="R491" i="11"/>
  <c r="M237" i="11"/>
  <c r="N126" i="11"/>
  <c r="P127" i="11"/>
  <c r="Q116" i="11"/>
  <c r="Q413" i="11"/>
  <c r="R270" i="11"/>
  <c r="R226" i="11"/>
  <c r="R195" i="11"/>
  <c r="R79" i="11"/>
  <c r="R403" i="11"/>
  <c r="R300" i="11"/>
  <c r="P425" i="11"/>
  <c r="N142" i="11"/>
  <c r="M424" i="11"/>
  <c r="M160" i="11"/>
  <c r="P164" i="11"/>
  <c r="M233" i="11"/>
  <c r="M159" i="11"/>
  <c r="M79" i="11"/>
  <c r="O191" i="11"/>
  <c r="Q127" i="11"/>
  <c r="Q70" i="11"/>
  <c r="O92" i="11"/>
  <c r="O472" i="11"/>
  <c r="P315" i="11"/>
  <c r="O392" i="11"/>
  <c r="P70" i="11"/>
  <c r="P438" i="11"/>
  <c r="P160" i="11"/>
  <c r="P220" i="11"/>
  <c r="M81" i="11"/>
  <c r="Q436" i="11"/>
  <c r="O440" i="11"/>
  <c r="P228" i="11"/>
  <c r="P378" i="11"/>
  <c r="Q256" i="11"/>
  <c r="N402" i="11"/>
  <c r="Q426" i="11"/>
  <c r="N449" i="11"/>
  <c r="M402" i="11"/>
  <c r="Q130" i="11"/>
  <c r="M241" i="11"/>
  <c r="Q74" i="11"/>
  <c r="O79" i="11"/>
  <c r="Q393" i="11"/>
  <c r="P457" i="11"/>
  <c r="Q472" i="11"/>
  <c r="N272" i="11"/>
  <c r="Q346" i="11"/>
  <c r="N208" i="11"/>
  <c r="R360" i="11"/>
  <c r="R202" i="11"/>
  <c r="R274" i="11"/>
  <c r="R85" i="11"/>
  <c r="R366" i="11"/>
  <c r="R243" i="11"/>
  <c r="R239" i="11"/>
  <c r="R359" i="11"/>
  <c r="R480" i="11"/>
  <c r="R497" i="11"/>
  <c r="R185" i="11"/>
  <c r="R422" i="11"/>
  <c r="R336" i="11"/>
  <c r="R166" i="11"/>
  <c r="R192" i="11"/>
  <c r="R402" i="11"/>
  <c r="R426" i="11"/>
  <c r="R162" i="11"/>
  <c r="R268" i="11"/>
  <c r="R339" i="11"/>
  <c r="R249" i="11"/>
  <c r="R112" i="11"/>
  <c r="R502" i="11"/>
  <c r="R487" i="11"/>
  <c r="R466" i="11"/>
  <c r="R399" i="11"/>
  <c r="R411" i="11"/>
  <c r="R179" i="11"/>
  <c r="R251" i="11"/>
  <c r="R168" i="11"/>
  <c r="R417" i="11"/>
  <c r="R459" i="11"/>
  <c r="R215" i="11"/>
  <c r="R203" i="11"/>
  <c r="R448" i="11"/>
  <c r="R471" i="11"/>
  <c r="R197" i="11"/>
  <c r="R70" i="11"/>
  <c r="R69" i="11"/>
  <c r="R481" i="11"/>
  <c r="R187" i="11"/>
  <c r="R229" i="11"/>
  <c r="R234" i="11"/>
  <c r="R186" i="11"/>
  <c r="R346" i="11"/>
  <c r="R213" i="11"/>
  <c r="R445" i="11"/>
  <c r="R157" i="11"/>
  <c r="R242" i="11"/>
  <c r="R267" i="11"/>
  <c r="R390" i="11"/>
  <c r="R434" i="11"/>
  <c r="R427" i="11"/>
  <c r="R250" i="11"/>
  <c r="R454" i="11"/>
  <c r="R348" i="11"/>
  <c r="R335" i="11"/>
  <c r="N431" i="11"/>
  <c r="O277" i="11"/>
  <c r="N200" i="11"/>
  <c r="O210" i="11"/>
  <c r="R500" i="11"/>
  <c r="R477" i="11"/>
  <c r="R479" i="11"/>
  <c r="R138" i="11"/>
  <c r="R132" i="11"/>
  <c r="R177" i="11"/>
  <c r="R212" i="11"/>
  <c r="R211" i="11"/>
  <c r="R374" i="11"/>
  <c r="Q487" i="11"/>
  <c r="M216" i="11"/>
  <c r="O384" i="11"/>
  <c r="M435" i="11"/>
  <c r="O253" i="11"/>
  <c r="O181" i="11"/>
  <c r="N468" i="11"/>
  <c r="Q330" i="11"/>
  <c r="O395" i="11"/>
  <c r="P233" i="11"/>
  <c r="P311" i="11"/>
  <c r="Q148" i="11"/>
  <c r="O74" i="11"/>
  <c r="M239" i="11"/>
  <c r="O499" i="11"/>
  <c r="O438" i="11"/>
  <c r="Q271" i="11"/>
  <c r="N243" i="11"/>
  <c r="M255" i="11"/>
  <c r="Q306" i="11"/>
  <c r="N384" i="11"/>
  <c r="O238" i="11"/>
  <c r="N436" i="11"/>
  <c r="M400" i="11"/>
  <c r="Q388" i="11"/>
  <c r="P482" i="11"/>
  <c r="M395" i="11"/>
  <c r="Q290" i="11"/>
  <c r="O320" i="11"/>
  <c r="P288" i="11"/>
  <c r="P452" i="11"/>
  <c r="M178" i="11"/>
  <c r="N290" i="11"/>
  <c r="N494" i="11"/>
  <c r="P210" i="11"/>
  <c r="P149" i="11"/>
  <c r="M130" i="11"/>
  <c r="N119" i="11"/>
  <c r="P424" i="11"/>
  <c r="R116" i="11"/>
  <c r="R446" i="11"/>
  <c r="R80" i="11"/>
  <c r="R304" i="11"/>
  <c r="R119" i="11"/>
  <c r="R191" i="11"/>
  <c r="R347" i="11"/>
  <c r="R361" i="11"/>
  <c r="R342" i="11"/>
  <c r="E25" i="1"/>
  <c r="R451" i="11"/>
  <c r="R311" i="11"/>
  <c r="R493" i="11"/>
  <c r="R146" i="11"/>
  <c r="R450" i="11"/>
  <c r="R155" i="11"/>
  <c r="R473" i="11"/>
  <c r="R469" i="11"/>
  <c r="R66" i="11"/>
  <c r="R364" i="11"/>
  <c r="R108" i="11"/>
  <c r="R416" i="11"/>
  <c r="R74" i="11"/>
  <c r="R141" i="11"/>
  <c r="R149" i="11"/>
  <c r="R316" i="11"/>
  <c r="R308" i="11"/>
  <c r="R164" i="11"/>
  <c r="R419" i="11"/>
  <c r="R128" i="11"/>
  <c r="R429" i="11"/>
  <c r="R317" i="11"/>
  <c r="R440" i="11"/>
  <c r="R294" i="11"/>
  <c r="R125" i="11"/>
  <c r="R84" i="11"/>
  <c r="R218" i="11"/>
  <c r="R232" i="11"/>
  <c r="R78" i="11"/>
  <c r="R350" i="11"/>
  <c r="R314" i="11"/>
  <c r="R299" i="11"/>
  <c r="R318" i="11"/>
  <c r="R210" i="11"/>
  <c r="R150" i="11"/>
  <c r="R333" i="11"/>
  <c r="R151" i="11"/>
  <c r="R77" i="11"/>
  <c r="R377" i="11"/>
  <c r="R275" i="11"/>
  <c r="R341" i="11"/>
  <c r="R453" i="11"/>
  <c r="R382" i="11"/>
  <c r="R326" i="11"/>
  <c r="R124" i="11"/>
  <c r="R324" i="11"/>
  <c r="R357" i="11"/>
  <c r="R180" i="11"/>
  <c r="R478" i="11"/>
  <c r="R100" i="11"/>
  <c r="R325" i="11"/>
  <c r="R404" i="11"/>
  <c r="R337" i="11"/>
  <c r="Q259" i="11"/>
  <c r="N148" i="11"/>
  <c r="P490" i="11"/>
  <c r="Q392" i="11"/>
  <c r="R449" i="11"/>
  <c r="R457" i="11"/>
  <c r="R244" i="11"/>
  <c r="R269" i="11"/>
  <c r="R154" i="11"/>
  <c r="R433" i="11"/>
  <c r="R231" i="11"/>
  <c r="R95" i="11"/>
  <c r="M26" i="1"/>
  <c r="N26" i="1" s="1"/>
  <c r="S402" i="11"/>
  <c r="S196" i="11"/>
  <c r="S205" i="11"/>
  <c r="S96" i="11"/>
  <c r="S441" i="11"/>
  <c r="S325" i="11"/>
  <c r="S131" i="11"/>
  <c r="S442" i="11"/>
  <c r="S278" i="11"/>
  <c r="S319" i="11"/>
  <c r="S315" i="11"/>
  <c r="S296" i="11"/>
  <c r="S329" i="11"/>
  <c r="S395" i="11"/>
  <c r="S221" i="11"/>
  <c r="S264" i="11"/>
  <c r="S67" i="11"/>
  <c r="S204" i="11"/>
  <c r="S261" i="11"/>
  <c r="S308" i="11"/>
  <c r="S330" i="11"/>
  <c r="S245" i="11"/>
  <c r="S203" i="11"/>
  <c r="S339" i="11"/>
  <c r="S222" i="11"/>
  <c r="S122" i="11"/>
  <c r="S242" i="11"/>
  <c r="S228" i="11"/>
  <c r="S186" i="11"/>
  <c r="S211" i="11"/>
  <c r="S99" i="11"/>
  <c r="S446" i="11"/>
  <c r="S461" i="11"/>
  <c r="S165" i="11"/>
  <c r="S503" i="11"/>
  <c r="S232" i="11"/>
  <c r="S230" i="11"/>
  <c r="S167" i="11"/>
  <c r="S161" i="11"/>
  <c r="S303" i="11"/>
  <c r="S214" i="11"/>
  <c r="S119" i="11"/>
  <c r="S324" i="11"/>
  <c r="S146" i="11"/>
  <c r="S359" i="11"/>
  <c r="S376" i="11"/>
  <c r="S180" i="11"/>
  <c r="S116" i="11"/>
  <c r="S141" i="11"/>
  <c r="S314" i="11"/>
  <c r="S172" i="11"/>
  <c r="S447" i="11"/>
  <c r="S144" i="11"/>
  <c r="S463" i="11"/>
  <c r="S396" i="11"/>
  <c r="S386" i="11"/>
  <c r="S107" i="11"/>
  <c r="S482" i="11"/>
  <c r="S253" i="11"/>
  <c r="S382" i="11"/>
  <c r="S358" i="11"/>
  <c r="S279" i="11"/>
  <c r="S444" i="11"/>
  <c r="S284" i="11"/>
  <c r="S226" i="11"/>
  <c r="S459" i="11"/>
  <c r="S71" i="11"/>
  <c r="S464" i="11"/>
  <c r="S145" i="11"/>
  <c r="S199" i="11"/>
  <c r="S381" i="11"/>
  <c r="S166" i="11"/>
  <c r="S66" i="11"/>
  <c r="S305" i="11"/>
  <c r="S151" i="11"/>
  <c r="S113" i="11"/>
  <c r="S418" i="11"/>
  <c r="S111" i="11"/>
  <c r="S323" i="11"/>
  <c r="S206" i="11"/>
  <c r="S417" i="11"/>
  <c r="S85" i="11"/>
  <c r="S363" i="11"/>
  <c r="S90" i="11"/>
  <c r="S159" i="11"/>
  <c r="S262" i="11"/>
  <c r="S147" i="11"/>
  <c r="S265" i="11"/>
  <c r="S273" i="11"/>
  <c r="S378" i="11"/>
  <c r="S336" i="11"/>
  <c r="S213" i="11"/>
  <c r="S369" i="11"/>
  <c r="S375" i="11"/>
  <c r="S310" i="11"/>
  <c r="S498" i="11"/>
  <c r="S283" i="11"/>
  <c r="S69" i="11"/>
  <c r="S182" i="11"/>
  <c r="S495" i="11"/>
  <c r="S373" i="11"/>
  <c r="S229" i="11"/>
  <c r="S248" i="11"/>
  <c r="S316" i="11"/>
  <c r="S392" i="11"/>
  <c r="S117" i="11"/>
  <c r="S288" i="11"/>
  <c r="S500" i="11"/>
  <c r="S456" i="11"/>
  <c r="S193" i="11"/>
  <c r="S490" i="11"/>
  <c r="S422" i="11"/>
  <c r="S177" i="11"/>
  <c r="S139" i="11"/>
  <c r="S493" i="11"/>
  <c r="S115" i="11"/>
  <c r="S364" i="11"/>
  <c r="S282" i="11"/>
  <c r="S286" i="11"/>
  <c r="S285" i="11"/>
  <c r="S250" i="11"/>
  <c r="S297" i="11"/>
  <c r="S414" i="11"/>
  <c r="S338" i="11"/>
  <c r="S478" i="11"/>
  <c r="S331" i="11"/>
  <c r="S86" i="11"/>
  <c r="S148" i="11"/>
  <c r="S290" i="11"/>
  <c r="S326" i="11"/>
  <c r="S140" i="11"/>
  <c r="S109" i="11"/>
  <c r="S227" i="11"/>
  <c r="S171" i="11"/>
  <c r="S181" i="11"/>
  <c r="S387" i="11"/>
  <c r="S481" i="11"/>
  <c r="S268" i="11"/>
  <c r="S158" i="11"/>
  <c r="S234" i="11"/>
  <c r="S473" i="11"/>
  <c r="S260" i="11"/>
  <c r="S438" i="11"/>
  <c r="S480" i="11"/>
  <c r="S470" i="11"/>
  <c r="S101" i="11"/>
  <c r="S399" i="11"/>
  <c r="S487" i="11"/>
  <c r="S179" i="11"/>
  <c r="S91" i="11"/>
  <c r="S365" i="11"/>
  <c r="S218" i="11"/>
  <c r="S483" i="11"/>
  <c r="S133" i="11"/>
  <c r="S126" i="11"/>
  <c r="S400" i="11"/>
  <c r="S406" i="11"/>
  <c r="S188" i="11"/>
  <c r="S302" i="11"/>
  <c r="S462" i="11"/>
  <c r="S104" i="11"/>
  <c r="S341" i="11"/>
  <c r="S311" i="11"/>
  <c r="S272" i="11"/>
  <c r="S88" i="11"/>
  <c r="S287" i="11"/>
  <c r="S394" i="11"/>
  <c r="S174" i="11"/>
  <c r="S185" i="11"/>
  <c r="S401" i="11"/>
  <c r="S471" i="11"/>
  <c r="S209" i="11"/>
  <c r="S408" i="11"/>
  <c r="S276" i="11"/>
  <c r="S164" i="11"/>
  <c r="S73" i="11"/>
  <c r="S431" i="11"/>
  <c r="S485" i="11"/>
  <c r="S95" i="11"/>
  <c r="S437" i="11"/>
  <c r="S124" i="11"/>
  <c r="S465" i="11"/>
  <c r="S235" i="11"/>
  <c r="S135" i="11"/>
  <c r="S499" i="11"/>
  <c r="S403" i="11"/>
  <c r="S75" i="11"/>
  <c r="S162" i="11"/>
  <c r="S347" i="11"/>
  <c r="S208" i="11"/>
  <c r="S334" i="11"/>
  <c r="S192" i="11"/>
  <c r="S299" i="11"/>
  <c r="S496" i="11"/>
  <c r="S134" i="11"/>
  <c r="S502" i="11"/>
  <c r="S130" i="11"/>
  <c r="S83" i="11"/>
  <c r="S460" i="11"/>
  <c r="S173" i="11"/>
  <c r="S474" i="11"/>
  <c r="S476" i="11"/>
  <c r="S87" i="11"/>
  <c r="S238" i="11"/>
  <c r="S79" i="11"/>
  <c r="S356" i="11"/>
  <c r="S409" i="11"/>
  <c r="S398" i="11"/>
  <c r="S318" i="11"/>
  <c r="S449" i="11"/>
  <c r="S239" i="11"/>
  <c r="S187" i="11"/>
  <c r="S350" i="11"/>
  <c r="S327" i="11"/>
  <c r="S477" i="11"/>
  <c r="S280" i="11"/>
  <c r="S258" i="11"/>
  <c r="S65" i="11"/>
  <c r="S251" i="11"/>
  <c r="S432" i="11"/>
  <c r="S428" i="11"/>
  <c r="S138" i="11"/>
  <c r="S293" i="11"/>
  <c r="S368" i="11"/>
  <c r="S216" i="11"/>
  <c r="S168" i="11"/>
  <c r="S379" i="11"/>
  <c r="S313" i="11"/>
  <c r="S355" i="11"/>
  <c r="S169" i="11"/>
  <c r="S255" i="11"/>
  <c r="S92" i="11"/>
  <c r="S306" i="11"/>
  <c r="S362" i="11"/>
  <c r="S68" i="11"/>
  <c r="S374" i="11"/>
  <c r="S491" i="11"/>
  <c r="S340" i="11"/>
  <c r="S212" i="11"/>
  <c r="S94" i="11"/>
  <c r="S254" i="11"/>
  <c r="S156" i="11"/>
  <c r="S184" i="11"/>
  <c r="S219" i="11"/>
  <c r="S243" i="11"/>
  <c r="S198" i="11"/>
  <c r="S170" i="11"/>
  <c r="S301" i="11"/>
  <c r="S257" i="11"/>
  <c r="S450" i="11"/>
  <c r="S236" i="11"/>
  <c r="S289" i="11"/>
  <c r="S274" i="11"/>
  <c r="S393" i="11"/>
  <c r="S252" i="11"/>
  <c r="S249" i="11"/>
  <c r="S110" i="11"/>
  <c r="S448" i="11"/>
  <c r="S453" i="11"/>
  <c r="S484" i="11"/>
  <c r="S357" i="11"/>
  <c r="S445" i="11"/>
  <c r="S304" i="11"/>
  <c r="S154" i="11"/>
  <c r="S424" i="11"/>
  <c r="S380" i="11"/>
  <c r="S210" i="11"/>
  <c r="S458" i="11"/>
  <c r="S275" i="11"/>
  <c r="S175" i="11"/>
  <c r="S93" i="11"/>
  <c r="S494" i="11"/>
  <c r="S263" i="11"/>
  <c r="S259" i="11"/>
  <c r="S189" i="11"/>
  <c r="S455" i="11"/>
  <c r="S231" i="11"/>
  <c r="S98" i="11"/>
  <c r="S388" i="11"/>
  <c r="S390" i="11"/>
  <c r="S128" i="11"/>
  <c r="S125" i="11"/>
  <c r="S294" i="11"/>
  <c r="S479" i="11"/>
  <c r="S413" i="11"/>
  <c r="S72" i="11"/>
  <c r="S440" i="11"/>
  <c r="S240" i="11"/>
  <c r="S492" i="11"/>
  <c r="S118" i="11"/>
  <c r="S246" i="11"/>
  <c r="S342" i="11"/>
  <c r="S190" i="11"/>
  <c r="S127" i="11"/>
  <c r="S426" i="11"/>
  <c r="S349" i="11"/>
  <c r="S433" i="11"/>
  <c r="S77" i="11"/>
  <c r="S427" i="11"/>
  <c r="S344" i="11"/>
  <c r="S353" i="11"/>
  <c r="S84" i="11"/>
  <c r="S244" i="11"/>
  <c r="S421" i="11"/>
  <c r="S224" i="11"/>
  <c r="S332" i="11"/>
  <c r="S100" i="11"/>
  <c r="S360" i="11"/>
  <c r="S488" i="11"/>
  <c r="S333" i="11"/>
  <c r="S247" i="11"/>
  <c r="S223" i="11"/>
  <c r="S137" i="11"/>
  <c r="S194" i="11"/>
  <c r="S348" i="11"/>
  <c r="S439" i="11"/>
  <c r="S405" i="11"/>
  <c r="S70" i="11"/>
  <c r="S361" i="11"/>
  <c r="S307" i="11"/>
  <c r="S452" i="11"/>
  <c r="S423" i="11"/>
  <c r="S191" i="11"/>
  <c r="S407" i="11"/>
  <c r="S163" i="11"/>
  <c r="S207" i="11"/>
  <c r="S197" i="11"/>
  <c r="S300" i="11"/>
  <c r="S343" i="11"/>
  <c r="S225" i="11"/>
  <c r="S176" i="11"/>
  <c r="S136" i="11"/>
  <c r="S371" i="11"/>
  <c r="S420" i="11"/>
  <c r="S486" i="11"/>
  <c r="S352" i="11"/>
  <c r="S149" i="11"/>
  <c r="S309" i="11"/>
  <c r="S497" i="11"/>
  <c r="S321" i="11"/>
  <c r="S271" i="11"/>
  <c r="S457" i="11"/>
  <c r="S383" i="11"/>
  <c r="S120" i="11"/>
  <c r="S291" i="11"/>
  <c r="S80" i="11"/>
  <c r="S345" i="11"/>
  <c r="S411" i="11"/>
  <c r="S256" i="11"/>
  <c r="S143" i="11"/>
  <c r="S152" i="11"/>
  <c r="S391" i="11"/>
  <c r="S328" i="11"/>
  <c r="S351" i="11"/>
  <c r="S129" i="11"/>
  <c r="S346" i="11"/>
  <c r="S384" i="11"/>
  <c r="S366" i="11"/>
  <c r="S132" i="11"/>
  <c r="S466" i="11"/>
  <c r="S183" i="11"/>
  <c r="S430" i="11"/>
  <c r="S89" i="11"/>
  <c r="S367" i="11"/>
  <c r="S475" i="11"/>
  <c r="S267" i="11"/>
  <c r="S489" i="11"/>
  <c r="S105" i="11"/>
  <c r="S233" i="11"/>
  <c r="S337" i="11"/>
  <c r="S76" i="11"/>
  <c r="S415" i="11"/>
  <c r="S200" i="11"/>
  <c r="S106" i="11"/>
  <c r="S142" i="11"/>
  <c r="S468" i="11"/>
  <c r="S320" i="11"/>
  <c r="S281" i="11"/>
  <c r="S241" i="11"/>
  <c r="S74" i="11"/>
  <c r="S469" i="11"/>
  <c r="S410" i="11"/>
  <c r="S114" i="11"/>
  <c r="S217" i="11"/>
  <c r="S335" i="11"/>
  <c r="S160" i="11"/>
  <c r="S370" i="11"/>
  <c r="S467" i="11"/>
  <c r="S419" i="11"/>
  <c r="S443" i="11"/>
  <c r="S416" i="11"/>
  <c r="S3" i="11"/>
  <c r="S220" i="11"/>
  <c r="S102" i="11"/>
  <c r="S404" i="11"/>
  <c r="S385" i="11"/>
  <c r="S266" i="11"/>
  <c r="S157" i="11"/>
  <c r="S237" i="11"/>
  <c r="S81" i="11"/>
  <c r="S103" i="11"/>
  <c r="S298" i="11"/>
  <c r="S202" i="11"/>
  <c r="S354" i="11"/>
  <c r="S389" i="11"/>
  <c r="S454" i="11"/>
  <c r="S78" i="11"/>
  <c r="S121" i="11"/>
  <c r="S201" i="11"/>
  <c r="S434" i="11"/>
  <c r="S372" i="11"/>
  <c r="S317" i="11"/>
  <c r="S123" i="11"/>
  <c r="S292" i="11"/>
  <c r="S435" i="11"/>
  <c r="S436" i="11"/>
  <c r="S295" i="11"/>
  <c r="S97" i="11"/>
  <c r="S322" i="11"/>
  <c r="S178" i="11"/>
  <c r="S472" i="11"/>
  <c r="S195" i="11"/>
  <c r="S270" i="11"/>
  <c r="S150" i="11"/>
  <c r="S412" i="11"/>
  <c r="S377" i="11"/>
  <c r="S451" i="11"/>
  <c r="S82" i="11"/>
  <c r="S397" i="11"/>
  <c r="S112" i="11"/>
  <c r="S269" i="11"/>
  <c r="S429" i="11"/>
  <c r="S501" i="11"/>
  <c r="S155" i="11"/>
  <c r="S215" i="11"/>
  <c r="S153" i="11"/>
  <c r="E26" i="1"/>
  <c r="S312" i="11"/>
  <c r="S108" i="11"/>
  <c r="S277" i="11"/>
  <c r="S425" i="11"/>
  <c r="T1" i="11" l="1"/>
  <c r="T473" i="11"/>
  <c r="T172" i="11"/>
  <c r="T65" i="11"/>
  <c r="T434" i="11"/>
  <c r="T464" i="11"/>
  <c r="T296" i="11"/>
  <c r="T479" i="11"/>
  <c r="T258" i="11"/>
  <c r="T368" i="11"/>
  <c r="T127" i="11"/>
  <c r="T405" i="11"/>
  <c r="T285" i="11"/>
  <c r="T97" i="11"/>
  <c r="T228" i="11"/>
  <c r="T208" i="11"/>
  <c r="T262" i="11"/>
  <c r="T189" i="11"/>
  <c r="T152" i="11"/>
  <c r="T107" i="11"/>
  <c r="T222" i="11"/>
  <c r="T130" i="11"/>
  <c r="T425" i="11"/>
  <c r="T397" i="11"/>
  <c r="T349" i="11"/>
  <c r="T303" i="11"/>
  <c r="T375" i="11"/>
  <c r="T109" i="11"/>
  <c r="T413" i="11"/>
  <c r="T292" i="11"/>
  <c r="T103" i="11"/>
  <c r="T315" i="11"/>
  <c r="T249" i="11"/>
  <c r="T192" i="11"/>
  <c r="T417" i="11"/>
  <c r="T257" i="11"/>
  <c r="T406" i="11"/>
  <c r="T254" i="11"/>
  <c r="T201" i="11"/>
  <c r="T381" i="11"/>
  <c r="T350" i="11"/>
  <c r="T274" i="11"/>
  <c r="T236" i="11"/>
  <c r="T439" i="11"/>
  <c r="T291" i="11"/>
  <c r="T169" i="11"/>
  <c r="T104" i="11"/>
  <c r="T316" i="11"/>
  <c r="T392" i="11"/>
  <c r="T468" i="11"/>
  <c r="T161" i="11"/>
  <c r="T480" i="11"/>
  <c r="T217" i="11"/>
  <c r="T171" i="11"/>
  <c r="T355" i="11"/>
  <c r="T411" i="11"/>
  <c r="T340" i="11"/>
  <c r="T69" i="11"/>
  <c r="T216" i="11"/>
  <c r="T83" i="11"/>
  <c r="T209" i="11"/>
  <c r="T293" i="11"/>
  <c r="T443" i="11"/>
  <c r="T265" i="11"/>
  <c r="T239" i="11"/>
  <c r="T447" i="11"/>
  <c r="T309" i="11"/>
  <c r="T67" i="11"/>
  <c r="T491" i="11"/>
  <c r="T364" i="11"/>
  <c r="T90" i="11"/>
  <c r="T458" i="11"/>
  <c r="T153" i="11"/>
  <c r="T469" i="11"/>
  <c r="T123" i="11"/>
  <c r="T229" i="11"/>
  <c r="T337" i="11"/>
  <c r="T271" i="11"/>
  <c r="T185" i="11"/>
  <c r="T178" i="11"/>
  <c r="T128" i="11"/>
  <c r="T267" i="11"/>
  <c r="T112" i="11"/>
  <c r="T247" i="11"/>
  <c r="T74" i="11"/>
  <c r="T487" i="11"/>
  <c r="T323" i="11"/>
  <c r="T278" i="11"/>
  <c r="T488" i="11"/>
  <c r="T207" i="11"/>
  <c r="T322" i="11"/>
  <c r="T451" i="11"/>
  <c r="T448" i="11"/>
  <c r="T357" i="11"/>
  <c r="T176" i="11"/>
  <c r="T240" i="11"/>
  <c r="T496" i="11"/>
  <c r="T139" i="11"/>
  <c r="T395" i="11"/>
  <c r="T492" i="11"/>
  <c r="T365" i="11"/>
  <c r="T91" i="11"/>
  <c r="T101" i="11"/>
  <c r="T308" i="11"/>
  <c r="T89" i="11"/>
  <c r="T72" i="11"/>
  <c r="T279" i="11"/>
  <c r="T170" i="11"/>
  <c r="T131" i="11"/>
  <c r="T138" i="11"/>
  <c r="T118" i="11"/>
  <c r="T449" i="11"/>
  <c r="T200" i="11"/>
  <c r="T367" i="11"/>
  <c r="T301" i="11"/>
  <c r="T294" i="11"/>
  <c r="T429" i="11"/>
  <c r="T408" i="11"/>
  <c r="T376" i="11"/>
  <c r="T221" i="11"/>
  <c r="T402" i="11"/>
  <c r="T251" i="11"/>
  <c r="T100" i="11"/>
  <c r="T412" i="11"/>
  <c r="T154" i="11"/>
  <c r="T190" i="11"/>
  <c r="T73" i="11"/>
  <c r="T243" i="11"/>
  <c r="T307" i="11"/>
  <c r="T110" i="11"/>
  <c r="T156" i="11"/>
  <c r="T329" i="11"/>
  <c r="T409" i="11"/>
  <c r="T432" i="11"/>
  <c r="T455" i="11"/>
  <c r="T99" i="11"/>
  <c r="T197" i="11"/>
  <c r="T180" i="11"/>
  <c r="T465" i="11"/>
  <c r="T499" i="11"/>
  <c r="T500" i="11"/>
  <c r="T467" i="11"/>
  <c r="T361" i="11"/>
  <c r="T144" i="11"/>
  <c r="T269" i="11"/>
  <c r="T250" i="11"/>
  <c r="T255" i="11"/>
  <c r="T388" i="11"/>
  <c r="T289" i="11"/>
  <c r="T360" i="11"/>
  <c r="T485" i="11"/>
  <c r="T93" i="11"/>
  <c r="T3" i="11"/>
  <c r="T75" i="11"/>
  <c r="T96" i="11"/>
  <c r="T471" i="11"/>
  <c r="T356" i="11"/>
  <c r="T334" i="11"/>
  <c r="T394" i="11"/>
  <c r="T347" i="11"/>
  <c r="T115" i="11"/>
  <c r="T202" i="11"/>
  <c r="T326" i="11"/>
  <c r="T227" i="11"/>
  <c r="T114" i="11"/>
  <c r="T484" i="11"/>
  <c r="T440" i="11"/>
  <c r="T199" i="11"/>
  <c r="T330" i="11"/>
  <c r="T270" i="11"/>
  <c r="T354" i="11"/>
  <c r="T95" i="11"/>
  <c r="T428" i="11"/>
  <c r="T401" i="11"/>
  <c r="T220" i="11"/>
  <c r="T295" i="11"/>
  <c r="T264" i="11"/>
  <c r="T167" i="11"/>
  <c r="T98" i="11"/>
  <c r="T374" i="11"/>
  <c r="T92" i="11"/>
  <c r="T306" i="11"/>
  <c r="T320" i="11"/>
  <c r="T125" i="11"/>
  <c r="T85" i="11"/>
  <c r="T224" i="11"/>
  <c r="T260" i="11"/>
  <c r="T475" i="11"/>
  <c r="T204" i="11"/>
  <c r="T196" i="11"/>
  <c r="T444" i="11"/>
  <c r="T450" i="11"/>
  <c r="T459" i="11"/>
  <c r="T165" i="11"/>
  <c r="T442" i="11"/>
  <c r="T181" i="11"/>
  <c r="T383" i="11"/>
  <c r="T327" i="11"/>
  <c r="T453" i="11"/>
  <c r="T134" i="11"/>
  <c r="T158" i="11"/>
  <c r="T159" i="11"/>
  <c r="T79" i="11"/>
  <c r="T149" i="11"/>
  <c r="T111" i="11"/>
  <c r="T476" i="11"/>
  <c r="T80" i="11"/>
  <c r="T423" i="11"/>
  <c r="T70" i="11"/>
  <c r="T370" i="11"/>
  <c r="T387" i="11"/>
  <c r="T404" i="11"/>
  <c r="T87" i="11"/>
  <c r="T497" i="11"/>
  <c r="T283" i="11"/>
  <c r="T373" i="11"/>
  <c r="T460" i="11"/>
  <c r="T362" i="11"/>
  <c r="T234" i="11"/>
  <c r="T304" i="11"/>
  <c r="T218" i="11"/>
  <c r="T245" i="11"/>
  <c r="T143" i="11"/>
  <c r="T94" i="11"/>
  <c r="T146" i="11"/>
  <c r="T282" i="11"/>
  <c r="T351" i="11"/>
  <c r="T135" i="11"/>
  <c r="T106" i="11"/>
  <c r="T490" i="11"/>
  <c r="T179" i="11"/>
  <c r="T314" i="11"/>
  <c r="T120" i="11"/>
  <c r="T77" i="11"/>
  <c r="T231" i="11"/>
  <c r="T363" i="11"/>
  <c r="T241" i="11"/>
  <c r="T366" i="11"/>
  <c r="T379" i="11"/>
  <c r="T461" i="11"/>
  <c r="T286" i="11"/>
  <c r="T380" i="11"/>
  <c r="T288" i="11"/>
  <c r="T493" i="11"/>
  <c r="T198" i="11"/>
  <c r="T268" i="11"/>
  <c r="T246" i="11"/>
  <c r="T133" i="11"/>
  <c r="T248" i="11"/>
  <c r="T186" i="11"/>
  <c r="T81" i="11"/>
  <c r="T424" i="11"/>
  <c r="T345" i="11"/>
  <c r="T163" i="11"/>
  <c r="T71" i="11"/>
  <c r="T372" i="11"/>
  <c r="T378" i="11"/>
  <c r="T324" i="11"/>
  <c r="T132" i="11"/>
  <c r="T150" i="11"/>
  <c r="T454" i="11"/>
  <c r="T466" i="11"/>
  <c r="T237" i="11"/>
  <c r="T502" i="11"/>
  <c r="T116" i="11"/>
  <c r="T188" i="11"/>
  <c r="T88" i="11"/>
  <c r="T342" i="11"/>
  <c r="T474" i="11"/>
  <c r="T191" i="11"/>
  <c r="T494" i="11"/>
  <c r="T187" i="11"/>
  <c r="T213" i="11"/>
  <c r="T105" i="11"/>
  <c r="T325" i="11"/>
  <c r="T273" i="11"/>
  <c r="T352" i="11"/>
  <c r="T263" i="11"/>
  <c r="T414" i="11"/>
  <c r="T102" i="11"/>
  <c r="T335" i="11"/>
  <c r="T145" i="11"/>
  <c r="T122" i="11"/>
  <c r="T393" i="11"/>
  <c r="T215" i="11"/>
  <c r="T410" i="11"/>
  <c r="T431" i="11"/>
  <c r="T478" i="11"/>
  <c r="T151" i="11"/>
  <c r="T317" i="11"/>
  <c r="T78" i="11"/>
  <c r="T212" i="11"/>
  <c r="T119" i="11"/>
  <c r="T481" i="11"/>
  <c r="T391" i="11"/>
  <c r="T214" i="11"/>
  <c r="T82" i="11"/>
  <c r="T338" i="11"/>
  <c r="T339" i="11"/>
  <c r="T470" i="11"/>
  <c r="T280" i="11"/>
  <c r="T129" i="11"/>
  <c r="T427" i="11"/>
  <c r="T483" i="11"/>
  <c r="T332" i="11"/>
  <c r="T160" i="11"/>
  <c r="T277" i="11"/>
  <c r="T318" i="11"/>
  <c r="T420" i="11"/>
  <c r="T275" i="11"/>
  <c r="T399" i="11"/>
  <c r="T438" i="11"/>
  <c r="T495" i="11"/>
  <c r="T164" i="11"/>
  <c r="T182" i="11"/>
  <c r="T321" i="11"/>
  <c r="T389" i="11"/>
  <c r="T346" i="11"/>
  <c r="T272" i="11"/>
  <c r="T253" i="11"/>
  <c r="T403" i="11"/>
  <c r="T348" i="11"/>
  <c r="T382" i="11"/>
  <c r="T219" i="11"/>
  <c r="T86" i="11"/>
  <c r="T418" i="11"/>
  <c r="T281" i="11"/>
  <c r="T331" i="11"/>
  <c r="T261" i="11"/>
  <c r="T489" i="11"/>
  <c r="T310" i="11"/>
  <c r="T436" i="11"/>
  <c r="T385" i="11"/>
  <c r="T225" i="11"/>
  <c r="T252" i="11"/>
  <c r="T226" i="11"/>
  <c r="T76" i="11"/>
  <c r="T193" i="11"/>
  <c r="T142" i="11"/>
  <c r="T457" i="11"/>
  <c r="T486" i="11"/>
  <c r="T298" i="11"/>
  <c r="T244" i="11"/>
  <c r="T184" i="11"/>
  <c r="T463" i="11"/>
  <c r="T419" i="11"/>
  <c r="T319" i="11"/>
  <c r="T445" i="11"/>
  <c r="T205" i="11"/>
  <c r="T498" i="11"/>
  <c r="T242" i="11"/>
  <c r="T238" i="11"/>
  <c r="T155" i="11"/>
  <c r="T206" i="11"/>
  <c r="T141" i="11"/>
  <c r="T396" i="11"/>
  <c r="T137" i="11"/>
  <c r="T173" i="11"/>
  <c r="T124" i="11"/>
  <c r="T177" i="11"/>
  <c r="T312" i="11"/>
  <c r="T121" i="11"/>
  <c r="T359" i="11"/>
  <c r="T276" i="11"/>
  <c r="T358" i="11"/>
  <c r="T68" i="11"/>
  <c r="T233" i="11"/>
  <c r="T232" i="11"/>
  <c r="T407" i="11"/>
  <c r="T415" i="11"/>
  <c r="T437" i="11"/>
  <c r="T299" i="11"/>
  <c r="T400" i="11"/>
  <c r="T430" i="11"/>
  <c r="T390" i="11"/>
  <c r="T168" i="11"/>
  <c r="T336" i="11"/>
  <c r="T441" i="11"/>
  <c r="T344" i="11"/>
  <c r="T472" i="11"/>
  <c r="T140" i="11"/>
  <c r="T166" i="11"/>
  <c r="T113" i="11"/>
  <c r="T462" i="11"/>
  <c r="T175" i="11"/>
  <c r="T371" i="11"/>
  <c r="T300" i="11"/>
  <c r="T235" i="11"/>
  <c r="T117" i="11"/>
  <c r="T333" i="11"/>
  <c r="T136" i="11"/>
  <c r="T266" i="11"/>
  <c r="T398" i="11"/>
  <c r="T422" i="11"/>
  <c r="T426" i="11"/>
  <c r="T66" i="11"/>
  <c r="T259" i="11"/>
  <c r="T162" i="11"/>
  <c r="T157" i="11"/>
  <c r="T435" i="11"/>
  <c r="T290" i="11"/>
  <c r="T311" i="11"/>
  <c r="T369" i="11"/>
  <c r="T446" i="11"/>
  <c r="T456" i="11"/>
  <c r="T305" i="11"/>
  <c r="T384" i="11"/>
  <c r="T210" i="11"/>
  <c r="T147" i="11"/>
  <c r="T386" i="11"/>
  <c r="T503" i="11"/>
  <c r="T174" i="11"/>
  <c r="T183" i="11"/>
  <c r="T341" i="11"/>
  <c r="T452" i="11"/>
  <c r="T302" i="11"/>
  <c r="T421" i="11"/>
  <c r="T287" i="11"/>
  <c r="T377" i="11"/>
  <c r="T284" i="11"/>
  <c r="T477" i="11"/>
  <c r="T203" i="11"/>
  <c r="T230" i="11"/>
  <c r="T126" i="11"/>
  <c r="T211" i="11"/>
  <c r="T328" i="11"/>
  <c r="T194" i="11"/>
  <c r="T353" i="11"/>
  <c r="T343" i="11"/>
  <c r="T256" i="11"/>
  <c r="T433" i="11"/>
  <c r="T501" i="11"/>
  <c r="T108" i="11"/>
  <c r="T148" i="11"/>
  <c r="T482" i="11"/>
  <c r="T195" i="11"/>
  <c r="T313" i="11"/>
  <c r="T84" i="11"/>
  <c r="T297" i="11"/>
  <c r="T416" i="11"/>
  <c r="T223" i="11"/>
  <c r="U1" i="11" l="1"/>
  <c r="U307" i="11"/>
  <c r="U117" i="11"/>
  <c r="U91" i="11"/>
  <c r="U406" i="11"/>
  <c r="U497" i="11"/>
  <c r="U183" i="11"/>
  <c r="U443" i="11"/>
  <c r="U292" i="11"/>
  <c r="U346" i="11"/>
  <c r="U336" i="11"/>
  <c r="U439" i="11"/>
  <c r="U355" i="11"/>
  <c r="U328" i="11"/>
  <c r="U81" i="11"/>
  <c r="U449" i="11"/>
  <c r="U198" i="11"/>
  <c r="U278" i="11"/>
  <c r="U193" i="11"/>
  <c r="U131" i="11"/>
  <c r="U143" i="11"/>
  <c r="U438" i="11"/>
  <c r="U211" i="11"/>
  <c r="U302" i="11"/>
  <c r="U500" i="11"/>
  <c r="U465" i="11"/>
  <c r="U184" i="11"/>
  <c r="U171" i="11"/>
  <c r="U237" i="11"/>
  <c r="U90" i="11"/>
  <c r="U213" i="11"/>
  <c r="U350" i="11"/>
  <c r="U411" i="11"/>
  <c r="U109" i="11"/>
  <c r="U459" i="11"/>
  <c r="U72" i="11"/>
  <c r="U215" i="11"/>
  <c r="U306" i="11"/>
  <c r="U367" i="11"/>
  <c r="U390" i="11"/>
  <c r="U217" i="11"/>
  <c r="U163" i="11"/>
  <c r="U446" i="11"/>
  <c r="U238" i="11"/>
  <c r="U96" i="11"/>
  <c r="U414" i="11"/>
  <c r="U226" i="11"/>
  <c r="U242" i="11"/>
  <c r="U111" i="11"/>
  <c r="U236" i="11"/>
  <c r="U470" i="11"/>
  <c r="U281" i="11"/>
  <c r="U461" i="11"/>
  <c r="U399" i="11"/>
  <c r="U174" i="11"/>
  <c r="U376" i="11"/>
  <c r="U403" i="11"/>
  <c r="U97" i="11"/>
  <c r="U169" i="11"/>
  <c r="U154" i="11"/>
  <c r="U257" i="11"/>
  <c r="U394" i="11"/>
  <c r="U246" i="11"/>
  <c r="U471" i="11"/>
  <c r="U467" i="11"/>
  <c r="U379" i="11"/>
  <c r="U490" i="11"/>
  <c r="U191" i="11"/>
  <c r="U279" i="11"/>
  <c r="U205" i="11"/>
  <c r="U496" i="11"/>
  <c r="U372" i="11"/>
  <c r="U274" i="11"/>
  <c r="U282" i="11"/>
  <c r="U468" i="11"/>
  <c r="U188" i="11"/>
  <c r="U166" i="11"/>
  <c r="U177" i="11"/>
  <c r="U286" i="11"/>
  <c r="U491" i="11"/>
  <c r="U92" i="11"/>
  <c r="U486" i="11"/>
  <c r="U359" i="11"/>
  <c r="U475" i="11"/>
  <c r="U358" i="11"/>
  <c r="U135" i="11"/>
  <c r="U277" i="11"/>
  <c r="U360" i="11"/>
  <c r="U255" i="11"/>
  <c r="U315" i="11"/>
  <c r="U304" i="11"/>
  <c r="U87" i="11"/>
  <c r="U98" i="11"/>
  <c r="U501" i="11"/>
  <c r="U320" i="11"/>
  <c r="U185" i="11"/>
  <c r="U356" i="11"/>
  <c r="U319" i="11"/>
  <c r="U287" i="11"/>
  <c r="U335" i="11"/>
  <c r="U105" i="11"/>
  <c r="U457" i="11"/>
  <c r="U451" i="11"/>
  <c r="U65" i="11"/>
  <c r="U294" i="11"/>
  <c r="U369" i="11"/>
  <c r="U122" i="11"/>
  <c r="U82" i="11"/>
  <c r="U283" i="11"/>
  <c r="U323" i="11"/>
  <c r="U309" i="11"/>
  <c r="U314" i="11"/>
  <c r="U267" i="11"/>
  <c r="U266" i="11"/>
  <c r="U494" i="11"/>
  <c r="U435" i="11"/>
  <c r="U385" i="11"/>
  <c r="U458" i="11"/>
  <c r="U194" i="11"/>
  <c r="U321" i="11"/>
  <c r="U157" i="11"/>
  <c r="U387" i="11"/>
  <c r="U88" i="11"/>
  <c r="U455" i="11"/>
  <c r="U232" i="11"/>
  <c r="U380" i="11"/>
  <c r="U393" i="11"/>
  <c r="U73" i="11"/>
  <c r="U208" i="11"/>
  <c r="U272" i="11"/>
  <c r="U216" i="11"/>
  <c r="U126" i="11"/>
  <c r="U152" i="11"/>
  <c r="U419" i="11"/>
  <c r="U240" i="11"/>
  <c r="U488" i="11"/>
  <c r="U250" i="11"/>
  <c r="U363" i="11"/>
  <c r="U241" i="11"/>
  <c r="U422" i="11"/>
  <c r="U141" i="11"/>
  <c r="U153" i="11"/>
  <c r="U408" i="11"/>
  <c r="U275" i="11"/>
  <c r="U410" i="11"/>
  <c r="U332" i="11"/>
  <c r="U230" i="11"/>
  <c r="U295" i="11"/>
  <c r="U269" i="11"/>
  <c r="U317" i="11"/>
  <c r="U440" i="11"/>
  <c r="U343" i="11"/>
  <c r="U481" i="11"/>
  <c r="U202" i="11"/>
  <c r="U337" i="11"/>
  <c r="U229" i="11"/>
  <c r="U112" i="11"/>
  <c r="U427" i="11"/>
  <c r="U424" i="11"/>
  <c r="U353" i="11"/>
  <c r="U206" i="11"/>
  <c r="U289" i="11"/>
  <c r="U180" i="11"/>
  <c r="U342" i="11"/>
  <c r="U248" i="11"/>
  <c r="U190" i="11"/>
  <c r="U127" i="11"/>
  <c r="U258" i="11"/>
  <c r="U209" i="11"/>
  <c r="U138" i="11"/>
  <c r="U133" i="11"/>
  <c r="U86" i="11"/>
  <c r="U418" i="11"/>
  <c r="U444" i="11"/>
  <c r="U383" i="11"/>
  <c r="U373" i="11"/>
  <c r="U249" i="11"/>
  <c r="U3" i="11"/>
  <c r="U447" i="11"/>
  <c r="U263" i="11"/>
  <c r="U147" i="11"/>
  <c r="U139" i="11"/>
  <c r="U247" i="11"/>
  <c r="U316" i="11"/>
  <c r="U95" i="11"/>
  <c r="U170" i="11"/>
  <c r="U453" i="11"/>
  <c r="U464" i="11"/>
  <c r="U199" i="11"/>
  <c r="U288" i="11"/>
  <c r="U296" i="11"/>
  <c r="U77" i="11"/>
  <c r="U280" i="11"/>
  <c r="U375" i="11"/>
  <c r="U417" i="11"/>
  <c r="U364" i="11"/>
  <c r="U151" i="11"/>
  <c r="U70" i="11"/>
  <c r="U495" i="11"/>
  <c r="U128" i="11"/>
  <c r="U212" i="11"/>
  <c r="U146" i="11"/>
  <c r="U124" i="11"/>
  <c r="U450" i="11"/>
  <c r="U300" i="11"/>
  <c r="U210" i="11"/>
  <c r="U415" i="11"/>
  <c r="U404" i="11"/>
  <c r="U115" i="11"/>
  <c r="U68" i="11"/>
  <c r="U329" i="11"/>
  <c r="U344" i="11"/>
  <c r="U432" i="11"/>
  <c r="U445" i="11"/>
  <c r="U168" i="11"/>
  <c r="U173" i="11"/>
  <c r="U308" i="11"/>
  <c r="U116" i="11"/>
  <c r="U245" i="11"/>
  <c r="U405" i="11"/>
  <c r="U140" i="11"/>
  <c r="U391" i="11"/>
  <c r="U377" i="11"/>
  <c r="U498" i="11"/>
  <c r="U284" i="11"/>
  <c r="U270" i="11"/>
  <c r="U203" i="11"/>
  <c r="U381" i="11"/>
  <c r="U80" i="11"/>
  <c r="U137" i="11"/>
  <c r="U441" i="11"/>
  <c r="U462" i="11"/>
  <c r="U155" i="11"/>
  <c r="U83" i="11"/>
  <c r="U388" i="11"/>
  <c r="U120" i="11"/>
  <c r="U476" i="11"/>
  <c r="U477" i="11"/>
  <c r="U452" i="11"/>
  <c r="U425" i="11"/>
  <c r="U196" i="11"/>
  <c r="U301" i="11"/>
  <c r="U224" i="11"/>
  <c r="U484" i="11"/>
  <c r="U324" i="11"/>
  <c r="U271" i="11"/>
  <c r="U130" i="11"/>
  <c r="U485" i="11"/>
  <c r="U254" i="11"/>
  <c r="U483" i="11"/>
  <c r="U285" i="11"/>
  <c r="U71" i="11"/>
  <c r="U378" i="11"/>
  <c r="U397" i="11"/>
  <c r="U365" i="11"/>
  <c r="U84" i="11"/>
  <c r="U74" i="11"/>
  <c r="U239" i="11"/>
  <c r="U114" i="11"/>
  <c r="U187" i="11"/>
  <c r="U204" i="11"/>
  <c r="U341" i="11"/>
  <c r="U220" i="11"/>
  <c r="U349" i="11"/>
  <c r="U478" i="11"/>
  <c r="U218" i="11"/>
  <c r="U371" i="11"/>
  <c r="U145" i="11"/>
  <c r="U472" i="11"/>
  <c r="U400" i="11"/>
  <c r="U340" i="11"/>
  <c r="U460" i="11"/>
  <c r="U412" i="11"/>
  <c r="U175" i="11"/>
  <c r="U69" i="11"/>
  <c r="U442" i="11"/>
  <c r="U434" i="11"/>
  <c r="U362" i="11"/>
  <c r="U492" i="11"/>
  <c r="U222" i="11"/>
  <c r="U136" i="11"/>
  <c r="U436" i="11"/>
  <c r="U219" i="11"/>
  <c r="U102" i="11"/>
  <c r="U149" i="11"/>
  <c r="U189" i="11"/>
  <c r="U227" i="11"/>
  <c r="U104" i="11"/>
  <c r="U192" i="11"/>
  <c r="U482" i="11"/>
  <c r="U298" i="11"/>
  <c r="U348" i="11"/>
  <c r="U389" i="11"/>
  <c r="U420" i="11"/>
  <c r="U234" i="11"/>
  <c r="U144" i="11"/>
  <c r="U78" i="11"/>
  <c r="U426" i="11"/>
  <c r="U347" i="11"/>
  <c r="U252" i="11"/>
  <c r="U322" i="11"/>
  <c r="U334" i="11"/>
  <c r="U243" i="11"/>
  <c r="U423" i="11"/>
  <c r="U89" i="11"/>
  <c r="U162" i="11"/>
  <c r="U327" i="11"/>
  <c r="U113" i="11"/>
  <c r="U502" i="11"/>
  <c r="U225" i="11"/>
  <c r="U366" i="11"/>
  <c r="U100" i="11"/>
  <c r="U121" i="11"/>
  <c r="U93" i="11"/>
  <c r="U165" i="11"/>
  <c r="U299" i="11"/>
  <c r="U351" i="11"/>
  <c r="U305" i="11"/>
  <c r="U352" i="11"/>
  <c r="U178" i="11"/>
  <c r="U67" i="11"/>
  <c r="U164" i="11"/>
  <c r="U480" i="11"/>
  <c r="U259" i="11"/>
  <c r="U76" i="11"/>
  <c r="U402" i="11"/>
  <c r="U106" i="11"/>
  <c r="U333" i="11"/>
  <c r="U493" i="11"/>
  <c r="U454" i="11"/>
  <c r="U108" i="11"/>
  <c r="U429" i="11"/>
  <c r="U79" i="11"/>
  <c r="U159" i="11"/>
  <c r="U326" i="11"/>
  <c r="U99" i="11"/>
  <c r="U132" i="11"/>
  <c r="U416" i="11"/>
  <c r="U430" i="11"/>
  <c r="U233" i="11"/>
  <c r="U499" i="11"/>
  <c r="U264" i="11"/>
  <c r="U268" i="11"/>
  <c r="U396" i="11"/>
  <c r="U293" i="11"/>
  <c r="U311" i="11"/>
  <c r="U221" i="11"/>
  <c r="U167" i="11"/>
  <c r="U407" i="11"/>
  <c r="U437" i="11"/>
  <c r="U428" i="11"/>
  <c r="U463" i="11"/>
  <c r="U330" i="11"/>
  <c r="U75" i="11"/>
  <c r="U401" i="11"/>
  <c r="U94" i="11"/>
  <c r="U312" i="11"/>
  <c r="U303" i="11"/>
  <c r="U158" i="11"/>
  <c r="U273" i="11"/>
  <c r="U200" i="11"/>
  <c r="U256" i="11"/>
  <c r="U313" i="11"/>
  <c r="U110" i="11"/>
  <c r="U85" i="11"/>
  <c r="U197" i="11"/>
  <c r="U413" i="11"/>
  <c r="U148" i="11"/>
  <c r="U160" i="11"/>
  <c r="U214" i="11"/>
  <c r="U101" i="11"/>
  <c r="U392" i="11"/>
  <c r="U503" i="11"/>
  <c r="U134" i="11"/>
  <c r="U398" i="11"/>
  <c r="U235" i="11"/>
  <c r="U382" i="11"/>
  <c r="U421" i="11"/>
  <c r="U361" i="11"/>
  <c r="U469" i="11"/>
  <c r="U409" i="11"/>
  <c r="U325" i="11"/>
  <c r="U479" i="11"/>
  <c r="U261" i="11"/>
  <c r="U228" i="11"/>
  <c r="U370" i="11"/>
  <c r="U244" i="11"/>
  <c r="U433" i="11"/>
  <c r="U182" i="11"/>
  <c r="U354" i="11"/>
  <c r="U253" i="11"/>
  <c r="U181" i="11"/>
  <c r="U172" i="11"/>
  <c r="U195" i="11"/>
  <c r="U291" i="11"/>
  <c r="U310" i="11"/>
  <c r="U297" i="11"/>
  <c r="U260" i="11"/>
  <c r="U338" i="11"/>
  <c r="U201" i="11"/>
  <c r="U357" i="11"/>
  <c r="U456" i="11"/>
  <c r="U265" i="11"/>
  <c r="U374" i="11"/>
  <c r="U142" i="11"/>
  <c r="U290" i="11"/>
  <c r="U487" i="11"/>
  <c r="U262" i="11"/>
  <c r="U231" i="11"/>
  <c r="U474" i="11"/>
  <c r="U129" i="11"/>
  <c r="U276" i="11"/>
  <c r="U431" i="11"/>
  <c r="U368" i="11"/>
  <c r="U66" i="11"/>
  <c r="U339" i="11"/>
  <c r="U118" i="11"/>
  <c r="U318" i="11"/>
  <c r="U473" i="11"/>
  <c r="U395" i="11"/>
  <c r="U125" i="11"/>
  <c r="U448" i="11"/>
  <c r="U489" i="11"/>
  <c r="U107" i="11"/>
  <c r="U384" i="11"/>
  <c r="U186" i="11"/>
  <c r="U176" i="11"/>
  <c r="U150" i="11"/>
  <c r="U466" i="11"/>
  <c r="U156" i="11"/>
  <c r="U123" i="11"/>
  <c r="U207" i="11"/>
  <c r="U179" i="11"/>
  <c r="U119" i="11"/>
  <c r="U103" i="11"/>
  <c r="U251" i="11"/>
  <c r="U386" i="11"/>
  <c r="U331" i="11"/>
  <c r="U161" i="11"/>
  <c r="U223" i="11"/>
  <c r="U345" i="11"/>
  <c r="V1" i="11" l="1"/>
  <c r="V502" i="11"/>
  <c r="V326" i="11"/>
  <c r="V146" i="11"/>
  <c r="V295" i="11"/>
  <c r="V105" i="11"/>
  <c r="V131" i="11"/>
  <c r="V310" i="11"/>
  <c r="V311" i="11"/>
  <c r="V252" i="11"/>
  <c r="V369" i="11"/>
  <c r="V434" i="11"/>
  <c r="V317" i="11"/>
  <c r="V498" i="11"/>
  <c r="V155" i="11"/>
  <c r="V260" i="11"/>
  <c r="V99" i="11"/>
  <c r="V195" i="11"/>
  <c r="V354" i="11"/>
  <c r="V104" i="11"/>
  <c r="V107" i="11"/>
  <c r="V182" i="11"/>
  <c r="V142" i="11"/>
  <c r="V500" i="11"/>
  <c r="V357" i="11"/>
  <c r="V144" i="11"/>
  <c r="V456" i="11"/>
  <c r="V483" i="11"/>
  <c r="V78" i="11"/>
  <c r="V468" i="11"/>
  <c r="V496" i="11"/>
  <c r="V495" i="11"/>
  <c r="V307" i="11"/>
  <c r="V304" i="11"/>
  <c r="V169" i="11"/>
  <c r="V473" i="11"/>
  <c r="V240" i="11"/>
  <c r="V92" i="11"/>
  <c r="V153" i="11"/>
  <c r="V168" i="11"/>
  <c r="V391" i="11"/>
  <c r="V265" i="11"/>
  <c r="V423" i="11"/>
  <c r="V458" i="11"/>
  <c r="V205" i="11"/>
  <c r="V389" i="11"/>
  <c r="V145" i="11"/>
  <c r="V476" i="11"/>
  <c r="V290" i="11"/>
  <c r="V208" i="11"/>
  <c r="V292" i="11"/>
  <c r="V125" i="11"/>
  <c r="V325" i="11"/>
  <c r="V437" i="11"/>
  <c r="V488" i="11"/>
  <c r="V156" i="11"/>
  <c r="V225" i="11"/>
  <c r="V221" i="11"/>
  <c r="V94" i="11"/>
  <c r="V302" i="11"/>
  <c r="V231" i="11"/>
  <c r="V129" i="11"/>
  <c r="V257" i="11"/>
  <c r="V372" i="11"/>
  <c r="V378" i="11"/>
  <c r="V447" i="11"/>
  <c r="V254" i="11"/>
  <c r="V141" i="11"/>
  <c r="V501" i="11"/>
  <c r="V484" i="11"/>
  <c r="V164" i="11"/>
  <c r="V402" i="11"/>
  <c r="V446" i="11"/>
  <c r="V383" i="11"/>
  <c r="V485" i="11"/>
  <c r="V133" i="11"/>
  <c r="V352" i="11"/>
  <c r="V203" i="11"/>
  <c r="V100" i="11"/>
  <c r="V176" i="11"/>
  <c r="V379" i="11"/>
  <c r="V398" i="11"/>
  <c r="V266" i="11"/>
  <c r="V222" i="11"/>
  <c r="V344" i="11"/>
  <c r="V271" i="11"/>
  <c r="V239" i="11"/>
  <c r="V161" i="11"/>
  <c r="V351" i="11"/>
  <c r="V97" i="11"/>
  <c r="V118" i="11"/>
  <c r="V451" i="11"/>
  <c r="V74" i="11"/>
  <c r="V255" i="11"/>
  <c r="V397" i="11"/>
  <c r="V158" i="11"/>
  <c r="V138" i="11"/>
  <c r="V69" i="11"/>
  <c r="V236" i="11"/>
  <c r="V263" i="11"/>
  <c r="V103" i="11"/>
  <c r="V319" i="11"/>
  <c r="V364" i="11"/>
  <c r="V77" i="11"/>
  <c r="V283" i="11"/>
  <c r="V370" i="11"/>
  <c r="V172" i="11"/>
  <c r="V88" i="11"/>
  <c r="V342" i="11"/>
  <c r="V377" i="11"/>
  <c r="V269" i="11"/>
  <c r="V442" i="11"/>
  <c r="V324" i="11"/>
  <c r="V453" i="11"/>
  <c r="V404" i="11"/>
  <c r="V348" i="11"/>
  <c r="V184" i="11"/>
  <c r="V163" i="11"/>
  <c r="V190" i="11"/>
  <c r="V126" i="11"/>
  <c r="V380" i="11"/>
  <c r="V65" i="11"/>
  <c r="V198" i="11"/>
  <c r="V491" i="11"/>
  <c r="V284" i="11"/>
  <c r="V320" i="11"/>
  <c r="V243" i="11"/>
  <c r="V350" i="11"/>
  <c r="V381" i="11"/>
  <c r="V321" i="11"/>
  <c r="V154" i="11"/>
  <c r="V186" i="11"/>
  <c r="V72" i="11"/>
  <c r="V467" i="11"/>
  <c r="V315" i="11"/>
  <c r="V279" i="11"/>
  <c r="V375" i="11"/>
  <c r="V193" i="11"/>
  <c r="V412" i="11"/>
  <c r="V199" i="11"/>
  <c r="V216" i="11"/>
  <c r="V386" i="11"/>
  <c r="V187" i="11"/>
  <c r="V454" i="11"/>
  <c r="V322" i="11"/>
  <c r="V371" i="11"/>
  <c r="V332" i="11"/>
  <c r="V449" i="11"/>
  <c r="V119" i="11"/>
  <c r="V301" i="11"/>
  <c r="V362" i="11"/>
  <c r="V71" i="11"/>
  <c r="V401" i="11"/>
  <c r="V330" i="11"/>
  <c r="V409" i="11"/>
  <c r="V338" i="11"/>
  <c r="V87" i="11"/>
  <c r="V297" i="11"/>
  <c r="V218" i="11"/>
  <c r="V490" i="11"/>
  <c r="V424" i="11"/>
  <c r="V140" i="11"/>
  <c r="V433" i="11"/>
  <c r="V250" i="11"/>
  <c r="V497" i="11"/>
  <c r="V305" i="11"/>
  <c r="V422" i="11"/>
  <c r="V215" i="11"/>
  <c r="V278" i="11"/>
  <c r="V460" i="11"/>
  <c r="V328" i="11"/>
  <c r="V80" i="11"/>
  <c r="V246" i="11"/>
  <c r="V272" i="11"/>
  <c r="V384" i="11"/>
  <c r="V91" i="11"/>
  <c r="V211" i="11"/>
  <c r="V102" i="11"/>
  <c r="V151" i="11"/>
  <c r="V429" i="11"/>
  <c r="V228" i="11"/>
  <c r="V492" i="11"/>
  <c r="V349" i="11"/>
  <c r="V132" i="11"/>
  <c r="V275" i="11"/>
  <c r="V428" i="11"/>
  <c r="V452" i="11"/>
  <c r="V353" i="11"/>
  <c r="V327" i="11"/>
  <c r="V204" i="11"/>
  <c r="V470" i="11"/>
  <c r="V374" i="11"/>
  <c r="V157" i="11"/>
  <c r="V396" i="11"/>
  <c r="V253" i="11"/>
  <c r="V413" i="11"/>
  <c r="V407" i="11"/>
  <c r="V415" i="11"/>
  <c r="V124" i="11"/>
  <c r="V479" i="11"/>
  <c r="V267" i="11"/>
  <c r="V343" i="11"/>
  <c r="V237" i="11"/>
  <c r="V201" i="11"/>
  <c r="V288" i="11"/>
  <c r="V109" i="11"/>
  <c r="V112" i="11"/>
  <c r="V241" i="11"/>
  <c r="V340" i="11"/>
  <c r="V444" i="11"/>
  <c r="V170" i="11"/>
  <c r="V474" i="11"/>
  <c r="V207" i="11"/>
  <c r="V261" i="11"/>
  <c r="V368" i="11"/>
  <c r="V410" i="11"/>
  <c r="V469" i="11"/>
  <c r="V177" i="11"/>
  <c r="V214" i="11"/>
  <c r="V416" i="11"/>
  <c r="V134" i="11"/>
  <c r="V457" i="11"/>
  <c r="V179" i="11"/>
  <c r="V331" i="11"/>
  <c r="V313" i="11"/>
  <c r="V110" i="11"/>
  <c r="V165" i="11"/>
  <c r="V137" i="11"/>
  <c r="V73" i="11"/>
  <c r="V385" i="11"/>
  <c r="V356" i="11"/>
  <c r="V480" i="11"/>
  <c r="V171" i="11"/>
  <c r="V226" i="11"/>
  <c r="V248" i="11"/>
  <c r="V403" i="11"/>
  <c r="V83" i="11"/>
  <c r="V196" i="11"/>
  <c r="V471" i="11"/>
  <c r="V139" i="11"/>
  <c r="V194" i="11"/>
  <c r="V245" i="11"/>
  <c r="V363" i="11"/>
  <c r="V106" i="11"/>
  <c r="V147" i="11"/>
  <c r="V298" i="11"/>
  <c r="V427" i="11"/>
  <c r="V355" i="11"/>
  <c r="V180" i="11"/>
  <c r="V116" i="11"/>
  <c r="V475" i="11"/>
  <c r="V360" i="11"/>
  <c r="V115" i="11"/>
  <c r="V274" i="11"/>
  <c r="V318" i="11"/>
  <c r="V466" i="11"/>
  <c r="V191" i="11"/>
  <c r="V200" i="11"/>
  <c r="V188" i="11"/>
  <c r="V390" i="11"/>
  <c r="V459" i="11"/>
  <c r="V376" i="11"/>
  <c r="V306" i="11"/>
  <c r="V256" i="11"/>
  <c r="V277" i="11"/>
  <c r="V309" i="11"/>
  <c r="V503" i="11"/>
  <c r="V411" i="11"/>
  <c r="V232" i="11"/>
  <c r="V89" i="11"/>
  <c r="V238" i="11"/>
  <c r="V251" i="11"/>
  <c r="V212" i="11"/>
  <c r="V316" i="11"/>
  <c r="V441" i="11"/>
  <c r="V217" i="11"/>
  <c r="V181" i="11"/>
  <c r="V393" i="11"/>
  <c r="V185" i="11"/>
  <c r="V209" i="11"/>
  <c r="V445" i="11"/>
  <c r="V85" i="11"/>
  <c r="V273" i="11"/>
  <c r="V438" i="11"/>
  <c r="V148" i="11"/>
  <c r="V387" i="11"/>
  <c r="V111" i="11"/>
  <c r="V113" i="11"/>
  <c r="V285" i="11"/>
  <c r="V79" i="11"/>
  <c r="V436" i="11"/>
  <c r="V418" i="11"/>
  <c r="V421" i="11"/>
  <c r="V399" i="11"/>
  <c r="V68" i="11"/>
  <c r="V477" i="11"/>
  <c r="V440" i="11"/>
  <c r="V159" i="11"/>
  <c r="V406" i="11"/>
  <c r="V230" i="11"/>
  <c r="V120" i="11"/>
  <c r="V249" i="11"/>
  <c r="V276" i="11"/>
  <c r="V108" i="11"/>
  <c r="V219" i="11"/>
  <c r="V392" i="11"/>
  <c r="V336" i="11"/>
  <c r="V481" i="11"/>
  <c r="V358" i="11"/>
  <c r="V489" i="11"/>
  <c r="V223" i="11"/>
  <c r="V70" i="11"/>
  <c r="V66" i="11"/>
  <c r="V84" i="11"/>
  <c r="V150" i="11"/>
  <c r="V242" i="11"/>
  <c r="V408" i="11"/>
  <c r="V143" i="11"/>
  <c r="V300" i="11"/>
  <c r="V494" i="11"/>
  <c r="V365" i="11"/>
  <c r="V224" i="11"/>
  <c r="V173" i="11"/>
  <c r="V346" i="11"/>
  <c r="V210" i="11"/>
  <c r="V213" i="11"/>
  <c r="V117" i="11"/>
  <c r="V465" i="11"/>
  <c r="V95" i="11"/>
  <c r="V296" i="11"/>
  <c r="V174" i="11"/>
  <c r="V426" i="11"/>
  <c r="V206" i="11"/>
  <c r="V455" i="11"/>
  <c r="V189" i="11"/>
  <c r="V293" i="11"/>
  <c r="V123" i="11"/>
  <c r="V329" i="11"/>
  <c r="V347" i="11"/>
  <c r="V435" i="11"/>
  <c r="V291" i="11"/>
  <c r="V314" i="11"/>
  <c r="V333" i="11"/>
  <c r="V227" i="11"/>
  <c r="V430" i="11"/>
  <c r="V482" i="11"/>
  <c r="V367" i="11"/>
  <c r="V128" i="11"/>
  <c r="V323" i="11"/>
  <c r="V382" i="11"/>
  <c r="V303" i="11"/>
  <c r="V366" i="11"/>
  <c r="V90" i="11"/>
  <c r="V341" i="11"/>
  <c r="V359" i="11"/>
  <c r="V192" i="11"/>
  <c r="V345" i="11"/>
  <c r="V335" i="11"/>
  <c r="V431" i="11"/>
  <c r="V312" i="11"/>
  <c r="V268" i="11"/>
  <c r="V264" i="11"/>
  <c r="V439" i="11"/>
  <c r="V197" i="11"/>
  <c r="V247" i="11"/>
  <c r="V76" i="11"/>
  <c r="V388" i="11"/>
  <c r="V220" i="11"/>
  <c r="V121" i="11"/>
  <c r="V373" i="11"/>
  <c r="V394" i="11"/>
  <c r="V93" i="11"/>
  <c r="V130" i="11"/>
  <c r="V96" i="11"/>
  <c r="V405" i="11"/>
  <c r="V202" i="11"/>
  <c r="V3" i="11"/>
  <c r="V463" i="11"/>
  <c r="V499" i="11"/>
  <c r="V81" i="11"/>
  <c r="V127" i="11"/>
  <c r="V259" i="11"/>
  <c r="V162" i="11"/>
  <c r="V461" i="11"/>
  <c r="V114" i="11"/>
  <c r="V464" i="11"/>
  <c r="V400" i="11"/>
  <c r="V281" i="11"/>
  <c r="V414" i="11"/>
  <c r="V448" i="11"/>
  <c r="V101" i="11"/>
  <c r="V450" i="11"/>
  <c r="V420" i="11"/>
  <c r="V178" i="11"/>
  <c r="V258" i="11"/>
  <c r="V487" i="11"/>
  <c r="V270" i="11"/>
  <c r="V122" i="11"/>
  <c r="V175" i="11"/>
  <c r="V75" i="11"/>
  <c r="V419" i="11"/>
  <c r="V493" i="11"/>
  <c r="V432" i="11"/>
  <c r="V136" i="11"/>
  <c r="V229" i="11"/>
  <c r="V135" i="11"/>
  <c r="V425" i="11"/>
  <c r="V244" i="11"/>
  <c r="V289" i="11"/>
  <c r="V167" i="11"/>
  <c r="V337" i="11"/>
  <c r="V98" i="11"/>
  <c r="V462" i="11"/>
  <c r="V486" i="11"/>
  <c r="V262" i="11"/>
  <c r="V395" i="11"/>
  <c r="V67" i="11"/>
  <c r="V166" i="11"/>
  <c r="V282" i="11"/>
  <c r="V417" i="11"/>
  <c r="V160" i="11"/>
  <c r="V233" i="11"/>
  <c r="V339" i="11"/>
  <c r="V149" i="11"/>
  <c r="V152" i="11"/>
  <c r="V308" i="11"/>
  <c r="V234" i="11"/>
  <c r="V235" i="11"/>
  <c r="V472" i="11"/>
  <c r="V287" i="11"/>
  <c r="V478" i="11"/>
  <c r="V443" i="11"/>
  <c r="V299" i="11"/>
  <c r="V86" i="11"/>
  <c r="V82" i="11"/>
  <c r="V294" i="11"/>
  <c r="V361" i="11"/>
  <c r="V183" i="11"/>
  <c r="V286" i="11"/>
  <c r="V280" i="11"/>
  <c r="V334" i="11"/>
  <c r="W1" i="11" l="1"/>
  <c r="W148" i="11"/>
  <c r="W279" i="11"/>
  <c r="W127" i="11"/>
  <c r="W406" i="11"/>
  <c r="W157" i="11"/>
  <c r="W124" i="11"/>
  <c r="W95" i="11"/>
  <c r="W81" i="11"/>
  <c r="W496" i="11"/>
  <c r="W211" i="11"/>
  <c r="W261" i="11"/>
  <c r="W483" i="11"/>
  <c r="W175" i="11"/>
  <c r="W378" i="11"/>
  <c r="W472" i="11"/>
  <c r="W499" i="11"/>
  <c r="W270" i="11"/>
  <c r="W193" i="11"/>
  <c r="W391" i="11"/>
  <c r="W461" i="11"/>
  <c r="W241" i="11"/>
  <c r="W449" i="11"/>
  <c r="W295" i="11"/>
  <c r="W262" i="11"/>
  <c r="W404" i="11"/>
  <c r="W266" i="11"/>
  <c r="W282" i="11"/>
  <c r="W283" i="11"/>
  <c r="W83" i="11"/>
  <c r="W300" i="11"/>
  <c r="W287" i="11"/>
  <c r="W212" i="11"/>
  <c r="W420" i="11"/>
  <c r="W214" i="11"/>
  <c r="W126" i="11"/>
  <c r="W199" i="11"/>
  <c r="W166" i="11"/>
  <c r="W209" i="11"/>
  <c r="W480" i="11"/>
  <c r="W305" i="11"/>
  <c r="W248" i="11"/>
  <c r="W271" i="11"/>
  <c r="W340" i="11"/>
  <c r="W500" i="11"/>
  <c r="W421" i="11"/>
  <c r="W456" i="11"/>
  <c r="W317" i="11"/>
  <c r="W272" i="11"/>
  <c r="W67" i="11"/>
  <c r="W167" i="11"/>
  <c r="W259" i="11"/>
  <c r="W207" i="11"/>
  <c r="W273" i="11"/>
  <c r="W275" i="11"/>
  <c r="W322" i="11"/>
  <c r="W385" i="11"/>
  <c r="W395" i="11"/>
  <c r="W353" i="11"/>
  <c r="W220" i="11"/>
  <c r="W354" i="11"/>
  <c r="W170" i="11"/>
  <c r="W334" i="11"/>
  <c r="W208" i="11"/>
  <c r="W181" i="11"/>
  <c r="W481" i="11"/>
  <c r="W367" i="11"/>
  <c r="W403" i="11"/>
  <c r="W222" i="11"/>
  <c r="W285" i="11"/>
  <c r="W197" i="11"/>
  <c r="W344" i="11"/>
  <c r="W152" i="11"/>
  <c r="W162" i="11"/>
  <c r="W111" i="11"/>
  <c r="W416" i="11"/>
  <c r="W382" i="11"/>
  <c r="W363" i="11"/>
  <c r="W260" i="11"/>
  <c r="W232" i="11"/>
  <c r="W405" i="11"/>
  <c r="W264" i="11"/>
  <c r="W151" i="11"/>
  <c r="W377" i="11"/>
  <c r="W392" i="11"/>
  <c r="W92" i="11"/>
  <c r="W176" i="11"/>
  <c r="W387" i="11"/>
  <c r="W246" i="11"/>
  <c r="W156" i="11"/>
  <c r="W417" i="11"/>
  <c r="W73" i="11"/>
  <c r="W69" i="11"/>
  <c r="W88" i="11"/>
  <c r="W455" i="11"/>
  <c r="W97" i="11"/>
  <c r="W503" i="11"/>
  <c r="W105" i="11"/>
  <c r="W79" i="11"/>
  <c r="W82" i="11"/>
  <c r="W258" i="11"/>
  <c r="W177" i="11"/>
  <c r="W319" i="11"/>
  <c r="W484" i="11"/>
  <c r="W113" i="11"/>
  <c r="W243" i="11"/>
  <c r="W70" i="11"/>
  <c r="W469" i="11"/>
  <c r="W195" i="11"/>
  <c r="W66" i="11"/>
  <c r="W293" i="11"/>
  <c r="W179" i="11"/>
  <c r="W415" i="11"/>
  <c r="W205" i="11"/>
  <c r="W433" i="11"/>
  <c r="W397" i="11"/>
  <c r="W454" i="11"/>
  <c r="W276" i="11"/>
  <c r="W498" i="11"/>
  <c r="W249" i="11"/>
  <c r="W147" i="11"/>
  <c r="W229" i="11"/>
  <c r="W133" i="11"/>
  <c r="W327" i="11"/>
  <c r="W204" i="11"/>
  <c r="W489" i="11"/>
  <c r="W440" i="11"/>
  <c r="W380" i="11"/>
  <c r="W99" i="11"/>
  <c r="W96" i="11"/>
  <c r="W196" i="11"/>
  <c r="W337" i="11"/>
  <c r="W101" i="11"/>
  <c r="W86" i="11"/>
  <c r="W352" i="11"/>
  <c r="W202" i="11"/>
  <c r="W168" i="11"/>
  <c r="W475" i="11"/>
  <c r="W118" i="11"/>
  <c r="W71" i="11"/>
  <c r="W366" i="11"/>
  <c r="W130" i="11"/>
  <c r="W502" i="11"/>
  <c r="W410" i="11"/>
  <c r="W91" i="11"/>
  <c r="W501" i="11"/>
  <c r="W274" i="11"/>
  <c r="W320" i="11"/>
  <c r="W215" i="11"/>
  <c r="W482" i="11"/>
  <c r="W291" i="11"/>
  <c r="W163" i="11"/>
  <c r="W242" i="11"/>
  <c r="W165" i="11"/>
  <c r="W401" i="11"/>
  <c r="W384" i="11"/>
  <c r="W379" i="11"/>
  <c r="W100" i="11"/>
  <c r="W180" i="11"/>
  <c r="W226" i="11"/>
  <c r="W398" i="11"/>
  <c r="W142" i="11"/>
  <c r="W468" i="11"/>
  <c r="W164" i="11"/>
  <c r="W447" i="11"/>
  <c r="W80" i="11"/>
  <c r="W173" i="11"/>
  <c r="W473" i="11"/>
  <c r="W186" i="11"/>
  <c r="W102" i="11"/>
  <c r="W369" i="11"/>
  <c r="W364" i="11"/>
  <c r="W325" i="11"/>
  <c r="W296" i="11"/>
  <c r="W191" i="11"/>
  <c r="W254" i="11"/>
  <c r="W189" i="11"/>
  <c r="W467" i="11"/>
  <c r="W154" i="11"/>
  <c r="W443" i="11"/>
  <c r="W308" i="11"/>
  <c r="W394" i="11"/>
  <c r="W263" i="11"/>
  <c r="W200" i="11"/>
  <c r="W324" i="11"/>
  <c r="W301" i="11"/>
  <c r="W237" i="11"/>
  <c r="W426" i="11"/>
  <c r="W490" i="11"/>
  <c r="W294" i="11"/>
  <c r="W169" i="11"/>
  <c r="W158" i="11"/>
  <c r="W98" i="11"/>
  <c r="W160" i="11"/>
  <c r="W452" i="11"/>
  <c r="W190" i="11"/>
  <c r="W244" i="11"/>
  <c r="W411" i="11"/>
  <c r="W247" i="11"/>
  <c r="W303" i="11"/>
  <c r="W423" i="11"/>
  <c r="W277" i="11"/>
  <c r="W400" i="11"/>
  <c r="W339" i="11"/>
  <c r="W321" i="11"/>
  <c r="W134" i="11"/>
  <c r="W224" i="11"/>
  <c r="W219" i="11"/>
  <c r="W343" i="11"/>
  <c r="W172" i="11"/>
  <c r="W251" i="11"/>
  <c r="W227" i="11"/>
  <c r="W358" i="11"/>
  <c r="W194" i="11"/>
  <c r="W255" i="11"/>
  <c r="W89" i="11"/>
  <c r="W125" i="11"/>
  <c r="W161" i="11"/>
  <c r="W488" i="11"/>
  <c r="W135" i="11"/>
  <c r="W335" i="11"/>
  <c r="W72" i="11"/>
  <c r="W245" i="11"/>
  <c r="W110" i="11"/>
  <c r="W493" i="11"/>
  <c r="W153" i="11"/>
  <c r="W131" i="11"/>
  <c r="W425" i="11"/>
  <c r="W393" i="11"/>
  <c r="W448" i="11"/>
  <c r="W298" i="11"/>
  <c r="W302" i="11"/>
  <c r="W184" i="11"/>
  <c r="W137" i="11"/>
  <c r="W438" i="11"/>
  <c r="W413" i="11"/>
  <c r="W239" i="11"/>
  <c r="W390" i="11"/>
  <c r="W355" i="11"/>
  <c r="W108" i="11"/>
  <c r="W345" i="11"/>
  <c r="W453" i="11"/>
  <c r="W216" i="11"/>
  <c r="W304" i="11"/>
  <c r="W414" i="11"/>
  <c r="W77" i="11"/>
  <c r="W269" i="11"/>
  <c r="W451" i="11"/>
  <c r="W341" i="11"/>
  <c r="W256" i="11"/>
  <c r="W281" i="11"/>
  <c r="W138" i="11"/>
  <c r="W217" i="11"/>
  <c r="W297" i="11"/>
  <c r="W253" i="11"/>
  <c r="W424" i="11"/>
  <c r="W478" i="11"/>
  <c r="W357" i="11"/>
  <c r="W429" i="11"/>
  <c r="W286" i="11"/>
  <c r="W497" i="11"/>
  <c r="W116" i="11"/>
  <c r="W485" i="11"/>
  <c r="W268" i="11"/>
  <c r="W386" i="11"/>
  <c r="W76" i="11"/>
  <c r="W463" i="11"/>
  <c r="W183" i="11"/>
  <c r="W330" i="11"/>
  <c r="W348" i="11"/>
  <c r="W439" i="11"/>
  <c r="W128" i="11"/>
  <c r="W192" i="11"/>
  <c r="W257" i="11"/>
  <c r="W299" i="11"/>
  <c r="W185" i="11"/>
  <c r="W115" i="11"/>
  <c r="W120" i="11"/>
  <c r="W288" i="11"/>
  <c r="W375" i="11"/>
  <c r="W389" i="11"/>
  <c r="W450" i="11"/>
  <c r="W436" i="11"/>
  <c r="W240" i="11"/>
  <c r="W435" i="11"/>
  <c r="W198" i="11"/>
  <c r="W93" i="11"/>
  <c r="W437" i="11"/>
  <c r="W143" i="11"/>
  <c r="W150" i="11"/>
  <c r="W460" i="11"/>
  <c r="W307" i="11"/>
  <c r="W459" i="11"/>
  <c r="W310" i="11"/>
  <c r="W112" i="11"/>
  <c r="W430" i="11"/>
  <c r="W235" i="11"/>
  <c r="W365" i="11"/>
  <c r="W312" i="11"/>
  <c r="W479" i="11"/>
  <c r="W231" i="11"/>
  <c r="W462" i="11"/>
  <c r="W203" i="11"/>
  <c r="W228" i="11"/>
  <c r="W494" i="11"/>
  <c r="W350" i="11"/>
  <c r="W280" i="11"/>
  <c r="W399" i="11"/>
  <c r="W265" i="11"/>
  <c r="W238" i="11"/>
  <c r="W471" i="11"/>
  <c r="W213" i="11"/>
  <c r="W434" i="11"/>
  <c r="W114" i="11"/>
  <c r="W122" i="11"/>
  <c r="W457" i="11"/>
  <c r="W418" i="11"/>
  <c r="W446" i="11"/>
  <c r="W315" i="11"/>
  <c r="W187" i="11"/>
  <c r="W474" i="11"/>
  <c r="W376" i="11"/>
  <c r="W174" i="11"/>
  <c r="W178" i="11"/>
  <c r="W347" i="11"/>
  <c r="W230" i="11"/>
  <c r="W356" i="11"/>
  <c r="W218" i="11"/>
  <c r="W491" i="11"/>
  <c r="W136" i="11"/>
  <c r="W146" i="11"/>
  <c r="W206" i="11"/>
  <c r="W332" i="11"/>
  <c r="W466" i="11"/>
  <c r="W431" i="11"/>
  <c r="W402" i="11"/>
  <c r="W252" i="11"/>
  <c r="W323" i="11"/>
  <c r="W171" i="11"/>
  <c r="W104" i="11"/>
  <c r="W316" i="11"/>
  <c r="W236" i="11"/>
  <c r="W368" i="11"/>
  <c r="W359" i="11"/>
  <c r="W495" i="11"/>
  <c r="W3" i="11"/>
  <c r="W441" i="11"/>
  <c r="W422" i="11"/>
  <c r="W290" i="11"/>
  <c r="W419" i="11"/>
  <c r="W432" i="11"/>
  <c r="W278" i="11"/>
  <c r="W476" i="11"/>
  <c r="W351" i="11"/>
  <c r="W75" i="11"/>
  <c r="W487" i="11"/>
  <c r="W442" i="11"/>
  <c r="W331" i="11"/>
  <c r="W477" i="11"/>
  <c r="W464" i="11"/>
  <c r="W328" i="11"/>
  <c r="W159" i="11"/>
  <c r="W155" i="11"/>
  <c r="W381" i="11"/>
  <c r="W444" i="11"/>
  <c r="W383" i="11"/>
  <c r="W267" i="11"/>
  <c r="W371" i="11"/>
  <c r="W284" i="11"/>
  <c r="W74" i="11"/>
  <c r="W182" i="11"/>
  <c r="W94" i="11"/>
  <c r="W103" i="11"/>
  <c r="W139" i="11"/>
  <c r="W144" i="11"/>
  <c r="W210" i="11"/>
  <c r="W309" i="11"/>
  <c r="W221" i="11"/>
  <c r="W349" i="11"/>
  <c r="W84" i="11"/>
  <c r="W318" i="11"/>
  <c r="W374" i="11"/>
  <c r="W346" i="11"/>
  <c r="W458" i="11"/>
  <c r="W289" i="11"/>
  <c r="W314" i="11"/>
  <c r="W234" i="11"/>
  <c r="W109" i="11"/>
  <c r="W129" i="11"/>
  <c r="W470" i="11"/>
  <c r="W123" i="11"/>
  <c r="W292" i="11"/>
  <c r="W65" i="11"/>
  <c r="W445" i="11"/>
  <c r="W412" i="11"/>
  <c r="W362" i="11"/>
  <c r="W361" i="11"/>
  <c r="W78" i="11"/>
  <c r="W132" i="11"/>
  <c r="W409" i="11"/>
  <c r="W338" i="11"/>
  <c r="W329" i="11"/>
  <c r="W68" i="11"/>
  <c r="W85" i="11"/>
  <c r="W233" i="11"/>
  <c r="W119" i="11"/>
  <c r="W188" i="11"/>
  <c r="W360" i="11"/>
  <c r="W149" i="11"/>
  <c r="W87" i="11"/>
  <c r="W333" i="11"/>
  <c r="W106" i="11"/>
  <c r="W311" i="11"/>
  <c r="W201" i="11"/>
  <c r="W465" i="11"/>
  <c r="W223" i="11"/>
  <c r="W427" i="11"/>
  <c r="W486" i="11"/>
  <c r="W90" i="11"/>
  <c r="W140" i="11"/>
  <c r="W492" i="11"/>
  <c r="W336" i="11"/>
  <c r="W107" i="11"/>
  <c r="W396" i="11"/>
  <c r="W225" i="11"/>
  <c r="W370" i="11"/>
  <c r="W121" i="11"/>
  <c r="W373" i="11"/>
  <c r="W326" i="11"/>
  <c r="W250" i="11"/>
  <c r="W408" i="11"/>
  <c r="W388" i="11"/>
  <c r="W313" i="11"/>
  <c r="W141" i="11"/>
  <c r="W407" i="11"/>
  <c r="W342" i="11"/>
  <c r="W117" i="11"/>
  <c r="W372" i="11"/>
  <c r="W428" i="11"/>
  <c r="W306" i="11"/>
  <c r="W145" i="11"/>
  <c r="X1" i="11" l="1"/>
  <c r="X473" i="11"/>
  <c r="X315" i="11"/>
  <c r="X362" i="11"/>
  <c r="X147" i="11"/>
  <c r="X197" i="11"/>
  <c r="X247" i="11"/>
  <c r="X124" i="11"/>
  <c r="X482" i="11"/>
  <c r="X397" i="11"/>
  <c r="X350" i="11"/>
  <c r="X447" i="11"/>
  <c r="X257" i="11"/>
  <c r="X450" i="11"/>
  <c r="X272" i="11"/>
  <c r="X241" i="11"/>
  <c r="X232" i="11"/>
  <c r="X469" i="11"/>
  <c r="X242" i="11"/>
  <c r="X129" i="11"/>
  <c r="X391" i="11"/>
  <c r="X89" i="11"/>
  <c r="X73" i="11"/>
  <c r="X320" i="11"/>
  <c r="X448" i="11"/>
  <c r="X299" i="11"/>
  <c r="X249" i="11"/>
  <c r="X223" i="11"/>
  <c r="X502" i="11"/>
  <c r="X177" i="11"/>
  <c r="X243" i="11"/>
  <c r="X453" i="11"/>
  <c r="X195" i="11"/>
  <c r="X459" i="11"/>
  <c r="X488" i="11"/>
  <c r="X438" i="11"/>
  <c r="X387" i="11"/>
  <c r="X251" i="11"/>
  <c r="X196" i="11"/>
  <c r="X226" i="11"/>
  <c r="X104" i="11"/>
  <c r="X266" i="11"/>
  <c r="X424" i="11"/>
  <c r="X444" i="11"/>
  <c r="X435" i="11"/>
  <c r="X415" i="11"/>
  <c r="X500" i="11"/>
  <c r="X284" i="11"/>
  <c r="X449" i="11"/>
  <c r="X70" i="11"/>
  <c r="X333" i="11"/>
  <c r="X359" i="11"/>
  <c r="X212" i="11"/>
  <c r="X248" i="11"/>
  <c r="X80" i="11"/>
  <c r="X371" i="11"/>
  <c r="X256" i="11"/>
  <c r="X185" i="11"/>
  <c r="X410" i="11"/>
  <c r="X141" i="11"/>
  <c r="X354" i="11"/>
  <c r="X113" i="11"/>
  <c r="X93" i="11"/>
  <c r="X454" i="11"/>
  <c r="X235" i="11"/>
  <c r="X216" i="11"/>
  <c r="X206" i="11"/>
  <c r="X455" i="11"/>
  <c r="X165" i="11"/>
  <c r="X118" i="11"/>
  <c r="X290" i="11"/>
  <c r="X178" i="11"/>
  <c r="X271" i="11"/>
  <c r="X485" i="11"/>
  <c r="X174" i="11"/>
  <c r="X476" i="11"/>
  <c r="X265" i="11"/>
  <c r="X384" i="11"/>
  <c r="X126" i="11"/>
  <c r="X363" i="11"/>
  <c r="X470" i="11"/>
  <c r="X433" i="11"/>
  <c r="X477" i="11"/>
  <c r="X325" i="11"/>
  <c r="X425" i="11"/>
  <c r="X430" i="11"/>
  <c r="X353" i="11"/>
  <c r="X467" i="11"/>
  <c r="X427" i="11"/>
  <c r="X134" i="11"/>
  <c r="X139" i="11"/>
  <c r="X330" i="11"/>
  <c r="X208" i="11"/>
  <c r="X84" i="11"/>
  <c r="X475" i="11"/>
  <c r="X205" i="11"/>
  <c r="X3" i="11"/>
  <c r="X417" i="11"/>
  <c r="X219" i="11"/>
  <c r="X182" i="11"/>
  <c r="X314" i="11"/>
  <c r="X493" i="11"/>
  <c r="X175" i="11"/>
  <c r="X180" i="11"/>
  <c r="X72" i="11"/>
  <c r="X423" i="11"/>
  <c r="X100" i="11"/>
  <c r="X102" i="11"/>
  <c r="X307" i="11"/>
  <c r="X224" i="11"/>
  <c r="X303" i="11"/>
  <c r="X135" i="11"/>
  <c r="X199" i="11"/>
  <c r="X75" i="11"/>
  <c r="X457" i="11"/>
  <c r="X67" i="11"/>
  <c r="X250" i="11"/>
  <c r="X376" i="11"/>
  <c r="X192" i="11"/>
  <c r="X225" i="11"/>
  <c r="X401" i="11"/>
  <c r="X434" i="11"/>
  <c r="X361" i="11"/>
  <c r="X218" i="11"/>
  <c r="X463" i="11"/>
  <c r="X296" i="11"/>
  <c r="X263" i="11"/>
  <c r="X283" i="11"/>
  <c r="X346" i="11"/>
  <c r="X262" i="11"/>
  <c r="X282" i="11"/>
  <c r="X280" i="11"/>
  <c r="X137" i="11"/>
  <c r="X159" i="11"/>
  <c r="X148" i="11"/>
  <c r="X254" i="11"/>
  <c r="X480" i="11"/>
  <c r="X114" i="11"/>
  <c r="X398" i="11"/>
  <c r="X293" i="11"/>
  <c r="X494" i="11"/>
  <c r="X499" i="11"/>
  <c r="X103" i="11"/>
  <c r="X204" i="11"/>
  <c r="X207" i="11"/>
  <c r="X183" i="11"/>
  <c r="X358" i="11"/>
  <c r="X490" i="11"/>
  <c r="X390" i="11"/>
  <c r="X404" i="11"/>
  <c r="X446" i="11"/>
  <c r="X230" i="11"/>
  <c r="X193" i="11"/>
  <c r="X267" i="11"/>
  <c r="X431" i="11"/>
  <c r="X344" i="11"/>
  <c r="X167" i="11"/>
  <c r="X140" i="11"/>
  <c r="X156" i="11"/>
  <c r="X484" i="11"/>
  <c r="X164" i="11"/>
  <c r="X426" i="11"/>
  <c r="X220" i="11"/>
  <c r="X379" i="11"/>
  <c r="X373" i="11"/>
  <c r="X227" i="11"/>
  <c r="X119" i="11"/>
  <c r="X143" i="11"/>
  <c r="X81" i="11"/>
  <c r="X132" i="11"/>
  <c r="X367" i="11"/>
  <c r="X375" i="11"/>
  <c r="X286" i="11"/>
  <c r="X191" i="11"/>
  <c r="X341" i="11"/>
  <c r="X400" i="11"/>
  <c r="X121" i="11"/>
  <c r="X65" i="11"/>
  <c r="X416" i="11"/>
  <c r="X144" i="11"/>
  <c r="X210" i="11"/>
  <c r="X388" i="11"/>
  <c r="X253" i="11"/>
  <c r="X149" i="11"/>
  <c r="X68" i="11"/>
  <c r="X122" i="11"/>
  <c r="X337" i="11"/>
  <c r="X78" i="11"/>
  <c r="X495" i="11"/>
  <c r="X153" i="11"/>
  <c r="X356" i="11"/>
  <c r="X107" i="11"/>
  <c r="X76" i="11"/>
  <c r="X274" i="11"/>
  <c r="X486" i="11"/>
  <c r="X468" i="11"/>
  <c r="X347" i="11"/>
  <c r="X458" i="11"/>
  <c r="X328" i="11"/>
  <c r="X222" i="11"/>
  <c r="X138" i="11"/>
  <c r="X324" i="11"/>
  <c r="X311" i="11"/>
  <c r="X332" i="11"/>
  <c r="X117" i="11"/>
  <c r="X349" i="11"/>
  <c r="X474" i="11"/>
  <c r="X158" i="11"/>
  <c r="X203" i="11"/>
  <c r="X442" i="11"/>
  <c r="X99" i="11"/>
  <c r="X278" i="11"/>
  <c r="X71" i="11"/>
  <c r="X169" i="11"/>
  <c r="X378" i="11"/>
  <c r="X259" i="11"/>
  <c r="X198" i="11"/>
  <c r="X125" i="11"/>
  <c r="X498" i="11"/>
  <c r="X85" i="11"/>
  <c r="X437" i="11"/>
  <c r="X487" i="11"/>
  <c r="X90" i="11"/>
  <c r="X281" i="11"/>
  <c r="X419" i="11"/>
  <c r="X194" i="11"/>
  <c r="X377" i="11"/>
  <c r="X321" i="11"/>
  <c r="X237" i="11"/>
  <c r="X239" i="11"/>
  <c r="X86" i="11"/>
  <c r="X288" i="11"/>
  <c r="X302" i="11"/>
  <c r="X322" i="11"/>
  <c r="X316" i="11"/>
  <c r="X343" i="11"/>
  <c r="X294" i="11"/>
  <c r="X213" i="11"/>
  <c r="X348" i="11"/>
  <c r="X441" i="11"/>
  <c r="X479" i="11"/>
  <c r="X229" i="11"/>
  <c r="X383" i="11"/>
  <c r="X170" i="11"/>
  <c r="X115" i="11"/>
  <c r="X309" i="11"/>
  <c r="X462" i="11"/>
  <c r="X394" i="11"/>
  <c r="X503" i="11"/>
  <c r="X238" i="11"/>
  <c r="X313" i="11"/>
  <c r="X161" i="11"/>
  <c r="X150" i="11"/>
  <c r="X95" i="11"/>
  <c r="X429" i="11"/>
  <c r="X382" i="11"/>
  <c r="X418" i="11"/>
  <c r="X92" i="11"/>
  <c r="X331" i="11"/>
  <c r="X201" i="11"/>
  <c r="X334" i="11"/>
  <c r="X374" i="11"/>
  <c r="X451" i="11"/>
  <c r="X258" i="11"/>
  <c r="X414" i="11"/>
  <c r="X323" i="11"/>
  <c r="X496" i="11"/>
  <c r="X483" i="11"/>
  <c r="X285" i="11"/>
  <c r="X370" i="11"/>
  <c r="X179" i="11"/>
  <c r="X368" i="11"/>
  <c r="X403" i="11"/>
  <c r="X492" i="11"/>
  <c r="X329" i="11"/>
  <c r="X412" i="11"/>
  <c r="X420" i="11"/>
  <c r="X413" i="11"/>
  <c r="X436" i="11"/>
  <c r="X79" i="11"/>
  <c r="X407" i="11"/>
  <c r="X214" i="11"/>
  <c r="X389" i="11"/>
  <c r="X399" i="11"/>
  <c r="X160" i="11"/>
  <c r="X186" i="11"/>
  <c r="X312" i="11"/>
  <c r="X252" i="11"/>
  <c r="X428" i="11"/>
  <c r="X133" i="11"/>
  <c r="X217" i="11"/>
  <c r="X409" i="11"/>
  <c r="X406" i="11"/>
  <c r="X471" i="11"/>
  <c r="X381" i="11"/>
  <c r="X317" i="11"/>
  <c r="X372" i="11"/>
  <c r="X466" i="11"/>
  <c r="X292" i="11"/>
  <c r="X422" i="11"/>
  <c r="X128" i="11"/>
  <c r="X432" i="11"/>
  <c r="X101" i="11"/>
  <c r="X261" i="11"/>
  <c r="X443" i="11"/>
  <c r="X142" i="11"/>
  <c r="X291" i="11"/>
  <c r="X385" i="11"/>
  <c r="X365" i="11"/>
  <c r="X246" i="11"/>
  <c r="X173" i="11"/>
  <c r="X154" i="11"/>
  <c r="X106" i="11"/>
  <c r="X187" i="11"/>
  <c r="X301" i="11"/>
  <c r="X295" i="11"/>
  <c r="X273" i="11"/>
  <c r="X112" i="11"/>
  <c r="X69" i="11"/>
  <c r="X215" i="11"/>
  <c r="X360" i="11"/>
  <c r="X152" i="11"/>
  <c r="X339" i="11"/>
  <c r="X364" i="11"/>
  <c r="X408" i="11"/>
  <c r="X300" i="11"/>
  <c r="X306" i="11"/>
  <c r="X478" i="11"/>
  <c r="X276" i="11"/>
  <c r="X275" i="11"/>
  <c r="X308" i="11"/>
  <c r="X87" i="11"/>
  <c r="X318" i="11"/>
  <c r="X402" i="11"/>
  <c r="X181" i="11"/>
  <c r="X289" i="11"/>
  <c r="X439" i="11"/>
  <c r="X355" i="11"/>
  <c r="X77" i="11"/>
  <c r="X234" i="11"/>
  <c r="X155" i="11"/>
  <c r="X392" i="11"/>
  <c r="X209" i="11"/>
  <c r="X327" i="11"/>
  <c r="X94" i="11"/>
  <c r="X335" i="11"/>
  <c r="X98" i="11"/>
  <c r="X228" i="11"/>
  <c r="X369" i="11"/>
  <c r="X326" i="11"/>
  <c r="X120" i="11"/>
  <c r="X151" i="11"/>
  <c r="X461" i="11"/>
  <c r="X395" i="11"/>
  <c r="X127" i="11"/>
  <c r="X380" i="11"/>
  <c r="X336" i="11"/>
  <c r="X168" i="11"/>
  <c r="X465" i="11"/>
  <c r="X108" i="11"/>
  <c r="X184" i="11"/>
  <c r="X130" i="11"/>
  <c r="X279" i="11"/>
  <c r="X110" i="11"/>
  <c r="X146" i="11"/>
  <c r="X497" i="11"/>
  <c r="X304" i="11"/>
  <c r="X342" i="11"/>
  <c r="X96" i="11"/>
  <c r="X221" i="11"/>
  <c r="X66" i="11"/>
  <c r="X460" i="11"/>
  <c r="X105" i="11"/>
  <c r="X145" i="11"/>
  <c r="X340" i="11"/>
  <c r="X440" i="11"/>
  <c r="X111" i="11"/>
  <c r="X166" i="11"/>
  <c r="X88" i="11"/>
  <c r="X456" i="11"/>
  <c r="X97" i="11"/>
  <c r="X472" i="11"/>
  <c r="X287" i="11"/>
  <c r="X91" i="11"/>
  <c r="X298" i="11"/>
  <c r="X357" i="11"/>
  <c r="X236" i="11"/>
  <c r="X82" i="11"/>
  <c r="X240" i="11"/>
  <c r="X386" i="11"/>
  <c r="X163" i="11"/>
  <c r="X305" i="11"/>
  <c r="X491" i="11"/>
  <c r="X190" i="11"/>
  <c r="X74" i="11"/>
  <c r="X270" i="11"/>
  <c r="X211" i="11"/>
  <c r="X231" i="11"/>
  <c r="X345" i="11"/>
  <c r="X116" i="11"/>
  <c r="X260" i="11"/>
  <c r="X352" i="11"/>
  <c r="X200" i="11"/>
  <c r="X202" i="11"/>
  <c r="X396" i="11"/>
  <c r="X351" i="11"/>
  <c r="X245" i="11"/>
  <c r="X452" i="11"/>
  <c r="X83" i="11"/>
  <c r="X481" i="11"/>
  <c r="X445" i="11"/>
  <c r="X157" i="11"/>
  <c r="X269" i="11"/>
  <c r="X233" i="11"/>
  <c r="X319" i="11"/>
  <c r="X255" i="11"/>
  <c r="X189" i="11"/>
  <c r="X244" i="11"/>
  <c r="X136" i="11"/>
  <c r="X123" i="11"/>
  <c r="X501" i="11"/>
  <c r="X338" i="11"/>
  <c r="X162" i="11"/>
  <c r="X421" i="11"/>
  <c r="X264" i="11"/>
  <c r="X489" i="11"/>
  <c r="X297" i="11"/>
  <c r="X277" i="11"/>
  <c r="X405" i="11"/>
  <c r="X366" i="11"/>
  <c r="X176" i="11"/>
  <c r="X171" i="11"/>
  <c r="X310" i="11"/>
  <c r="X109" i="11"/>
  <c r="X393" i="11"/>
  <c r="X188" i="11"/>
  <c r="X172" i="11"/>
  <c r="X268" i="11"/>
  <c r="X464" i="11"/>
  <c r="X131" i="11"/>
  <c r="X411" i="11"/>
  <c r="Y1" i="11" l="1"/>
  <c r="Y210" i="11"/>
  <c r="Y397" i="11"/>
  <c r="Y84" i="11"/>
  <c r="Y453" i="11"/>
  <c r="Y496" i="11"/>
  <c r="Y226" i="11"/>
  <c r="Y85" i="11"/>
  <c r="Y324" i="11"/>
  <c r="Y452" i="11"/>
  <c r="Y66" i="11"/>
  <c r="Y67" i="11"/>
  <c r="Y318" i="11"/>
  <c r="Y456" i="11"/>
  <c r="Y306" i="11"/>
  <c r="Y181" i="11"/>
  <c r="Y272" i="11"/>
  <c r="Y259" i="11"/>
  <c r="Y139" i="11"/>
  <c r="Y248" i="11"/>
  <c r="Y465" i="11"/>
  <c r="Y402" i="11"/>
  <c r="Y388" i="11"/>
  <c r="Y147" i="11"/>
  <c r="Y279" i="11"/>
  <c r="Y123" i="11"/>
  <c r="Y218" i="11"/>
  <c r="Y93" i="11"/>
  <c r="Y219" i="11"/>
  <c r="Y90" i="11"/>
  <c r="Y127" i="11"/>
  <c r="Y262" i="11"/>
  <c r="Y360" i="11"/>
  <c r="Y105" i="11"/>
  <c r="Y464" i="11"/>
  <c r="Y317" i="11"/>
  <c r="Y245" i="11"/>
  <c r="Y384" i="11"/>
  <c r="Y88" i="11"/>
  <c r="Y161" i="11"/>
  <c r="Y135" i="11"/>
  <c r="Y304" i="11"/>
  <c r="Y186" i="11"/>
  <c r="Y330" i="11"/>
  <c r="Y405" i="11"/>
  <c r="Y404" i="11"/>
  <c r="Y488" i="11"/>
  <c r="Y374" i="11"/>
  <c r="Y487" i="11"/>
  <c r="Y379" i="11"/>
  <c r="Y493" i="11"/>
  <c r="Y83" i="11"/>
  <c r="Y103" i="11"/>
  <c r="Y491" i="11"/>
  <c r="Y275" i="11"/>
  <c r="Y372" i="11"/>
  <c r="Y75" i="11"/>
  <c r="Y421" i="11"/>
  <c r="Y190" i="11"/>
  <c r="Y373" i="11"/>
  <c r="Y444" i="11"/>
  <c r="Y265" i="11"/>
  <c r="Y224" i="11"/>
  <c r="Y396" i="11"/>
  <c r="Y208" i="11"/>
  <c r="Y225" i="11"/>
  <c r="Y188" i="11"/>
  <c r="Y96" i="11"/>
  <c r="Y417" i="11"/>
  <c r="Y498" i="11"/>
  <c r="Y160" i="11"/>
  <c r="Y278" i="11"/>
  <c r="Y357" i="11"/>
  <c r="Y204" i="11"/>
  <c r="Y141" i="11"/>
  <c r="Y293" i="11"/>
  <c r="Y351" i="11"/>
  <c r="Y142" i="11"/>
  <c r="Y70" i="11"/>
  <c r="Y94" i="11"/>
  <c r="Y389" i="11"/>
  <c r="Y376" i="11"/>
  <c r="Y280" i="11"/>
  <c r="Y242" i="11"/>
  <c r="Y380" i="11"/>
  <c r="Y424" i="11"/>
  <c r="Y301" i="11"/>
  <c r="Y470" i="11"/>
  <c r="Y173" i="11"/>
  <c r="Y114" i="11"/>
  <c r="Y437" i="11"/>
  <c r="Y222" i="11"/>
  <c r="Y260" i="11"/>
  <c r="Y152" i="11"/>
  <c r="Y187" i="11"/>
  <c r="Y495" i="11"/>
  <c r="Y227" i="11"/>
  <c r="Y463" i="11"/>
  <c r="Y363" i="11"/>
  <c r="Y332" i="11"/>
  <c r="Y406" i="11"/>
  <c r="Y170" i="11"/>
  <c r="Y270" i="11"/>
  <c r="Y247" i="11"/>
  <c r="Y423" i="11"/>
  <c r="Y81" i="11"/>
  <c r="Y140" i="11"/>
  <c r="Y319" i="11"/>
  <c r="Y162" i="11"/>
  <c r="Y322" i="11"/>
  <c r="Y246" i="11"/>
  <c r="Y130" i="11"/>
  <c r="Y263" i="11"/>
  <c r="Y457" i="11"/>
  <c r="Y366" i="11"/>
  <c r="Y244" i="11"/>
  <c r="Y151" i="11"/>
  <c r="Y335" i="11"/>
  <c r="Y299" i="11"/>
  <c r="Y199" i="11"/>
  <c r="Y143" i="11"/>
  <c r="Y367" i="11"/>
  <c r="Y403" i="11"/>
  <c r="Y134" i="11"/>
  <c r="Y284" i="11"/>
  <c r="Y473" i="11"/>
  <c r="Y255" i="11"/>
  <c r="Y243" i="11"/>
  <c r="Y291" i="11"/>
  <c r="Y108" i="11"/>
  <c r="Y97" i="11"/>
  <c r="Y266" i="11"/>
  <c r="Y353" i="11"/>
  <c r="Y73" i="11"/>
  <c r="Y436" i="11"/>
  <c r="Y307" i="11"/>
  <c r="Y76" i="11"/>
  <c r="Y193" i="11"/>
  <c r="Y249" i="11"/>
  <c r="Y236" i="11"/>
  <c r="Y185" i="11"/>
  <c r="Y298" i="11"/>
  <c r="Y176" i="11"/>
  <c r="Y189" i="11"/>
  <c r="Y107" i="11"/>
  <c r="Y282" i="11"/>
  <c r="Y320" i="11"/>
  <c r="Y438" i="11"/>
  <c r="Y271" i="11"/>
  <c r="Y212" i="11"/>
  <c r="Y339" i="11"/>
  <c r="Y427" i="11"/>
  <c r="Y180" i="11"/>
  <c r="Y390" i="11"/>
  <c r="Y228" i="11"/>
  <c r="Y348" i="11"/>
  <c r="Y111" i="11"/>
  <c r="Y476" i="11"/>
  <c r="Y129" i="11"/>
  <c r="Y106" i="11"/>
  <c r="Y431" i="11"/>
  <c r="Y258" i="11"/>
  <c r="Y202" i="11"/>
  <c r="Y113" i="11"/>
  <c r="Y154" i="11"/>
  <c r="Y305" i="11"/>
  <c r="Y472" i="11"/>
  <c r="Y191" i="11"/>
  <c r="Y69" i="11"/>
  <c r="Y91" i="11"/>
  <c r="Y323" i="11"/>
  <c r="Y274" i="11"/>
  <c r="Y118" i="11"/>
  <c r="Y341" i="11"/>
  <c r="Y238" i="11"/>
  <c r="Y338" i="11"/>
  <c r="Y100" i="11"/>
  <c r="Y356" i="11"/>
  <c r="Y158" i="11"/>
  <c r="Y136" i="11"/>
  <c r="Y216" i="11"/>
  <c r="Y401" i="11"/>
  <c r="Y409" i="11"/>
  <c r="Y313" i="11"/>
  <c r="Y503" i="11"/>
  <c r="Y297" i="11"/>
  <c r="Y194" i="11"/>
  <c r="Y368" i="11"/>
  <c r="Y400" i="11"/>
  <c r="Y471" i="11"/>
  <c r="Y448" i="11"/>
  <c r="Y412" i="11"/>
  <c r="Y68" i="11"/>
  <c r="Y184" i="11"/>
  <c r="Y392" i="11"/>
  <c r="Y502" i="11"/>
  <c r="Y213" i="11"/>
  <c r="Y445" i="11"/>
  <c r="Y314" i="11"/>
  <c r="Y87" i="11"/>
  <c r="Y104" i="11"/>
  <c r="Y494" i="11"/>
  <c r="Y277" i="11"/>
  <c r="Y418" i="11"/>
  <c r="Y381" i="11"/>
  <c r="Y138" i="11"/>
  <c r="Y80" i="11"/>
  <c r="Y77" i="11"/>
  <c r="Y256" i="11"/>
  <c r="Y110" i="11"/>
  <c r="Y182" i="11"/>
  <c r="Y432" i="11"/>
  <c r="Y273" i="11"/>
  <c r="Y250" i="11"/>
  <c r="Y72" i="11"/>
  <c r="Y292" i="11"/>
  <c r="Y492" i="11"/>
  <c r="Y407" i="11"/>
  <c r="Y303" i="11"/>
  <c r="Y466" i="11"/>
  <c r="Y157" i="11"/>
  <c r="Y490" i="11"/>
  <c r="Y79" i="11"/>
  <c r="Y195" i="11"/>
  <c r="Y385" i="11"/>
  <c r="Y462" i="11"/>
  <c r="Y454" i="11"/>
  <c r="Y325" i="11"/>
  <c r="Y346" i="11"/>
  <c r="Y178" i="11"/>
  <c r="Y196" i="11"/>
  <c r="Y312" i="11"/>
  <c r="Y461" i="11"/>
  <c r="Y428" i="11"/>
  <c r="Y371" i="11"/>
  <c r="Y290" i="11"/>
  <c r="Y469" i="11"/>
  <c r="Y126" i="11"/>
  <c r="Y296" i="11"/>
  <c r="Y112" i="11"/>
  <c r="Y329" i="11"/>
  <c r="Y207" i="11"/>
  <c r="Y435" i="11"/>
  <c r="Y252" i="11"/>
  <c r="Y121" i="11"/>
  <c r="Y485" i="11"/>
  <c r="Y316" i="11"/>
  <c r="Y229" i="11"/>
  <c r="Y165" i="11"/>
  <c r="Y311" i="11"/>
  <c r="Y419" i="11"/>
  <c r="Y281" i="11"/>
  <c r="Y315" i="11"/>
  <c r="Y145" i="11"/>
  <c r="Y109" i="11"/>
  <c r="Y483" i="11"/>
  <c r="Y347" i="11"/>
  <c r="Y203" i="11"/>
  <c r="Y237" i="11"/>
  <c r="Y146" i="11"/>
  <c r="Y201" i="11"/>
  <c r="Y269" i="11"/>
  <c r="Y355" i="11"/>
  <c r="Y426" i="11"/>
  <c r="Y340" i="11"/>
  <c r="Y198" i="11"/>
  <c r="Y455" i="11"/>
  <c r="Y446" i="11"/>
  <c r="Y394" i="11"/>
  <c r="Y89" i="11"/>
  <c r="Y395" i="11"/>
  <c r="Y467" i="11"/>
  <c r="Y117" i="11"/>
  <c r="Y234" i="11"/>
  <c r="Y411" i="11"/>
  <c r="Y377" i="11"/>
  <c r="Y343" i="11"/>
  <c r="Y239" i="11"/>
  <c r="Y102" i="11"/>
  <c r="Y415" i="11"/>
  <c r="Y450" i="11"/>
  <c r="Y441" i="11"/>
  <c r="Y342" i="11"/>
  <c r="Y74" i="11"/>
  <c r="Y253" i="11"/>
  <c r="Y331" i="11"/>
  <c r="Y480" i="11"/>
  <c r="Y294" i="11"/>
  <c r="Y310" i="11"/>
  <c r="Y285" i="11"/>
  <c r="Y232" i="11"/>
  <c r="Y309" i="11"/>
  <c r="Y167" i="11"/>
  <c r="Y240" i="11"/>
  <c r="Y420" i="11"/>
  <c r="Y354" i="11"/>
  <c r="Y486" i="11"/>
  <c r="Y344" i="11"/>
  <c r="Y439" i="11"/>
  <c r="Y251" i="11"/>
  <c r="Y478" i="11"/>
  <c r="Y153" i="11"/>
  <c r="Y345" i="11"/>
  <c r="Y214" i="11"/>
  <c r="Y300" i="11"/>
  <c r="Y115" i="11"/>
  <c r="Y200" i="11"/>
  <c r="Y132" i="11"/>
  <c r="Y327" i="11"/>
  <c r="Y257" i="11"/>
  <c r="Y144" i="11"/>
  <c r="Y482" i="11"/>
  <c r="Y352" i="11"/>
  <c r="Y369" i="11"/>
  <c r="Y287" i="11"/>
  <c r="Y481" i="11"/>
  <c r="Y171" i="11"/>
  <c r="Y116" i="11"/>
  <c r="Y393" i="11"/>
  <c r="Y235" i="11"/>
  <c r="Y120" i="11"/>
  <c r="Y209" i="11"/>
  <c r="Y163" i="11"/>
  <c r="Y175" i="11"/>
  <c r="Y155" i="11"/>
  <c r="Y221" i="11"/>
  <c r="Y206" i="11"/>
  <c r="Y268" i="11"/>
  <c r="Y501" i="11"/>
  <c r="Y124" i="11"/>
  <c r="Y95" i="11"/>
  <c r="Y211" i="11"/>
  <c r="Y159" i="11"/>
  <c r="Y288" i="11"/>
  <c r="Y125" i="11"/>
  <c r="Y321" i="11"/>
  <c r="Y169" i="11"/>
  <c r="Y484" i="11"/>
  <c r="Y442" i="11"/>
  <c r="Y326" i="11"/>
  <c r="Y166" i="11"/>
  <c r="Y460" i="11"/>
  <c r="Y131" i="11"/>
  <c r="Y3" i="11"/>
  <c r="Y477" i="11"/>
  <c r="Y425" i="11"/>
  <c r="Y241" i="11"/>
  <c r="Y414" i="11"/>
  <c r="Y267" i="11"/>
  <c r="Y137" i="11"/>
  <c r="Y133" i="11"/>
  <c r="Y430" i="11"/>
  <c r="Y119" i="11"/>
  <c r="Y410" i="11"/>
  <c r="Y149" i="11"/>
  <c r="Y359" i="11"/>
  <c r="Y98" i="11"/>
  <c r="Y375" i="11"/>
  <c r="Y183" i="11"/>
  <c r="Y422" i="11"/>
  <c r="Y468" i="11"/>
  <c r="Y458" i="11"/>
  <c r="Y336" i="11"/>
  <c r="Y261" i="11"/>
  <c r="Y231" i="11"/>
  <c r="Y408" i="11"/>
  <c r="Y413" i="11"/>
  <c r="Y164" i="11"/>
  <c r="Y365" i="11"/>
  <c r="Y429" i="11"/>
  <c r="Y443" i="11"/>
  <c r="Y474" i="11"/>
  <c r="Y215" i="11"/>
  <c r="Y370" i="11"/>
  <c r="Y230" i="11"/>
  <c r="Y264" i="11"/>
  <c r="Y172" i="11"/>
  <c r="Y358" i="11"/>
  <c r="Y398" i="11"/>
  <c r="Y220" i="11"/>
  <c r="Y78" i="11"/>
  <c r="Y383" i="11"/>
  <c r="Y386" i="11"/>
  <c r="Y223" i="11"/>
  <c r="Y101" i="11"/>
  <c r="Y217" i="11"/>
  <c r="Y449" i="11"/>
  <c r="Y295" i="11"/>
  <c r="Y475" i="11"/>
  <c r="Y99" i="11"/>
  <c r="Y192" i="11"/>
  <c r="Y497" i="11"/>
  <c r="Y71" i="11"/>
  <c r="Y86" i="11"/>
  <c r="Y148" i="11"/>
  <c r="Y302" i="11"/>
  <c r="Y416" i="11"/>
  <c r="Y350" i="11"/>
  <c r="Y156" i="11"/>
  <c r="Y499" i="11"/>
  <c r="Y378" i="11"/>
  <c r="Y434" i="11"/>
  <c r="Y433" i="11"/>
  <c r="Y168" i="11"/>
  <c r="Y361" i="11"/>
  <c r="Y122" i="11"/>
  <c r="Y92" i="11"/>
  <c r="Y179" i="11"/>
  <c r="Y205" i="11"/>
  <c r="Y362" i="11"/>
  <c r="Y334" i="11"/>
  <c r="Y197" i="11"/>
  <c r="Y328" i="11"/>
  <c r="Y286" i="11"/>
  <c r="Y440" i="11"/>
  <c r="Y177" i="11"/>
  <c r="Y447" i="11"/>
  <c r="Y289" i="11"/>
  <c r="Y459" i="11"/>
  <c r="Y399" i="11"/>
  <c r="Y479" i="11"/>
  <c r="Y283" i="11"/>
  <c r="Y500" i="11"/>
  <c r="Y349" i="11"/>
  <c r="Y387" i="11"/>
  <c r="Y276" i="11"/>
  <c r="Y308" i="11"/>
  <c r="Y451" i="11"/>
  <c r="Y82" i="11"/>
  <c r="Y128" i="11"/>
  <c r="Y254" i="11"/>
  <c r="Y337" i="11"/>
  <c r="Y391" i="11"/>
  <c r="Y364" i="11"/>
  <c r="Y333" i="11"/>
  <c r="Y233" i="11"/>
  <c r="Y65" i="11"/>
  <c r="Y150" i="11"/>
  <c r="Y174" i="11"/>
  <c r="Y489" i="11"/>
  <c r="Y382" i="11"/>
  <c r="Z1" i="11" l="1"/>
  <c r="Z452" i="11"/>
  <c r="Z343" i="11"/>
  <c r="Z120" i="11"/>
  <c r="Z312" i="11"/>
  <c r="Z250" i="11"/>
  <c r="Z273" i="11"/>
  <c r="Z391" i="11"/>
  <c r="Z436" i="11"/>
  <c r="Z290" i="11"/>
  <c r="Z209" i="11"/>
  <c r="Z364" i="11"/>
  <c r="Z267" i="11"/>
  <c r="Z299" i="11"/>
  <c r="Z425" i="11"/>
  <c r="Z306" i="11"/>
  <c r="Z172" i="11"/>
  <c r="Z177" i="11"/>
  <c r="Z355" i="11"/>
  <c r="Z113" i="11"/>
  <c r="Z269" i="11"/>
  <c r="Z468" i="11"/>
  <c r="Z119" i="11"/>
  <c r="Z66" i="11"/>
  <c r="Z167" i="11"/>
  <c r="Z286" i="11"/>
  <c r="Z104" i="11"/>
  <c r="Z416" i="11"/>
  <c r="Z78" i="11"/>
  <c r="Z271" i="11"/>
  <c r="Z442" i="11"/>
  <c r="Z147" i="11"/>
  <c r="Z80" i="11"/>
  <c r="Z207" i="11"/>
  <c r="Z496" i="11"/>
  <c r="Z154" i="11"/>
  <c r="Z422" i="11"/>
  <c r="Z339" i="11"/>
  <c r="Z405" i="11"/>
  <c r="Z414" i="11"/>
  <c r="Z483" i="11"/>
  <c r="Z98" i="11"/>
  <c r="Z253" i="11"/>
  <c r="Z241" i="11"/>
  <c r="Z362" i="11"/>
  <c r="Z206" i="11"/>
  <c r="Z93" i="11"/>
  <c r="Z443" i="11"/>
  <c r="Z475" i="11"/>
  <c r="Z455" i="11"/>
  <c r="Z315" i="11"/>
  <c r="Z162" i="11"/>
  <c r="Z444" i="11"/>
  <c r="Z242" i="11"/>
  <c r="Z68" i="11"/>
  <c r="Z218" i="11"/>
  <c r="Z424" i="11"/>
  <c r="Z411" i="11"/>
  <c r="Z133" i="11"/>
  <c r="Z131" i="11"/>
  <c r="Z112" i="11"/>
  <c r="Z248" i="11"/>
  <c r="Z266" i="11"/>
  <c r="Z284" i="11"/>
  <c r="Z440" i="11"/>
  <c r="Z417" i="11"/>
  <c r="Z81" i="11"/>
  <c r="Z199" i="11"/>
  <c r="Z390" i="11"/>
  <c r="Z326" i="11"/>
  <c r="Z361" i="11"/>
  <c r="Z476" i="11"/>
  <c r="Z134" i="11"/>
  <c r="Z464" i="11"/>
  <c r="Z482" i="11"/>
  <c r="Z236" i="11"/>
  <c r="Z90" i="11"/>
  <c r="Z360" i="11"/>
  <c r="Z382" i="11"/>
  <c r="Z144" i="11"/>
  <c r="Z431" i="11"/>
  <c r="Z200" i="11"/>
  <c r="Z67" i="11"/>
  <c r="Z102" i="11"/>
  <c r="Z180" i="11"/>
  <c r="Z503" i="11"/>
  <c r="Z237" i="11"/>
  <c r="Z368" i="11"/>
  <c r="Z140" i="11"/>
  <c r="Z356" i="11"/>
  <c r="Z94" i="11"/>
  <c r="Z217" i="11"/>
  <c r="Z334" i="11"/>
  <c r="Z321" i="11"/>
  <c r="Z186" i="11"/>
  <c r="Z191" i="11"/>
  <c r="Z478" i="11"/>
  <c r="Z333" i="11"/>
  <c r="Z335" i="11"/>
  <c r="Z354" i="11"/>
  <c r="Z156" i="11"/>
  <c r="Z395" i="11"/>
  <c r="Z190" i="11"/>
  <c r="Z294" i="11"/>
  <c r="Z187" i="11"/>
  <c r="Z331" i="11"/>
  <c r="Z322" i="11"/>
  <c r="Z463" i="11"/>
  <c r="Z366" i="11"/>
  <c r="Z132" i="11"/>
  <c r="Z281" i="11"/>
  <c r="Z467" i="11"/>
  <c r="Z450" i="11"/>
  <c r="Z105" i="11"/>
  <c r="Z457" i="11"/>
  <c r="Z480" i="11"/>
  <c r="Z262" i="11"/>
  <c r="Z397" i="11"/>
  <c r="Z77" i="11"/>
  <c r="Z465" i="11"/>
  <c r="Z226" i="11"/>
  <c r="Z175" i="11"/>
  <c r="Z373" i="11"/>
  <c r="Z117" i="11"/>
  <c r="Z295" i="11"/>
  <c r="Z471" i="11"/>
  <c r="Z381" i="11"/>
  <c r="Z89" i="11"/>
  <c r="Z230" i="11"/>
  <c r="Z454" i="11"/>
  <c r="Z185" i="11"/>
  <c r="Z255" i="11"/>
  <c r="Z298" i="11"/>
  <c r="Z453" i="11"/>
  <c r="Z205" i="11"/>
  <c r="Z197" i="11"/>
  <c r="Z462" i="11"/>
  <c r="Z72" i="11"/>
  <c r="Z402" i="11"/>
  <c r="Z148" i="11"/>
  <c r="Z469" i="11"/>
  <c r="Z297" i="11"/>
  <c r="Z377" i="11"/>
  <c r="Z293" i="11"/>
  <c r="Z353" i="11"/>
  <c r="Z74" i="11"/>
  <c r="Z86" i="11"/>
  <c r="Z445" i="11"/>
  <c r="Z479" i="11"/>
  <c r="Z138" i="11"/>
  <c r="Z401" i="11"/>
  <c r="Z79" i="11"/>
  <c r="Z434" i="11"/>
  <c r="Z125" i="11"/>
  <c r="Z252" i="11"/>
  <c r="Z169" i="11"/>
  <c r="Z107" i="11"/>
  <c r="Z427" i="11"/>
  <c r="Z378" i="11"/>
  <c r="Z430" i="11"/>
  <c r="Z485" i="11"/>
  <c r="Z96" i="11"/>
  <c r="Z182" i="11"/>
  <c r="Z122" i="11"/>
  <c r="Z303" i="11"/>
  <c r="Z272" i="11"/>
  <c r="Z332" i="11"/>
  <c r="Z393" i="11"/>
  <c r="Z103" i="11"/>
  <c r="Z264" i="11"/>
  <c r="Z247" i="11"/>
  <c r="Z139" i="11"/>
  <c r="Z216" i="11"/>
  <c r="Z435" i="11"/>
  <c r="Z323" i="11"/>
  <c r="Z100" i="11"/>
  <c r="Z265" i="11"/>
  <c r="Z124" i="11"/>
  <c r="Z448" i="11"/>
  <c r="Z307" i="11"/>
  <c r="Z291" i="11"/>
  <c r="Z84" i="11"/>
  <c r="Z375" i="11"/>
  <c r="Z358" i="11"/>
  <c r="Z163" i="11"/>
  <c r="Z238" i="11"/>
  <c r="Z447" i="11"/>
  <c r="Z432" i="11"/>
  <c r="Z407" i="11"/>
  <c r="Z349" i="11"/>
  <c r="Z446" i="11"/>
  <c r="Z150" i="11"/>
  <c r="Z426" i="11"/>
  <c r="Z192" i="11"/>
  <c r="Z118" i="11"/>
  <c r="Z497" i="11"/>
  <c r="Z198" i="11"/>
  <c r="Z449" i="11"/>
  <c r="Z370" i="11"/>
  <c r="Z439" i="11"/>
  <c r="Z500" i="11"/>
  <c r="Z229" i="11"/>
  <c r="Z123" i="11"/>
  <c r="Z459" i="11"/>
  <c r="Z243" i="11"/>
  <c r="Z179" i="11"/>
  <c r="Z221" i="11"/>
  <c r="Z367" i="11"/>
  <c r="Z166" i="11"/>
  <c r="Z129" i="11"/>
  <c r="Z396" i="11"/>
  <c r="Z263" i="11"/>
  <c r="Z460" i="11"/>
  <c r="Z330" i="11"/>
  <c r="Z365" i="11"/>
  <c r="Z165" i="11"/>
  <c r="Z308" i="11"/>
  <c r="Z142" i="11"/>
  <c r="Z210" i="11"/>
  <c r="Z383" i="11"/>
  <c r="Z213" i="11"/>
  <c r="Z310" i="11"/>
  <c r="Z376" i="11"/>
  <c r="Z305" i="11"/>
  <c r="Z398" i="11"/>
  <c r="Z392" i="11"/>
  <c r="Z341" i="11"/>
  <c r="Z473" i="11"/>
  <c r="Z348" i="11"/>
  <c r="Z151" i="11"/>
  <c r="Z193" i="11"/>
  <c r="Z274" i="11"/>
  <c r="Z490" i="11"/>
  <c r="Z363" i="11"/>
  <c r="Z130" i="11"/>
  <c r="Z121" i="11"/>
  <c r="Z374" i="11"/>
  <c r="Z488" i="11"/>
  <c r="Z69" i="11"/>
  <c r="Z413" i="11"/>
  <c r="Z268" i="11"/>
  <c r="Z110" i="11"/>
  <c r="Z153" i="11"/>
  <c r="Z282" i="11"/>
  <c r="Z223" i="11"/>
  <c r="Z319" i="11"/>
  <c r="Z115" i="11"/>
  <c r="Z359" i="11"/>
  <c r="Z336" i="11"/>
  <c r="Z372" i="11"/>
  <c r="Z285" i="11"/>
  <c r="Z474" i="11"/>
  <c r="Z204" i="11"/>
  <c r="Z345" i="11"/>
  <c r="Z160" i="11"/>
  <c r="Z111" i="11"/>
  <c r="Z300" i="11"/>
  <c r="Z208" i="11"/>
  <c r="Z211" i="11"/>
  <c r="Z168" i="11"/>
  <c r="Z492" i="11"/>
  <c r="Z83" i="11"/>
  <c r="Z99" i="11"/>
  <c r="Z189" i="11"/>
  <c r="Z313" i="11"/>
  <c r="Z246" i="11"/>
  <c r="Z76" i="11"/>
  <c r="Z461" i="11"/>
  <c r="Z438" i="11"/>
  <c r="Z106" i="11"/>
  <c r="Z487" i="11"/>
  <c r="Z161" i="11"/>
  <c r="Z387" i="11"/>
  <c r="Z501" i="11"/>
  <c r="Z412" i="11"/>
  <c r="Z486" i="11"/>
  <c r="Z201" i="11"/>
  <c r="Z212" i="11"/>
  <c r="Z152" i="11"/>
  <c r="Z135" i="11"/>
  <c r="Z109" i="11"/>
  <c r="Z344" i="11"/>
  <c r="Z116" i="11"/>
  <c r="Z400" i="11"/>
  <c r="Z481" i="11"/>
  <c r="Z87" i="11"/>
  <c r="Z224" i="11"/>
  <c r="Z114" i="11"/>
  <c r="Z249" i="11"/>
  <c r="Z384" i="11"/>
  <c r="Z338" i="11"/>
  <c r="Z164" i="11"/>
  <c r="Z270" i="11"/>
  <c r="Z85" i="11"/>
  <c r="Z466" i="11"/>
  <c r="Z136" i="11"/>
  <c r="Z340" i="11"/>
  <c r="Z176" i="11"/>
  <c r="Z254" i="11"/>
  <c r="Z259" i="11"/>
  <c r="Z145" i="11"/>
  <c r="Z337" i="11"/>
  <c r="Z219" i="11"/>
  <c r="Z260" i="11"/>
  <c r="Z91" i="11"/>
  <c r="Z470" i="11"/>
  <c r="Z257" i="11"/>
  <c r="Z399" i="11"/>
  <c r="Z346" i="11"/>
  <c r="Z499" i="11"/>
  <c r="Z327" i="11"/>
  <c r="Z251" i="11"/>
  <c r="Z495" i="11"/>
  <c r="Z477" i="11"/>
  <c r="Z184" i="11"/>
  <c r="Z389" i="11"/>
  <c r="Z215" i="11"/>
  <c r="Z235" i="11"/>
  <c r="Z420" i="11"/>
  <c r="Z231" i="11"/>
  <c r="Z261" i="11"/>
  <c r="Z429" i="11"/>
  <c r="Z137" i="11"/>
  <c r="Z489" i="11"/>
  <c r="Z288" i="11"/>
  <c r="Z71" i="11"/>
  <c r="Z296" i="11"/>
  <c r="Z419" i="11"/>
  <c r="Z178" i="11"/>
  <c r="Z195" i="11"/>
  <c r="Z350" i="11"/>
  <c r="Z128" i="11"/>
  <c r="Z316" i="11"/>
  <c r="Z437" i="11"/>
  <c r="Z292" i="11"/>
  <c r="Z277" i="11"/>
  <c r="Z380" i="11"/>
  <c r="Z369" i="11"/>
  <c r="Z227" i="11"/>
  <c r="Z325" i="11"/>
  <c r="Z494" i="11"/>
  <c r="Z232" i="11"/>
  <c r="Z220" i="11"/>
  <c r="Z410" i="11"/>
  <c r="Z493" i="11"/>
  <c r="Z276" i="11"/>
  <c r="Z491" i="11"/>
  <c r="Z423" i="11"/>
  <c r="Z70" i="11"/>
  <c r="Z385" i="11"/>
  <c r="Z314" i="11"/>
  <c r="Z214" i="11"/>
  <c r="Z328" i="11"/>
  <c r="Z173" i="11"/>
  <c r="Z498" i="11"/>
  <c r="Z324" i="11"/>
  <c r="Z188" i="11"/>
  <c r="Z302" i="11"/>
  <c r="Z409" i="11"/>
  <c r="Z157" i="11"/>
  <c r="Z222" i="11"/>
  <c r="Z329" i="11"/>
  <c r="Z388" i="11"/>
  <c r="Z451" i="11"/>
  <c r="Z75" i="11"/>
  <c r="Z279" i="11"/>
  <c r="Z146" i="11"/>
  <c r="Z304" i="11"/>
  <c r="Z239" i="11"/>
  <c r="Z158" i="11"/>
  <c r="Z174" i="11"/>
  <c r="Z275" i="11"/>
  <c r="Z371" i="11"/>
  <c r="Z351" i="11"/>
  <c r="Z456" i="11"/>
  <c r="Z283" i="11"/>
  <c r="Z289" i="11"/>
  <c r="Z244" i="11"/>
  <c r="Z406" i="11"/>
  <c r="Z287" i="11"/>
  <c r="Z404" i="11"/>
  <c r="Z3" i="11"/>
  <c r="Z318" i="11"/>
  <c r="Z394" i="11"/>
  <c r="Z159" i="11"/>
  <c r="Z170" i="11"/>
  <c r="Z88" i="11"/>
  <c r="Z240" i="11"/>
  <c r="Z403" i="11"/>
  <c r="Z183" i="11"/>
  <c r="Z258" i="11"/>
  <c r="Z92" i="11"/>
  <c r="Z73" i="11"/>
  <c r="Z309" i="11"/>
  <c r="Z202" i="11"/>
  <c r="Z317" i="11"/>
  <c r="Z95" i="11"/>
  <c r="Z126" i="11"/>
  <c r="Z127" i="11"/>
  <c r="Z502" i="11"/>
  <c r="Z415" i="11"/>
  <c r="Z280" i="11"/>
  <c r="Z441" i="11"/>
  <c r="Z428" i="11"/>
  <c r="Z203" i="11"/>
  <c r="Z352" i="11"/>
  <c r="Z149" i="11"/>
  <c r="Z196" i="11"/>
  <c r="Z301" i="11"/>
  <c r="Z234" i="11"/>
  <c r="Z408" i="11"/>
  <c r="Z171" i="11"/>
  <c r="Z233" i="11"/>
  <c r="Z143" i="11"/>
  <c r="Z386" i="11"/>
  <c r="Z357" i="11"/>
  <c r="Z342" i="11"/>
  <c r="Z484" i="11"/>
  <c r="Z472" i="11"/>
  <c r="Z65" i="11"/>
  <c r="Z278" i="11"/>
  <c r="Z458" i="11"/>
  <c r="Z433" i="11"/>
  <c r="Z194" i="11"/>
  <c r="Z245" i="11"/>
  <c r="Z225" i="11"/>
  <c r="Z421" i="11"/>
  <c r="Z379" i="11"/>
  <c r="Z141" i="11"/>
  <c r="Z108" i="11"/>
  <c r="Z101" i="11"/>
  <c r="Z97" i="11"/>
  <c r="Z311" i="11"/>
  <c r="Z155" i="11"/>
  <c r="Z181" i="11"/>
  <c r="Z82" i="11"/>
  <c r="Z320" i="11"/>
  <c r="Z418" i="11"/>
  <c r="Z256" i="11"/>
  <c r="Z228" i="11"/>
  <c r="Z347" i="11"/>
  <c r="AA1" i="11" l="1"/>
  <c r="AA243" i="11"/>
  <c r="AA493" i="11"/>
  <c r="AA367" i="11"/>
  <c r="AA331" i="11"/>
  <c r="AA169" i="11"/>
  <c r="AA101" i="11"/>
  <c r="AA83" i="11"/>
  <c r="AA385" i="11"/>
  <c r="AA365" i="11"/>
  <c r="AA149" i="11"/>
  <c r="AA381" i="11"/>
  <c r="AA396" i="11"/>
  <c r="AA354" i="11"/>
  <c r="AA221" i="11"/>
  <c r="AA410" i="11"/>
  <c r="AA422" i="11"/>
  <c r="AA414" i="11"/>
  <c r="AA394" i="11"/>
  <c r="AA497" i="11"/>
  <c r="AA376" i="11"/>
  <c r="AA89" i="11"/>
  <c r="AA146" i="11"/>
  <c r="AA185" i="11"/>
  <c r="AA397" i="11"/>
  <c r="AA409" i="11"/>
  <c r="AA474" i="11"/>
  <c r="AA488" i="11"/>
  <c r="AA116" i="11"/>
  <c r="AA366" i="11"/>
  <c r="AA460" i="11"/>
  <c r="AA162" i="11"/>
  <c r="AA226" i="11"/>
  <c r="AA112" i="11"/>
  <c r="AA308" i="11"/>
  <c r="AA449" i="11"/>
  <c r="AA292" i="11"/>
  <c r="AA271" i="11"/>
  <c r="AA209" i="11"/>
  <c r="AA358" i="11"/>
  <c r="AA158" i="11"/>
  <c r="AA192" i="11"/>
  <c r="AA370" i="11"/>
  <c r="AA324" i="11"/>
  <c r="AA313" i="11"/>
  <c r="AA230" i="11"/>
  <c r="AA144" i="11"/>
  <c r="AA477" i="11"/>
  <c r="AA160" i="11"/>
  <c r="AA73" i="11"/>
  <c r="AA121" i="11"/>
  <c r="AA470" i="11"/>
  <c r="AA500" i="11"/>
  <c r="AA462" i="11"/>
  <c r="AA501" i="11"/>
  <c r="AA429" i="11"/>
  <c r="AA225" i="11"/>
  <c r="AA237" i="11"/>
  <c r="AA431" i="11"/>
  <c r="AA128" i="11"/>
  <c r="AA212" i="11"/>
  <c r="AA156" i="11"/>
  <c r="AA234" i="11"/>
  <c r="AA190" i="11"/>
  <c r="AA216" i="11"/>
  <c r="AA159" i="11"/>
  <c r="AA405" i="11"/>
  <c r="AA105" i="11"/>
  <c r="AA282" i="11"/>
  <c r="AA77" i="11"/>
  <c r="AA127" i="11"/>
  <c r="AA393" i="11"/>
  <c r="AA323" i="11"/>
  <c r="AA206" i="11"/>
  <c r="AA197" i="11"/>
  <c r="AA364" i="11"/>
  <c r="AA3" i="11"/>
  <c r="AA400" i="11"/>
  <c r="AA446" i="11"/>
  <c r="AA132" i="11"/>
  <c r="AA419" i="11"/>
  <c r="AA489" i="11"/>
  <c r="AA227" i="11"/>
  <c r="AA214" i="11"/>
  <c r="AA272" i="11"/>
  <c r="AA332" i="11"/>
  <c r="AA228" i="11"/>
  <c r="AA480" i="11"/>
  <c r="AA443" i="11"/>
  <c r="AA276" i="11"/>
  <c r="AA427" i="11"/>
  <c r="AA436" i="11"/>
  <c r="AA352" i="11"/>
  <c r="AA387" i="11"/>
  <c r="AA172" i="11"/>
  <c r="AA496" i="11"/>
  <c r="AA465" i="11"/>
  <c r="AA229" i="11"/>
  <c r="AA220" i="11"/>
  <c r="AA467" i="11"/>
  <c r="AA314" i="11"/>
  <c r="AA176" i="11"/>
  <c r="AA207" i="11"/>
  <c r="AA483" i="11"/>
  <c r="AA368" i="11"/>
  <c r="AA418" i="11"/>
  <c r="AA102" i="11"/>
  <c r="AA356" i="11"/>
  <c r="AA316" i="11"/>
  <c r="AA337" i="11"/>
  <c r="AA247" i="11"/>
  <c r="AA444" i="11"/>
  <c r="AA90" i="11"/>
  <c r="AA130" i="11"/>
  <c r="AA294" i="11"/>
  <c r="AA198" i="11"/>
  <c r="AA404" i="11"/>
  <c r="AA218" i="11"/>
  <c r="AA183" i="11"/>
  <c r="AA413" i="11"/>
  <c r="AA210" i="11"/>
  <c r="AA360" i="11"/>
  <c r="AA195" i="11"/>
  <c r="AA124" i="11"/>
  <c r="AA257" i="11"/>
  <c r="AA318" i="11"/>
  <c r="AA487" i="11"/>
  <c r="AA143" i="11"/>
  <c r="AA111" i="11"/>
  <c r="AA141" i="11"/>
  <c r="AA441" i="11"/>
  <c r="AA242" i="11"/>
  <c r="AA486" i="11"/>
  <c r="AA148" i="11"/>
  <c r="AA179" i="11"/>
  <c r="AA469" i="11"/>
  <c r="AA115" i="11"/>
  <c r="AA250" i="11"/>
  <c r="AA377" i="11"/>
  <c r="AA503" i="11"/>
  <c r="AA258" i="11"/>
  <c r="AA79" i="11"/>
  <c r="AA378" i="11"/>
  <c r="AA66" i="11"/>
  <c r="AA68" i="11"/>
  <c r="AA180" i="11"/>
  <c r="AA456" i="11"/>
  <c r="AA119" i="11"/>
  <c r="AA432" i="11"/>
  <c r="AA203" i="11"/>
  <c r="AA187" i="11"/>
  <c r="AA296" i="11"/>
  <c r="AA428" i="11"/>
  <c r="AA74" i="11"/>
  <c r="AA359" i="11"/>
  <c r="AA447" i="11"/>
  <c r="AA167" i="11"/>
  <c r="AA213" i="11"/>
  <c r="AA261" i="11"/>
  <c r="AA342" i="11"/>
  <c r="AA181" i="11"/>
  <c r="AA473" i="11"/>
  <c r="AA495" i="11"/>
  <c r="AA88" i="11"/>
  <c r="AA351" i="11"/>
  <c r="AA389" i="11"/>
  <c r="AA131" i="11"/>
  <c r="AA304" i="11"/>
  <c r="AA333" i="11"/>
  <c r="AA300" i="11"/>
  <c r="AA84" i="11"/>
  <c r="AA481" i="11"/>
  <c r="AA407" i="11"/>
  <c r="AA328" i="11"/>
  <c r="AA87" i="11"/>
  <c r="AA142" i="11"/>
  <c r="AA346" i="11"/>
  <c r="AA353" i="11"/>
  <c r="AA287" i="11"/>
  <c r="AA170" i="11"/>
  <c r="AA217" i="11"/>
  <c r="AA285" i="11"/>
  <c r="AA256" i="11"/>
  <c r="AA92" i="11"/>
  <c r="AA357" i="11"/>
  <c r="AA166" i="11"/>
  <c r="AA222" i="11"/>
  <c r="AA355" i="11"/>
  <c r="AA81" i="11"/>
  <c r="AA472" i="11"/>
  <c r="AA423" i="11"/>
  <c r="AA362" i="11"/>
  <c r="AA350" i="11"/>
  <c r="AA417" i="11"/>
  <c r="AA76" i="11"/>
  <c r="AA151" i="11"/>
  <c r="AA126" i="11"/>
  <c r="AA291" i="11"/>
  <c r="AA344" i="11"/>
  <c r="AA349" i="11"/>
  <c r="AA450" i="11"/>
  <c r="AA139" i="11"/>
  <c r="AA123" i="11"/>
  <c r="AA341" i="11"/>
  <c r="AA390" i="11"/>
  <c r="AA475" i="11"/>
  <c r="AA211" i="11"/>
  <c r="AA118" i="11"/>
  <c r="AA476" i="11"/>
  <c r="AA241" i="11"/>
  <c r="AA155" i="11"/>
  <c r="AA453" i="11"/>
  <c r="AA421" i="11"/>
  <c r="AA96" i="11"/>
  <c r="AA107" i="11"/>
  <c r="AA322" i="11"/>
  <c r="AA499" i="11"/>
  <c r="AA202" i="11"/>
  <c r="AA448" i="11"/>
  <c r="AA295" i="11"/>
  <c r="AA411" i="11"/>
  <c r="AA171" i="11"/>
  <c r="AA297" i="11"/>
  <c r="AA147" i="11"/>
  <c r="AA430" i="11"/>
  <c r="AA153" i="11"/>
  <c r="AA384" i="11"/>
  <c r="AA281" i="11"/>
  <c r="AA303" i="11"/>
  <c r="AA305" i="11"/>
  <c r="AA138" i="11"/>
  <c r="AA424" i="11"/>
  <c r="AA451" i="11"/>
  <c r="AA103" i="11"/>
  <c r="AA125" i="11"/>
  <c r="AA315" i="11"/>
  <c r="AA398" i="11"/>
  <c r="AA491" i="11"/>
  <c r="AA164" i="11"/>
  <c r="AA244" i="11"/>
  <c r="AA208" i="11"/>
  <c r="AA461" i="11"/>
  <c r="AA204" i="11"/>
  <c r="AA284" i="11"/>
  <c r="AA438" i="11"/>
  <c r="AA260" i="11"/>
  <c r="AA434" i="11"/>
  <c r="AA189" i="11"/>
  <c r="AA492" i="11"/>
  <c r="AA97" i="11"/>
  <c r="AA391" i="11"/>
  <c r="AA267" i="11"/>
  <c r="AA347" i="11"/>
  <c r="AA361" i="11"/>
  <c r="AA152" i="11"/>
  <c r="AA177" i="11"/>
  <c r="AA408" i="11"/>
  <c r="AA463" i="11"/>
  <c r="AA235" i="11"/>
  <c r="AA440" i="11"/>
  <c r="AA201" i="11"/>
  <c r="AA279" i="11"/>
  <c r="AA193" i="11"/>
  <c r="AA154" i="11"/>
  <c r="AA479" i="11"/>
  <c r="AA311" i="11"/>
  <c r="AA277" i="11"/>
  <c r="AA468" i="11"/>
  <c r="AA302" i="11"/>
  <c r="AA275" i="11"/>
  <c r="AA374" i="11"/>
  <c r="AA334" i="11"/>
  <c r="AA255" i="11"/>
  <c r="AA301" i="11"/>
  <c r="AA435" i="11"/>
  <c r="AA99" i="11"/>
  <c r="AA184" i="11"/>
  <c r="AA372" i="11"/>
  <c r="AA420" i="11"/>
  <c r="AA502" i="11"/>
  <c r="AA196" i="11"/>
  <c r="AA65" i="11"/>
  <c r="AA312" i="11"/>
  <c r="AA249" i="11"/>
  <c r="AA136" i="11"/>
  <c r="AA133" i="11"/>
  <c r="AA69" i="11"/>
  <c r="AA415" i="11"/>
  <c r="AA94" i="11"/>
  <c r="AA326" i="11"/>
  <c r="AA150" i="11"/>
  <c r="AA224" i="11"/>
  <c r="AA137" i="11"/>
  <c r="AA339" i="11"/>
  <c r="AA401" i="11"/>
  <c r="AA288" i="11"/>
  <c r="AA134" i="11"/>
  <c r="AA459" i="11"/>
  <c r="AA194" i="11"/>
  <c r="AA395" i="11"/>
  <c r="AA238" i="11"/>
  <c r="AA268" i="11"/>
  <c r="AA348" i="11"/>
  <c r="AA129" i="11"/>
  <c r="AA246" i="11"/>
  <c r="AA231" i="11"/>
  <c r="AA340" i="11"/>
  <c r="AA402" i="11"/>
  <c r="AA240" i="11"/>
  <c r="AA91" i="11"/>
  <c r="AA455" i="11"/>
  <c r="AA248" i="11"/>
  <c r="AA484" i="11"/>
  <c r="AA72" i="11"/>
  <c r="AA191" i="11"/>
  <c r="AA445" i="11"/>
  <c r="AA338" i="11"/>
  <c r="AA498" i="11"/>
  <c r="AA71" i="11"/>
  <c r="AA223" i="11"/>
  <c r="AA106" i="11"/>
  <c r="AA239" i="11"/>
  <c r="AA369" i="11"/>
  <c r="AA379" i="11"/>
  <c r="AA252" i="11"/>
  <c r="AA174" i="11"/>
  <c r="AA165" i="11"/>
  <c r="AA161" i="11"/>
  <c r="AA306" i="11"/>
  <c r="AA110" i="11"/>
  <c r="AA298" i="11"/>
  <c r="AA95" i="11"/>
  <c r="AA437" i="11"/>
  <c r="AA464" i="11"/>
  <c r="AA416" i="11"/>
  <c r="AA452" i="11"/>
  <c r="AA403" i="11"/>
  <c r="AA100" i="11"/>
  <c r="AA182" i="11"/>
  <c r="AA293" i="11"/>
  <c r="AA310" i="11"/>
  <c r="AA280" i="11"/>
  <c r="AA82" i="11"/>
  <c r="AA263" i="11"/>
  <c r="AA270" i="11"/>
  <c r="AA458" i="11"/>
  <c r="AA109" i="11"/>
  <c r="AA371" i="11"/>
  <c r="AA178" i="11"/>
  <c r="AA494" i="11"/>
  <c r="AA425" i="11"/>
  <c r="AA406" i="11"/>
  <c r="AA251" i="11"/>
  <c r="AA163" i="11"/>
  <c r="AA122" i="11"/>
  <c r="AA330" i="11"/>
  <c r="AA245" i="11"/>
  <c r="AA78" i="11"/>
  <c r="AA307" i="11"/>
  <c r="AA145" i="11"/>
  <c r="AA375" i="11"/>
  <c r="AA345" i="11"/>
  <c r="AA232" i="11"/>
  <c r="AA215" i="11"/>
  <c r="AA219" i="11"/>
  <c r="AA67" i="11"/>
  <c r="AA399" i="11"/>
  <c r="AA329" i="11"/>
  <c r="AA269" i="11"/>
  <c r="AA186" i="11"/>
  <c r="AA482" i="11"/>
  <c r="AA264" i="11"/>
  <c r="AA188" i="11"/>
  <c r="AA382" i="11"/>
  <c r="AA321" i="11"/>
  <c r="AA108" i="11"/>
  <c r="AA490" i="11"/>
  <c r="AA457" i="11"/>
  <c r="AA373" i="11"/>
  <c r="AA168" i="11"/>
  <c r="AA286" i="11"/>
  <c r="AA317" i="11"/>
  <c r="AA320" i="11"/>
  <c r="AA319" i="11"/>
  <c r="AA278" i="11"/>
  <c r="AA93" i="11"/>
  <c r="AA290" i="11"/>
  <c r="AA433" i="11"/>
  <c r="AA200" i="11"/>
  <c r="AA120" i="11"/>
  <c r="AA335" i="11"/>
  <c r="AA85" i="11"/>
  <c r="AA233" i="11"/>
  <c r="AA86" i="11"/>
  <c r="AA392" i="11"/>
  <c r="AA383" i="11"/>
  <c r="AA117" i="11"/>
  <c r="AA299" i="11"/>
  <c r="AA157" i="11"/>
  <c r="AA236" i="11"/>
  <c r="AA363" i="11"/>
  <c r="AA253" i="11"/>
  <c r="AA140" i="11"/>
  <c r="AA309" i="11"/>
  <c r="AA466" i="11"/>
  <c r="AA135" i="11"/>
  <c r="AA327" i="11"/>
  <c r="AA262" i="11"/>
  <c r="AA386" i="11"/>
  <c r="AA336" i="11"/>
  <c r="AA274" i="11"/>
  <c r="AA80" i="11"/>
  <c r="AA113" i="11"/>
  <c r="AA442" i="11"/>
  <c r="AA70" i="11"/>
  <c r="AA439" i="11"/>
  <c r="AA259" i="11"/>
  <c r="AA104" i="11"/>
  <c r="AA175" i="11"/>
  <c r="AA412" i="11"/>
  <c r="AA388" i="11"/>
  <c r="AA75" i="11"/>
  <c r="AA380" i="11"/>
  <c r="AA485" i="11"/>
  <c r="AA266" i="11"/>
  <c r="AA454" i="11"/>
  <c r="AA273" i="11"/>
  <c r="AA283" i="11"/>
  <c r="AA199" i="11"/>
  <c r="AA289" i="11"/>
  <c r="AA478" i="11"/>
  <c r="AA114" i="11"/>
  <c r="AA325" i="11"/>
  <c r="AA343" i="11"/>
  <c r="AA426" i="11"/>
  <c r="AA254" i="11"/>
  <c r="AA471" i="11"/>
  <c r="AA205" i="11"/>
  <c r="AA173" i="11"/>
  <c r="AA265" i="11"/>
  <c r="AA98" i="11"/>
  <c r="AB1" i="11" l="1"/>
  <c r="E129" i="1"/>
  <c r="AB366" i="11"/>
  <c r="AB336" i="11"/>
  <c r="AB155" i="11"/>
  <c r="AB421" i="11"/>
  <c r="AB280" i="11"/>
  <c r="AB173" i="11"/>
  <c r="AB416" i="11"/>
  <c r="AB198" i="11"/>
  <c r="AB254" i="11"/>
  <c r="AB298" i="11"/>
  <c r="AB385" i="11"/>
  <c r="AB398" i="11"/>
  <c r="AB156" i="11"/>
  <c r="AB241" i="11"/>
  <c r="AB312" i="11"/>
  <c r="AB292" i="11"/>
  <c r="AB128" i="11"/>
  <c r="AB287" i="11"/>
  <c r="AB87" i="11"/>
  <c r="AB138" i="11"/>
  <c r="AB451" i="11"/>
  <c r="AB67" i="11"/>
  <c r="AB245" i="11"/>
  <c r="AB327" i="11"/>
  <c r="AB177" i="11"/>
  <c r="AB169" i="11"/>
  <c r="AB275" i="11"/>
  <c r="AB75" i="11"/>
  <c r="AB102" i="11"/>
  <c r="AB434" i="11"/>
  <c r="AB278" i="11"/>
  <c r="AB441" i="11"/>
  <c r="AB297" i="11"/>
  <c r="AB265" i="11"/>
  <c r="AB320" i="11"/>
  <c r="AB363" i="11"/>
  <c r="AB176" i="11"/>
  <c r="AB153" i="11"/>
  <c r="AB488" i="11"/>
  <c r="AB325" i="11"/>
  <c r="AB107" i="11"/>
  <c r="AB482" i="11"/>
  <c r="AB225" i="11"/>
  <c r="AB149" i="11"/>
  <c r="AB448" i="11"/>
  <c r="AB188" i="11"/>
  <c r="AB171" i="11"/>
  <c r="AB449" i="11"/>
  <c r="AB92" i="11"/>
  <c r="AB452" i="11"/>
  <c r="AB111" i="11"/>
  <c r="AB484" i="11"/>
  <c r="AB308" i="11"/>
  <c r="AB158" i="11"/>
  <c r="AB80" i="11"/>
  <c r="AB404" i="11"/>
  <c r="AB142" i="11"/>
  <c r="AB125" i="11"/>
  <c r="AB367" i="11"/>
  <c r="AB183" i="11"/>
  <c r="AB284" i="11"/>
  <c r="AB219" i="11"/>
  <c r="AB100" i="11"/>
  <c r="AB309" i="11"/>
  <c r="AB244" i="11"/>
  <c r="AB201" i="11"/>
  <c r="AB193" i="11"/>
  <c r="AB174" i="11"/>
  <c r="AB352" i="11"/>
  <c r="AB468" i="11"/>
  <c r="AB233" i="11"/>
  <c r="AB213" i="11"/>
  <c r="AB485" i="11"/>
  <c r="AB498" i="11"/>
  <c r="AB456" i="11"/>
  <c r="AB490" i="11"/>
  <c r="AB221" i="11"/>
  <c r="AB447" i="11"/>
  <c r="AB415" i="11"/>
  <c r="AB491" i="11"/>
  <c r="AB98" i="11"/>
  <c r="AB342" i="11"/>
  <c r="AB378" i="11"/>
  <c r="AB271" i="11"/>
  <c r="AB397" i="11"/>
  <c r="AB103" i="11"/>
  <c r="AB273" i="11"/>
  <c r="AB224" i="11"/>
  <c r="AB71" i="11"/>
  <c r="AB487" i="11"/>
  <c r="AB240" i="11"/>
  <c r="AB281" i="11"/>
  <c r="AB445" i="11"/>
  <c r="AB269" i="11"/>
  <c r="AB105" i="11"/>
  <c r="AB483" i="11"/>
  <c r="AB392" i="11"/>
  <c r="AB253" i="11"/>
  <c r="AB365" i="11"/>
  <c r="AB381" i="11"/>
  <c r="AB267" i="11"/>
  <c r="AB389" i="11"/>
  <c r="AB436" i="11"/>
  <c r="AB81" i="11"/>
  <c r="AB339" i="11"/>
  <c r="AB251" i="11"/>
  <c r="AB101" i="11"/>
  <c r="AB112" i="11"/>
  <c r="AB154" i="11"/>
  <c r="AB89" i="11"/>
  <c r="AB333" i="11"/>
  <c r="AB96" i="11"/>
  <c r="AB146" i="11"/>
  <c r="AB211" i="11"/>
  <c r="AB428" i="11"/>
  <c r="AB266" i="11"/>
  <c r="AB190" i="11"/>
  <c r="AB402" i="11"/>
  <c r="AB409" i="11"/>
  <c r="AB168" i="11"/>
  <c r="AB433" i="11"/>
  <c r="AB97" i="11"/>
  <c r="AB417" i="11"/>
  <c r="AB272" i="11"/>
  <c r="AB259" i="11"/>
  <c r="AB444" i="11"/>
  <c r="AB314" i="11"/>
  <c r="AB88" i="11"/>
  <c r="AB114" i="11"/>
  <c r="AB412" i="11"/>
  <c r="AB86" i="11"/>
  <c r="AB344" i="11"/>
  <c r="AB315" i="11"/>
  <c r="AB202" i="11"/>
  <c r="AB165" i="11"/>
  <c r="AB214" i="11"/>
  <c r="AB497" i="11"/>
  <c r="AB256" i="11"/>
  <c r="AB380" i="11"/>
  <c r="AB357" i="11"/>
  <c r="AB359" i="11"/>
  <c r="AB354" i="11"/>
  <c r="AB129" i="11"/>
  <c r="AB68" i="11"/>
  <c r="AB332" i="11"/>
  <c r="AB143" i="11"/>
  <c r="AB195" i="11"/>
  <c r="AB495" i="11"/>
  <c r="AB135" i="11"/>
  <c r="AB296" i="11"/>
  <c r="AB207" i="11"/>
  <c r="AB311" i="11"/>
  <c r="AB208" i="11"/>
  <c r="AB277" i="11"/>
  <c r="AB405" i="11"/>
  <c r="AB282" i="11"/>
  <c r="AB163" i="11"/>
  <c r="AB401" i="11"/>
  <c r="AB403" i="11"/>
  <c r="AB390" i="11"/>
  <c r="AB493" i="11"/>
  <c r="AB376" i="11"/>
  <c r="AB463" i="11"/>
  <c r="AB476" i="11"/>
  <c r="AB274" i="11"/>
  <c r="AB438" i="11"/>
  <c r="AB79" i="11"/>
  <c r="AB120" i="11"/>
  <c r="AB294" i="11"/>
  <c r="AB348" i="11"/>
  <c r="AB139" i="11"/>
  <c r="AB310" i="11"/>
  <c r="AB216" i="11"/>
  <c r="AB66" i="11"/>
  <c r="AB302" i="11"/>
  <c r="AB291" i="11"/>
  <c r="AB469" i="11"/>
  <c r="AB3" i="11"/>
  <c r="AB248" i="11"/>
  <c r="AB148" i="11"/>
  <c r="AB110" i="11"/>
  <c r="AB232" i="11"/>
  <c r="AB99" i="11"/>
  <c r="AB222" i="11"/>
  <c r="AB411" i="11"/>
  <c r="AB423" i="11"/>
  <c r="AB69" i="11"/>
  <c r="AB295" i="11"/>
  <c r="AB147" i="11"/>
  <c r="AB307" i="11"/>
  <c r="AB104" i="11"/>
  <c r="AB247" i="11"/>
  <c r="AB180" i="11"/>
  <c r="AB324" i="11"/>
  <c r="AB343" i="11"/>
  <c r="AB119" i="11"/>
  <c r="AB252" i="11"/>
  <c r="AB465" i="11"/>
  <c r="AB250" i="11"/>
  <c r="AB223" i="11"/>
  <c r="AB200" i="11"/>
  <c r="AB388" i="11"/>
  <c r="AB370" i="11"/>
  <c r="AB313" i="11"/>
  <c r="AB335" i="11"/>
  <c r="AB218" i="11"/>
  <c r="AB304" i="11"/>
  <c r="AB127" i="11"/>
  <c r="AB368" i="11"/>
  <c r="AB432" i="11"/>
  <c r="AB262" i="11"/>
  <c r="AB167" i="11"/>
  <c r="AB462" i="11"/>
  <c r="AB181" i="11"/>
  <c r="AB353" i="11"/>
  <c r="AB406" i="11"/>
  <c r="AB301" i="11"/>
  <c r="AB286" i="11"/>
  <c r="AB157" i="11"/>
  <c r="AB175" i="11"/>
  <c r="AB435" i="11"/>
  <c r="AB236" i="11"/>
  <c r="AB172" i="11"/>
  <c r="AB204" i="11"/>
  <c r="AB377" i="11"/>
  <c r="AB318" i="11"/>
  <c r="AB93" i="11"/>
  <c r="AB473" i="11"/>
  <c r="AB268" i="11"/>
  <c r="AB106" i="11"/>
  <c r="AB470" i="11"/>
  <c r="AB217" i="11"/>
  <c r="AB123" i="11"/>
  <c r="AB328" i="11"/>
  <c r="AB283" i="11"/>
  <c r="AB424" i="11"/>
  <c r="AB494" i="11"/>
  <c r="AB196" i="11"/>
  <c r="AB356" i="11"/>
  <c r="AB133" i="11"/>
  <c r="AB426" i="11"/>
  <c r="AB199" i="11"/>
  <c r="AB126" i="11"/>
  <c r="AB453" i="11"/>
  <c r="AB362" i="11"/>
  <c r="AB503" i="11"/>
  <c r="AB396" i="11"/>
  <c r="AB459" i="11"/>
  <c r="AB82" i="11"/>
  <c r="AB78" i="11"/>
  <c r="AB209" i="11"/>
  <c r="AB187" i="11"/>
  <c r="AB136" i="11"/>
  <c r="AB420" i="11"/>
  <c r="AB246" i="11"/>
  <c r="AB164" i="11"/>
  <c r="AB387" i="11"/>
  <c r="AB84" i="11"/>
  <c r="AB383" i="11"/>
  <c r="AB427" i="11"/>
  <c r="AB329" i="11"/>
  <c r="AB413" i="11"/>
  <c r="AB70" i="11"/>
  <c r="AB349" i="11"/>
  <c r="AB141" i="11"/>
  <c r="AB206" i="11"/>
  <c r="AB242" i="11"/>
  <c r="AB489" i="11"/>
  <c r="AB191" i="11"/>
  <c r="AB74" i="11"/>
  <c r="AB94" i="11"/>
  <c r="AB414" i="11"/>
  <c r="AB85" i="11"/>
  <c r="AB466" i="11"/>
  <c r="AB355" i="11"/>
  <c r="AB203" i="11"/>
  <c r="AB346" i="11"/>
  <c r="AB431" i="11"/>
  <c r="AB386" i="11"/>
  <c r="AB192" i="11"/>
  <c r="AB151" i="11"/>
  <c r="AB337" i="11"/>
  <c r="AB237" i="11"/>
  <c r="AB300" i="11"/>
  <c r="AB439" i="11"/>
  <c r="AB170" i="11"/>
  <c r="AB478" i="11"/>
  <c r="AB145" i="11"/>
  <c r="AB197" i="11"/>
  <c r="AB400" i="11"/>
  <c r="AB393" i="11"/>
  <c r="AB422" i="11"/>
  <c r="AB480" i="11"/>
  <c r="AB131" i="11"/>
  <c r="AB229" i="11"/>
  <c r="AB418" i="11"/>
  <c r="AB185" i="11"/>
  <c r="AB471" i="11"/>
  <c r="AB361" i="11"/>
  <c r="AB382" i="11"/>
  <c r="AB316" i="11"/>
  <c r="AB408" i="11"/>
  <c r="AB372" i="11"/>
  <c r="AB90" i="11"/>
  <c r="AB288" i="11"/>
  <c r="AB455" i="11"/>
  <c r="AB481" i="11"/>
  <c r="AB437" i="11"/>
  <c r="AB227" i="11"/>
  <c r="AB249" i="11"/>
  <c r="AB235" i="11"/>
  <c r="AB162" i="11"/>
  <c r="AB446" i="11"/>
  <c r="AB91" i="11"/>
  <c r="AB317" i="11"/>
  <c r="AB226" i="11"/>
  <c r="AB341" i="11"/>
  <c r="AB340" i="11"/>
  <c r="AB186" i="11"/>
  <c r="AB289" i="11"/>
  <c r="AB475" i="11"/>
  <c r="AB231" i="11"/>
  <c r="AB299" i="11"/>
  <c r="AB255" i="11"/>
  <c r="AB458" i="11"/>
  <c r="AB160" i="11"/>
  <c r="AB407" i="11"/>
  <c r="AB358" i="11"/>
  <c r="AB305" i="11"/>
  <c r="AB374" i="11"/>
  <c r="AB239" i="11"/>
  <c r="AB425" i="11"/>
  <c r="AB492" i="11"/>
  <c r="AB150" i="11"/>
  <c r="AB464" i="11"/>
  <c r="AB461" i="11"/>
  <c r="AB477" i="11"/>
  <c r="AB499" i="11"/>
  <c r="AB178" i="11"/>
  <c r="AB331" i="11"/>
  <c r="AB279" i="11"/>
  <c r="AB443" i="11"/>
  <c r="AB113" i="11"/>
  <c r="AB399" i="11"/>
  <c r="AB395" i="11"/>
  <c r="AB306" i="11"/>
  <c r="AB467" i="11"/>
  <c r="AB182" i="11"/>
  <c r="AB276" i="11"/>
  <c r="AB450" i="11"/>
  <c r="AB290" i="11"/>
  <c r="AB442" i="11"/>
  <c r="AB166" i="11"/>
  <c r="AB323" i="11"/>
  <c r="AB134" i="11"/>
  <c r="AB429" i="11"/>
  <c r="AB391" i="11"/>
  <c r="AB124" i="11"/>
  <c r="AB430" i="11"/>
  <c r="AB83" i="11"/>
  <c r="AB161" i="11"/>
  <c r="AB152" i="11"/>
  <c r="AB261" i="11"/>
  <c r="AB76" i="11"/>
  <c r="AB130" i="11"/>
  <c r="AB228" i="11"/>
  <c r="AB258" i="11"/>
  <c r="AB410" i="11"/>
  <c r="AB334" i="11"/>
  <c r="AB303" i="11"/>
  <c r="AB108" i="11"/>
  <c r="AB243" i="11"/>
  <c r="AB220" i="11"/>
  <c r="AB260" i="11"/>
  <c r="AB264" i="11"/>
  <c r="AB144" i="11"/>
  <c r="AB234" i="11"/>
  <c r="AB479" i="11"/>
  <c r="AB502" i="11"/>
  <c r="AB440" i="11"/>
  <c r="AB360" i="11"/>
  <c r="AB65" i="11"/>
  <c r="AB321" i="11"/>
  <c r="AB118" i="11"/>
  <c r="AB257" i="11"/>
  <c r="AB238" i="11"/>
  <c r="AB159" i="11"/>
  <c r="AB215" i="11"/>
  <c r="AB212" i="11"/>
  <c r="AB293" i="11"/>
  <c r="AB375" i="11"/>
  <c r="AB351" i="11"/>
  <c r="AB486" i="11"/>
  <c r="AB419" i="11"/>
  <c r="AB379" i="11"/>
  <c r="AB189" i="11"/>
  <c r="AB501" i="11"/>
  <c r="AB496" i="11"/>
  <c r="AB457" i="11"/>
  <c r="AB179" i="11"/>
  <c r="AB500" i="11"/>
  <c r="AB369" i="11"/>
  <c r="AB474" i="11"/>
  <c r="AB194" i="11"/>
  <c r="AB322" i="11"/>
  <c r="AB347" i="11"/>
  <c r="AB338" i="11"/>
  <c r="AB330" i="11"/>
  <c r="AB350" i="11"/>
  <c r="AB454" i="11"/>
  <c r="AB345" i="11"/>
  <c r="AB364" i="11"/>
  <c r="AB263" i="11"/>
  <c r="AB384" i="11"/>
  <c r="AB117" i="11"/>
  <c r="AB205" i="11"/>
  <c r="AB140" i="11"/>
  <c r="AB394" i="11"/>
  <c r="AB77" i="11"/>
  <c r="AB472" i="11"/>
  <c r="AB116" i="11"/>
  <c r="AB115" i="11"/>
  <c r="AB373" i="11"/>
  <c r="AB122" i="11"/>
  <c r="AB285" i="11"/>
  <c r="AB371" i="11"/>
  <c r="AB73" i="11"/>
  <c r="AB319" i="11"/>
  <c r="AB230" i="11"/>
  <c r="AB132" i="11"/>
  <c r="AB460" i="11"/>
  <c r="AB95" i="11"/>
  <c r="AB210" i="11"/>
  <c r="AB72" i="11"/>
  <c r="AB270" i="11"/>
  <c r="AB121" i="11"/>
  <c r="AB326" i="11"/>
  <c r="AB137" i="11"/>
  <c r="AB184" i="11"/>
  <c r="AB109" i="11"/>
  <c r="AC1" i="11" l="1"/>
  <c r="AC203" i="11"/>
  <c r="AC201" i="11"/>
  <c r="AC393" i="11"/>
  <c r="AC448" i="11"/>
  <c r="AC417" i="11"/>
  <c r="AC321" i="11"/>
  <c r="AC73" i="11"/>
  <c r="AC436" i="11"/>
  <c r="AC480" i="11"/>
  <c r="AC349" i="11"/>
  <c r="AC289" i="11"/>
  <c r="AC193" i="11"/>
  <c r="AC305" i="11"/>
  <c r="AC502" i="11"/>
  <c r="AC312" i="11"/>
  <c r="AC65" i="11"/>
  <c r="AC419" i="11"/>
  <c r="AC161" i="11"/>
  <c r="AC489" i="11"/>
  <c r="AC175" i="11"/>
  <c r="AC344" i="11"/>
  <c r="AC78" i="11"/>
  <c r="AC141" i="11"/>
  <c r="AC481" i="11"/>
  <c r="AC374" i="11"/>
  <c r="AC135" i="11"/>
  <c r="AC351" i="11"/>
  <c r="AC277" i="11"/>
  <c r="AC160" i="11"/>
  <c r="AC252" i="11"/>
  <c r="AC117" i="11"/>
  <c r="AC84" i="11"/>
  <c r="AC441" i="11"/>
  <c r="AC257" i="11"/>
  <c r="AC238" i="11"/>
  <c r="AC326" i="11"/>
  <c r="AC347" i="11"/>
  <c r="AC88" i="11"/>
  <c r="AC132" i="11"/>
  <c r="AC375" i="11"/>
  <c r="AC308" i="11"/>
  <c r="AC426" i="11"/>
  <c r="AC467" i="11"/>
  <c r="AC487" i="11"/>
  <c r="AC500" i="11"/>
  <c r="AC115" i="11"/>
  <c r="AC282" i="11"/>
  <c r="AC87" i="11"/>
  <c r="AC221" i="11"/>
  <c r="AC406" i="11"/>
  <c r="AC195" i="11"/>
  <c r="AC323" i="11"/>
  <c r="AC223" i="11"/>
  <c r="AC247" i="11"/>
  <c r="AC398" i="11"/>
  <c r="AC380" i="11"/>
  <c r="AC225" i="11"/>
  <c r="AC314" i="11"/>
  <c r="AC348" i="11"/>
  <c r="AC259" i="11"/>
  <c r="AC207" i="11"/>
  <c r="AC246" i="11"/>
  <c r="AC472" i="11"/>
  <c r="AC74" i="11"/>
  <c r="AC313" i="11"/>
  <c r="AC298" i="11"/>
  <c r="AC463" i="11"/>
  <c r="AC377" i="11"/>
  <c r="AC503" i="11"/>
  <c r="AC119" i="11"/>
  <c r="AC228" i="11"/>
  <c r="AC152" i="11"/>
  <c r="AC387" i="11"/>
  <c r="AC262" i="11"/>
  <c r="AC337" i="11"/>
  <c r="AC293" i="11"/>
  <c r="AC178" i="11"/>
  <c r="AC384" i="11"/>
  <c r="AC291" i="11"/>
  <c r="AC196" i="11"/>
  <c r="AC412" i="11"/>
  <c r="AC372" i="11"/>
  <c r="AC139" i="11"/>
  <c r="AC215" i="11"/>
  <c r="AC333" i="11"/>
  <c r="AC66" i="11"/>
  <c r="AC458" i="11"/>
  <c r="AC112" i="11"/>
  <c r="AC122" i="11"/>
  <c r="AC261" i="11"/>
  <c r="AC75" i="11"/>
  <c r="AC435" i="11"/>
  <c r="AC182" i="11"/>
  <c r="AC209" i="11"/>
  <c r="AC299" i="11"/>
  <c r="AC124" i="11"/>
  <c r="AC501" i="11"/>
  <c r="AC332" i="11"/>
  <c r="AC283" i="11"/>
  <c r="AC478" i="11"/>
  <c r="AC376" i="11"/>
  <c r="AC303" i="11"/>
  <c r="AC242" i="11"/>
  <c r="AC491" i="11"/>
  <c r="AC72" i="11"/>
  <c r="AC121" i="11"/>
  <c r="AC167" i="11"/>
  <c r="AC94" i="11"/>
  <c r="AC248" i="11"/>
  <c r="AC269" i="11"/>
  <c r="AC363" i="11"/>
  <c r="AC237" i="11"/>
  <c r="AC381" i="11"/>
  <c r="AC264" i="11"/>
  <c r="AC67" i="11"/>
  <c r="AC229" i="11"/>
  <c r="AC3" i="11"/>
  <c r="AC271" i="11"/>
  <c r="AC164" i="11"/>
  <c r="AC359" i="11"/>
  <c r="AC176" i="11"/>
  <c r="AC85" i="11"/>
  <c r="AC304" i="11"/>
  <c r="AC335" i="11"/>
  <c r="AC253" i="11"/>
  <c r="AC170" i="11"/>
  <c r="AC320" i="11"/>
  <c r="AC212" i="11"/>
  <c r="AC285" i="11"/>
  <c r="AC394" i="11"/>
  <c r="AC98" i="11"/>
  <c r="AC181" i="11"/>
  <c r="AC106" i="11"/>
  <c r="AC473" i="11"/>
  <c r="AC110" i="11"/>
  <c r="AC151" i="11"/>
  <c r="AC118" i="11"/>
  <c r="AC316" i="11"/>
  <c r="AC155" i="11"/>
  <c r="AC292" i="11"/>
  <c r="AC446" i="11"/>
  <c r="AC244" i="11"/>
  <c r="AC407" i="11"/>
  <c r="AC169" i="11"/>
  <c r="AC104" i="11"/>
  <c r="AC216" i="11"/>
  <c r="AC471" i="11"/>
  <c r="AC150" i="11"/>
  <c r="AC405" i="11"/>
  <c r="AC267" i="11"/>
  <c r="AC194" i="11"/>
  <c r="AC466" i="11"/>
  <c r="AC311" i="11"/>
  <c r="AC211" i="11"/>
  <c r="AC307" i="11"/>
  <c r="AC230" i="11"/>
  <c r="AC101" i="11"/>
  <c r="AC317" i="11"/>
  <c r="AC258" i="11"/>
  <c r="AC430" i="11"/>
  <c r="AC255" i="11"/>
  <c r="AC383" i="11"/>
  <c r="AC213" i="11"/>
  <c r="AC276" i="11"/>
  <c r="AC484" i="11"/>
  <c r="AC388" i="11"/>
  <c r="AC81" i="11"/>
  <c r="AC373" i="11"/>
  <c r="AC367" i="11"/>
  <c r="AC297" i="11"/>
  <c r="AC474" i="11"/>
  <c r="AC459" i="11"/>
  <c r="AC256" i="11"/>
  <c r="AC499" i="11"/>
  <c r="AC168" i="11"/>
  <c r="AC496" i="11"/>
  <c r="AC497" i="11"/>
  <c r="AC464" i="11"/>
  <c r="AC322" i="11"/>
  <c r="AC199" i="11"/>
  <c r="AC241" i="11"/>
  <c r="AC243" i="11"/>
  <c r="AC279" i="11"/>
  <c r="AC249" i="11"/>
  <c r="AC358" i="11"/>
  <c r="AC498" i="11"/>
  <c r="AC378" i="11"/>
  <c r="AC418" i="11"/>
  <c r="AC86" i="11"/>
  <c r="AC411" i="11"/>
  <c r="AC437" i="11"/>
  <c r="AC137" i="11"/>
  <c r="AC129" i="11"/>
  <c r="AC69" i="11"/>
  <c r="AC493" i="11"/>
  <c r="AC361" i="11"/>
  <c r="AC91" i="11"/>
  <c r="AC428" i="11"/>
  <c r="AC107" i="11"/>
  <c r="AC318" i="11"/>
  <c r="AC400" i="11"/>
  <c r="AC445" i="11"/>
  <c r="AC128" i="11"/>
  <c r="AC197" i="11"/>
  <c r="AC183" i="11"/>
  <c r="AC113" i="11"/>
  <c r="AC490" i="11"/>
  <c r="AC191" i="11"/>
  <c r="AC236" i="11"/>
  <c r="AC362" i="11"/>
  <c r="AC95" i="11"/>
  <c r="AC77" i="11"/>
  <c r="AC334" i="11"/>
  <c r="AC142" i="11"/>
  <c r="AC330" i="11"/>
  <c r="AC423" i="11"/>
  <c r="AC159" i="11"/>
  <c r="AC281" i="11"/>
  <c r="AC136" i="11"/>
  <c r="AC265" i="11"/>
  <c r="AC208" i="11"/>
  <c r="AC486" i="11"/>
  <c r="AC444" i="11"/>
  <c r="AC202" i="11"/>
  <c r="AC114" i="11"/>
  <c r="AC477" i="11"/>
  <c r="AC131" i="11"/>
  <c r="AC126" i="11"/>
  <c r="AC370" i="11"/>
  <c r="AC92" i="11"/>
  <c r="AC439" i="11"/>
  <c r="AC163" i="11"/>
  <c r="AC156" i="11"/>
  <c r="AC275" i="11"/>
  <c r="AC451" i="11"/>
  <c r="AC442" i="11"/>
  <c r="AC469" i="11"/>
  <c r="AC460" i="11"/>
  <c r="AC389" i="11"/>
  <c r="AC443" i="11"/>
  <c r="AC429" i="11"/>
  <c r="AC457" i="11"/>
  <c r="AC89" i="11"/>
  <c r="AC140" i="11"/>
  <c r="AC166" i="11"/>
  <c r="AC483" i="11"/>
  <c r="AC355" i="11"/>
  <c r="AC105" i="11"/>
  <c r="AC402" i="11"/>
  <c r="AC495" i="11"/>
  <c r="AC453" i="11"/>
  <c r="AC315" i="11"/>
  <c r="AC76" i="11"/>
  <c r="AC227" i="11"/>
  <c r="AC392" i="11"/>
  <c r="AC341" i="11"/>
  <c r="AC360" i="11"/>
  <c r="AC404" i="11"/>
  <c r="AC309" i="11"/>
  <c r="AC456" i="11"/>
  <c r="AC158" i="11"/>
  <c r="AC340" i="11"/>
  <c r="AC352" i="11"/>
  <c r="AC357" i="11"/>
  <c r="AC409" i="11"/>
  <c r="AC162" i="11"/>
  <c r="AC154" i="11"/>
  <c r="AC144" i="11"/>
  <c r="AC148" i="11"/>
  <c r="AC83" i="11"/>
  <c r="AC245" i="11"/>
  <c r="AC470" i="11"/>
  <c r="AC379" i="11"/>
  <c r="AC226" i="11"/>
  <c r="AC192" i="11"/>
  <c r="AC468" i="11"/>
  <c r="AC233" i="11"/>
  <c r="AC125" i="11"/>
  <c r="AC100" i="11"/>
  <c r="AC454" i="11"/>
  <c r="AC479" i="11"/>
  <c r="AC476" i="11"/>
  <c r="AC438" i="11"/>
  <c r="AC190" i="11"/>
  <c r="AC338" i="11"/>
  <c r="AC120" i="11"/>
  <c r="AC319" i="11"/>
  <c r="AC280" i="11"/>
  <c r="AC345" i="11"/>
  <c r="AC185" i="11"/>
  <c r="AC235" i="11"/>
  <c r="AC356" i="11"/>
  <c r="AC455" i="11"/>
  <c r="AC325" i="11"/>
  <c r="AC399" i="11"/>
  <c r="AC250" i="11"/>
  <c r="AC440" i="11"/>
  <c r="AC397" i="11"/>
  <c r="AC434" i="11"/>
  <c r="AC96" i="11"/>
  <c r="AC408" i="11"/>
  <c r="AC284" i="11"/>
  <c r="AC346" i="11"/>
  <c r="AC301" i="11"/>
  <c r="AC268" i="11"/>
  <c r="AC204" i="11"/>
  <c r="AC421" i="11"/>
  <c r="AC108" i="11"/>
  <c r="AC462" i="11"/>
  <c r="AC179" i="11"/>
  <c r="AC189" i="11"/>
  <c r="AC449" i="11"/>
  <c r="AC198" i="11"/>
  <c r="AC339" i="11"/>
  <c r="AC134" i="11"/>
  <c r="AC427" i="11"/>
  <c r="AC368" i="11"/>
  <c r="AC90" i="11"/>
  <c r="AC153" i="11"/>
  <c r="AC294" i="11"/>
  <c r="AC492" i="11"/>
  <c r="AC310" i="11"/>
  <c r="AC396" i="11"/>
  <c r="AC70" i="11"/>
  <c r="AC300" i="11"/>
  <c r="AC111" i="11"/>
  <c r="AC336" i="11"/>
  <c r="AC240" i="11"/>
  <c r="AC231" i="11"/>
  <c r="AC109" i="11"/>
  <c r="AC306" i="11"/>
  <c r="AC353" i="11"/>
  <c r="AC390" i="11"/>
  <c r="AC254" i="11"/>
  <c r="AC184" i="11"/>
  <c r="AC217" i="11"/>
  <c r="AC218" i="11"/>
  <c r="AC187" i="11"/>
  <c r="AC414" i="11"/>
  <c r="AC432" i="11"/>
  <c r="AC288" i="11"/>
  <c r="AC274" i="11"/>
  <c r="AC286" i="11"/>
  <c r="AC171" i="11"/>
  <c r="AC324" i="11"/>
  <c r="AC401" i="11"/>
  <c r="AC433" i="11"/>
  <c r="AC410" i="11"/>
  <c r="AC266" i="11"/>
  <c r="AC273" i="11"/>
  <c r="AC232" i="11"/>
  <c r="AC127" i="11"/>
  <c r="AC82" i="11"/>
  <c r="AC350" i="11"/>
  <c r="AC149" i="11"/>
  <c r="AC71" i="11"/>
  <c r="AC465" i="11"/>
  <c r="AC422" i="11"/>
  <c r="AC431" i="11"/>
  <c r="AC263" i="11"/>
  <c r="AC331" i="11"/>
  <c r="AC278" i="11"/>
  <c r="AC420" i="11"/>
  <c r="AC488" i="11"/>
  <c r="AC424" i="11"/>
  <c r="AC343" i="11"/>
  <c r="AC130" i="11"/>
  <c r="AC385" i="11"/>
  <c r="AC165" i="11"/>
  <c r="AC371" i="11"/>
  <c r="AC234" i="11"/>
  <c r="AC452" i="11"/>
  <c r="AC482" i="11"/>
  <c r="AC295" i="11"/>
  <c r="AC485" i="11"/>
  <c r="AC296" i="11"/>
  <c r="AC180" i="11"/>
  <c r="AC450" i="11"/>
  <c r="AC116" i="11"/>
  <c r="AC425" i="11"/>
  <c r="AC270" i="11"/>
  <c r="AC447" i="11"/>
  <c r="AC328" i="11"/>
  <c r="AC68" i="11"/>
  <c r="AC145" i="11"/>
  <c r="AC365" i="11"/>
  <c r="AC79" i="11"/>
  <c r="AC205" i="11"/>
  <c r="AC369" i="11"/>
  <c r="AC391" i="11"/>
  <c r="AC364" i="11"/>
  <c r="AC224" i="11"/>
  <c r="AC415" i="11"/>
  <c r="AC290" i="11"/>
  <c r="AC99" i="11"/>
  <c r="AC147" i="11"/>
  <c r="AC386" i="11"/>
  <c r="AC222" i="11"/>
  <c r="AC395" i="11"/>
  <c r="AC200" i="11"/>
  <c r="AC366" i="11"/>
  <c r="AC206" i="11"/>
  <c r="AC251" i="11"/>
  <c r="AC157" i="11"/>
  <c r="AC173" i="11"/>
  <c r="AC220" i="11"/>
  <c r="AC186" i="11"/>
  <c r="AC177" i="11"/>
  <c r="AC172" i="11"/>
  <c r="AC214" i="11"/>
  <c r="AC461" i="11"/>
  <c r="AC354" i="11"/>
  <c r="AC219" i="11"/>
  <c r="AC143" i="11"/>
  <c r="AC272" i="11"/>
  <c r="AC302" i="11"/>
  <c r="AC138" i="11"/>
  <c r="AC80" i="11"/>
  <c r="AC342" i="11"/>
  <c r="AC413" i="11"/>
  <c r="AC210" i="11"/>
  <c r="AC403" i="11"/>
  <c r="AC102" i="11"/>
  <c r="AC97" i="11"/>
  <c r="AC416" i="11"/>
  <c r="AC382" i="11"/>
  <c r="AC494" i="11"/>
  <c r="AC239" i="11"/>
  <c r="AC260" i="11"/>
  <c r="AC188" i="11"/>
  <c r="AC475" i="11"/>
  <c r="AC133" i="11"/>
  <c r="AC123" i="11"/>
  <c r="AC103" i="11"/>
  <c r="AC327" i="11"/>
  <c r="AC146" i="11"/>
  <c r="AC287" i="11"/>
  <c r="AC329" i="11"/>
  <c r="AC93" i="11"/>
  <c r="AC174" i="11"/>
  <c r="AD1" i="11" l="1"/>
  <c r="AD363" i="11"/>
  <c r="AD331" i="11"/>
  <c r="AD289" i="11"/>
  <c r="AD125" i="11"/>
  <c r="AD171" i="11"/>
  <c r="AD377" i="11"/>
  <c r="AD154" i="11"/>
  <c r="AD232" i="11"/>
  <c r="AD200" i="11"/>
  <c r="AD339" i="11"/>
  <c r="AD279" i="11"/>
  <c r="AD246" i="11"/>
  <c r="AD180" i="11"/>
  <c r="AD368" i="11"/>
  <c r="AD401" i="11"/>
  <c r="AD100" i="11"/>
  <c r="AD147" i="11"/>
  <c r="AD364" i="11"/>
  <c r="AD297" i="11"/>
  <c r="AD273" i="11"/>
  <c r="AD233" i="11"/>
  <c r="AD164" i="11"/>
  <c r="AD212" i="11"/>
  <c r="AD84" i="11"/>
  <c r="AD503" i="11"/>
  <c r="AD68" i="11"/>
  <c r="AD114" i="11"/>
  <c r="AD89" i="11"/>
  <c r="AD159" i="11"/>
  <c r="AD130" i="11"/>
  <c r="AD432" i="11"/>
  <c r="AD362" i="11"/>
  <c r="AD308" i="11"/>
  <c r="AD325" i="11"/>
  <c r="AD92" i="11"/>
  <c r="AD392" i="11"/>
  <c r="AD140" i="11"/>
  <c r="AD434" i="11"/>
  <c r="AD359" i="11"/>
  <c r="AD322" i="11"/>
  <c r="AD479" i="11"/>
  <c r="AD388" i="11"/>
  <c r="AD435" i="11"/>
  <c r="AD160" i="11"/>
  <c r="AD390" i="11"/>
  <c r="AD158" i="11"/>
  <c r="AD214" i="11"/>
  <c r="AD418" i="11"/>
  <c r="AD290" i="11"/>
  <c r="AD106" i="11"/>
  <c r="AD453" i="11"/>
  <c r="AD88" i="11"/>
  <c r="AD87" i="11"/>
  <c r="AD427" i="11"/>
  <c r="AD476" i="11"/>
  <c r="AD436" i="11"/>
  <c r="AD292" i="11"/>
  <c r="AD208" i="11"/>
  <c r="AD128" i="11"/>
  <c r="AD259" i="11"/>
  <c r="AD113" i="11"/>
  <c r="AD207" i="11"/>
  <c r="AD441" i="11"/>
  <c r="AD199" i="11"/>
  <c r="AD120" i="11"/>
  <c r="AD172" i="11"/>
  <c r="AD267" i="11"/>
  <c r="AD108" i="11"/>
  <c r="AD193" i="11"/>
  <c r="AD300" i="11"/>
  <c r="AD258" i="11"/>
  <c r="AD161" i="11"/>
  <c r="AD302" i="11"/>
  <c r="AD469" i="11"/>
  <c r="AD174" i="11"/>
  <c r="AD276" i="11"/>
  <c r="AD260" i="11"/>
  <c r="AD209" i="11"/>
  <c r="AD386" i="11"/>
  <c r="AD383" i="11"/>
  <c r="AD461" i="11"/>
  <c r="AD247" i="11"/>
  <c r="AD169" i="11"/>
  <c r="AD127" i="11"/>
  <c r="AD499" i="11"/>
  <c r="AD494" i="11"/>
  <c r="AD301" i="11"/>
  <c r="AD354" i="11"/>
  <c r="AD399" i="11"/>
  <c r="AD371" i="11"/>
  <c r="AD73" i="11"/>
  <c r="AD271" i="11"/>
  <c r="AD340" i="11"/>
  <c r="AD444" i="11"/>
  <c r="AD152" i="11"/>
  <c r="AD104" i="11"/>
  <c r="AD223" i="11"/>
  <c r="AD422" i="11"/>
  <c r="AD91" i="11"/>
  <c r="AD419" i="11"/>
  <c r="AD275" i="11"/>
  <c r="AD351" i="11"/>
  <c r="AD80" i="11"/>
  <c r="AD155" i="11"/>
  <c r="AD238" i="11"/>
  <c r="AD457" i="11"/>
  <c r="AD294" i="11"/>
  <c r="AD484" i="11"/>
  <c r="AD129" i="11"/>
  <c r="AD382" i="11"/>
  <c r="AD216" i="11"/>
  <c r="AD346" i="11"/>
  <c r="AD176" i="11"/>
  <c r="AD397" i="11"/>
  <c r="AD274" i="11"/>
  <c r="AD463" i="11"/>
  <c r="AD375" i="11"/>
  <c r="AD353" i="11"/>
  <c r="AD83" i="11"/>
  <c r="AD78" i="11"/>
  <c r="AD409" i="11"/>
  <c r="AD348" i="11"/>
  <c r="AD317" i="11"/>
  <c r="AD266" i="11"/>
  <c r="AD431" i="11"/>
  <c r="AD243" i="11"/>
  <c r="AD94" i="11"/>
  <c r="AD446" i="11"/>
  <c r="AD335" i="11"/>
  <c r="AD329" i="11"/>
  <c r="AD304" i="11"/>
  <c r="AD79" i="11"/>
  <c r="AD191" i="11"/>
  <c r="AD211" i="11"/>
  <c r="AD379" i="11"/>
  <c r="AD328" i="11"/>
  <c r="AD109" i="11"/>
  <c r="AD135" i="11"/>
  <c r="AD393" i="11"/>
  <c r="AD502" i="11"/>
  <c r="AD195" i="11"/>
  <c r="AD460" i="11"/>
  <c r="AD257" i="11"/>
  <c r="AD183" i="11"/>
  <c r="AD217" i="11"/>
  <c r="AD482" i="11"/>
  <c r="AD237" i="11"/>
  <c r="AD423" i="11"/>
  <c r="AD495" i="11"/>
  <c r="AD333" i="11"/>
  <c r="AD250" i="11"/>
  <c r="AD194" i="11"/>
  <c r="AD400" i="11"/>
  <c r="AD500" i="11"/>
  <c r="AD480" i="11"/>
  <c r="AD268" i="11"/>
  <c r="AD305" i="11"/>
  <c r="AD456" i="11"/>
  <c r="AD255" i="11"/>
  <c r="AD452" i="11"/>
  <c r="AD225" i="11"/>
  <c r="AD414" i="11"/>
  <c r="AD391" i="11"/>
  <c r="AD376" i="11"/>
  <c r="AD133" i="11"/>
  <c r="AD77" i="11"/>
  <c r="AD384" i="11"/>
  <c r="AD471" i="11"/>
  <c r="AD96" i="11"/>
  <c r="AD153" i="11"/>
  <c r="AD222" i="11"/>
  <c r="AD85" i="11"/>
  <c r="AD98" i="11"/>
  <c r="AD424" i="11"/>
  <c r="AD332" i="11"/>
  <c r="AD323" i="11"/>
  <c r="AD447" i="11"/>
  <c r="AD202" i="11"/>
  <c r="AD131" i="11"/>
  <c r="AD465" i="11"/>
  <c r="AD70" i="11"/>
  <c r="AD395" i="11"/>
  <c r="AD378" i="11"/>
  <c r="AD149" i="11"/>
  <c r="AD285" i="11"/>
  <c r="AD249" i="11"/>
  <c r="AD462" i="11"/>
  <c r="AD236" i="11"/>
  <c r="AD190" i="11"/>
  <c r="AD166" i="11"/>
  <c r="AD132" i="11"/>
  <c r="AD284" i="11"/>
  <c r="AD497" i="11"/>
  <c r="AD112" i="11"/>
  <c r="AD72" i="11"/>
  <c r="AD244" i="11"/>
  <c r="AD90" i="11"/>
  <c r="AD270" i="11"/>
  <c r="AD342" i="11"/>
  <c r="AD139" i="11"/>
  <c r="AD231" i="11"/>
  <c r="AD425" i="11"/>
  <c r="AD490" i="11"/>
  <c r="AD119" i="11"/>
  <c r="AD230" i="11"/>
  <c r="AD408" i="11"/>
  <c r="AD310" i="11"/>
  <c r="AD245" i="11"/>
  <c r="AD320" i="11"/>
  <c r="AD298" i="11"/>
  <c r="AD295" i="11"/>
  <c r="AD188" i="11"/>
  <c r="AD134" i="11"/>
  <c r="AD138" i="11"/>
  <c r="AD272" i="11"/>
  <c r="AD473" i="11"/>
  <c r="AD66" i="11"/>
  <c r="AD410" i="11"/>
  <c r="AD189" i="11"/>
  <c r="AD124" i="11"/>
  <c r="AD412" i="11"/>
  <c r="AD394" i="11"/>
  <c r="AD380" i="11"/>
  <c r="AD86" i="11"/>
  <c r="AD439" i="11"/>
  <c r="AD319" i="11"/>
  <c r="AD150" i="11"/>
  <c r="AD234" i="11"/>
  <c r="AD355" i="11"/>
  <c r="AD449" i="11"/>
  <c r="AD142" i="11"/>
  <c r="AD381" i="11"/>
  <c r="AD361" i="11"/>
  <c r="AD356" i="11"/>
  <c r="AD145" i="11"/>
  <c r="AD396" i="11"/>
  <c r="AD344" i="11"/>
  <c r="AD170" i="11"/>
  <c r="AD204" i="11"/>
  <c r="AD309" i="11"/>
  <c r="AD450" i="11"/>
  <c r="AD296" i="11"/>
  <c r="AD311" i="11"/>
  <c r="AD307" i="11"/>
  <c r="AD141" i="11"/>
  <c r="AD205" i="11"/>
  <c r="AD198" i="11"/>
  <c r="AD358" i="11"/>
  <c r="AD71" i="11"/>
  <c r="AD93" i="11"/>
  <c r="AD370" i="11"/>
  <c r="AD110" i="11"/>
  <c r="AD201" i="11"/>
  <c r="AD313" i="11"/>
  <c r="AD156" i="11"/>
  <c r="AD293" i="11"/>
  <c r="AD477" i="11"/>
  <c r="AD442" i="11"/>
  <c r="AD365" i="11"/>
  <c r="AD470" i="11"/>
  <c r="AD406" i="11"/>
  <c r="AD117" i="11"/>
  <c r="AD105" i="11"/>
  <c r="AD486" i="11"/>
  <c r="AD283" i="11"/>
  <c r="AD196" i="11"/>
  <c r="AD67" i="11"/>
  <c r="AD485" i="11"/>
  <c r="AD197" i="11"/>
  <c r="AD165" i="11"/>
  <c r="AD472" i="11"/>
  <c r="AD215" i="11"/>
  <c r="AD404" i="11"/>
  <c r="AD349" i="11"/>
  <c r="AD321" i="11"/>
  <c r="AD443" i="11"/>
  <c r="AD118" i="11"/>
  <c r="AD203" i="11"/>
  <c r="AD102" i="11"/>
  <c r="AD315" i="11"/>
  <c r="AD387" i="11"/>
  <c r="AD177" i="11"/>
  <c r="AD97" i="11"/>
  <c r="AD163" i="11"/>
  <c r="AD241" i="11"/>
  <c r="AD403" i="11"/>
  <c r="AD326" i="11"/>
  <c r="AD306" i="11"/>
  <c r="AD421" i="11"/>
  <c r="AD372" i="11"/>
  <c r="AD420" i="11"/>
  <c r="AD239" i="11"/>
  <c r="AD445" i="11"/>
  <c r="AD254" i="11"/>
  <c r="AD314" i="11"/>
  <c r="AD303" i="11"/>
  <c r="AD454" i="11"/>
  <c r="AD116" i="11"/>
  <c r="AD426" i="11"/>
  <c r="AD312" i="11"/>
  <c r="AD405" i="11"/>
  <c r="AD146" i="11"/>
  <c r="AD374" i="11"/>
  <c r="AD280" i="11"/>
  <c r="AD437" i="11"/>
  <c r="AD438" i="11"/>
  <c r="AD264" i="11"/>
  <c r="AD213" i="11"/>
  <c r="AD327" i="11"/>
  <c r="AD242" i="11"/>
  <c r="AD282" i="11"/>
  <c r="AD157" i="11"/>
  <c r="AD206" i="11"/>
  <c r="AD126" i="11"/>
  <c r="AD288" i="11"/>
  <c r="AD287" i="11"/>
  <c r="AD491" i="11"/>
  <c r="AD137" i="11"/>
  <c r="AD277" i="11"/>
  <c r="AD451" i="11"/>
  <c r="AD251" i="11"/>
  <c r="AD103" i="11"/>
  <c r="AD226" i="11"/>
  <c r="AD345" i="11"/>
  <c r="AD416" i="11"/>
  <c r="AD186" i="11"/>
  <c r="AD148" i="11"/>
  <c r="AD373" i="11"/>
  <c r="AD458" i="11"/>
  <c r="AD429" i="11"/>
  <c r="AD101" i="11"/>
  <c r="AD218" i="11"/>
  <c r="AD253" i="11"/>
  <c r="AD162" i="11"/>
  <c r="AD367" i="11"/>
  <c r="AD121" i="11"/>
  <c r="AD337" i="11"/>
  <c r="AD3" i="11"/>
  <c r="AD428" i="11"/>
  <c r="AD82" i="11"/>
  <c r="AD468" i="11"/>
  <c r="AD385" i="11"/>
  <c r="AD252" i="11"/>
  <c r="AD478" i="11"/>
  <c r="AD123" i="11"/>
  <c r="AD430" i="11"/>
  <c r="AD74" i="11"/>
  <c r="AD178" i="11"/>
  <c r="AD99" i="11"/>
  <c r="AD144" i="11"/>
  <c r="AD184" i="11"/>
  <c r="AD411" i="11"/>
  <c r="AD263" i="11"/>
  <c r="AD402" i="11"/>
  <c r="AD336" i="11"/>
  <c r="AD366" i="11"/>
  <c r="AD229" i="11"/>
  <c r="AD224" i="11"/>
  <c r="AD474" i="11"/>
  <c r="AD330" i="11"/>
  <c r="AD143" i="11"/>
  <c r="AD343" i="11"/>
  <c r="AD115" i="11"/>
  <c r="AD433" i="11"/>
  <c r="AD192" i="11"/>
  <c r="AD459" i="11"/>
  <c r="AD483" i="11"/>
  <c r="AD324" i="11"/>
  <c r="AD182" i="11"/>
  <c r="AD240" i="11"/>
  <c r="AD481" i="11"/>
  <c r="AD488" i="11"/>
  <c r="AD299" i="11"/>
  <c r="AD219" i="11"/>
  <c r="AD235" i="11"/>
  <c r="AD475" i="11"/>
  <c r="AD350" i="11"/>
  <c r="AD269" i="11"/>
  <c r="AD122" i="11"/>
  <c r="AD248" i="11"/>
  <c r="AD210" i="11"/>
  <c r="AD487" i="11"/>
  <c r="AD493" i="11"/>
  <c r="AD281" i="11"/>
  <c r="AD389" i="11"/>
  <c r="AD179" i="11"/>
  <c r="AD341" i="11"/>
  <c r="AD168" i="11"/>
  <c r="AD415" i="11"/>
  <c r="AD501" i="11"/>
  <c r="AD318" i="11"/>
  <c r="AD466" i="11"/>
  <c r="AD181" i="11"/>
  <c r="AD75" i="11"/>
  <c r="AD69" i="11"/>
  <c r="AD360" i="11"/>
  <c r="AD286" i="11"/>
  <c r="AD95" i="11"/>
  <c r="AD220" i="11"/>
  <c r="AD357" i="11"/>
  <c r="AD455" i="11"/>
  <c r="AD111" i="11"/>
  <c r="AD167" i="11"/>
  <c r="AD498" i="11"/>
  <c r="AD173" i="11"/>
  <c r="AD221" i="11"/>
  <c r="AD352" i="11"/>
  <c r="AD407" i="11"/>
  <c r="AD496" i="11"/>
  <c r="AD175" i="11"/>
  <c r="AD136" i="11"/>
  <c r="AD265" i="11"/>
  <c r="AD440" i="11"/>
  <c r="AD347" i="11"/>
  <c r="AD187" i="11"/>
  <c r="AD262" i="11"/>
  <c r="AD65" i="11"/>
  <c r="AD316" i="11"/>
  <c r="AD417" i="11"/>
  <c r="AD464" i="11"/>
  <c r="AD228" i="11"/>
  <c r="AD291" i="11"/>
  <c r="AD369" i="11"/>
  <c r="AD467" i="11"/>
  <c r="AD398" i="11"/>
  <c r="AD151" i="11"/>
  <c r="AD256" i="11"/>
  <c r="AD81" i="11"/>
  <c r="AD185" i="11"/>
  <c r="AD338" i="11"/>
  <c r="AD76" i="11"/>
  <c r="AD227" i="11"/>
  <c r="AD107" i="11"/>
  <c r="AD413" i="11"/>
  <c r="AD278" i="11"/>
  <c r="AD492" i="11"/>
  <c r="AD448" i="11"/>
  <c r="AD334" i="11"/>
  <c r="AD489" i="11"/>
  <c r="AD261" i="11"/>
  <c r="AE1" i="11" l="1"/>
  <c r="AE208" i="11"/>
  <c r="AE150" i="11"/>
  <c r="AE444" i="11"/>
  <c r="AE161" i="11"/>
  <c r="AE98" i="11"/>
  <c r="AE464" i="11"/>
  <c r="AE265" i="11"/>
  <c r="AE190" i="11"/>
  <c r="AE111" i="11"/>
  <c r="AE336" i="11"/>
  <c r="AE94" i="11"/>
  <c r="AE329" i="11"/>
  <c r="AE501" i="11"/>
  <c r="AE235" i="11"/>
  <c r="AE392" i="11"/>
  <c r="AE278" i="11"/>
  <c r="AE141" i="11"/>
  <c r="AE369" i="11"/>
  <c r="AE484" i="11"/>
  <c r="AE165" i="11"/>
  <c r="AE220" i="11"/>
  <c r="AE245" i="11"/>
  <c r="AE397" i="11"/>
  <c r="AE202" i="11"/>
  <c r="AE437" i="11"/>
  <c r="AE157" i="11"/>
  <c r="AE257" i="11"/>
  <c r="AE119" i="11"/>
  <c r="AE241" i="11"/>
  <c r="AE147" i="11"/>
  <c r="AE252" i="11"/>
  <c r="AE196" i="11"/>
  <c r="AE118" i="11"/>
  <c r="AE71" i="11"/>
  <c r="AE232" i="11"/>
  <c r="AE320" i="11"/>
  <c r="AE199" i="11"/>
  <c r="AE373" i="11"/>
  <c r="AE195" i="11"/>
  <c r="AE345" i="11"/>
  <c r="AE124" i="11"/>
  <c r="AE338" i="11"/>
  <c r="AE333" i="11"/>
  <c r="AE313" i="11"/>
  <c r="AE129" i="11"/>
  <c r="AE275" i="11"/>
  <c r="AE173" i="11"/>
  <c r="AE219" i="11"/>
  <c r="AE370" i="11"/>
  <c r="AE116" i="11"/>
  <c r="AE315" i="11"/>
  <c r="AE193" i="11"/>
  <c r="AE498" i="11"/>
  <c r="AE427" i="11"/>
  <c r="AE428" i="11"/>
  <c r="AE81" i="11"/>
  <c r="AE260" i="11"/>
  <c r="AE67" i="11"/>
  <c r="AE302" i="11"/>
  <c r="AE349" i="11"/>
  <c r="AE461" i="11"/>
  <c r="AE293" i="11"/>
  <c r="AE285" i="11"/>
  <c r="AE347" i="11"/>
  <c r="AE128" i="11"/>
  <c r="AE451" i="11"/>
  <c r="AE295" i="11"/>
  <c r="AE138" i="11"/>
  <c r="AE450" i="11"/>
  <c r="AE185" i="11"/>
  <c r="AE423" i="11"/>
  <c r="AE264" i="11"/>
  <c r="AE110" i="11"/>
  <c r="AE478" i="11"/>
  <c r="AE222" i="11"/>
  <c r="AE286" i="11"/>
  <c r="AE380" i="11"/>
  <c r="AE482" i="11"/>
  <c r="AE343" i="11"/>
  <c r="AE323" i="11"/>
  <c r="AE334" i="11"/>
  <c r="AE109" i="11"/>
  <c r="AE229" i="11"/>
  <c r="AE74" i="11"/>
  <c r="AE311" i="11"/>
  <c r="AE291" i="11"/>
  <c r="AE492" i="11"/>
  <c r="AE377" i="11"/>
  <c r="AE318" i="11"/>
  <c r="AE441" i="11"/>
  <c r="AE393" i="11"/>
  <c r="AE425" i="11"/>
  <c r="AE187" i="11"/>
  <c r="AE485" i="11"/>
  <c r="AE475" i="11"/>
  <c r="AE93" i="11"/>
  <c r="AE266" i="11"/>
  <c r="AE90" i="11"/>
  <c r="AE66" i="11"/>
  <c r="AE240" i="11"/>
  <c r="AE405" i="11"/>
  <c r="AE408" i="11"/>
  <c r="AE454" i="11"/>
  <c r="AE127" i="11"/>
  <c r="AE106" i="11"/>
  <c r="AE430" i="11"/>
  <c r="AE96" i="11"/>
  <c r="AE371" i="11"/>
  <c r="AE123" i="11"/>
  <c r="AE214" i="11"/>
  <c r="AE143" i="11"/>
  <c r="AE228" i="11"/>
  <c r="AE499" i="11"/>
  <c r="AE213" i="11"/>
  <c r="AE476" i="11"/>
  <c r="AE503" i="11"/>
  <c r="AE355" i="11"/>
  <c r="AE227" i="11"/>
  <c r="AE353" i="11"/>
  <c r="AE480" i="11"/>
  <c r="AE367" i="11"/>
  <c r="AE103" i="11"/>
  <c r="AE376" i="11"/>
  <c r="AE459" i="11"/>
  <c r="AE237" i="11"/>
  <c r="AE352" i="11"/>
  <c r="AE481" i="11"/>
  <c r="AE198" i="11"/>
  <c r="AE396" i="11"/>
  <c r="AE488" i="11"/>
  <c r="AE145" i="11"/>
  <c r="AE388" i="11"/>
  <c r="AE319" i="11"/>
  <c r="AE244" i="11"/>
  <c r="AE419" i="11"/>
  <c r="AE411" i="11"/>
  <c r="AE412" i="11"/>
  <c r="AE474" i="11"/>
  <c r="AE186" i="11"/>
  <c r="AE258" i="11"/>
  <c r="AE468" i="11"/>
  <c r="AE152" i="11"/>
  <c r="AE325" i="11"/>
  <c r="AE299" i="11"/>
  <c r="AE101" i="11"/>
  <c r="AE160" i="11"/>
  <c r="AE431" i="11"/>
  <c r="AE272" i="11"/>
  <c r="AE189" i="11"/>
  <c r="AE310" i="11"/>
  <c r="AE234" i="11"/>
  <c r="AE174" i="11"/>
  <c r="AE407" i="11"/>
  <c r="AE170" i="11"/>
  <c r="AE356" i="11"/>
  <c r="AE105" i="11"/>
  <c r="AE280" i="11"/>
  <c r="AE156" i="11"/>
  <c r="AE142" i="11"/>
  <c r="AE410" i="11"/>
  <c r="AE75" i="11"/>
  <c r="AE365" i="11"/>
  <c r="AE386" i="11"/>
  <c r="AE3" i="11"/>
  <c r="AE95" i="11"/>
  <c r="AE486" i="11"/>
  <c r="AE435" i="11"/>
  <c r="AE191" i="11"/>
  <c r="AE447" i="11"/>
  <c r="AE163" i="11"/>
  <c r="AE226" i="11"/>
  <c r="AE276" i="11"/>
  <c r="AE79" i="11"/>
  <c r="AE126" i="11"/>
  <c r="AE209" i="11"/>
  <c r="AE500" i="11"/>
  <c r="AE312" i="11"/>
  <c r="AE466" i="11"/>
  <c r="AE382" i="11"/>
  <c r="AE324" i="11"/>
  <c r="AE438" i="11"/>
  <c r="AE205" i="11"/>
  <c r="AE326" i="11"/>
  <c r="AE133" i="11"/>
  <c r="AE322" i="11"/>
  <c r="AE164" i="11"/>
  <c r="AE418" i="11"/>
  <c r="AE331" i="11"/>
  <c r="AE115" i="11"/>
  <c r="AE316" i="11"/>
  <c r="AE114" i="11"/>
  <c r="AE274" i="11"/>
  <c r="AE207" i="11"/>
  <c r="AE290" i="11"/>
  <c r="AE203" i="11"/>
  <c r="AE473" i="11"/>
  <c r="AE467" i="11"/>
  <c r="AE479" i="11"/>
  <c r="AE305" i="11"/>
  <c r="AE317" i="11"/>
  <c r="AE130" i="11"/>
  <c r="AE330" i="11"/>
  <c r="AE239" i="11"/>
  <c r="AE262" i="11"/>
  <c r="AE294" i="11"/>
  <c r="AE183" i="11"/>
  <c r="AE243" i="11"/>
  <c r="AE89" i="11"/>
  <c r="AE230" i="11"/>
  <c r="AE120" i="11"/>
  <c r="AE281" i="11"/>
  <c r="AE85" i="11"/>
  <c r="AE420" i="11"/>
  <c r="AE300" i="11"/>
  <c r="AE440" i="11"/>
  <c r="AE125" i="11"/>
  <c r="AE139" i="11"/>
  <c r="AE335" i="11"/>
  <c r="AE337" i="11"/>
  <c r="AE134" i="11"/>
  <c r="AE122" i="11"/>
  <c r="AE70" i="11"/>
  <c r="AE360" i="11"/>
  <c r="AE181" i="11"/>
  <c r="AE140" i="11"/>
  <c r="AE80" i="11"/>
  <c r="AE391" i="11"/>
  <c r="AE104" i="11"/>
  <c r="AE494" i="11"/>
  <c r="AE178" i="11"/>
  <c r="AE433" i="11"/>
  <c r="AE146" i="11"/>
  <c r="AE414" i="11"/>
  <c r="AE462" i="11"/>
  <c r="AE250" i="11"/>
  <c r="AE366" i="11"/>
  <c r="AE259" i="11"/>
  <c r="AE472" i="11"/>
  <c r="AE201" i="11"/>
  <c r="AE169" i="11"/>
  <c r="AE223" i="11"/>
  <c r="AE225" i="11"/>
  <c r="AE368" i="11"/>
  <c r="AE102" i="11"/>
  <c r="AE162" i="11"/>
  <c r="AE307" i="11"/>
  <c r="AE328" i="11"/>
  <c r="AE342" i="11"/>
  <c r="AE364" i="11"/>
  <c r="AE99" i="11"/>
  <c r="AE155" i="11"/>
  <c r="AE378" i="11"/>
  <c r="AE251" i="11"/>
  <c r="AE270" i="11"/>
  <c r="AE218" i="11"/>
  <c r="AE248" i="11"/>
  <c r="AE402" i="11"/>
  <c r="AE452" i="11"/>
  <c r="AE132" i="11"/>
  <c r="AE65" i="11"/>
  <c r="AE489" i="11"/>
  <c r="AE465" i="11"/>
  <c r="AE200" i="11"/>
  <c r="AE78" i="11"/>
  <c r="AE148" i="11"/>
  <c r="AE439" i="11"/>
  <c r="AE383" i="11"/>
  <c r="AE97" i="11"/>
  <c r="AE175" i="11"/>
  <c r="AE69" i="11"/>
  <c r="AE502" i="11"/>
  <c r="AE339" i="11"/>
  <c r="AE301" i="11"/>
  <c r="AE77" i="11"/>
  <c r="AE137" i="11"/>
  <c r="AE82" i="11"/>
  <c r="AE363" i="11"/>
  <c r="AE346" i="11"/>
  <c r="AE314" i="11"/>
  <c r="AE469" i="11"/>
  <c r="AE443" i="11"/>
  <c r="AE107" i="11"/>
  <c r="AE263" i="11"/>
  <c r="AE215" i="11"/>
  <c r="AE91" i="11"/>
  <c r="AE496" i="11"/>
  <c r="AE497" i="11"/>
  <c r="AE231" i="11"/>
  <c r="AE151" i="11"/>
  <c r="AE216" i="11"/>
  <c r="AE271" i="11"/>
  <c r="AE424" i="11"/>
  <c r="AE406" i="11"/>
  <c r="AE399" i="11"/>
  <c r="AE87" i="11"/>
  <c r="AE442" i="11"/>
  <c r="AE233" i="11"/>
  <c r="AE448" i="11"/>
  <c r="AE471" i="11"/>
  <c r="AE375" i="11"/>
  <c r="AE456" i="11"/>
  <c r="AE158" i="11"/>
  <c r="AE463" i="11"/>
  <c r="AE436" i="11"/>
  <c r="AE422" i="11"/>
  <c r="AE379" i="11"/>
  <c r="AE455" i="11"/>
  <c r="AE483" i="11"/>
  <c r="AE304" i="11"/>
  <c r="AE194" i="11"/>
  <c r="AE88" i="11"/>
  <c r="AE73" i="11"/>
  <c r="AE332" i="11"/>
  <c r="AE495" i="11"/>
  <c r="AE284" i="11"/>
  <c r="AE321" i="11"/>
  <c r="AE221" i="11"/>
  <c r="AE117" i="11"/>
  <c r="AE421" i="11"/>
  <c r="AE254" i="11"/>
  <c r="AE84" i="11"/>
  <c r="AE269" i="11"/>
  <c r="AE297" i="11"/>
  <c r="AE340" i="11"/>
  <c r="AE204" i="11"/>
  <c r="AE177" i="11"/>
  <c r="AE453" i="11"/>
  <c r="AE180" i="11"/>
  <c r="AE136" i="11"/>
  <c r="AE112" i="11"/>
  <c r="AE395" i="11"/>
  <c r="AE457" i="11"/>
  <c r="AE361" i="11"/>
  <c r="AE167" i="11"/>
  <c r="AE394" i="11"/>
  <c r="AE131" i="11"/>
  <c r="AE135" i="11"/>
  <c r="AE490" i="11"/>
  <c r="AE236" i="11"/>
  <c r="AE415" i="11"/>
  <c r="AE268" i="11"/>
  <c r="AE417" i="11"/>
  <c r="AE354" i="11"/>
  <c r="AE113" i="11"/>
  <c r="AE487" i="11"/>
  <c r="AE460" i="11"/>
  <c r="AE357" i="11"/>
  <c r="AE166" i="11"/>
  <c r="AE303" i="11"/>
  <c r="AE267" i="11"/>
  <c r="AE83" i="11"/>
  <c r="AE253" i="11"/>
  <c r="AE348" i="11"/>
  <c r="AE458" i="11"/>
  <c r="AE374" i="11"/>
  <c r="AE261" i="11"/>
  <c r="AE308" i="11"/>
  <c r="AE224" i="11"/>
  <c r="AE256" i="11"/>
  <c r="AE188" i="11"/>
  <c r="AE385" i="11"/>
  <c r="AE289" i="11"/>
  <c r="AE429" i="11"/>
  <c r="AE197" i="11"/>
  <c r="AE247" i="11"/>
  <c r="AE72" i="11"/>
  <c r="AE298" i="11"/>
  <c r="AE176" i="11"/>
  <c r="AE446" i="11"/>
  <c r="AE144" i="11"/>
  <c r="AE184" i="11"/>
  <c r="AE92" i="11"/>
  <c r="AE159" i="11"/>
  <c r="AE121" i="11"/>
  <c r="AE445" i="11"/>
  <c r="AE309" i="11"/>
  <c r="AE108" i="11"/>
  <c r="AE344" i="11"/>
  <c r="AE179" i="11"/>
  <c r="AE206" i="11"/>
  <c r="AE387" i="11"/>
  <c r="AE350" i="11"/>
  <c r="AE389" i="11"/>
  <c r="AE491" i="11"/>
  <c r="AE282" i="11"/>
  <c r="AE255" i="11"/>
  <c r="AE434" i="11"/>
  <c r="AE390" i="11"/>
  <c r="AE493" i="11"/>
  <c r="AE477" i="11"/>
  <c r="AE296" i="11"/>
  <c r="AE351" i="11"/>
  <c r="AE86" i="11"/>
  <c r="AE292" i="11"/>
  <c r="AE212" i="11"/>
  <c r="AE403" i="11"/>
  <c r="AE288" i="11"/>
  <c r="AE416" i="11"/>
  <c r="AE384" i="11"/>
  <c r="AE238" i="11"/>
  <c r="AE287" i="11"/>
  <c r="AE362" i="11"/>
  <c r="AE327" i="11"/>
  <c r="AE154" i="11"/>
  <c r="AE171" i="11"/>
  <c r="AE413" i="11"/>
  <c r="AE401" i="11"/>
  <c r="AE470" i="11"/>
  <c r="AE182" i="11"/>
  <c r="AE168" i="11"/>
  <c r="AE217" i="11"/>
  <c r="AE242" i="11"/>
  <c r="AE306" i="11"/>
  <c r="AE400" i="11"/>
  <c r="AE426" i="11"/>
  <c r="AE211" i="11"/>
  <c r="AE409" i="11"/>
  <c r="AE273" i="11"/>
  <c r="AE372" i="11"/>
  <c r="AE68" i="11"/>
  <c r="AE404" i="11"/>
  <c r="AE381" i="11"/>
  <c r="AE359" i="11"/>
  <c r="AE100" i="11"/>
  <c r="AE398" i="11"/>
  <c r="AE358" i="11"/>
  <c r="AE277" i="11"/>
  <c r="AE283" i="11"/>
  <c r="AE449" i="11"/>
  <c r="AE172" i="11"/>
  <c r="AE432" i="11"/>
  <c r="AE76" i="11"/>
  <c r="AE210" i="11"/>
  <c r="AE341" i="11"/>
  <c r="AE149" i="11"/>
  <c r="AE279" i="11"/>
  <c r="AE153" i="11"/>
  <c r="AE192" i="11"/>
  <c r="AE246" i="11"/>
  <c r="AE249" i="11"/>
  <c r="AF1" i="11" l="1"/>
  <c r="K5" i="11"/>
  <c r="K11" i="11"/>
  <c r="K27" i="11"/>
  <c r="K43" i="11"/>
  <c r="K59" i="11"/>
  <c r="K23" i="11"/>
  <c r="K39" i="11"/>
  <c r="K55" i="11"/>
  <c r="K19" i="11"/>
  <c r="K35" i="11"/>
  <c r="K51" i="11"/>
  <c r="K15" i="11"/>
  <c r="K31" i="11"/>
  <c r="K47" i="11"/>
  <c r="K63" i="11"/>
  <c r="K50" i="11"/>
  <c r="K34" i="11"/>
  <c r="K18" i="11"/>
  <c r="K64" i="11"/>
  <c r="K48" i="11"/>
  <c r="K32" i="11"/>
  <c r="K16" i="11"/>
  <c r="K61" i="11"/>
  <c r="K45" i="11"/>
  <c r="K29" i="11"/>
  <c r="K13" i="11"/>
  <c r="K54" i="11"/>
  <c r="K38" i="11"/>
  <c r="K22" i="11"/>
  <c r="K6" i="11"/>
  <c r="K52" i="11"/>
  <c r="K36" i="11"/>
  <c r="K20" i="11"/>
  <c r="K49" i="11"/>
  <c r="K33" i="11"/>
  <c r="K17" i="11"/>
  <c r="K58" i="11"/>
  <c r="K42" i="11"/>
  <c r="K26" i="11"/>
  <c r="K10" i="11"/>
  <c r="K56" i="11"/>
  <c r="K40" i="11"/>
  <c r="K24" i="11"/>
  <c r="K8" i="11"/>
  <c r="K53" i="11"/>
  <c r="K37" i="11"/>
  <c r="K21" i="11"/>
  <c r="K62" i="11"/>
  <c r="K46" i="11"/>
  <c r="K30" i="11"/>
  <c r="K14" i="11"/>
  <c r="K60" i="11"/>
  <c r="K44" i="11"/>
  <c r="K28" i="11"/>
  <c r="K12" i="11"/>
  <c r="K57" i="11"/>
  <c r="K41" i="11"/>
  <c r="K25" i="11"/>
  <c r="K9" i="11"/>
  <c r="AF457" i="11"/>
  <c r="AF380" i="11"/>
  <c r="AF447" i="11"/>
  <c r="AF356" i="11"/>
  <c r="AF169" i="11"/>
  <c r="AF477" i="11"/>
  <c r="AF394" i="11"/>
  <c r="AF487" i="11"/>
  <c r="AF428" i="11"/>
  <c r="AF241" i="11"/>
  <c r="AF500" i="11"/>
  <c r="AF414" i="11"/>
  <c r="AF206" i="11"/>
  <c r="AF124" i="11"/>
  <c r="AF282" i="11"/>
  <c r="AF193" i="11"/>
  <c r="AF238" i="11"/>
  <c r="AF340" i="11"/>
  <c r="AF78" i="11"/>
  <c r="AF492" i="11"/>
  <c r="AF291" i="11"/>
  <c r="AF172" i="11"/>
  <c r="AF464" i="11"/>
  <c r="AF372" i="11"/>
  <c r="L51" i="11"/>
  <c r="AF263" i="11"/>
  <c r="AF235" i="11"/>
  <c r="AF143" i="11"/>
  <c r="AF205" i="11"/>
  <c r="AF339" i="11"/>
  <c r="AF102" i="11"/>
  <c r="AF222" i="11"/>
  <c r="AF280" i="11"/>
  <c r="L38" i="11"/>
  <c r="AF302" i="11"/>
  <c r="AF363" i="11"/>
  <c r="AF332" i="11"/>
  <c r="AF473" i="11"/>
  <c r="AF453" i="11"/>
  <c r="AF304" i="11"/>
  <c r="AF105" i="11"/>
  <c r="AF192" i="11"/>
  <c r="L48" i="11"/>
  <c r="AF154" i="11"/>
  <c r="AF199" i="11"/>
  <c r="AF301" i="11"/>
  <c r="AF312" i="11"/>
  <c r="AF362" i="11"/>
  <c r="AF456" i="11"/>
  <c r="AF345" i="11"/>
  <c r="AF80" i="11"/>
  <c r="AF253" i="11"/>
  <c r="AF71" i="11"/>
  <c r="AF255" i="11"/>
  <c r="AF69" i="11"/>
  <c r="AF298" i="11"/>
  <c r="AF252" i="11"/>
  <c r="AF218" i="11"/>
  <c r="AF226" i="11"/>
  <c r="AF165" i="11"/>
  <c r="AF400" i="11"/>
  <c r="AF141" i="11"/>
  <c r="AF503" i="11"/>
  <c r="AF331" i="11"/>
  <c r="AF184" i="11"/>
  <c r="AF478" i="11"/>
  <c r="AF485" i="11"/>
  <c r="AF180" i="11"/>
  <c r="AF493" i="11"/>
  <c r="AF81" i="11"/>
  <c r="L59" i="11"/>
  <c r="AF443" i="11"/>
  <c r="AF240" i="11"/>
  <c r="AF311" i="11"/>
  <c r="AF164" i="11"/>
  <c r="AF251" i="11"/>
  <c r="AF195" i="11"/>
  <c r="AF265" i="11"/>
  <c r="AF285" i="11"/>
  <c r="AF382" i="11"/>
  <c r="AF232" i="11"/>
  <c r="AF122" i="11"/>
  <c r="AF283" i="11"/>
  <c r="AF452" i="11"/>
  <c r="AF421" i="11"/>
  <c r="AF350" i="11"/>
  <c r="AF358" i="11"/>
  <c r="AF375" i="11"/>
  <c r="AF488" i="11"/>
  <c r="AF365" i="11"/>
  <c r="AF221" i="11"/>
  <c r="AF271" i="11"/>
  <c r="AF481" i="11"/>
  <c r="AF460" i="11"/>
  <c r="AF465" i="11"/>
  <c r="AF364" i="11"/>
  <c r="AF131" i="11"/>
  <c r="L62" i="11"/>
  <c r="AF369" i="11"/>
  <c r="AF395" i="11"/>
  <c r="AF499" i="11"/>
  <c r="AF392" i="11"/>
  <c r="AF336" i="11"/>
  <c r="AF242" i="11"/>
  <c r="AF144" i="11"/>
  <c r="AF417" i="11"/>
  <c r="L17" i="11"/>
  <c r="AF88" i="11"/>
  <c r="AF74" i="11"/>
  <c r="AF272" i="11"/>
  <c r="AF315" i="11"/>
  <c r="AF432" i="11"/>
  <c r="AF94" i="11"/>
  <c r="AF104" i="11"/>
  <c r="AF267" i="11"/>
  <c r="L23" i="11"/>
  <c r="L64" i="11"/>
  <c r="AF435" i="11"/>
  <c r="AF386" i="11"/>
  <c r="AF67" i="11"/>
  <c r="AF348" i="11"/>
  <c r="AF459" i="11"/>
  <c r="AF308" i="11"/>
  <c r="L55" i="11"/>
  <c r="AF200" i="11"/>
  <c r="AF420" i="11"/>
  <c r="AF306" i="11"/>
  <c r="AF384" i="11"/>
  <c r="AF323" i="11"/>
  <c r="AF189" i="11"/>
  <c r="AF250" i="11"/>
  <c r="AF95" i="11"/>
  <c r="AF76" i="11"/>
  <c r="AF187" i="11"/>
  <c r="AF111" i="11"/>
  <c r="AF470" i="11"/>
  <c r="AF146" i="11"/>
  <c r="AF463" i="11"/>
  <c r="AF325" i="11"/>
  <c r="AF278" i="11"/>
  <c r="AF208" i="11"/>
  <c r="AF389" i="11"/>
  <c r="AF357" i="11"/>
  <c r="AF190" i="11"/>
  <c r="AF89" i="11"/>
  <c r="AF397" i="11"/>
  <c r="AF244" i="11"/>
  <c r="AF297" i="11"/>
  <c r="AF174" i="11"/>
  <c r="AF98" i="11"/>
  <c r="AF341" i="11"/>
  <c r="L56" i="11"/>
  <c r="AF258" i="11"/>
  <c r="AF422" i="11"/>
  <c r="AF409" i="11"/>
  <c r="AF295" i="11"/>
  <c r="AF257" i="11"/>
  <c r="AF261" i="11"/>
  <c r="L13" i="11"/>
  <c r="AF486" i="11"/>
  <c r="AF352" i="11"/>
  <c r="AF215" i="11"/>
  <c r="AF300" i="11"/>
  <c r="AF319" i="11"/>
  <c r="AF491" i="11"/>
  <c r="AF113" i="11"/>
  <c r="AF129" i="11"/>
  <c r="L42" i="11"/>
  <c r="AF444" i="11"/>
  <c r="AF440" i="11"/>
  <c r="AF324" i="11"/>
  <c r="AF346" i="11"/>
  <c r="AF359" i="11"/>
  <c r="AF337" i="11"/>
  <c r="AF316" i="11"/>
  <c r="AF501" i="11"/>
  <c r="L24" i="11"/>
  <c r="AF276" i="11"/>
  <c r="AF106" i="11"/>
  <c r="AF160" i="11"/>
  <c r="AF100" i="11"/>
  <c r="AF458" i="11"/>
  <c r="AF68" i="11"/>
  <c r="AF335" i="11"/>
  <c r="AF145" i="11"/>
  <c r="AF181" i="11"/>
  <c r="AF219" i="11"/>
  <c r="AF127" i="11"/>
  <c r="AF202" i="11"/>
  <c r="AF475" i="11"/>
  <c r="AF445" i="11"/>
  <c r="AF474" i="11"/>
  <c r="AF266" i="11"/>
  <c r="L5" i="11"/>
  <c r="AF442" i="11"/>
  <c r="L31" i="11"/>
  <c r="AF436" i="11"/>
  <c r="AF314" i="11"/>
  <c r="AF176" i="11"/>
  <c r="AF469" i="11"/>
  <c r="AF496" i="11"/>
  <c r="AF376" i="11"/>
  <c r="L58" i="11"/>
  <c r="AF379" i="11"/>
  <c r="AF373" i="11"/>
  <c r="AF430" i="11"/>
  <c r="L29" i="11"/>
  <c r="AF289" i="11"/>
  <c r="L25" i="11"/>
  <c r="AF188" i="11"/>
  <c r="AF377" i="11"/>
  <c r="AF407" i="11"/>
  <c r="L28" i="11"/>
  <c r="AF115" i="11"/>
  <c r="AF87" i="11"/>
  <c r="AF288" i="11"/>
  <c r="AF236" i="11"/>
  <c r="AF299" i="11"/>
  <c r="AF225" i="11"/>
  <c r="AF431" i="11"/>
  <c r="AF404" i="11"/>
  <c r="AF254" i="11"/>
  <c r="AF114" i="11"/>
  <c r="AF416" i="11"/>
  <c r="L19" i="11"/>
  <c r="AF494" i="11"/>
  <c r="AF116" i="11"/>
  <c r="AF388" i="11"/>
  <c r="AF237" i="11"/>
  <c r="AF405" i="11"/>
  <c r="AF411" i="11"/>
  <c r="AF138" i="11"/>
  <c r="AF227" i="11"/>
  <c r="L57" i="11"/>
  <c r="AF182" i="11"/>
  <c r="AF245" i="11"/>
  <c r="AF402" i="11"/>
  <c r="AF393" i="11"/>
  <c r="AF153" i="11"/>
  <c r="AF296" i="11"/>
  <c r="AF134" i="11"/>
  <c r="AF136" i="11"/>
  <c r="L6" i="11"/>
  <c r="AF196" i="11"/>
  <c r="AF260" i="11"/>
  <c r="AF233" i="11"/>
  <c r="AF495" i="11"/>
  <c r="AF446" i="11"/>
  <c r="AF439" i="11"/>
  <c r="AF85" i="11"/>
  <c r="AF123" i="11"/>
  <c r="L11" i="11"/>
  <c r="AF157" i="11"/>
  <c r="AF330" i="11"/>
  <c r="AF413" i="11"/>
  <c r="AF170" i="11"/>
  <c r="AF279" i="11"/>
  <c r="AF268" i="11"/>
  <c r="AF310" i="11"/>
  <c r="AF158" i="11"/>
  <c r="AF390" i="11"/>
  <c r="AF216" i="11"/>
  <c r="AF82" i="11"/>
  <c r="AF455" i="11"/>
  <c r="AF152" i="11"/>
  <c r="AF211" i="11"/>
  <c r="AF293" i="11"/>
  <c r="AF93" i="11"/>
  <c r="L15" i="11"/>
  <c r="AF130" i="11"/>
  <c r="AF343" i="11"/>
  <c r="AF424" i="11"/>
  <c r="AF159" i="11"/>
  <c r="AF91" i="11"/>
  <c r="AF270" i="11"/>
  <c r="AF229" i="11"/>
  <c r="AF217" i="11"/>
  <c r="L27" i="11"/>
  <c r="AF125" i="11"/>
  <c r="AF290" i="11"/>
  <c r="AF92" i="11"/>
  <c r="AF97" i="11"/>
  <c r="AF90" i="11"/>
  <c r="L14" i="11"/>
  <c r="L18" i="11"/>
  <c r="AF133" i="11"/>
  <c r="AF327" i="11"/>
  <c r="AF77" i="11"/>
  <c r="AF132" i="11"/>
  <c r="AF155" i="11"/>
  <c r="L20" i="11"/>
  <c r="AF320" i="11"/>
  <c r="AF502" i="11"/>
  <c r="AF381" i="11"/>
  <c r="AF467" i="11"/>
  <c r="AF168" i="11"/>
  <c r="AF498" i="11"/>
  <c r="AF461" i="11"/>
  <c r="L35" i="11"/>
  <c r="AF220" i="11"/>
  <c r="AF70" i="11"/>
  <c r="AF426" i="11"/>
  <c r="AF209" i="11"/>
  <c r="AF333" i="11"/>
  <c r="AF109" i="11"/>
  <c r="AF175" i="11"/>
  <c r="AF398" i="11"/>
  <c r="L37" i="11"/>
  <c r="AF471" i="11"/>
  <c r="AF75" i="11"/>
  <c r="AF79" i="11"/>
  <c r="AF72" i="11"/>
  <c r="AF110" i="11"/>
  <c r="AF466" i="11"/>
  <c r="AF497" i="11"/>
  <c r="AF483" i="11"/>
  <c r="L34" i="11"/>
  <c r="AF441" i="11"/>
  <c r="AF472" i="11"/>
  <c r="AF119" i="11"/>
  <c r="AF415" i="11"/>
  <c r="AF403" i="11"/>
  <c r="AF412" i="11"/>
  <c r="AF275" i="11"/>
  <c r="AF317" i="11"/>
  <c r="L49" i="11"/>
  <c r="L44" i="11"/>
  <c r="AF73" i="11"/>
  <c r="AF103" i="11"/>
  <c r="AF128" i="11"/>
  <c r="AF385" i="11"/>
  <c r="AF248" i="11"/>
  <c r="AF489" i="11"/>
  <c r="L8" i="11"/>
  <c r="AF117" i="11"/>
  <c r="AF292" i="11"/>
  <c r="AF204" i="11"/>
  <c r="AF449" i="11"/>
  <c r="AF213" i="11"/>
  <c r="AF163" i="11"/>
  <c r="AF183" i="11"/>
  <c r="AF334" i="11"/>
  <c r="L36" i="11"/>
  <c r="AF179" i="11"/>
  <c r="AF178" i="11"/>
  <c r="AF96" i="11"/>
  <c r="AF406" i="11"/>
  <c r="AF140" i="11"/>
  <c r="AF121" i="11"/>
  <c r="AF112" i="11"/>
  <c r="AF223" i="11"/>
  <c r="L32" i="11"/>
  <c r="AF454" i="11"/>
  <c r="AF401" i="11"/>
  <c r="L33" i="11"/>
  <c r="AF322" i="11"/>
  <c r="AF139" i="11"/>
  <c r="AF171" i="11"/>
  <c r="AF370" i="11"/>
  <c r="AF437" i="11"/>
  <c r="AF212" i="11"/>
  <c r="AF361" i="11"/>
  <c r="AF156" i="11"/>
  <c r="L47" i="11"/>
  <c r="AF214" i="11"/>
  <c r="AF482" i="11"/>
  <c r="AF126" i="11"/>
  <c r="AF360" i="11"/>
  <c r="AF84" i="11"/>
  <c r="AF173" i="11"/>
  <c r="AF329" i="11"/>
  <c r="AF408" i="11"/>
  <c r="L43" i="11"/>
  <c r="AF259" i="11"/>
  <c r="AF185" i="11"/>
  <c r="AF448" i="11"/>
  <c r="AF162" i="11"/>
  <c r="AF480" i="11"/>
  <c r="AF371" i="11"/>
  <c r="AF462" i="11"/>
  <c r="AF286" i="11"/>
  <c r="L9" i="11"/>
  <c r="AF247" i="11"/>
  <c r="AF186" i="11"/>
  <c r="AF83" i="11"/>
  <c r="AF201" i="11"/>
  <c r="AF177" i="11"/>
  <c r="AF269" i="11"/>
  <c r="AF135" i="11"/>
  <c r="AF354" i="11"/>
  <c r="L41" i="11"/>
  <c r="AF391" i="11"/>
  <c r="AF423" i="11"/>
  <c r="AF142" i="11"/>
  <c r="AF281" i="11"/>
  <c r="AF434" i="11"/>
  <c r="AF273" i="11"/>
  <c r="AF151" i="11"/>
  <c r="AF484" i="11"/>
  <c r="AF425" i="11"/>
  <c r="AF243" i="11"/>
  <c r="AF383" i="11"/>
  <c r="AF203" i="11"/>
  <c r="AF287" i="11"/>
  <c r="AF166" i="11"/>
  <c r="AF246" i="11"/>
  <c r="AF118" i="11"/>
  <c r="L60" i="11"/>
  <c r="AF338" i="11"/>
  <c r="AF328" i="11"/>
  <c r="AF378" i="11"/>
  <c r="AF427" i="11"/>
  <c r="AF210" i="11"/>
  <c r="AF231" i="11"/>
  <c r="L53" i="11"/>
  <c r="AF120" i="11"/>
  <c r="AF284" i="11"/>
  <c r="L30" i="11"/>
  <c r="AF228" i="11"/>
  <c r="AF307" i="11"/>
  <c r="AF313" i="11"/>
  <c r="AF150" i="11"/>
  <c r="AF137" i="11"/>
  <c r="AF249" i="11"/>
  <c r="AF351" i="11"/>
  <c r="L50" i="11"/>
  <c r="AF147" i="11"/>
  <c r="AF468" i="11"/>
  <c r="AF148" i="11"/>
  <c r="AF198" i="11"/>
  <c r="AF326" i="11"/>
  <c r="AF274" i="11"/>
  <c r="AF396" i="11"/>
  <c r="AF108" i="11"/>
  <c r="L40" i="11"/>
  <c r="AF479" i="11"/>
  <c r="AF347" i="11"/>
  <c r="AF349" i="11"/>
  <c r="AF149" i="11"/>
  <c r="AF294" i="11"/>
  <c r="AF355" i="11"/>
  <c r="AF194" i="11"/>
  <c r="AF303" i="11"/>
  <c r="L22" i="11"/>
  <c r="AF234" i="11"/>
  <c r="AF368" i="11"/>
  <c r="AF433" i="11"/>
  <c r="AF167" i="11"/>
  <c r="AF419" i="11"/>
  <c r="AF101" i="11"/>
  <c r="AF450" i="11"/>
  <c r="AF207" i="11"/>
  <c r="AF86" i="11"/>
  <c r="AF344" i="11"/>
  <c r="AF366" i="11"/>
  <c r="AF65" i="11"/>
  <c r="AF387" i="11"/>
  <c r="AF66" i="11"/>
  <c r="AF374" i="11"/>
  <c r="AF429" i="11"/>
  <c r="L10" i="11"/>
  <c r="AF476" i="11"/>
  <c r="AF438" i="11"/>
  <c r="AF256" i="11"/>
  <c r="AF161" i="11"/>
  <c r="AF410" i="11"/>
  <c r="AF367" i="11"/>
  <c r="AF305" i="11"/>
  <c r="AF399" i="11"/>
  <c r="L45" i="11"/>
  <c r="AF262" i="11"/>
  <c r="AF353" i="11"/>
  <c r="AF490" i="11"/>
  <c r="AF264" i="11"/>
  <c r="AF99" i="11"/>
  <c r="AF230" i="11"/>
  <c r="AF197" i="11"/>
  <c r="AF3" i="11"/>
  <c r="L16" i="11"/>
  <c r="AF321" i="11"/>
  <c r="AF451" i="11"/>
  <c r="AF191" i="11"/>
  <c r="AF342" i="11"/>
  <c r="AF239" i="11"/>
  <c r="L46" i="11"/>
  <c r="AF309" i="11"/>
  <c r="AF277" i="11"/>
  <c r="L54" i="11"/>
  <c r="AF224" i="11"/>
  <c r="AF418" i="11"/>
  <c r="AF107" i="11"/>
  <c r="AF318" i="11"/>
  <c r="L39" i="11"/>
  <c r="L26" i="11"/>
  <c r="L61" i="11"/>
  <c r="L63" i="11"/>
  <c r="L52" i="11"/>
  <c r="L21" i="11"/>
  <c r="L12" i="11"/>
  <c r="AG1" i="11" l="1"/>
  <c r="AH1" i="11" l="1"/>
  <c r="AI1" i="11" l="1"/>
  <c r="AG216" i="11"/>
  <c r="AG451" i="11"/>
  <c r="AG500" i="11"/>
  <c r="AG278" i="11"/>
  <c r="AG180" i="11"/>
  <c r="AG156" i="11"/>
  <c r="R61" i="11"/>
  <c r="AF43" i="11"/>
  <c r="U64" i="11"/>
  <c r="Y25" i="11"/>
  <c r="AA11" i="11"/>
  <c r="U61" i="11"/>
  <c r="AC32" i="11"/>
  <c r="V31" i="11"/>
  <c r="V13" i="11"/>
  <c r="AG79" i="11"/>
  <c r="AG436" i="11"/>
  <c r="AG141" i="11"/>
  <c r="AG94" i="11"/>
  <c r="AG467" i="11"/>
  <c r="AG284" i="11"/>
  <c r="AG222" i="11"/>
  <c r="V41" i="11"/>
  <c r="O18" i="11"/>
  <c r="Q34" i="11"/>
  <c r="Q20" i="11"/>
  <c r="AA12" i="11"/>
  <c r="V33" i="11"/>
  <c r="Q52" i="11"/>
  <c r="W50" i="11"/>
  <c r="M26" i="11"/>
  <c r="AG92" i="11"/>
  <c r="AG256" i="11"/>
  <c r="AG311" i="11"/>
  <c r="AG84" i="11"/>
  <c r="AG305" i="11"/>
  <c r="AG68" i="11"/>
  <c r="AG310" i="11"/>
  <c r="AB11" i="11"/>
  <c r="AD58" i="11"/>
  <c r="T34" i="11"/>
  <c r="AA13" i="11"/>
  <c r="W18" i="11"/>
  <c r="X47" i="11"/>
  <c r="M14" i="11"/>
  <c r="AE31" i="11"/>
  <c r="AF53" i="11"/>
  <c r="AG232" i="11"/>
  <c r="AG359" i="11"/>
  <c r="AG166" i="11"/>
  <c r="AG100" i="11"/>
  <c r="AG118" i="11"/>
  <c r="AG114" i="11"/>
  <c r="AG269" i="11"/>
  <c r="M12" i="11"/>
  <c r="W10" i="11"/>
  <c r="Z55" i="11"/>
  <c r="O20" i="11"/>
  <c r="AC62" i="11"/>
  <c r="AF62" i="11"/>
  <c r="AG49" i="11"/>
  <c r="P50" i="11"/>
  <c r="N55" i="11"/>
  <c r="AG148" i="11"/>
  <c r="AG90" i="11"/>
  <c r="AG475" i="11"/>
  <c r="AG202" i="11"/>
  <c r="AG198" i="11"/>
  <c r="AG267" i="11"/>
  <c r="AG286" i="11"/>
  <c r="AB42" i="11"/>
  <c r="AG19" i="11"/>
  <c r="Y13" i="11"/>
  <c r="AA6" i="11"/>
  <c r="AB47" i="11"/>
  <c r="S8" i="11"/>
  <c r="AF14" i="11"/>
  <c r="V26" i="11"/>
  <c r="Z44" i="11"/>
  <c r="AG418" i="11"/>
  <c r="AG341" i="11"/>
  <c r="AG102" i="11"/>
  <c r="AG360" i="11"/>
  <c r="AG99" i="11"/>
  <c r="AG173" i="11"/>
  <c r="AG275" i="11"/>
  <c r="M45" i="11"/>
  <c r="U5" i="11"/>
  <c r="X64" i="11"/>
  <c r="U44" i="11"/>
  <c r="N27" i="11"/>
  <c r="AB61" i="11"/>
  <c r="AG10" i="11"/>
  <c r="AE57" i="11"/>
  <c r="AD48" i="11"/>
  <c r="AG143" i="11"/>
  <c r="AG346" i="11"/>
  <c r="AG88" i="11"/>
  <c r="AG254" i="11"/>
  <c r="AG304" i="11"/>
  <c r="AG479" i="11"/>
  <c r="U62" i="11"/>
  <c r="U18" i="11"/>
  <c r="X36" i="11"/>
  <c r="S55" i="11"/>
  <c r="AG344" i="11"/>
  <c r="AG116" i="11"/>
  <c r="AG368" i="11"/>
  <c r="AG279" i="11"/>
  <c r="AG264" i="11"/>
  <c r="AG112" i="11"/>
  <c r="AG175" i="11"/>
  <c r="U36" i="11"/>
  <c r="T10" i="11"/>
  <c r="U46" i="11"/>
  <c r="R23" i="11"/>
  <c r="N34" i="11"/>
  <c r="AE53" i="11"/>
  <c r="U22" i="11"/>
  <c r="X26" i="11"/>
  <c r="S22" i="11"/>
  <c r="AG239" i="11"/>
  <c r="AG208" i="11"/>
  <c r="AG287" i="11"/>
  <c r="AG493" i="11"/>
  <c r="AG336" i="11"/>
  <c r="AG123" i="11"/>
  <c r="AG428" i="11"/>
  <c r="AF8" i="11"/>
  <c r="Z59" i="11"/>
  <c r="S38" i="11"/>
  <c r="M58" i="11"/>
  <c r="Z42" i="11"/>
  <c r="AB45" i="11"/>
  <c r="AC9" i="11"/>
  <c r="AG32" i="11"/>
  <c r="S9" i="11"/>
  <c r="AG499" i="11"/>
  <c r="AG270" i="11"/>
  <c r="AG448" i="11"/>
  <c r="AG381" i="11"/>
  <c r="AG463" i="11"/>
  <c r="AG316" i="11"/>
  <c r="AG454" i="11"/>
  <c r="AF47" i="11"/>
  <c r="AE15" i="11"/>
  <c r="Z20" i="11"/>
  <c r="AD14" i="11"/>
  <c r="W58" i="11"/>
  <c r="AG47" i="11"/>
  <c r="AA19" i="11"/>
  <c r="R48" i="11"/>
  <c r="T38" i="11"/>
  <c r="AG486" i="11"/>
  <c r="AG161" i="11"/>
  <c r="AG400" i="11"/>
  <c r="AG405" i="11"/>
  <c r="AG149" i="11"/>
  <c r="AG249" i="11"/>
  <c r="AG464" i="11"/>
  <c r="Q36" i="11"/>
  <c r="AD13" i="11"/>
  <c r="X48" i="11"/>
  <c r="T29" i="11"/>
  <c r="AD59" i="11"/>
  <c r="R45" i="11"/>
  <c r="W26" i="11"/>
  <c r="Z13" i="11"/>
  <c r="AA49" i="11"/>
  <c r="AG263" i="11"/>
  <c r="AG378" i="11"/>
  <c r="AG78" i="11"/>
  <c r="AG390" i="11"/>
  <c r="AG470" i="11"/>
  <c r="AG296" i="11"/>
  <c r="AG364" i="11"/>
  <c r="R32" i="11"/>
  <c r="V51" i="11"/>
  <c r="U6" i="11"/>
  <c r="P21" i="11"/>
  <c r="Y59" i="11"/>
  <c r="M16" i="11"/>
  <c r="AB27" i="11"/>
  <c r="Z51" i="11"/>
  <c r="R40" i="11"/>
  <c r="AG457" i="11"/>
  <c r="AG402" i="11"/>
  <c r="AG446" i="11"/>
  <c r="AG307" i="11"/>
  <c r="AG488" i="11"/>
  <c r="AG207" i="11"/>
  <c r="AG474" i="11"/>
  <c r="Y42" i="11"/>
  <c r="AF49" i="11"/>
  <c r="O49" i="11"/>
  <c r="O31" i="11"/>
  <c r="AB18" i="11"/>
  <c r="AA28" i="11"/>
  <c r="AC26" i="11"/>
  <c r="AG20" i="11"/>
  <c r="AG253" i="11"/>
  <c r="AG215" i="11"/>
  <c r="AG228" i="11"/>
  <c r="AG212" i="11"/>
  <c r="AG495" i="11"/>
  <c r="AG394" i="11"/>
  <c r="AG374" i="11"/>
  <c r="V59" i="11"/>
  <c r="Z57" i="11"/>
  <c r="AB38" i="11"/>
  <c r="V48" i="11"/>
  <c r="AF39" i="11"/>
  <c r="N59" i="11"/>
  <c r="AB58" i="11"/>
  <c r="N11" i="11"/>
  <c r="AG277" i="11"/>
  <c r="AG403" i="11"/>
  <c r="AG380" i="11"/>
  <c r="AG182" i="11"/>
  <c r="AG229" i="11"/>
  <c r="AG411" i="11"/>
  <c r="AG87" i="11"/>
  <c r="N12" i="11"/>
  <c r="Z46" i="11"/>
  <c r="V39" i="11"/>
  <c r="AD20" i="11"/>
  <c r="V19" i="11"/>
  <c r="U10" i="11"/>
  <c r="U15" i="11"/>
  <c r="U57" i="11"/>
  <c r="AA34" i="11"/>
  <c r="AG352" i="11"/>
  <c r="AG244" i="11"/>
  <c r="AG410" i="11"/>
  <c r="AG312" i="11"/>
  <c r="AG293" i="11"/>
  <c r="AG139" i="11"/>
  <c r="AG85" i="11"/>
  <c r="T16" i="11"/>
  <c r="AG59" i="11"/>
  <c r="AA54" i="11"/>
  <c r="S48" i="11"/>
  <c r="R43" i="11"/>
  <c r="AE61" i="11"/>
  <c r="AF26" i="11"/>
  <c r="T23" i="11"/>
  <c r="W42" i="11"/>
  <c r="AG82" i="11"/>
  <c r="AG387" i="11"/>
  <c r="AG125" i="11"/>
  <c r="AG379" i="11"/>
  <c r="AG459" i="11"/>
  <c r="AG456" i="11"/>
  <c r="AG497" i="11"/>
  <c r="AG17" i="11"/>
  <c r="AE24" i="11"/>
  <c r="U39" i="11"/>
  <c r="AG44" i="11"/>
  <c r="M43" i="11"/>
  <c r="X38" i="11"/>
  <c r="Z41" i="11"/>
  <c r="W48" i="11"/>
  <c r="T28" i="11"/>
  <c r="AG258" i="11"/>
  <c r="AG221" i="11"/>
  <c r="AG185" i="11"/>
  <c r="AG103" i="11"/>
  <c r="AG461" i="11"/>
  <c r="AG218" i="11"/>
  <c r="AG231" i="11"/>
  <c r="AA30" i="11"/>
  <c r="W5" i="11"/>
  <c r="AD64" i="11"/>
  <c r="W11" i="11"/>
  <c r="M8" i="11"/>
  <c r="M40" i="11"/>
  <c r="X58" i="11"/>
  <c r="S6" i="11"/>
  <c r="W38" i="11"/>
  <c r="AG332" i="11"/>
  <c r="AG340" i="11"/>
  <c r="AG492" i="11"/>
  <c r="AG483" i="11"/>
  <c r="AG265" i="11"/>
  <c r="AG274" i="11"/>
  <c r="AG136" i="11"/>
  <c r="AC34" i="11"/>
  <c r="V46" i="11"/>
  <c r="M48" i="11"/>
  <c r="P53" i="11"/>
  <c r="S19" i="11"/>
  <c r="S53" i="11"/>
  <c r="Q37" i="11"/>
  <c r="Y49" i="11"/>
  <c r="Y39" i="11"/>
  <c r="AG119" i="11"/>
  <c r="AG482" i="11"/>
  <c r="AG140" i="11"/>
  <c r="AG201" i="11"/>
  <c r="AG158" i="11"/>
  <c r="AG443" i="11"/>
  <c r="AG354" i="11"/>
  <c r="AF16" i="11"/>
  <c r="AB6" i="11"/>
  <c r="AD29" i="11"/>
  <c r="V36" i="11"/>
  <c r="AC41" i="11"/>
  <c r="Q21" i="11"/>
  <c r="T53" i="11"/>
  <c r="O47" i="11"/>
  <c r="AG179" i="11"/>
  <c r="AG142" i="11"/>
  <c r="AG69" i="11"/>
  <c r="AG298" i="11"/>
  <c r="AG291" i="11"/>
  <c r="AG416" i="11"/>
  <c r="AG237" i="11"/>
  <c r="AG452" i="11"/>
  <c r="AG152" i="11"/>
  <c r="AG252" i="11"/>
  <c r="AG146" i="11"/>
  <c r="AG223" i="11"/>
  <c r="AG477" i="11"/>
  <c r="S41" i="11"/>
  <c r="AD25" i="11"/>
  <c r="R26" i="11"/>
  <c r="Y18" i="11"/>
  <c r="T58" i="11"/>
  <c r="Y56" i="11"/>
  <c r="V45" i="11"/>
  <c r="AD9" i="11"/>
  <c r="Z40" i="11"/>
  <c r="AG210" i="11"/>
  <c r="AG150" i="11"/>
  <c r="AG306" i="11"/>
  <c r="AG480" i="11"/>
  <c r="AG466" i="11"/>
  <c r="AG174" i="11"/>
  <c r="AG71" i="11"/>
  <c r="X59" i="11"/>
  <c r="W20" i="11"/>
  <c r="AG34" i="11"/>
  <c r="N26" i="11"/>
  <c r="AB10" i="11"/>
  <c r="M42" i="11"/>
  <c r="R30" i="11"/>
  <c r="S20" i="11"/>
  <c r="M46" i="11"/>
  <c r="AG66" i="11"/>
  <c r="AG262" i="11"/>
  <c r="AG213" i="11"/>
  <c r="AG385" i="11"/>
  <c r="AG224" i="11"/>
  <c r="AG248" i="11"/>
  <c r="AG325" i="11"/>
  <c r="Y54" i="11"/>
  <c r="U38" i="11"/>
  <c r="AE9" i="11"/>
  <c r="AG45" i="11"/>
  <c r="AA8" i="11"/>
  <c r="Y53" i="11"/>
  <c r="X21" i="11"/>
  <c r="R46" i="11"/>
  <c r="AF33" i="11"/>
  <c r="AG203" i="11"/>
  <c r="AG292" i="11"/>
  <c r="AG188" i="11"/>
  <c r="AG288" i="11"/>
  <c r="AG415" i="11"/>
  <c r="AG247" i="11"/>
  <c r="AG273" i="11"/>
  <c r="T54" i="11"/>
  <c r="M49" i="11"/>
  <c r="AA46" i="11"/>
  <c r="R42" i="11"/>
  <c r="R25" i="11"/>
  <c r="AC23" i="11"/>
  <c r="M44" i="11"/>
  <c r="N48" i="11"/>
  <c r="U56" i="11"/>
  <c r="AG74" i="11"/>
  <c r="AG347" i="11"/>
  <c r="AG120" i="11"/>
  <c r="AG259" i="11"/>
  <c r="AG321" i="11"/>
  <c r="AG299" i="11"/>
  <c r="AG95" i="11"/>
  <c r="W12" i="11"/>
  <c r="P34" i="11"/>
  <c r="Y14" i="11"/>
  <c r="T8" i="11"/>
  <c r="AA24" i="11"/>
  <c r="S11" i="11"/>
  <c r="AD23" i="11"/>
  <c r="V30" i="11"/>
  <c r="R38" i="11"/>
  <c r="AG238" i="11"/>
  <c r="AG230" i="11"/>
  <c r="AG209" i="11"/>
  <c r="AG444" i="11"/>
  <c r="AG441" i="11"/>
  <c r="AG261" i="11"/>
  <c r="AA40" i="11"/>
  <c r="AB15" i="11"/>
  <c r="P24" i="11"/>
  <c r="U9" i="11"/>
  <c r="AG40" i="11"/>
  <c r="Q12" i="11"/>
  <c r="AF55" i="11"/>
  <c r="P12" i="11"/>
  <c r="M25" i="11"/>
  <c r="AG75" i="11"/>
  <c r="AG83" i="11"/>
  <c r="AG195" i="11"/>
  <c r="AG167" i="11"/>
  <c r="AG76" i="11"/>
  <c r="AG329" i="11"/>
  <c r="AG335" i="11"/>
  <c r="AF63" i="11"/>
  <c r="Z45" i="11"/>
  <c r="AA45" i="11"/>
  <c r="P19" i="11"/>
  <c r="V24" i="11"/>
  <c r="Z63" i="11"/>
  <c r="AC60" i="11"/>
  <c r="AC55" i="11"/>
  <c r="AG473" i="11"/>
  <c r="AG235" i="11"/>
  <c r="AG172" i="11"/>
  <c r="AG439" i="11"/>
  <c r="AG266" i="11"/>
  <c r="AG412" i="11"/>
  <c r="AG192" i="11"/>
  <c r="Q43" i="11"/>
  <c r="T13" i="11"/>
  <c r="O37" i="11"/>
  <c r="AB9" i="11"/>
  <c r="U48" i="11"/>
  <c r="AG64" i="11"/>
  <c r="AB19" i="11"/>
  <c r="R64" i="11"/>
  <c r="W64" i="11"/>
  <c r="S27" i="11"/>
  <c r="AG330" i="11"/>
  <c r="AG236" i="11"/>
  <c r="AG431" i="11"/>
  <c r="AG204" i="11"/>
  <c r="AG96" i="11"/>
  <c r="AG491" i="11"/>
  <c r="AG276" i="11"/>
  <c r="U53" i="11"/>
  <c r="V43" i="11"/>
  <c r="AB32" i="11"/>
  <c r="V61" i="11"/>
  <c r="R19" i="11"/>
  <c r="M30" i="11"/>
  <c r="AD61" i="11"/>
  <c r="V32" i="11"/>
  <c r="AF19" i="11"/>
  <c r="AG241" i="11"/>
  <c r="AG243" i="11"/>
  <c r="AG147" i="11"/>
  <c r="AG333" i="11"/>
  <c r="AG165" i="11"/>
  <c r="AG129" i="11"/>
  <c r="AG3" i="11"/>
  <c r="W55" i="11"/>
  <c r="O52" i="11"/>
  <c r="AC29" i="11"/>
  <c r="U12" i="11"/>
  <c r="V44" i="11"/>
  <c r="U28" i="11"/>
  <c r="Z24" i="11"/>
  <c r="O34" i="11"/>
  <c r="Z53" i="11"/>
  <c r="AG401" i="11"/>
  <c r="AG490" i="11"/>
  <c r="AG155" i="11"/>
  <c r="AG485" i="11"/>
  <c r="AG257" i="11"/>
  <c r="AG358" i="11"/>
  <c r="AG137" i="11"/>
  <c r="V40" i="11"/>
  <c r="O39" i="11"/>
  <c r="W49" i="11"/>
  <c r="P16" i="11"/>
  <c r="W35" i="11"/>
  <c r="AF12" i="11"/>
  <c r="X53" i="11"/>
  <c r="U29" i="11"/>
  <c r="M53" i="11"/>
  <c r="AG430" i="11"/>
  <c r="AG494" i="11"/>
  <c r="AG481" i="11"/>
  <c r="AG317" i="11"/>
  <c r="AG450" i="11"/>
  <c r="AG462" i="11"/>
  <c r="AG280" i="11"/>
  <c r="X46" i="11"/>
  <c r="R54" i="11"/>
  <c r="Y26" i="11"/>
  <c r="O11" i="11"/>
  <c r="Q61" i="11"/>
  <c r="Y16" i="11"/>
  <c r="T45" i="11"/>
  <c r="W6" i="11"/>
  <c r="V28" i="11"/>
  <c r="AG434" i="11"/>
  <c r="AG327" i="11"/>
  <c r="AG406" i="11"/>
  <c r="AG362" i="11"/>
  <c r="AG303" i="11"/>
  <c r="AG101" i="11"/>
  <c r="AF17" i="11"/>
  <c r="W19" i="11"/>
  <c r="AB21" i="11"/>
  <c r="M22" i="11"/>
  <c r="Q38" i="11"/>
  <c r="X35" i="11"/>
  <c r="R47" i="11"/>
  <c r="AG30" i="11"/>
  <c r="U60" i="11"/>
  <c r="AG449" i="11"/>
  <c r="AG159" i="11"/>
  <c r="AG205" i="11"/>
  <c r="AG348" i="11"/>
  <c r="AG447" i="11"/>
  <c r="AG351" i="11"/>
  <c r="AG246" i="11"/>
  <c r="R56" i="11"/>
  <c r="T51" i="11"/>
  <c r="P31" i="11"/>
  <c r="X6" i="11"/>
  <c r="AB37" i="11"/>
  <c r="AA36" i="11"/>
  <c r="Z5" i="11"/>
  <c r="AE44" i="11"/>
  <c r="AC58" i="11"/>
  <c r="AG442" i="11"/>
  <c r="AG72" i="11"/>
  <c r="AG111" i="11"/>
  <c r="AG121" i="11"/>
  <c r="AG134" i="11"/>
  <c r="AG98" i="11"/>
  <c r="AG465" i="11"/>
  <c r="Y45" i="11"/>
  <c r="T18" i="11"/>
  <c r="S13" i="11"/>
  <c r="AG67" i="11"/>
  <c r="AG81" i="11"/>
  <c r="AG294" i="11"/>
  <c r="AG383" i="11"/>
  <c r="AG194" i="11"/>
  <c r="AG308" i="11"/>
  <c r="AG242" i="11"/>
  <c r="AB46" i="11"/>
  <c r="V62" i="11"/>
  <c r="Z10" i="11"/>
  <c r="S56" i="11"/>
  <c r="S47" i="11"/>
  <c r="W25" i="11"/>
  <c r="AE36" i="11"/>
  <c r="S10" i="11"/>
  <c r="Q44" i="11"/>
  <c r="AG326" i="11"/>
  <c r="AG283" i="11"/>
  <c r="AG302" i="11"/>
  <c r="AG319" i="11"/>
  <c r="AG217" i="11"/>
  <c r="AG429" i="11"/>
  <c r="AG371" i="11"/>
  <c r="AB63" i="11"/>
  <c r="W46" i="11"/>
  <c r="V22" i="11"/>
  <c r="Y47" i="11"/>
  <c r="O50" i="11"/>
  <c r="V42" i="11"/>
  <c r="P59" i="11"/>
  <c r="AC22" i="11"/>
  <c r="V11" i="11"/>
  <c r="AG200" i="11"/>
  <c r="AG128" i="11"/>
  <c r="AG445" i="11"/>
  <c r="AG281" i="11"/>
  <c r="AG375" i="11"/>
  <c r="AG234" i="11"/>
  <c r="AB30" i="11"/>
  <c r="N24" i="11"/>
  <c r="AE38" i="11"/>
  <c r="T22" i="11"/>
  <c r="N31" i="11"/>
  <c r="Z62" i="11"/>
  <c r="AB56" i="11"/>
  <c r="AC49" i="11"/>
  <c r="Y9" i="11"/>
  <c r="U52" i="11"/>
  <c r="AG127" i="11"/>
  <c r="AG309" i="11"/>
  <c r="AG455" i="11"/>
  <c r="AG453" i="11"/>
  <c r="AG297" i="11"/>
  <c r="AG133" i="11"/>
  <c r="AD28" i="11"/>
  <c r="AB29" i="11"/>
  <c r="Y50" i="11"/>
  <c r="X55" i="11"/>
  <c r="O28" i="11"/>
  <c r="N16" i="11"/>
  <c r="AA42" i="11"/>
  <c r="W24" i="11"/>
  <c r="AA50" i="11"/>
  <c r="AG425" i="11"/>
  <c r="AG190" i="11"/>
  <c r="AG290" i="11"/>
  <c r="AG170" i="11"/>
  <c r="AG404" i="11"/>
  <c r="AG122" i="11"/>
  <c r="AG163" i="11"/>
  <c r="AE54" i="11"/>
  <c r="R5" i="11"/>
  <c r="AB23" i="11"/>
  <c r="M33" i="11"/>
  <c r="S21" i="11"/>
  <c r="X27" i="11"/>
  <c r="AB24" i="11"/>
  <c r="T12" i="11"/>
  <c r="AB5" i="11"/>
  <c r="AG423" i="11"/>
  <c r="AG199" i="11"/>
  <c r="AG421" i="11"/>
  <c r="AG373" i="11"/>
  <c r="AG432" i="11"/>
  <c r="AG503" i="11"/>
  <c r="AG135" i="11"/>
  <c r="Z33" i="11"/>
  <c r="U20" i="11"/>
  <c r="V21" i="11"/>
  <c r="AA27" i="11"/>
  <c r="R51" i="11"/>
  <c r="N43" i="11"/>
  <c r="AC8" i="11"/>
  <c r="S5" i="11"/>
  <c r="AD54" i="11"/>
  <c r="AG393" i="11"/>
  <c r="AG384" i="11"/>
  <c r="AG178" i="11"/>
  <c r="AG339" i="11"/>
  <c r="AG315" i="11"/>
  <c r="AG496" i="11"/>
  <c r="AG396" i="11"/>
  <c r="AE62" i="11"/>
  <c r="Z22" i="11"/>
  <c r="AA58" i="11"/>
  <c r="AF37" i="11"/>
  <c r="AD36" i="11"/>
  <c r="P8" i="11"/>
  <c r="W60" i="11"/>
  <c r="AG164" i="11"/>
  <c r="AG331" i="11"/>
  <c r="AG271" i="11"/>
  <c r="AG369" i="11"/>
  <c r="AG382" i="11"/>
  <c r="AG109" i="11"/>
  <c r="AG355" i="11"/>
  <c r="N28" i="11"/>
  <c r="AA63" i="11"/>
  <c r="V29" i="11"/>
  <c r="X40" i="11"/>
  <c r="AF18" i="11"/>
  <c r="AE16" i="11"/>
  <c r="U34" i="11"/>
  <c r="R15" i="11"/>
  <c r="AD57" i="11"/>
  <c r="AG426" i="11"/>
  <c r="AG268" i="11"/>
  <c r="AG363" i="11"/>
  <c r="AG251" i="11"/>
  <c r="AG104" i="11"/>
  <c r="AG138" i="11"/>
  <c r="AG250" i="11"/>
  <c r="AA17" i="11"/>
  <c r="X54" i="11"/>
  <c r="AG8" i="11"/>
  <c r="AG12" i="11"/>
  <c r="U16" i="11"/>
  <c r="Z35" i="11"/>
  <c r="AE42" i="11"/>
  <c r="P26" i="11"/>
  <c r="AG130" i="11"/>
  <c r="AG186" i="11"/>
  <c r="AG349" i="11"/>
  <c r="AG367" i="11"/>
  <c r="AG132" i="11"/>
  <c r="AG476" i="11"/>
  <c r="AG107" i="11"/>
  <c r="O41" i="11"/>
  <c r="S52" i="11"/>
  <c r="AC6" i="11"/>
  <c r="Q48" i="11"/>
  <c r="W44" i="11"/>
  <c r="AE41" i="11"/>
  <c r="U14" i="11"/>
  <c r="AG9" i="11"/>
  <c r="O26" i="11"/>
  <c r="AG126" i="11"/>
  <c r="AG70" i="11"/>
  <c r="AG295" i="11"/>
  <c r="AG409" i="11"/>
  <c r="AG206" i="11"/>
  <c r="AG342" i="11"/>
  <c r="AG337" i="11"/>
  <c r="AG63" i="11"/>
  <c r="O14" i="11"/>
  <c r="S57" i="11"/>
  <c r="P13" i="11"/>
  <c r="AC11" i="11"/>
  <c r="S59" i="11"/>
  <c r="Q5" i="11"/>
  <c r="AB49" i="11"/>
  <c r="X14" i="11"/>
  <c r="AG472" i="11"/>
  <c r="AG422" i="11"/>
  <c r="AG413" i="11"/>
  <c r="AG177" i="11"/>
  <c r="AG408" i="11"/>
  <c r="AG80" i="11"/>
  <c r="AG437" i="11"/>
  <c r="S45" i="11"/>
  <c r="V9" i="11"/>
  <c r="X13" i="11"/>
  <c r="V58" i="11"/>
  <c r="AE10" i="11"/>
  <c r="N62" i="11"/>
  <c r="W9" i="11"/>
  <c r="W14" i="11"/>
  <c r="AA35" i="11"/>
  <c r="AG343" i="11"/>
  <c r="AG353" i="11"/>
  <c r="AG365" i="11"/>
  <c r="AG338" i="11"/>
  <c r="AG117" i="11"/>
  <c r="AG124" i="11"/>
  <c r="AG398" i="11"/>
  <c r="AD11" i="11"/>
  <c r="AC27" i="11"/>
  <c r="T37" i="11"/>
  <c r="AC13" i="11"/>
  <c r="O35" i="11"/>
  <c r="N56" i="11"/>
  <c r="Y34" i="11"/>
  <c r="Q31" i="11"/>
  <c r="U30" i="11"/>
  <c r="AG300" i="11"/>
  <c r="AG438" i="11"/>
  <c r="AG106" i="11"/>
  <c r="AG407" i="11"/>
  <c r="AG157" i="11"/>
  <c r="AG160" i="11"/>
  <c r="AG162" i="11"/>
  <c r="AG196" i="11"/>
  <c r="AG176" i="11"/>
  <c r="AG131" i="11"/>
  <c r="AG399" i="11"/>
  <c r="AG328" i="11"/>
  <c r="AG33" i="11"/>
  <c r="N23" i="11"/>
  <c r="AD6" i="11"/>
  <c r="AA53" i="11"/>
  <c r="P32" i="11"/>
  <c r="M63" i="11"/>
  <c r="S31" i="11"/>
  <c r="AE50" i="11"/>
  <c r="T64" i="11"/>
  <c r="AG89" i="11"/>
  <c r="AG350" i="11"/>
  <c r="AG153" i="11"/>
  <c r="AG65" i="11"/>
  <c r="AG334" i="11"/>
  <c r="AG184" i="11"/>
  <c r="N17" i="11"/>
  <c r="V56" i="11"/>
  <c r="Y31" i="11"/>
  <c r="AB51" i="11"/>
  <c r="R22" i="11"/>
  <c r="AE29" i="11"/>
  <c r="Q33" i="11"/>
  <c r="P46" i="11"/>
  <c r="AG60" i="11"/>
  <c r="AG424" i="11"/>
  <c r="AG435" i="11"/>
  <c r="AG115" i="11"/>
  <c r="AG357" i="11"/>
  <c r="AG93" i="11"/>
  <c r="AG501" i="11"/>
  <c r="AG97" i="11"/>
  <c r="X30" i="11"/>
  <c r="AE27" i="11"/>
  <c r="Y20" i="11"/>
  <c r="AE51" i="11"/>
  <c r="O53" i="11"/>
  <c r="AD17" i="11"/>
  <c r="AA55" i="11"/>
  <c r="Q29" i="11"/>
  <c r="Y55" i="11"/>
  <c r="AG233" i="11"/>
  <c r="AG260" i="11"/>
  <c r="AG324" i="11"/>
  <c r="AG301" i="11"/>
  <c r="AG189" i="11"/>
  <c r="AG113" i="11"/>
  <c r="AG498" i="11"/>
  <c r="T55" i="11"/>
  <c r="AE60" i="11"/>
  <c r="T48" i="11"/>
  <c r="AF10" i="11"/>
  <c r="W45" i="11"/>
  <c r="O30" i="11"/>
  <c r="X60" i="11"/>
  <c r="AA52" i="11"/>
  <c r="W57" i="11"/>
  <c r="AG73" i="11"/>
  <c r="AG245" i="11"/>
  <c r="AG468" i="11"/>
  <c r="AG386" i="11"/>
  <c r="AG91" i="11"/>
  <c r="AG105" i="11"/>
  <c r="AG183" i="11"/>
  <c r="Y44" i="11"/>
  <c r="Q59" i="11"/>
  <c r="Y43" i="11"/>
  <c r="W15" i="11"/>
  <c r="X16" i="11"/>
  <c r="AD63" i="11"/>
  <c r="X42" i="11"/>
  <c r="W22" i="11"/>
  <c r="U17" i="11"/>
  <c r="AG366" i="11"/>
  <c r="AG370" i="11"/>
  <c r="AG168" i="11"/>
  <c r="AG356" i="11"/>
  <c r="AG458" i="11"/>
  <c r="AG145" i="11"/>
  <c r="AG171" i="11"/>
  <c r="Q47" i="11"/>
  <c r="Z15" i="11"/>
  <c r="V15" i="11"/>
  <c r="Q57" i="11"/>
  <c r="AC45" i="11"/>
  <c r="Y30" i="11"/>
  <c r="AE52" i="11"/>
  <c r="U32" i="11"/>
  <c r="P11" i="11"/>
  <c r="AG395" i="11"/>
  <c r="AG487" i="11"/>
  <c r="AG414" i="11"/>
  <c r="AG361" i="11"/>
  <c r="AG214" i="11"/>
  <c r="AG376" i="11"/>
  <c r="AG144" i="11"/>
  <c r="X11" i="11"/>
  <c r="P64" i="11"/>
  <c r="AF52" i="11"/>
  <c r="V27" i="11"/>
  <c r="AB59" i="11"/>
  <c r="AF44" i="11"/>
  <c r="Z50" i="11"/>
  <c r="Y36" i="11"/>
  <c r="AG272" i="11"/>
  <c r="AG323" i="11"/>
  <c r="AG110" i="11"/>
  <c r="AG478" i="11"/>
  <c r="AG285" i="11"/>
  <c r="AG226" i="11"/>
  <c r="AG197" i="11"/>
  <c r="Z8" i="11"/>
  <c r="AB44" i="11"/>
  <c r="Q55" i="11"/>
  <c r="Z38" i="11"/>
  <c r="AE43" i="11"/>
  <c r="M62" i="11"/>
  <c r="AE39" i="11"/>
  <c r="AF13" i="11"/>
  <c r="AG6" i="11"/>
  <c r="Z36" i="11"/>
  <c r="AG169" i="11"/>
  <c r="V16" i="11"/>
  <c r="R16" i="11"/>
  <c r="AD31" i="11"/>
  <c r="AG220" i="11"/>
  <c r="AG181" i="11"/>
  <c r="AG289" i="11"/>
  <c r="AG391" i="11"/>
  <c r="AG227" i="11"/>
  <c r="Z16" i="11"/>
  <c r="V60" i="11"/>
  <c r="U51" i="11"/>
  <c r="AG16" i="11"/>
  <c r="V54" i="11"/>
  <c r="AE25" i="11"/>
  <c r="P15" i="11"/>
  <c r="W30" i="11"/>
  <c r="U11" i="11"/>
  <c r="AF36" i="11"/>
  <c r="Z31" i="11"/>
  <c r="AE12" i="11"/>
  <c r="Z28" i="11"/>
  <c r="AF48" i="11"/>
  <c r="N13" i="11"/>
  <c r="AB25" i="11"/>
  <c r="R24" i="11"/>
  <c r="T40" i="11"/>
  <c r="P6" i="11"/>
  <c r="AG29" i="11"/>
  <c r="S44" i="11"/>
  <c r="Y58" i="11"/>
  <c r="AC56" i="11"/>
  <c r="Y21" i="11"/>
  <c r="U24" i="11"/>
  <c r="AF60" i="11"/>
  <c r="S42" i="11"/>
  <c r="AA18" i="11"/>
  <c r="AA29" i="11"/>
  <c r="T6" i="11"/>
  <c r="AB36" i="11"/>
  <c r="W28" i="11"/>
  <c r="AC36" i="11"/>
  <c r="R34" i="11"/>
  <c r="AE63" i="11"/>
  <c r="S16" i="11"/>
  <c r="AC57" i="11"/>
  <c r="S64" i="11"/>
  <c r="AD21" i="11"/>
  <c r="Q10" i="11"/>
  <c r="N47" i="11"/>
  <c r="AB26" i="11"/>
  <c r="R57" i="11"/>
  <c r="AB40" i="11"/>
  <c r="S25" i="11"/>
  <c r="O36" i="11"/>
  <c r="AF58" i="11"/>
  <c r="Q22" i="11"/>
  <c r="U21" i="11"/>
  <c r="T27" i="11"/>
  <c r="AC16" i="11"/>
  <c r="W27" i="11"/>
  <c r="AA57" i="11"/>
  <c r="X17" i="11"/>
  <c r="Y12" i="11"/>
  <c r="AA26" i="11"/>
  <c r="S34" i="11"/>
  <c r="Q64" i="11"/>
  <c r="P30" i="11"/>
  <c r="N35" i="11"/>
  <c r="P10" i="11"/>
  <c r="W51" i="11"/>
  <c r="O33" i="11"/>
  <c r="T5" i="11"/>
  <c r="U54" i="11"/>
  <c r="X49" i="11"/>
  <c r="N14" i="11"/>
  <c r="Q41" i="11"/>
  <c r="M32" i="11"/>
  <c r="AD55" i="11"/>
  <c r="U31" i="11"/>
  <c r="N29" i="11"/>
  <c r="AD26" i="11"/>
  <c r="Q11" i="11"/>
  <c r="Y24" i="11"/>
  <c r="AG26" i="11"/>
  <c r="AD27" i="11"/>
  <c r="AC63" i="11"/>
  <c r="AF46" i="11"/>
  <c r="AG21" i="11"/>
  <c r="W54" i="11"/>
  <c r="Z47" i="11"/>
  <c r="AG31" i="11"/>
  <c r="S54" i="11"/>
  <c r="AA9" i="11"/>
  <c r="AA21" i="11"/>
  <c r="N45" i="11"/>
  <c r="O25" i="11"/>
  <c r="AG427" i="11"/>
  <c r="O10" i="11"/>
  <c r="S35" i="11"/>
  <c r="O6" i="11"/>
  <c r="AG320" i="11"/>
  <c r="AG440" i="11"/>
  <c r="AG187" i="11"/>
  <c r="AG484" i="11"/>
  <c r="AG154" i="11"/>
  <c r="T47" i="11"/>
  <c r="AD62" i="11"/>
  <c r="P5" i="11"/>
  <c r="M54" i="11"/>
  <c r="M17" i="11"/>
  <c r="O22" i="11"/>
  <c r="V10" i="11"/>
  <c r="R36" i="11"/>
  <c r="O38" i="11"/>
  <c r="AE64" i="11"/>
  <c r="S32" i="11"/>
  <c r="S37" i="11"/>
  <c r="X29" i="11"/>
  <c r="Q45" i="11"/>
  <c r="X45" i="11"/>
  <c r="M64" i="11"/>
  <c r="V8" i="11"/>
  <c r="M56" i="11"/>
  <c r="N49" i="11"/>
  <c r="U41" i="11"/>
  <c r="AD42" i="11"/>
  <c r="U8" i="11"/>
  <c r="Q17" i="11"/>
  <c r="W23" i="11"/>
  <c r="R52" i="11"/>
  <c r="Q18" i="11"/>
  <c r="T35" i="11"/>
  <c r="AF57" i="11"/>
  <c r="V6" i="11"/>
  <c r="X20" i="11"/>
  <c r="Y35" i="11"/>
  <c r="P63" i="11"/>
  <c r="Y52" i="11"/>
  <c r="AE19" i="11"/>
  <c r="AE34" i="11"/>
  <c r="P42" i="11"/>
  <c r="Z48" i="11"/>
  <c r="AD45" i="11"/>
  <c r="X22" i="11"/>
  <c r="AD19" i="11"/>
  <c r="M11" i="11"/>
  <c r="Q14" i="11"/>
  <c r="O61" i="11"/>
  <c r="X56" i="11"/>
  <c r="Y22" i="11"/>
  <c r="T20" i="11"/>
  <c r="O57" i="11"/>
  <c r="X18" i="11"/>
  <c r="R31" i="11"/>
  <c r="V18" i="11"/>
  <c r="AF35" i="11"/>
  <c r="AD46" i="11"/>
  <c r="R13" i="11"/>
  <c r="AE32" i="11"/>
  <c r="T31" i="11"/>
  <c r="AF30" i="11"/>
  <c r="AE6" i="11"/>
  <c r="M29" i="11"/>
  <c r="P52" i="11"/>
  <c r="X28" i="11"/>
  <c r="Q24" i="11"/>
  <c r="AA15" i="11"/>
  <c r="S40" i="11"/>
  <c r="AB16" i="11"/>
  <c r="O16" i="11"/>
  <c r="AD49" i="11"/>
  <c r="Q62" i="11"/>
  <c r="AF45" i="11"/>
  <c r="AC17" i="11"/>
  <c r="AA14" i="11"/>
  <c r="Z54" i="11"/>
  <c r="Z27" i="11"/>
  <c r="X19" i="11"/>
  <c r="AD35" i="11"/>
  <c r="T30" i="11"/>
  <c r="S28" i="11"/>
  <c r="U23" i="11"/>
  <c r="AF59" i="11"/>
  <c r="AG37" i="11"/>
  <c r="AG48" i="11"/>
  <c r="N44" i="11"/>
  <c r="AF15" i="11"/>
  <c r="O60" i="11"/>
  <c r="Z32" i="11"/>
  <c r="N52" i="11"/>
  <c r="X50" i="11"/>
  <c r="T59" i="11"/>
  <c r="R9" i="11"/>
  <c r="O29" i="11"/>
  <c r="N5" i="11"/>
  <c r="AF38" i="11"/>
  <c r="AH36" i="11"/>
  <c r="AH198" i="11"/>
  <c r="AH150" i="11"/>
  <c r="AH84" i="11"/>
  <c r="AH323" i="11"/>
  <c r="AH85" i="11"/>
  <c r="AH456" i="11"/>
  <c r="AH41" i="11"/>
  <c r="AH380" i="11"/>
  <c r="AH69" i="11"/>
  <c r="AH444" i="11"/>
  <c r="AH188" i="11"/>
  <c r="AH280" i="11"/>
  <c r="AH429" i="11"/>
  <c r="AH54" i="11"/>
  <c r="AH393" i="11"/>
  <c r="AH473" i="11"/>
  <c r="AH362" i="11"/>
  <c r="AH88" i="11"/>
  <c r="AH477" i="11"/>
  <c r="AH274" i="11"/>
  <c r="AH57" i="11"/>
  <c r="AH482" i="11"/>
  <c r="AH448" i="11"/>
  <c r="AH125" i="11"/>
  <c r="AH153" i="11"/>
  <c r="AH355" i="11"/>
  <c r="AG345" i="11"/>
  <c r="T17" i="11"/>
  <c r="M55" i="11"/>
  <c r="AA37" i="11"/>
  <c r="AG191" i="11"/>
  <c r="AG419" i="11"/>
  <c r="AG471" i="11"/>
  <c r="AG314" i="11"/>
  <c r="AG151" i="11"/>
  <c r="AB33" i="11"/>
  <c r="V49" i="11"/>
  <c r="AB60" i="11"/>
  <c r="AD5" i="11"/>
  <c r="AC31" i="11"/>
  <c r="Y23" i="11"/>
  <c r="W17" i="11"/>
  <c r="AG61" i="11"/>
  <c r="X33" i="11"/>
  <c r="N38" i="11"/>
  <c r="P14" i="11"/>
  <c r="Y40" i="11"/>
  <c r="AA60" i="11"/>
  <c r="X12" i="11"/>
  <c r="Y41" i="11"/>
  <c r="P41" i="11"/>
  <c r="Y33" i="11"/>
  <c r="N21" i="11"/>
  <c r="AC25" i="11"/>
  <c r="T21" i="11"/>
  <c r="AD32" i="11"/>
  <c r="AC42" i="11"/>
  <c r="V55" i="11"/>
  <c r="Y60" i="11"/>
  <c r="O13" i="11"/>
  <c r="AC19" i="11"/>
  <c r="S33" i="11"/>
  <c r="T19" i="11"/>
  <c r="AA38" i="11"/>
  <c r="X31" i="11"/>
  <c r="AC43" i="11"/>
  <c r="M34" i="11"/>
  <c r="P22" i="11"/>
  <c r="AE40" i="11"/>
  <c r="T63" i="11"/>
  <c r="N51" i="11"/>
  <c r="X8" i="11"/>
  <c r="AC37" i="11"/>
  <c r="R63" i="11"/>
  <c r="N42" i="11"/>
  <c r="Z25" i="11"/>
  <c r="AC39" i="11"/>
  <c r="AG51" i="11"/>
  <c r="T43" i="11"/>
  <c r="AD47" i="11"/>
  <c r="O5" i="11"/>
  <c r="AE28" i="11"/>
  <c r="AE14" i="11"/>
  <c r="AG22" i="11"/>
  <c r="AA33" i="11"/>
  <c r="M61" i="11"/>
  <c r="M23" i="11"/>
  <c r="N57" i="11"/>
  <c r="N54" i="11"/>
  <c r="S58" i="11"/>
  <c r="AC15" i="11"/>
  <c r="R10" i="11"/>
  <c r="P54" i="11"/>
  <c r="O56" i="11"/>
  <c r="N33" i="11"/>
  <c r="Y28" i="11"/>
  <c r="Y29" i="11"/>
  <c r="W37" i="11"/>
  <c r="S36" i="11"/>
  <c r="AF42" i="11"/>
  <c r="R29" i="11"/>
  <c r="AD22" i="11"/>
  <c r="Q46" i="11"/>
  <c r="AD12" i="11"/>
  <c r="AE59" i="11"/>
  <c r="M10" i="11"/>
  <c r="S46" i="11"/>
  <c r="AF28" i="11"/>
  <c r="W40" i="11"/>
  <c r="R58" i="11"/>
  <c r="AG388" i="11"/>
  <c r="AG240" i="11"/>
  <c r="AG211" i="11"/>
  <c r="AG318" i="11"/>
  <c r="AG377" i="11"/>
  <c r="S23" i="11"/>
  <c r="AB57" i="11"/>
  <c r="AE35" i="11"/>
  <c r="T25" i="11"/>
  <c r="M37" i="11"/>
  <c r="R14" i="11"/>
  <c r="T56" i="11"/>
  <c r="T61" i="11"/>
  <c r="Q30" i="11"/>
  <c r="X39" i="11"/>
  <c r="AE13" i="11"/>
  <c r="AG18" i="11"/>
  <c r="AF31" i="11"/>
  <c r="P39" i="11"/>
  <c r="AB54" i="11"/>
  <c r="Q28" i="11"/>
  <c r="AG25" i="11"/>
  <c r="V20" i="11"/>
  <c r="P48" i="11"/>
  <c r="S51" i="11"/>
  <c r="P23" i="11"/>
  <c r="P43" i="11"/>
  <c r="Z52" i="11"/>
  <c r="Z29" i="11"/>
  <c r="X63" i="11"/>
  <c r="N41" i="11"/>
  <c r="Z12" i="11"/>
  <c r="Z64" i="11"/>
  <c r="AF6" i="11"/>
  <c r="AF11" i="11"/>
  <c r="U27" i="11"/>
  <c r="M59" i="11"/>
  <c r="R37" i="11"/>
  <c r="R49" i="11"/>
  <c r="AE17" i="11"/>
  <c r="U13" i="11"/>
  <c r="W21" i="11"/>
  <c r="AB22" i="11"/>
  <c r="M50" i="11"/>
  <c r="W16" i="11"/>
  <c r="Y61" i="11"/>
  <c r="M9" i="11"/>
  <c r="AC20" i="11"/>
  <c r="R27" i="11"/>
  <c r="R62" i="11"/>
  <c r="U40" i="11"/>
  <c r="R28" i="11"/>
  <c r="AG38" i="11"/>
  <c r="T52" i="11"/>
  <c r="U35" i="11"/>
  <c r="R53" i="11"/>
  <c r="M13" i="11"/>
  <c r="AD60" i="11"/>
  <c r="AG43" i="11"/>
  <c r="AE55" i="11"/>
  <c r="AE56" i="11"/>
  <c r="AB13" i="11"/>
  <c r="N8" i="11"/>
  <c r="AE48" i="11"/>
  <c r="AG50" i="11"/>
  <c r="O21" i="11"/>
  <c r="Q25" i="11"/>
  <c r="W59" i="11"/>
  <c r="P20" i="11"/>
  <c r="AB41" i="11"/>
  <c r="Q6" i="11"/>
  <c r="AA22" i="11"/>
  <c r="S14" i="11"/>
  <c r="Y17" i="11"/>
  <c r="AB39" i="11"/>
  <c r="P18" i="11"/>
  <c r="S62" i="11"/>
  <c r="P35" i="11"/>
  <c r="R21" i="11"/>
  <c r="V12" i="11"/>
  <c r="Q40" i="11"/>
  <c r="T62" i="11"/>
  <c r="Y62" i="11"/>
  <c r="AG56" i="11"/>
  <c r="M20" i="11"/>
  <c r="P38" i="11"/>
  <c r="S61" i="11"/>
  <c r="R60" i="11"/>
  <c r="N9" i="11"/>
  <c r="AG14" i="11"/>
  <c r="R6" i="11"/>
  <c r="R50" i="11"/>
  <c r="Y11" i="11"/>
  <c r="AD40" i="11"/>
  <c r="AC28" i="11"/>
  <c r="AH49" i="11"/>
  <c r="AH502" i="11"/>
  <c r="AH258" i="11"/>
  <c r="AH117" i="11"/>
  <c r="AH469" i="11"/>
  <c r="AH213" i="11"/>
  <c r="AH296" i="11"/>
  <c r="AH261" i="11"/>
  <c r="AH21" i="11"/>
  <c r="AH320" i="11"/>
  <c r="AH255" i="11"/>
  <c r="AH212" i="11"/>
  <c r="AH336" i="11"/>
  <c r="AH396" i="11"/>
  <c r="AH218" i="11"/>
  <c r="AH62" i="11"/>
  <c r="AH436" i="11"/>
  <c r="AH279" i="11"/>
  <c r="AH386" i="11"/>
  <c r="AH387" i="11"/>
  <c r="AH286" i="11"/>
  <c r="AH39" i="11"/>
  <c r="AH210" i="11"/>
  <c r="AH366" i="11"/>
  <c r="AH475" i="11"/>
  <c r="AH433" i="11"/>
  <c r="AH147" i="11"/>
  <c r="AH489" i="11"/>
  <c r="AC50" i="11"/>
  <c r="R12" i="11"/>
  <c r="M47" i="11"/>
  <c r="Y48" i="11"/>
  <c r="AG225" i="11"/>
  <c r="AG397" i="11"/>
  <c r="AG460" i="11"/>
  <c r="AG417" i="11"/>
  <c r="AG322" i="11"/>
  <c r="T32" i="11"/>
  <c r="T39" i="11"/>
  <c r="S43" i="11"/>
  <c r="U42" i="11"/>
  <c r="O62" i="11"/>
  <c r="P60" i="11"/>
  <c r="AB12" i="11"/>
  <c r="W36" i="11"/>
  <c r="X9" i="11"/>
  <c r="R20" i="11"/>
  <c r="AD15" i="11"/>
  <c r="AD41" i="11"/>
  <c r="AB34" i="11"/>
  <c r="AD44" i="11"/>
  <c r="Q63" i="11"/>
  <c r="V57" i="11"/>
  <c r="AG35" i="11"/>
  <c r="AG52" i="11"/>
  <c r="V64" i="11"/>
  <c r="Q19" i="11"/>
  <c r="AC12" i="11"/>
  <c r="O59" i="11"/>
  <c r="AA64" i="11"/>
  <c r="W34" i="11"/>
  <c r="O54" i="11"/>
  <c r="AA25" i="11"/>
  <c r="S39" i="11"/>
  <c r="AA20" i="11"/>
  <c r="Z9" i="11"/>
  <c r="AG53" i="11"/>
  <c r="P25" i="11"/>
  <c r="S12" i="11"/>
  <c r="X34" i="11"/>
  <c r="AA5" i="11"/>
  <c r="W33" i="11"/>
  <c r="AG5" i="11"/>
  <c r="AA51" i="11"/>
  <c r="S18" i="11"/>
  <c r="AE11" i="11"/>
  <c r="P36" i="11"/>
  <c r="O24" i="11"/>
  <c r="AB20" i="11"/>
  <c r="P33" i="11"/>
  <c r="M41" i="11"/>
  <c r="P27" i="11"/>
  <c r="AA32" i="11"/>
  <c r="N46" i="11"/>
  <c r="N53" i="11"/>
  <c r="O32" i="11"/>
  <c r="Q54" i="11"/>
  <c r="AA10" i="11"/>
  <c r="N40" i="11"/>
  <c r="Z26" i="11"/>
  <c r="AC24" i="11"/>
  <c r="AD38" i="11"/>
  <c r="AF23" i="11"/>
  <c r="S63" i="11"/>
  <c r="O43" i="11"/>
  <c r="AA56" i="11"/>
  <c r="Y27" i="11"/>
  <c r="T46" i="11"/>
  <c r="P29" i="11"/>
  <c r="Q56" i="11"/>
  <c r="S50" i="11"/>
  <c r="N15" i="11"/>
  <c r="P49" i="11"/>
  <c r="O46" i="11"/>
  <c r="R59" i="11"/>
  <c r="W41" i="11"/>
  <c r="P17" i="11"/>
  <c r="Q35" i="11"/>
  <c r="Y63" i="11"/>
  <c r="T42" i="11"/>
  <c r="V23" i="11"/>
  <c r="AD39" i="11"/>
  <c r="N58" i="11"/>
  <c r="AB35" i="11"/>
  <c r="V38" i="11"/>
  <c r="AE46" i="11"/>
  <c r="N6" i="11"/>
  <c r="S24" i="11"/>
  <c r="AB28" i="11"/>
  <c r="AG58" i="11"/>
  <c r="AF32" i="11"/>
  <c r="M38" i="11"/>
  <c r="N60" i="11"/>
  <c r="S15" i="11"/>
  <c r="AG55" i="11"/>
  <c r="X25" i="11"/>
  <c r="AE20" i="11"/>
  <c r="AG86" i="11"/>
  <c r="AG433" i="11"/>
  <c r="AG282" i="11"/>
  <c r="AG108" i="11"/>
  <c r="AG372" i="11"/>
  <c r="O63" i="11"/>
  <c r="O40" i="11"/>
  <c r="Z37" i="11"/>
  <c r="Q27" i="11"/>
  <c r="O51" i="11"/>
  <c r="O9" i="11"/>
  <c r="Z39" i="11"/>
  <c r="AD16" i="11"/>
  <c r="W43" i="11"/>
  <c r="M39" i="11"/>
  <c r="AF64" i="11"/>
  <c r="M19" i="11"/>
  <c r="AA23" i="11"/>
  <c r="AA61" i="11"/>
  <c r="X61" i="11"/>
  <c r="AD10" i="11"/>
  <c r="AC64" i="11"/>
  <c r="Y19" i="11"/>
  <c r="U49" i="11"/>
  <c r="M57" i="11"/>
  <c r="O27" i="11"/>
  <c r="Z30" i="11"/>
  <c r="T9" i="11"/>
  <c r="W8" i="11"/>
  <c r="AF25" i="11"/>
  <c r="AA41" i="11"/>
  <c r="Z58" i="11"/>
  <c r="N36" i="11"/>
  <c r="N32" i="11"/>
  <c r="V37" i="11"/>
  <c r="AA47" i="11"/>
  <c r="AB8" i="11"/>
  <c r="W29" i="11"/>
  <c r="P9" i="11"/>
  <c r="P45" i="11"/>
  <c r="P62" i="11"/>
  <c r="AE58" i="11"/>
  <c r="Q51" i="11"/>
  <c r="AC59" i="11"/>
  <c r="Y38" i="11"/>
  <c r="N25" i="11"/>
  <c r="V14" i="11"/>
  <c r="T33" i="11"/>
  <c r="N50" i="11"/>
  <c r="Q53" i="11"/>
  <c r="O64" i="11"/>
  <c r="Z18" i="11"/>
  <c r="AF50" i="11"/>
  <c r="AC54" i="11"/>
  <c r="AE30" i="11"/>
  <c r="U19" i="11"/>
  <c r="P44" i="11"/>
  <c r="AE26" i="11"/>
  <c r="Z43" i="11"/>
  <c r="N10" i="11"/>
  <c r="T44" i="11"/>
  <c r="AC48" i="11"/>
  <c r="AD34" i="11"/>
  <c r="P28" i="11"/>
  <c r="M15" i="11"/>
  <c r="X37" i="11"/>
  <c r="AG27" i="11"/>
  <c r="M31" i="11"/>
  <c r="O12" i="11"/>
  <c r="M51" i="11"/>
  <c r="Q32" i="11"/>
  <c r="AE49" i="11"/>
  <c r="Y37" i="11"/>
  <c r="S30" i="11"/>
  <c r="AC44" i="11"/>
  <c r="AF20" i="11"/>
  <c r="Z21" i="11"/>
  <c r="S49" i="11"/>
  <c r="U37" i="11"/>
  <c r="AC21" i="11"/>
  <c r="O17" i="11"/>
  <c r="AC30" i="11"/>
  <c r="AE5" i="11"/>
  <c r="AF21" i="11"/>
  <c r="AC10" i="11"/>
  <c r="AA43" i="11"/>
  <c r="W61" i="11"/>
  <c r="Z19" i="11"/>
  <c r="T57" i="11"/>
  <c r="Z56" i="11"/>
  <c r="AC35" i="11"/>
  <c r="U33" i="11"/>
  <c r="AG36" i="11"/>
  <c r="AE47" i="11"/>
  <c r="V50" i="11"/>
  <c r="AH40" i="11"/>
  <c r="AH237" i="11"/>
  <c r="AH440" i="11"/>
  <c r="AH75" i="11"/>
  <c r="AH168" i="11"/>
  <c r="AH397" i="11"/>
  <c r="AH321" i="11"/>
  <c r="AH192" i="11"/>
  <c r="AH12" i="11"/>
  <c r="AH148" i="11"/>
  <c r="AH291" i="11"/>
  <c r="AH439" i="11"/>
  <c r="AH445" i="11"/>
  <c r="AH317" i="11"/>
  <c r="AH50" i="11"/>
  <c r="AH185" i="11"/>
  <c r="AH73" i="11"/>
  <c r="AH295" i="11"/>
  <c r="M21" i="11"/>
  <c r="AD8" i="11"/>
  <c r="Z14" i="11"/>
  <c r="X51" i="11"/>
  <c r="AG392" i="11"/>
  <c r="AG502" i="11"/>
  <c r="AG193" i="11"/>
  <c r="AG389" i="11"/>
  <c r="AG489" i="11"/>
  <c r="N19" i="11"/>
  <c r="AF61" i="11"/>
  <c r="AF54" i="11"/>
  <c r="Z11" i="11"/>
  <c r="U25" i="11"/>
  <c r="AD51" i="11"/>
  <c r="P56" i="11"/>
  <c r="U63" i="11"/>
  <c r="P57" i="11"/>
  <c r="AC38" i="11"/>
  <c r="Z60" i="11"/>
  <c r="AB17" i="11"/>
  <c r="P37" i="11"/>
  <c r="V25" i="11"/>
  <c r="AD50" i="11"/>
  <c r="O19" i="11"/>
  <c r="AD43" i="11"/>
  <c r="Y51" i="11"/>
  <c r="M27" i="11"/>
  <c r="Q9" i="11"/>
  <c r="AB62" i="11"/>
  <c r="T41" i="11"/>
  <c r="R18" i="11"/>
  <c r="N64" i="11"/>
  <c r="AG54" i="11"/>
  <c r="AB50" i="11"/>
  <c r="AB48" i="11"/>
  <c r="Q13" i="11"/>
  <c r="Y57" i="11"/>
  <c r="AC53" i="11"/>
  <c r="N18" i="11"/>
  <c r="AC14" i="11"/>
  <c r="O55" i="11"/>
  <c r="AD52" i="11"/>
  <c r="AA62" i="11"/>
  <c r="Q58" i="11"/>
  <c r="Y64" i="11"/>
  <c r="Y15" i="11"/>
  <c r="AC52" i="11"/>
  <c r="W56" i="11"/>
  <c r="Y5" i="11"/>
  <c r="M36" i="11"/>
  <c r="W53" i="11"/>
  <c r="AE33" i="11"/>
  <c r="AF41" i="11"/>
  <c r="AA48" i="11"/>
  <c r="X41" i="11"/>
  <c r="AA59" i="11"/>
  <c r="AC61" i="11"/>
  <c r="AG41" i="11"/>
  <c r="U58" i="11"/>
  <c r="AG57" i="11"/>
  <c r="X57" i="11"/>
  <c r="R35" i="11"/>
  <c r="X44" i="11"/>
  <c r="X10" i="11"/>
  <c r="T50" i="11"/>
  <c r="AD33" i="11"/>
  <c r="AG13" i="11"/>
  <c r="P51" i="11"/>
  <c r="Z23" i="11"/>
  <c r="T14" i="11"/>
  <c r="N37" i="11"/>
  <c r="AB55" i="11"/>
  <c r="P61" i="11"/>
  <c r="AE22" i="11"/>
  <c r="T11" i="11"/>
  <c r="U59" i="11"/>
  <c r="T36" i="11"/>
  <c r="O48" i="11"/>
  <c r="W32" i="11"/>
  <c r="AG62" i="11"/>
  <c r="S29" i="11"/>
  <c r="AG219" i="11"/>
  <c r="AG255" i="11"/>
  <c r="AG469" i="11"/>
  <c r="AG313" i="11"/>
  <c r="AG420" i="11"/>
  <c r="AG77" i="11"/>
  <c r="AC51" i="11"/>
  <c r="U26" i="11"/>
  <c r="O23" i="11"/>
  <c r="O42" i="11"/>
  <c r="AF5" i="11"/>
  <c r="R17" i="11"/>
  <c r="Q15" i="11"/>
  <c r="W62" i="11"/>
  <c r="Y6" i="11"/>
  <c r="M5" i="11"/>
  <c r="AD53" i="11"/>
  <c r="U45" i="11"/>
  <c r="X15" i="11"/>
  <c r="W31" i="11"/>
  <c r="M6" i="11"/>
  <c r="R55" i="11"/>
  <c r="W63" i="11"/>
  <c r="T60" i="11"/>
  <c r="AC46" i="11"/>
  <c r="O45" i="11"/>
  <c r="X62" i="11"/>
  <c r="V17" i="11"/>
  <c r="Q50" i="11"/>
  <c r="AC33" i="11"/>
  <c r="M24" i="11"/>
  <c r="N61" i="11"/>
  <c r="AB14" i="11"/>
  <c r="Z34" i="11"/>
  <c r="AB43" i="11"/>
  <c r="R44" i="11"/>
  <c r="W47" i="11"/>
  <c r="V52" i="11"/>
  <c r="Z6" i="11"/>
  <c r="X43" i="11"/>
  <c r="AD56" i="11"/>
  <c r="AC18" i="11"/>
  <c r="T49" i="11"/>
  <c r="AG28" i="11"/>
  <c r="M35" i="11"/>
  <c r="Q8" i="11"/>
  <c r="Y46" i="11"/>
  <c r="M18" i="11"/>
  <c r="AF34" i="11"/>
  <c r="Q26" i="11"/>
  <c r="Q39" i="11"/>
  <c r="AG42" i="11"/>
  <c r="Q49" i="11"/>
  <c r="X23" i="11"/>
  <c r="AE45" i="11"/>
  <c r="Q23" i="11"/>
  <c r="U43" i="11"/>
  <c r="AF51" i="11"/>
  <c r="W13" i="11"/>
  <c r="P40" i="11"/>
  <c r="AC5" i="11"/>
  <c r="S17" i="11"/>
  <c r="AE37" i="11"/>
  <c r="R8" i="11"/>
  <c r="V53" i="11"/>
  <c r="X52" i="11"/>
  <c r="AE18" i="11"/>
  <c r="O58" i="11"/>
  <c r="M60" i="11"/>
  <c r="AA16" i="11"/>
  <c r="Y8" i="11"/>
  <c r="AC40" i="11"/>
  <c r="AE23" i="11"/>
  <c r="AF40" i="11"/>
  <c r="AD18" i="11"/>
  <c r="AG39" i="11"/>
  <c r="U55" i="11"/>
  <c r="M28" i="11"/>
  <c r="AG11" i="11"/>
  <c r="Y10" i="11"/>
  <c r="AF29" i="11"/>
  <c r="V5" i="11"/>
  <c r="AG46" i="11"/>
  <c r="N39" i="11"/>
  <c r="T26" i="11"/>
  <c r="V35" i="11"/>
  <c r="Z61" i="11"/>
  <c r="N63" i="11"/>
  <c r="AA44" i="11"/>
  <c r="R39" i="11"/>
  <c r="Z17" i="11"/>
  <c r="AF56" i="11"/>
  <c r="R33" i="11"/>
  <c r="AB64" i="11"/>
  <c r="Y32" i="11"/>
  <c r="T15" i="11"/>
  <c r="AH28" i="11"/>
  <c r="AH472" i="11"/>
  <c r="AH127" i="11"/>
  <c r="AH189" i="11"/>
  <c r="AH120" i="11"/>
  <c r="AH95" i="11"/>
  <c r="AH93" i="11"/>
  <c r="AH10" i="11"/>
  <c r="AH283" i="11"/>
  <c r="AH340" i="11"/>
  <c r="AH470" i="11"/>
  <c r="AH314" i="11"/>
  <c r="AH326" i="11"/>
  <c r="AH104" i="11"/>
  <c r="AH9" i="11"/>
  <c r="AH81" i="11"/>
  <c r="AH186" i="11"/>
  <c r="AH128" i="11"/>
  <c r="W52" i="11"/>
  <c r="AE21" i="11"/>
  <c r="N22" i="11"/>
  <c r="Q16" i="11"/>
  <c r="AA31" i="11"/>
  <c r="M52" i="11"/>
  <c r="AH30" i="11"/>
  <c r="AH392" i="11"/>
  <c r="AH162" i="11"/>
  <c r="AH276" i="11"/>
  <c r="AH451" i="11"/>
  <c r="AH402" i="11"/>
  <c r="AH102" i="11"/>
  <c r="AH59" i="11"/>
  <c r="AH243" i="11"/>
  <c r="AH115" i="11"/>
  <c r="AH182" i="11"/>
  <c r="AH107" i="11"/>
  <c r="AH332" i="11"/>
  <c r="AH100" i="11"/>
  <c r="AH359" i="11"/>
  <c r="AH257" i="11"/>
  <c r="AH476" i="11"/>
  <c r="AH29" i="11"/>
  <c r="AH277" i="11"/>
  <c r="AH90" i="11"/>
  <c r="AH388" i="11"/>
  <c r="AH309" i="11"/>
  <c r="AH417" i="11"/>
  <c r="AH169" i="11"/>
  <c r="AH13" i="11"/>
  <c r="AH72" i="11"/>
  <c r="AH406" i="11"/>
  <c r="AH463" i="11"/>
  <c r="AH199" i="11"/>
  <c r="AH298" i="11"/>
  <c r="AH351" i="11"/>
  <c r="AH391" i="11"/>
  <c r="AH495" i="11"/>
  <c r="AH333" i="11"/>
  <c r="AH108" i="11"/>
  <c r="AH305" i="11"/>
  <c r="AH337" i="11"/>
  <c r="AH262" i="11"/>
  <c r="AH382" i="11"/>
  <c r="AH241" i="11"/>
  <c r="AH80" i="11"/>
  <c r="AH428" i="11"/>
  <c r="P55" i="11"/>
  <c r="AF27" i="11"/>
  <c r="X24" i="11"/>
  <c r="U50" i="11"/>
  <c r="AF24" i="11"/>
  <c r="AB31" i="11"/>
  <c r="AH23" i="11"/>
  <c r="AH287" i="11"/>
  <c r="AH405" i="11"/>
  <c r="AH229" i="11"/>
  <c r="AH83" i="11"/>
  <c r="AH140" i="11"/>
  <c r="AH464" i="11"/>
  <c r="AH46" i="11"/>
  <c r="AH311" i="11"/>
  <c r="AH195" i="11"/>
  <c r="AH101" i="11"/>
  <c r="AH6" i="11"/>
  <c r="AH292" i="11"/>
  <c r="AH86" i="11"/>
  <c r="AH409" i="11"/>
  <c r="AH146" i="11"/>
  <c r="AH408" i="11"/>
  <c r="AH61" i="11"/>
  <c r="AH352" i="11"/>
  <c r="AH407" i="11"/>
  <c r="AH176" i="11"/>
  <c r="AH301" i="11"/>
  <c r="AH77" i="11"/>
  <c r="AH71" i="11"/>
  <c r="AH124" i="11"/>
  <c r="AH14" i="11"/>
  <c r="AH142" i="11"/>
  <c r="AH228" i="11"/>
  <c r="AH116" i="11"/>
  <c r="AH177" i="11"/>
  <c r="AH497" i="11"/>
  <c r="AH249" i="11"/>
  <c r="AH60" i="11"/>
  <c r="AH435" i="11"/>
  <c r="AH431" i="11"/>
  <c r="AH99" i="11"/>
  <c r="AH313" i="11"/>
  <c r="AH462" i="11"/>
  <c r="AH217" i="11"/>
  <c r="AH250" i="11"/>
  <c r="AH206" i="11"/>
  <c r="AH447" i="11"/>
  <c r="AH399" i="11"/>
  <c r="AH381" i="11"/>
  <c r="AH358" i="11"/>
  <c r="Q42" i="11"/>
  <c r="O15" i="11"/>
  <c r="AG23" i="11"/>
  <c r="N20" i="11"/>
  <c r="AG15" i="11"/>
  <c r="R11" i="11"/>
  <c r="AH70" i="11"/>
  <c r="AH413" i="11"/>
  <c r="AH410" i="11"/>
  <c r="AH145" i="11"/>
  <c r="AH260" i="11"/>
  <c r="AH264" i="11"/>
  <c r="AH443" i="11"/>
  <c r="AH26" i="11"/>
  <c r="AH343" i="11"/>
  <c r="AH254" i="11"/>
  <c r="AH374" i="11"/>
  <c r="AH24" i="11"/>
  <c r="AH300" i="11"/>
  <c r="AH233" i="11"/>
  <c r="AH492" i="11"/>
  <c r="AH471" i="11"/>
  <c r="AH394" i="11"/>
  <c r="AH34" i="11"/>
  <c r="AH438" i="11"/>
  <c r="AH132" i="11"/>
  <c r="AH319" i="11"/>
  <c r="AH315" i="11"/>
  <c r="AH304" i="11"/>
  <c r="AH222" i="11"/>
  <c r="AH354" i="11"/>
  <c r="AH8" i="11"/>
  <c r="AH370" i="11"/>
  <c r="AH423" i="11"/>
  <c r="AH141" i="11"/>
  <c r="AH453" i="11"/>
  <c r="AH377" i="11"/>
  <c r="AH503" i="11"/>
  <c r="AH18" i="11"/>
  <c r="AH92" i="11"/>
  <c r="AH159" i="11"/>
  <c r="AH149" i="11"/>
  <c r="AH421" i="11"/>
  <c r="AH231" i="11"/>
  <c r="AH325" i="11"/>
  <c r="AH129" i="11"/>
  <c r="AH247" i="11"/>
  <c r="AH31" i="11"/>
  <c r="AH353" i="11"/>
  <c r="AH289" i="11"/>
  <c r="AH123" i="11"/>
  <c r="P58" i="11"/>
  <c r="V47" i="11"/>
  <c r="AC47" i="11"/>
  <c r="S60" i="11"/>
  <c r="AD37" i="11"/>
  <c r="AD30" i="11"/>
  <c r="AH378" i="11"/>
  <c r="AH368" i="11"/>
  <c r="AH459" i="11"/>
  <c r="AH285" i="11"/>
  <c r="AH106" i="11"/>
  <c r="AH79" i="11"/>
  <c r="AH267" i="11"/>
  <c r="AH190" i="11"/>
  <c r="AH166" i="11"/>
  <c r="AH204" i="11"/>
  <c r="AH345" i="11"/>
  <c r="AH47" i="11"/>
  <c r="AH341" i="11"/>
  <c r="AH278" i="11"/>
  <c r="AH66" i="11"/>
  <c r="AH151" i="11"/>
  <c r="AH133" i="11"/>
  <c r="AH400" i="11"/>
  <c r="AH191" i="11"/>
  <c r="AH67" i="11"/>
  <c r="AH91" i="11"/>
  <c r="AH226" i="11"/>
  <c r="AH483" i="11"/>
  <c r="AH109" i="11"/>
  <c r="AH389" i="11"/>
  <c r="AH32" i="11"/>
  <c r="AH203" i="11"/>
  <c r="AH422" i="11"/>
  <c r="AH205" i="11"/>
  <c r="AH327" i="11"/>
  <c r="AH227" i="11"/>
  <c r="AH284" i="11"/>
  <c r="AH15" i="11"/>
  <c r="AH458" i="11"/>
  <c r="AH272" i="11"/>
  <c r="AH119" i="11"/>
  <c r="AH196" i="11"/>
  <c r="AH303" i="11"/>
  <c r="AH498" i="11"/>
  <c r="AH416" i="11"/>
  <c r="AH299" i="11"/>
  <c r="AH11" i="11"/>
  <c r="AH232" i="11"/>
  <c r="AH338" i="11"/>
  <c r="AH487" i="11"/>
  <c r="AH167" i="11"/>
  <c r="AH173" i="11"/>
  <c r="AH193" i="11"/>
  <c r="AH158" i="11"/>
  <c r="AH76" i="11"/>
  <c r="AH461" i="11"/>
  <c r="AH375" i="11"/>
  <c r="AH143" i="11"/>
  <c r="AH330" i="11"/>
  <c r="AH223" i="11"/>
  <c r="AH134" i="11"/>
  <c r="AH424" i="11"/>
  <c r="AH236" i="11"/>
  <c r="AH322" i="11"/>
  <c r="AH194" i="11"/>
  <c r="AH174" i="11"/>
  <c r="AH48" i="11"/>
  <c r="AH425" i="11"/>
  <c r="AH103" i="11"/>
  <c r="AH412" i="11"/>
  <c r="AH139" i="11"/>
  <c r="AH316" i="11"/>
  <c r="AH64" i="11"/>
  <c r="AH446" i="11"/>
  <c r="AH398" i="11"/>
  <c r="AH197" i="11"/>
  <c r="AH363" i="11"/>
  <c r="AH466" i="11"/>
  <c r="O8" i="11"/>
  <c r="O44" i="11"/>
  <c r="V63" i="11"/>
  <c r="R41" i="11"/>
  <c r="AF22" i="11"/>
  <c r="AF9" i="11"/>
  <c r="AH457" i="11"/>
  <c r="AH256" i="11"/>
  <c r="AH376" i="11"/>
  <c r="AH52" i="11"/>
  <c r="AH401" i="11"/>
  <c r="AH259" i="11"/>
  <c r="AH273" i="11"/>
  <c r="AH126" i="11"/>
  <c r="AH288" i="11"/>
  <c r="AH156" i="11"/>
  <c r="AH342" i="11"/>
  <c r="AH63" i="11"/>
  <c r="AH164" i="11"/>
  <c r="AH356" i="11"/>
  <c r="AH96" i="11"/>
  <c r="AH265" i="11"/>
  <c r="AH17" i="11"/>
  <c r="AH384" i="11"/>
  <c r="AH449" i="11"/>
  <c r="AH360" i="11"/>
  <c r="AH350" i="11"/>
  <c r="AH110" i="11"/>
  <c r="AH171" i="11"/>
  <c r="AH165" i="11"/>
  <c r="AH33" i="11"/>
  <c r="AH344" i="11"/>
  <c r="AH252" i="11"/>
  <c r="AH37" i="11"/>
  <c r="AH460" i="11"/>
  <c r="AH365" i="11"/>
  <c r="AH484" i="11"/>
  <c r="AH418" i="11"/>
  <c r="AH181" i="11"/>
  <c r="AH372" i="11"/>
  <c r="AH163" i="11"/>
  <c r="AH488" i="11"/>
  <c r="AH89" i="11"/>
  <c r="AH113" i="11"/>
  <c r="AH131" i="11"/>
  <c r="AH455" i="11"/>
  <c r="AH122" i="11"/>
  <c r="V34" i="11"/>
  <c r="Q60" i="11"/>
  <c r="N30" i="11"/>
  <c r="T24" i="11"/>
  <c r="AD24" i="11"/>
  <c r="W39" i="11"/>
  <c r="AH200" i="11"/>
  <c r="AH339" i="11"/>
  <c r="AH214" i="11"/>
  <c r="AH45" i="11"/>
  <c r="AH244" i="11"/>
  <c r="AH209" i="11"/>
  <c r="AH118" i="11"/>
  <c r="AH395" i="11"/>
  <c r="AH348" i="11"/>
  <c r="AH87" i="11"/>
  <c r="AH454" i="11"/>
  <c r="AH55" i="11"/>
  <c r="AH385" i="11"/>
  <c r="AH281" i="11"/>
  <c r="AH170" i="11"/>
  <c r="AH371" i="11"/>
  <c r="AH5" i="11"/>
  <c r="AH238" i="11"/>
  <c r="AH220" i="11"/>
  <c r="AH419" i="11"/>
  <c r="AH230" i="11"/>
  <c r="AH373" i="11"/>
  <c r="AH246" i="11"/>
  <c r="AH248" i="11"/>
  <c r="AH98" i="11"/>
  <c r="AH56" i="11"/>
  <c r="AH178" i="11"/>
  <c r="AH481" i="11"/>
  <c r="AH403" i="11"/>
  <c r="AH121" i="11"/>
  <c r="AH234" i="11"/>
  <c r="AH97" i="11"/>
  <c r="AH215" i="11"/>
  <c r="AH361" i="11"/>
  <c r="AH201" i="11"/>
  <c r="AH65" i="11"/>
  <c r="AH240" i="11"/>
  <c r="AH154" i="11"/>
  <c r="AH318" i="11"/>
  <c r="AH328" i="11"/>
  <c r="AH253" i="11"/>
  <c r="AH302" i="11"/>
  <c r="AH105" i="11"/>
  <c r="AH434" i="11"/>
  <c r="AH293" i="11"/>
  <c r="S26" i="11"/>
  <c r="P47" i="11"/>
  <c r="U47" i="11"/>
  <c r="X5" i="11"/>
  <c r="AA39" i="11"/>
  <c r="AG24" i="11"/>
  <c r="AH74" i="11"/>
  <c r="AH349" i="11"/>
  <c r="AH266" i="11"/>
  <c r="AH43" i="11"/>
  <c r="AH78" i="11"/>
  <c r="AH307" i="11"/>
  <c r="AH114" i="11"/>
  <c r="AH486" i="11"/>
  <c r="AH379" i="11"/>
  <c r="AH357" i="11"/>
  <c r="AH479" i="11"/>
  <c r="AH35" i="11"/>
  <c r="AH216" i="11"/>
  <c r="AH245" i="11"/>
  <c r="AH161" i="11"/>
  <c r="AH474" i="11"/>
  <c r="AH16" i="11"/>
  <c r="AH263" i="11"/>
  <c r="AH430" i="11"/>
  <c r="AH306" i="11"/>
  <c r="AH294" i="11"/>
  <c r="AH297" i="11"/>
  <c r="AH420" i="11"/>
  <c r="AH184" i="11"/>
  <c r="AH329" i="11"/>
  <c r="AH235" i="11"/>
  <c r="AH347" i="11"/>
  <c r="AH452" i="11"/>
  <c r="AH172" i="11"/>
  <c r="AH270" i="11"/>
  <c r="AH364" i="11"/>
  <c r="AH20" i="11"/>
  <c r="AH271" i="11"/>
  <c r="AH494" i="11"/>
  <c r="AH130" i="11"/>
  <c r="AH211" i="11"/>
  <c r="AH369" i="11"/>
  <c r="AH175" i="11"/>
  <c r="AH334" i="11"/>
  <c r="AH491" i="11"/>
  <c r="AH275" i="11"/>
  <c r="AH19" i="11"/>
  <c r="AH221" i="11"/>
  <c r="AH3" i="11"/>
  <c r="AB52" i="11"/>
  <c r="Z49" i="11"/>
  <c r="X32" i="11"/>
  <c r="AB53" i="11"/>
  <c r="AE8" i="11"/>
  <c r="AH44" i="11"/>
  <c r="AH312" i="11"/>
  <c r="AH111" i="11"/>
  <c r="AH242" i="11"/>
  <c r="AH51" i="11"/>
  <c r="AH290" i="11"/>
  <c r="AH493" i="11"/>
  <c r="AH25" i="11"/>
  <c r="AH346" i="11"/>
  <c r="AH251" i="11"/>
  <c r="AH180" i="11"/>
  <c r="AH496" i="11"/>
  <c r="AH426" i="11"/>
  <c r="AH268" i="11"/>
  <c r="AH467" i="11"/>
  <c r="AH415" i="11"/>
  <c r="AH282" i="11"/>
  <c r="AH38" i="11"/>
  <c r="AH219" i="11"/>
  <c r="AH480" i="11"/>
  <c r="AH404" i="11"/>
  <c r="AH500" i="11"/>
  <c r="AH136" i="11"/>
  <c r="AH135" i="11"/>
  <c r="AH450" i="11"/>
  <c r="AH42" i="11"/>
  <c r="AH155" i="11"/>
  <c r="AH490" i="11"/>
  <c r="AH442" i="11"/>
  <c r="AH367" i="11"/>
  <c r="AH152" i="11"/>
  <c r="AH335" i="11"/>
  <c r="AH53" i="11"/>
  <c r="AH160" i="11"/>
  <c r="AH208" i="11"/>
  <c r="AH82" i="11"/>
  <c r="AH383" i="11"/>
  <c r="AH414" i="11"/>
  <c r="AH144" i="11"/>
  <c r="AH137" i="11"/>
  <c r="AH183" i="11"/>
  <c r="AH138" i="11"/>
  <c r="AH27" i="11"/>
  <c r="AH225" i="11"/>
  <c r="AH499" i="11"/>
  <c r="AH432" i="11"/>
  <c r="AH94" i="11"/>
  <c r="AH269" i="11"/>
  <c r="AH308" i="11"/>
  <c r="AH427" i="11"/>
  <c r="AH224" i="11"/>
  <c r="AH465" i="11"/>
  <c r="AH179" i="11"/>
  <c r="AH485" i="11"/>
  <c r="AH331" i="11"/>
  <c r="AH22" i="11"/>
  <c r="AH324" i="11"/>
  <c r="AH239" i="11"/>
  <c r="AH437" i="11"/>
  <c r="AH411" i="11"/>
  <c r="AH207" i="11"/>
  <c r="AH58" i="11"/>
  <c r="AH202" i="11"/>
  <c r="AH187" i="11"/>
  <c r="AH310" i="11"/>
  <c r="AH157" i="11"/>
  <c r="AH112" i="11"/>
  <c r="AH468" i="11"/>
  <c r="AH478" i="11"/>
  <c r="AH441" i="11"/>
  <c r="AH68" i="11"/>
  <c r="AH390" i="11"/>
  <c r="AH501" i="11"/>
  <c r="AI185" i="11"/>
  <c r="AI70" i="11"/>
  <c r="AI202" i="11"/>
  <c r="AI469" i="11"/>
  <c r="AI67" i="11"/>
  <c r="AI398" i="11"/>
  <c r="AI483" i="11"/>
  <c r="AI476" i="11"/>
  <c r="AI39" i="11"/>
  <c r="AI191" i="11"/>
  <c r="AI415" i="11"/>
  <c r="AI230" i="11"/>
  <c r="AI462" i="11"/>
  <c r="AI358" i="11"/>
  <c r="AI154" i="11"/>
  <c r="AI40" i="11"/>
  <c r="AI438" i="11"/>
  <c r="AI72" i="11"/>
  <c r="AI470" i="11"/>
  <c r="AI432" i="11"/>
  <c r="AI450" i="11"/>
  <c r="AI391" i="11"/>
  <c r="AI274" i="11"/>
  <c r="AI49" i="11"/>
  <c r="AI431" i="11"/>
  <c r="AI410" i="11"/>
  <c r="AI121" i="11"/>
  <c r="AI226" i="11"/>
  <c r="AI293" i="11"/>
  <c r="AI85" i="11"/>
  <c r="AI47" i="11"/>
  <c r="AI278" i="11"/>
  <c r="AI195" i="11"/>
  <c r="AI441" i="11"/>
  <c r="AI499" i="11"/>
  <c r="AI434" i="11"/>
  <c r="AI477" i="11"/>
  <c r="AI116" i="11"/>
  <c r="AI403" i="11"/>
  <c r="AI454" i="11"/>
  <c r="AI473" i="11"/>
  <c r="AI88" i="11"/>
  <c r="AI459" i="11"/>
  <c r="AI12" i="11"/>
  <c r="AI348" i="11"/>
  <c r="AI250" i="11"/>
  <c r="AI320" i="11"/>
  <c r="AI361" i="11"/>
  <c r="AI108" i="11"/>
  <c r="AI220" i="11"/>
  <c r="AI213" i="11"/>
  <c r="AI355" i="11"/>
  <c r="AI421" i="11"/>
  <c r="AI332" i="11"/>
  <c r="AI458" i="11"/>
  <c r="AI474" i="11"/>
  <c r="AI9" i="11"/>
  <c r="AI347" i="11"/>
  <c r="AI373" i="11"/>
  <c r="AI92" i="11"/>
  <c r="AI128" i="11"/>
  <c r="AI503" i="11"/>
  <c r="AI145" i="11"/>
  <c r="AI417" i="11"/>
  <c r="AI21" i="11"/>
  <c r="AI424" i="11"/>
  <c r="AI179" i="11"/>
  <c r="AI383" i="11"/>
  <c r="AI323" i="11"/>
  <c r="AI198" i="11"/>
  <c r="AI105" i="11"/>
  <c r="AI484" i="11"/>
  <c r="AI17" i="11"/>
  <c r="AI225" i="11"/>
  <c r="AI106" i="11"/>
  <c r="AI100" i="11"/>
  <c r="AI291" i="11"/>
  <c r="AI481" i="11"/>
  <c r="AI321" i="11"/>
  <c r="AI266" i="11"/>
  <c r="AI61" i="11"/>
  <c r="AI426" i="11"/>
  <c r="AI435" i="11"/>
  <c r="AI111" i="11"/>
  <c r="AI201" i="11"/>
  <c r="AI316" i="11"/>
  <c r="AI408" i="11"/>
  <c r="AI269" i="11"/>
  <c r="AI48" i="11"/>
  <c r="AI155" i="11"/>
  <c r="AI83" i="11"/>
  <c r="AI287" i="11"/>
  <c r="AI212" i="11"/>
  <c r="AI163" i="11"/>
  <c r="AI275" i="11"/>
  <c r="AI245" i="11"/>
  <c r="AI177" i="11"/>
  <c r="AI34" i="11"/>
  <c r="AI69" i="11"/>
  <c r="AI337" i="11"/>
  <c r="AI233" i="11"/>
  <c r="AI137" i="11"/>
  <c r="AI91" i="11"/>
  <c r="AI311" i="11"/>
  <c r="AI207" i="11"/>
  <c r="AI16" i="11"/>
  <c r="AI384" i="11"/>
  <c r="AI393" i="11"/>
  <c r="AI255" i="11"/>
  <c r="AI307" i="11"/>
  <c r="AI87" i="11"/>
  <c r="AI242" i="11"/>
  <c r="AI101" i="11"/>
  <c r="AI52" i="11"/>
  <c r="AI442" i="11"/>
  <c r="AI253" i="11"/>
  <c r="AI236" i="11"/>
  <c r="AI264" i="11"/>
  <c r="AI162" i="11"/>
  <c r="AI443" i="11"/>
  <c r="AI428" i="11"/>
  <c r="AI14" i="11"/>
  <c r="AI79" i="11"/>
  <c r="AI256" i="11"/>
  <c r="AI487" i="11"/>
  <c r="AI66" i="11"/>
  <c r="AI328" i="11"/>
  <c r="AI322" i="11"/>
  <c r="AI30" i="11"/>
  <c r="AI457" i="11"/>
  <c r="AI366" i="11"/>
  <c r="AI209" i="11"/>
  <c r="AI153" i="11"/>
  <c r="AI406" i="11"/>
  <c r="AI429" i="11"/>
  <c r="AI464" i="11"/>
  <c r="AI151" i="11"/>
  <c r="AI452" i="11"/>
  <c r="AI277" i="11"/>
  <c r="AI295" i="11"/>
  <c r="AI188" i="11"/>
  <c r="AI172" i="11"/>
  <c r="AI184" i="11"/>
  <c r="AI364" i="11"/>
  <c r="AI122" i="11"/>
  <c r="AI10" i="11"/>
  <c r="AI500" i="11"/>
  <c r="AI186" i="11"/>
  <c r="AI314" i="11"/>
  <c r="AI189" i="11"/>
  <c r="AI498" i="11"/>
  <c r="AI416" i="11"/>
  <c r="AI38" i="11"/>
  <c r="AI237" i="11"/>
  <c r="AI142" i="11"/>
  <c r="AI80" i="11"/>
  <c r="AI167" i="11"/>
  <c r="AI25" i="11"/>
  <c r="AI258" i="11"/>
  <c r="AI181" i="11"/>
  <c r="AI301" i="11"/>
  <c r="AI281" i="11"/>
  <c r="AI223" i="11"/>
  <c r="AI112" i="11"/>
  <c r="AI157" i="11"/>
  <c r="AI42" i="11"/>
  <c r="AI127" i="11"/>
  <c r="AI96" i="11"/>
  <c r="AI369" i="11"/>
  <c r="AI404" i="11"/>
  <c r="AI113" i="11"/>
  <c r="AI261" i="11"/>
  <c r="AI342" i="11"/>
  <c r="AI56" i="11"/>
  <c r="AI352" i="11"/>
  <c r="AI495" i="11"/>
  <c r="AI475" i="11"/>
  <c r="AI211" i="11"/>
  <c r="AI491" i="11"/>
  <c r="AI136" i="11"/>
  <c r="AI19" i="11"/>
  <c r="AI130" i="11"/>
  <c r="AI260" i="11"/>
  <c r="AI319" i="11"/>
  <c r="AI244" i="11"/>
  <c r="AI350" i="11"/>
  <c r="AI114" i="11"/>
  <c r="AI420" i="11"/>
  <c r="AI36" i="11"/>
  <c r="AI346" i="11"/>
  <c r="AI418" i="11"/>
  <c r="AI221" i="11"/>
  <c r="AI288" i="11"/>
  <c r="AI419" i="11"/>
  <c r="AI95" i="11"/>
  <c r="AI222" i="11"/>
  <c r="AI354" i="11"/>
  <c r="AI353" i="11"/>
  <c r="AI271" i="11"/>
  <c r="AI187" i="11"/>
  <c r="AI368" i="11"/>
  <c r="AI132" i="11"/>
  <c r="AI68" i="11"/>
  <c r="AI305" i="11"/>
  <c r="AI50" i="11"/>
  <c r="AI241" i="11"/>
  <c r="AI159" i="11"/>
  <c r="AI471" i="11"/>
  <c r="AI446" i="11"/>
  <c r="AI257" i="11"/>
  <c r="AI304" i="11"/>
  <c r="AI44" i="11"/>
  <c r="AI86" i="11"/>
  <c r="AI380" i="11"/>
  <c r="AI103" i="11"/>
  <c r="AI444" i="11"/>
  <c r="AI170" i="11"/>
  <c r="AI496" i="11"/>
  <c r="AI372" i="11"/>
  <c r="AI488" i="11"/>
  <c r="AI224" i="11"/>
  <c r="AI494" i="11"/>
  <c r="AI401" i="11"/>
  <c r="AI247" i="11"/>
  <c r="AI411" i="11"/>
  <c r="AI28" i="11"/>
  <c r="AI343" i="11"/>
  <c r="AI161" i="11"/>
  <c r="AI140" i="11"/>
  <c r="AI412" i="11"/>
  <c r="AI35" i="11"/>
  <c r="AI290" i="11"/>
  <c r="AI166" i="11"/>
  <c r="AI351" i="11"/>
  <c r="AI24" i="11"/>
  <c r="AI263" i="11"/>
  <c r="AI385" i="11"/>
  <c r="AI386" i="11"/>
  <c r="AI158" i="11"/>
  <c r="AI374" i="11"/>
  <c r="AI208" i="11"/>
  <c r="AI97" i="11"/>
  <c r="AI216" i="11"/>
  <c r="AI120" i="11"/>
  <c r="AI18" i="11"/>
  <c r="AI90" i="11"/>
  <c r="AI308" i="11"/>
  <c r="AI82" i="11"/>
  <c r="AI193" i="11"/>
  <c r="AI200" i="11"/>
  <c r="AI389" i="11"/>
  <c r="AI54" i="11"/>
  <c r="AI422" i="11"/>
  <c r="AI436" i="11"/>
  <c r="AI251" i="11"/>
  <c r="AI336" i="11"/>
  <c r="AI273" i="11"/>
  <c r="AI299" i="11"/>
  <c r="AI231" i="11"/>
  <c r="AI53" i="11"/>
  <c r="AI363" i="11"/>
  <c r="AI306" i="11"/>
  <c r="AI164" i="11"/>
  <c r="AI414" i="11"/>
  <c r="AI334" i="11"/>
  <c r="AI284" i="11"/>
  <c r="AI5" i="11"/>
  <c r="AI73" i="11"/>
  <c r="AI294" i="11"/>
  <c r="AI339" i="11"/>
  <c r="AI268" i="11"/>
  <c r="AI480" i="11"/>
  <c r="AI427" i="11"/>
  <c r="AI461" i="11"/>
  <c r="AI62" i="11"/>
  <c r="AI423" i="11"/>
  <c r="AI482" i="11"/>
  <c r="AI409" i="11"/>
  <c r="AI65" i="11"/>
  <c r="AI399" i="11"/>
  <c r="AI456" i="11"/>
  <c r="AI32" i="11"/>
  <c r="AI324" i="11"/>
  <c r="AI312" i="11"/>
  <c r="AI310" i="11"/>
  <c r="AI143" i="11"/>
  <c r="AI298" i="11"/>
  <c r="AI175" i="11"/>
  <c r="AI102" i="11"/>
  <c r="AI205" i="11"/>
  <c r="AI377" i="11"/>
  <c r="AI219" i="11"/>
  <c r="AI94" i="11"/>
  <c r="AI303" i="11"/>
  <c r="AI449" i="11"/>
  <c r="AI289" i="11"/>
  <c r="AI267" i="11"/>
  <c r="AI365" i="11"/>
  <c r="AI329" i="11"/>
  <c r="AI272" i="11"/>
  <c r="AI252" i="11"/>
  <c r="AI394" i="11"/>
  <c r="AI117" i="11"/>
  <c r="AI238" i="11"/>
  <c r="AI129" i="11"/>
  <c r="AI8" i="11"/>
  <c r="AI360" i="11"/>
  <c r="AI330" i="11"/>
  <c r="AI485" i="11"/>
  <c r="AI152" i="11"/>
  <c r="AI98" i="11"/>
  <c r="AI382" i="11"/>
  <c r="AI489" i="11"/>
  <c r="AI11" i="11"/>
  <c r="AI283" i="11"/>
  <c r="AI340" i="11"/>
  <c r="AI451" i="11"/>
  <c r="AI331" i="11"/>
  <c r="AI135" i="11"/>
  <c r="AI183" i="11"/>
  <c r="AI51" i="11"/>
  <c r="AI199" i="11"/>
  <c r="AI126" i="11"/>
  <c r="AI110" i="11"/>
  <c r="AI356" i="11"/>
  <c r="AI460" i="11"/>
  <c r="AI107" i="11"/>
  <c r="AI217" i="11"/>
  <c r="AI57" i="11"/>
  <c r="AI78" i="11"/>
  <c r="AI468" i="11"/>
  <c r="AI262" i="11"/>
  <c r="AI99" i="11"/>
  <c r="AI134" i="11"/>
  <c r="AI466" i="11"/>
  <c r="AI317" i="11"/>
  <c r="AI43" i="11"/>
  <c r="AI344" i="11"/>
  <c r="AI300" i="11"/>
  <c r="AI206" i="11"/>
  <c r="AI327" i="11"/>
  <c r="AI297" i="11"/>
  <c r="AI173" i="11"/>
  <c r="AI22" i="11"/>
  <c r="AI413" i="11"/>
  <c r="AI367" i="11"/>
  <c r="AI378" i="11"/>
  <c r="AI448" i="11"/>
  <c r="AI248" i="11"/>
  <c r="AI254" i="11"/>
  <c r="AI71" i="11"/>
  <c r="AI405" i="11"/>
  <c r="AI59" i="11"/>
  <c r="AI492" i="11"/>
  <c r="AI123" i="11"/>
  <c r="AI60" i="11"/>
  <c r="AI243" i="11"/>
  <c r="AI309" i="11"/>
  <c r="AI259" i="11"/>
  <c r="AI359" i="11"/>
  <c r="AI296" i="11"/>
  <c r="AI375" i="11"/>
  <c r="AI76" i="11"/>
  <c r="AI29" i="11"/>
  <c r="AI392" i="11"/>
  <c r="AI89" i="11"/>
  <c r="AI279" i="11"/>
  <c r="AI270" i="11"/>
  <c r="AI276" i="11"/>
  <c r="AI156" i="11"/>
  <c r="AI33" i="11"/>
  <c r="AI178" i="11"/>
  <c r="AI433" i="11"/>
  <c r="AI486" i="11"/>
  <c r="AI84" i="11"/>
  <c r="AI280" i="11"/>
  <c r="AI229" i="11"/>
  <c r="AI265" i="11"/>
  <c r="AI23" i="11"/>
  <c r="AI341" i="11"/>
  <c r="AI210" i="11"/>
  <c r="AI313" i="11"/>
  <c r="AI204" i="11"/>
  <c r="AI118" i="11"/>
  <c r="AI218" i="11"/>
  <c r="AI318" i="11"/>
  <c r="AI6" i="11"/>
  <c r="AI160" i="11"/>
  <c r="AI447" i="11"/>
  <c r="AI467" i="11"/>
  <c r="AI381" i="11"/>
  <c r="AI325" i="11"/>
  <c r="AI246" i="11"/>
  <c r="AI234" i="11"/>
  <c r="AI41" i="11"/>
  <c r="AI239" i="11"/>
  <c r="AI228" i="11"/>
  <c r="AI493" i="11"/>
  <c r="AI478" i="11"/>
  <c r="AI285" i="11"/>
  <c r="AI109" i="11"/>
  <c r="AI37" i="11"/>
  <c r="AI75" i="11"/>
  <c r="AI357" i="11"/>
  <c r="AI174" i="11"/>
  <c r="AI176" i="11"/>
  <c r="AI58" i="11"/>
  <c r="AI81" i="11"/>
  <c r="AI150" i="11"/>
  <c r="AI390" i="11"/>
  <c r="AI349" i="11"/>
  <c r="AI335" i="11"/>
  <c r="AI180" i="11"/>
  <c r="AI371" i="11"/>
  <c r="AI31" i="11"/>
  <c r="AI292" i="11"/>
  <c r="AI125" i="11"/>
  <c r="AI326" i="11"/>
  <c r="AI338" i="11"/>
  <c r="AI138" i="11"/>
  <c r="AI133" i="11"/>
  <c r="AI13" i="11"/>
  <c r="AI203" i="11"/>
  <c r="AI215" i="11"/>
  <c r="AI387" i="11"/>
  <c r="AI445" i="11"/>
  <c r="AI501" i="11"/>
  <c r="AI169" i="11"/>
  <c r="AI282" i="11"/>
  <c r="AI45" i="11"/>
  <c r="AI148" i="11"/>
  <c r="AI370" i="11"/>
  <c r="AI240" i="11"/>
  <c r="AI115" i="11"/>
  <c r="AI194" i="11"/>
  <c r="AI497" i="11"/>
  <c r="AI345" i="11"/>
  <c r="AI55" i="11"/>
  <c r="AI440" i="11"/>
  <c r="AI235" i="11"/>
  <c r="AI232" i="11"/>
  <c r="AI149" i="11"/>
  <c r="AI192" i="11"/>
  <c r="AI144" i="11"/>
  <c r="AI165" i="11"/>
  <c r="AI20" i="11"/>
  <c r="AI333" i="11"/>
  <c r="AI315" i="11"/>
  <c r="AI190" i="11"/>
  <c r="AI168" i="11"/>
  <c r="AI197" i="11"/>
  <c r="AI376" i="11"/>
  <c r="AI26" i="11"/>
  <c r="AI119" i="11"/>
  <c r="AI430" i="11"/>
  <c r="AI147" i="11"/>
  <c r="AI146" i="11"/>
  <c r="AI439" i="11"/>
  <c r="AI249" i="11"/>
  <c r="AI479" i="11"/>
  <c r="AI15" i="11"/>
  <c r="AI400" i="11"/>
  <c r="AI490" i="11"/>
  <c r="AI397" i="11"/>
  <c r="AI141" i="11"/>
  <c r="AI93" i="11"/>
  <c r="AI104" i="11"/>
  <c r="AI465" i="11"/>
  <c r="AI171" i="11"/>
  <c r="AI502" i="11"/>
  <c r="AI196" i="11"/>
  <c r="AI3" i="11"/>
  <c r="AI214" i="11"/>
  <c r="AI64" i="11"/>
  <c r="AI74" i="11"/>
  <c r="AI472" i="11"/>
  <c r="AI302" i="11"/>
  <c r="AI46" i="11"/>
  <c r="AI388" i="11"/>
  <c r="AI182" i="11"/>
  <c r="AI455" i="11"/>
  <c r="AI396" i="11"/>
  <c r="AI63" i="11"/>
  <c r="AI407" i="11"/>
  <c r="AI379" i="11"/>
  <c r="AI124" i="11"/>
  <c r="AI131" i="11"/>
  <c r="AI227" i="11"/>
  <c r="AI395" i="11"/>
  <c r="AI437" i="11"/>
  <c r="AI402" i="11"/>
  <c r="AI463" i="11"/>
  <c r="AI27" i="11"/>
  <c r="AI453" i="11"/>
  <c r="AI286" i="11"/>
  <c r="AI362" i="11"/>
  <c r="AI77" i="11"/>
  <c r="AI425" i="11"/>
  <c r="AI139" i="11"/>
  <c r="AJ1" i="11" l="1"/>
  <c r="AJ442" i="11"/>
  <c r="AJ235" i="11"/>
  <c r="AJ300" i="11"/>
  <c r="AJ172" i="11"/>
  <c r="AJ287" i="11"/>
  <c r="AJ354" i="11"/>
  <c r="AJ293" i="11"/>
  <c r="AJ124" i="11"/>
  <c r="AJ38" i="11"/>
  <c r="AJ271" i="11"/>
  <c r="AJ460" i="11"/>
  <c r="AJ209" i="11"/>
  <c r="AJ313" i="11"/>
  <c r="AJ217" i="11"/>
  <c r="AJ437" i="11"/>
  <c r="AJ25" i="11"/>
  <c r="AJ283" i="11"/>
  <c r="AJ288" i="11"/>
  <c r="AJ281" i="11"/>
  <c r="AJ339" i="11"/>
  <c r="AJ307" i="11"/>
  <c r="AJ173" i="11"/>
  <c r="AJ26" i="11"/>
  <c r="AJ89" i="11"/>
  <c r="AJ366" i="11"/>
  <c r="AJ70" i="11"/>
  <c r="AJ500" i="11"/>
  <c r="AJ483" i="11"/>
  <c r="AJ214" i="11"/>
  <c r="AJ108" i="11"/>
  <c r="AJ286" i="11"/>
  <c r="AJ50" i="11"/>
  <c r="AJ155" i="11"/>
  <c r="AJ451" i="11"/>
  <c r="AJ147" i="11"/>
  <c r="AJ406" i="11"/>
  <c r="AJ427" i="11"/>
  <c r="AJ224" i="11"/>
  <c r="AJ234" i="11"/>
  <c r="AJ29" i="11"/>
  <c r="AJ186" i="11"/>
  <c r="AJ449" i="11"/>
  <c r="AJ177" i="11"/>
  <c r="AJ244" i="11"/>
  <c r="AJ398" i="11"/>
  <c r="AJ276" i="11"/>
  <c r="AJ64" i="11"/>
  <c r="AJ418" i="11"/>
  <c r="AJ201" i="11"/>
  <c r="AJ289" i="11"/>
  <c r="AJ397" i="11"/>
  <c r="AJ367" i="11"/>
  <c r="AJ335" i="11"/>
  <c r="AJ9" i="11"/>
  <c r="AJ191" i="11"/>
  <c r="AJ256" i="11"/>
  <c r="AJ341" i="11"/>
  <c r="AJ195" i="11"/>
  <c r="AJ495" i="11"/>
  <c r="AJ316" i="11"/>
  <c r="AJ226" i="11"/>
  <c r="AJ76" i="11"/>
  <c r="AJ49" i="11"/>
  <c r="AJ452" i="11"/>
  <c r="AJ435" i="11"/>
  <c r="AJ413" i="11"/>
  <c r="AJ368" i="11"/>
  <c r="AJ262" i="11"/>
  <c r="AJ101" i="11"/>
  <c r="AJ462" i="11"/>
  <c r="AJ33" i="11"/>
  <c r="AJ238" i="11"/>
  <c r="AJ252" i="11"/>
  <c r="AJ240" i="11"/>
  <c r="AJ336" i="11"/>
  <c r="AJ360" i="11"/>
  <c r="AJ503" i="11"/>
  <c r="AJ396" i="11"/>
  <c r="AJ31" i="11"/>
  <c r="AJ199" i="11"/>
  <c r="AJ164" i="11"/>
  <c r="AJ383" i="11"/>
  <c r="AJ338" i="11"/>
  <c r="AJ222" i="11"/>
  <c r="AJ299" i="11"/>
  <c r="AJ56" i="11"/>
  <c r="AJ431" i="11"/>
  <c r="AJ116" i="11"/>
  <c r="AJ350" i="11"/>
  <c r="AJ357" i="11"/>
  <c r="AJ275" i="11"/>
  <c r="AJ322" i="11"/>
  <c r="AJ489" i="11"/>
  <c r="AJ93" i="11"/>
  <c r="AJ42" i="11"/>
  <c r="AJ228" i="11"/>
  <c r="AJ243" i="11"/>
  <c r="AJ447" i="11"/>
  <c r="AJ471" i="11"/>
  <c r="AJ303" i="11"/>
  <c r="AJ443" i="11"/>
  <c r="AJ297" i="11"/>
  <c r="AJ10" i="11"/>
  <c r="AJ487" i="11"/>
  <c r="AJ423" i="11"/>
  <c r="AJ388" i="11"/>
  <c r="AJ187" i="11"/>
  <c r="AJ113" i="11"/>
  <c r="AJ391" i="11"/>
  <c r="AJ43" i="11"/>
  <c r="AJ330" i="11"/>
  <c r="AJ436" i="11"/>
  <c r="AJ84" i="11"/>
  <c r="AJ150" i="11"/>
  <c r="AJ470" i="11"/>
  <c r="AJ321" i="11"/>
  <c r="AJ16" i="11"/>
  <c r="AJ393" i="11"/>
  <c r="AJ213" i="11"/>
  <c r="AJ148" i="11"/>
  <c r="AJ161" i="11"/>
  <c r="AJ279" i="11"/>
  <c r="AJ318" i="11"/>
  <c r="AJ137" i="11"/>
  <c r="AJ158" i="11"/>
  <c r="AJ44" i="11"/>
  <c r="AJ306" i="11"/>
  <c r="AJ100" i="11"/>
  <c r="AJ379" i="11"/>
  <c r="AJ369" i="11"/>
  <c r="AJ372" i="11"/>
  <c r="AJ501" i="11"/>
  <c r="AJ180" i="11"/>
  <c r="AJ40" i="11"/>
  <c r="AJ263" i="11"/>
  <c r="AJ324" i="11"/>
  <c r="AJ434" i="11"/>
  <c r="AJ407" i="11"/>
  <c r="AJ361" i="11"/>
  <c r="AJ157" i="11"/>
  <c r="AJ296" i="11"/>
  <c r="AJ52" i="11"/>
  <c r="AJ277" i="11"/>
  <c r="AJ323" i="11"/>
  <c r="AJ292" i="11"/>
  <c r="AJ176" i="11"/>
  <c r="AJ118" i="11"/>
  <c r="AJ394" i="11"/>
  <c r="AJ54" i="11"/>
  <c r="AJ352" i="11"/>
  <c r="AJ75" i="11"/>
  <c r="AJ445" i="11"/>
  <c r="AJ444" i="11"/>
  <c r="AJ282" i="11"/>
  <c r="AJ257" i="11"/>
  <c r="AJ174" i="11"/>
  <c r="AJ466" i="11"/>
  <c r="AJ370" i="11"/>
  <c r="AJ120" i="11"/>
  <c r="AJ189" i="11"/>
  <c r="AJ309" i="11"/>
  <c r="AJ414" i="11"/>
  <c r="AJ273" i="11"/>
  <c r="AJ163" i="11"/>
  <c r="AJ248" i="11"/>
  <c r="AJ57" i="11"/>
  <c r="AJ425" i="11"/>
  <c r="AJ260" i="11"/>
  <c r="AJ278" i="11"/>
  <c r="AJ446" i="11"/>
  <c r="AJ459" i="11"/>
  <c r="AJ411" i="11"/>
  <c r="AJ14" i="11"/>
  <c r="AJ332" i="11"/>
  <c r="AJ83" i="11"/>
  <c r="AJ198" i="11"/>
  <c r="AJ415" i="11"/>
  <c r="AJ428" i="11"/>
  <c r="AJ325" i="11"/>
  <c r="AJ19" i="11"/>
  <c r="AJ347" i="11"/>
  <c r="AJ162" i="11"/>
  <c r="AJ253" i="11"/>
  <c r="AJ270" i="11"/>
  <c r="AJ480" i="11"/>
  <c r="AJ450" i="11"/>
  <c r="AJ412" i="11"/>
  <c r="AJ136" i="11"/>
  <c r="AJ58" i="11"/>
  <c r="AJ395" i="11"/>
  <c r="AJ490" i="11"/>
  <c r="AJ106" i="11"/>
  <c r="AJ117" i="11"/>
  <c r="AJ403" i="11"/>
  <c r="AJ135" i="11"/>
  <c r="AJ476" i="11"/>
  <c r="AJ55" i="11"/>
  <c r="AJ210" i="11"/>
  <c r="AJ473" i="11"/>
  <c r="AJ482" i="11"/>
  <c r="AJ315" i="11"/>
  <c r="AJ197" i="11"/>
  <c r="AJ193" i="11"/>
  <c r="AJ375" i="11"/>
  <c r="AJ30" i="11"/>
  <c r="AJ440" i="11"/>
  <c r="AJ88" i="11"/>
  <c r="AJ475" i="11"/>
  <c r="AJ109" i="11"/>
  <c r="AJ274" i="11"/>
  <c r="AJ129" i="11"/>
  <c r="AJ36" i="11"/>
  <c r="AJ142" i="11"/>
  <c r="AJ430" i="11"/>
  <c r="AJ331" i="11"/>
  <c r="AJ421" i="11"/>
  <c r="AJ416" i="11"/>
  <c r="AJ491" i="11"/>
  <c r="AJ417" i="11"/>
  <c r="AJ5" i="11"/>
  <c r="AJ232" i="11"/>
  <c r="AJ200" i="11"/>
  <c r="AJ102" i="11"/>
  <c r="AJ373" i="11"/>
  <c r="AJ264" i="11"/>
  <c r="AJ463" i="11"/>
  <c r="AJ95" i="11"/>
  <c r="AJ207" i="11"/>
  <c r="AJ181" i="11"/>
  <c r="AJ405" i="11"/>
  <c r="AJ458" i="11"/>
  <c r="AJ386" i="11"/>
  <c r="AJ474" i="11"/>
  <c r="AJ429" i="11"/>
  <c r="AJ218" i="11"/>
  <c r="AJ47" i="11"/>
  <c r="AJ457" i="11"/>
  <c r="AJ494" i="11"/>
  <c r="AJ294" i="11"/>
  <c r="AJ141" i="11"/>
  <c r="AJ192" i="11"/>
  <c r="AJ246" i="11"/>
  <c r="AJ17" i="11"/>
  <c r="AJ220" i="11"/>
  <c r="AJ426" i="11"/>
  <c r="AJ125" i="11"/>
  <c r="AJ492" i="11"/>
  <c r="AJ355" i="11"/>
  <c r="AJ265" i="11"/>
  <c r="AJ3" i="11"/>
  <c r="AJ305" i="11"/>
  <c r="AJ34" i="11"/>
  <c r="AJ79" i="11"/>
  <c r="AJ237" i="11"/>
  <c r="AJ349" i="11"/>
  <c r="AJ230" i="11"/>
  <c r="AJ317" i="11"/>
  <c r="AJ85" i="11"/>
  <c r="AJ267" i="11"/>
  <c r="AJ6" i="11"/>
  <c r="AJ126" i="11"/>
  <c r="AJ258" i="11"/>
  <c r="AJ81" i="11"/>
  <c r="AJ319" i="11"/>
  <c r="AJ188" i="11"/>
  <c r="AJ351" i="11"/>
  <c r="AJ61" i="11"/>
  <c r="AJ320" i="11"/>
  <c r="AJ119" i="11"/>
  <c r="AJ78" i="11"/>
  <c r="AJ196" i="11"/>
  <c r="AJ448" i="11"/>
  <c r="AJ280" i="11"/>
  <c r="AJ334" i="11"/>
  <c r="AJ18" i="11"/>
  <c r="AJ166" i="11"/>
  <c r="AJ346" i="11"/>
  <c r="AJ254" i="11"/>
  <c r="AJ206" i="11"/>
  <c r="AJ144" i="11"/>
  <c r="AJ376" i="11"/>
  <c r="AJ175" i="11"/>
  <c r="AJ46" i="11"/>
  <c r="AJ130" i="11"/>
  <c r="AJ190" i="11"/>
  <c r="AJ170" i="11"/>
  <c r="AJ291" i="11"/>
  <c r="AJ231" i="11"/>
  <c r="AJ498" i="11"/>
  <c r="AJ223" i="11"/>
  <c r="AJ13" i="11"/>
  <c r="AJ82" i="11"/>
  <c r="AJ208" i="11"/>
  <c r="AJ90" i="11"/>
  <c r="AJ469" i="11"/>
  <c r="AJ111" i="11"/>
  <c r="AJ133" i="11"/>
  <c r="AJ377" i="11"/>
  <c r="AJ20" i="11"/>
  <c r="AJ216" i="11"/>
  <c r="AJ72" i="11"/>
  <c r="AJ432" i="11"/>
  <c r="AJ182" i="11"/>
  <c r="AJ266" i="11"/>
  <c r="AJ107" i="11"/>
  <c r="AJ39" i="11"/>
  <c r="AJ311" i="11"/>
  <c r="AJ96" i="11"/>
  <c r="AJ225" i="11"/>
  <c r="AJ146" i="11"/>
  <c r="AJ342" i="11"/>
  <c r="AJ112" i="11"/>
  <c r="AJ408" i="11"/>
  <c r="AJ48" i="11"/>
  <c r="AJ239" i="11"/>
  <c r="AJ353" i="11"/>
  <c r="AJ485" i="11"/>
  <c r="AJ205" i="11"/>
  <c r="AJ131" i="11"/>
  <c r="AJ71" i="11"/>
  <c r="AJ310" i="11"/>
  <c r="AJ8" i="11"/>
  <c r="AJ380" i="11"/>
  <c r="AJ99" i="11"/>
  <c r="AJ362" i="11"/>
  <c r="AJ121" i="11"/>
  <c r="AJ399" i="11"/>
  <c r="AJ304" i="11"/>
  <c r="AJ27" i="11"/>
  <c r="AJ255" i="11"/>
  <c r="AJ143" i="11"/>
  <c r="AJ478" i="11"/>
  <c r="AJ409" i="11"/>
  <c r="AJ455" i="11"/>
  <c r="AJ250" i="11"/>
  <c r="AJ389" i="11"/>
  <c r="AJ45" i="11"/>
  <c r="AJ203" i="11"/>
  <c r="AJ110" i="11"/>
  <c r="AJ115" i="11"/>
  <c r="AJ301" i="11"/>
  <c r="AJ122" i="11"/>
  <c r="AJ156" i="11"/>
  <c r="AJ456" i="11"/>
  <c r="AJ21" i="11"/>
  <c r="AJ472" i="11"/>
  <c r="AJ468" i="11"/>
  <c r="AJ67" i="11"/>
  <c r="AJ359" i="11"/>
  <c r="AJ420" i="11"/>
  <c r="AJ227" i="11"/>
  <c r="AJ461" i="11"/>
  <c r="AJ60" i="11"/>
  <c r="AJ499" i="11"/>
  <c r="AJ404" i="11"/>
  <c r="AJ66" i="11"/>
  <c r="AJ365" i="11"/>
  <c r="AJ364" i="11"/>
  <c r="AJ345" i="11"/>
  <c r="AJ441" i="11"/>
  <c r="AJ185" i="11"/>
  <c r="AJ211" i="11"/>
  <c r="AJ419" i="11"/>
  <c r="AJ140" i="11"/>
  <c r="AJ153" i="11"/>
  <c r="AJ123" i="11"/>
  <c r="AJ464" i="11"/>
  <c r="AJ22" i="11"/>
  <c r="AJ486" i="11"/>
  <c r="AJ290" i="11"/>
  <c r="AJ387" i="11"/>
  <c r="AJ65" i="11"/>
  <c r="AJ134" i="11"/>
  <c r="AJ104" i="11"/>
  <c r="AJ249" i="11"/>
  <c r="AJ12" i="11"/>
  <c r="AJ179" i="11"/>
  <c r="AJ356" i="11"/>
  <c r="AJ302" i="11"/>
  <c r="AJ259" i="11"/>
  <c r="AJ183" i="11"/>
  <c r="AJ329" i="11"/>
  <c r="AJ247" i="11"/>
  <c r="AJ32" i="11"/>
  <c r="AJ340" i="11"/>
  <c r="AJ241" i="11"/>
  <c r="AJ159" i="11"/>
  <c r="AJ433" i="11"/>
  <c r="AJ488" i="11"/>
  <c r="AJ105" i="11"/>
  <c r="AJ62" i="11"/>
  <c r="AJ74" i="11"/>
  <c r="AJ219" i="11"/>
  <c r="AJ343" i="11"/>
  <c r="AJ212" i="11"/>
  <c r="AJ477" i="11"/>
  <c r="AJ87" i="11"/>
  <c r="AJ165" i="11"/>
  <c r="AJ24" i="11"/>
  <c r="AJ178" i="11"/>
  <c r="AJ453" i="11"/>
  <c r="AJ385" i="11"/>
  <c r="AJ298" i="11"/>
  <c r="AJ151" i="11"/>
  <c r="AJ138" i="11"/>
  <c r="AJ261" i="11"/>
  <c r="AJ15" i="11"/>
  <c r="AJ233" i="11"/>
  <c r="AJ92" i="11"/>
  <c r="AJ333" i="11"/>
  <c r="AJ493" i="11"/>
  <c r="AJ371" i="11"/>
  <c r="AJ497" i="11"/>
  <c r="AJ154" i="11"/>
  <c r="AJ23" i="11"/>
  <c r="AJ401" i="11"/>
  <c r="AJ392" i="11"/>
  <c r="AJ73" i="11"/>
  <c r="AJ390" i="11"/>
  <c r="AJ484" i="11"/>
  <c r="AJ382" i="11"/>
  <c r="AJ11" i="11"/>
  <c r="AJ400" i="11"/>
  <c r="AJ438" i="11"/>
  <c r="AJ268" i="11"/>
  <c r="AJ94" i="11"/>
  <c r="AJ467" i="11"/>
  <c r="AJ496" i="11"/>
  <c r="AJ358" i="11"/>
  <c r="AJ51" i="11"/>
  <c r="AJ127" i="11"/>
  <c r="AJ152" i="11"/>
  <c r="AJ204" i="11"/>
  <c r="AJ251" i="11"/>
  <c r="AJ465" i="11"/>
  <c r="AJ269" i="11"/>
  <c r="AJ284" i="11"/>
  <c r="AJ28" i="11"/>
  <c r="AJ245" i="11"/>
  <c r="AJ167" i="11"/>
  <c r="AJ344" i="11"/>
  <c r="AJ314" i="11"/>
  <c r="AJ194" i="11"/>
  <c r="AJ145" i="11"/>
  <c r="AJ242" i="11"/>
  <c r="AJ37" i="11"/>
  <c r="AJ272" i="11"/>
  <c r="AJ312" i="11"/>
  <c r="AJ363" i="11"/>
  <c r="AJ229" i="11"/>
  <c r="AJ454" i="11"/>
  <c r="AJ169" i="11"/>
  <c r="AJ53" i="11"/>
  <c r="AJ424" i="11"/>
  <c r="AJ378" i="11"/>
  <c r="AJ348" i="11"/>
  <c r="AJ439" i="11"/>
  <c r="AJ91" i="11"/>
  <c r="AJ308" i="11"/>
  <c r="AJ59" i="11"/>
  <c r="AJ221" i="11"/>
  <c r="AJ381" i="11"/>
  <c r="AJ326" i="11"/>
  <c r="AJ132" i="11"/>
  <c r="AJ168" i="11"/>
  <c r="AJ184" i="11"/>
  <c r="AJ97" i="11"/>
  <c r="AJ171" i="11"/>
  <c r="AJ63" i="11"/>
  <c r="AJ86" i="11"/>
  <c r="AJ502" i="11"/>
  <c r="AJ295" i="11"/>
  <c r="AJ103" i="11"/>
  <c r="AJ285" i="11"/>
  <c r="AJ98" i="11"/>
  <c r="AJ337" i="11"/>
  <c r="AJ35" i="11"/>
  <c r="AJ69" i="11"/>
  <c r="AJ422" i="11"/>
  <c r="AJ215" i="11"/>
  <c r="AJ202" i="11"/>
  <c r="AJ479" i="11"/>
  <c r="AJ374" i="11"/>
  <c r="AJ41" i="11"/>
  <c r="AJ384" i="11"/>
  <c r="AJ160" i="11"/>
  <c r="AJ481" i="11"/>
  <c r="AJ410" i="11"/>
  <c r="AJ68" i="11"/>
  <c r="AJ139" i="11"/>
  <c r="AJ328" i="11"/>
  <c r="AJ402" i="11"/>
  <c r="AJ236" i="11"/>
  <c r="AJ327" i="11"/>
  <c r="AJ149" i="11"/>
  <c r="AJ128" i="11"/>
  <c r="AJ77" i="11"/>
  <c r="AJ114" i="11"/>
  <c r="AJ80" i="11"/>
  <c r="AK1" i="11" l="1"/>
  <c r="AK449" i="11"/>
  <c r="AK73" i="11"/>
  <c r="AK369" i="11"/>
  <c r="AK102" i="11"/>
  <c r="AK88" i="11"/>
  <c r="AK497" i="11"/>
  <c r="AK224" i="11"/>
  <c r="AK64" i="11"/>
  <c r="AK92" i="11"/>
  <c r="AK233" i="11"/>
  <c r="AK423" i="11"/>
  <c r="AK120" i="11"/>
  <c r="AK206" i="11"/>
  <c r="AK261" i="11"/>
  <c r="AK322" i="11"/>
  <c r="AK47" i="11"/>
  <c r="AK155" i="11"/>
  <c r="AK407" i="11"/>
  <c r="AK166" i="11"/>
  <c r="AK455" i="11"/>
  <c r="AK273" i="11"/>
  <c r="AK122" i="11"/>
  <c r="AK24" i="11"/>
  <c r="AK160" i="11"/>
  <c r="AK232" i="11"/>
  <c r="AK181" i="11"/>
  <c r="AK421" i="11"/>
  <c r="AK133" i="11"/>
  <c r="AK355" i="11"/>
  <c r="AK242" i="11"/>
  <c r="AK265" i="11"/>
  <c r="AK29" i="11"/>
  <c r="AK499" i="11"/>
  <c r="AK170" i="11"/>
  <c r="AK326" i="11"/>
  <c r="AK91" i="11"/>
  <c r="AK165" i="11"/>
  <c r="AK282" i="11"/>
  <c r="AK144" i="11"/>
  <c r="AK18" i="11"/>
  <c r="AK384" i="11"/>
  <c r="AK422" i="11"/>
  <c r="AK496" i="11"/>
  <c r="AK278" i="11"/>
  <c r="AK95" i="11"/>
  <c r="AK226" i="11"/>
  <c r="AK61" i="11"/>
  <c r="AK392" i="11"/>
  <c r="AK493" i="11"/>
  <c r="AK306" i="11"/>
  <c r="AK390" i="11"/>
  <c r="AK458" i="11"/>
  <c r="AK461" i="11"/>
  <c r="AK63" i="11"/>
  <c r="AK320" i="11"/>
  <c r="AK121" i="11"/>
  <c r="AK252" i="11"/>
  <c r="AK433" i="11"/>
  <c r="AK289" i="11"/>
  <c r="AK376" i="11"/>
  <c r="AK476" i="11"/>
  <c r="AK477" i="11"/>
  <c r="AK83" i="11"/>
  <c r="AK234" i="11"/>
  <c r="AK336" i="11"/>
  <c r="AK281" i="11"/>
  <c r="AK191" i="11"/>
  <c r="AK164" i="11"/>
  <c r="AK388" i="11"/>
  <c r="AK54" i="11"/>
  <c r="AK303" i="11"/>
  <c r="AK44" i="11"/>
  <c r="AK473" i="11"/>
  <c r="AK127" i="11"/>
  <c r="AK115" i="11"/>
  <c r="AK279" i="11"/>
  <c r="AK94" i="11"/>
  <c r="AK329" i="11"/>
  <c r="AK335" i="11"/>
  <c r="AK23" i="11"/>
  <c r="AK346" i="11"/>
  <c r="AK81" i="11"/>
  <c r="AK111" i="11"/>
  <c r="AK307" i="11"/>
  <c r="AK67" i="11"/>
  <c r="AK136" i="11"/>
  <c r="AK8" i="11"/>
  <c r="AK199" i="11"/>
  <c r="AK311" i="11"/>
  <c r="AK457" i="11"/>
  <c r="AK373" i="11"/>
  <c r="AK100" i="11"/>
  <c r="AK227" i="11"/>
  <c r="AK484" i="11"/>
  <c r="AK56" i="11"/>
  <c r="AK72" i="11"/>
  <c r="AK211" i="11"/>
  <c r="AK314" i="11"/>
  <c r="AK434" i="11"/>
  <c r="AK382" i="11"/>
  <c r="AK280" i="11"/>
  <c r="AK503" i="11"/>
  <c r="AK354" i="11"/>
  <c r="AK51" i="11"/>
  <c r="AK208" i="11"/>
  <c r="AK366" i="11"/>
  <c r="AK295" i="11"/>
  <c r="AK262" i="11"/>
  <c r="AK391" i="11"/>
  <c r="AK317" i="11"/>
  <c r="AK308" i="11"/>
  <c r="AK32" i="11"/>
  <c r="AK494" i="11"/>
  <c r="AK471" i="11"/>
  <c r="AK410" i="11"/>
  <c r="AK205" i="11"/>
  <c r="AK183" i="11"/>
  <c r="AK218" i="11"/>
  <c r="AK20" i="11"/>
  <c r="AK413" i="11"/>
  <c r="AK401" i="11"/>
  <c r="AK125" i="11"/>
  <c r="AK196" i="11"/>
  <c r="AK257" i="11"/>
  <c r="AK297" i="11"/>
  <c r="AK21" i="11"/>
  <c r="AK219" i="11"/>
  <c r="AK406" i="11"/>
  <c r="AK212" i="11"/>
  <c r="AK167" i="11"/>
  <c r="AK105" i="11"/>
  <c r="AK411" i="11"/>
  <c r="AK139" i="11"/>
  <c r="AK266" i="11"/>
  <c r="AK309" i="11"/>
  <c r="AK175" i="11"/>
  <c r="AK143" i="11"/>
  <c r="AK113" i="11"/>
  <c r="AK437" i="11"/>
  <c r="AK315" i="11"/>
  <c r="AK339" i="11"/>
  <c r="AK9" i="11"/>
  <c r="AK17" i="11"/>
  <c r="AK243" i="11"/>
  <c r="AK118" i="11"/>
  <c r="AK37" i="11"/>
  <c r="AK90" i="11"/>
  <c r="AK70" i="11"/>
  <c r="AK86" i="11"/>
  <c r="AK357" i="11"/>
  <c r="AK409" i="11"/>
  <c r="AK97" i="11"/>
  <c r="AK109" i="11"/>
  <c r="AK13" i="11"/>
  <c r="AK220" i="11"/>
  <c r="AK502" i="11"/>
  <c r="AK353" i="11"/>
  <c r="AK460" i="11"/>
  <c r="AK131" i="11"/>
  <c r="AK267" i="11"/>
  <c r="AK14" i="11"/>
  <c r="AK435" i="11"/>
  <c r="AK332" i="11"/>
  <c r="AK291" i="11"/>
  <c r="AK264" i="11"/>
  <c r="AK104" i="11"/>
  <c r="AK299" i="11"/>
  <c r="AK328" i="11"/>
  <c r="AK10" i="11"/>
  <c r="AK393" i="11"/>
  <c r="AK159" i="11"/>
  <c r="AK287" i="11"/>
  <c r="AK259" i="11"/>
  <c r="AK275" i="11"/>
  <c r="AK304" i="11"/>
  <c r="AK351" i="11"/>
  <c r="AK87" i="11"/>
  <c r="AK237" i="11"/>
  <c r="AK241" i="11"/>
  <c r="AK161" i="11"/>
  <c r="AK485" i="11"/>
  <c r="AK350" i="11"/>
  <c r="AK389" i="11"/>
  <c r="AK68" i="11"/>
  <c r="AK334" i="11"/>
  <c r="AK258" i="11"/>
  <c r="AK363" i="11"/>
  <c r="AK141" i="11"/>
  <c r="AK348" i="11"/>
  <c r="AK147" i="11"/>
  <c r="AK151" i="11"/>
  <c r="AK135" i="11"/>
  <c r="AK28" i="11"/>
  <c r="AK142" i="11"/>
  <c r="AK386" i="11"/>
  <c r="AK202" i="11"/>
  <c r="AK474" i="11"/>
  <c r="AK171" i="11"/>
  <c r="AK247" i="11"/>
  <c r="AK11" i="11"/>
  <c r="AK379" i="11"/>
  <c r="AK132" i="11"/>
  <c r="AK481" i="11"/>
  <c r="AK66" i="11"/>
  <c r="AK76" i="11"/>
  <c r="AK231" i="11"/>
  <c r="AK394" i="11"/>
  <c r="AK501" i="11"/>
  <c r="AK108" i="11"/>
  <c r="AK214" i="11"/>
  <c r="AK408" i="11"/>
  <c r="AK107" i="11"/>
  <c r="AK349" i="11"/>
  <c r="AK79" i="11"/>
  <c r="AK288" i="11"/>
  <c r="AK74" i="11"/>
  <c r="AK25" i="11"/>
  <c r="AK283" i="11"/>
  <c r="AK178" i="11"/>
  <c r="AK128" i="11"/>
  <c r="AK475" i="11"/>
  <c r="AK498" i="11"/>
  <c r="AK417" i="11"/>
  <c r="AK443" i="11"/>
  <c r="AK35" i="11"/>
  <c r="AK300" i="11"/>
  <c r="AK148" i="11"/>
  <c r="AK438" i="11"/>
  <c r="AK469" i="11"/>
  <c r="AK204" i="11"/>
  <c r="AK85" i="11"/>
  <c r="AK15" i="11"/>
  <c r="AK106" i="11"/>
  <c r="AK400" i="11"/>
  <c r="AK365" i="11"/>
  <c r="AK84" i="11"/>
  <c r="AK129" i="11"/>
  <c r="AK180" i="11"/>
  <c r="AK375" i="11"/>
  <c r="AK33" i="11"/>
  <c r="AK405" i="11"/>
  <c r="AK426" i="11"/>
  <c r="AK415" i="11"/>
  <c r="AK419" i="11"/>
  <c r="AK197" i="11"/>
  <c r="AK321" i="11"/>
  <c r="AK396" i="11"/>
  <c r="AK5" i="11"/>
  <c r="AK185" i="11"/>
  <c r="AK344" i="11"/>
  <c r="AK360" i="11"/>
  <c r="AK117" i="11"/>
  <c r="AK96" i="11"/>
  <c r="AK412" i="11"/>
  <c r="AK285" i="11"/>
  <c r="AK34" i="11"/>
  <c r="AK78" i="11"/>
  <c r="AK236" i="11"/>
  <c r="AK414" i="11"/>
  <c r="AK470" i="11"/>
  <c r="AK251" i="11"/>
  <c r="AK296" i="11"/>
  <c r="AK491" i="11"/>
  <c r="AK272" i="11"/>
  <c r="AK468" i="11"/>
  <c r="AK447" i="11"/>
  <c r="AK385" i="11"/>
  <c r="AK195" i="11"/>
  <c r="AK112" i="11"/>
  <c r="AK479" i="11"/>
  <c r="AK31" i="11"/>
  <c r="AK215" i="11"/>
  <c r="AK313" i="11"/>
  <c r="AK403" i="11"/>
  <c r="AK176" i="11"/>
  <c r="AK305" i="11"/>
  <c r="AK416" i="11"/>
  <c r="AK249" i="11"/>
  <c r="AK483" i="11"/>
  <c r="AK358" i="11"/>
  <c r="AK198" i="11"/>
  <c r="AK359" i="11"/>
  <c r="AK244" i="11"/>
  <c r="AK245" i="11"/>
  <c r="AK271" i="11"/>
  <c r="AK381" i="11"/>
  <c r="AK255" i="11"/>
  <c r="AK12" i="11"/>
  <c r="AK228" i="11"/>
  <c r="AK292" i="11"/>
  <c r="AK432" i="11"/>
  <c r="AK383" i="11"/>
  <c r="AK248" i="11"/>
  <c r="AK194" i="11"/>
  <c r="AK223" i="11"/>
  <c r="AK39" i="11"/>
  <c r="AK340" i="11"/>
  <c r="AK186" i="11"/>
  <c r="AK312" i="11"/>
  <c r="AK298" i="11"/>
  <c r="AK157" i="11"/>
  <c r="AK345" i="11"/>
  <c r="AK59" i="11"/>
  <c r="AK324" i="11"/>
  <c r="AK89" i="11"/>
  <c r="AK277" i="11"/>
  <c r="AK445" i="11"/>
  <c r="AK114" i="11"/>
  <c r="AK310" i="11"/>
  <c r="AK60" i="11"/>
  <c r="AK395" i="11"/>
  <c r="AK378" i="11"/>
  <c r="AK182" i="11"/>
  <c r="AK294" i="11"/>
  <c r="AK450" i="11"/>
  <c r="AK372" i="11"/>
  <c r="AK124" i="11"/>
  <c r="AK98" i="11"/>
  <c r="AK41" i="11"/>
  <c r="AK130" i="11"/>
  <c r="AK440" i="11"/>
  <c r="AK480" i="11"/>
  <c r="AK162" i="11"/>
  <c r="AK188" i="11"/>
  <c r="AK374" i="11"/>
  <c r="AK371" i="11"/>
  <c r="AK58" i="11"/>
  <c r="AK451" i="11"/>
  <c r="AK472" i="11"/>
  <c r="AK82" i="11"/>
  <c r="AK404" i="11"/>
  <c r="AK174" i="11"/>
  <c r="AK154" i="11"/>
  <c r="AK55" i="11"/>
  <c r="AK436" i="11"/>
  <c r="AK238" i="11"/>
  <c r="AK453" i="11"/>
  <c r="AK319" i="11"/>
  <c r="AK444" i="11"/>
  <c r="AK145" i="11"/>
  <c r="AK207" i="11"/>
  <c r="AK260" i="11"/>
  <c r="AK482" i="11"/>
  <c r="AK431" i="11"/>
  <c r="AK201" i="11"/>
  <c r="AK110" i="11"/>
  <c r="AK101" i="11"/>
  <c r="AK337" i="11"/>
  <c r="AK398" i="11"/>
  <c r="AK352" i="11"/>
  <c r="AK380" i="11"/>
  <c r="AK57" i="11"/>
  <c r="AK217" i="11"/>
  <c r="AK169" i="11"/>
  <c r="AK213" i="11"/>
  <c r="AK492" i="11"/>
  <c r="AK137" i="11"/>
  <c r="AK46" i="11"/>
  <c r="AK424" i="11"/>
  <c r="AK448" i="11"/>
  <c r="AK200" i="11"/>
  <c r="AK333" i="11"/>
  <c r="AK318" i="11"/>
  <c r="AK464" i="11"/>
  <c r="AK246" i="11"/>
  <c r="AK22" i="11"/>
  <c r="AK190" i="11"/>
  <c r="AK446" i="11"/>
  <c r="AK168" i="11"/>
  <c r="AK240" i="11"/>
  <c r="AK184" i="11"/>
  <c r="AK286" i="11"/>
  <c r="AK48" i="11"/>
  <c r="AK69" i="11"/>
  <c r="AK347" i="11"/>
  <c r="AK179" i="11"/>
  <c r="AK302" i="11"/>
  <c r="AK3" i="11"/>
  <c r="AK428" i="11"/>
  <c r="AK27" i="11"/>
  <c r="AK119" i="11"/>
  <c r="AK490" i="11"/>
  <c r="AK495" i="11"/>
  <c r="AK439" i="11"/>
  <c r="AK500" i="11"/>
  <c r="AK325" i="11"/>
  <c r="AK138" i="11"/>
  <c r="AK158" i="11"/>
  <c r="AK50" i="11"/>
  <c r="AK370" i="11"/>
  <c r="AK486" i="11"/>
  <c r="AK103" i="11"/>
  <c r="AK331" i="11"/>
  <c r="AK71" i="11"/>
  <c r="AK364" i="11"/>
  <c r="AK173" i="11"/>
  <c r="AK16" i="11"/>
  <c r="AK253" i="11"/>
  <c r="AK235" i="11"/>
  <c r="AK397" i="11"/>
  <c r="AK152" i="11"/>
  <c r="AK99" i="11"/>
  <c r="AK77" i="11"/>
  <c r="AK40" i="11"/>
  <c r="AK341" i="11"/>
  <c r="AK239" i="11"/>
  <c r="AK254" i="11"/>
  <c r="AK140" i="11"/>
  <c r="AK429" i="11"/>
  <c r="AK489" i="11"/>
  <c r="AK53" i="11"/>
  <c r="AK263" i="11"/>
  <c r="AK418" i="11"/>
  <c r="AK116" i="11"/>
  <c r="AK189" i="11"/>
  <c r="AK149" i="11"/>
  <c r="AK377" i="11"/>
  <c r="AK93" i="11"/>
  <c r="AK193" i="11"/>
  <c r="AK6" i="11"/>
  <c r="AK49" i="11"/>
  <c r="AK327" i="11"/>
  <c r="AK487" i="11"/>
  <c r="AK330" i="11"/>
  <c r="AK465" i="11"/>
  <c r="AK80" i="11"/>
  <c r="AK269" i="11"/>
  <c r="AK478" i="11"/>
  <c r="AK301" i="11"/>
  <c r="AK36" i="11"/>
  <c r="AK153" i="11"/>
  <c r="AK270" i="11"/>
  <c r="AK177" i="11"/>
  <c r="AK172" i="11"/>
  <c r="AK456" i="11"/>
  <c r="AK466" i="11"/>
  <c r="AK463" i="11"/>
  <c r="AK26" i="11"/>
  <c r="AK203" i="11"/>
  <c r="AK146" i="11"/>
  <c r="AK387" i="11"/>
  <c r="AK209" i="11"/>
  <c r="AK462" i="11"/>
  <c r="AK441" i="11"/>
  <c r="AK38" i="11"/>
  <c r="AK256" i="11"/>
  <c r="AK290" i="11"/>
  <c r="AK187" i="11"/>
  <c r="AK230" i="11"/>
  <c r="AK316" i="11"/>
  <c r="AK156" i="11"/>
  <c r="AK19" i="11"/>
  <c r="AK402" i="11"/>
  <c r="AK216" i="11"/>
  <c r="AK338" i="11"/>
  <c r="AK356" i="11"/>
  <c r="AK274" i="11"/>
  <c r="AK399" i="11"/>
  <c r="AK222" i="11"/>
  <c r="AK427" i="11"/>
  <c r="AK42" i="11"/>
  <c r="AK442" i="11"/>
  <c r="AK430" i="11"/>
  <c r="AK467" i="11"/>
  <c r="AK65" i="11"/>
  <c r="AK454" i="11"/>
  <c r="AK420" i="11"/>
  <c r="AK284" i="11"/>
  <c r="AK30" i="11"/>
  <c r="AK210" i="11"/>
  <c r="AK225" i="11"/>
  <c r="AK221" i="11"/>
  <c r="AK150" i="11"/>
  <c r="AK367" i="11"/>
  <c r="AK250" i="11"/>
  <c r="AK43" i="11"/>
  <c r="AK368" i="11"/>
  <c r="AK126" i="11"/>
  <c r="AK425" i="11"/>
  <c r="AK362" i="11"/>
  <c r="AK163" i="11"/>
  <c r="AK229" i="11"/>
  <c r="AK45" i="11"/>
  <c r="AK75" i="11"/>
  <c r="AK452" i="11"/>
  <c r="AK323" i="11"/>
  <c r="AK268" i="11"/>
  <c r="AK293" i="11"/>
  <c r="AK192" i="11"/>
  <c r="AK342" i="11"/>
  <c r="AK134" i="11"/>
  <c r="AK361" i="11"/>
  <c r="AK62" i="11"/>
  <c r="AK343" i="11"/>
  <c r="AK52" i="11"/>
  <c r="AK488" i="11"/>
  <c r="AK276" i="11"/>
  <c r="AK459" i="11"/>
  <c r="AK123" i="11"/>
  <c r="Z22" i="1" l="1"/>
  <c r="Z51" i="1" s="1"/>
  <c r="B22" i="1"/>
  <c r="Z38" i="1"/>
  <c r="Z28" i="1"/>
  <c r="B19" i="1"/>
  <c r="B142" i="1"/>
  <c r="Z19" i="1"/>
  <c r="Z48" i="1" s="1"/>
  <c r="Z17" i="1"/>
  <c r="Z46" i="1" s="1"/>
  <c r="Z24" i="1"/>
  <c r="Z53" i="1" s="1"/>
  <c r="B24" i="1"/>
  <c r="Z39" i="1"/>
  <c r="Z37" i="1"/>
  <c r="E135" i="1"/>
  <c r="Z29" i="1"/>
  <c r="B21" i="1"/>
  <c r="Z21" i="1"/>
  <c r="Z50" i="1" s="1"/>
  <c r="B25" i="1"/>
  <c r="Z25" i="1"/>
  <c r="Z54" i="1" s="1"/>
  <c r="Z16" i="1"/>
  <c r="Z45" i="1" s="1"/>
  <c r="Z27" i="1"/>
  <c r="B64" i="1"/>
  <c r="Z26" i="1"/>
  <c r="Z55" i="1" s="1"/>
  <c r="B26" i="1"/>
  <c r="B48" i="1"/>
  <c r="AA15" i="1"/>
  <c r="AA44" i="1" s="1"/>
  <c r="Z36" i="1"/>
  <c r="E138" i="1"/>
  <c r="Z18" i="1"/>
  <c r="Z47" i="1" s="1"/>
  <c r="Z23" i="1"/>
  <c r="Z52" i="1" s="1"/>
  <c r="B23" i="1"/>
  <c r="Z20" i="1"/>
  <c r="Z49" i="1" s="1"/>
  <c r="B20" i="1"/>
  <c r="BY36" i="1"/>
  <c r="AQ36" i="1"/>
  <c r="CC36" i="1"/>
  <c r="CD38" i="1"/>
  <c r="BG38" i="1"/>
  <c r="BY38" i="1"/>
  <c r="AH38" i="1"/>
  <c r="AL28" i="1"/>
  <c r="BB29" i="1"/>
  <c r="AG39" i="1"/>
  <c r="BG39" i="1"/>
  <c r="B121" i="1"/>
  <c r="B79" i="1"/>
  <c r="B87" i="1"/>
  <c r="B99" i="1"/>
  <c r="AC36" i="1"/>
  <c r="AI37" i="1"/>
  <c r="AM37" i="1"/>
  <c r="BS27" i="1"/>
  <c r="AU27" i="1"/>
  <c r="AX27" i="1"/>
  <c r="BN27" i="1"/>
  <c r="BI29" i="1"/>
  <c r="B91" i="1"/>
  <c r="B97" i="1"/>
  <c r="B105" i="1"/>
  <c r="BV36" i="1"/>
  <c r="BP36" i="1"/>
  <c r="AV36" i="1"/>
  <c r="BI38" i="1"/>
  <c r="AO38" i="1"/>
  <c r="BU28" i="1"/>
  <c r="BK29" i="1"/>
  <c r="BZ39" i="1"/>
  <c r="AH39" i="1"/>
  <c r="BQ39" i="1"/>
  <c r="C64" i="1"/>
  <c r="B106" i="1"/>
  <c r="B120" i="1"/>
  <c r="B111" i="1"/>
  <c r="BL37" i="1"/>
  <c r="BR27" i="1"/>
  <c r="AR27" i="1"/>
  <c r="AG27" i="1"/>
  <c r="BR29" i="1"/>
  <c r="BV29" i="1"/>
  <c r="BT29" i="1"/>
  <c r="CD27" i="1"/>
  <c r="CG27" i="1"/>
  <c r="BI27" i="1"/>
  <c r="AV29" i="1"/>
  <c r="AC29" i="1"/>
  <c r="AG29" i="1"/>
  <c r="AJ39" i="1"/>
  <c r="AA38" i="1"/>
  <c r="BC38" i="1"/>
  <c r="BT38" i="1"/>
  <c r="AC38" i="1"/>
  <c r="CA28" i="1"/>
  <c r="AF28" i="1"/>
  <c r="BB28" i="1"/>
  <c r="BO28" i="1"/>
  <c r="BX37" i="1"/>
  <c r="CG29" i="1"/>
  <c r="B122" i="1"/>
  <c r="B65" i="1"/>
  <c r="BR36" i="1"/>
  <c r="BN36" i="1"/>
  <c r="BI36" i="1"/>
  <c r="BT36" i="1"/>
  <c r="BR38" i="1"/>
  <c r="AJ27" i="1"/>
  <c r="CF27" i="1"/>
  <c r="BW29" i="1"/>
  <c r="AB29" i="1"/>
  <c r="BD29" i="1"/>
  <c r="BN39" i="1"/>
  <c r="AK39" i="1"/>
  <c r="BQ36" i="1"/>
  <c r="BG36" i="1"/>
  <c r="AJ36" i="1"/>
  <c r="BW38" i="1"/>
  <c r="CG38" i="1"/>
  <c r="BE38" i="1"/>
  <c r="AK28" i="1"/>
  <c r="BE28" i="1"/>
  <c r="CF39" i="1"/>
  <c r="AA28" i="1"/>
  <c r="B70" i="1"/>
  <c r="B109" i="1"/>
  <c r="B50" i="1"/>
  <c r="B59" i="1"/>
  <c r="AL36" i="1"/>
  <c r="BO36" i="1"/>
  <c r="CB36" i="1"/>
  <c r="BO29" i="1"/>
  <c r="AW29" i="1"/>
  <c r="BL29" i="1"/>
  <c r="BL39" i="1"/>
  <c r="AD28" i="1"/>
  <c r="CB28" i="1"/>
  <c r="CH28" i="1"/>
  <c r="BS37" i="1"/>
  <c r="AG37" i="1"/>
  <c r="BN37" i="1"/>
  <c r="AD27" i="1"/>
  <c r="BV27" i="1"/>
  <c r="CA36" i="1"/>
  <c r="AF36" i="1"/>
  <c r="AH36" i="1"/>
  <c r="AP38" i="1"/>
  <c r="BO38" i="1"/>
  <c r="CH38" i="1"/>
  <c r="CG28" i="1"/>
  <c r="AT27" i="1"/>
  <c r="AU29" i="1"/>
  <c r="BM29" i="1"/>
  <c r="BC39" i="1"/>
  <c r="AZ39" i="1"/>
  <c r="BJ39" i="1"/>
  <c r="B85" i="1"/>
  <c r="B100" i="1"/>
  <c r="AG38" i="1"/>
  <c r="AB38" i="1"/>
  <c r="AO28" i="1"/>
  <c r="BW28" i="1"/>
  <c r="BK28" i="1"/>
  <c r="AV28" i="1"/>
  <c r="BO37" i="1"/>
  <c r="AT37" i="1"/>
  <c r="B49" i="1"/>
  <c r="B68" i="1"/>
  <c r="AD36" i="1"/>
  <c r="CD36" i="1"/>
  <c r="BX36" i="1"/>
  <c r="BA36" i="1"/>
  <c r="BQ38" i="1"/>
  <c r="AI38" i="1"/>
  <c r="BT27" i="1"/>
  <c r="BY39" i="1"/>
  <c r="CH39" i="1"/>
  <c r="AY39" i="1"/>
  <c r="AA27" i="1"/>
  <c r="B60" i="1"/>
  <c r="B73" i="1"/>
  <c r="AQ38" i="1"/>
  <c r="CG39" i="1"/>
  <c r="BK39" i="1"/>
  <c r="BH39" i="1"/>
  <c r="B98" i="1"/>
  <c r="B115" i="1"/>
  <c r="B112" i="1"/>
  <c r="B103" i="1"/>
  <c r="AD39" i="1"/>
  <c r="CB39" i="1"/>
  <c r="BP39" i="1"/>
  <c r="B102" i="1"/>
  <c r="B104" i="1"/>
  <c r="B78" i="1"/>
  <c r="B108" i="1"/>
  <c r="AE28" i="1"/>
  <c r="CE27" i="1"/>
  <c r="BF29" i="1"/>
  <c r="AY28" i="1"/>
  <c r="CA37" i="1"/>
  <c r="BJ27" i="1"/>
  <c r="B74" i="1"/>
  <c r="BH36" i="1"/>
  <c r="CA38" i="1"/>
  <c r="BK27" i="1"/>
  <c r="BS29" i="1"/>
  <c r="BJ29" i="1"/>
  <c r="BQ28" i="1"/>
  <c r="CC37" i="1"/>
  <c r="AC39" i="1"/>
  <c r="BW36" i="1"/>
  <c r="AZ38" i="1"/>
  <c r="B76" i="1"/>
  <c r="BJ36" i="1"/>
  <c r="AJ28" i="1"/>
  <c r="BU36" i="1"/>
  <c r="BP38" i="1"/>
  <c r="AW39" i="1"/>
  <c r="BV39" i="1"/>
  <c r="AH28" i="1"/>
  <c r="AR37" i="1"/>
  <c r="AE36" i="1"/>
  <c r="AV38" i="1"/>
  <c r="AX36" i="1"/>
  <c r="BD38" i="1"/>
  <c r="BL38" i="1"/>
  <c r="AS28" i="1"/>
  <c r="BT39" i="1"/>
  <c r="AU37" i="1"/>
  <c r="AS27" i="1"/>
  <c r="AJ38" i="1"/>
  <c r="AX28" i="1"/>
  <c r="CE28" i="1"/>
  <c r="BT28" i="1"/>
  <c r="BF37" i="1"/>
  <c r="AV37" i="1"/>
  <c r="BZ29" i="1"/>
  <c r="AR29" i="1"/>
  <c r="CB29" i="1"/>
  <c r="AN29" i="1"/>
  <c r="CG37" i="1"/>
  <c r="BQ37" i="1"/>
  <c r="BM37" i="1"/>
  <c r="AW27" i="1"/>
  <c r="AP27" i="1"/>
  <c r="BG27" i="1"/>
  <c r="CC29" i="1"/>
  <c r="AS29" i="1"/>
  <c r="BK38" i="1"/>
  <c r="CB38" i="1"/>
  <c r="AL38" i="1"/>
  <c r="BF28" i="1"/>
  <c r="BJ28" i="1"/>
  <c r="BL28" i="1"/>
  <c r="AY37" i="1"/>
  <c r="B89" i="1"/>
  <c r="AX39" i="1"/>
  <c r="BO39" i="1"/>
  <c r="B96" i="1"/>
  <c r="B117" i="1"/>
  <c r="B67" i="1"/>
  <c r="B77" i="1"/>
  <c r="AN36" i="1"/>
  <c r="CD28" i="1"/>
  <c r="BR28" i="1"/>
  <c r="BR37" i="1"/>
  <c r="AN37" i="1"/>
  <c r="BV37" i="1"/>
  <c r="AO27" i="1"/>
  <c r="BC27" i="1"/>
  <c r="AC27" i="1"/>
  <c r="CG36" i="1"/>
  <c r="BS36" i="1"/>
  <c r="BU38" i="1"/>
  <c r="CF38" i="1"/>
  <c r="AE38" i="1"/>
  <c r="BM38" i="1"/>
  <c r="AT28" i="1"/>
  <c r="BM28" i="1"/>
  <c r="B93" i="1"/>
  <c r="B88" i="1"/>
  <c r="B75" i="1"/>
  <c r="B116" i="1"/>
  <c r="B58" i="1"/>
  <c r="B52" i="1"/>
  <c r="AY36" i="1"/>
  <c r="BN29" i="1"/>
  <c r="B118" i="1"/>
  <c r="B101" i="1"/>
  <c r="B56" i="1"/>
  <c r="B90" i="1"/>
  <c r="BF36" i="1"/>
  <c r="BK36" i="1"/>
  <c r="BD36" i="1"/>
  <c r="B123" i="1"/>
  <c r="B92" i="1"/>
  <c r="C48" i="1"/>
  <c r="B54" i="1"/>
  <c r="AZ36" i="1"/>
  <c r="BZ36" i="1"/>
  <c r="BB38" i="1"/>
  <c r="AO39" i="1"/>
  <c r="AL27" i="1"/>
  <c r="BX29" i="1"/>
  <c r="CA39" i="1"/>
  <c r="AB28" i="1"/>
  <c r="AO37" i="1"/>
  <c r="BH37" i="1"/>
  <c r="BE36" i="1"/>
  <c r="BA38" i="1"/>
  <c r="AL37" i="1"/>
  <c r="CC27" i="1"/>
  <c r="AF29" i="1"/>
  <c r="AK38" i="1"/>
  <c r="BY28" i="1"/>
  <c r="BW37" i="1"/>
  <c r="B80" i="1"/>
  <c r="CF36" i="1"/>
  <c r="B113" i="1"/>
  <c r="CE36" i="1"/>
  <c r="BH38" i="1"/>
  <c r="BL36" i="1"/>
  <c r="AY38" i="1"/>
  <c r="AC28" i="1"/>
  <c r="BP29" i="1"/>
  <c r="BP28" i="1"/>
  <c r="BE37" i="1"/>
  <c r="AZ29" i="1"/>
  <c r="AD38" i="1"/>
  <c r="AS36" i="1"/>
  <c r="AZ28" i="1"/>
  <c r="CE38" i="1"/>
  <c r="BC28" i="1"/>
  <c r="BI39" i="1"/>
  <c r="BU37" i="1"/>
  <c r="BG29" i="1"/>
  <c r="BN28" i="1"/>
  <c r="AR38" i="1"/>
  <c r="AX37" i="1"/>
  <c r="BH28" i="1"/>
  <c r="BB37" i="1"/>
  <c r="CA27" i="1"/>
  <c r="CF29" i="1"/>
  <c r="AL39" i="1"/>
  <c r="AK29" i="1"/>
  <c r="AJ29" i="1"/>
  <c r="B86" i="1"/>
  <c r="BD27" i="1"/>
  <c r="CH29" i="1"/>
  <c r="CE39" i="1"/>
  <c r="BV28" i="1"/>
  <c r="AJ37" i="1"/>
  <c r="B66" i="1"/>
  <c r="AK36" i="1"/>
  <c r="BD37" i="1"/>
  <c r="BH27" i="1"/>
  <c r="BV38" i="1"/>
  <c r="BG28" i="1"/>
  <c r="BC37" i="1"/>
  <c r="CH36" i="1"/>
  <c r="BZ38" i="1"/>
  <c r="BM36" i="1"/>
  <c r="AF38" i="1"/>
  <c r="AB36" i="1"/>
  <c r="AW38" i="1"/>
  <c r="AX29" i="1"/>
  <c r="BZ37" i="1"/>
  <c r="AI27" i="1"/>
  <c r="CC38" i="1"/>
  <c r="AM28" i="1"/>
  <c r="AM38" i="1"/>
  <c r="AO36" i="1"/>
  <c r="CC28" i="1"/>
  <c r="AY27" i="1"/>
  <c r="B81" i="1"/>
  <c r="BZ27" i="1"/>
  <c r="AS38" i="1"/>
  <c r="CE37" i="1"/>
  <c r="AI28" i="1"/>
  <c r="AP28" i="1"/>
  <c r="AB37" i="1"/>
  <c r="BX27" i="1"/>
  <c r="AI29" i="1"/>
  <c r="AV39" i="1"/>
  <c r="BU39" i="1"/>
  <c r="B114" i="1"/>
  <c r="AH29" i="1"/>
  <c r="AM29" i="1"/>
  <c r="AM39" i="1"/>
  <c r="CC39" i="1"/>
  <c r="AR39" i="1"/>
  <c r="AE39" i="1"/>
  <c r="B83" i="1"/>
  <c r="B94" i="1"/>
  <c r="BY37" i="1"/>
  <c r="AD37" i="1"/>
  <c r="AQ37" i="1"/>
  <c r="BU27" i="1"/>
  <c r="BM27" i="1"/>
  <c r="BF27" i="1"/>
  <c r="BY29" i="1"/>
  <c r="BC36" i="1"/>
  <c r="AT36" i="1"/>
  <c r="AP36" i="1"/>
  <c r="AX38" i="1"/>
  <c r="BX38" i="1"/>
  <c r="AN38" i="1"/>
  <c r="AR28" i="1"/>
  <c r="AW28" i="1"/>
  <c r="CH27" i="1"/>
  <c r="AK27" i="1"/>
  <c r="AP29" i="1"/>
  <c r="AT39" i="1"/>
  <c r="AA39" i="1"/>
  <c r="BE27" i="1"/>
  <c r="AG36" i="1"/>
  <c r="AQ28" i="1"/>
  <c r="BF38" i="1"/>
  <c r="AU28" i="1"/>
  <c r="AU38" i="1"/>
  <c r="BP37" i="1"/>
  <c r="B57" i="1"/>
  <c r="CA29" i="1"/>
  <c r="BS28" i="1"/>
  <c r="BI28" i="1"/>
  <c r="AC37" i="1"/>
  <c r="CB37" i="1"/>
  <c r="AH37" i="1"/>
  <c r="AY29" i="1"/>
  <c r="AV27" i="1"/>
  <c r="BM39" i="1"/>
  <c r="AS39" i="1"/>
  <c r="AI39" i="1"/>
  <c r="BS39" i="1"/>
  <c r="AP39" i="1"/>
  <c r="AA29" i="1"/>
  <c r="B107" i="1"/>
  <c r="B84" i="1"/>
  <c r="B95" i="1"/>
  <c r="AU36" i="1"/>
  <c r="CF37" i="1"/>
  <c r="BB27" i="1"/>
  <c r="AN27" i="1"/>
  <c r="CE29" i="1"/>
  <c r="AO29" i="1"/>
  <c r="AQ29" i="1"/>
  <c r="BQ29" i="1"/>
  <c r="AB39" i="1"/>
  <c r="BS38" i="1"/>
  <c r="BN38" i="1"/>
  <c r="AT38" i="1"/>
  <c r="AG28" i="1"/>
  <c r="BA28" i="1"/>
  <c r="BZ28" i="1"/>
  <c r="BG37" i="1"/>
  <c r="AK37" i="1"/>
  <c r="BC29" i="1"/>
  <c r="BU29" i="1"/>
  <c r="BR39" i="1"/>
  <c r="B72" i="1"/>
  <c r="AZ27" i="1"/>
  <c r="BX39" i="1"/>
  <c r="AP37" i="1"/>
  <c r="BT37" i="1"/>
  <c r="BK37" i="1"/>
  <c r="BA27" i="1"/>
  <c r="BW27" i="1"/>
  <c r="BL27" i="1"/>
  <c r="BW39" i="1"/>
  <c r="AN39" i="1"/>
  <c r="AD29" i="1"/>
  <c r="B51" i="1"/>
  <c r="B55" i="1"/>
  <c r="B82" i="1"/>
  <c r="AW36" i="1"/>
  <c r="AI36" i="1"/>
  <c r="AM36" i="1"/>
  <c r="BJ38" i="1"/>
  <c r="AT29" i="1"/>
  <c r="AL29" i="1"/>
  <c r="BE29" i="1"/>
  <c r="AU39" i="1"/>
  <c r="AQ39" i="1"/>
  <c r="BA39" i="1"/>
  <c r="AA36" i="1"/>
  <c r="B53" i="1"/>
  <c r="AN28" i="1"/>
  <c r="BD28" i="1"/>
  <c r="BJ37" i="1"/>
  <c r="AF37" i="1"/>
  <c r="AW37" i="1"/>
  <c r="AS37" i="1"/>
  <c r="AH27" i="1"/>
  <c r="BP27" i="1"/>
  <c r="BF39" i="1"/>
  <c r="AA37" i="1"/>
  <c r="B71" i="1"/>
  <c r="B124" i="1"/>
  <c r="B69" i="1"/>
  <c r="AR36" i="1"/>
  <c r="BB36" i="1"/>
  <c r="B110" i="1"/>
  <c r="AM27" i="1"/>
  <c r="CD29" i="1"/>
  <c r="AE29" i="1"/>
  <c r="BA29" i="1"/>
  <c r="BE39" i="1"/>
  <c r="CD39" i="1"/>
  <c r="AF39" i="1"/>
  <c r="B119" i="1"/>
  <c r="BX28" i="1"/>
  <c r="BA37" i="1"/>
  <c r="CH37" i="1"/>
  <c r="CD37" i="1"/>
  <c r="BQ27" i="1"/>
  <c r="BO27" i="1"/>
  <c r="BY27" i="1"/>
  <c r="CF28" i="1"/>
  <c r="BI37" i="1"/>
  <c r="AE37" i="1"/>
  <c r="AZ37" i="1"/>
  <c r="CB27" i="1"/>
  <c r="AQ27" i="1"/>
  <c r="AB27" i="1"/>
  <c r="AE27" i="1"/>
  <c r="AF27" i="1"/>
  <c r="BH29" i="1"/>
  <c r="BD39" i="1"/>
  <c r="BB39" i="1"/>
  <c r="A143" i="1" l="1"/>
  <c r="Z65" i="1"/>
  <c r="Z58" i="1"/>
  <c r="Z68" i="1"/>
  <c r="Z67" i="1"/>
  <c r="Z56" i="1"/>
  <c r="Z66" i="1"/>
  <c r="Z57" i="1"/>
  <c r="ER61" i="1"/>
  <c r="DJ59" i="1"/>
  <c r="CY59" i="1"/>
  <c r="DR59" i="1"/>
  <c r="DD61" i="1"/>
  <c r="DJ60" i="1"/>
  <c r="EI59" i="1"/>
  <c r="DG62" i="1"/>
  <c r="DN60" i="1"/>
  <c r="DT61" i="1"/>
  <c r="DT60" i="1"/>
  <c r="DJ64" i="1"/>
  <c r="DW64" i="1"/>
  <c r="CZ60" i="1"/>
  <c r="EO61" i="1"/>
  <c r="DF63" i="1"/>
  <c r="DH61" i="1"/>
  <c r="EP64" i="1"/>
  <c r="DW59" i="1"/>
  <c r="DP62" i="1"/>
  <c r="EI64" i="1"/>
  <c r="DU63" i="1"/>
  <c r="DX63" i="1"/>
  <c r="EA59" i="1"/>
  <c r="EM63" i="1"/>
  <c r="DU64" i="1"/>
  <c r="DT62" i="1"/>
  <c r="DP64" i="1"/>
  <c r="ED59" i="1"/>
  <c r="DX62" i="1"/>
  <c r="DS62" i="1"/>
  <c r="DR62" i="1"/>
  <c r="ER60" i="1"/>
  <c r="DR63" i="1"/>
  <c r="DY64" i="1"/>
  <c r="DN59" i="1"/>
  <c r="DA59" i="1"/>
  <c r="EQ63" i="1"/>
  <c r="DZ59" i="1"/>
  <c r="EE62" i="1"/>
  <c r="DL59" i="1"/>
  <c r="EK62" i="1"/>
  <c r="DM60" i="1"/>
  <c r="DW63" i="1"/>
  <c r="EA63" i="1"/>
  <c r="EA62" i="1"/>
  <c r="ER63" i="1"/>
  <c r="DY61" i="1"/>
  <c r="DS59" i="1"/>
  <c r="DJ63" i="1"/>
  <c r="EJ59" i="1"/>
  <c r="EC59" i="1"/>
  <c r="DV64" i="1"/>
  <c r="DY63" i="1"/>
  <c r="EF59" i="1"/>
  <c r="DO59" i="1"/>
  <c r="ED63" i="1"/>
  <c r="EI62" i="1"/>
  <c r="EG63" i="1"/>
  <c r="DM59" i="1"/>
  <c r="DK59" i="1"/>
  <c r="ER59" i="1"/>
  <c r="DS63" i="1"/>
  <c r="DK60" i="1"/>
  <c r="DY62" i="1"/>
  <c r="DL64" i="1"/>
  <c r="DJ62" i="1"/>
  <c r="DY60" i="1"/>
  <c r="DC62" i="1"/>
  <c r="DQ63" i="1"/>
  <c r="DN64" i="1"/>
  <c r="EF60" i="1"/>
  <c r="EB63" i="1"/>
  <c r="EP60" i="1"/>
  <c r="EO62" i="1"/>
  <c r="EJ60" i="1"/>
  <c r="DQ59" i="1"/>
  <c r="DX59" i="1"/>
  <c r="EB64" i="1"/>
  <c r="EI63" i="1"/>
  <c r="DF60" i="1"/>
  <c r="ED60" i="1"/>
  <c r="EK60" i="1"/>
  <c r="DT63" i="1"/>
  <c r="DI61" i="1"/>
  <c r="DE62" i="1"/>
  <c r="EF63" i="1"/>
  <c r="EM60" i="1"/>
  <c r="DM64" i="1"/>
  <c r="DX60" i="1"/>
  <c r="DO61" i="1"/>
  <c r="DF61" i="1"/>
  <c r="EM62" i="1"/>
  <c r="DU62" i="1"/>
  <c r="DI63" i="1"/>
  <c r="EC61" i="1"/>
  <c r="CW59" i="1"/>
  <c r="DI62" i="1"/>
  <c r="EO60" i="1"/>
  <c r="ER62" i="1"/>
  <c r="EH64" i="1"/>
  <c r="DB61" i="1"/>
  <c r="DR60" i="1"/>
  <c r="EJ61" i="1"/>
  <c r="DP63" i="1"/>
  <c r="DU60" i="1"/>
  <c r="EO64" i="1"/>
  <c r="DM63" i="1"/>
  <c r="EN64" i="1"/>
  <c r="DH59" i="1"/>
  <c r="EP62" i="1"/>
  <c r="DF62" i="1"/>
  <c r="EG64" i="1"/>
  <c r="DR64" i="1"/>
  <c r="DK61" i="1"/>
  <c r="DV63" i="1"/>
  <c r="DO62" i="1"/>
  <c r="DI60" i="1"/>
  <c r="EN62" i="1"/>
  <c r="DB59" i="1"/>
  <c r="DW60" i="1"/>
  <c r="DL62" i="1"/>
  <c r="DW62" i="1"/>
  <c r="EN59" i="1"/>
  <c r="EH62" i="1"/>
  <c r="EQ64" i="1"/>
  <c r="EJ64" i="1"/>
  <c r="DA61" i="1"/>
  <c r="EB62" i="1"/>
  <c r="DX64" i="1"/>
  <c r="DU59" i="1"/>
  <c r="DN63" i="1"/>
  <c r="DN62" i="1"/>
  <c r="CX59" i="1"/>
  <c r="DY59" i="1"/>
  <c r="EE64" i="1"/>
  <c r="DC61" i="1"/>
  <c r="EE59" i="1"/>
  <c r="ED62" i="1"/>
  <c r="DE63" i="1"/>
  <c r="DE59" i="1"/>
  <c r="DC59" i="1"/>
  <c r="DS60" i="1"/>
  <c r="EK59" i="1"/>
  <c r="EP59" i="1"/>
  <c r="DH60" i="1"/>
  <c r="DZ63" i="1"/>
  <c r="EG59" i="1"/>
  <c r="DQ62" i="1"/>
  <c r="DL63" i="1"/>
  <c r="DP59" i="1"/>
  <c r="EL60" i="1"/>
  <c r="ED61" i="1"/>
  <c r="DC60" i="1"/>
  <c r="EM64" i="1"/>
  <c r="DQ60" i="1"/>
  <c r="DO60" i="1"/>
  <c r="EQ61" i="1"/>
  <c r="EQ59" i="1"/>
  <c r="EL59" i="1"/>
  <c r="EJ62" i="1"/>
  <c r="DK62" i="1"/>
  <c r="EH63" i="1"/>
  <c r="DI64" i="1"/>
  <c r="EE61" i="1"/>
  <c r="EH60" i="1"/>
  <c r="DV61" i="1"/>
  <c r="DU61" i="1"/>
  <c r="EA61" i="1"/>
  <c r="DM61" i="1"/>
  <c r="DR61" i="1"/>
  <c r="DH63" i="1"/>
  <c r="EP63" i="1"/>
  <c r="DH62" i="1"/>
  <c r="EC63" i="1"/>
  <c r="EC60" i="1"/>
  <c r="DV62" i="1"/>
  <c r="EH59" i="1"/>
  <c r="EE63" i="1"/>
  <c r="EQ60" i="1"/>
  <c r="DZ64" i="1"/>
  <c r="EM59" i="1"/>
  <c r="DE60" i="1"/>
  <c r="EE60" i="1"/>
  <c r="EF62" i="1"/>
  <c r="DZ62" i="1"/>
  <c r="EN61" i="1"/>
  <c r="EA64" i="1"/>
  <c r="EN63" i="1"/>
  <c r="EC62" i="1"/>
  <c r="EN60" i="1"/>
  <c r="EK61" i="1"/>
  <c r="ER64" i="1"/>
  <c r="EM61" i="1"/>
  <c r="DG61" i="1"/>
  <c r="EG61" i="1"/>
  <c r="EH61" i="1"/>
  <c r="EA60" i="1"/>
  <c r="DS61" i="1"/>
  <c r="DP60" i="1"/>
  <c r="EJ63" i="1"/>
  <c r="DK63" i="1"/>
  <c r="DL60" i="1"/>
  <c r="ED64" i="1"/>
  <c r="EG62" i="1"/>
  <c r="DQ61" i="1"/>
  <c r="DZ61" i="1"/>
  <c r="DD60" i="1"/>
  <c r="DV59" i="1"/>
  <c r="EB60" i="1"/>
  <c r="EL63" i="1"/>
  <c r="DG63" i="1"/>
  <c r="DL61" i="1"/>
  <c r="EL62" i="1"/>
  <c r="DQ64" i="1"/>
  <c r="EQ62" i="1"/>
  <c r="DP61" i="1"/>
  <c r="EI60" i="1"/>
  <c r="DG59" i="1"/>
  <c r="EG60" i="1"/>
  <c r="DJ61" i="1"/>
  <c r="EL61" i="1"/>
  <c r="DO63" i="1"/>
  <c r="EL64" i="1"/>
  <c r="DG60" i="1"/>
  <c r="DM62" i="1"/>
  <c r="EO63" i="1"/>
  <c r="DW61" i="1"/>
  <c r="DD59" i="1"/>
  <c r="DE61" i="1"/>
  <c r="DX61" i="1"/>
  <c r="EP61" i="1"/>
  <c r="DV60" i="1"/>
  <c r="EF64" i="1"/>
  <c r="DT64" i="1"/>
  <c r="DO64" i="1"/>
  <c r="EO59" i="1"/>
  <c r="DB60" i="1"/>
  <c r="EB61" i="1"/>
  <c r="CY60" i="1"/>
  <c r="EC64" i="1"/>
  <c r="CZ59" i="1"/>
  <c r="DN61" i="1"/>
  <c r="DD62" i="1"/>
  <c r="EI61" i="1"/>
  <c r="DT59" i="1"/>
  <c r="EB59" i="1"/>
  <c r="DS64" i="1"/>
  <c r="DF59" i="1"/>
  <c r="DZ60" i="1"/>
  <c r="DK64" i="1"/>
  <c r="DA60" i="1"/>
  <c r="EK63" i="1"/>
  <c r="DI59" i="1"/>
  <c r="EF61" i="1"/>
  <c r="EK64" i="1"/>
  <c r="AA24" i="1"/>
  <c r="AA53" i="1" s="1"/>
  <c r="AA17" i="1"/>
  <c r="AA46" i="1" s="1"/>
  <c r="M62" i="1"/>
  <c r="AA18" i="1"/>
  <c r="AA47" i="1" s="1"/>
  <c r="M63" i="1"/>
  <c r="F132" i="1"/>
  <c r="AA16" i="1"/>
  <c r="AA45" i="1" s="1"/>
  <c r="M61" i="1"/>
  <c r="AA25" i="1"/>
  <c r="AA54" i="1" s="1"/>
  <c r="F129" i="1"/>
  <c r="AA23" i="1"/>
  <c r="AA52" i="1" s="1"/>
  <c r="AA26" i="1"/>
  <c r="AA55" i="1" s="1"/>
  <c r="AA22" i="1"/>
  <c r="AA51" i="1" s="1"/>
  <c r="AA20" i="1"/>
  <c r="AA49" i="1" s="1"/>
  <c r="AA21" i="1"/>
  <c r="AA50" i="1" s="1"/>
  <c r="AA19" i="1"/>
  <c r="AA48" i="1" s="1"/>
  <c r="AK59" i="1"/>
  <c r="BP59" i="1"/>
  <c r="BC59" i="1"/>
  <c r="AA59" i="1"/>
  <c r="AP62" i="1"/>
  <c r="BN59" i="1"/>
  <c r="BY59" i="1"/>
  <c r="BH59" i="1"/>
  <c r="CD59" i="1"/>
  <c r="AU59" i="1"/>
  <c r="CH59" i="1"/>
  <c r="AR62" i="1"/>
  <c r="AM62" i="1"/>
  <c r="BE62" i="1"/>
  <c r="BF62" i="1"/>
  <c r="BD62" i="1"/>
  <c r="AC62" i="1"/>
  <c r="CH63" i="1"/>
  <c r="AW63" i="1"/>
  <c r="CC63" i="1"/>
  <c r="AD63" i="1"/>
  <c r="AA63" i="1"/>
  <c r="AS63" i="1"/>
  <c r="CA61" i="1"/>
  <c r="CE61" i="1"/>
  <c r="BX61" i="1"/>
  <c r="AJ61" i="1"/>
  <c r="BI61" i="1"/>
  <c r="BK59" i="1"/>
  <c r="AX59" i="1"/>
  <c r="CE59" i="1"/>
  <c r="BF59" i="1"/>
  <c r="AH59" i="1"/>
  <c r="BD59" i="1"/>
  <c r="AF59" i="1"/>
  <c r="AB59" i="1"/>
  <c r="BM59" i="1"/>
  <c r="BM62" i="1"/>
  <c r="BO62" i="1"/>
  <c r="BX62" i="1"/>
  <c r="AW62" i="1"/>
  <c r="CE62" i="1"/>
  <c r="BP62" i="1"/>
  <c r="AH62" i="1"/>
  <c r="AV62" i="1"/>
  <c r="AS62" i="1"/>
  <c r="AY62" i="1"/>
  <c r="BI62" i="1"/>
  <c r="BH62" i="1"/>
  <c r="BJ62" i="1"/>
  <c r="BU62" i="1"/>
  <c r="CA62" i="1"/>
  <c r="CF63" i="1"/>
  <c r="AU63" i="1"/>
  <c r="AE63" i="1"/>
  <c r="BW63" i="1"/>
  <c r="BS63" i="1"/>
  <c r="AF63" i="1"/>
  <c r="BY63" i="1"/>
  <c r="BH63" i="1"/>
  <c r="BG63" i="1"/>
  <c r="BL63" i="1"/>
  <c r="CE63" i="1"/>
  <c r="BO63" i="1"/>
  <c r="BX63" i="1"/>
  <c r="AV63" i="1"/>
  <c r="AY63" i="1"/>
  <c r="AU61" i="1"/>
  <c r="AB61" i="1"/>
  <c r="BB61" i="1"/>
  <c r="BV61" i="1"/>
  <c r="CG61" i="1"/>
  <c r="BT61" i="1"/>
  <c r="AT61" i="1"/>
  <c r="AR61" i="1"/>
  <c r="AN61" i="1"/>
  <c r="AM61" i="1"/>
  <c r="AS61" i="1"/>
  <c r="BW61" i="1"/>
  <c r="AV61" i="1"/>
  <c r="CB61" i="1"/>
  <c r="BS61" i="1"/>
  <c r="CC60" i="1"/>
  <c r="BU60" i="1"/>
  <c r="AQ60" i="1"/>
  <c r="BE60" i="1"/>
  <c r="AO60" i="1"/>
  <c r="AD60" i="1"/>
  <c r="AG60" i="1"/>
  <c r="BF60" i="1"/>
  <c r="AM60" i="1"/>
  <c r="AU60" i="1"/>
  <c r="AZ60" i="1"/>
  <c r="AE60" i="1"/>
  <c r="BC60" i="1"/>
  <c r="AS60" i="1"/>
  <c r="BY60" i="1"/>
  <c r="AN64" i="1"/>
  <c r="CC64" i="1"/>
  <c r="BV64" i="1"/>
  <c r="BC64" i="1"/>
  <c r="CG64" i="1"/>
  <c r="AY64" i="1"/>
  <c r="CD64" i="1"/>
  <c r="AJ64" i="1"/>
  <c r="BL64" i="1"/>
  <c r="BT64" i="1"/>
  <c r="AP64" i="1"/>
  <c r="BX64" i="1"/>
  <c r="AB64" i="1"/>
  <c r="AD64" i="1"/>
  <c r="AM64" i="1"/>
  <c r="BW59" i="1"/>
  <c r="AR59" i="1"/>
  <c r="CA59" i="1"/>
  <c r="AQ59" i="1"/>
  <c r="AG62" i="1"/>
  <c r="BR59" i="1"/>
  <c r="AT59" i="1"/>
  <c r="AY59" i="1"/>
  <c r="CB59" i="1"/>
  <c r="BL59" i="1"/>
  <c r="AE62" i="1"/>
  <c r="BW62" i="1"/>
  <c r="AL62" i="1"/>
  <c r="BQ62" i="1"/>
  <c r="AU62" i="1"/>
  <c r="BZ63" i="1"/>
  <c r="BR63" i="1"/>
  <c r="AK63" i="1"/>
  <c r="BK63" i="1"/>
  <c r="BF63" i="1"/>
  <c r="BD63" i="1"/>
  <c r="BM61" i="1"/>
  <c r="BA61" i="1"/>
  <c r="AD59" i="1"/>
  <c r="BG59" i="1"/>
  <c r="BJ59" i="1"/>
  <c r="CC59" i="1"/>
  <c r="BA59" i="1"/>
  <c r="AV59" i="1"/>
  <c r="BU59" i="1"/>
  <c r="BS59" i="1"/>
  <c r="AC59" i="1"/>
  <c r="AL59" i="1"/>
  <c r="BI59" i="1"/>
  <c r="AZ59" i="1"/>
  <c r="AS59" i="1"/>
  <c r="AO59" i="1"/>
  <c r="BV59" i="1"/>
  <c r="BQ59" i="1"/>
  <c r="AJ59" i="1"/>
  <c r="CF59" i="1"/>
  <c r="AI59" i="1"/>
  <c r="BO59" i="1"/>
  <c r="AN59" i="1"/>
  <c r="BL62" i="1"/>
  <c r="BC62" i="1"/>
  <c r="CC62" i="1"/>
  <c r="BY62" i="1"/>
  <c r="AB62" i="1"/>
  <c r="AQ62" i="1"/>
  <c r="AJ62" i="1"/>
  <c r="AX62" i="1"/>
  <c r="CB62" i="1"/>
  <c r="AI62" i="1"/>
  <c r="BS62" i="1"/>
  <c r="BA62" i="1"/>
  <c r="AK62" i="1"/>
  <c r="AN62" i="1"/>
  <c r="BN62" i="1"/>
  <c r="CD63" i="1"/>
  <c r="CG63" i="1"/>
  <c r="BI63" i="1"/>
  <c r="CB63" i="1"/>
  <c r="AZ63" i="1"/>
  <c r="AG63" i="1"/>
  <c r="BV63" i="1"/>
  <c r="AJ63" i="1"/>
  <c r="BB63" i="1"/>
  <c r="AM63" i="1"/>
  <c r="AC63" i="1"/>
  <c r="CA63" i="1"/>
  <c r="BQ63" i="1"/>
  <c r="AR63" i="1"/>
  <c r="AO63" i="1"/>
  <c r="BU61" i="1"/>
  <c r="AD61" i="1"/>
  <c r="AP61" i="1"/>
  <c r="CD61" i="1"/>
  <c r="AK61" i="1"/>
  <c r="BD61" i="1"/>
  <c r="AA61" i="1"/>
  <c r="AG61" i="1"/>
  <c r="CH61" i="1"/>
  <c r="BJ61" i="1"/>
  <c r="AL61" i="1"/>
  <c r="BH61" i="1"/>
  <c r="BK61" i="1"/>
  <c r="BC61" i="1"/>
  <c r="BR61" i="1"/>
  <c r="CH60" i="1"/>
  <c r="BK60" i="1"/>
  <c r="BN60" i="1"/>
  <c r="AC60" i="1"/>
  <c r="CA60" i="1"/>
  <c r="AF60" i="1"/>
  <c r="CG60" i="1"/>
  <c r="AL60" i="1"/>
  <c r="CE60" i="1"/>
  <c r="AN60" i="1"/>
  <c r="AJ60" i="1"/>
  <c r="BI60" i="1"/>
  <c r="AR60" i="1"/>
  <c r="BJ60" i="1"/>
  <c r="BR60" i="1"/>
  <c r="BQ64" i="1"/>
  <c r="BR64" i="1"/>
  <c r="BW64" i="1"/>
  <c r="BY64" i="1"/>
  <c r="AA64" i="1"/>
  <c r="BU64" i="1"/>
  <c r="AS64" i="1"/>
  <c r="BK64" i="1"/>
  <c r="AO64" i="1"/>
  <c r="AK64" i="1"/>
  <c r="AE64" i="1"/>
  <c r="BO64" i="1"/>
  <c r="BI64" i="1"/>
  <c r="AG64" i="1"/>
  <c r="AZ64" i="1"/>
  <c r="AM59" i="1"/>
  <c r="BT59" i="1"/>
  <c r="BX59" i="1"/>
  <c r="AT62" i="1"/>
  <c r="BB62" i="1"/>
  <c r="AZ62" i="1"/>
  <c r="CH62" i="1"/>
  <c r="AO62" i="1"/>
  <c r="BT62" i="1"/>
  <c r="CG62" i="1"/>
  <c r="CD62" i="1"/>
  <c r="CF62" i="1"/>
  <c r="AA62" i="1"/>
  <c r="BG62" i="1"/>
  <c r="BZ62" i="1"/>
  <c r="BR62" i="1"/>
  <c r="BM63" i="1"/>
  <c r="AH63" i="1"/>
  <c r="BP63" i="1"/>
  <c r="BU63" i="1"/>
  <c r="AQ63" i="1"/>
  <c r="AL63" i="1"/>
  <c r="AN63" i="1"/>
  <c r="AI63" i="1"/>
  <c r="AT63" i="1"/>
  <c r="BN63" i="1"/>
  <c r="BT63" i="1"/>
  <c r="BE63" i="1"/>
  <c r="BA63" i="1"/>
  <c r="AP63" i="1"/>
  <c r="BJ63" i="1"/>
  <c r="AF61" i="1"/>
  <c r="AY61" i="1"/>
  <c r="BQ61" i="1"/>
  <c r="AO61" i="1"/>
  <c r="AZ61" i="1"/>
  <c r="AW61" i="1"/>
  <c r="BP61" i="1"/>
  <c r="AE61" i="1"/>
  <c r="AI61" i="1"/>
  <c r="BZ61" i="1"/>
  <c r="AC61" i="1"/>
  <c r="BL61" i="1"/>
  <c r="CC61" i="1"/>
  <c r="AH61" i="1"/>
  <c r="CF61" i="1"/>
  <c r="BX60" i="1"/>
  <c r="CB60" i="1"/>
  <c r="BA60" i="1"/>
  <c r="AW60" i="1"/>
  <c r="AA60" i="1"/>
  <c r="BO60" i="1"/>
  <c r="BS60" i="1"/>
  <c r="BW60" i="1"/>
  <c r="AP60" i="1"/>
  <c r="BV60" i="1"/>
  <c r="BM60" i="1"/>
  <c r="AY60" i="1"/>
  <c r="AB60" i="1"/>
  <c r="BP60" i="1"/>
  <c r="BG60" i="1"/>
  <c r="BF64" i="1"/>
  <c r="AF64" i="1"/>
  <c r="BM64" i="1"/>
  <c r="BJ64" i="1"/>
  <c r="AX64" i="1"/>
  <c r="BD64" i="1"/>
  <c r="BP64" i="1"/>
  <c r="BH64" i="1"/>
  <c r="AR64" i="1"/>
  <c r="AQ64" i="1"/>
  <c r="BE64" i="1"/>
  <c r="AU64" i="1"/>
  <c r="AL64" i="1"/>
  <c r="CB64" i="1"/>
  <c r="BA64" i="1"/>
  <c r="AE59" i="1"/>
  <c r="CG59" i="1"/>
  <c r="AG59" i="1"/>
  <c r="BZ59" i="1"/>
  <c r="AW59" i="1"/>
  <c r="BE59" i="1"/>
  <c r="BB59" i="1"/>
  <c r="AP59" i="1"/>
  <c r="BV62" i="1"/>
  <c r="BK62" i="1"/>
  <c r="AF62" i="1"/>
  <c r="AD62" i="1"/>
  <c r="BC63" i="1"/>
  <c r="AX63" i="1"/>
  <c r="AB63" i="1"/>
  <c r="AX61" i="1"/>
  <c r="BO61" i="1"/>
  <c r="BF61" i="1"/>
  <c r="AQ61" i="1"/>
  <c r="BY61" i="1"/>
  <c r="BG61" i="1"/>
  <c r="BE61" i="1"/>
  <c r="BN61" i="1"/>
  <c r="AX60" i="1"/>
  <c r="CD60" i="1"/>
  <c r="BH60" i="1"/>
  <c r="AK60" i="1"/>
  <c r="AH60" i="1"/>
  <c r="CF60" i="1"/>
  <c r="BQ60" i="1"/>
  <c r="AI60" i="1"/>
  <c r="BB60" i="1"/>
  <c r="AV60" i="1"/>
  <c r="BD60" i="1"/>
  <c r="BZ60" i="1"/>
  <c r="AT60" i="1"/>
  <c r="BT60" i="1"/>
  <c r="BL60" i="1"/>
  <c r="BB64" i="1"/>
  <c r="AT64" i="1"/>
  <c r="CF64" i="1"/>
  <c r="AI64" i="1"/>
  <c r="BZ64" i="1"/>
  <c r="CA64" i="1"/>
  <c r="BS64" i="1"/>
  <c r="AC64" i="1"/>
  <c r="AW64" i="1"/>
  <c r="BN64" i="1"/>
  <c r="CE64" i="1"/>
  <c r="AH64" i="1"/>
  <c r="AV64" i="1"/>
  <c r="BG64" i="1"/>
  <c r="CH64" i="1"/>
  <c r="E73" i="1"/>
  <c r="E118" i="1"/>
  <c r="E122" i="1"/>
  <c r="E119" i="1"/>
  <c r="E94" i="1"/>
  <c r="E103" i="1"/>
  <c r="E90" i="1"/>
  <c r="E95" i="1"/>
  <c r="E104" i="1"/>
  <c r="E83" i="1"/>
  <c r="E96" i="1"/>
  <c r="E59" i="1"/>
  <c r="E53" i="1"/>
  <c r="E110" i="1"/>
  <c r="E55" i="1"/>
  <c r="E74" i="1"/>
  <c r="E98" i="1"/>
  <c r="E82" i="1"/>
  <c r="E111" i="1"/>
  <c r="E84" i="1"/>
  <c r="E101" i="1"/>
  <c r="E54" i="1"/>
  <c r="E58" i="1"/>
  <c r="E78" i="1"/>
  <c r="E116" i="1"/>
  <c r="E76" i="1"/>
  <c r="E56" i="1"/>
  <c r="E51" i="1"/>
  <c r="E88" i="1"/>
  <c r="E115" i="1"/>
  <c r="E72" i="1"/>
  <c r="E81" i="1"/>
  <c r="E123" i="1"/>
  <c r="E65" i="1"/>
  <c r="E92" i="1"/>
  <c r="E89" i="1"/>
  <c r="E117" i="1"/>
  <c r="E99" i="1"/>
  <c r="E100" i="1"/>
  <c r="E70" i="1"/>
  <c r="E79" i="1"/>
  <c r="E112" i="1"/>
  <c r="E107" i="1"/>
  <c r="E124" i="1"/>
  <c r="E121" i="1"/>
  <c r="E87" i="1"/>
  <c r="E97" i="1"/>
  <c r="E49" i="1"/>
  <c r="E114" i="1"/>
  <c r="E108" i="1"/>
  <c r="E71" i="1"/>
  <c r="E69" i="1"/>
  <c r="E68" i="1"/>
  <c r="E77" i="1"/>
  <c r="E106" i="1"/>
  <c r="E52" i="1"/>
  <c r="E109" i="1"/>
  <c r="E50" i="1"/>
  <c r="E75" i="1"/>
  <c r="E93" i="1"/>
  <c r="E60" i="1"/>
  <c r="E105" i="1"/>
  <c r="E85" i="1"/>
  <c r="E102" i="1"/>
  <c r="E80" i="1"/>
  <c r="E113" i="1"/>
  <c r="E120" i="1"/>
  <c r="E57" i="1"/>
  <c r="E66" i="1"/>
  <c r="E86" i="1"/>
  <c r="E91" i="1"/>
  <c r="E67" i="1"/>
  <c r="A13" i="11"/>
  <c r="Y25" i="1"/>
  <c r="Y54" i="1"/>
  <c r="Y49" i="1"/>
  <c r="Y20" i="1"/>
  <c r="A8" i="11"/>
  <c r="A14" i="11"/>
  <c r="Y55" i="1"/>
  <c r="Y26" i="1"/>
  <c r="Y21" i="1"/>
  <c r="A9" i="11"/>
  <c r="Y50" i="1"/>
  <c r="A7" i="11"/>
  <c r="C1" i="12" a="1"/>
  <c r="Y48" i="1"/>
  <c r="M2" i="11" a="1"/>
  <c r="Y19" i="1"/>
  <c r="M505" i="11" a="1"/>
  <c r="A11" i="11"/>
  <c r="Y23" i="1"/>
  <c r="Y52" i="1"/>
  <c r="Y53" i="1"/>
  <c r="A12" i="11"/>
  <c r="Y24" i="1"/>
  <c r="Y51" i="1"/>
  <c r="Y22" i="1"/>
  <c r="A10" i="11"/>
  <c r="B143" i="1"/>
  <c r="C91" i="1"/>
  <c r="C108" i="1"/>
  <c r="D64" i="1"/>
  <c r="C50" i="1"/>
  <c r="C68" i="1"/>
  <c r="C114" i="1"/>
  <c r="C107" i="1"/>
  <c r="C74" i="1"/>
  <c r="C94" i="1"/>
  <c r="C79" i="1"/>
  <c r="C109" i="1"/>
  <c r="C100" i="1"/>
  <c r="C89" i="1"/>
  <c r="C72" i="1"/>
  <c r="C90" i="1"/>
  <c r="C86" i="1"/>
  <c r="C102" i="1"/>
  <c r="C104" i="1"/>
  <c r="C123" i="1"/>
  <c r="C95" i="1"/>
  <c r="C83" i="1"/>
  <c r="C119" i="1"/>
  <c r="C59" i="1"/>
  <c r="C99" i="1"/>
  <c r="C120" i="1"/>
  <c r="C115" i="1"/>
  <c r="N63" i="1"/>
  <c r="C55" i="1"/>
  <c r="C73" i="1"/>
  <c r="C98" i="1"/>
  <c r="N62" i="1"/>
  <c r="C110" i="1"/>
  <c r="C75" i="1"/>
  <c r="C96" i="1"/>
  <c r="C112" i="1"/>
  <c r="C122" i="1"/>
  <c r="C60" i="1"/>
  <c r="C93" i="1"/>
  <c r="C67" i="1"/>
  <c r="N61" i="1"/>
  <c r="C70" i="1"/>
  <c r="C58" i="1"/>
  <c r="C92" i="1"/>
  <c r="C82" i="1"/>
  <c r="C69" i="1"/>
  <c r="C80" i="1"/>
  <c r="C54" i="1"/>
  <c r="C49" i="1"/>
  <c r="C57" i="1"/>
  <c r="C113" i="1"/>
  <c r="C56" i="1"/>
  <c r="C66" i="1"/>
  <c r="C121" i="1"/>
  <c r="C84" i="1"/>
  <c r="C101" i="1"/>
  <c r="C52" i="1"/>
  <c r="C111" i="1"/>
  <c r="C77" i="1"/>
  <c r="C116" i="1"/>
  <c r="D48" i="1"/>
  <c r="C118" i="1"/>
  <c r="C65" i="1"/>
  <c r="C124" i="1"/>
  <c r="C76" i="1"/>
  <c r="C106" i="1"/>
  <c r="C88" i="1"/>
  <c r="C97" i="1"/>
  <c r="C85" i="1"/>
  <c r="C81" i="1"/>
  <c r="C142" i="1"/>
  <c r="C117" i="1"/>
  <c r="C87" i="1"/>
  <c r="C51" i="1"/>
  <c r="C105" i="1"/>
  <c r="C53" i="1"/>
  <c r="C103" i="1"/>
  <c r="C78" i="1"/>
  <c r="C71" i="1"/>
  <c r="A144" i="1" l="1"/>
  <c r="EG58" i="1"/>
  <c r="DK56" i="1"/>
  <c r="CU57" i="1"/>
  <c r="ER56" i="1"/>
  <c r="EQ56" i="1"/>
  <c r="DT58" i="1"/>
  <c r="ER66" i="1"/>
  <c r="DR58" i="1"/>
  <c r="DM56" i="1"/>
  <c r="EK56" i="1"/>
  <c r="EJ65" i="1"/>
  <c r="EJ57" i="1"/>
  <c r="EQ57" i="1"/>
  <c r="EL65" i="1"/>
  <c r="DT56" i="1"/>
  <c r="DD57" i="1"/>
  <c r="DS58" i="1"/>
  <c r="DY57" i="1"/>
  <c r="EE58" i="1"/>
  <c r="DY65" i="1"/>
  <c r="EM58" i="1"/>
  <c r="EO66" i="1"/>
  <c r="DI57" i="1"/>
  <c r="ER57" i="1"/>
  <c r="CS57" i="1"/>
  <c r="DO56" i="1"/>
  <c r="DX57" i="1"/>
  <c r="DU65" i="1"/>
  <c r="DN57" i="1"/>
  <c r="DE56" i="1"/>
  <c r="EP56" i="1"/>
  <c r="EO67" i="1"/>
  <c r="CY56" i="1"/>
  <c r="DV56" i="1"/>
  <c r="DV58" i="1"/>
  <c r="DG56" i="1"/>
  <c r="EF66" i="1"/>
  <c r="DS57" i="1"/>
  <c r="CV58" i="1"/>
  <c r="CT57" i="1"/>
  <c r="DD56" i="1"/>
  <c r="DS56" i="1"/>
  <c r="EI57" i="1"/>
  <c r="EA66" i="1"/>
  <c r="EP57" i="1"/>
  <c r="EA57" i="1"/>
  <c r="EI65" i="1"/>
  <c r="EB65" i="1"/>
  <c r="DM58" i="1"/>
  <c r="DF57" i="1"/>
  <c r="EE65" i="1"/>
  <c r="ED65" i="1"/>
  <c r="EE57" i="1"/>
  <c r="DQ58" i="1"/>
  <c r="DC57" i="1"/>
  <c r="DI56" i="1"/>
  <c r="EM57" i="1"/>
  <c r="DG58" i="1"/>
  <c r="DT65" i="1"/>
  <c r="DC56" i="1"/>
  <c r="EL58" i="1"/>
  <c r="DG57" i="1"/>
  <c r="EF65" i="1"/>
  <c r="EG66" i="1"/>
  <c r="CY58" i="1"/>
  <c r="DH56" i="1"/>
  <c r="EL57" i="1"/>
  <c r="EN65" i="1"/>
  <c r="DP56" i="1"/>
  <c r="EH66" i="1"/>
  <c r="EH65" i="1"/>
  <c r="DX56" i="1"/>
  <c r="DY58" i="1"/>
  <c r="EG57" i="1"/>
  <c r="DU56" i="1"/>
  <c r="DU58" i="1"/>
  <c r="DC58" i="1"/>
  <c r="EA56" i="1"/>
  <c r="EI66" i="1"/>
  <c r="EQ67" i="1"/>
  <c r="DR57" i="1"/>
  <c r="DZ56" i="1"/>
  <c r="DW58" i="1"/>
  <c r="DE58" i="1"/>
  <c r="EL66" i="1"/>
  <c r="EC66" i="1"/>
  <c r="DA56" i="1"/>
  <c r="EK67" i="1"/>
  <c r="DK57" i="1"/>
  <c r="EB66" i="1"/>
  <c r="ED66" i="1"/>
  <c r="CX56" i="1"/>
  <c r="DA57" i="1"/>
  <c r="DB56" i="1"/>
  <c r="DE57" i="1"/>
  <c r="DL56" i="1"/>
  <c r="DQ57" i="1"/>
  <c r="ED58" i="1"/>
  <c r="DF58" i="1"/>
  <c r="EI56" i="1"/>
  <c r="DO58" i="1"/>
  <c r="EP58" i="1"/>
  <c r="DN56" i="1"/>
  <c r="DY56" i="1"/>
  <c r="ER58" i="1"/>
  <c r="CZ58" i="1"/>
  <c r="EH56" i="1"/>
  <c r="DW57" i="1"/>
  <c r="DZ57" i="1"/>
  <c r="EI67" i="1"/>
  <c r="EP65" i="1"/>
  <c r="CW57" i="1"/>
  <c r="DM57" i="1"/>
  <c r="DR65" i="1"/>
  <c r="DN58" i="1"/>
  <c r="DW65" i="1"/>
  <c r="EF58" i="1"/>
  <c r="DZ65" i="1"/>
  <c r="EJ66" i="1"/>
  <c r="DX65" i="1"/>
  <c r="EF57" i="1"/>
  <c r="CZ56" i="1"/>
  <c r="EN66" i="1"/>
  <c r="DB58" i="1"/>
  <c r="EL56" i="1"/>
  <c r="EM67" i="1"/>
  <c r="EM65" i="1"/>
  <c r="DL58" i="1"/>
  <c r="DP58" i="1"/>
  <c r="CW56" i="1"/>
  <c r="EJ58" i="1"/>
  <c r="DR56" i="1"/>
  <c r="EH57" i="1"/>
  <c r="DY66" i="1"/>
  <c r="EB56" i="1"/>
  <c r="ED57" i="1"/>
  <c r="CX58" i="1"/>
  <c r="EO65" i="1"/>
  <c r="EK57" i="1"/>
  <c r="DD58" i="1"/>
  <c r="EF56" i="1"/>
  <c r="DU57" i="1"/>
  <c r="DS65" i="1"/>
  <c r="DH57" i="1"/>
  <c r="DO65" i="1"/>
  <c r="EP67" i="1"/>
  <c r="EJ56" i="1"/>
  <c r="EE56" i="1"/>
  <c r="DJ56" i="1"/>
  <c r="DP65" i="1"/>
  <c r="EB58" i="1"/>
  <c r="EN67" i="1"/>
  <c r="EK58" i="1"/>
  <c r="EO56" i="1"/>
  <c r="EC57" i="1"/>
  <c r="DJ58" i="1"/>
  <c r="EN58" i="1"/>
  <c r="DJ57" i="1"/>
  <c r="EQ65" i="1"/>
  <c r="DK58" i="1"/>
  <c r="DH58" i="1"/>
  <c r="DP57" i="1"/>
  <c r="DW56" i="1"/>
  <c r="EO58" i="1"/>
  <c r="EC65" i="1"/>
  <c r="EB57" i="1"/>
  <c r="CX57" i="1"/>
  <c r="ED56" i="1"/>
  <c r="DQ65" i="1"/>
  <c r="EK65" i="1"/>
  <c r="CV57" i="1"/>
  <c r="DZ58" i="1"/>
  <c r="EI58" i="1"/>
  <c r="EN56" i="1"/>
  <c r="DA58" i="1"/>
  <c r="DF56" i="1"/>
  <c r="ER65" i="1"/>
  <c r="EG65" i="1"/>
  <c r="EA58" i="1"/>
  <c r="DX58" i="1"/>
  <c r="CY57" i="1"/>
  <c r="EG56" i="1"/>
  <c r="DI58" i="1"/>
  <c r="EM66" i="1"/>
  <c r="DV57" i="1"/>
  <c r="EM56" i="1"/>
  <c r="EH58" i="1"/>
  <c r="CW58" i="1"/>
  <c r="DQ56" i="1"/>
  <c r="ER67" i="1"/>
  <c r="EC56" i="1"/>
  <c r="DL57" i="1"/>
  <c r="EQ58" i="1"/>
  <c r="EP66" i="1"/>
  <c r="EC58" i="1"/>
  <c r="EA65" i="1"/>
  <c r="DT57" i="1"/>
  <c r="DZ66" i="1"/>
  <c r="EO57" i="1"/>
  <c r="CZ57" i="1"/>
  <c r="EJ67" i="1"/>
  <c r="DV65" i="1"/>
  <c r="EK66" i="1"/>
  <c r="CU58" i="1"/>
  <c r="EN57" i="1"/>
  <c r="DB57" i="1"/>
  <c r="DO57" i="1"/>
  <c r="EL67" i="1"/>
  <c r="EE66" i="1"/>
  <c r="EQ66" i="1"/>
  <c r="CD65" i="1"/>
  <c r="BO65" i="1"/>
  <c r="CA65" i="1"/>
  <c r="BU65" i="1"/>
  <c r="AC65" i="1"/>
  <c r="BA65" i="1"/>
  <c r="AS65" i="1"/>
  <c r="BQ65" i="1"/>
  <c r="AD65" i="1"/>
  <c r="BW65" i="1"/>
  <c r="BD65" i="1"/>
  <c r="BZ65" i="1"/>
  <c r="CB65" i="1"/>
  <c r="AW65" i="1"/>
  <c r="AX65" i="1"/>
  <c r="BM65" i="1"/>
  <c r="AF65" i="1"/>
  <c r="BH65" i="1"/>
  <c r="AH65" i="1"/>
  <c r="BB65" i="1"/>
  <c r="AG65" i="1"/>
  <c r="AI65" i="1"/>
  <c r="CF65" i="1"/>
  <c r="AO65" i="1"/>
  <c r="CC65" i="1"/>
  <c r="BY65" i="1"/>
  <c r="BL65" i="1"/>
  <c r="AV65" i="1"/>
  <c r="AL65" i="1"/>
  <c r="BI65" i="1"/>
  <c r="AU65" i="1"/>
  <c r="AA65" i="1"/>
  <c r="BG65" i="1"/>
  <c r="BR65" i="1"/>
  <c r="AZ65" i="1"/>
  <c r="BX65" i="1"/>
  <c r="AY65" i="1"/>
  <c r="BF65" i="1"/>
  <c r="CG65" i="1"/>
  <c r="AT65" i="1"/>
  <c r="AE65" i="1"/>
  <c r="BS65" i="1"/>
  <c r="AB65" i="1"/>
  <c r="CH65" i="1"/>
  <c r="AJ65" i="1"/>
  <c r="AM65" i="1"/>
  <c r="BT65" i="1"/>
  <c r="BN65" i="1"/>
  <c r="BJ65" i="1"/>
  <c r="AN65" i="1"/>
  <c r="BC65" i="1"/>
  <c r="AK65" i="1"/>
  <c r="BV65" i="1"/>
  <c r="BE65" i="1"/>
  <c r="BK65" i="1"/>
  <c r="BP65" i="1"/>
  <c r="AR65" i="1"/>
  <c r="CE65" i="1"/>
  <c r="AP65" i="1"/>
  <c r="AQ65" i="1"/>
  <c r="BS57" i="1"/>
  <c r="AU57" i="1"/>
  <c r="AF57" i="1"/>
  <c r="AJ57" i="1"/>
  <c r="BR57" i="1"/>
  <c r="BL57" i="1"/>
  <c r="BC57" i="1"/>
  <c r="AP57" i="1"/>
  <c r="CE57" i="1"/>
  <c r="AW57" i="1"/>
  <c r="BG57" i="1"/>
  <c r="BN57" i="1"/>
  <c r="AA57" i="1"/>
  <c r="BU57" i="1"/>
  <c r="AB57" i="1"/>
  <c r="BD57" i="1"/>
  <c r="CF57" i="1"/>
  <c r="BH57" i="1"/>
  <c r="AH57" i="1"/>
  <c r="BZ57" i="1"/>
  <c r="CD57" i="1"/>
  <c r="AC57" i="1"/>
  <c r="BW57" i="1"/>
  <c r="AV57" i="1"/>
  <c r="AL57" i="1"/>
  <c r="AZ57" i="1"/>
  <c r="AK57" i="1"/>
  <c r="CG57" i="1"/>
  <c r="BF57" i="1"/>
  <c r="BX57" i="1"/>
  <c r="AR57" i="1"/>
  <c r="AO57" i="1"/>
  <c r="AG57" i="1"/>
  <c r="BY57" i="1"/>
  <c r="BE57" i="1"/>
  <c r="AE57" i="1"/>
  <c r="CH57" i="1"/>
  <c r="AN57" i="1"/>
  <c r="BV57" i="1"/>
  <c r="BQ57" i="1"/>
  <c r="BK57" i="1"/>
  <c r="AX57" i="1"/>
  <c r="AY57" i="1"/>
  <c r="CC57" i="1"/>
  <c r="BI57" i="1"/>
  <c r="AI57" i="1"/>
  <c r="CB57" i="1"/>
  <c r="BP57" i="1"/>
  <c r="AD57" i="1"/>
  <c r="AQ57" i="1"/>
  <c r="AT57" i="1"/>
  <c r="BM57" i="1"/>
  <c r="BO57" i="1"/>
  <c r="BA57" i="1"/>
  <c r="BT57" i="1"/>
  <c r="BB57" i="1"/>
  <c r="AM57" i="1"/>
  <c r="CA57" i="1"/>
  <c r="BJ57" i="1"/>
  <c r="AS57" i="1"/>
  <c r="AL68" i="1"/>
  <c r="BX68" i="1"/>
  <c r="AO68" i="1"/>
  <c r="CB68" i="1"/>
  <c r="AI68" i="1"/>
  <c r="BF68" i="1"/>
  <c r="BP68" i="1"/>
  <c r="AT68" i="1"/>
  <c r="BR68" i="1"/>
  <c r="AS68" i="1"/>
  <c r="AU68" i="1"/>
  <c r="CF68" i="1"/>
  <c r="BJ68" i="1"/>
  <c r="BW68" i="1"/>
  <c r="AG68" i="1"/>
  <c r="AN66" i="1"/>
  <c r="AJ66" i="1"/>
  <c r="AC66" i="1"/>
  <c r="CD66" i="1"/>
  <c r="BR66" i="1"/>
  <c r="BW66" i="1"/>
  <c r="BK66" i="1"/>
  <c r="BH66" i="1"/>
  <c r="BB66" i="1"/>
  <c r="BT66" i="1"/>
  <c r="BV66" i="1"/>
  <c r="AR66" i="1"/>
  <c r="CB66" i="1"/>
  <c r="AS66" i="1"/>
  <c r="AQ66" i="1"/>
  <c r="BC68" i="1"/>
  <c r="BY68" i="1"/>
  <c r="AP68" i="1"/>
  <c r="AX68" i="1"/>
  <c r="CA68" i="1"/>
  <c r="BL68" i="1"/>
  <c r="CD68" i="1"/>
  <c r="BE68" i="1"/>
  <c r="AH68" i="1"/>
  <c r="BN68" i="1"/>
  <c r="BQ68" i="1"/>
  <c r="AN68" i="1"/>
  <c r="AV68" i="1"/>
  <c r="AC68" i="1"/>
  <c r="CC68" i="1"/>
  <c r="AU66" i="1"/>
  <c r="BU66" i="1"/>
  <c r="AB66" i="1"/>
  <c r="BJ66" i="1"/>
  <c r="BF66" i="1"/>
  <c r="AF66" i="1"/>
  <c r="CF66" i="1"/>
  <c r="BS66" i="1"/>
  <c r="AM66" i="1"/>
  <c r="BC66" i="1"/>
  <c r="BY66" i="1"/>
  <c r="AI66" i="1"/>
  <c r="BN66" i="1"/>
  <c r="BL66" i="1"/>
  <c r="BD66" i="1"/>
  <c r="AZ68" i="1"/>
  <c r="AW68" i="1"/>
  <c r="BI68" i="1"/>
  <c r="CG68" i="1"/>
  <c r="BG68" i="1"/>
  <c r="BD68" i="1"/>
  <c r="AF68" i="1"/>
  <c r="BV68" i="1"/>
  <c r="BA68" i="1"/>
  <c r="AJ68" i="1"/>
  <c r="AA68" i="1"/>
  <c r="AY68" i="1"/>
  <c r="BH68" i="1"/>
  <c r="BK68" i="1"/>
  <c r="BO68" i="1"/>
  <c r="CC66" i="1"/>
  <c r="BZ66" i="1"/>
  <c r="BG66" i="1"/>
  <c r="AP66" i="1"/>
  <c r="AO66" i="1"/>
  <c r="BX66" i="1"/>
  <c r="AL66" i="1"/>
  <c r="CE66" i="1"/>
  <c r="BI66" i="1"/>
  <c r="AK66" i="1"/>
  <c r="AY66" i="1"/>
  <c r="CH66" i="1"/>
  <c r="AZ66" i="1"/>
  <c r="BA66" i="1"/>
  <c r="AD66" i="1"/>
  <c r="AM68" i="1"/>
  <c r="BB68" i="1"/>
  <c r="BT68" i="1"/>
  <c r="AE68" i="1"/>
  <c r="CH68" i="1"/>
  <c r="BS68" i="1"/>
  <c r="CE68" i="1"/>
  <c r="AB68" i="1"/>
  <c r="BM68" i="1"/>
  <c r="AR68" i="1"/>
  <c r="AD68" i="1"/>
  <c r="BU68" i="1"/>
  <c r="BZ68" i="1"/>
  <c r="AK68" i="1"/>
  <c r="AQ68" i="1"/>
  <c r="CG66" i="1"/>
  <c r="BE66" i="1"/>
  <c r="AG66" i="1"/>
  <c r="BQ66" i="1"/>
  <c r="AA66" i="1"/>
  <c r="AE66" i="1"/>
  <c r="AT66" i="1"/>
  <c r="BP66" i="1"/>
  <c r="AV66" i="1"/>
  <c r="BO66" i="1"/>
  <c r="AX66" i="1"/>
  <c r="AH66" i="1"/>
  <c r="CA66" i="1"/>
  <c r="BM66" i="1"/>
  <c r="AW66" i="1"/>
  <c r="AR58" i="1"/>
  <c r="AM58" i="1"/>
  <c r="AY58" i="1"/>
  <c r="BT58" i="1"/>
  <c r="BH58" i="1"/>
  <c r="BG58" i="1"/>
  <c r="AU58" i="1"/>
  <c r="AO58" i="1"/>
  <c r="BW58" i="1"/>
  <c r="AQ58" i="1"/>
  <c r="AJ58" i="1"/>
  <c r="BX58" i="1"/>
  <c r="BM58" i="1"/>
  <c r="BU58" i="1"/>
  <c r="BJ58" i="1"/>
  <c r="BL58" i="1"/>
  <c r="BY58" i="1"/>
  <c r="AW58" i="1"/>
  <c r="BI58" i="1"/>
  <c r="BZ58" i="1"/>
  <c r="CE58" i="1"/>
  <c r="BC58" i="1"/>
  <c r="CA58" i="1"/>
  <c r="CC58" i="1"/>
  <c r="AK58" i="1"/>
  <c r="AH58" i="1"/>
  <c r="BQ58" i="1"/>
  <c r="BK58" i="1"/>
  <c r="AF58" i="1"/>
  <c r="BV58" i="1"/>
  <c r="F138" i="1"/>
  <c r="AD58" i="1"/>
  <c r="BA58" i="1"/>
  <c r="AL58" i="1"/>
  <c r="CF58" i="1"/>
  <c r="CB58" i="1"/>
  <c r="BD58" i="1"/>
  <c r="BR58" i="1"/>
  <c r="AZ58" i="1"/>
  <c r="BO58" i="1"/>
  <c r="BP58" i="1"/>
  <c r="AV58" i="1"/>
  <c r="BB58" i="1"/>
  <c r="AC58" i="1"/>
  <c r="AN58" i="1"/>
  <c r="BN58" i="1"/>
  <c r="CG58" i="1"/>
  <c r="AE58" i="1"/>
  <c r="BF58" i="1"/>
  <c r="AA58" i="1"/>
  <c r="BS58" i="1"/>
  <c r="AP58" i="1"/>
  <c r="AI58" i="1"/>
  <c r="AX58" i="1"/>
  <c r="AT58" i="1"/>
  <c r="CD58" i="1"/>
  <c r="AB58" i="1"/>
  <c r="CH58" i="1"/>
  <c r="AG58" i="1"/>
  <c r="BE58" i="1"/>
  <c r="AS58" i="1"/>
  <c r="BJ56" i="1"/>
  <c r="BH56" i="1"/>
  <c r="AU56" i="1"/>
  <c r="AO56" i="1"/>
  <c r="AK56" i="1"/>
  <c r="BP56" i="1"/>
  <c r="BG56" i="1"/>
  <c r="AX56" i="1"/>
  <c r="BW56" i="1"/>
  <c r="CH56" i="1"/>
  <c r="AJ56" i="1"/>
  <c r="CC56" i="1"/>
  <c r="AV56" i="1"/>
  <c r="AT56" i="1"/>
  <c r="BY56" i="1"/>
  <c r="AT67" i="1"/>
  <c r="AD67" i="1"/>
  <c r="AW67" i="1"/>
  <c r="BQ67" i="1"/>
  <c r="AK67" i="1"/>
  <c r="AH67" i="1"/>
  <c r="BU67" i="1"/>
  <c r="BV67" i="1"/>
  <c r="AC67" i="1"/>
  <c r="BI67" i="1"/>
  <c r="BL67" i="1"/>
  <c r="BH67" i="1"/>
  <c r="AS67" i="1"/>
  <c r="BT67" i="1"/>
  <c r="BR67" i="1"/>
  <c r="BD56" i="1"/>
  <c r="CB56" i="1"/>
  <c r="AE56" i="1"/>
  <c r="BA56" i="1"/>
  <c r="AI56" i="1"/>
  <c r="BL56" i="1"/>
  <c r="AL56" i="1"/>
  <c r="CF56" i="1"/>
  <c r="BX56" i="1"/>
  <c r="BB56" i="1"/>
  <c r="AA56" i="1"/>
  <c r="AR56" i="1"/>
  <c r="AP56" i="1"/>
  <c r="AW56" i="1"/>
  <c r="BF56" i="1"/>
  <c r="F135" i="1"/>
  <c r="BZ67" i="1"/>
  <c r="AO67" i="1"/>
  <c r="BJ67" i="1"/>
  <c r="BN67" i="1"/>
  <c r="CA67" i="1"/>
  <c r="BS67" i="1"/>
  <c r="CF67" i="1"/>
  <c r="AM67" i="1"/>
  <c r="AJ67" i="1"/>
  <c r="BF67" i="1"/>
  <c r="AZ67" i="1"/>
  <c r="BP67" i="1"/>
  <c r="BE67" i="1"/>
  <c r="BC67" i="1"/>
  <c r="BA67" i="1"/>
  <c r="AY56" i="1"/>
  <c r="CG56" i="1"/>
  <c r="CE56" i="1"/>
  <c r="BI56" i="1"/>
  <c r="CD56" i="1"/>
  <c r="AB56" i="1"/>
  <c r="BR56" i="1"/>
  <c r="AG56" i="1"/>
  <c r="BV56" i="1"/>
  <c r="BO56" i="1"/>
  <c r="BK56" i="1"/>
  <c r="BE56" i="1"/>
  <c r="AH56" i="1"/>
  <c r="AM56" i="1"/>
  <c r="BT56" i="1"/>
  <c r="CD67" i="1"/>
  <c r="AF67" i="1"/>
  <c r="AR67" i="1"/>
  <c r="BX67" i="1"/>
  <c r="AA67" i="1"/>
  <c r="AB67" i="1"/>
  <c r="AV67" i="1"/>
  <c r="AU67" i="1"/>
  <c r="BW67" i="1"/>
  <c r="CB67" i="1"/>
  <c r="CH67" i="1"/>
  <c r="AI67" i="1"/>
  <c r="CG67" i="1"/>
  <c r="BG67" i="1"/>
  <c r="AP67" i="1"/>
  <c r="AF56" i="1"/>
  <c r="AC56" i="1"/>
  <c r="AZ56" i="1"/>
  <c r="AQ56" i="1"/>
  <c r="BN56" i="1"/>
  <c r="AS56" i="1"/>
  <c r="BS56" i="1"/>
  <c r="CA56" i="1"/>
  <c r="BZ56" i="1"/>
  <c r="BU56" i="1"/>
  <c r="BQ56" i="1"/>
  <c r="AD56" i="1"/>
  <c r="BM56" i="1"/>
  <c r="AN56" i="1"/>
  <c r="BC56" i="1"/>
  <c r="BO67" i="1"/>
  <c r="AL67" i="1"/>
  <c r="BD67" i="1"/>
  <c r="AE67" i="1"/>
  <c r="BB67" i="1"/>
  <c r="CE67" i="1"/>
  <c r="AY67" i="1"/>
  <c r="CC67" i="1"/>
  <c r="AX67" i="1"/>
  <c r="AQ67" i="1"/>
  <c r="AG67" i="1"/>
  <c r="BY67" i="1"/>
  <c r="AN67" i="1"/>
  <c r="BM67" i="1"/>
  <c r="BK67" i="1"/>
  <c r="E143" i="1"/>
  <c r="AJ505" i="11"/>
  <c r="W505" i="11"/>
  <c r="AD505" i="11"/>
  <c r="AH505" i="11"/>
  <c r="M505" i="11"/>
  <c r="AC505" i="11"/>
  <c r="AI505" i="11"/>
  <c r="AA505" i="11"/>
  <c r="O505" i="11"/>
  <c r="N505" i="11"/>
  <c r="Z505" i="11"/>
  <c r="T505" i="11"/>
  <c r="AF505" i="11"/>
  <c r="P505" i="11"/>
  <c r="R505" i="11"/>
  <c r="AB505" i="11"/>
  <c r="Q505" i="11"/>
  <c r="S505" i="11"/>
  <c r="AK505" i="11"/>
  <c r="U505" i="11"/>
  <c r="V505" i="11"/>
  <c r="AG505" i="11"/>
  <c r="X505" i="11"/>
  <c r="AE505" i="11"/>
  <c r="Y505" i="11"/>
  <c r="AH2" i="11"/>
  <c r="Y2" i="11"/>
  <c r="AA2" i="11"/>
  <c r="AF2" i="11"/>
  <c r="AI2" i="11"/>
  <c r="AK2" i="11"/>
  <c r="AE2" i="11"/>
  <c r="AJ2" i="11"/>
  <c r="R2" i="11"/>
  <c r="V2" i="11"/>
  <c r="AG2" i="11"/>
  <c r="M2" i="11"/>
  <c r="T2" i="11"/>
  <c r="O2" i="11"/>
  <c r="Z2" i="11"/>
  <c r="U2" i="11"/>
  <c r="N2" i="11"/>
  <c r="W2" i="11"/>
  <c r="P2" i="11"/>
  <c r="AB2" i="11"/>
  <c r="S2" i="11"/>
  <c r="X2" i="11"/>
  <c r="AC2" i="11"/>
  <c r="Q2" i="11"/>
  <c r="AD2" i="11"/>
  <c r="S1" i="12"/>
  <c r="T1" i="12"/>
  <c r="P1" i="12"/>
  <c r="Z1" i="12"/>
  <c r="Q1" i="12"/>
  <c r="F1" i="12"/>
  <c r="C1" i="12"/>
  <c r="M1" i="12"/>
  <c r="H1" i="12"/>
  <c r="I1" i="12"/>
  <c r="R1" i="12"/>
  <c r="J1" i="12"/>
  <c r="G1" i="12"/>
  <c r="O1" i="12"/>
  <c r="L1" i="12"/>
  <c r="Y1" i="12"/>
  <c r="N1" i="12"/>
  <c r="U1" i="12"/>
  <c r="D1" i="12"/>
  <c r="V1" i="12"/>
  <c r="W1" i="12"/>
  <c r="E1" i="12"/>
  <c r="K1" i="12"/>
  <c r="X1" i="12"/>
  <c r="AA1" i="12"/>
  <c r="B144" i="1"/>
  <c r="D89" i="1"/>
  <c r="D87" i="1"/>
  <c r="D113" i="1"/>
  <c r="D58" i="1"/>
  <c r="D121" i="1"/>
  <c r="D101" i="1"/>
  <c r="D94" i="1"/>
  <c r="D96" i="1"/>
  <c r="D115" i="1"/>
  <c r="D112" i="1"/>
  <c r="D59" i="1"/>
  <c r="D72" i="1"/>
  <c r="D92" i="1"/>
  <c r="D103" i="1"/>
  <c r="D95" i="1"/>
  <c r="D56" i="1"/>
  <c r="D80" i="1"/>
  <c r="D54" i="1"/>
  <c r="D67" i="1"/>
  <c r="D84" i="1"/>
  <c r="D57" i="1"/>
  <c r="D68" i="1"/>
  <c r="D76" i="1"/>
  <c r="D109" i="1"/>
  <c r="D99" i="1"/>
  <c r="D118" i="1"/>
  <c r="D117" i="1"/>
  <c r="D106" i="1"/>
  <c r="D83" i="1"/>
  <c r="D100" i="1"/>
  <c r="D104" i="1"/>
  <c r="D93" i="1"/>
  <c r="D70" i="1"/>
  <c r="D114" i="1"/>
  <c r="D105" i="1"/>
  <c r="D122" i="1"/>
  <c r="O62" i="1"/>
  <c r="D116" i="1"/>
  <c r="D81" i="1"/>
  <c r="D82" i="1"/>
  <c r="D108" i="1"/>
  <c r="D98" i="1"/>
  <c r="D91" i="1"/>
  <c r="D51" i="1"/>
  <c r="D110" i="1"/>
  <c r="D142" i="1"/>
  <c r="D120" i="1"/>
  <c r="D73" i="1"/>
  <c r="C143" i="1"/>
  <c r="D66" i="1"/>
  <c r="D55" i="1"/>
  <c r="O61" i="1"/>
  <c r="D50" i="1"/>
  <c r="D107" i="1"/>
  <c r="D123" i="1"/>
  <c r="D102" i="1"/>
  <c r="D86" i="1"/>
  <c r="D52" i="1"/>
  <c r="D111" i="1"/>
  <c r="D85" i="1"/>
  <c r="D74" i="1"/>
  <c r="D60" i="1"/>
  <c r="D88" i="1"/>
  <c r="D65" i="1"/>
  <c r="D90" i="1"/>
  <c r="D97" i="1"/>
  <c r="D78" i="1"/>
  <c r="D53" i="1"/>
  <c r="D119" i="1"/>
  <c r="O63" i="1"/>
  <c r="D124" i="1"/>
  <c r="D79" i="1"/>
  <c r="D69" i="1"/>
  <c r="D77" i="1"/>
  <c r="D49" i="1"/>
  <c r="D75" i="1"/>
  <c r="D71" i="1"/>
  <c r="S62" i="1" l="1"/>
  <c r="S61" i="1"/>
  <c r="A145" i="1"/>
  <c r="S63" i="1"/>
  <c r="F59" i="1"/>
  <c r="F56" i="1"/>
  <c r="F60" i="1"/>
  <c r="F58" i="1"/>
  <c r="F51" i="1"/>
  <c r="F54" i="1"/>
  <c r="F49" i="1"/>
  <c r="F53" i="1"/>
  <c r="F57" i="1"/>
  <c r="F50" i="1"/>
  <c r="F52" i="1"/>
  <c r="F55" i="1"/>
  <c r="G110" i="1"/>
  <c r="G119" i="1"/>
  <c r="G109" i="1"/>
  <c r="G76" i="1"/>
  <c r="G94" i="1"/>
  <c r="G95" i="1"/>
  <c r="G75" i="1"/>
  <c r="G115" i="1"/>
  <c r="G74" i="1"/>
  <c r="G85" i="1"/>
  <c r="G118" i="1"/>
  <c r="G100" i="1"/>
  <c r="G96" i="1"/>
  <c r="G121" i="1"/>
  <c r="G105" i="1"/>
  <c r="G71" i="1"/>
  <c r="G111" i="1"/>
  <c r="G112" i="1"/>
  <c r="G66" i="1"/>
  <c r="G107" i="1"/>
  <c r="G102" i="1"/>
  <c r="G90" i="1"/>
  <c r="G65" i="1"/>
  <c r="G69" i="1"/>
  <c r="G81" i="1"/>
  <c r="G86" i="1"/>
  <c r="G68" i="1"/>
  <c r="G122" i="1"/>
  <c r="G108" i="1"/>
  <c r="G99" i="1"/>
  <c r="G123" i="1"/>
  <c r="G92" i="1"/>
  <c r="G88" i="1"/>
  <c r="G77" i="1"/>
  <c r="G103" i="1"/>
  <c r="G91" i="1"/>
  <c r="G113" i="1"/>
  <c r="G93" i="1"/>
  <c r="G87" i="1"/>
  <c r="G79" i="1"/>
  <c r="G124" i="1"/>
  <c r="G97" i="1"/>
  <c r="G82" i="1"/>
  <c r="G84" i="1"/>
  <c r="G106" i="1"/>
  <c r="G73" i="1"/>
  <c r="G117" i="1"/>
  <c r="G80" i="1"/>
  <c r="G101" i="1"/>
  <c r="G89" i="1"/>
  <c r="G114" i="1"/>
  <c r="G70" i="1"/>
  <c r="G104" i="1"/>
  <c r="G120" i="1"/>
  <c r="G72" i="1"/>
  <c r="G78" i="1"/>
  <c r="G116" i="1"/>
  <c r="G98" i="1"/>
  <c r="G67" i="1"/>
  <c r="G83" i="1"/>
  <c r="G57" i="1"/>
  <c r="G50" i="1"/>
  <c r="G58" i="1"/>
  <c r="G53" i="1"/>
  <c r="G55" i="1"/>
  <c r="G49" i="1"/>
  <c r="G52" i="1"/>
  <c r="G54" i="1"/>
  <c r="G60" i="1"/>
  <c r="G51" i="1"/>
  <c r="G59" i="1"/>
  <c r="G56" i="1"/>
  <c r="F61" i="1"/>
  <c r="F113" i="1"/>
  <c r="F100" i="1"/>
  <c r="F76" i="1"/>
  <c r="F101" i="1"/>
  <c r="F87" i="1"/>
  <c r="F107" i="1"/>
  <c r="F120" i="1"/>
  <c r="F121" i="1"/>
  <c r="F110" i="1"/>
  <c r="F102" i="1"/>
  <c r="F74" i="1"/>
  <c r="F66" i="1"/>
  <c r="Q81" i="1" s="1"/>
  <c r="F72" i="1"/>
  <c r="F118" i="1"/>
  <c r="F82" i="1"/>
  <c r="F112" i="1"/>
  <c r="F93" i="1"/>
  <c r="F119" i="1"/>
  <c r="F91" i="1"/>
  <c r="F117" i="1"/>
  <c r="F69" i="1"/>
  <c r="F81" i="1"/>
  <c r="F95" i="1"/>
  <c r="F65" i="1"/>
  <c r="F106" i="1"/>
  <c r="F68" i="1"/>
  <c r="Q82" i="1" s="1"/>
  <c r="F85" i="1"/>
  <c r="F67" i="1"/>
  <c r="F90" i="1"/>
  <c r="F96" i="1"/>
  <c r="F94" i="1"/>
  <c r="F122" i="1"/>
  <c r="F103" i="1"/>
  <c r="F83" i="1"/>
  <c r="F92" i="1"/>
  <c r="F84" i="1"/>
  <c r="F80" i="1"/>
  <c r="F98" i="1"/>
  <c r="F114" i="1"/>
  <c r="F123" i="1"/>
  <c r="F99" i="1"/>
  <c r="F78" i="1"/>
  <c r="F71" i="1"/>
  <c r="F104" i="1"/>
  <c r="F105" i="1"/>
  <c r="F124" i="1"/>
  <c r="F111" i="1"/>
  <c r="F88" i="1"/>
  <c r="F115" i="1"/>
  <c r="F70" i="1"/>
  <c r="Q83" i="1" s="1"/>
  <c r="F97" i="1"/>
  <c r="F75" i="1"/>
  <c r="F116" i="1"/>
  <c r="F86" i="1"/>
  <c r="F77" i="1"/>
  <c r="F73" i="1"/>
  <c r="F89" i="1"/>
  <c r="F109" i="1"/>
  <c r="F79" i="1"/>
  <c r="F108" i="1"/>
  <c r="E144" i="1"/>
  <c r="B145" i="1"/>
  <c r="C144" i="1"/>
  <c r="D143" i="1"/>
  <c r="D144" i="1"/>
  <c r="A146" i="1" l="1"/>
  <c r="Q69" i="1" a="1"/>
  <c r="Q70" i="1" s="1"/>
  <c r="R70" i="1" s="1"/>
  <c r="E145" i="1"/>
  <c r="B146" i="1"/>
  <c r="C145" i="1"/>
  <c r="A147" i="1" l="1"/>
  <c r="Q69" i="1"/>
  <c r="R69" i="1" s="1"/>
  <c r="E146" i="1"/>
  <c r="B147" i="1"/>
  <c r="D145" i="1"/>
  <c r="C146" i="1"/>
  <c r="A148" i="1" l="1"/>
  <c r="E147" i="1"/>
  <c r="B148" i="1"/>
  <c r="D146" i="1"/>
  <c r="C147" i="1"/>
  <c r="A149" i="1" l="1"/>
  <c r="F146" i="1"/>
  <c r="E148" i="1"/>
  <c r="B149" i="1"/>
  <c r="C148" i="1"/>
  <c r="D147" i="1"/>
  <c r="A150" i="1" l="1"/>
  <c r="E149" i="1"/>
  <c r="B150" i="1"/>
  <c r="C149" i="1"/>
  <c r="D148" i="1"/>
  <c r="E150" i="1" l="1"/>
  <c r="C150" i="1"/>
  <c r="D149" i="1"/>
  <c r="D150" i="1"/>
  <c r="K4" i="11" l="1"/>
  <c r="K7" i="11"/>
  <c r="J4" i="11"/>
  <c r="L4" i="11"/>
  <c r="L7" i="11"/>
  <c r="F150" i="1" l="1"/>
  <c r="G150" i="1" s="1"/>
  <c r="Y7" i="11"/>
  <c r="AI7" i="11"/>
  <c r="S7" i="11"/>
  <c r="Z4" i="11"/>
  <c r="AF7" i="11"/>
  <c r="T4" i="11"/>
  <c r="AJ4" i="11"/>
  <c r="U4" i="11"/>
  <c r="T7" i="11"/>
  <c r="O4" i="11"/>
  <c r="AK7" i="11"/>
  <c r="P4" i="11"/>
  <c r="X4" i="11"/>
  <c r="R4" i="11"/>
  <c r="P7" i="11"/>
  <c r="N7" i="11"/>
  <c r="AE4" i="11"/>
  <c r="AJ7" i="11"/>
  <c r="Y4" i="11"/>
  <c r="AB7" i="11"/>
  <c r="Q7" i="11"/>
  <c r="M4" i="11"/>
  <c r="AG4" i="11"/>
  <c r="Z7" i="11"/>
  <c r="M7" i="11"/>
  <c r="AH4" i="11"/>
  <c r="S4" i="11"/>
  <c r="Q4" i="11"/>
  <c r="AB4" i="11"/>
  <c r="AF4" i="11"/>
  <c r="O7" i="11"/>
  <c r="AA7" i="11"/>
  <c r="AC4" i="11"/>
  <c r="W7" i="11"/>
  <c r="N4" i="11"/>
  <c r="R7" i="11"/>
  <c r="V7" i="11"/>
  <c r="AD7" i="11"/>
  <c r="AC7" i="11"/>
  <c r="AE7" i="11"/>
  <c r="AD4" i="11"/>
  <c r="AA4" i="11"/>
  <c r="V4" i="11"/>
  <c r="W4" i="11"/>
  <c r="X7" i="11"/>
  <c r="AI4" i="11"/>
  <c r="AK4" i="11"/>
  <c r="AG7" i="11"/>
  <c r="AH7" i="11"/>
  <c r="U7" i="11"/>
  <c r="I5" i="11" l="1"/>
  <c r="L507" i="11" s="1"/>
  <c r="AD506" i="11" l="1"/>
  <c r="V506" i="11"/>
  <c r="AG506" i="11"/>
  <c r="T506" i="11"/>
  <c r="L506" i="11"/>
  <c r="S506" i="11"/>
  <c r="AJ506" i="11"/>
  <c r="AE506" i="11"/>
  <c r="O506" i="11"/>
  <c r="AF506" i="11"/>
  <c r="Y506" i="11"/>
  <c r="AC506" i="11"/>
  <c r="AI506" i="11"/>
  <c r="P506" i="11"/>
  <c r="Q506" i="11"/>
  <c r="AK506" i="11"/>
  <c r="R506" i="11"/>
  <c r="Z506" i="11"/>
  <c r="AH506" i="11"/>
  <c r="U506" i="11"/>
  <c r="N506" i="11"/>
  <c r="AA506" i="11"/>
  <c r="M506" i="11"/>
  <c r="W506" i="11"/>
  <c r="X506" i="11"/>
  <c r="AB506" i="11"/>
  <c r="X507" i="11" l="1"/>
  <c r="R507" i="11"/>
  <c r="AI507" i="11"/>
  <c r="N507" i="11"/>
  <c r="O507" i="11"/>
  <c r="AG507" i="11"/>
  <c r="AJ507" i="11"/>
  <c r="AD507" i="11"/>
  <c r="AB507" i="11"/>
  <c r="Z507" i="11"/>
  <c r="Y507" i="11"/>
  <c r="M507" i="11"/>
  <c r="AA507" i="11"/>
  <c r="AH507" i="11"/>
  <c r="Q507" i="11"/>
  <c r="W507" i="11"/>
  <c r="P507" i="11"/>
  <c r="AF507" i="11"/>
  <c r="S507" i="11"/>
  <c r="U507" i="11"/>
  <c r="AK507" i="11"/>
  <c r="AC507" i="11"/>
  <c r="AE507" i="11"/>
  <c r="T507" i="11"/>
  <c r="V507" i="11"/>
  <c r="B3" i="11" l="1" a="1"/>
  <c r="B3" i="11" s="1"/>
  <c r="B27" i="11" l="1"/>
  <c r="B20" i="11"/>
  <c r="B26" i="11"/>
  <c r="B4" i="11"/>
  <c r="B24" i="11"/>
  <c r="B23" i="11"/>
  <c r="B22" i="11"/>
  <c r="B9" i="11"/>
  <c r="B16" i="11"/>
  <c r="F16" i="11" s="1"/>
  <c r="B10" i="11"/>
  <c r="B19" i="11"/>
  <c r="B18" i="11"/>
  <c r="E18" i="11" s="1"/>
  <c r="B8" i="11"/>
  <c r="B13" i="11"/>
  <c r="B14" i="11"/>
  <c r="B5" i="11"/>
  <c r="B17" i="11"/>
  <c r="B25" i="11"/>
  <c r="B15" i="11"/>
  <c r="B6" i="11"/>
  <c r="B7" i="11"/>
  <c r="B21" i="11"/>
  <c r="B11" i="11"/>
  <c r="B12" i="11"/>
  <c r="F20" i="11" l="1"/>
  <c r="F19" i="11"/>
  <c r="F18" i="11"/>
  <c r="E20" i="11"/>
  <c r="F26" i="11"/>
  <c r="E16" i="11"/>
  <c r="F25" i="11"/>
  <c r="E15" i="11"/>
  <c r="F15" i="11"/>
  <c r="F22" i="11"/>
  <c r="E22" i="11"/>
  <c r="B28" i="11"/>
  <c r="B29" i="11" s="1"/>
  <c r="F23" i="11"/>
  <c r="E21" i="11"/>
  <c r="F17" i="11"/>
  <c r="F24" i="11"/>
  <c r="E17" i="11"/>
  <c r="F27" i="11"/>
  <c r="E19" i="11"/>
  <c r="F21" i="11"/>
  <c r="E28" i="11" l="1"/>
  <c r="F28" i="11"/>
  <c r="P18" i="1" l="1"/>
  <c r="P17" i="1"/>
  <c r="P16" i="1"/>
  <c r="C7" i="11" l="1"/>
  <c r="E29" i="11"/>
  <c r="F29" i="11"/>
  <c r="B13" i="1"/>
  <c r="O75" i="1"/>
  <c r="E43" i="1"/>
  <c r="O73" i="1"/>
  <c r="R17" i="1"/>
  <c r="CJ46" i="1"/>
  <c r="E15" i="1"/>
  <c r="P15" i="1" s="1"/>
  <c r="R16" i="1"/>
  <c r="CJ45" i="1"/>
  <c r="O72" i="1"/>
  <c r="E44" i="1"/>
  <c r="CJ47" i="1"/>
  <c r="R18" i="1"/>
  <c r="O74" i="1"/>
  <c r="B41" i="1"/>
  <c r="C8" i="11" l="1"/>
  <c r="D28" i="1"/>
  <c r="D27" i="1"/>
  <c r="O76" i="1"/>
  <c r="O71" i="1"/>
  <c r="R15" i="1"/>
  <c r="CK44" i="1"/>
  <c r="B42" i="1"/>
  <c r="F27" i="1"/>
  <c r="F28" i="1"/>
  <c r="C16" i="11" l="1"/>
  <c r="C15" i="11"/>
  <c r="C9" i="11"/>
  <c r="D29" i="1"/>
  <c r="O84" i="1"/>
  <c r="P28" i="1"/>
  <c r="O77" i="1"/>
  <c r="O83" i="1"/>
  <c r="P27" i="1"/>
  <c r="D30" i="1"/>
  <c r="F30" i="1"/>
  <c r="F29" i="1"/>
  <c r="C18" i="11" l="1"/>
  <c r="C17" i="11"/>
  <c r="C10" i="11"/>
  <c r="O86" i="1"/>
  <c r="P30" i="1"/>
  <c r="CP57" i="1"/>
  <c r="R28" i="1"/>
  <c r="CN57" i="1"/>
  <c r="CL57" i="1"/>
  <c r="CK57" i="1"/>
  <c r="Q84" i="1"/>
  <c r="CM57" i="1"/>
  <c r="CQ57" i="1"/>
  <c r="CO57" i="1"/>
  <c r="CR57" i="1"/>
  <c r="O78" i="1"/>
  <c r="CO56" i="1"/>
  <c r="CK56" i="1"/>
  <c r="CM56" i="1"/>
  <c r="CL56" i="1"/>
  <c r="CP56" i="1"/>
  <c r="CN56" i="1"/>
  <c r="CS56" i="1"/>
  <c r="CV56" i="1"/>
  <c r="CQ56" i="1"/>
  <c r="CT56" i="1"/>
  <c r="R27" i="1"/>
  <c r="CR56" i="1"/>
  <c r="CU56" i="1"/>
  <c r="O85" i="1"/>
  <c r="P29" i="1"/>
  <c r="D31" i="1"/>
  <c r="F31" i="1"/>
  <c r="C19" i="11" l="1"/>
  <c r="C11" i="11"/>
  <c r="O87" i="1"/>
  <c r="P31" i="1"/>
  <c r="CO59" i="1"/>
  <c r="CL59" i="1"/>
  <c r="CS59" i="1"/>
  <c r="CQ59" i="1"/>
  <c r="CU59" i="1"/>
  <c r="CM59" i="1"/>
  <c r="CK59" i="1"/>
  <c r="CN59" i="1"/>
  <c r="Q86" i="1"/>
  <c r="R30" i="1"/>
  <c r="CR59" i="1"/>
  <c r="CT59" i="1"/>
  <c r="CV59" i="1"/>
  <c r="CP59" i="1"/>
  <c r="O79" i="1"/>
  <c r="CO58" i="1"/>
  <c r="CR58" i="1"/>
  <c r="CQ58" i="1"/>
  <c r="CK58" i="1"/>
  <c r="CT58" i="1"/>
  <c r="CS58" i="1"/>
  <c r="R29" i="1"/>
  <c r="Q85" i="1"/>
  <c r="CM58" i="1"/>
  <c r="CL58" i="1"/>
  <c r="CN58" i="1"/>
  <c r="CP58" i="1"/>
  <c r="D32" i="1"/>
  <c r="F32" i="1"/>
  <c r="C20" i="11" l="1"/>
  <c r="C12" i="11"/>
  <c r="P32" i="1"/>
  <c r="O88" i="1"/>
  <c r="CU60" i="1"/>
  <c r="Q87" i="1"/>
  <c r="CT60" i="1"/>
  <c r="R31" i="1"/>
  <c r="CR60" i="1"/>
  <c r="CO60" i="1"/>
  <c r="CQ60" i="1"/>
  <c r="CN60" i="1"/>
  <c r="CM60" i="1"/>
  <c r="CX60" i="1"/>
  <c r="CS60" i="1"/>
  <c r="CK60" i="1"/>
  <c r="CP60" i="1"/>
  <c r="CL60" i="1"/>
  <c r="CW60" i="1"/>
  <c r="CV60" i="1"/>
  <c r="O80" i="1"/>
  <c r="D33" i="1"/>
  <c r="F33" i="1"/>
  <c r="C21" i="11" l="1"/>
  <c r="C13" i="11"/>
  <c r="O81" i="1"/>
  <c r="O89" i="1"/>
  <c r="P33" i="1"/>
  <c r="CS61" i="1"/>
  <c r="CU61" i="1"/>
  <c r="Q88" i="1"/>
  <c r="R32" i="1"/>
  <c r="CP61" i="1"/>
  <c r="CN61" i="1"/>
  <c r="CW61" i="1"/>
  <c r="CL61" i="1"/>
  <c r="CM61" i="1"/>
  <c r="CO61" i="1"/>
  <c r="CX61" i="1"/>
  <c r="CR61" i="1"/>
  <c r="CT61" i="1"/>
  <c r="CZ61" i="1"/>
  <c r="CY61" i="1"/>
  <c r="CQ61" i="1"/>
  <c r="CV61" i="1"/>
  <c r="CK61" i="1"/>
  <c r="D34" i="1"/>
  <c r="F34" i="1"/>
  <c r="C22" i="11" l="1"/>
  <c r="C14" i="11"/>
  <c r="CL62" i="1"/>
  <c r="CS62" i="1"/>
  <c r="CP62" i="1"/>
  <c r="CW62" i="1"/>
  <c r="DB62" i="1"/>
  <c r="DA62" i="1"/>
  <c r="CT62" i="1"/>
  <c r="CN62" i="1"/>
  <c r="CU62" i="1"/>
  <c r="CM62" i="1"/>
  <c r="CO62" i="1"/>
  <c r="CQ62" i="1"/>
  <c r="CY62" i="1"/>
  <c r="CK62" i="1"/>
  <c r="Q89" i="1"/>
  <c r="CR62" i="1"/>
  <c r="CZ62" i="1"/>
  <c r="R33" i="1"/>
  <c r="CV62" i="1"/>
  <c r="CX62" i="1"/>
  <c r="O82" i="1"/>
  <c r="P34" i="1"/>
  <c r="O90" i="1"/>
  <c r="D36" i="1"/>
  <c r="D35" i="1"/>
  <c r="F36" i="1"/>
  <c r="F35" i="1"/>
  <c r="C23" i="11" l="1"/>
  <c r="C24" i="11"/>
  <c r="O92" i="1"/>
  <c r="P36" i="1"/>
  <c r="O91" i="1"/>
  <c r="P35" i="1"/>
  <c r="CQ63" i="1"/>
  <c r="CK63" i="1"/>
  <c r="R34" i="1"/>
  <c r="CS63" i="1"/>
  <c r="CR63" i="1"/>
  <c r="CT63" i="1"/>
  <c r="CL63" i="1"/>
  <c r="DD63" i="1"/>
  <c r="CZ63" i="1"/>
  <c r="CW63" i="1"/>
  <c r="CM63" i="1"/>
  <c r="CY63" i="1"/>
  <c r="DB63" i="1"/>
  <c r="CP63" i="1"/>
  <c r="DA63" i="1"/>
  <c r="Q90" i="1"/>
  <c r="CN63" i="1"/>
  <c r="CO63" i="1"/>
  <c r="CX63" i="1"/>
  <c r="CU63" i="1"/>
  <c r="DC63" i="1"/>
  <c r="CV63" i="1"/>
  <c r="D37" i="1"/>
  <c r="F37" i="1"/>
  <c r="C25" i="11" l="1"/>
  <c r="P37" i="1"/>
  <c r="O93" i="1"/>
  <c r="DD64" i="1"/>
  <c r="R35" i="1"/>
  <c r="CU64" i="1"/>
  <c r="Q91" i="1"/>
  <c r="CW64" i="1"/>
  <c r="CL64" i="1"/>
  <c r="CM64" i="1"/>
  <c r="CY64" i="1"/>
  <c r="CR64" i="1"/>
  <c r="DG64" i="1"/>
  <c r="DA64" i="1"/>
  <c r="DB64" i="1"/>
  <c r="CN64" i="1"/>
  <c r="CS64" i="1"/>
  <c r="CP64" i="1"/>
  <c r="CZ64" i="1"/>
  <c r="DH64" i="1"/>
  <c r="DE64" i="1"/>
  <c r="CO64" i="1"/>
  <c r="DC64" i="1"/>
  <c r="CV64" i="1"/>
  <c r="CK64" i="1"/>
  <c r="CX64" i="1"/>
  <c r="CT64" i="1"/>
  <c r="CQ64" i="1"/>
  <c r="DF64" i="1"/>
  <c r="CZ65" i="1"/>
  <c r="CX65" i="1"/>
  <c r="CS65" i="1"/>
  <c r="CK65" i="1"/>
  <c r="DM65" i="1"/>
  <c r="DH65" i="1"/>
  <c r="CL65" i="1"/>
  <c r="DD65" i="1"/>
  <c r="DI65" i="1"/>
  <c r="CU65" i="1"/>
  <c r="DC65" i="1"/>
  <c r="DL65" i="1"/>
  <c r="DF65" i="1"/>
  <c r="DB65" i="1"/>
  <c r="CM65" i="1"/>
  <c r="CQ65" i="1"/>
  <c r="DG65" i="1"/>
  <c r="CP65" i="1"/>
  <c r="DJ65" i="1"/>
  <c r="CT65" i="1"/>
  <c r="DN65" i="1"/>
  <c r="CY65" i="1"/>
  <c r="CV65" i="1"/>
  <c r="DE65" i="1"/>
  <c r="CR65" i="1"/>
  <c r="CN65" i="1"/>
  <c r="CW65" i="1"/>
  <c r="DK65" i="1"/>
  <c r="R36" i="1"/>
  <c r="DA65" i="1"/>
  <c r="Q92" i="1"/>
  <c r="CO65" i="1"/>
  <c r="D38" i="1"/>
  <c r="F38" i="1"/>
  <c r="C26" i="11" l="1"/>
  <c r="O94" i="1"/>
  <c r="P38" i="1"/>
  <c r="CS66" i="1"/>
  <c r="DF66" i="1"/>
  <c r="DN66" i="1"/>
  <c r="CR66" i="1"/>
  <c r="R37" i="1"/>
  <c r="DQ66" i="1"/>
  <c r="DV66" i="1"/>
  <c r="DW66" i="1"/>
  <c r="DA66" i="1"/>
  <c r="CP66" i="1"/>
  <c r="DR66" i="1"/>
  <c r="CT66" i="1"/>
  <c r="CQ66" i="1"/>
  <c r="Q93" i="1"/>
  <c r="DH66" i="1"/>
  <c r="DB66" i="1"/>
  <c r="CX66" i="1"/>
  <c r="CO66" i="1"/>
  <c r="DM66" i="1"/>
  <c r="DK66" i="1"/>
  <c r="CN66" i="1"/>
  <c r="DE66" i="1"/>
  <c r="DD66" i="1"/>
  <c r="DT66" i="1"/>
  <c r="CW66" i="1"/>
  <c r="DP66" i="1"/>
  <c r="DG66" i="1"/>
  <c r="Q40" i="1"/>
  <c r="DJ66" i="1"/>
  <c r="CM66" i="1"/>
  <c r="CV66" i="1"/>
  <c r="CY66" i="1"/>
  <c r="DC66" i="1"/>
  <c r="DS66" i="1"/>
  <c r="CL66" i="1"/>
  <c r="CK66" i="1"/>
  <c r="CZ66" i="1"/>
  <c r="DO66" i="1"/>
  <c r="CU66" i="1"/>
  <c r="DU66" i="1"/>
  <c r="DI66" i="1"/>
  <c r="DL66" i="1"/>
  <c r="DX66" i="1"/>
  <c r="D39" i="1"/>
  <c r="F39" i="1"/>
  <c r="C27" i="11" l="1"/>
  <c r="P23" i="1"/>
  <c r="P21" i="1"/>
  <c r="P20" i="1"/>
  <c r="P24" i="1"/>
  <c r="P22" i="1"/>
  <c r="O95" i="1"/>
  <c r="P39" i="1"/>
  <c r="CV67" i="1"/>
  <c r="R38" i="1"/>
  <c r="DO67" i="1"/>
  <c r="DG67" i="1"/>
  <c r="DS67" i="1"/>
  <c r="EH67" i="1"/>
  <c r="DX67" i="1"/>
  <c r="CX67" i="1"/>
  <c r="Q94" i="1"/>
  <c r="DM67" i="1"/>
  <c r="DJ67" i="1"/>
  <c r="DV67" i="1"/>
  <c r="DY67" i="1"/>
  <c r="DU67" i="1"/>
  <c r="ED67" i="1"/>
  <c r="EC67" i="1"/>
  <c r="EA67" i="1"/>
  <c r="DT67" i="1"/>
  <c r="EG67" i="1"/>
  <c r="DC67" i="1"/>
  <c r="CW67" i="1"/>
  <c r="EB67" i="1"/>
  <c r="DA67" i="1"/>
  <c r="DR67" i="1"/>
  <c r="DL67" i="1"/>
  <c r="CY67" i="1"/>
  <c r="CU67" i="1"/>
  <c r="DZ67" i="1"/>
  <c r="DW67" i="1"/>
  <c r="CQ67" i="1"/>
  <c r="CS67" i="1"/>
  <c r="DQ67" i="1"/>
  <c r="DK67" i="1"/>
  <c r="EF67" i="1"/>
  <c r="CL67" i="1"/>
  <c r="CZ67" i="1"/>
  <c r="DH67" i="1"/>
  <c r="CM67" i="1"/>
  <c r="CR67" i="1"/>
  <c r="DP67" i="1"/>
  <c r="DI67" i="1"/>
  <c r="DB67" i="1"/>
  <c r="DN67" i="1"/>
  <c r="CO67" i="1"/>
  <c r="CT67" i="1"/>
  <c r="DE67" i="1"/>
  <c r="CN67" i="1"/>
  <c r="DF67" i="1"/>
  <c r="CP67" i="1"/>
  <c r="EE67" i="1"/>
  <c r="DD67" i="1"/>
  <c r="CK67" i="1"/>
  <c r="P25" i="1" l="1"/>
  <c r="P26" i="1"/>
  <c r="P19" i="1"/>
  <c r="CJ53" i="1"/>
  <c r="R24" i="1"/>
  <c r="CJ49" i="1"/>
  <c r="R20" i="1"/>
  <c r="R21" i="1"/>
  <c r="CJ50" i="1"/>
  <c r="CO68" i="1"/>
  <c r="EL68" i="1"/>
  <c r="CY68" i="1"/>
  <c r="DA68" i="1"/>
  <c r="EO68" i="1"/>
  <c r="DG68" i="1"/>
  <c r="DF68" i="1"/>
  <c r="EN68" i="1"/>
  <c r="DD68" i="1"/>
  <c r="EA68" i="1"/>
  <c r="DZ68" i="1"/>
  <c r="EB68" i="1"/>
  <c r="DS68" i="1"/>
  <c r="CU68" i="1"/>
  <c r="CK68" i="1"/>
  <c r="CT68" i="1"/>
  <c r="DR68" i="1"/>
  <c r="DO68" i="1"/>
  <c r="DY68" i="1"/>
  <c r="CM68" i="1"/>
  <c r="DN68" i="1"/>
  <c r="EH68" i="1"/>
  <c r="CQ68" i="1"/>
  <c r="CS68" i="1"/>
  <c r="Q95" i="1"/>
  <c r="DL68" i="1"/>
  <c r="EE68" i="1"/>
  <c r="CN68" i="1"/>
  <c r="EJ68" i="1"/>
  <c r="DI68" i="1"/>
  <c r="DM68" i="1"/>
  <c r="DT68" i="1"/>
  <c r="CL68" i="1"/>
  <c r="CX68" i="1"/>
  <c r="ED68" i="1"/>
  <c r="EI68" i="1"/>
  <c r="CW68" i="1"/>
  <c r="CZ68" i="1"/>
  <c r="DW68" i="1"/>
  <c r="DC68" i="1"/>
  <c r="DE68" i="1"/>
  <c r="R39" i="1"/>
  <c r="ER68" i="1"/>
  <c r="DQ68" i="1"/>
  <c r="DH68" i="1"/>
  <c r="DU68" i="1"/>
  <c r="EK68" i="1"/>
  <c r="DX68" i="1"/>
  <c r="EM68" i="1"/>
  <c r="EQ68" i="1"/>
  <c r="EG68" i="1"/>
  <c r="DV68" i="1"/>
  <c r="CV68" i="1"/>
  <c r="CP68" i="1"/>
  <c r="EC68" i="1"/>
  <c r="DJ68" i="1"/>
  <c r="EF68" i="1"/>
  <c r="CR68" i="1"/>
  <c r="DP68" i="1"/>
  <c r="DB68" i="1"/>
  <c r="EP68" i="1"/>
  <c r="DK68" i="1"/>
  <c r="R22" i="1"/>
  <c r="CJ51" i="1"/>
  <c r="CJ52" i="1"/>
  <c r="R23" i="1"/>
  <c r="CJ48" i="1" l="1"/>
  <c r="R19" i="1"/>
  <c r="CJ54" i="1"/>
  <c r="R25" i="1"/>
  <c r="CJ55" i="1"/>
  <c r="R26" i="1"/>
  <c r="X58" i="1"/>
  <c r="X65" i="1"/>
  <c r="X46" i="1"/>
  <c r="X52" i="1"/>
  <c r="X47" i="1"/>
  <c r="X51" i="1"/>
  <c r="X44" i="1"/>
  <c r="X61" i="1"/>
  <c r="X53" i="1"/>
  <c r="X62" i="1"/>
  <c r="X66" i="1"/>
  <c r="X64" i="1"/>
  <c r="X59" i="1"/>
  <c r="X56" i="1"/>
  <c r="X49" i="1"/>
  <c r="X67" i="1"/>
  <c r="X45" i="1"/>
  <c r="X54" i="1"/>
  <c r="X63" i="1"/>
  <c r="X48" i="1"/>
  <c r="X60" i="1"/>
  <c r="X68" i="1"/>
  <c r="X50" i="1"/>
  <c r="X57" i="1"/>
  <c r="X55" i="1"/>
  <c r="X83" i="1"/>
  <c r="X73" i="1"/>
  <c r="X81" i="1"/>
  <c r="X86" i="1"/>
  <c r="X85" i="1"/>
  <c r="X89" i="1"/>
  <c r="X95" i="1"/>
  <c r="X78" i="1"/>
  <c r="X77" i="1"/>
  <c r="X72" i="1"/>
  <c r="X84" i="1"/>
  <c r="X79" i="1"/>
  <c r="X92" i="1"/>
  <c r="X94" i="1"/>
  <c r="X96" i="1"/>
  <c r="X76" i="1"/>
  <c r="X88" i="1"/>
  <c r="X87" i="1"/>
  <c r="X75" i="1"/>
  <c r="X80" i="1"/>
  <c r="X74" i="1"/>
  <c r="X91" i="1"/>
  <c r="X82" i="1"/>
  <c r="X90" i="1"/>
  <c r="X93" i="1"/>
  <c r="W93" i="1" l="1"/>
  <c r="W90" i="1"/>
  <c r="W82" i="1"/>
  <c r="W91" i="1"/>
  <c r="W74" i="1"/>
  <c r="W80" i="1"/>
  <c r="W75" i="1"/>
  <c r="W87" i="1"/>
  <c r="W88" i="1"/>
  <c r="W76" i="1"/>
  <c r="P11" i="1" s="1"/>
  <c r="W96" i="1"/>
  <c r="W94" i="1"/>
  <c r="W92" i="1"/>
  <c r="W79" i="1"/>
  <c r="W84" i="1"/>
  <c r="P12" i="1" s="1" a="1"/>
  <c r="P12" i="1" s="1"/>
  <c r="W72" i="1"/>
  <c r="W77" i="1"/>
  <c r="W78" i="1"/>
  <c r="W95" i="1"/>
  <c r="W89" i="1"/>
  <c r="W85" i="1"/>
  <c r="W86" i="1"/>
  <c r="W81" i="1"/>
  <c r="W73" i="1"/>
  <c r="W83" i="1"/>
  <c r="P10" i="1" l="1" a="1"/>
  <c r="P10" i="1" s="1"/>
  <c r="P9" i="1" s="1" a="1"/>
  <c r="P9" i="1" s="1"/>
  <c r="M10" i="1" s="1"/>
</calcChain>
</file>

<file path=xl/sharedStrings.xml><?xml version="1.0" encoding="utf-8"?>
<sst xmlns="http://schemas.openxmlformats.org/spreadsheetml/2006/main" count="2259" uniqueCount="1145">
  <si>
    <t>O/N</t>
  </si>
  <si>
    <t>Value Date</t>
  </si>
  <si>
    <t>Maturity</t>
  </si>
  <si>
    <t>Coupon Freq</t>
  </si>
  <si>
    <t>Calculation Date</t>
  </si>
  <si>
    <t>Holidays</t>
  </si>
  <si>
    <t>Value</t>
  </si>
  <si>
    <t>Maturity/Nodes</t>
  </si>
  <si>
    <t>QZ</t>
  </si>
  <si>
    <t>CF_Days</t>
  </si>
  <si>
    <t>Cash Flow Dates</t>
  </si>
  <si>
    <t>CF</t>
  </si>
  <si>
    <t>Shifts</t>
  </si>
  <si>
    <t>Dates</t>
  </si>
  <si>
    <t>Days</t>
  </si>
  <si>
    <t>Cashflow</t>
  </si>
  <si>
    <t>Unpeturbed</t>
  </si>
  <si>
    <t>Par Rate</t>
  </si>
  <si>
    <t>PDH</t>
  </si>
  <si>
    <t>Raw PV</t>
  </si>
  <si>
    <t>Base</t>
  </si>
  <si>
    <t>Total</t>
  </si>
  <si>
    <t>Seed</t>
  </si>
  <si>
    <t>InterpSpace</t>
  </si>
  <si>
    <t>ZeroCompFreq</t>
  </si>
  <si>
    <t>Method</t>
  </si>
  <si>
    <t>LINEAR</t>
  </si>
  <si>
    <t>ZERO</t>
  </si>
  <si>
    <t>Instrument No.</t>
  </si>
  <si>
    <t>DF</t>
  </si>
  <si>
    <t>Cash</t>
  </si>
  <si>
    <t>Futures</t>
  </si>
  <si>
    <t>Swap</t>
  </si>
  <si>
    <t>Maturity Date</t>
  </si>
  <si>
    <t>D</t>
  </si>
  <si>
    <t>F</t>
  </si>
  <si>
    <t>M</t>
  </si>
  <si>
    <t>MF</t>
  </si>
  <si>
    <t>Y</t>
  </si>
  <si>
    <t>Alpha</t>
  </si>
  <si>
    <t>Vol</t>
  </si>
  <si>
    <t>Date</t>
  </si>
  <si>
    <t>Zero</t>
  </si>
  <si>
    <t>A/365</t>
  </si>
  <si>
    <t>Conv/Basis Adj</t>
  </si>
  <si>
    <t>Rate</t>
  </si>
  <si>
    <t>Type</t>
  </si>
  <si>
    <t>Convexity On?</t>
  </si>
  <si>
    <t>Strip Calcs / Qtrly Swaps</t>
  </si>
  <si>
    <t>BPV / Mill</t>
  </si>
  <si>
    <t>BPV/Mill</t>
  </si>
  <si>
    <t>Hedge Mill</t>
  </si>
  <si>
    <t>3 Yr</t>
  </si>
  <si>
    <t>10 Yr</t>
  </si>
  <si>
    <t>EFP</t>
  </si>
  <si>
    <t>Bond Futures</t>
  </si>
  <si>
    <t>Contract</t>
  </si>
  <si>
    <t>Price</t>
  </si>
  <si>
    <t>Yield</t>
  </si>
  <si>
    <t>Bid/Ask/Mid</t>
  </si>
  <si>
    <t>Semi Swaps</t>
  </si>
  <si>
    <t>Roll</t>
  </si>
  <si>
    <t>10YR Hedge</t>
  </si>
  <si>
    <t>3YR Hedge</t>
  </si>
  <si>
    <t>BPV</t>
  </si>
  <si>
    <t>Delta</t>
  </si>
  <si>
    <t>Contracts</t>
  </si>
  <si>
    <t>Start</t>
  </si>
  <si>
    <t>PV / Million</t>
  </si>
  <si>
    <t>Overall</t>
  </si>
  <si>
    <t>Strip</t>
  </si>
  <si>
    <t>MM.AUD.BBR.ON.CASH</t>
  </si>
  <si>
    <t>MM.AUD.BBR.1M.CASH</t>
  </si>
  <si>
    <t>MM.AUD.BBR.2M.CASH</t>
  </si>
  <si>
    <t>MM.AUD.BBR.3M.CASH</t>
  </si>
  <si>
    <t>Future.AUD.SFE.YBA.2008.DEC</t>
  </si>
  <si>
    <t>Future.AUD.SFE.YBA.2009.MAR</t>
  </si>
  <si>
    <t>Future.AUD.SFE.YBA.2009.JUN</t>
  </si>
  <si>
    <t>Future.AUD.SFE.YBA.2009.SEP</t>
  </si>
  <si>
    <t>Future.AUD.SFE.YBA.2009.DEC</t>
  </si>
  <si>
    <t>Future.AUD.SFE.YBA.2010.MAR</t>
  </si>
  <si>
    <t>Future.AUD.SFE.YBA.2010.JUN</t>
  </si>
  <si>
    <t>Future.AUD.SFE.YBA.2010.SEP</t>
  </si>
  <si>
    <t>Swap.3Y.AUD.BBR.3M/3M.BBSW</t>
  </si>
  <si>
    <t>Swap.4Y.AUD.BBR.6M/6M.BBSW</t>
  </si>
  <si>
    <t>Swap.5Y.AUD.BBR.6M/6M.BBSW</t>
  </si>
  <si>
    <t>Swap.6Y.AUD.BBR.6M/6M.BBSW</t>
  </si>
  <si>
    <t>Swap.7Y.AUD.BBR.6M/6M.BBSW</t>
  </si>
  <si>
    <t>Swap.8Y.AUD.BBR.6M/6M.BBSW</t>
  </si>
  <si>
    <t>Swap.9Y.AUD.BBR.6M/6M.BBSW</t>
  </si>
  <si>
    <t>Swap.10Y.AUD.BBR.6M/6M.BBSW</t>
  </si>
  <si>
    <t>Swap.12Y.AUD.BBR.6M/6M.BBSW</t>
  </si>
  <si>
    <t>Swap.15Y.AUD.BBR.6M/6M.BBSW</t>
  </si>
  <si>
    <t>Swap.20Y.AUD.BBR.6M/6M.BBSW</t>
  </si>
  <si>
    <t>Swap.25Y.AUD.BBR.6M/6M.BBSW</t>
  </si>
  <si>
    <t>Swap.30Y.AUD.BBR.6M/6M.BBSW</t>
  </si>
  <si>
    <t>Early/Late Bills?</t>
  </si>
  <si>
    <t xml:space="preserve"> </t>
  </si>
  <si>
    <t>Curve</t>
  </si>
  <si>
    <t>1Yr/1Yr Fwd</t>
  </si>
  <si>
    <t>Mat</t>
  </si>
  <si>
    <t>Bid</t>
  </si>
  <si>
    <t>Ask</t>
  </si>
  <si>
    <t>Mid</t>
  </si>
  <si>
    <t>Diff</t>
  </si>
  <si>
    <t>1X4</t>
  </si>
  <si>
    <t>2X5</t>
  </si>
  <si>
    <t>3X6</t>
  </si>
  <si>
    <t>Error</t>
  </si>
  <si>
    <t>Shifted Curve</t>
  </si>
  <si>
    <t>This text was added by using code</t>
  </si>
  <si>
    <t>PRIMACT_1</t>
  </si>
  <si>
    <t>MID</t>
  </si>
  <si>
    <t>BID</t>
  </si>
  <si>
    <t>ASK</t>
  </si>
  <si>
    <t>AUPRIME=</t>
  </si>
  <si>
    <t>USDONFSR=</t>
  </si>
  <si>
    <t>JPYOND=</t>
  </si>
  <si>
    <t>EURONFSR=</t>
  </si>
  <si>
    <t>GBPONFSR=</t>
  </si>
  <si>
    <t>NZPRIME=</t>
  </si>
  <si>
    <t>HIHKDOND=</t>
  </si>
  <si>
    <t>L</t>
  </si>
  <si>
    <t>HIHKD1MD=</t>
  </si>
  <si>
    <t>PRIM ACT 1</t>
  </si>
  <si>
    <t>SECOND ACTIVY 1</t>
  </si>
  <si>
    <t>RT YIELD 1</t>
  </si>
  <si>
    <t>SEC YLD 1</t>
  </si>
  <si>
    <t>HIHKD2MD=</t>
  </si>
  <si>
    <t>AU1MLBB=ICAA</t>
  </si>
  <si>
    <t>USD1MFSR=</t>
  </si>
  <si>
    <t>JPY1MFSR=</t>
  </si>
  <si>
    <t>EURIBOR1MD=</t>
  </si>
  <si>
    <t>GBP1MFSR=</t>
  </si>
  <si>
    <t>NZ1MT=RR</t>
  </si>
  <si>
    <t>HIHKD3MD=</t>
  </si>
  <si>
    <t>AU2MLBB=ICAA</t>
  </si>
  <si>
    <t>USD2MFSR=</t>
  </si>
  <si>
    <t>JPY2MFSR=</t>
  </si>
  <si>
    <t>EURIBOR2MD=</t>
  </si>
  <si>
    <t>GBP2MFSR=</t>
  </si>
  <si>
    <t>NZ2MT=RR</t>
  </si>
  <si>
    <t>AU3MLBB=ICAA</t>
  </si>
  <si>
    <t>USD3MFSR=</t>
  </si>
  <si>
    <t>JPY3MFSR=</t>
  </si>
  <si>
    <t>EURIBOR3MD=</t>
  </si>
  <si>
    <t>GBP3MFSR=</t>
  </si>
  <si>
    <t>NZ3MT=RR</t>
  </si>
  <si>
    <t>HIHKD1MD=R</t>
  </si>
  <si>
    <t>Bills</t>
  </si>
  <si>
    <t>SETTLEMENT PRC</t>
  </si>
  <si>
    <t>Eurodollars</t>
  </si>
  <si>
    <t>HST CLOSE</t>
  </si>
  <si>
    <t>HIHKD2MD=R</t>
  </si>
  <si>
    <t>YBAc1</t>
  </si>
  <si>
    <t>EDcm1</t>
  </si>
  <si>
    <t>JEYcm1</t>
  </si>
  <si>
    <t>FEIcm1</t>
  </si>
  <si>
    <t>FSScm1</t>
  </si>
  <si>
    <t>NBBc1</t>
  </si>
  <si>
    <t>HIHKD3MD=R</t>
  </si>
  <si>
    <t>YBAc2</t>
  </si>
  <si>
    <t>EDcm2</t>
  </si>
  <si>
    <t>JEYcm2</t>
  </si>
  <si>
    <t>FEIcm2</t>
  </si>
  <si>
    <t>FSScm2</t>
  </si>
  <si>
    <t>NBBc2</t>
  </si>
  <si>
    <t>YBAc3</t>
  </si>
  <si>
    <t>EDcm3</t>
  </si>
  <si>
    <t>JEYcm3</t>
  </si>
  <si>
    <t>FEIcm3</t>
  </si>
  <si>
    <t>FSScm3</t>
  </si>
  <si>
    <t>NBBc3</t>
  </si>
  <si>
    <t>YBAc4</t>
  </si>
  <si>
    <t>EDcm4</t>
  </si>
  <si>
    <t>JEYcm4</t>
  </si>
  <si>
    <t>FEIcm4</t>
  </si>
  <si>
    <t>FSScm4</t>
  </si>
  <si>
    <t>NBBc4</t>
  </si>
  <si>
    <t>YBAc5</t>
  </si>
  <si>
    <t>EDcm5</t>
  </si>
  <si>
    <t>JEYcm5</t>
  </si>
  <si>
    <t>FEIcm5</t>
  </si>
  <si>
    <t>FSScm5</t>
  </si>
  <si>
    <t>NBBc5</t>
  </si>
  <si>
    <t>YBAc6</t>
  </si>
  <si>
    <t>EDcm6</t>
  </si>
  <si>
    <t>JEYcm6</t>
  </si>
  <si>
    <t>FEIcm6</t>
  </si>
  <si>
    <t>FSScm6</t>
  </si>
  <si>
    <t>NBBc6</t>
  </si>
  <si>
    <t>YBAc7</t>
  </si>
  <si>
    <t>EDcm7</t>
  </si>
  <si>
    <t>JEYcm7</t>
  </si>
  <si>
    <t>FEIcm7</t>
  </si>
  <si>
    <t>FSScm7</t>
  </si>
  <si>
    <t>NBBc7</t>
  </si>
  <si>
    <t>YBAc8</t>
  </si>
  <si>
    <t>EDcm8</t>
  </si>
  <si>
    <t>JEYcm8</t>
  </si>
  <si>
    <t>FEIcm8</t>
  </si>
  <si>
    <t>FSScm8</t>
  </si>
  <si>
    <t>NBBc8</t>
  </si>
  <si>
    <t>YBAc9</t>
  </si>
  <si>
    <t>EDcm9</t>
  </si>
  <si>
    <t>JEYcm9</t>
  </si>
  <si>
    <t>FEIcm9</t>
  </si>
  <si>
    <t>FSScm9</t>
  </si>
  <si>
    <t>EDcm10</t>
  </si>
  <si>
    <t>FEIcm10</t>
  </si>
  <si>
    <t>FSScm10</t>
  </si>
  <si>
    <t>YTTc1</t>
  </si>
  <si>
    <t>EDcm11</t>
  </si>
  <si>
    <t>JIMM1LITI=TRDT</t>
  </si>
  <si>
    <t>FEIcm11</t>
  </si>
  <si>
    <t>YTTc2</t>
  </si>
  <si>
    <t>EDcm12</t>
  </si>
  <si>
    <t>JIMM2LITI=TRDT</t>
  </si>
  <si>
    <t>FEIcm12</t>
  </si>
  <si>
    <t>EDcm13</t>
  </si>
  <si>
    <t>JIMM3LITI=TRDT</t>
  </si>
  <si>
    <t>FEIcm13</t>
  </si>
  <si>
    <t>JIMM4LITI=TRDT</t>
  </si>
  <si>
    <t>YTCc1</t>
  </si>
  <si>
    <t>EDc1</t>
  </si>
  <si>
    <t>JIMM5LITI=TRDT</t>
  </si>
  <si>
    <t>YTCc2</t>
  </si>
  <si>
    <t>EMc1</t>
  </si>
  <si>
    <t>JIMM6LITI=TRDT</t>
  </si>
  <si>
    <t>JIMM7LITI=TRDT</t>
  </si>
  <si>
    <t>JIMM8LITI=TRDT</t>
  </si>
  <si>
    <t>JIMM9LITI=TRDT</t>
  </si>
  <si>
    <t>EURAB3E1Y=</t>
  </si>
  <si>
    <t>AUDQM3AB1Y=</t>
  </si>
  <si>
    <t>USDSB3L2Y=RR</t>
  </si>
  <si>
    <t>EURAB6E2Y=</t>
  </si>
  <si>
    <t>GBPAM3L1Y=</t>
  </si>
  <si>
    <t>NZDSM3NB1Y=ICAP</t>
  </si>
  <si>
    <t>HKDQM3H6M=TTKL</t>
  </si>
  <si>
    <t>AUDQM3AB2Y=ICAP</t>
  </si>
  <si>
    <t>USDSB3L3Y=RR</t>
  </si>
  <si>
    <t>EURAB6E3Y=</t>
  </si>
  <si>
    <t>GBPSB6L2Y=</t>
  </si>
  <si>
    <t>NZDSM3NB2Y=ICAP</t>
  </si>
  <si>
    <t>HKDQM3H9M=TTKL</t>
  </si>
  <si>
    <t>AUDQM3AB3Y=ICAP</t>
  </si>
  <si>
    <t>USDSB3L4Y=RR</t>
  </si>
  <si>
    <t>JPYSB6L1Y=</t>
  </si>
  <si>
    <t>EURAB6E4Y=</t>
  </si>
  <si>
    <t>GBPSB6L3Y=</t>
  </si>
  <si>
    <t>NZDSM3NB3Y=ICAP</t>
  </si>
  <si>
    <t>HKDQM3H1Y=TTKL</t>
  </si>
  <si>
    <t>AUDSM6AB4Y=ICAP</t>
  </si>
  <si>
    <t>USDSB3L5Y=RR</t>
  </si>
  <si>
    <t>JPYSB6L18M=</t>
  </si>
  <si>
    <t>EURAB6E5Y=</t>
  </si>
  <si>
    <t>GBPSB6L4Y=</t>
  </si>
  <si>
    <t>NZDSM3NB4Y=ICAP</t>
  </si>
  <si>
    <t>HKDQM3H18M=TTKL</t>
  </si>
  <si>
    <t>AUDSM6AB5Y=ICAP</t>
  </si>
  <si>
    <t>USDSB3L6Y=RR</t>
  </si>
  <si>
    <t>JPYSB6L2Y=</t>
  </si>
  <si>
    <t>EURAB6E6Y=</t>
  </si>
  <si>
    <t>GBPSB6L5Y=</t>
  </si>
  <si>
    <t>NZDSM3NB5Y=ICAP</t>
  </si>
  <si>
    <t>HKDQM3H2Y=TTKL</t>
  </si>
  <si>
    <t>AUDSM6AB7Y=ICAP</t>
  </si>
  <si>
    <t>USDSB3L7Y=RR</t>
  </si>
  <si>
    <t>JPYSB6L3Y=</t>
  </si>
  <si>
    <t>EURAB6E7Y=</t>
  </si>
  <si>
    <t>GBPSB6L7Y=</t>
  </si>
  <si>
    <t>NZDSM3NB7Y=ICAP</t>
  </si>
  <si>
    <t>HKDQM3H3Y=TTKL</t>
  </si>
  <si>
    <t>AUDSM6AB10Y=ICAP</t>
  </si>
  <si>
    <t>USDSB3L8Y=RR</t>
  </si>
  <si>
    <t>JPYSB6L4Y=</t>
  </si>
  <si>
    <t>EURAB6E8Y=</t>
  </si>
  <si>
    <t>GBPSB6L10Y=</t>
  </si>
  <si>
    <t>NZDSM3NB10Y=ICAP</t>
  </si>
  <si>
    <t>HKDQM3H4Y=TTKL</t>
  </si>
  <si>
    <t>AUDSM6AB15Y=ICAP</t>
  </si>
  <si>
    <t>USDSB3L9Y=RR</t>
  </si>
  <si>
    <t>JPYSB6L5Y=</t>
  </si>
  <si>
    <t>EURAB6E9Y=</t>
  </si>
  <si>
    <t>GBPSB6L12Y=</t>
  </si>
  <si>
    <t>NZDSM3NB15Y=ICAP</t>
  </si>
  <si>
    <t>HKDQM3H5Y=TTKL</t>
  </si>
  <si>
    <t>AUDSM6AB20Y=ICAP</t>
  </si>
  <si>
    <t>USDSB3L10Y=RR</t>
  </si>
  <si>
    <t>JPYSB6L6Y=</t>
  </si>
  <si>
    <t>EURAB6E10Y=</t>
  </si>
  <si>
    <t>GBPSB6L15Y=</t>
  </si>
  <si>
    <t>HKDQM3H7Y=TTKL</t>
  </si>
  <si>
    <t>AUDSM6AB25Y=ICAP</t>
  </si>
  <si>
    <t>USDSB3L12Y=RR</t>
  </si>
  <si>
    <t>JPYSB6L7Y=</t>
  </si>
  <si>
    <t>EURAB6E12Y=</t>
  </si>
  <si>
    <t>GBPSB6L20Y=</t>
  </si>
  <si>
    <t>HKDQM3H10Y=TTKL</t>
  </si>
  <si>
    <t>AUDSM6AB30Y=ICAP</t>
  </si>
  <si>
    <t>USDSB3L15Y=RR</t>
  </si>
  <si>
    <t>JPYSB6L8Y=</t>
  </si>
  <si>
    <t>EURAB6E15Y=</t>
  </si>
  <si>
    <t>GBPSB6L25Y=</t>
  </si>
  <si>
    <t>HKDQM3H12Y=TTKL</t>
  </si>
  <si>
    <t>USDSB3L20Y=RR</t>
  </si>
  <si>
    <t>JPYSB6L9Y=</t>
  </si>
  <si>
    <t>EURAB6E20Y=</t>
  </si>
  <si>
    <t>HKDQM3H15Y=TTKL</t>
  </si>
  <si>
    <t>USDSB3L25Y=RR</t>
  </si>
  <si>
    <t>JPYSB6L10Y=</t>
  </si>
  <si>
    <t>EURAB6E25Y=</t>
  </si>
  <si>
    <t>USDSB3L30Y=RR</t>
  </si>
  <si>
    <t>JPYSB6L12Y=</t>
  </si>
  <si>
    <t>EURAB6E30Y=</t>
  </si>
  <si>
    <t>JPYSB6L15Y=</t>
  </si>
  <si>
    <t>JPYSB6L20Y=</t>
  </si>
  <si>
    <t>US2YT=RR</t>
  </si>
  <si>
    <t>JPYSB6L25Y=</t>
  </si>
  <si>
    <t>US3YT=RR</t>
  </si>
  <si>
    <t>JPYSB6L30Y=</t>
  </si>
  <si>
    <t>US5YT=RR</t>
  </si>
  <si>
    <t>US7YT=RR</t>
  </si>
  <si>
    <t>JP6L3L1Y=TRDT</t>
  </si>
  <si>
    <t>US10YT=RR</t>
  </si>
  <si>
    <t>JP6L3L18M=TRDT</t>
  </si>
  <si>
    <t>US30YT=RR</t>
  </si>
  <si>
    <t>JP6L3L2Y=TRDT</t>
  </si>
  <si>
    <t>JP6L3L3Y=TRDT</t>
  </si>
  <si>
    <t>Basis</t>
  </si>
  <si>
    <t>ICAPAUKIWISWAP</t>
  </si>
  <si>
    <t>3M v 6M Basis</t>
  </si>
  <si>
    <t>JP6L3L4Y=TRDT</t>
  </si>
  <si>
    <t>3M v 6M</t>
  </si>
  <si>
    <t>3M v 1M</t>
  </si>
  <si>
    <t>Offer</t>
  </si>
  <si>
    <t>CLOSE</t>
  </si>
  <si>
    <t>JP6L3L5Y=TRDT</t>
  </si>
  <si>
    <t>ICAPEUROBASIS</t>
  </si>
  <si>
    <t>Line</t>
  </si>
  <si>
    <t>ICAPGBPBASIS</t>
  </si>
  <si>
    <t>1 Year</t>
  </si>
  <si>
    <t>6M</t>
  </si>
  <si>
    <t>JP6L3L6Y=TRDT</t>
  </si>
  <si>
    <t>1Y</t>
  </si>
  <si>
    <t>2 Year</t>
  </si>
  <si>
    <t>ICAPAUSTIRS01</t>
  </si>
  <si>
    <t>JP6L3L7Y=TRDT</t>
  </si>
  <si>
    <t>2Y</t>
  </si>
  <si>
    <t>3 Year</t>
  </si>
  <si>
    <t>JP6L3L8Y=TRDT</t>
  </si>
  <si>
    <t>3Y</t>
  </si>
  <si>
    <t>4 Year</t>
  </si>
  <si>
    <t>JP6L3L9Y=TRDT</t>
  </si>
  <si>
    <t>4Y</t>
  </si>
  <si>
    <t>5 Year</t>
  </si>
  <si>
    <t>JP6L3L10Y=TRDT</t>
  </si>
  <si>
    <t>5Y</t>
  </si>
  <si>
    <t>7 Year</t>
  </si>
  <si>
    <t>JP6L3L12Y=TRDT</t>
  </si>
  <si>
    <t>6Y</t>
  </si>
  <si>
    <t>10 Year</t>
  </si>
  <si>
    <t>7Y</t>
  </si>
  <si>
    <t>JP6L3L15Y=TRDT</t>
  </si>
  <si>
    <t>15 Year</t>
  </si>
  <si>
    <t>10Y</t>
  </si>
  <si>
    <t>JP6L3L20Y=TRDT</t>
  </si>
  <si>
    <t>8Y</t>
  </si>
  <si>
    <t>AU1MBBR=</t>
  </si>
  <si>
    <t>12Y</t>
  </si>
  <si>
    <t>JP6L3L25Y=TRDT</t>
  </si>
  <si>
    <t>9Y</t>
  </si>
  <si>
    <t>AU2MBBR=</t>
  </si>
  <si>
    <t>15Y</t>
  </si>
  <si>
    <t>JP6L3L30Y=TRDT</t>
  </si>
  <si>
    <t>AU3MBBR=</t>
  </si>
  <si>
    <t>20Y</t>
  </si>
  <si>
    <t>25Y</t>
  </si>
  <si>
    <t>JP3L1L1Y=TRDT</t>
  </si>
  <si>
    <t>30Y</t>
  </si>
  <si>
    <t>JP3L1L2Y=TRDT</t>
  </si>
  <si>
    <t>JP3L1L3Y=TRDT</t>
  </si>
  <si>
    <t>3M v 1M Basis</t>
  </si>
  <si>
    <t>JP3L1L4Y=TRDT</t>
  </si>
  <si>
    <t>JP3L1L5Y=TRDT</t>
  </si>
  <si>
    <t>3M</t>
  </si>
  <si>
    <t>JP3L1L6Y=TRDT</t>
  </si>
  <si>
    <t>JP3L1L7Y=TRDT</t>
  </si>
  <si>
    <t>JP3L1L8Y=TRDT</t>
  </si>
  <si>
    <t>JP3L1L9Y=TRDT</t>
  </si>
  <si>
    <t>JP3L1L10Y=TRDT</t>
  </si>
  <si>
    <t>TIBOR-LIBOR IMM Adjsutments TKFX</t>
  </si>
  <si>
    <t>ICAPAUSWAPS01</t>
  </si>
  <si>
    <t>BGCAUD</t>
  </si>
  <si>
    <t>AUTTA5</t>
  </si>
  <si>
    <t>Avg</t>
  </si>
  <si>
    <t xml:space="preserve">24.50 </t>
  </si>
  <si>
    <t xml:space="preserve"> 19.50</t>
  </si>
  <si>
    <t xml:space="preserve">  24.00</t>
  </si>
  <si>
    <t xml:space="preserve">  20.00</t>
  </si>
  <si>
    <t xml:space="preserve">  23.50</t>
  </si>
  <si>
    <t xml:space="preserve">19.50 </t>
  </si>
  <si>
    <t xml:space="preserve">36.50 </t>
  </si>
  <si>
    <t xml:space="preserve"> 31.50</t>
  </si>
  <si>
    <t xml:space="preserve">  35.63</t>
  </si>
  <si>
    <t xml:space="preserve">  31.63</t>
  </si>
  <si>
    <t xml:space="preserve">  35.50</t>
  </si>
  <si>
    <t xml:space="preserve">31.50 </t>
  </si>
  <si>
    <t xml:space="preserve">57.25 </t>
  </si>
  <si>
    <t xml:space="preserve"> 52.25</t>
  </si>
  <si>
    <t xml:space="preserve">  56.25</t>
  </si>
  <si>
    <t xml:space="preserve">  52.25</t>
  </si>
  <si>
    <t xml:space="preserve">52.25 </t>
  </si>
  <si>
    <t xml:space="preserve">65.75 </t>
  </si>
  <si>
    <t xml:space="preserve"> 60.75</t>
  </si>
  <si>
    <t xml:space="preserve">  65.25</t>
  </si>
  <si>
    <t xml:space="preserve">  61.25</t>
  </si>
  <si>
    <t xml:space="preserve">  64.00</t>
  </si>
  <si>
    <t xml:space="preserve">60.00 </t>
  </si>
  <si>
    <t>6 Year</t>
  </si>
  <si>
    <t xml:space="preserve">42.00 </t>
  </si>
  <si>
    <t xml:space="preserve"> 36.75</t>
  </si>
  <si>
    <t xml:space="preserve">  41.75</t>
  </si>
  <si>
    <t xml:space="preserve">  37.75</t>
  </si>
  <si>
    <t xml:space="preserve">  41.00</t>
  </si>
  <si>
    <t xml:space="preserve">37.00 </t>
  </si>
  <si>
    <t xml:space="preserve">47.50 </t>
  </si>
  <si>
    <t xml:space="preserve"> 42.50</t>
  </si>
  <si>
    <t xml:space="preserve">  47.50</t>
  </si>
  <si>
    <t xml:space="preserve">  43.50</t>
  </si>
  <si>
    <t xml:space="preserve">  46.50</t>
  </si>
  <si>
    <t xml:space="preserve">42.50 </t>
  </si>
  <si>
    <t>8 Year</t>
  </si>
  <si>
    <t xml:space="preserve">50.50 </t>
  </si>
  <si>
    <t xml:space="preserve"> 45.50</t>
  </si>
  <si>
    <t xml:space="preserve">  50.25</t>
  </si>
  <si>
    <t xml:space="preserve">  46.25</t>
  </si>
  <si>
    <t xml:space="preserve">  49.50</t>
  </si>
  <si>
    <t xml:space="preserve">45.50 </t>
  </si>
  <si>
    <t>9 Year</t>
  </si>
  <si>
    <t xml:space="preserve">52.75 </t>
  </si>
  <si>
    <t xml:space="preserve"> 47.75</t>
  </si>
  <si>
    <t xml:space="preserve">  52.75</t>
  </si>
  <si>
    <t xml:space="preserve">  48.75</t>
  </si>
  <si>
    <t xml:space="preserve">  51.75</t>
  </si>
  <si>
    <t xml:space="preserve">47.75 </t>
  </si>
  <si>
    <t xml:space="preserve">54.75 </t>
  </si>
  <si>
    <t xml:space="preserve"> 49.75</t>
  </si>
  <si>
    <t xml:space="preserve">  54.25</t>
  </si>
  <si>
    <t xml:space="preserve">  53.75</t>
  </si>
  <si>
    <t xml:space="preserve">49.75 </t>
  </si>
  <si>
    <t>12 Year</t>
  </si>
  <si>
    <t xml:space="preserve">58.50 </t>
  </si>
  <si>
    <t xml:space="preserve"> 52.50</t>
  </si>
  <si>
    <t xml:space="preserve">  57.50</t>
  </si>
  <si>
    <t xml:space="preserve">  53.50</t>
  </si>
  <si>
    <t xml:space="preserve">  57.00</t>
  </si>
  <si>
    <t xml:space="preserve">53.00 </t>
  </si>
  <si>
    <t xml:space="preserve">61.00 </t>
  </si>
  <si>
    <t xml:space="preserve"> 55.00</t>
  </si>
  <si>
    <t xml:space="preserve">  60.00</t>
  </si>
  <si>
    <t xml:space="preserve">  56.00</t>
  </si>
  <si>
    <t xml:space="preserve">  59.25</t>
  </si>
  <si>
    <t xml:space="preserve">55.25 </t>
  </si>
  <si>
    <t>20 Year</t>
  </si>
  <si>
    <t xml:space="preserve">53.50 </t>
  </si>
  <si>
    <t xml:space="preserve"> 47.50</t>
  </si>
  <si>
    <t xml:space="preserve">  52.50</t>
  </si>
  <si>
    <t xml:space="preserve">  48.50</t>
  </si>
  <si>
    <t xml:space="preserve">  51.50</t>
  </si>
  <si>
    <t>25 Year</t>
  </si>
  <si>
    <t xml:space="preserve"> 36.00</t>
  </si>
  <si>
    <t xml:space="preserve">  37.00</t>
  </si>
  <si>
    <t xml:space="preserve">40.0   </t>
  </si>
  <si>
    <t xml:space="preserve">  36.0</t>
  </si>
  <si>
    <t>30 Year</t>
  </si>
  <si>
    <t xml:space="preserve">28.00 </t>
  </si>
  <si>
    <t xml:space="preserve"> 22.00</t>
  </si>
  <si>
    <t xml:space="preserve">  26.75</t>
  </si>
  <si>
    <t xml:space="preserve">  22.75</t>
  </si>
  <si>
    <t xml:space="preserve">  26.25</t>
  </si>
  <si>
    <t xml:space="preserve">22.25 </t>
  </si>
  <si>
    <t xml:space="preserve">1YR   </t>
  </si>
  <si>
    <t xml:space="preserve">11.00 </t>
  </si>
  <si>
    <t xml:space="preserve">3.00  </t>
  </si>
  <si>
    <t xml:space="preserve">  8.50 </t>
  </si>
  <si>
    <t xml:space="preserve">   4.50</t>
  </si>
  <si>
    <t xml:space="preserve">  9.000</t>
  </si>
  <si>
    <t xml:space="preserve"> 4.000</t>
  </si>
  <si>
    <t xml:space="preserve">2YR   </t>
  </si>
  <si>
    <t xml:space="preserve">18.50 </t>
  </si>
  <si>
    <t xml:space="preserve">10.50 </t>
  </si>
  <si>
    <t xml:space="preserve"> 16.00 </t>
  </si>
  <si>
    <t xml:space="preserve">  12.00</t>
  </si>
  <si>
    <t xml:space="preserve">  16.50</t>
  </si>
  <si>
    <t xml:space="preserve"> 11.50</t>
  </si>
  <si>
    <t xml:space="preserve">3YR   </t>
  </si>
  <si>
    <t xml:space="preserve">25.25 </t>
  </si>
  <si>
    <t xml:space="preserve">17.25 </t>
  </si>
  <si>
    <t xml:space="preserve"> 22.50 </t>
  </si>
  <si>
    <t xml:space="preserve">  18.50</t>
  </si>
  <si>
    <t xml:space="preserve">  23.00</t>
  </si>
  <si>
    <t xml:space="preserve"> 18.00</t>
  </si>
  <si>
    <t xml:space="preserve">4YR   </t>
  </si>
  <si>
    <t xml:space="preserve">29.75 </t>
  </si>
  <si>
    <t xml:space="preserve">21.75 </t>
  </si>
  <si>
    <t xml:space="preserve"> 27.00 </t>
  </si>
  <si>
    <t xml:space="preserve">  27.50</t>
  </si>
  <si>
    <t xml:space="preserve"> 22.50</t>
  </si>
  <si>
    <t xml:space="preserve">5YR   </t>
  </si>
  <si>
    <t xml:space="preserve">32.25 </t>
  </si>
  <si>
    <t xml:space="preserve">24.25 </t>
  </si>
  <si>
    <t xml:space="preserve"> 29.50 </t>
  </si>
  <si>
    <t xml:space="preserve">  25.50</t>
  </si>
  <si>
    <t xml:space="preserve">  30.00</t>
  </si>
  <si>
    <t xml:space="preserve"> 25.00</t>
  </si>
  <si>
    <t xml:space="preserve">6YR   </t>
  </si>
  <si>
    <t xml:space="preserve">33.50 </t>
  </si>
  <si>
    <t xml:space="preserve">25.50 </t>
  </si>
  <si>
    <t xml:space="preserve"> 30.25 </t>
  </si>
  <si>
    <t xml:space="preserve">7YR   </t>
  </si>
  <si>
    <t xml:space="preserve">34.00 </t>
  </si>
  <si>
    <t xml:space="preserve">26.00 </t>
  </si>
  <si>
    <t xml:space="preserve"> 31.00 </t>
  </si>
  <si>
    <t xml:space="preserve">  27.00</t>
  </si>
  <si>
    <t xml:space="preserve">  31.25</t>
  </si>
  <si>
    <t xml:space="preserve"> 26.25</t>
  </si>
  <si>
    <t xml:space="preserve">8YR   </t>
  </si>
  <si>
    <t xml:space="preserve">9YR   </t>
  </si>
  <si>
    <t xml:space="preserve"> 31.25 </t>
  </si>
  <si>
    <t xml:space="preserve">  27.25</t>
  </si>
  <si>
    <t xml:space="preserve">10Y   </t>
  </si>
  <si>
    <t xml:space="preserve">12Y   </t>
  </si>
  <si>
    <t xml:space="preserve">22.50 </t>
  </si>
  <si>
    <t xml:space="preserve"> 27.75 </t>
  </si>
  <si>
    <t xml:space="preserve">  23.75</t>
  </si>
  <si>
    <t xml:space="preserve"> 27.50 </t>
  </si>
  <si>
    <t xml:space="preserve">15Y   </t>
  </si>
  <si>
    <t xml:space="preserve">15.50 </t>
  </si>
  <si>
    <t xml:space="preserve"> 21.25 </t>
  </si>
  <si>
    <t xml:space="preserve">  17.25</t>
  </si>
  <si>
    <t xml:space="preserve"> 20.75 </t>
  </si>
  <si>
    <t xml:space="preserve"> 15.75</t>
  </si>
  <si>
    <t xml:space="preserve">20Y   </t>
  </si>
  <si>
    <t xml:space="preserve">12.50 </t>
  </si>
  <si>
    <t xml:space="preserve">3.50  </t>
  </si>
  <si>
    <t xml:space="preserve">  9.25 </t>
  </si>
  <si>
    <t xml:space="preserve">   5.25</t>
  </si>
  <si>
    <t xml:space="preserve"> 9.750 </t>
  </si>
  <si>
    <t xml:space="preserve"> 4.750</t>
  </si>
  <si>
    <t xml:space="preserve">25Y   </t>
  </si>
  <si>
    <t xml:space="preserve">2.75  </t>
  </si>
  <si>
    <t xml:space="preserve">-6.25 </t>
  </si>
  <si>
    <t xml:space="preserve"> -2.25 </t>
  </si>
  <si>
    <t xml:space="preserve">  -6.25</t>
  </si>
  <si>
    <t xml:space="preserve">-1.250 </t>
  </si>
  <si>
    <t>-6.250</t>
  </si>
  <si>
    <t xml:space="preserve">30Y   </t>
  </si>
  <si>
    <t>-10.00</t>
  </si>
  <si>
    <t>-19.00</t>
  </si>
  <si>
    <t xml:space="preserve">-12.25 </t>
  </si>
  <si>
    <t xml:space="preserve"> -16.25</t>
  </si>
  <si>
    <t xml:space="preserve"> -12.2 </t>
  </si>
  <si>
    <t xml:space="preserve"> -17.2</t>
  </si>
  <si>
    <t>TPAUDBASIS</t>
  </si>
  <si>
    <t>ICAPAUBASIS</t>
  </si>
  <si>
    <t>BGCAUD1</t>
  </si>
  <si>
    <t>3Mx1M</t>
  </si>
  <si>
    <t>AVG</t>
  </si>
  <si>
    <t xml:space="preserve">1 YR  </t>
  </si>
  <si>
    <t>14.250</t>
  </si>
  <si>
    <t>12.250</t>
  </si>
  <si>
    <t xml:space="preserve"> 1Year</t>
  </si>
  <si>
    <t xml:space="preserve"> 13.50</t>
  </si>
  <si>
    <t xml:space="preserve">13.00 </t>
  </si>
  <si>
    <t xml:space="preserve">2 YR  </t>
  </si>
  <si>
    <t>14.500</t>
  </si>
  <si>
    <t>13.500</t>
  </si>
  <si>
    <t xml:space="preserve"> 2Year</t>
  </si>
  <si>
    <t xml:space="preserve"> 13.75</t>
  </si>
  <si>
    <t xml:space="preserve">3 YR  </t>
  </si>
  <si>
    <t>14.000</t>
  </si>
  <si>
    <t>12.000</t>
  </si>
  <si>
    <t xml:space="preserve"> 3Year</t>
  </si>
  <si>
    <t xml:space="preserve">12.75 </t>
  </si>
  <si>
    <t xml:space="preserve">4 YR  </t>
  </si>
  <si>
    <t>11.500</t>
  </si>
  <si>
    <t xml:space="preserve"> 4Year</t>
  </si>
  <si>
    <t xml:space="preserve"> 12.75</t>
  </si>
  <si>
    <t xml:space="preserve">12.00 </t>
  </si>
  <si>
    <t xml:space="preserve">5 YR  </t>
  </si>
  <si>
    <t>13.000</t>
  </si>
  <si>
    <t>11.000</t>
  </si>
  <si>
    <t xml:space="preserve"> 5Year</t>
  </si>
  <si>
    <t xml:space="preserve"> 12.25</t>
  </si>
  <si>
    <t xml:space="preserve">11.50 </t>
  </si>
  <si>
    <t xml:space="preserve">6 YR  </t>
  </si>
  <si>
    <t>10.250</t>
  </si>
  <si>
    <t xml:space="preserve"> 6Year</t>
  </si>
  <si>
    <t xml:space="preserve"> 11.75</t>
  </si>
  <si>
    <t xml:space="preserve">10.75 </t>
  </si>
  <si>
    <t xml:space="preserve">7 YR  </t>
  </si>
  <si>
    <t>10.750</t>
  </si>
  <si>
    <t xml:space="preserve">9.750 </t>
  </si>
  <si>
    <t xml:space="preserve"> 7Year</t>
  </si>
  <si>
    <t xml:space="preserve"> 10.75</t>
  </si>
  <si>
    <t xml:space="preserve">10.00 </t>
  </si>
  <si>
    <t xml:space="preserve">8 YR  </t>
  </si>
  <si>
    <t>10.500</t>
  </si>
  <si>
    <t xml:space="preserve">8.500 </t>
  </si>
  <si>
    <t xml:space="preserve"> 8Year</t>
  </si>
  <si>
    <t xml:space="preserve"> 10.00</t>
  </si>
  <si>
    <t xml:space="preserve"> 8.50 </t>
  </si>
  <si>
    <t xml:space="preserve">9 YR  </t>
  </si>
  <si>
    <t>10.000</t>
  </si>
  <si>
    <t xml:space="preserve">8.000 </t>
  </si>
  <si>
    <t xml:space="preserve"> 9Year</t>
  </si>
  <si>
    <t xml:space="preserve">  9.50</t>
  </si>
  <si>
    <t xml:space="preserve">10YR  </t>
  </si>
  <si>
    <t xml:space="preserve">9.500 </t>
  </si>
  <si>
    <t xml:space="preserve">7.500 </t>
  </si>
  <si>
    <t>10Year</t>
  </si>
  <si>
    <t xml:space="preserve">12YR  </t>
  </si>
  <si>
    <t xml:space="preserve">6.500 </t>
  </si>
  <si>
    <t xml:space="preserve">15YR  </t>
  </si>
  <si>
    <t xml:space="preserve">6.000 </t>
  </si>
  <si>
    <t>15Year</t>
  </si>
  <si>
    <t xml:space="preserve"> 8.00 </t>
  </si>
  <si>
    <t xml:space="preserve">20YR  </t>
  </si>
  <si>
    <t xml:space="preserve">5.500 </t>
  </si>
  <si>
    <t>20Year</t>
  </si>
  <si>
    <t xml:space="preserve">  8.50</t>
  </si>
  <si>
    <t xml:space="preserve"> 7.00 </t>
  </si>
  <si>
    <t xml:space="preserve">25YR  </t>
  </si>
  <si>
    <t xml:space="preserve">5.000 </t>
  </si>
  <si>
    <t>25Year</t>
  </si>
  <si>
    <t xml:space="preserve">  7.50</t>
  </si>
  <si>
    <t xml:space="preserve"> 5.50 </t>
  </si>
  <si>
    <t xml:space="preserve">30YR  </t>
  </si>
  <si>
    <t xml:space="preserve">3.500 </t>
  </si>
  <si>
    <t>30Year</t>
  </si>
  <si>
    <t xml:space="preserve">  7.00</t>
  </si>
  <si>
    <t xml:space="preserve"> 5.00 </t>
  </si>
  <si>
    <t>3Mx6M</t>
  </si>
  <si>
    <t xml:space="preserve">8.750 </t>
  </si>
  <si>
    <t xml:space="preserve">   1Y</t>
  </si>
  <si>
    <t xml:space="preserve"> 9.50 </t>
  </si>
  <si>
    <t xml:space="preserve">8.250 </t>
  </si>
  <si>
    <t xml:space="preserve">   2Y</t>
  </si>
  <si>
    <t xml:space="preserve"> 9.00 </t>
  </si>
  <si>
    <t xml:space="preserve">   3Y</t>
  </si>
  <si>
    <t xml:space="preserve"> 9.25 </t>
  </si>
  <si>
    <t xml:space="preserve"> 8.75 </t>
  </si>
  <si>
    <t xml:space="preserve">7.750 </t>
  </si>
  <si>
    <t xml:space="preserve">   4Y</t>
  </si>
  <si>
    <t xml:space="preserve">   5Y</t>
  </si>
  <si>
    <t xml:space="preserve"> 8.25 </t>
  </si>
  <si>
    <t xml:space="preserve">9.250 </t>
  </si>
  <si>
    <t xml:space="preserve">7.250 </t>
  </si>
  <si>
    <t xml:space="preserve">9.000 </t>
  </si>
  <si>
    <t xml:space="preserve">7.000 </t>
  </si>
  <si>
    <t xml:space="preserve">   7Y</t>
  </si>
  <si>
    <t xml:space="preserve"> 7.75 </t>
  </si>
  <si>
    <t xml:space="preserve">6.750 </t>
  </si>
  <si>
    <t xml:space="preserve"> 7.50 </t>
  </si>
  <si>
    <t xml:space="preserve">8.625 </t>
  </si>
  <si>
    <t xml:space="preserve">6.625 </t>
  </si>
  <si>
    <t xml:space="preserve">  10Y</t>
  </si>
  <si>
    <t xml:space="preserve">5.750 </t>
  </si>
  <si>
    <t xml:space="preserve">4.750 </t>
  </si>
  <si>
    <t xml:space="preserve">  15Y</t>
  </si>
  <si>
    <t xml:space="preserve"> 6.50 </t>
  </si>
  <si>
    <t xml:space="preserve">6.250 </t>
  </si>
  <si>
    <t xml:space="preserve">4.250 </t>
  </si>
  <si>
    <t xml:space="preserve">  20Y</t>
  </si>
  <si>
    <t xml:space="preserve"> 5.75 </t>
  </si>
  <si>
    <t xml:space="preserve">3.750 </t>
  </si>
  <si>
    <t xml:space="preserve">  25Y</t>
  </si>
  <si>
    <t xml:space="preserve"> 4.25 </t>
  </si>
  <si>
    <t xml:space="preserve">5.250 </t>
  </si>
  <si>
    <t xml:space="preserve">  30Y</t>
  </si>
  <si>
    <t xml:space="preserve"> 4.00 </t>
  </si>
  <si>
    <t>AUD</t>
  </si>
  <si>
    <t>TTKL</t>
  </si>
  <si>
    <t>AUD=</t>
  </si>
  <si>
    <t>Reuters AFMA</t>
  </si>
  <si>
    <t>ON</t>
  </si>
  <si>
    <t>AUDON=</t>
  </si>
  <si>
    <t>AUDON=TTKL</t>
  </si>
  <si>
    <t>FFEXEOD</t>
  </si>
  <si>
    <t>TN</t>
  </si>
  <si>
    <t>AUDTN=</t>
  </si>
  <si>
    <t>AUDTN=TTKL</t>
  </si>
  <si>
    <t>SW</t>
  </si>
  <si>
    <t>AUDSW=</t>
  </si>
  <si>
    <t>AUDSW=TTKL</t>
  </si>
  <si>
    <t>1M</t>
  </si>
  <si>
    <t>AUD1M=</t>
  </si>
  <si>
    <t>AUD1M=TTKL</t>
  </si>
  <si>
    <t>2M</t>
  </si>
  <si>
    <t>AUD2M=</t>
  </si>
  <si>
    <t>AUD2M=TTKL</t>
  </si>
  <si>
    <t>AUD3M=</t>
  </si>
  <si>
    <t>AUD3M=TTKL</t>
  </si>
  <si>
    <t>Cost for Issuers to get back to 3M BBSW</t>
  </si>
  <si>
    <t>4M</t>
  </si>
  <si>
    <t>AUD4M=</t>
  </si>
  <si>
    <t>AUD4M=TTKL</t>
  </si>
  <si>
    <t>Swap Rates</t>
  </si>
  <si>
    <t>Mid Spread over BBSW to :</t>
  </si>
  <si>
    <t>5M</t>
  </si>
  <si>
    <t>AUD5M=</t>
  </si>
  <si>
    <t>AUD5M=TTKL</t>
  </si>
  <si>
    <t>JPY</t>
  </si>
  <si>
    <t>EUR</t>
  </si>
  <si>
    <t>GBP</t>
  </si>
  <si>
    <t>NZD</t>
  </si>
  <si>
    <t>AUD6M=</t>
  </si>
  <si>
    <t>AUD6M=TTKL</t>
  </si>
  <si>
    <t>AUDCBS1Y=ICAP</t>
  </si>
  <si>
    <t>7M</t>
  </si>
  <si>
    <t>AUD7M=</t>
  </si>
  <si>
    <t>AUD7M=TTKL</t>
  </si>
  <si>
    <t>AUDCBS2Y=ICAP</t>
  </si>
  <si>
    <t>8M</t>
  </si>
  <si>
    <t>AUD8M=</t>
  </si>
  <si>
    <t>AUD8M=TTKL</t>
  </si>
  <si>
    <t>AUDCBS3Y=ICAP</t>
  </si>
  <si>
    <t>9M</t>
  </si>
  <si>
    <t>AUD9M=</t>
  </si>
  <si>
    <t>AUD9M=TTKL</t>
  </si>
  <si>
    <t>AUDCBS4Y=ICAP</t>
  </si>
  <si>
    <t>AUD1Y=</t>
  </si>
  <si>
    <t>AUD1Y=TTKL</t>
  </si>
  <si>
    <t>AUDCBS5Y=ICAP</t>
  </si>
  <si>
    <t>15M</t>
  </si>
  <si>
    <t>AUD15M=</t>
  </si>
  <si>
    <t>AUD15M=TTKL</t>
  </si>
  <si>
    <t>AUDCBS7Y=ICAP</t>
  </si>
  <si>
    <t>18M</t>
  </si>
  <si>
    <t>AUD18M=</t>
  </si>
  <si>
    <t>AUD18M=TTKL</t>
  </si>
  <si>
    <t>AUDCBS10Y=ICAP</t>
  </si>
  <si>
    <t>AUD2Y=</t>
  </si>
  <si>
    <t>AUD2Y=TTKL</t>
  </si>
  <si>
    <t>AUDCBS15Y=ICAP</t>
  </si>
  <si>
    <t>AUD3Y=</t>
  </si>
  <si>
    <t>AUD3Y=TTKL</t>
  </si>
  <si>
    <t>AUDCBS20Y=ICAP</t>
  </si>
  <si>
    <t>AUD4Y=</t>
  </si>
  <si>
    <t>AUD4Y=TTKL</t>
  </si>
  <si>
    <t>AUDCBS25Y=ICAP</t>
  </si>
  <si>
    <t>AUD5Y=</t>
  </si>
  <si>
    <t>AUD5Y=TTKL</t>
  </si>
  <si>
    <t>AUDCBS30Y=ICAP</t>
  </si>
  <si>
    <t>AUD7Y=</t>
  </si>
  <si>
    <t>AUD7Y=TTKL</t>
  </si>
  <si>
    <t>#N/A The record could not be found</t>
  </si>
  <si>
    <t>AUD10Y=</t>
  </si>
  <si>
    <t>AUD10Y=TTKL</t>
  </si>
  <si>
    <t>AUD15Y=</t>
  </si>
  <si>
    <t>AUD15Y=TTKL</t>
  </si>
  <si>
    <t>JPY=</t>
  </si>
  <si>
    <t>JPY=TTKL</t>
  </si>
  <si>
    <t>JPYCBS1Y=TTKL</t>
  </si>
  <si>
    <t>JPYON=</t>
  </si>
  <si>
    <t>JPYON=TTKL</t>
  </si>
  <si>
    <t>JPYCBS2Y=TTKL</t>
  </si>
  <si>
    <t>JPYTN=</t>
  </si>
  <si>
    <t>JPYTN=TTKL</t>
  </si>
  <si>
    <t>JPYCBS3Y=TTKL</t>
  </si>
  <si>
    <t>JPYSW=</t>
  </si>
  <si>
    <t>JPYSW=TTKL</t>
  </si>
  <si>
    <t>JPYCBS4Y=TTKL</t>
  </si>
  <si>
    <t>JPY1M=</t>
  </si>
  <si>
    <t>JPY1M=TTKL</t>
  </si>
  <si>
    <t>JPYCBS5Y=TTKL</t>
  </si>
  <si>
    <t>JPY2M=</t>
  </si>
  <si>
    <t>JPY2M=TTKL</t>
  </si>
  <si>
    <t>JPYCBS7Y=TTKL</t>
  </si>
  <si>
    <t>JPY3M=</t>
  </si>
  <si>
    <t>JPY3M=TTKL</t>
  </si>
  <si>
    <t>JPYCBS10Y=TTKL</t>
  </si>
  <si>
    <t>JPY4M=</t>
  </si>
  <si>
    <t>JPY4M=TTKL</t>
  </si>
  <si>
    <t>JPYCBS15Y=TTKL</t>
  </si>
  <si>
    <t>JPY5M=</t>
  </si>
  <si>
    <t>JPY5M=TTKL</t>
  </si>
  <si>
    <t>JPYCBS20Y=TTKL</t>
  </si>
  <si>
    <t>JPY6M=</t>
  </si>
  <si>
    <t>JPY6M=TTKL</t>
  </si>
  <si>
    <t>JPYCBS25Y=TTKL</t>
  </si>
  <si>
    <t>JPY7M=</t>
  </si>
  <si>
    <t>JPY7M=TTKL</t>
  </si>
  <si>
    <t>JPYCBS30Y=TTKL</t>
  </si>
  <si>
    <t>JPY8M=</t>
  </si>
  <si>
    <t>JPY8M=TTKL</t>
  </si>
  <si>
    <t>JPY9M=</t>
  </si>
  <si>
    <t>JPY9M=TTKL</t>
  </si>
  <si>
    <t>JPY1Y=</t>
  </si>
  <si>
    <t>JPY1Y=TTKL</t>
  </si>
  <si>
    <t>JPY15M=</t>
  </si>
  <si>
    <t>JPY15M=TTKL</t>
  </si>
  <si>
    <t>JPY18M=</t>
  </si>
  <si>
    <t>JPY18M=TTKL</t>
  </si>
  <si>
    <t>JPY2Y=</t>
  </si>
  <si>
    <t>JPY2Y=TTKL</t>
  </si>
  <si>
    <t>JPY3Y=</t>
  </si>
  <si>
    <t>JPY3Y=TTKL</t>
  </si>
  <si>
    <t>JPY4Y=</t>
  </si>
  <si>
    <t>JPY4Y=TTKL</t>
  </si>
  <si>
    <t>JPY5Y=</t>
  </si>
  <si>
    <t>JPY5Y=TTKL</t>
  </si>
  <si>
    <t>JPY7Y=</t>
  </si>
  <si>
    <t>JPY7Y=TTKL</t>
  </si>
  <si>
    <t>JPY10Y=</t>
  </si>
  <si>
    <t>JPY10Y=TTKL</t>
  </si>
  <si>
    <t>JPY15Y=</t>
  </si>
  <si>
    <t>JPY15Y=TTKL</t>
  </si>
  <si>
    <t>EURCBS3M=ICAP</t>
  </si>
  <si>
    <t>EUR=</t>
  </si>
  <si>
    <t>EURCBS1Y=ICAP</t>
  </si>
  <si>
    <t>EURON=</t>
  </si>
  <si>
    <t>EURCBS2Y=ICAP</t>
  </si>
  <si>
    <t>EURTN=</t>
  </si>
  <si>
    <t>EURCBS3Y=ICAP</t>
  </si>
  <si>
    <t>EURSW=</t>
  </si>
  <si>
    <t>EURCBS4Y=ICAP</t>
  </si>
  <si>
    <t>EUR1M=</t>
  </si>
  <si>
    <t>EURCBS5Y=ICAP</t>
  </si>
  <si>
    <t>EUR2M=</t>
  </si>
  <si>
    <t>EURCBS7Y=ICAP</t>
  </si>
  <si>
    <t>EUR3M=</t>
  </si>
  <si>
    <t>EURCBS10Y=ICAP</t>
  </si>
  <si>
    <t>EUR4M=</t>
  </si>
  <si>
    <t>EURCBS15Y=ICAP</t>
  </si>
  <si>
    <t>EUR5M=</t>
  </si>
  <si>
    <t>EURCBS20Y=ICAP</t>
  </si>
  <si>
    <t>EUR6M=</t>
  </si>
  <si>
    <t>EURCBS25Y=ICAP</t>
  </si>
  <si>
    <t>EUR7M=</t>
  </si>
  <si>
    <t>EURCBS30Y=ICAP</t>
  </si>
  <si>
    <t>EUR8M=</t>
  </si>
  <si>
    <t>EUR9M=</t>
  </si>
  <si>
    <t>EUR1Y=</t>
  </si>
  <si>
    <t>EUR15M=</t>
  </si>
  <si>
    <t>EUR18M=</t>
  </si>
  <si>
    <t>EUR2Y=</t>
  </si>
  <si>
    <t>EUR3Y=</t>
  </si>
  <si>
    <t>EUR4Y=</t>
  </si>
  <si>
    <t>EUR5Y=</t>
  </si>
  <si>
    <t>EUR7Y=</t>
  </si>
  <si>
    <t>EUR10Y=</t>
  </si>
  <si>
    <t>EUR15Y=</t>
  </si>
  <si>
    <t>21M</t>
  </si>
  <si>
    <t>EUR21M=</t>
  </si>
  <si>
    <t>#N/A NA</t>
  </si>
  <si>
    <t>GBPCBS3M=ICAP</t>
  </si>
  <si>
    <t>GBP=</t>
  </si>
  <si>
    <t>GBP=TTKL</t>
  </si>
  <si>
    <t>GBPCBS1Y=ICAP</t>
  </si>
  <si>
    <t>GBPON=</t>
  </si>
  <si>
    <t>GBPON=TTKL</t>
  </si>
  <si>
    <t>GBPCBS2Y=ICAP</t>
  </si>
  <si>
    <t>GBPTN=</t>
  </si>
  <si>
    <t>GBPTN=TTKL</t>
  </si>
  <si>
    <t>GBPCBS3Y=ICAP</t>
  </si>
  <si>
    <t>GBPSW=</t>
  </si>
  <si>
    <t>GBPSW=TTKL</t>
  </si>
  <si>
    <t>GBPCBS4Y=ICAP</t>
  </si>
  <si>
    <t>GBP1M=</t>
  </si>
  <si>
    <t>GBP1M=TTKL</t>
  </si>
  <si>
    <t>GBPCBS5Y=ICAP</t>
  </si>
  <si>
    <t>GBP2M=</t>
  </si>
  <si>
    <t>GBP2M=TTKL</t>
  </si>
  <si>
    <t>GBPCBS7Y=ICAP</t>
  </si>
  <si>
    <t>GBP3M=</t>
  </si>
  <si>
    <t>GBP3M=TTKL</t>
  </si>
  <si>
    <t>GBPCBS10Y=ICAP</t>
  </si>
  <si>
    <t>GBP4M=</t>
  </si>
  <si>
    <t>GBP4M=TTKL</t>
  </si>
  <si>
    <t>GBPCBS15Y=ICAP</t>
  </si>
  <si>
    <t>GBP5M=</t>
  </si>
  <si>
    <t>GBP5M=TTKL</t>
  </si>
  <si>
    <t>GBPCBS20Y=ICAP</t>
  </si>
  <si>
    <t>GBP6M=</t>
  </si>
  <si>
    <t>GBP6M=TTKL</t>
  </si>
  <si>
    <t>GBPCBS25Y=ICAP</t>
  </si>
  <si>
    <t>GBP7M=</t>
  </si>
  <si>
    <t>GBP7M=TTKL</t>
  </si>
  <si>
    <t>GBPCBS30Y=ICAP</t>
  </si>
  <si>
    <t>GBP8M=</t>
  </si>
  <si>
    <t>GBP8M=TTKL</t>
  </si>
  <si>
    <t>GBP9M=</t>
  </si>
  <si>
    <t>GBP9M=TTKL</t>
  </si>
  <si>
    <t>GBP1Y=</t>
  </si>
  <si>
    <t>GBP1Y=TTKL</t>
  </si>
  <si>
    <t>GBP15M=</t>
  </si>
  <si>
    <t>GBP15M=TTKL</t>
  </si>
  <si>
    <t>GBP18M=</t>
  </si>
  <si>
    <t>GBP18M=TTKL</t>
  </si>
  <si>
    <t>GBP2Y=</t>
  </si>
  <si>
    <t>GBP2Y=TTKL</t>
  </si>
  <si>
    <t>GBP3Y=</t>
  </si>
  <si>
    <t>GBP3Y=TTKL</t>
  </si>
  <si>
    <t>GBP4Y=</t>
  </si>
  <si>
    <t>GBP4Y=TTKL</t>
  </si>
  <si>
    <t>GBP5Y=</t>
  </si>
  <si>
    <t>GBP5Y=TTKL</t>
  </si>
  <si>
    <t>GBP7Y=</t>
  </si>
  <si>
    <t>GBP7Y=TTKL</t>
  </si>
  <si>
    <t>GBP10Y=</t>
  </si>
  <si>
    <t>GBP10Y=TTKL</t>
  </si>
  <si>
    <t>GBP15Y=</t>
  </si>
  <si>
    <t>GBP15Y=TTKL</t>
  </si>
  <si>
    <t>FISW</t>
  </si>
  <si>
    <t>NZD=</t>
  </si>
  <si>
    <t>NZDCBS1Y=ICAP</t>
  </si>
  <si>
    <t>NZDON=</t>
  </si>
  <si>
    <t>NZDON=FISW</t>
  </si>
  <si>
    <t>NZDCBS2Y=ICAP</t>
  </si>
  <si>
    <t>NZDTN=</t>
  </si>
  <si>
    <t>NZDTN=FISW</t>
  </si>
  <si>
    <t>NZDCBS3Y=ICAP</t>
  </si>
  <si>
    <t>NZDSW=</t>
  </si>
  <si>
    <t>NZDSW=FISW</t>
  </si>
  <si>
    <t>NZDCBS4Y=ICAP</t>
  </si>
  <si>
    <t>NZD1M=</t>
  </si>
  <si>
    <t>NZD1M=FISW</t>
  </si>
  <si>
    <t>NZDCBS5Y=ICAP</t>
  </si>
  <si>
    <t>NZD2M=</t>
  </si>
  <si>
    <t>NZD2M=FISW</t>
  </si>
  <si>
    <t>NZDCBS7Y=ICAP</t>
  </si>
  <si>
    <t>NZD3M=</t>
  </si>
  <si>
    <t>NZD3M=FISW</t>
  </si>
  <si>
    <t>NZDCBS10Y=ICAP</t>
  </si>
  <si>
    <t>NZD4M=</t>
  </si>
  <si>
    <t>NZD4M=FISW</t>
  </si>
  <si>
    <t>NZDCBS15Y=ICAP</t>
  </si>
  <si>
    <t>NZD5M=</t>
  </si>
  <si>
    <t>NZD5M=FISW</t>
  </si>
  <si>
    <t>NZDCBS20Y=ICAP</t>
  </si>
  <si>
    <t>NZD6M=</t>
  </si>
  <si>
    <t>NZD6M=FISW</t>
  </si>
  <si>
    <t>NZDCBS25Y=ICAP</t>
  </si>
  <si>
    <t>NZD7M=</t>
  </si>
  <si>
    <t>NZD7M=FISW</t>
  </si>
  <si>
    <t>NZDCBS30Y=ICAP</t>
  </si>
  <si>
    <t>NZD8M=</t>
  </si>
  <si>
    <t>NZD8M=FISW</t>
  </si>
  <si>
    <t>NZD9M=</t>
  </si>
  <si>
    <t>NZD9M=FISW</t>
  </si>
  <si>
    <t>NZD1Y=</t>
  </si>
  <si>
    <t>NZD1Y=FISW</t>
  </si>
  <si>
    <t>NZD15M=</t>
  </si>
  <si>
    <t>NZD15M=FISW</t>
  </si>
  <si>
    <t>NZD18M=</t>
  </si>
  <si>
    <t>NZD18M=FISW</t>
  </si>
  <si>
    <t>NZD2Y=</t>
  </si>
  <si>
    <t>NZD2Y=FISW</t>
  </si>
  <si>
    <t>NZD3Y=</t>
  </si>
  <si>
    <t>NZD3Y=FISW</t>
  </si>
  <si>
    <t>NZD4Y=</t>
  </si>
  <si>
    <t>NZD4Y=FISW</t>
  </si>
  <si>
    <t>NZD5Y=</t>
  </si>
  <si>
    <t>NZD5Y=FISW</t>
  </si>
  <si>
    <t>NZD7Y=</t>
  </si>
  <si>
    <t>NZD7Y=FISW</t>
  </si>
  <si>
    <t>NZD10Y=</t>
  </si>
  <si>
    <t>NZD10Y=FISW</t>
  </si>
  <si>
    <t>NZD15Y=</t>
  </si>
  <si>
    <t>NZD15Y=FISW</t>
  </si>
  <si>
    <t>HKD</t>
  </si>
  <si>
    <t>HKD=</t>
  </si>
  <si>
    <t>HKDCBS1Y=TTKL</t>
  </si>
  <si>
    <t>HKDON=</t>
  </si>
  <si>
    <t>HKDON=TTKL</t>
  </si>
  <si>
    <t>HKDCBS2Y=TTKL</t>
  </si>
  <si>
    <t>HKDTN=</t>
  </si>
  <si>
    <t>HKDTN=TTKL</t>
  </si>
  <si>
    <t>HKDCBS3Y=TTKL</t>
  </si>
  <si>
    <t>HKDSW=</t>
  </si>
  <si>
    <t>HKDSW=TTKL</t>
  </si>
  <si>
    <t>HKDCBS4Y=TTKL</t>
  </si>
  <si>
    <t>HKD1M=</t>
  </si>
  <si>
    <t>HKD1M=TTKL</t>
  </si>
  <si>
    <t>HKDCBS5Y=TTKL</t>
  </si>
  <si>
    <t>HKD2M=</t>
  </si>
  <si>
    <t>HKD2M=TTKL</t>
  </si>
  <si>
    <t>HKDCBS7Y=TTKL</t>
  </si>
  <si>
    <t>HKD3M=</t>
  </si>
  <si>
    <t>HKD3M=TTKL</t>
  </si>
  <si>
    <t>HKDCBS10Y=TTKL</t>
  </si>
  <si>
    <t>HKD6M=</t>
  </si>
  <si>
    <t>HKD6M=TTKL</t>
  </si>
  <si>
    <t>HKDCBS12Y=TTKL</t>
  </si>
  <si>
    <t>HKD9M=</t>
  </si>
  <si>
    <t>HKD9M=TTKL</t>
  </si>
  <si>
    <t>HKDCBS15Y=TTKL</t>
  </si>
  <si>
    <t>HKD1Y=</t>
  </si>
  <si>
    <t>HKD1Y=TTKL</t>
  </si>
  <si>
    <t>Call</t>
  </si>
  <si>
    <t>Put</t>
  </si>
  <si>
    <t>C</t>
  </si>
  <si>
    <t>O</t>
  </si>
  <si>
    <t>R</t>
  </si>
  <si>
    <t>I</t>
  </si>
  <si>
    <t>U</t>
  </si>
  <si>
    <t>X</t>
  </si>
  <si>
    <t>HISTORIC CLOSE</t>
  </si>
  <si>
    <t>EXPIRE DATE</t>
  </si>
  <si>
    <t>Year</t>
  </si>
  <si>
    <t>ATM</t>
  </si>
  <si>
    <t>Abs Vol</t>
  </si>
  <si>
    <t>0</t>
  </si>
  <si>
    <t>99625</t>
  </si>
  <si>
    <t>ED99625L0</t>
  </si>
  <si>
    <t>ED99625X0</t>
  </si>
  <si>
    <t>1</t>
  </si>
  <si>
    <t>ED99625C1</t>
  </si>
  <si>
    <t>ED99625O1</t>
  </si>
  <si>
    <t>995</t>
  </si>
  <si>
    <t>ED995F1</t>
  </si>
  <si>
    <t>ED995R1</t>
  </si>
  <si>
    <t>99375</t>
  </si>
  <si>
    <t>ED99375I1</t>
  </si>
  <si>
    <t>ED99375U1</t>
  </si>
  <si>
    <t>9925</t>
  </si>
  <si>
    <t>ED9925L1</t>
  </si>
  <si>
    <t>ED9925X1</t>
  </si>
  <si>
    <t>2</t>
  </si>
  <si>
    <t>99</t>
  </si>
  <si>
    <t>ED99C2</t>
  </si>
  <si>
    <t>ED99O2</t>
  </si>
  <si>
    <t>98875</t>
  </si>
  <si>
    <t>ED98875F2</t>
  </si>
  <si>
    <t>ED98875R2</t>
  </si>
  <si>
    <t>9875</t>
  </si>
  <si>
    <t>ED9875I2</t>
  </si>
  <si>
    <t>ED9875U2</t>
  </si>
  <si>
    <t>985</t>
  </si>
  <si>
    <t>ED985L2</t>
  </si>
  <si>
    <t>ED985X2</t>
  </si>
  <si>
    <t>3</t>
  </si>
  <si>
    <t>98375</t>
  </si>
  <si>
    <t>ED98375C3</t>
  </si>
  <si>
    <t>ED98375O3</t>
  </si>
  <si>
    <t>98125</t>
  </si>
  <si>
    <t>ED98125F3</t>
  </si>
  <si>
    <t>ED98125R3</t>
  </si>
  <si>
    <t>98</t>
  </si>
  <si>
    <t>ED98I3</t>
  </si>
  <si>
    <t>ED98U3</t>
  </si>
  <si>
    <t>EURIBOR</t>
  </si>
  <si>
    <t>FEI98875L0</t>
  </si>
  <si>
    <t>FEI98875X0</t>
  </si>
  <si>
    <t>98750</t>
  </si>
  <si>
    <t>FEI98750C1</t>
  </si>
  <si>
    <t>FEI98750O1</t>
  </si>
  <si>
    <t>98625</t>
  </si>
  <si>
    <t>FEI98625F1</t>
  </si>
  <si>
    <t>FEI98625R1</t>
  </si>
  <si>
    <t>98500</t>
  </si>
  <si>
    <t>FEI98500I1</t>
  </si>
  <si>
    <t>FEI98500U1</t>
  </si>
  <si>
    <t>FEI98500L1</t>
  </si>
  <si>
    <t>FEI98500X1</t>
  </si>
  <si>
    <t>98250</t>
  </si>
  <si>
    <t>FEI98250C2</t>
  </si>
  <si>
    <t>FEI98250O2</t>
  </si>
  <si>
    <t>FEI98250F2</t>
  </si>
  <si>
    <t>FEI98250R2</t>
  </si>
  <si>
    <t>FEI98250I2</t>
  </si>
  <si>
    <t>FEI98250U2</t>
  </si>
  <si>
    <t>98000</t>
  </si>
  <si>
    <t>FEI98000L2</t>
  </si>
  <si>
    <t>FEI98000X2</t>
  </si>
  <si>
    <t>FEI98000C3</t>
  </si>
  <si>
    <t>FEI98000O3</t>
  </si>
  <si>
    <t>97750</t>
  </si>
  <si>
    <t>FEI97750F3</t>
  </si>
  <si>
    <t>FEI97750R3</t>
  </si>
  <si>
    <t>FEI97750I3</t>
  </si>
  <si>
    <t>FEI97750U3</t>
  </si>
  <si>
    <t>Bank Bills</t>
  </si>
  <si>
    <t>95000</t>
  </si>
  <si>
    <t>1YBA95000L0</t>
  </si>
  <si>
    <t>1YBA95000X0</t>
  </si>
  <si>
    <t>94875</t>
  </si>
  <si>
    <t>1YBA94875C1</t>
  </si>
  <si>
    <t>1YBA94875O1</t>
  </si>
  <si>
    <t>94750</t>
  </si>
  <si>
    <t>1YBA94750F1</t>
  </si>
  <si>
    <t>1YBA94750R1</t>
  </si>
  <si>
    <t>94625</t>
  </si>
  <si>
    <t>1YBA94625I1</t>
  </si>
  <si>
    <t>1YBA94625U1</t>
  </si>
  <si>
    <t>94500</t>
  </si>
  <si>
    <t>1YBA94500L1</t>
  </si>
  <si>
    <t>1YBA94500X1</t>
  </si>
  <si>
    <t>94375</t>
  </si>
  <si>
    <t>1YBA94375C2</t>
  </si>
  <si>
    <t>1YBA94375O2</t>
  </si>
  <si>
    <t>1YBA94375F2</t>
  </si>
  <si>
    <t>1YBA94375R2</t>
  </si>
  <si>
    <t>94250</t>
  </si>
  <si>
    <t>1YBA94250I2</t>
  </si>
  <si>
    <t>1YBA94250U2</t>
  </si>
  <si>
    <t>9490</t>
  </si>
  <si>
    <t>1YTT9490L0</t>
  </si>
  <si>
    <t>1YTT9490X0</t>
  </si>
  <si>
    <t>9460</t>
  </si>
  <si>
    <t>1YTC9460L0</t>
  </si>
  <si>
    <t>1YTC9460X0</t>
  </si>
  <si>
    <t>Short Sterling</t>
  </si>
  <si>
    <t>99250</t>
  </si>
  <si>
    <t>FSS99250L0</t>
  </si>
  <si>
    <t>FSS99250X0</t>
  </si>
  <si>
    <t>99125</t>
  </si>
  <si>
    <t>FSS99125C1</t>
  </si>
  <si>
    <t>FSS99125O1</t>
  </si>
  <si>
    <t>99000</t>
  </si>
  <si>
    <t>FSS99000F1</t>
  </si>
  <si>
    <t>FSS99000R1</t>
  </si>
  <si>
    <t>FSS98750I1</t>
  </si>
  <si>
    <t>FSS98750U1</t>
  </si>
  <si>
    <t>FSS98500L1</t>
  </si>
  <si>
    <t>FSS98500X1</t>
  </si>
  <si>
    <t>FSS98500C2</t>
  </si>
  <si>
    <t>FSS98500O2</t>
  </si>
  <si>
    <t>FSS98250F2</t>
  </si>
  <si>
    <t>FSS98250R2</t>
  </si>
  <si>
    <t>FSS98000I2</t>
  </si>
  <si>
    <t>FSS98000U2</t>
  </si>
  <si>
    <t>FSS98000L2</t>
  </si>
  <si>
    <t>FSS98000X2</t>
  </si>
  <si>
    <t>FSS97750C3</t>
  </si>
  <si>
    <t>FSS97750O3</t>
  </si>
  <si>
    <t>FSScm11</t>
  </si>
  <si>
    <t>FSS97750F3</t>
  </si>
  <si>
    <t>FSS97750R3</t>
  </si>
  <si>
    <t>FSScm12</t>
  </si>
  <si>
    <t>97500</t>
  </si>
  <si>
    <t>FSS97500I3</t>
  </si>
  <si>
    <t>FSS97500U3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</si>
</sst>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-* #,##0.00_-;\-* #,##0.00_-;_-* &quot;-&quot;??_-;_-@_-"/>
    <numFmt numFmtId="164" formatCode="0.000%"/>
    <numFmt numFmtId="165" formatCode="#,##0.000"/>
    <numFmt numFmtId="166" formatCode="#,##0.0000"/>
    <numFmt numFmtId="167" formatCode="#,##0.00000"/>
    <numFmt numFmtId="168" formatCode="#,##0.000000"/>
    <numFmt numFmtId="169" formatCode="#,##0.0000000000"/>
    <numFmt numFmtId="170" formatCode="#,##0.00000000000"/>
    <numFmt numFmtId="171" formatCode="#,##0.0000000000000000"/>
    <numFmt numFmtId="172" formatCode="0.0000%"/>
    <numFmt numFmtId="173" formatCode="#,##0.0"/>
    <numFmt numFmtId="174" formatCode="0.00000%"/>
    <numFmt numFmtId="175" formatCode="0.000000%"/>
    <numFmt numFmtId="176" formatCode="0.0000000%"/>
    <numFmt numFmtId="177" formatCode="0.0"/>
    <numFmt numFmtId="178" formatCode="0.0000"/>
    <numFmt numFmtId="179" formatCode="0.000"/>
    <numFmt numFmtId="180" formatCode="#,##0.0_);[Red]\(#,##0.0\)"/>
    <numFmt numFmtId="181" formatCode="m/d/yy_)"/>
    <numFmt numFmtId="182" formatCode="#,##0.0_);\(#,##0.0\)"/>
    <numFmt numFmtId="183" formatCode="#,##0.000_);\(#,##0.000\)"/>
    <numFmt numFmtId="184" formatCode="0.0%"/>
    <numFmt numFmtId="185" formatCode="mmm\-yy_)"/>
    <numFmt numFmtId="186" formatCode="0.0%;\(0.0%\)"/>
    <numFmt numFmtId="187" formatCode="0.0%;[Red]\-0.0%"/>
    <numFmt numFmtId="188" formatCode="###0_)"/>
  </numFmts>
  <fonts count="45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8"/>
      <name val="Arial"/>
      <family val="2"/>
    </font>
    <font>
      <sz val="10"/>
      <color indexed="57"/>
      <name val="Arial"/>
      <family val="2"/>
    </font>
    <font>
      <b/>
      <sz val="10"/>
      <color indexed="57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7030A0"/>
      <name val="Arial"/>
      <family val="2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sz val="10"/>
      <color rgb="FFFF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4">
    <xf numFmtId="0" fontId="0" fillId="0" borderId="0"/>
    <xf numFmtId="0" fontId="2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3" borderId="0" applyNumberFormat="0" applyBorder="0" applyAlignment="0" applyProtection="0"/>
    <xf numFmtId="0" fontId="22" fillId="4" borderId="0" applyNumberFormat="0" applyBorder="0" applyAlignment="0" applyProtection="0"/>
    <xf numFmtId="0" fontId="23" fillId="5" borderId="19" applyNumberFormat="0" applyAlignment="0" applyProtection="0"/>
    <xf numFmtId="0" fontId="24" fillId="6" borderId="20" applyNumberFormat="0" applyAlignment="0" applyProtection="0"/>
    <xf numFmtId="0" fontId="25" fillId="6" borderId="19" applyNumberFormat="0" applyAlignment="0" applyProtection="0"/>
    <xf numFmtId="0" fontId="26" fillId="0" borderId="21" applyNumberFormat="0" applyFill="0" applyAlignment="0" applyProtection="0"/>
    <xf numFmtId="0" fontId="27" fillId="7" borderId="2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24" applyNumberFormat="0" applyFill="0" applyAlignment="0" applyProtection="0"/>
    <xf numFmtId="0" fontId="3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32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180" fontId="33" fillId="0" borderId="0" applyNumberFormat="0" applyFill="0" applyBorder="0" applyAlignment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34" fillId="0" borderId="0" applyFont="0" applyFill="0" applyBorder="0" applyAlignment="0" applyProtection="0"/>
    <xf numFmtId="182" fontId="35" fillId="0" borderId="0" applyFont="0" applyFill="0" applyBorder="0" applyAlignment="0" applyProtection="0">
      <protection locked="0"/>
    </xf>
    <xf numFmtId="39" fontId="36" fillId="0" borderId="0" applyFont="0" applyFill="0" applyBorder="0" applyAlignment="0" applyProtection="0"/>
    <xf numFmtId="183" fontId="37" fillId="0" borderId="0" applyFont="0" applyFill="0" applyBorder="0" applyAlignment="0"/>
    <xf numFmtId="184" fontId="38" fillId="0" borderId="25" applyFill="0" applyBorder="0" applyAlignment="0">
      <alignment horizontal="center"/>
      <protection locked="0"/>
    </xf>
    <xf numFmtId="182" fontId="38" fillId="0" borderId="0" applyFill="0" applyBorder="0" applyAlignment="0">
      <protection locked="0"/>
    </xf>
    <xf numFmtId="183" fontId="38" fillId="0" borderId="0" applyFill="0" applyBorder="0" applyAlignment="0" applyProtection="0">
      <protection locked="0"/>
    </xf>
    <xf numFmtId="185" fontId="34" fillId="0" borderId="0" applyFont="0" applyFill="0" applyBorder="0" applyAlignment="0" applyProtection="0"/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7" fontId="39" fillId="0" borderId="0" applyFont="0" applyFill="0" applyBorder="0" applyAlignment="0" applyProtection="0"/>
    <xf numFmtId="38" fontId="40" fillId="0" borderId="0" applyFill="0" applyBorder="0" applyAlignment="0" applyProtection="0"/>
    <xf numFmtId="187" fontId="41" fillId="0" borderId="0" applyFill="0" applyBorder="0" applyAlignment="0" applyProtection="0"/>
    <xf numFmtId="18" fontId="35" fillId="0" borderId="0" applyFont="0" applyFill="0" applyBorder="0" applyAlignment="0" applyProtection="0">
      <alignment horizontal="left"/>
    </xf>
    <xf numFmtId="10" fontId="39" fillId="0" borderId="27" applyNumberFormat="0" applyFont="0" applyFill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9" fontId="32" fillId="0" borderId="0" applyFont="0" applyFill="0" applyBorder="0" applyAlignment="0" applyProtection="0"/>
    <xf numFmtId="0" fontId="2" fillId="0" borderId="0"/>
    <xf numFmtId="0" fontId="1" fillId="8" borderId="23" applyNumberFormat="0" applyFont="0" applyAlignment="0" applyProtection="0"/>
    <xf numFmtId="0" fontId="2" fillId="0" borderId="0"/>
    <xf numFmtId="9" fontId="2" fillId="0" borderId="0" applyFont="0" applyFill="0" applyBorder="0" applyAlignment="0" applyProtection="0"/>
    <xf numFmtId="9" fontId="43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3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0" fontId="6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4" fontId="10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/>
    <xf numFmtId="15" fontId="0" fillId="0" borderId="0" xfId="0" applyNumberFormat="1"/>
    <xf numFmtId="15" fontId="6" fillId="0" borderId="5" xfId="0" applyNumberFormat="1" applyFont="1" applyBorder="1" applyAlignment="1">
      <alignment horizontal="center"/>
    </xf>
    <xf numFmtId="3" fontId="6" fillId="0" borderId="6" xfId="0" applyNumberFormat="1" applyFont="1" applyBorder="1" applyAlignment="1">
      <alignment horizontal="center"/>
    </xf>
    <xf numFmtId="15" fontId="6" fillId="0" borderId="7" xfId="0" applyNumberFormat="1" applyFont="1" applyBorder="1" applyAlignment="1">
      <alignment horizontal="center"/>
    </xf>
    <xf numFmtId="3" fontId="6" fillId="0" borderId="8" xfId="0" applyNumberFormat="1" applyFont="1" applyBorder="1" applyAlignment="1">
      <alignment horizontal="center"/>
    </xf>
    <xf numFmtId="172" fontId="0" fillId="0" borderId="0" xfId="0" applyNumberFormat="1"/>
    <xf numFmtId="15" fontId="10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3" fontId="3" fillId="0" borderId="9" xfId="0" applyNumberFormat="1" applyFont="1" applyBorder="1" applyAlignment="1">
      <alignment horizontal="center"/>
    </xf>
    <xf numFmtId="3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5" fontId="3" fillId="0" borderId="1" xfId="0" applyNumberFormat="1" applyFon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169" fontId="0" fillId="0" borderId="0" xfId="0" applyNumberFormat="1"/>
    <xf numFmtId="171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/>
    </xf>
    <xf numFmtId="170" fontId="0" fillId="0" borderId="0" xfId="0" applyNumberFormat="1" applyAlignment="1">
      <alignment horizontal="center"/>
    </xf>
    <xf numFmtId="16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center"/>
    </xf>
    <xf numFmtId="168" fontId="0" fillId="0" borderId="0" xfId="0" applyNumberFormat="1"/>
    <xf numFmtId="0" fontId="9" fillId="0" borderId="5" xfId="0" quotePrefix="1" applyFont="1" applyBorder="1" applyAlignment="1">
      <alignment horizontal="center"/>
    </xf>
    <xf numFmtId="175" fontId="8" fillId="0" borderId="10" xfId="0" quotePrefix="1" applyNumberFormat="1" applyFont="1" applyBorder="1" applyAlignment="1">
      <alignment horizontal="center"/>
    </xf>
    <xf numFmtId="3" fontId="0" fillId="0" borderId="5" xfId="0" quotePrefix="1" applyNumberFormat="1" applyBorder="1" applyAlignment="1">
      <alignment horizontal="center"/>
    </xf>
    <xf numFmtId="3" fontId="0" fillId="0" borderId="7" xfId="0" quotePrefix="1" applyNumberFormat="1" applyBorder="1" applyAlignment="1">
      <alignment horizontal="center"/>
    </xf>
    <xf numFmtId="175" fontId="8" fillId="0" borderId="11" xfId="0" quotePrefix="1" applyNumberFormat="1" applyFont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17" fontId="2" fillId="0" borderId="5" xfId="0" applyNumberFormat="1" applyFont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7" fillId="0" borderId="6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0" fontId="7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2" fillId="0" borderId="0" xfId="0" applyFont="1"/>
    <xf numFmtId="15" fontId="0" fillId="0" borderId="0" xfId="0" applyNumberFormat="1" applyBorder="1" applyAlignment="1">
      <alignment horizontal="center"/>
    </xf>
    <xf numFmtId="166" fontId="3" fillId="0" borderId="0" xfId="0" applyNumberFormat="1" applyFont="1" applyBorder="1" applyAlignment="1">
      <alignment horizontal="center"/>
    </xf>
    <xf numFmtId="166" fontId="3" fillId="0" borderId="13" xfId="0" applyNumberFormat="1" applyFont="1" applyBorder="1" applyAlignment="1">
      <alignment horizontal="center"/>
    </xf>
    <xf numFmtId="15" fontId="0" fillId="0" borderId="13" xfId="0" applyNumberFormat="1" applyBorder="1" applyAlignment="1">
      <alignment horizontal="center"/>
    </xf>
    <xf numFmtId="15" fontId="0" fillId="0" borderId="9" xfId="0" applyNumberFormat="1" applyBorder="1" applyAlignment="1">
      <alignment horizontal="center"/>
    </xf>
    <xf numFmtId="15" fontId="0" fillId="0" borderId="14" xfId="0" applyNumberFormat="1" applyBorder="1" applyAlignment="1">
      <alignment horizontal="center"/>
    </xf>
    <xf numFmtId="15" fontId="0" fillId="0" borderId="5" xfId="0" applyNumberForma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0" fontId="3" fillId="0" borderId="14" xfId="0" applyFont="1" applyBorder="1" applyAlignment="1">
      <alignment horizontal="center"/>
    </xf>
    <xf numFmtId="3" fontId="10" fillId="0" borderId="9" xfId="0" applyNumberFormat="1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4" fontId="11" fillId="0" borderId="0" xfId="0" applyNumberFormat="1" applyFont="1" applyAlignment="1">
      <alignment horizontal="center"/>
    </xf>
    <xf numFmtId="4" fontId="10" fillId="0" borderId="0" xfId="0" applyNumberFormat="1" applyFont="1" applyBorder="1" applyAlignment="1">
      <alignment horizontal="center"/>
    </xf>
    <xf numFmtId="4" fontId="10" fillId="0" borderId="13" xfId="0" applyNumberFormat="1" applyFont="1" applyBorder="1" applyAlignment="1">
      <alignment horizontal="center"/>
    </xf>
    <xf numFmtId="166" fontId="10" fillId="0" borderId="14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0" xfId="0" applyNumberFormat="1" applyFont="1" applyFill="1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166" fontId="10" fillId="0" borderId="6" xfId="0" applyNumberFormat="1" applyFont="1" applyBorder="1" applyAlignment="1">
      <alignment horizontal="center"/>
    </xf>
    <xf numFmtId="166" fontId="10" fillId="0" borderId="6" xfId="0" applyNumberFormat="1" applyFont="1" applyFill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166" fontId="10" fillId="0" borderId="8" xfId="0" applyNumberFormat="1" applyFont="1" applyBorder="1" applyAlignment="1">
      <alignment horizontal="center"/>
    </xf>
    <xf numFmtId="17" fontId="10" fillId="0" borderId="5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3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4" fontId="12" fillId="0" borderId="0" xfId="0" applyNumberFormat="1" applyFont="1" applyBorder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4" fontId="12" fillId="0" borderId="1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4" fontId="3" fillId="0" borderId="0" xfId="0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0" fillId="0" borderId="0" xfId="0" applyBorder="1"/>
    <xf numFmtId="4" fontId="0" fillId="0" borderId="0" xfId="0" applyNumberFormat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4" fontId="3" fillId="0" borderId="11" xfId="0" applyNumberFormat="1" applyFont="1" applyBorder="1" applyAlignment="1">
      <alignment horizontal="center"/>
    </xf>
    <xf numFmtId="4" fontId="3" fillId="0" borderId="4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0" xfId="0" applyNumberFormat="1"/>
    <xf numFmtId="166" fontId="11" fillId="0" borderId="6" xfId="0" applyNumberFormat="1" applyFont="1" applyBorder="1" applyAlignment="1">
      <alignment horizontal="center"/>
    </xf>
    <xf numFmtId="164" fontId="0" fillId="0" borderId="0" xfId="0" applyNumberFormat="1"/>
    <xf numFmtId="15" fontId="7" fillId="0" borderId="0" xfId="0" applyNumberFormat="1" applyFont="1" applyAlignment="1">
      <alignment horizontal="center"/>
    </xf>
    <xf numFmtId="15" fontId="12" fillId="0" borderId="0" xfId="0" applyNumberFormat="1" applyFont="1" applyAlignment="1">
      <alignment horizontal="center"/>
    </xf>
    <xf numFmtId="4" fontId="0" fillId="0" borderId="0" xfId="0" applyNumberFormat="1"/>
    <xf numFmtId="3" fontId="6" fillId="0" borderId="0" xfId="0" applyNumberFormat="1" applyFont="1" applyAlignment="1">
      <alignment horizontal="center"/>
    </xf>
    <xf numFmtId="173" fontId="0" fillId="0" borderId="0" xfId="0" applyNumberFormat="1" applyAlignment="1">
      <alignment horizontal="center"/>
    </xf>
    <xf numFmtId="0" fontId="3" fillId="0" borderId="0" xfId="0" applyFont="1"/>
    <xf numFmtId="4" fontId="12" fillId="0" borderId="0" xfId="0" applyNumberFormat="1" applyFont="1" applyAlignment="1">
      <alignment horizontal="center"/>
    </xf>
    <xf numFmtId="3" fontId="0" fillId="0" borderId="0" xfId="0" applyNumberFormat="1"/>
    <xf numFmtId="166" fontId="3" fillId="0" borderId="0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3" fontId="12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4" fontId="13" fillId="0" borderId="6" xfId="0" applyNumberFormat="1" applyFont="1" applyBorder="1" applyAlignment="1">
      <alignment horizontal="center"/>
    </xf>
    <xf numFmtId="4" fontId="13" fillId="0" borderId="8" xfId="0" applyNumberFormat="1" applyFont="1" applyBorder="1" applyAlignment="1">
      <alignment horizontal="center"/>
    </xf>
    <xf numFmtId="14" fontId="0" fillId="0" borderId="0" xfId="0" applyNumberFormat="1"/>
    <xf numFmtId="4" fontId="0" fillId="0" borderId="0" xfId="0" applyNumberFormat="1" applyAlignment="1"/>
    <xf numFmtId="174" fontId="0" fillId="0" borderId="0" xfId="0" applyNumberFormat="1" applyAlignment="1">
      <alignment horizontal="center"/>
    </xf>
    <xf numFmtId="3" fontId="0" fillId="0" borderId="0" xfId="0" applyNumberFormat="1" applyAlignment="1"/>
    <xf numFmtId="0" fontId="0" fillId="0" borderId="0" xfId="0" applyAlignment="1"/>
    <xf numFmtId="165" fontId="0" fillId="0" borderId="0" xfId="0" applyNumberFormat="1" applyAlignment="1">
      <alignment horizontal="center"/>
    </xf>
    <xf numFmtId="3" fontId="2" fillId="0" borderId="14" xfId="0" applyNumberFormat="1" applyFon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4" fontId="3" fillId="0" borderId="0" xfId="0" applyNumberFormat="1" applyFont="1" applyAlignment="1">
      <alignment horizontal="center"/>
    </xf>
    <xf numFmtId="173" fontId="10" fillId="0" borderId="6" xfId="0" applyNumberFormat="1" applyFont="1" applyBorder="1" applyAlignment="1">
      <alignment horizontal="center"/>
    </xf>
    <xf numFmtId="173" fontId="13" fillId="0" borderId="15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3" fillId="0" borderId="12" xfId="0" applyFont="1" applyBorder="1" applyAlignment="1">
      <alignment horizontal="center"/>
    </xf>
    <xf numFmtId="15" fontId="12" fillId="0" borderId="9" xfId="0" applyNumberFormat="1" applyFont="1" applyBorder="1" applyAlignment="1">
      <alignment horizontal="center"/>
    </xf>
    <xf numFmtId="15" fontId="12" fillId="0" borderId="15" xfId="0" applyNumberFormat="1" applyFont="1" applyBorder="1" applyAlignment="1">
      <alignment horizontal="center"/>
    </xf>
    <xf numFmtId="164" fontId="12" fillId="0" borderId="10" xfId="0" applyNumberFormat="1" applyFont="1" applyBorder="1" applyAlignment="1">
      <alignment horizontal="center"/>
    </xf>
    <xf numFmtId="178" fontId="12" fillId="0" borderId="5" xfId="0" applyNumberFormat="1" applyFont="1" applyBorder="1" applyAlignment="1">
      <alignment horizontal="center"/>
    </xf>
    <xf numFmtId="179" fontId="12" fillId="0" borderId="6" xfId="0" applyNumberFormat="1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" fillId="0" borderId="10" xfId="0" applyFont="1" applyBorder="1" applyAlignment="1">
      <alignment horizontal="center"/>
    </xf>
    <xf numFmtId="15" fontId="12" fillId="0" borderId="5" xfId="0" applyNumberFormat="1" applyFont="1" applyBorder="1" applyAlignment="1">
      <alignment horizontal="center"/>
    </xf>
    <xf numFmtId="15" fontId="12" fillId="0" borderId="6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5" fontId="12" fillId="0" borderId="7" xfId="0" applyNumberFormat="1" applyFont="1" applyBorder="1" applyAlignment="1">
      <alignment horizontal="center"/>
    </xf>
    <xf numFmtId="15" fontId="12" fillId="0" borderId="8" xfId="0" applyNumberFormat="1" applyFont="1" applyBorder="1" applyAlignment="1">
      <alignment horizontal="center"/>
    </xf>
    <xf numFmtId="164" fontId="12" fillId="0" borderId="11" xfId="0" applyNumberFormat="1" applyFont="1" applyBorder="1" applyAlignment="1">
      <alignment horizontal="center"/>
    </xf>
    <xf numFmtId="178" fontId="12" fillId="0" borderId="7" xfId="0" applyNumberFormat="1" applyFont="1" applyBorder="1" applyAlignment="1">
      <alignment horizontal="center"/>
    </xf>
    <xf numFmtId="179" fontId="12" fillId="0" borderId="8" xfId="0" applyNumberFormat="1" applyFon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15" fontId="10" fillId="0" borderId="1" xfId="0" applyNumberFormat="1" applyFont="1" applyBorder="1" applyAlignment="1">
      <alignment horizontal="center"/>
    </xf>
    <xf numFmtId="15" fontId="12" fillId="0" borderId="3" xfId="0" applyNumberFormat="1" applyFont="1" applyBorder="1" applyAlignment="1">
      <alignment horizontal="center"/>
    </xf>
    <xf numFmtId="172" fontId="12" fillId="0" borderId="4" xfId="0" applyNumberFormat="1" applyFont="1" applyBorder="1" applyAlignment="1">
      <alignment horizontal="center"/>
    </xf>
    <xf numFmtId="165" fontId="0" fillId="0" borderId="0" xfId="0" applyNumberFormat="1"/>
    <xf numFmtId="164" fontId="0" fillId="0" borderId="1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75" fontId="0" fillId="0" borderId="0" xfId="0" applyNumberFormat="1" applyAlignment="1">
      <alignment horizontal="center"/>
    </xf>
    <xf numFmtId="4" fontId="10" fillId="0" borderId="6" xfId="0" applyNumberFormat="1" applyFont="1" applyBorder="1" applyAlignment="1">
      <alignment horizontal="center"/>
    </xf>
    <xf numFmtId="4" fontId="14" fillId="0" borderId="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0" fontId="15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3" fontId="3" fillId="0" borderId="7" xfId="0" applyNumberFormat="1" applyFon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0" fillId="0" borderId="15" xfId="0" applyBorder="1"/>
    <xf numFmtId="0" fontId="0" fillId="0" borderId="6" xfId="0" applyBorder="1"/>
    <xf numFmtId="3" fontId="0" fillId="0" borderId="8" xfId="0" applyNumberFormat="1" applyBorder="1" applyAlignment="1">
      <alignment horizontal="center"/>
    </xf>
    <xf numFmtId="0" fontId="0" fillId="0" borderId="5" xfId="0" applyBorder="1"/>
    <xf numFmtId="3" fontId="0" fillId="0" borderId="5" xfId="0" applyNumberFormat="1" applyBorder="1"/>
    <xf numFmtId="0" fontId="0" fillId="0" borderId="7" xfId="0" applyBorder="1"/>
    <xf numFmtId="0" fontId="3" fillId="0" borderId="9" xfId="0" applyFont="1" applyBorder="1" applyAlignment="1">
      <alignment horizontal="center"/>
    </xf>
    <xf numFmtId="177" fontId="0" fillId="0" borderId="0" xfId="0" applyNumberFormat="1" applyAlignment="1">
      <alignment horizontal="center"/>
    </xf>
    <xf numFmtId="4" fontId="3" fillId="0" borderId="0" xfId="0" applyNumberFormat="1" applyFont="1" applyFill="1" applyBorder="1" applyAlignment="1">
      <alignment horizontal="center"/>
    </xf>
    <xf numFmtId="4" fontId="2" fillId="0" borderId="0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3" fillId="0" borderId="9" xfId="0" applyFont="1" applyBorder="1" applyAlignment="1">
      <alignment horizontal="center"/>
    </xf>
    <xf numFmtId="172" fontId="4" fillId="0" borderId="0" xfId="0" applyNumberFormat="1" applyFont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166" fontId="3" fillId="0" borderId="7" xfId="0" applyNumberFormat="1" applyFont="1" applyBorder="1" applyAlignment="1">
      <alignment horizontal="center"/>
    </xf>
    <xf numFmtId="0" fontId="3" fillId="0" borderId="0" xfId="50" applyFont="1" applyAlignment="1">
      <alignment horizontal="center"/>
    </xf>
    <xf numFmtId="15" fontId="10" fillId="0" borderId="0" xfId="50" applyNumberFormat="1" applyFont="1" applyAlignment="1">
      <alignment horizontal="center"/>
    </xf>
    <xf numFmtId="0" fontId="2" fillId="0" borderId="0" xfId="50"/>
    <xf numFmtId="3" fontId="2" fillId="0" borderId="0" xfId="50" applyNumberFormat="1"/>
    <xf numFmtId="4" fontId="2" fillId="0" borderId="0" xfId="50" applyNumberFormat="1"/>
    <xf numFmtId="0" fontId="2" fillId="0" borderId="0" xfId="50" applyAlignment="1">
      <alignment horizontal="center"/>
    </xf>
    <xf numFmtId="165" fontId="2" fillId="0" borderId="0" xfId="50" applyNumberFormat="1" applyAlignment="1">
      <alignment horizontal="center"/>
    </xf>
    <xf numFmtId="166" fontId="2" fillId="0" borderId="0" xfId="50" applyNumberFormat="1" applyAlignment="1">
      <alignment horizontal="center"/>
    </xf>
    <xf numFmtId="4" fontId="2" fillId="0" borderId="0" xfId="50" applyNumberFormat="1" applyAlignment="1">
      <alignment horizontal="center"/>
    </xf>
    <xf numFmtId="3" fontId="2" fillId="0" borderId="0" xfId="50" applyNumberFormat="1" applyAlignment="1">
      <alignment horizontal="center"/>
    </xf>
    <xf numFmtId="173" fontId="2" fillId="0" borderId="0" xfId="50" applyNumberFormat="1" applyAlignment="1">
      <alignment horizontal="center"/>
    </xf>
    <xf numFmtId="0" fontId="3" fillId="0" borderId="0" xfId="50" applyFont="1" applyAlignment="1">
      <alignment horizontal="left"/>
    </xf>
    <xf numFmtId="0" fontId="3" fillId="0" borderId="4" xfId="50" applyFont="1" applyBorder="1" applyAlignment="1">
      <alignment horizontal="center"/>
    </xf>
    <xf numFmtId="0" fontId="3" fillId="0" borderId="4" xfId="50" applyFont="1" applyBorder="1" applyAlignment="1">
      <alignment horizontal="left"/>
    </xf>
    <xf numFmtId="0" fontId="2" fillId="0" borderId="0" xfId="50" applyFont="1" applyAlignment="1">
      <alignment horizontal="center"/>
    </xf>
    <xf numFmtId="164" fontId="2" fillId="0" borderId="0" xfId="50" applyNumberFormat="1" applyAlignment="1">
      <alignment horizontal="center"/>
    </xf>
    <xf numFmtId="179" fontId="2" fillId="0" borderId="0" xfId="50" applyNumberFormat="1" applyFont="1" applyAlignment="1">
      <alignment horizontal="center"/>
    </xf>
    <xf numFmtId="166" fontId="3" fillId="0" borderId="0" xfId="50" applyNumberFormat="1" applyFont="1" applyAlignment="1">
      <alignment horizontal="center"/>
    </xf>
    <xf numFmtId="4" fontId="2" fillId="0" borderId="0" xfId="50" applyNumberFormat="1" applyFont="1" applyAlignment="1">
      <alignment horizontal="center"/>
    </xf>
    <xf numFmtId="0" fontId="9" fillId="0" borderId="0" xfId="50" applyFont="1" applyAlignment="1">
      <alignment horizontal="center"/>
    </xf>
    <xf numFmtId="4" fontId="11" fillId="0" borderId="0" xfId="50" applyNumberFormat="1" applyFont="1" applyAlignment="1">
      <alignment horizontal="center"/>
    </xf>
    <xf numFmtId="4" fontId="42" fillId="0" borderId="0" xfId="50" applyNumberFormat="1" applyFont="1" applyAlignment="1">
      <alignment horizontal="center"/>
    </xf>
    <xf numFmtId="2" fontId="2" fillId="0" borderId="0" xfId="50" applyNumberFormat="1" applyAlignment="1">
      <alignment horizontal="center"/>
    </xf>
    <xf numFmtId="0" fontId="3" fillId="0" borderId="0" xfId="50" applyFont="1"/>
    <xf numFmtId="4" fontId="3" fillId="0" borderId="0" xfId="50" applyNumberFormat="1" applyFont="1" applyAlignment="1">
      <alignment horizontal="center"/>
    </xf>
    <xf numFmtId="165" fontId="2" fillId="0" borderId="0" xfId="50" applyNumberFormat="1"/>
    <xf numFmtId="4" fontId="15" fillId="0" borderId="0" xfId="50" applyNumberFormat="1" applyFont="1" applyAlignment="1">
      <alignment horizontal="center"/>
    </xf>
    <xf numFmtId="173" fontId="2" fillId="0" borderId="0" xfId="50" applyNumberFormat="1"/>
    <xf numFmtId="0" fontId="3" fillId="0" borderId="0" xfId="50" applyFont="1" applyBorder="1"/>
    <xf numFmtId="165" fontId="2" fillId="0" borderId="0" xfId="50" applyNumberFormat="1" applyFont="1" applyAlignment="1">
      <alignment horizontal="center"/>
    </xf>
    <xf numFmtId="0" fontId="2" fillId="0" borderId="0" xfId="50" applyFont="1"/>
    <xf numFmtId="4" fontId="9" fillId="0" borderId="0" xfId="50" applyNumberFormat="1" applyFont="1" applyAlignment="1">
      <alignment horizontal="center"/>
    </xf>
    <xf numFmtId="0" fontId="2" fillId="0" borderId="0" xfId="50" applyBorder="1"/>
    <xf numFmtId="15" fontId="2" fillId="0" borderId="0" xfId="50" applyNumberFormat="1" applyAlignment="1">
      <alignment horizontal="center"/>
    </xf>
    <xf numFmtId="184" fontId="2" fillId="0" borderId="0" xfId="50" applyNumberFormat="1" applyAlignment="1">
      <alignment horizontal="center"/>
    </xf>
    <xf numFmtId="10" fontId="2" fillId="0" borderId="0" xfId="50" applyNumberFormat="1" applyAlignment="1">
      <alignment horizontal="center"/>
    </xf>
    <xf numFmtId="165" fontId="9" fillId="0" borderId="0" xfId="50" applyNumberFormat="1" applyFont="1" applyAlignment="1">
      <alignment horizontal="center"/>
    </xf>
    <xf numFmtId="184" fontId="2" fillId="0" borderId="0" xfId="50" applyNumberFormat="1"/>
    <xf numFmtId="2" fontId="12" fillId="0" borderId="10" xfId="103" applyNumberFormat="1" applyFont="1" applyBorder="1" applyAlignment="1">
      <alignment horizontal="center"/>
    </xf>
    <xf numFmtId="2" fontId="12" fillId="0" borderId="11" xfId="103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50" applyFont="1" applyBorder="1" applyAlignment="1">
      <alignment horizontal="center"/>
    </xf>
    <xf numFmtId="0" fontId="3" fillId="0" borderId="3" xfId="50" applyFont="1" applyBorder="1" applyAlignment="1">
      <alignment horizontal="center"/>
    </xf>
    <xf numFmtId="0" fontId="3" fillId="0" borderId="2" xfId="50" applyFont="1" applyBorder="1" applyAlignment="1">
      <alignment horizontal="center"/>
    </xf>
    <xf numFmtId="166" fontId="3" fillId="0" borderId="1" xfId="50" applyNumberFormat="1" applyFont="1" applyBorder="1" applyAlignment="1">
      <alignment horizontal="center"/>
    </xf>
    <xf numFmtId="166" fontId="3" fillId="0" borderId="3" xfId="50" applyNumberFormat="1" applyFont="1" applyBorder="1" applyAlignment="1">
      <alignment horizontal="center"/>
    </xf>
  </cellXfs>
  <cellStyles count="10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Bold 11" xfId="74" xr:uid="{00000000-0005-0000-0000-000019000000}"/>
    <cellStyle name="Calculation" xfId="12" builtinId="22" customBuiltin="1"/>
    <cellStyle name="Check Cell" xfId="14" builtinId="23" customBuiltin="1"/>
    <cellStyle name="Comma 15" xfId="51" xr:uid="{00000000-0005-0000-0000-00001C000000}"/>
    <cellStyle name="Comma 2" xfId="73" xr:uid="{00000000-0005-0000-0000-00001D000000}"/>
    <cellStyle name="Comma 3" xfId="43" xr:uid="{00000000-0005-0000-0000-00001E000000}"/>
    <cellStyle name="Comma 4" xfId="75" xr:uid="{00000000-0005-0000-0000-00001F000000}"/>
    <cellStyle name="Comma 6" xfId="76" xr:uid="{00000000-0005-0000-0000-000020000000}"/>
    <cellStyle name="Date" xfId="77" xr:uid="{00000000-0005-0000-0000-000021000000}"/>
    <cellStyle name="Decimal 1" xfId="78" xr:uid="{00000000-0005-0000-0000-000022000000}"/>
    <cellStyle name="Decimal 2" xfId="79" xr:uid="{00000000-0005-0000-0000-000023000000}"/>
    <cellStyle name="Decimal 3" xfId="80" xr:uid="{00000000-0005-0000-0000-000024000000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Input %" xfId="81" xr:uid="{00000000-0005-0000-0000-00002C000000}"/>
    <cellStyle name="Input 1" xfId="82" xr:uid="{00000000-0005-0000-0000-00002D000000}"/>
    <cellStyle name="Input 3" xfId="83" xr:uid="{00000000-0005-0000-0000-00002E000000}"/>
    <cellStyle name="Linked Cell" xfId="13" builtinId="24" customBuiltin="1"/>
    <cellStyle name="Month" xfId="84" xr:uid="{00000000-0005-0000-0000-000030000000}"/>
    <cellStyle name="Neutral" xfId="9" builtinId="28" customBuiltin="1"/>
    <cellStyle name="Normal" xfId="0" builtinId="0"/>
    <cellStyle name="Normal 10" xfId="50" xr:uid="{00000000-0005-0000-0000-000033000000}"/>
    <cellStyle name="Normal 11" xfId="61" xr:uid="{00000000-0005-0000-0000-000034000000}"/>
    <cellStyle name="Normal 12" xfId="62" xr:uid="{00000000-0005-0000-0000-000035000000}"/>
    <cellStyle name="Normal 13" xfId="65" xr:uid="{00000000-0005-0000-0000-000036000000}"/>
    <cellStyle name="Normal 14" xfId="46" xr:uid="{00000000-0005-0000-0000-000037000000}"/>
    <cellStyle name="Normal 15" xfId="48" xr:uid="{00000000-0005-0000-0000-000038000000}"/>
    <cellStyle name="Normal 16" xfId="53" xr:uid="{00000000-0005-0000-0000-000039000000}"/>
    <cellStyle name="Normal 17" xfId="101" xr:uid="{00000000-0005-0000-0000-00003A000000}"/>
    <cellStyle name="Normal 18" xfId="56" xr:uid="{00000000-0005-0000-0000-00003B000000}"/>
    <cellStyle name="Normal 19" xfId="54" xr:uid="{00000000-0005-0000-0000-00003C000000}"/>
    <cellStyle name="Normal 2" xfId="1" xr:uid="{00000000-0005-0000-0000-00003D000000}"/>
    <cellStyle name="Normal 2 2" xfId="99" xr:uid="{00000000-0005-0000-0000-00003E000000}"/>
    <cellStyle name="Normal 20" xfId="57" xr:uid="{00000000-0005-0000-0000-00003F000000}"/>
    <cellStyle name="Normal 21" xfId="66" xr:uid="{00000000-0005-0000-0000-000040000000}"/>
    <cellStyle name="Normal 22" xfId="55" xr:uid="{00000000-0005-0000-0000-000041000000}"/>
    <cellStyle name="Normal 23" xfId="63" xr:uid="{00000000-0005-0000-0000-000042000000}"/>
    <cellStyle name="Normal 24" xfId="64" xr:uid="{00000000-0005-0000-0000-000043000000}"/>
    <cellStyle name="Normal 25" xfId="67" xr:uid="{00000000-0005-0000-0000-000044000000}"/>
    <cellStyle name="Normal 26" xfId="68" xr:uid="{00000000-0005-0000-0000-000045000000}"/>
    <cellStyle name="Normal 27" xfId="69" xr:uid="{00000000-0005-0000-0000-000046000000}"/>
    <cellStyle name="Normal 28" xfId="42" xr:uid="{00000000-0005-0000-0000-000047000000}"/>
    <cellStyle name="Normal 29" xfId="70" xr:uid="{00000000-0005-0000-0000-000048000000}"/>
    <cellStyle name="Normal 3" xfId="45" xr:uid="{00000000-0005-0000-0000-000049000000}"/>
    <cellStyle name="Normal 4" xfId="47" xr:uid="{00000000-0005-0000-0000-00004A000000}"/>
    <cellStyle name="Normal 5" xfId="59" xr:uid="{00000000-0005-0000-0000-00004B000000}"/>
    <cellStyle name="Normal 6" xfId="60" xr:uid="{00000000-0005-0000-0000-00004C000000}"/>
    <cellStyle name="Normal 7" xfId="49" xr:uid="{00000000-0005-0000-0000-00004D000000}"/>
    <cellStyle name="Normal 8" xfId="58" xr:uid="{00000000-0005-0000-0000-00004E000000}"/>
    <cellStyle name="Normal 9" xfId="71" xr:uid="{00000000-0005-0000-0000-00004F000000}"/>
    <cellStyle name="Note 2" xfId="100" xr:uid="{00000000-0005-0000-0000-000050000000}"/>
    <cellStyle name="Output" xfId="11" builtinId="21" customBuiltin="1"/>
    <cellStyle name="Percent" xfId="103" builtinId="5"/>
    <cellStyle name="Percent ()" xfId="85" xr:uid="{00000000-0005-0000-0000-000053000000}"/>
    <cellStyle name="Percent () 2" xfId="86" xr:uid="{00000000-0005-0000-0000-000054000000}"/>
    <cellStyle name="Percent () 3" xfId="87" xr:uid="{00000000-0005-0000-0000-000055000000}"/>
    <cellStyle name="Percent () 4" xfId="88" xr:uid="{00000000-0005-0000-0000-000056000000}"/>
    <cellStyle name="Percent 1" xfId="89" xr:uid="{00000000-0005-0000-0000-000057000000}"/>
    <cellStyle name="Percent 15" xfId="52" xr:uid="{00000000-0005-0000-0000-000058000000}"/>
    <cellStyle name="Percent 2" xfId="72" xr:uid="{00000000-0005-0000-0000-000059000000}"/>
    <cellStyle name="Percent 3" xfId="98" xr:uid="{00000000-0005-0000-0000-00005A000000}"/>
    <cellStyle name="Percent 4" xfId="102" xr:uid="{00000000-0005-0000-0000-00005B000000}"/>
    <cellStyle name="Percent 5" xfId="44" xr:uid="{00000000-0005-0000-0000-00005C000000}"/>
    <cellStyle name="Sum" xfId="90" xr:uid="{00000000-0005-0000-0000-00005D000000}"/>
    <cellStyle name="Sum %of HV" xfId="91" xr:uid="{00000000-0005-0000-0000-00005E000000}"/>
    <cellStyle name="time" xfId="92" xr:uid="{00000000-0005-0000-0000-00005F000000}"/>
    <cellStyle name="Title" xfId="2" builtinId="15" customBuiltin="1"/>
    <cellStyle name="Total" xfId="17" builtinId="25" customBuiltin="1"/>
    <cellStyle name="Underline 2" xfId="93" xr:uid="{00000000-0005-0000-0000-000062000000}"/>
    <cellStyle name="Warning Text" xfId="15" builtinId="11" customBuiltin="1"/>
    <cellStyle name="Year" xfId="94" xr:uid="{00000000-0005-0000-0000-000064000000}"/>
    <cellStyle name="Year 2" xfId="95" xr:uid="{00000000-0005-0000-0000-000065000000}"/>
    <cellStyle name="Year 3" xfId="96" xr:uid="{00000000-0005-0000-0000-000066000000}"/>
    <cellStyle name="Year 4" xfId="97" xr:uid="{00000000-0005-0000-0000-000067000000}"/>
  </cellStyles>
  <dxfs count="0"/>
  <tableStyles count="0" defaultTableStyle="TableStyleMedium9" defaultPivotStyle="PivotStyleLight16"/>
  <colors>
    <mruColors>
      <color rgb="FF12BE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'Rates &amp; Dates'!$T$14:$T$26</c:f>
              <c:numCache>
                <c:formatCode>#,##0.00</c:formatCode>
                <c:ptCount val="13"/>
                <c:pt idx="0">
                  <c:v>0</c:v>
                </c:pt>
                <c:pt idx="1">
                  <c:v>2.7397260273972603E-3</c:v>
                </c:pt>
                <c:pt idx="2">
                  <c:v>8.4931506849315067E-2</c:v>
                </c:pt>
                <c:pt idx="3">
                  <c:v>0.16986301369863013</c:v>
                </c:pt>
                <c:pt idx="4">
                  <c:v>0.25479452054794521</c:v>
                </c:pt>
                <c:pt idx="5">
                  <c:v>0.31232876712328766</c:v>
                </c:pt>
                <c:pt idx="6">
                  <c:v>0.56164383561643838</c:v>
                </c:pt>
                <c:pt idx="7">
                  <c:v>0.81095890410958904</c:v>
                </c:pt>
                <c:pt idx="8">
                  <c:v>1.0602739726027397</c:v>
                </c:pt>
                <c:pt idx="9">
                  <c:v>1.3095890410958904</c:v>
                </c:pt>
                <c:pt idx="10">
                  <c:v>1.558904109589041</c:v>
                </c:pt>
                <c:pt idx="11">
                  <c:v>1.8082191780821917</c:v>
                </c:pt>
                <c:pt idx="12">
                  <c:v>2.0767123287671234</c:v>
                </c:pt>
              </c:numCache>
            </c:numRef>
          </c:xVal>
          <c:yVal>
            <c:numRef>
              <c:f>'Rates &amp; Dates'!$V$14:$V$26</c:f>
              <c:numCache>
                <c:formatCode>0.000000%</c:formatCode>
                <c:ptCount val="13"/>
                <c:pt idx="0">
                  <c:v>4.9095581364560832E-2</c:v>
                </c:pt>
                <c:pt idx="1">
                  <c:v>4.9095581364560832E-2</c:v>
                </c:pt>
                <c:pt idx="2">
                  <c:v>4.9393457243869586E-2</c:v>
                </c:pt>
                <c:pt idx="3">
                  <c:v>4.969202493019071E-2</c:v>
                </c:pt>
                <c:pt idx="4">
                  <c:v>5.0185572513157334E-2</c:v>
                </c:pt>
                <c:pt idx="5">
                  <c:v>5.0216325185776338E-2</c:v>
                </c:pt>
                <c:pt idx="6">
                  <c:v>5.0805736076723312E-2</c:v>
                </c:pt>
                <c:pt idx="7">
                  <c:v>5.1490216366879976E-2</c:v>
                </c:pt>
                <c:pt idx="8">
                  <c:v>5.2129655128427488E-2</c:v>
                </c:pt>
                <c:pt idx="9">
                  <c:v>5.2710474999798175E-2</c:v>
                </c:pt>
                <c:pt idx="10">
                  <c:v>5.3228001184908738E-2</c:v>
                </c:pt>
                <c:pt idx="11">
                  <c:v>5.3686801973493826E-2</c:v>
                </c:pt>
                <c:pt idx="12">
                  <c:v>5.409259107413273E-2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D6-4F00-A2EC-447038C2A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7072"/>
        <c:axId val="216628608"/>
      </c:scatterChart>
      <c:valAx>
        <c:axId val="2166270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6628608"/>
        <c:crosses val="autoZero"/>
        <c:crossBetween val="midCat"/>
      </c:valAx>
      <c:valAx>
        <c:axId val="2166286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662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'Rates &amp; Dates'!$T$14:$T$34</c:f>
              <c:numCache>
                <c:formatCode>#,##0.00</c:formatCode>
                <c:ptCount val="21"/>
                <c:pt idx="0">
                  <c:v>0</c:v>
                </c:pt>
                <c:pt idx="1">
                  <c:v>2.7397260273972603E-3</c:v>
                </c:pt>
                <c:pt idx="2">
                  <c:v>8.4931506849315067E-2</c:v>
                </c:pt>
                <c:pt idx="3">
                  <c:v>0.16986301369863013</c:v>
                </c:pt>
                <c:pt idx="4">
                  <c:v>0.25479452054794521</c:v>
                </c:pt>
                <c:pt idx="5">
                  <c:v>0.31232876712328766</c:v>
                </c:pt>
                <c:pt idx="6">
                  <c:v>0.56164383561643838</c:v>
                </c:pt>
                <c:pt idx="7">
                  <c:v>0.81095890410958904</c:v>
                </c:pt>
                <c:pt idx="8">
                  <c:v>1.0602739726027397</c:v>
                </c:pt>
                <c:pt idx="9">
                  <c:v>1.3095890410958904</c:v>
                </c:pt>
                <c:pt idx="10">
                  <c:v>1.558904109589041</c:v>
                </c:pt>
                <c:pt idx="11">
                  <c:v>1.8082191780821917</c:v>
                </c:pt>
                <c:pt idx="12">
                  <c:v>2.0767123287671234</c:v>
                </c:pt>
                <c:pt idx="13">
                  <c:v>3.0082191780821916</c:v>
                </c:pt>
                <c:pt idx="14">
                  <c:v>4.0054794520547947</c:v>
                </c:pt>
                <c:pt idx="15">
                  <c:v>5.0054794520547947</c:v>
                </c:pt>
                <c:pt idx="16">
                  <c:v>6.0082191780821921</c:v>
                </c:pt>
                <c:pt idx="17">
                  <c:v>7.0082191780821921</c:v>
                </c:pt>
                <c:pt idx="18">
                  <c:v>8.0136986301369859</c:v>
                </c:pt>
                <c:pt idx="19">
                  <c:v>9.0109589041095894</c:v>
                </c:pt>
                <c:pt idx="20">
                  <c:v>10.010958904109589</c:v>
                </c:pt>
              </c:numCache>
            </c:numRef>
          </c:xVal>
          <c:yVal>
            <c:numRef>
              <c:f>'Rates &amp; Dates'!$V$14:$V$34</c:f>
              <c:numCache>
                <c:formatCode>0.000000%</c:formatCode>
                <c:ptCount val="21"/>
                <c:pt idx="0">
                  <c:v>4.9095581364560832E-2</c:v>
                </c:pt>
                <c:pt idx="1">
                  <c:v>4.9095581364560832E-2</c:v>
                </c:pt>
                <c:pt idx="2">
                  <c:v>4.9393457243869586E-2</c:v>
                </c:pt>
                <c:pt idx="3">
                  <c:v>4.969202493019071E-2</c:v>
                </c:pt>
                <c:pt idx="4">
                  <c:v>5.0185572513157334E-2</c:v>
                </c:pt>
                <c:pt idx="5">
                  <c:v>5.0216325185776338E-2</c:v>
                </c:pt>
                <c:pt idx="6">
                  <c:v>5.0805736076723312E-2</c:v>
                </c:pt>
                <c:pt idx="7">
                  <c:v>5.1490216366879976E-2</c:v>
                </c:pt>
                <c:pt idx="8">
                  <c:v>5.2129655128427488E-2</c:v>
                </c:pt>
                <c:pt idx="9">
                  <c:v>5.2710474999798175E-2</c:v>
                </c:pt>
                <c:pt idx="10">
                  <c:v>5.3228001184908738E-2</c:v>
                </c:pt>
                <c:pt idx="11">
                  <c:v>5.3686801973493826E-2</c:v>
                </c:pt>
                <c:pt idx="12">
                  <c:v>5.409259107413273E-2</c:v>
                </c:pt>
                <c:pt idx="13">
                  <c:v>5.523417722796406E-2</c:v>
                </c:pt>
                <c:pt idx="14">
                  <c:v>5.6082714797362682E-2</c:v>
                </c:pt>
                <c:pt idx="15">
                  <c:v>5.7014618785062234E-2</c:v>
                </c:pt>
                <c:pt idx="16">
                  <c:v>5.7778979266705881E-2</c:v>
                </c:pt>
                <c:pt idx="17">
                  <c:v>5.8437596213526434E-2</c:v>
                </c:pt>
                <c:pt idx="18">
                  <c:v>5.8765700724784486E-2</c:v>
                </c:pt>
                <c:pt idx="19">
                  <c:v>5.9030918360401093E-2</c:v>
                </c:pt>
                <c:pt idx="20">
                  <c:v>5.9237278566393159E-2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3CF-A497-BB4AFBE0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2800"/>
        <c:axId val="216654592"/>
      </c:scatterChart>
      <c:valAx>
        <c:axId val="216652800"/>
        <c:scaling>
          <c:orientation val="minMax"/>
          <c:max val="10"/>
        </c:scaling>
        <c:delete val="0"/>
        <c:axPos val="b"/>
        <c:numFmt formatCode="#,##0.00" sourceLinked="1"/>
        <c:majorTickMark val="out"/>
        <c:minorTickMark val="none"/>
        <c:tickLblPos val="nextTo"/>
        <c:crossAx val="216654592"/>
        <c:crosses val="autoZero"/>
        <c:crossBetween val="midCat"/>
      </c:valAx>
      <c:valAx>
        <c:axId val="216654592"/>
        <c:scaling>
          <c:orientation val="minMax"/>
          <c:min val="4.000000000000002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66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Basis Spreads to 3M USD LIBOR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FX!$S$10</c:f>
              <c:strCache>
                <c:ptCount val="1"/>
                <c:pt idx="0">
                  <c:v>AUD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FX!$S$11:$S$21</c:f>
              <c:numCache>
                <c:formatCode>#,##0.00</c:formatCode>
                <c:ptCount val="11"/>
                <c:pt idx="0">
                  <c:v>6.666666666666667</c:v>
                </c:pt>
                <c:pt idx="1">
                  <c:v>14.166666666666666</c:v>
                </c:pt>
                <c:pt idx="2">
                  <c:v>20.75</c:v>
                </c:pt>
                <c:pt idx="3">
                  <c:v>25.25</c:v>
                </c:pt>
                <c:pt idx="4">
                  <c:v>27.75</c:v>
                </c:pt>
                <c:pt idx="5">
                  <c:v>29.25</c:v>
                </c:pt>
                <c:pt idx="6">
                  <c:v>29.333333333333332</c:v>
                </c:pt>
                <c:pt idx="7">
                  <c:v>19.166666666666668</c:v>
                </c:pt>
                <c:pt idx="8">
                  <c:v>7.5</c:v>
                </c:pt>
                <c:pt idx="9">
                  <c:v>-3.25</c:v>
                </c:pt>
                <c:pt idx="10">
                  <c:v>-14.483333333333334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B-48BD-9F2F-EBA36F167BC9}"/>
            </c:ext>
          </c:extLst>
        </c:ser>
        <c:ser>
          <c:idx val="1"/>
          <c:order val="1"/>
          <c:tx>
            <c:strRef>
              <c:f>FX!$T$10</c:f>
              <c:strCache>
                <c:ptCount val="1"/>
                <c:pt idx="0">
                  <c:v>JPY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FX!$T$11:$T$21</c:f>
              <c:numCache>
                <c:formatCode>#,##0.00</c:formatCode>
                <c:ptCount val="11"/>
                <c:pt idx="0">
                  <c:v>-33</c:v>
                </c:pt>
                <c:pt idx="1">
                  <c:v>-39.5</c:v>
                </c:pt>
                <c:pt idx="2">
                  <c:v>-44.5</c:v>
                </c:pt>
                <c:pt idx="3">
                  <c:v>-47.25</c:v>
                </c:pt>
                <c:pt idx="4">
                  <c:v>-48.25</c:v>
                </c:pt>
                <c:pt idx="5">
                  <c:v>-46.25</c:v>
                </c:pt>
                <c:pt idx="6">
                  <c:v>-39.25</c:v>
                </c:pt>
                <c:pt idx="7">
                  <c:v>-28.5</c:v>
                </c:pt>
                <c:pt idx="8">
                  <c:v>-21.75</c:v>
                </c:pt>
                <c:pt idx="9">
                  <c:v>-17.25</c:v>
                </c:pt>
                <c:pt idx="10">
                  <c:v>-14.5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B-48BD-9F2F-EBA36F167BC9}"/>
            </c:ext>
          </c:extLst>
        </c:ser>
        <c:ser>
          <c:idx val="2"/>
          <c:order val="2"/>
          <c:tx>
            <c:strRef>
              <c:f>FX!$U$10</c:f>
              <c:strCache>
                <c:ptCount val="1"/>
                <c:pt idx="0">
                  <c:v>EUR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FX!$U$11:$U$21</c:f>
              <c:numCache>
                <c:formatCode>#,##0.00</c:formatCode>
                <c:ptCount val="11"/>
                <c:pt idx="0">
                  <c:v>-31.25</c:v>
                </c:pt>
                <c:pt idx="1">
                  <c:v>-29.25</c:v>
                </c:pt>
                <c:pt idx="2">
                  <c:v>-27</c:v>
                </c:pt>
                <c:pt idx="3">
                  <c:v>-24.75</c:v>
                </c:pt>
                <c:pt idx="4">
                  <c:v>-22.25</c:v>
                </c:pt>
                <c:pt idx="5">
                  <c:v>-18.5</c:v>
                </c:pt>
                <c:pt idx="6">
                  <c:v>-14.5</c:v>
                </c:pt>
                <c:pt idx="7">
                  <c:v>-8</c:v>
                </c:pt>
                <c:pt idx="8">
                  <c:v>-3.25</c:v>
                </c:pt>
                <c:pt idx="9">
                  <c:v>-0.5</c:v>
                </c:pt>
                <c:pt idx="10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B-48BD-9F2F-EBA36F167BC9}"/>
            </c:ext>
          </c:extLst>
        </c:ser>
        <c:ser>
          <c:idx val="3"/>
          <c:order val="3"/>
          <c:tx>
            <c:strRef>
              <c:f>FX!$V$10</c:f>
              <c:strCache>
                <c:ptCount val="1"/>
                <c:pt idx="0">
                  <c:v>GBP</c:v>
                </c:pt>
              </c:strCache>
            </c:strRef>
          </c:tx>
          <c:spPr>
            <a:ln>
              <a:solidFill>
                <a:srgbClr val="0000CC"/>
              </a:solidFill>
            </a:ln>
          </c:spPr>
          <c:marker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FX!$V$11:$V$21</c:f>
              <c:numCache>
                <c:formatCode>#,##0.00</c:formatCode>
                <c:ptCount val="11"/>
                <c:pt idx="0">
                  <c:v>-3.5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-1.5</c:v>
                </c:pt>
                <c:pt idx="6">
                  <c:v>-6</c:v>
                </c:pt>
                <c:pt idx="7">
                  <c:v>-9</c:v>
                </c:pt>
                <c:pt idx="8">
                  <c:v>-10</c:v>
                </c:pt>
                <c:pt idx="9">
                  <c:v>-8.375</c:v>
                </c:pt>
                <c:pt idx="10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B-48BD-9F2F-EBA36F167BC9}"/>
            </c:ext>
          </c:extLst>
        </c:ser>
        <c:ser>
          <c:idx val="4"/>
          <c:order val="4"/>
          <c:tx>
            <c:strRef>
              <c:f>FX!$W$10</c:f>
              <c:strCache>
                <c:ptCount val="1"/>
                <c:pt idx="0">
                  <c:v>NZD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FX!$W$11:$W$21</c:f>
              <c:numCache>
                <c:formatCode>#,##0.00</c:formatCode>
                <c:ptCount val="11"/>
                <c:pt idx="0">
                  <c:v>18</c:v>
                </c:pt>
                <c:pt idx="1">
                  <c:v>26</c:v>
                </c:pt>
                <c:pt idx="2">
                  <c:v>33.25</c:v>
                </c:pt>
                <c:pt idx="3">
                  <c:v>40</c:v>
                </c:pt>
                <c:pt idx="4">
                  <c:v>46.25</c:v>
                </c:pt>
                <c:pt idx="5">
                  <c:v>53.75</c:v>
                </c:pt>
                <c:pt idx="6">
                  <c:v>56.75</c:v>
                </c:pt>
                <c:pt idx="7">
                  <c:v>58.25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4B-48BD-9F2F-EBA36F167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76864"/>
        <c:axId val="98278400"/>
      </c:scatterChart>
      <c:valAx>
        <c:axId val="98276864"/>
        <c:scaling>
          <c:orientation val="minMax"/>
          <c:max val="30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278400"/>
        <c:crosses val="autoZero"/>
        <c:crossBetween val="midCat"/>
        <c:majorUnit val="1"/>
      </c:valAx>
      <c:valAx>
        <c:axId val="9827840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276864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dkEdge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3m BBSW vs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FX!$AP$10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FX!$AP$11:$AP$21</c:f>
              <c:numCache>
                <c:formatCode>#,##0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C-4753-93DF-EC1A3C812EBB}"/>
            </c:ext>
          </c:extLst>
        </c:ser>
        <c:ser>
          <c:idx val="1"/>
          <c:order val="1"/>
          <c:tx>
            <c:strRef>
              <c:f>FX!$AQ$10</c:f>
              <c:strCache>
                <c:ptCount val="1"/>
                <c:pt idx="0">
                  <c:v>JPY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FX!$AQ$11:$AQ$21</c:f>
              <c:numCache>
                <c:formatCode>#,##0.0</c:formatCode>
                <c:ptCount val="11"/>
                <c:pt idx="0">
                  <c:v>41.219048845442906</c:v>
                </c:pt>
                <c:pt idx="1">
                  <c:v>56.727675054216775</c:v>
                </c:pt>
                <c:pt idx="2">
                  <c:v>70.168703834696203</c:v>
                </c:pt>
                <c:pt idx="3">
                  <c:v>79.442683948717047</c:v>
                </c:pt>
                <c:pt idx="4">
                  <c:v>84.767111203742218</c:v>
                </c:pt>
                <c:pt idx="5">
                  <c:v>87.072126390852588</c:v>
                </c:pt>
                <c:pt idx="6">
                  <c:v>82.319343322894781</c:v>
                </c:pt>
                <c:pt idx="7">
                  <c:v>62.057625254223254</c:v>
                </c:pt>
                <c:pt idx="8">
                  <c:v>42.968475252730471</c:v>
                </c:pt>
                <c:pt idx="9">
                  <c:v>26.55027042467314</c:v>
                </c:pt>
                <c:pt idx="10">
                  <c:v>11.508411885358854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BC-4753-93DF-EC1A3C812EBB}"/>
            </c:ext>
          </c:extLst>
        </c:ser>
        <c:ser>
          <c:idx val="2"/>
          <c:order val="2"/>
          <c:tx>
            <c:strRef>
              <c:f>FX!$AR$10</c:f>
              <c:strCache>
                <c:ptCount val="1"/>
                <c:pt idx="0">
                  <c:v>EUR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FX!$AR$11:$AR$21</c:f>
              <c:numCache>
                <c:formatCode>#,##0.0</c:formatCode>
                <c:ptCount val="11"/>
                <c:pt idx="0">
                  <c:v>39.203650777952014</c:v>
                </c:pt>
                <c:pt idx="1">
                  <c:v>45.206969439709972</c:v>
                </c:pt>
                <c:pt idx="2">
                  <c:v>49.959651391214877</c:v>
                </c:pt>
                <c:pt idx="3">
                  <c:v>52.56805685788045</c:v>
                </c:pt>
                <c:pt idx="4">
                  <c:v>52.721747520279322</c:v>
                </c:pt>
                <c:pt idx="5">
                  <c:v>50.589870917382477</c:v>
                </c:pt>
                <c:pt idx="6">
                  <c:v>46.634156492315455</c:v>
                </c:pt>
                <c:pt idx="7">
                  <c:v>29.115853354529051</c:v>
                </c:pt>
                <c:pt idx="8">
                  <c:v>11.67084516253048</c:v>
                </c:pt>
                <c:pt idx="9">
                  <c:v>-2.592596478786632</c:v>
                </c:pt>
                <c:pt idx="10">
                  <c:v>-17.522782366924424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BC-4753-93DF-EC1A3C812EBB}"/>
            </c:ext>
          </c:extLst>
        </c:ser>
        <c:ser>
          <c:idx val="3"/>
          <c:order val="3"/>
          <c:tx>
            <c:strRef>
              <c:f>FX!$AS$10</c:f>
              <c:strCache>
                <c:ptCount val="1"/>
                <c:pt idx="0">
                  <c:v>GBP</c:v>
                </c:pt>
              </c:strCache>
            </c:strRef>
          </c:tx>
          <c:spPr>
            <a:ln>
              <a:solidFill>
                <a:srgbClr val="0000CC"/>
              </a:solidFill>
            </a:ln>
          </c:spPr>
          <c:marker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FX!$AS$11:$AS$21</c:f>
              <c:numCache>
                <c:formatCode>#,##0.0</c:formatCode>
                <c:ptCount val="11"/>
                <c:pt idx="0">
                  <c:v>10.262602028500615</c:v>
                </c:pt>
                <c:pt idx="1">
                  <c:v>12.076327446793689</c:v>
                </c:pt>
                <c:pt idx="2">
                  <c:v>18.624031029346675</c:v>
                </c:pt>
                <c:pt idx="3">
                  <c:v>23.08756169240451</c:v>
                </c:pt>
                <c:pt idx="4">
                  <c:v>25.557993043797612</c:v>
                </c:pt>
                <c:pt idx="5">
                  <c:v>30.92892328019725</c:v>
                </c:pt>
                <c:pt idx="6">
                  <c:v>36.20407975373292</c:v>
                </c:pt>
                <c:pt idx="7">
                  <c:v>29.760290944060909</c:v>
                </c:pt>
                <c:pt idx="8">
                  <c:v>19.469322807145662</c:v>
                </c:pt>
                <c:pt idx="9">
                  <c:v>6.8341771986117994</c:v>
                </c:pt>
                <c:pt idx="10">
                  <c:v>-0.49503830169837038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BC-4753-93DF-EC1A3C812EBB}"/>
            </c:ext>
          </c:extLst>
        </c:ser>
        <c:ser>
          <c:idx val="4"/>
          <c:order val="4"/>
          <c:tx>
            <c:strRef>
              <c:f>FX!$AT$10</c:f>
              <c:strCache>
                <c:ptCount val="1"/>
                <c:pt idx="0">
                  <c:v>NZD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FX!$AT$11:$AT$21</c:f>
              <c:numCache>
                <c:formatCode>#,##0.0</c:formatCode>
                <c:ptCount val="11"/>
                <c:pt idx="0">
                  <c:v>-11.508052899921655</c:v>
                </c:pt>
                <c:pt idx="1">
                  <c:v>-12.207732272878976</c:v>
                </c:pt>
                <c:pt idx="2">
                  <c:v>-13.094231322055471</c:v>
                </c:pt>
                <c:pt idx="3">
                  <c:v>-15.645430853069726</c:v>
                </c:pt>
                <c:pt idx="4">
                  <c:v>-19.609967092591432</c:v>
                </c:pt>
                <c:pt idx="5">
                  <c:v>-25.726030587249177</c:v>
                </c:pt>
                <c:pt idx="6">
                  <c:v>-28.450523492861063</c:v>
                </c:pt>
                <c:pt idx="7">
                  <c:v>-39.521998993186344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BC-4753-93DF-EC1A3C812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83744"/>
        <c:axId val="98406400"/>
      </c:scatterChart>
      <c:valAx>
        <c:axId val="98383744"/>
        <c:scaling>
          <c:orientation val="minMax"/>
          <c:max val="30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406400"/>
        <c:crosses val="autoZero"/>
        <c:crossBetween val="midCat"/>
        <c:majorUnit val="1"/>
      </c:valAx>
      <c:valAx>
        <c:axId val="98406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383744"/>
        <c:crosses val="autoZero"/>
        <c:crossBetween val="midCat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dkEdge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39</xdr:row>
      <xdr:rowOff>28575</xdr:rowOff>
    </xdr:from>
    <xdr:to>
      <xdr:col>15</xdr:col>
      <xdr:colOff>809625</xdr:colOff>
      <xdr:row>49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48</xdr:row>
      <xdr:rowOff>152400</xdr:rowOff>
    </xdr:from>
    <xdr:to>
      <xdr:col>15</xdr:col>
      <xdr:colOff>809625</xdr:colOff>
      <xdr:row>58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38100</xdr:rowOff>
        </xdr:from>
        <xdr:to>
          <xdr:col>8</xdr:col>
          <xdr:colOff>38100</xdr:colOff>
          <xdr:row>11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 Zero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30</xdr:row>
          <xdr:rowOff>19050</xdr:rowOff>
        </xdr:from>
        <xdr:to>
          <xdr:col>1</xdr:col>
          <xdr:colOff>695325</xdr:colOff>
          <xdr:row>34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Peturbed DFs + 1bp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22</xdr:row>
      <xdr:rowOff>123825</xdr:rowOff>
    </xdr:from>
    <xdr:to>
      <xdr:col>28</xdr:col>
      <xdr:colOff>190500</xdr:colOff>
      <xdr:row>39</xdr:row>
      <xdr:rowOff>114300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257175</xdr:colOff>
      <xdr:row>39</xdr:row>
      <xdr:rowOff>123825</xdr:rowOff>
    </xdr:from>
    <xdr:to>
      <xdr:col>28</xdr:col>
      <xdr:colOff>171450</xdr:colOff>
      <xdr:row>56</xdr:row>
      <xdr:rowOff>114300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ER387"/>
  <sheetViews>
    <sheetView topLeftCell="A9" zoomScaleNormal="100" workbookViewId="0"/>
  </sheetViews>
  <sheetFormatPr defaultRowHeight="12.75"/>
  <cols>
    <col min="1" max="1" width="11.7109375" customWidth="1"/>
    <col min="2" max="2" width="10.5703125" customWidth="1"/>
    <col min="3" max="3" width="8.7109375" bestFit="1" customWidth="1"/>
    <col min="4" max="4" width="16.140625" bestFit="1" customWidth="1"/>
    <col min="5" max="5" width="14.5703125" bestFit="1" customWidth="1"/>
    <col min="6" max="6" width="9.5703125" customWidth="1"/>
    <col min="7" max="7" width="10.42578125" customWidth="1"/>
    <col min="8" max="8" width="10.140625" customWidth="1"/>
    <col min="9" max="9" width="7.7109375" customWidth="1"/>
    <col min="10" max="12" width="5.140625" customWidth="1"/>
    <col min="13" max="13" width="16.140625" bestFit="1" customWidth="1"/>
    <col min="14" max="14" width="13.85546875" bestFit="1" customWidth="1"/>
    <col min="15" max="15" width="12.7109375" bestFit="1" customWidth="1"/>
    <col min="16" max="16" width="12.42578125" bestFit="1" customWidth="1"/>
    <col min="17" max="17" width="12.140625" customWidth="1"/>
    <col min="18" max="18" width="10" bestFit="1" customWidth="1"/>
    <col min="19" max="19" width="10" customWidth="1"/>
    <col min="20" max="20" width="22.7109375" bestFit="1" customWidth="1"/>
    <col min="21" max="23" width="14.28515625" customWidth="1"/>
    <col min="24" max="24" width="24.42578125" bestFit="1" customWidth="1"/>
    <col min="25" max="25" width="10.28515625" customWidth="1"/>
    <col min="26" max="86" width="10.7109375"/>
    <col min="87" max="87" width="19.42578125" bestFit="1" customWidth="1"/>
    <col min="88" max="88" width="14" bestFit="1" customWidth="1"/>
    <col min="89" max="89" width="14.28515625" bestFit="1" customWidth="1"/>
    <col min="90" max="90" width="19.42578125" bestFit="1" customWidth="1"/>
    <col min="91" max="148" width="13.140625" bestFit="1" customWidth="1"/>
  </cols>
  <sheetData>
    <row r="9" spans="1:148">
      <c r="A9" s="121"/>
      <c r="B9" s="11"/>
      <c r="D9" s="3" t="s">
        <v>4</v>
      </c>
      <c r="E9" s="12">
        <f ca="1">TODAY()</f>
        <v>43640</v>
      </c>
      <c r="O9" s="124" t="s">
        <v>69</v>
      </c>
      <c r="P9" s="11">
        <f t="array" aca="1" ref="P9" ca="1">MAX(ABS(P10:P12))</f>
        <v>30.66592006394038</v>
      </c>
      <c r="T9" s="3" t="s">
        <v>23</v>
      </c>
      <c r="U9" s="1" t="s">
        <v>27</v>
      </c>
    </row>
    <row r="10" spans="1:148">
      <c r="B10" s="141" t="s">
        <v>96</v>
      </c>
      <c r="D10" s="3" t="s">
        <v>47</v>
      </c>
      <c r="E10" s="98">
        <v>1</v>
      </c>
      <c r="F10" s="52"/>
      <c r="M10" s="1" t="str">
        <f ca="1">IF(P9&gt;0.25,"Recalc Required","OK")</f>
        <v>Recalc Required</v>
      </c>
      <c r="N10" s="128"/>
      <c r="O10" s="124" t="s">
        <v>30</v>
      </c>
      <c r="P10" s="11">
        <f t="array" aca="1" ref="P10" ca="1">MAX(ABS(W72:W75))</f>
        <v>0.19394771424356674</v>
      </c>
      <c r="Q10" s="26"/>
      <c r="T10" s="3" t="s">
        <v>24</v>
      </c>
      <c r="U10" s="1">
        <v>4</v>
      </c>
    </row>
    <row r="11" spans="1:148">
      <c r="A11" s="121"/>
      <c r="B11" s="73" t="s">
        <v>122</v>
      </c>
      <c r="C11" s="126"/>
      <c r="D11" s="3" t="s">
        <v>39</v>
      </c>
      <c r="E11" s="98">
        <v>0.03</v>
      </c>
      <c r="F11" s="52"/>
      <c r="M11" s="11"/>
      <c r="O11" s="124" t="s">
        <v>70</v>
      </c>
      <c r="P11" s="11">
        <f ca="1">AVERAGE(W76:W83)</f>
        <v>-30.66592006394038</v>
      </c>
      <c r="Q11" s="121"/>
      <c r="T11" s="3" t="s">
        <v>25</v>
      </c>
      <c r="U11" s="1" t="s">
        <v>26</v>
      </c>
    </row>
    <row r="12" spans="1:148" ht="13.5" thickBot="1">
      <c r="A12" s="121"/>
      <c r="B12" s="138"/>
      <c r="C12" s="116"/>
      <c r="D12" s="3" t="s">
        <v>40</v>
      </c>
      <c r="E12" s="175">
        <v>1.1072480018167468E-2</v>
      </c>
      <c r="F12" s="53"/>
      <c r="M12" s="138"/>
      <c r="N12" s="138"/>
      <c r="O12" s="124" t="s">
        <v>32</v>
      </c>
      <c r="P12" s="125">
        <f t="array" aca="1" ref="P12" ca="1">MAX(ABS(W84:W96))</f>
        <v>3.0525331213499485E-2</v>
      </c>
      <c r="Q12" s="122"/>
      <c r="R12" s="9"/>
      <c r="S12" s="9"/>
      <c r="W12" s="17"/>
      <c r="X12" s="17"/>
      <c r="Y12" s="17"/>
    </row>
    <row r="13" spans="1:148" ht="13.5" thickBot="1">
      <c r="B13" s="138">
        <f ca="1">100-D19</f>
        <v>5.0449999999999875</v>
      </c>
      <c r="C13" s="116"/>
      <c r="D13" s="3" t="s">
        <v>59</v>
      </c>
      <c r="E13" s="191" t="s">
        <v>36</v>
      </c>
      <c r="F13" s="1">
        <f>(LEFT(E13,1)="B")*0+(LEFT(E13,1)="A")*1+(LEFT(E13,1)="M")*2+(LEFT(E13,1)="C")*3</f>
        <v>2</v>
      </c>
      <c r="M13" s="138"/>
      <c r="N13" s="121"/>
      <c r="O13" s="166"/>
      <c r="P13" s="118"/>
      <c r="R13" s="166"/>
      <c r="U13" s="16" t="s">
        <v>7</v>
      </c>
      <c r="V13" s="15" t="s">
        <v>8</v>
      </c>
      <c r="W13" s="16" t="s">
        <v>29</v>
      </c>
      <c r="X13" s="17"/>
      <c r="Y13" s="17"/>
      <c r="Z13" s="5" t="s">
        <v>10</v>
      </c>
    </row>
    <row r="14" spans="1:148" ht="13.5" thickBot="1">
      <c r="A14" s="13" t="s">
        <v>46</v>
      </c>
      <c r="B14" s="54" t="s">
        <v>2</v>
      </c>
      <c r="C14" s="54" t="s">
        <v>54</v>
      </c>
      <c r="D14" s="48" t="s">
        <v>45</v>
      </c>
      <c r="E14" s="48" t="s">
        <v>44</v>
      </c>
      <c r="F14" s="54" t="s">
        <v>50</v>
      </c>
      <c r="G14" s="236" t="s">
        <v>1</v>
      </c>
      <c r="H14" s="237"/>
      <c r="I14" s="238"/>
      <c r="J14" s="236" t="s">
        <v>33</v>
      </c>
      <c r="K14" s="237"/>
      <c r="L14" s="238"/>
      <c r="M14" s="13" t="s">
        <v>1</v>
      </c>
      <c r="N14" s="14" t="s">
        <v>97</v>
      </c>
      <c r="O14" s="18" t="s">
        <v>3</v>
      </c>
      <c r="P14" s="15" t="s">
        <v>17</v>
      </c>
      <c r="Q14" s="16" t="s">
        <v>12</v>
      </c>
      <c r="R14" s="16" t="s">
        <v>22</v>
      </c>
      <c r="S14" s="17"/>
      <c r="T14" s="100">
        <f>U14/365</f>
        <v>0</v>
      </c>
      <c r="U14" s="40">
        <v>0</v>
      </c>
      <c r="V14" s="41">
        <v>4.9095581364560832E-2</v>
      </c>
      <c r="W14" s="45">
        <f>_xll.HLV5r3.Analytics.Miscellaneous.Zero2DF(V14,ZeroCompFreq,U14/365)</f>
        <v>1</v>
      </c>
      <c r="X14" s="17"/>
      <c r="Y14" s="26"/>
      <c r="Z14" s="13" t="s">
        <v>6</v>
      </c>
      <c r="AA14" s="14">
        <v>1</v>
      </c>
      <c r="AB14" s="14">
        <f t="shared" ref="AB14:BG14" si="0">AA14+1</f>
        <v>2</v>
      </c>
      <c r="AC14" s="14">
        <f t="shared" si="0"/>
        <v>3</v>
      </c>
      <c r="AD14" s="14">
        <f t="shared" si="0"/>
        <v>4</v>
      </c>
      <c r="AE14" s="14">
        <f t="shared" si="0"/>
        <v>5</v>
      </c>
      <c r="AF14" s="14">
        <f t="shared" si="0"/>
        <v>6</v>
      </c>
      <c r="AG14" s="14">
        <f t="shared" si="0"/>
        <v>7</v>
      </c>
      <c r="AH14" s="14">
        <f t="shared" si="0"/>
        <v>8</v>
      </c>
      <c r="AI14" s="14">
        <f t="shared" si="0"/>
        <v>9</v>
      </c>
      <c r="AJ14" s="14">
        <f t="shared" si="0"/>
        <v>10</v>
      </c>
      <c r="AK14" s="14">
        <f t="shared" si="0"/>
        <v>11</v>
      </c>
      <c r="AL14" s="14">
        <f t="shared" si="0"/>
        <v>12</v>
      </c>
      <c r="AM14" s="14">
        <f t="shared" si="0"/>
        <v>13</v>
      </c>
      <c r="AN14" s="14">
        <f t="shared" si="0"/>
        <v>14</v>
      </c>
      <c r="AO14" s="14">
        <f t="shared" si="0"/>
        <v>15</v>
      </c>
      <c r="AP14" s="14">
        <f t="shared" si="0"/>
        <v>16</v>
      </c>
      <c r="AQ14" s="14">
        <f t="shared" si="0"/>
        <v>17</v>
      </c>
      <c r="AR14" s="14">
        <f t="shared" si="0"/>
        <v>18</v>
      </c>
      <c r="AS14" s="14">
        <f t="shared" si="0"/>
        <v>19</v>
      </c>
      <c r="AT14" s="14">
        <f t="shared" si="0"/>
        <v>20</v>
      </c>
      <c r="AU14" s="14">
        <f t="shared" si="0"/>
        <v>21</v>
      </c>
      <c r="AV14" s="14">
        <f t="shared" si="0"/>
        <v>22</v>
      </c>
      <c r="AW14" s="14">
        <f t="shared" si="0"/>
        <v>23</v>
      </c>
      <c r="AX14" s="14">
        <f t="shared" si="0"/>
        <v>24</v>
      </c>
      <c r="AY14" s="14">
        <f t="shared" si="0"/>
        <v>25</v>
      </c>
      <c r="AZ14" s="14">
        <f t="shared" si="0"/>
        <v>26</v>
      </c>
      <c r="BA14" s="14">
        <f t="shared" si="0"/>
        <v>27</v>
      </c>
      <c r="BB14" s="14">
        <f t="shared" si="0"/>
        <v>28</v>
      </c>
      <c r="BC14" s="14">
        <f t="shared" si="0"/>
        <v>29</v>
      </c>
      <c r="BD14" s="14">
        <f t="shared" si="0"/>
        <v>30</v>
      </c>
      <c r="BE14" s="14">
        <f t="shared" si="0"/>
        <v>31</v>
      </c>
      <c r="BF14" s="14">
        <f t="shared" si="0"/>
        <v>32</v>
      </c>
      <c r="BG14" s="14">
        <f t="shared" si="0"/>
        <v>33</v>
      </c>
      <c r="BH14" s="14">
        <f t="shared" ref="BH14:CH14" si="1">BG14+1</f>
        <v>34</v>
      </c>
      <c r="BI14" s="14">
        <f t="shared" si="1"/>
        <v>35</v>
      </c>
      <c r="BJ14" s="14">
        <f t="shared" si="1"/>
        <v>36</v>
      </c>
      <c r="BK14" s="14">
        <f t="shared" si="1"/>
        <v>37</v>
      </c>
      <c r="BL14" s="14">
        <f t="shared" si="1"/>
        <v>38</v>
      </c>
      <c r="BM14" s="14">
        <f t="shared" si="1"/>
        <v>39</v>
      </c>
      <c r="BN14" s="14">
        <f t="shared" si="1"/>
        <v>40</v>
      </c>
      <c r="BO14" s="14">
        <f t="shared" si="1"/>
        <v>41</v>
      </c>
      <c r="BP14" s="14">
        <f t="shared" si="1"/>
        <v>42</v>
      </c>
      <c r="BQ14" s="14">
        <f t="shared" si="1"/>
        <v>43</v>
      </c>
      <c r="BR14" s="14">
        <f t="shared" si="1"/>
        <v>44</v>
      </c>
      <c r="BS14" s="14">
        <f t="shared" si="1"/>
        <v>45</v>
      </c>
      <c r="BT14" s="14">
        <f t="shared" si="1"/>
        <v>46</v>
      </c>
      <c r="BU14" s="14">
        <f t="shared" si="1"/>
        <v>47</v>
      </c>
      <c r="BV14" s="14">
        <f t="shared" si="1"/>
        <v>48</v>
      </c>
      <c r="BW14" s="14">
        <f t="shared" si="1"/>
        <v>49</v>
      </c>
      <c r="BX14" s="14">
        <f t="shared" si="1"/>
        <v>50</v>
      </c>
      <c r="BY14" s="14">
        <f t="shared" si="1"/>
        <v>51</v>
      </c>
      <c r="BZ14" s="14">
        <f t="shared" si="1"/>
        <v>52</v>
      </c>
      <c r="CA14" s="14">
        <f t="shared" si="1"/>
        <v>53</v>
      </c>
      <c r="CB14" s="14">
        <f t="shared" si="1"/>
        <v>54</v>
      </c>
      <c r="CC14" s="14">
        <f t="shared" si="1"/>
        <v>55</v>
      </c>
      <c r="CD14" s="14">
        <f t="shared" si="1"/>
        <v>56</v>
      </c>
      <c r="CE14" s="14">
        <f t="shared" si="1"/>
        <v>57</v>
      </c>
      <c r="CF14" s="14">
        <f t="shared" si="1"/>
        <v>58</v>
      </c>
      <c r="CG14" s="14">
        <f t="shared" si="1"/>
        <v>59</v>
      </c>
      <c r="CH14" s="15">
        <f t="shared" si="1"/>
        <v>60</v>
      </c>
      <c r="CI14" s="3"/>
    </row>
    <row r="15" spans="1:148">
      <c r="A15" s="186" t="s">
        <v>30</v>
      </c>
      <c r="B15" s="192" t="s">
        <v>0</v>
      </c>
      <c r="C15" s="69"/>
      <c r="D15" s="76">
        <v>4.75</v>
      </c>
      <c r="E15" s="143">
        <f>(P16-D15%-P17+P16)*10000</f>
        <v>13.000000000000094</v>
      </c>
      <c r="F15" s="143"/>
      <c r="G15" s="70">
        <v>0</v>
      </c>
      <c r="H15" s="76" t="s">
        <v>34</v>
      </c>
      <c r="I15" s="80" t="s">
        <v>35</v>
      </c>
      <c r="J15" s="70">
        <v>1</v>
      </c>
      <c r="K15" s="76" t="s">
        <v>34</v>
      </c>
      <c r="L15" s="80" t="s">
        <v>35</v>
      </c>
      <c r="M15" s="65">
        <f ca="1">Calc_Date</f>
        <v>43640</v>
      </c>
      <c r="N15" s="66">
        <f ca="1">_xll.HLV5r3.Analytics.Miscellaneous.DateRoll(M15,J15,K15,L15,Holidays)</f>
        <v>43641</v>
      </c>
      <c r="O15" s="87">
        <v>0</v>
      </c>
      <c r="P15" s="94">
        <f>D15/100+E15/10000+Q15</f>
        <v>4.880000000000001E-2</v>
      </c>
      <c r="Q15" s="90">
        <v>0</v>
      </c>
      <c r="R15" s="174">
        <f>P15</f>
        <v>4.880000000000001E-2</v>
      </c>
      <c r="S15" s="90"/>
      <c r="T15" s="100">
        <f t="shared" ref="T15:T39" si="2">U15/365</f>
        <v>2.7397260273972603E-3</v>
      </c>
      <c r="U15" s="42">
        <v>1</v>
      </c>
      <c r="V15" s="41">
        <v>4.9095581364560832E-2</v>
      </c>
      <c r="W15" s="46">
        <f>_xll.HLV5r3.Analytics.Miscellaneous.Zero2DF(V15,ZeroCompFreq,U15/365)</f>
        <v>0.99986631927231562</v>
      </c>
      <c r="X15" s="17"/>
      <c r="Y15" s="37" t="str">
        <f>B15</f>
        <v>O/N</v>
      </c>
      <c r="Z15" s="4">
        <f ca="1">M15</f>
        <v>43640</v>
      </c>
      <c r="AA15" s="4">
        <f t="shared" ref="AA15:AA26" ca="1" si="3">N15</f>
        <v>43641</v>
      </c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</row>
    <row r="16" spans="1:148">
      <c r="A16" s="29" t="s">
        <v>30</v>
      </c>
      <c r="B16" s="194" t="str">
        <f>J16&amp;K16</f>
        <v>1M</v>
      </c>
      <c r="C16" s="62"/>
      <c r="D16" s="77">
        <f>IR!D58</f>
        <v>4.8100000000000005</v>
      </c>
      <c r="E16" s="142">
        <f>E18+11</f>
        <v>11</v>
      </c>
      <c r="F16" s="172"/>
      <c r="G16" s="81">
        <v>1</v>
      </c>
      <c r="H16" s="77" t="s">
        <v>34</v>
      </c>
      <c r="I16" s="82" t="s">
        <v>35</v>
      </c>
      <c r="J16" s="81">
        <v>1</v>
      </c>
      <c r="K16" s="77" t="s">
        <v>36</v>
      </c>
      <c r="L16" s="82" t="s">
        <v>37</v>
      </c>
      <c r="M16" s="67">
        <f ca="1">_xll.HLV5r3.Analytics.Miscellaneous.DateRoll( Calc_Date,G16,H16,I16,Holidays)</f>
        <v>43641</v>
      </c>
      <c r="N16" s="61">
        <f ca="1">_xll.HLV5r3.Analytics.Miscellaneous.DateRoll(M16,J16,K16,L16,Holidays)</f>
        <v>43671</v>
      </c>
      <c r="O16" s="88">
        <v>0</v>
      </c>
      <c r="P16" s="95">
        <f>D16/100+E16/10000+Q16</f>
        <v>4.9200000000000001E-2</v>
      </c>
      <c r="Q16" s="90">
        <v>0</v>
      </c>
      <c r="R16" s="92">
        <f>P16</f>
        <v>4.9200000000000001E-2</v>
      </c>
      <c r="S16" s="90"/>
      <c r="T16" s="100">
        <f t="shared" si="2"/>
        <v>8.4931506849315067E-2</v>
      </c>
      <c r="U16" s="42">
        <v>31</v>
      </c>
      <c r="V16" s="41">
        <v>4.9393457243869586E-2</v>
      </c>
      <c r="W16" s="46">
        <f>_xll.HLV5r3.Analytics.Miscellaneous.Zero2DF(V16,ZeroCompFreq,U16/365)</f>
        <v>0.99583930880837057</v>
      </c>
      <c r="X16" s="17"/>
      <c r="Y16" s="37" t="str">
        <f t="shared" ref="Y16:Y40" si="4">B16</f>
        <v>1M</v>
      </c>
      <c r="Z16" s="4">
        <f t="shared" ref="Z16:Z26" ca="1" si="5">M16</f>
        <v>43641</v>
      </c>
      <c r="AA16" s="4">
        <f t="shared" ca="1" si="3"/>
        <v>43671</v>
      </c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</row>
    <row r="17" spans="1:148">
      <c r="A17" s="29" t="s">
        <v>30</v>
      </c>
      <c r="B17" s="194" t="str">
        <f>J17&amp;K17</f>
        <v>2M</v>
      </c>
      <c r="C17" s="62"/>
      <c r="D17" s="77">
        <f>IR!D59</f>
        <v>4.9399999999999995</v>
      </c>
      <c r="E17" s="142">
        <f>E18+2</f>
        <v>2</v>
      </c>
      <c r="F17" s="173"/>
      <c r="G17" s="81">
        <v>1</v>
      </c>
      <c r="H17" s="77" t="s">
        <v>34</v>
      </c>
      <c r="I17" s="82" t="s">
        <v>35</v>
      </c>
      <c r="J17" s="81">
        <v>2</v>
      </c>
      <c r="K17" s="77" t="s">
        <v>36</v>
      </c>
      <c r="L17" s="82" t="s">
        <v>37</v>
      </c>
      <c r="M17" s="67">
        <f ca="1">_xll.HLV5r3.Analytics.Miscellaneous.DateRoll( Calc_Date,G17,H17,I17,Holidays)</f>
        <v>43641</v>
      </c>
      <c r="N17" s="61">
        <f ca="1">_xll.HLV5r3.Analytics.Miscellaneous.DateRoll(M17,J17,K17,L17,Holidays)</f>
        <v>43703</v>
      </c>
      <c r="O17" s="88">
        <v>0</v>
      </c>
      <c r="P17" s="95">
        <f>D17/100+E17/10000+Q17</f>
        <v>4.9599999999999991E-2</v>
      </c>
      <c r="Q17" s="90">
        <v>0</v>
      </c>
      <c r="R17" s="92">
        <f>P17</f>
        <v>4.9599999999999991E-2</v>
      </c>
      <c r="S17" s="90"/>
      <c r="T17" s="100">
        <f t="shared" si="2"/>
        <v>0.16986301369863013</v>
      </c>
      <c r="U17" s="42">
        <v>62</v>
      </c>
      <c r="V17" s="41">
        <v>4.969202493019071E-2</v>
      </c>
      <c r="W17" s="46">
        <f>_xll.HLV5r3.Analytics.Miscellaneous.Zero2DF(V17,ZeroCompFreq,U17/365)</f>
        <v>0.99164625106156823</v>
      </c>
      <c r="X17" s="17"/>
      <c r="Y17" s="37" t="str">
        <f t="shared" si="4"/>
        <v>2M</v>
      </c>
      <c r="Z17" s="4">
        <f t="shared" ca="1" si="5"/>
        <v>43641</v>
      </c>
      <c r="AA17" s="4">
        <f t="shared" ca="1" si="3"/>
        <v>43703</v>
      </c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</row>
    <row r="18" spans="1:148">
      <c r="A18" s="29" t="s">
        <v>30</v>
      </c>
      <c r="B18" s="194" t="str">
        <f>J18&amp;K18</f>
        <v>3M</v>
      </c>
      <c r="C18" s="62"/>
      <c r="D18" s="77">
        <f>IR!D60</f>
        <v>5.0199999999999996</v>
      </c>
      <c r="E18" s="142">
        <v>0</v>
      </c>
      <c r="F18" s="100"/>
      <c r="G18" s="81">
        <v>1</v>
      </c>
      <c r="H18" s="77" t="s">
        <v>34</v>
      </c>
      <c r="I18" s="82" t="s">
        <v>35</v>
      </c>
      <c r="J18" s="81">
        <v>3</v>
      </c>
      <c r="K18" s="77" t="s">
        <v>36</v>
      </c>
      <c r="L18" s="82" t="s">
        <v>37</v>
      </c>
      <c r="M18" s="67">
        <f ca="1">_xll.HLV5r3.Analytics.Miscellaneous.DateRoll( Calc_Date,G18,H18,I18,Holidays)</f>
        <v>43641</v>
      </c>
      <c r="N18" s="61">
        <f ca="1">_xll.HLV5r3.Analytics.Miscellaneous.DateRoll(M18,J18,K18,L18,Holidays)</f>
        <v>43733</v>
      </c>
      <c r="O18" s="88">
        <v>0</v>
      </c>
      <c r="P18" s="95">
        <f>D18/100+E18/10000+Q18</f>
        <v>5.0199999999999995E-2</v>
      </c>
      <c r="Q18" s="90">
        <v>0</v>
      </c>
      <c r="R18" s="92">
        <f>P18</f>
        <v>5.0199999999999995E-2</v>
      </c>
      <c r="S18" s="90"/>
      <c r="T18" s="100">
        <f t="shared" si="2"/>
        <v>0.25479452054794521</v>
      </c>
      <c r="U18" s="42">
        <v>93</v>
      </c>
      <c r="V18" s="41">
        <v>5.0185572513157334E-2</v>
      </c>
      <c r="W18" s="46">
        <f>_xll.HLV5r3.Analytics.Miscellaneous.Zero2DF(V18,ZeroCompFreq,U18/365)</f>
        <v>0.98737294067239822</v>
      </c>
      <c r="X18" s="17"/>
      <c r="Y18" s="37" t="str">
        <f t="shared" si="4"/>
        <v>3M</v>
      </c>
      <c r="Z18" s="4">
        <f t="shared" ca="1" si="5"/>
        <v>43641</v>
      </c>
      <c r="AA18" s="4">
        <f t="shared" ca="1" si="3"/>
        <v>43733</v>
      </c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</row>
    <row r="19" spans="1:148">
      <c r="A19" s="29" t="s">
        <v>31</v>
      </c>
      <c r="B19" s="29" t="str">
        <f>TEXT(M19,"MMM-YY")</f>
        <v>Jun-11</v>
      </c>
      <c r="C19" s="17"/>
      <c r="D19" s="77">
        <f ca="1">OFFSET(IR!B11,0,$F$13)</f>
        <v>94.955000000000013</v>
      </c>
      <c r="E19" s="117">
        <f ca="1">_xll.HLV5r3.Analytics.Miscellaneous.SFEConvexityAdjustment( D19,ETO!O38,Alpha,Calc_Date,G19,Holidays)*10000*$E$10</f>
        <v>3.37744242356841</v>
      </c>
      <c r="F19" s="72">
        <f ca="1">_xll.HLV5r3.Analytics.Miscellaneous.SFEBillTickValue( D19)</f>
        <v>24.060000000055879</v>
      </c>
      <c r="G19" s="86">
        <v>40695</v>
      </c>
      <c r="H19" s="79"/>
      <c r="I19" s="83"/>
      <c r="J19" s="81">
        <v>90</v>
      </c>
      <c r="K19" s="77" t="s">
        <v>34</v>
      </c>
      <c r="L19" s="82" t="s">
        <v>37</v>
      </c>
      <c r="M19" s="67">
        <f>_xll.HLV5r3.Analytics.Miscellaneous.SFEBillDates(G19, Holidays)</f>
        <v>40704</v>
      </c>
      <c r="N19" s="61">
        <f>_xll.HLV5r3.Analytics.Miscellaneous.DateRoll(M19,J19,K19,L19,Holidays)</f>
        <v>40794</v>
      </c>
      <c r="O19" s="88">
        <v>0</v>
      </c>
      <c r="P19" s="96">
        <f ca="1">D19+E19/100-Q19*100</f>
        <v>94.9887744242357</v>
      </c>
      <c r="Q19" s="90">
        <v>0</v>
      </c>
      <c r="R19" s="92">
        <f ca="1">(100-P19)/100</f>
        <v>5.0112255757642998E-2</v>
      </c>
      <c r="S19" s="90"/>
      <c r="T19" s="100">
        <f t="shared" si="2"/>
        <v>0.31232876712328766</v>
      </c>
      <c r="U19" s="42">
        <v>114</v>
      </c>
      <c r="V19" s="41">
        <v>5.0216325185776338E-2</v>
      </c>
      <c r="W19" s="46">
        <f>_xll.HLV5r3.Analytics.Miscellaneous.Zero2DF(V19,ZeroCompFreq,U19/365)</f>
        <v>0.98453446874999007</v>
      </c>
      <c r="X19" s="17"/>
      <c r="Y19" s="37" t="str">
        <f t="shared" si="4"/>
        <v>Jun-11</v>
      </c>
      <c r="Z19" s="4">
        <f t="shared" si="5"/>
        <v>40704</v>
      </c>
      <c r="AA19" s="4">
        <f t="shared" si="3"/>
        <v>40794</v>
      </c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</row>
    <row r="20" spans="1:148">
      <c r="A20" s="29" t="s">
        <v>31</v>
      </c>
      <c r="B20" s="29" t="str">
        <f t="shared" ref="B20:B26" si="6">TEXT(M20,"MMM-YY")</f>
        <v>Sep-11</v>
      </c>
      <c r="C20" s="17"/>
      <c r="D20" s="77">
        <f ca="1">OFFSET(IR!B12,0,$F$13)</f>
        <v>94.844999999999999</v>
      </c>
      <c r="E20" s="117">
        <f ca="1">_xll.HLV5r3.Analytics.Miscellaneous.SFEConvexityAdjustment( D20,ETO!O39,Alpha,Calc_Date,G20,Holidays)*10000*$E$10</f>
        <v>30.434340077307045</v>
      </c>
      <c r="F20" s="72">
        <f ca="1">_xll.HLV5r3.Analytics.Miscellaneous.SFEBillTickValue( D20)</f>
        <v>24.040000000037253</v>
      </c>
      <c r="G20" s="49">
        <f t="shared" ref="G20:G26" si="7">EDATE(G19,3)</f>
        <v>40787</v>
      </c>
      <c r="H20" s="50"/>
      <c r="I20" s="51"/>
      <c r="J20" s="81">
        <v>90</v>
      </c>
      <c r="K20" s="77" t="s">
        <v>34</v>
      </c>
      <c r="L20" s="82" t="s">
        <v>37</v>
      </c>
      <c r="M20" s="67">
        <f>_xll.HLV5r3.Analytics.Miscellaneous.SFEBillDates(G20, Holidays)</f>
        <v>40795</v>
      </c>
      <c r="N20" s="61">
        <f>_xll.HLV5r3.Analytics.Miscellaneous.DateRoll(M20,J20,K20,L20,Holidays)</f>
        <v>40885</v>
      </c>
      <c r="O20" s="88">
        <v>0</v>
      </c>
      <c r="P20" s="96">
        <f t="shared" ref="P20:P26" ca="1" si="8">D20+E20/100-Q20*100</f>
        <v>95.149343400773063</v>
      </c>
      <c r="Q20" s="90">
        <v>0</v>
      </c>
      <c r="R20" s="92">
        <f t="shared" ref="R20:R26" ca="1" si="9">(100-P20)/100</f>
        <v>4.8506565992269372E-2</v>
      </c>
      <c r="S20" s="189"/>
      <c r="T20" s="100">
        <f t="shared" si="2"/>
        <v>0.56164383561643838</v>
      </c>
      <c r="U20" s="42">
        <v>205</v>
      </c>
      <c r="V20" s="41">
        <v>5.0805736076723312E-2</v>
      </c>
      <c r="W20" s="46">
        <f>_xll.HLV5r3.Analytics.Miscellaneous.Zero2DF(V20,ZeroCompFreq,U20/365)</f>
        <v>0.97204319861081612</v>
      </c>
      <c r="X20" s="17"/>
      <c r="Y20" s="37" t="str">
        <f t="shared" si="4"/>
        <v>Sep-11</v>
      </c>
      <c r="Z20" s="4">
        <f t="shared" si="5"/>
        <v>40795</v>
      </c>
      <c r="AA20" s="4">
        <f t="shared" si="3"/>
        <v>40885</v>
      </c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</row>
    <row r="21" spans="1:148">
      <c r="A21" s="29" t="s">
        <v>31</v>
      </c>
      <c r="B21" s="29" t="str">
        <f t="shared" si="6"/>
        <v>Dec-11</v>
      </c>
      <c r="C21" s="17"/>
      <c r="D21" s="77">
        <f ca="1">OFFSET(IR!B13,0,$F$13)</f>
        <v>94.694999999999993</v>
      </c>
      <c r="E21" s="117">
        <f ca="1">_xll.HLV5r3.Analytics.Miscellaneous.SFEConvexityAdjustment( D21,ETO!O40,Alpha,Calc_Date,G21,Holidays)*10000*$E$10</f>
        <v>33.924115135479902</v>
      </c>
      <c r="F21" s="72">
        <f ca="1">_xll.HLV5r3.Analytics.Miscellaneous.SFEBillTickValue( D21)</f>
        <v>24.020000000018626</v>
      </c>
      <c r="G21" s="49">
        <f t="shared" si="7"/>
        <v>40878</v>
      </c>
      <c r="H21" s="50" t="s">
        <v>97</v>
      </c>
      <c r="I21" s="51"/>
      <c r="J21" s="81">
        <v>90</v>
      </c>
      <c r="K21" s="77" t="s">
        <v>34</v>
      </c>
      <c r="L21" s="82" t="s">
        <v>37</v>
      </c>
      <c r="M21" s="67">
        <f>_xll.HLV5r3.Analytics.Miscellaneous.SFEBillDates(G21, Holidays)</f>
        <v>40886</v>
      </c>
      <c r="N21" s="61">
        <f>_xll.HLV5r3.Analytics.Miscellaneous.DateRoll(M21,J21,K21,L21,Holidays)</f>
        <v>40976</v>
      </c>
      <c r="O21" s="88">
        <v>0</v>
      </c>
      <c r="P21" s="96">
        <f t="shared" ca="1" si="8"/>
        <v>95.034241151354792</v>
      </c>
      <c r="Q21" s="90">
        <v>0</v>
      </c>
      <c r="R21" s="92">
        <f t="shared" ca="1" si="9"/>
        <v>4.9657588486452083E-2</v>
      </c>
      <c r="S21" s="189"/>
      <c r="T21" s="100">
        <f t="shared" si="2"/>
        <v>0.81095890410958904</v>
      </c>
      <c r="U21" s="42">
        <v>296</v>
      </c>
      <c r="V21" s="41">
        <v>5.1490216366879976E-2</v>
      </c>
      <c r="W21" s="46">
        <f>_xll.HLV5r3.Analytics.Miscellaneous.Zero2DF(V21,ZeroCompFreq,U21/365)</f>
        <v>0.95935895027164797</v>
      </c>
      <c r="X21" s="17"/>
      <c r="Y21" s="37" t="str">
        <f t="shared" si="4"/>
        <v>Dec-11</v>
      </c>
      <c r="Z21" s="4">
        <f t="shared" si="5"/>
        <v>40886</v>
      </c>
      <c r="AA21" s="4">
        <f t="shared" si="3"/>
        <v>40976</v>
      </c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</row>
    <row r="22" spans="1:148">
      <c r="A22" s="29" t="s">
        <v>31</v>
      </c>
      <c r="B22" s="29" t="str">
        <f t="shared" si="6"/>
        <v>Mar-12</v>
      </c>
      <c r="C22" s="17"/>
      <c r="D22" s="77">
        <f ca="1">OFFSET(IR!B14,0,$F$13)</f>
        <v>94.574999999999989</v>
      </c>
      <c r="E22" s="117">
        <f ca="1">_xll.HLV5r3.Analytics.Miscellaneous.SFEConvexityAdjustment( D22,ETO!O41,Alpha,Calc_Date,G22,Holidays)*10000*$E$10</f>
        <v>39.078515526463399</v>
      </c>
      <c r="F22" s="72">
        <f ca="1">_xll.HLV5r3.Analytics.Miscellaneous.SFEBillTickValue( D22)</f>
        <v>24.010000000009313</v>
      </c>
      <c r="G22" s="49">
        <f t="shared" si="7"/>
        <v>40969</v>
      </c>
      <c r="H22" s="50"/>
      <c r="I22" s="51"/>
      <c r="J22" s="81">
        <v>90</v>
      </c>
      <c r="K22" s="77" t="s">
        <v>34</v>
      </c>
      <c r="L22" s="82" t="s">
        <v>37</v>
      </c>
      <c r="M22" s="67">
        <f>_xll.HLV5r3.Analytics.Miscellaneous.SFEBillDates(G22, Holidays)</f>
        <v>40977</v>
      </c>
      <c r="N22" s="61">
        <f>_xll.HLV5r3.Analytics.Miscellaneous.DateRoll(M22,J22,K22,L22,Holidays)</f>
        <v>41067</v>
      </c>
      <c r="O22" s="88">
        <v>0</v>
      </c>
      <c r="P22" s="96">
        <f t="shared" ca="1" si="8"/>
        <v>94.965785155264626</v>
      </c>
      <c r="Q22" s="90">
        <v>0</v>
      </c>
      <c r="R22" s="92">
        <f t="shared" ca="1" si="9"/>
        <v>5.0342148447353734E-2</v>
      </c>
      <c r="S22" s="189"/>
      <c r="T22" s="100">
        <f t="shared" si="2"/>
        <v>1.0602739726027397</v>
      </c>
      <c r="U22" s="42">
        <v>387</v>
      </c>
      <c r="V22" s="41">
        <v>5.2129655128427488E-2</v>
      </c>
      <c r="W22" s="46">
        <f>_xll.HLV5r3.Analytics.Miscellaneous.Zero2DF(V22,ZeroCompFreq,U22/365)</f>
        <v>0.94656593058649108</v>
      </c>
      <c r="X22" s="17"/>
      <c r="Y22" s="37" t="str">
        <f t="shared" si="4"/>
        <v>Mar-12</v>
      </c>
      <c r="Z22" s="4">
        <f t="shared" si="5"/>
        <v>40977</v>
      </c>
      <c r="AA22" s="4">
        <f t="shared" si="3"/>
        <v>41067</v>
      </c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</row>
    <row r="23" spans="1:148">
      <c r="A23" s="29" t="s">
        <v>31</v>
      </c>
      <c r="B23" s="29" t="str">
        <f t="shared" si="6"/>
        <v>Jun-12</v>
      </c>
      <c r="C23" s="17"/>
      <c r="D23" s="77">
        <f ca="1">OFFSET(IR!B15,0,$F$13)</f>
        <v>94.474999999999994</v>
      </c>
      <c r="E23" s="117">
        <f ca="1">_xll.HLV5r3.Analytics.Miscellaneous.SFEConvexityAdjustment( D23,ETO!O42,Alpha,Calc_Date,G23,Holidays)*10000*$E$10</f>
        <v>38.075629164411403</v>
      </c>
      <c r="F23" s="72">
        <f ca="1">_xll.HLV5r3.Analytics.Miscellaneous.SFEBillTickValue( D23)</f>
        <v>24</v>
      </c>
      <c r="G23" s="49">
        <f t="shared" si="7"/>
        <v>41061</v>
      </c>
      <c r="H23" s="50"/>
      <c r="I23" s="51"/>
      <c r="J23" s="81">
        <v>90</v>
      </c>
      <c r="K23" s="77" t="s">
        <v>34</v>
      </c>
      <c r="L23" s="82" t="s">
        <v>37</v>
      </c>
      <c r="M23" s="67">
        <f>_xll.HLV5r3.Analytics.Miscellaneous.SFEBillDates(G23, Holidays)</f>
        <v>41068</v>
      </c>
      <c r="N23" s="61">
        <f>_xll.HLV5r3.Analytics.Miscellaneous.DateRoll(M23,J23,K23,L23,Holidays)</f>
        <v>41158</v>
      </c>
      <c r="O23" s="88">
        <v>0</v>
      </c>
      <c r="P23" s="96">
        <f t="shared" ca="1" si="8"/>
        <v>94.855756291644113</v>
      </c>
      <c r="Q23" s="90">
        <v>0</v>
      </c>
      <c r="R23" s="92">
        <f t="shared" ca="1" si="9"/>
        <v>5.1442437083558869E-2</v>
      </c>
      <c r="S23" s="189"/>
      <c r="T23" s="100">
        <f t="shared" si="2"/>
        <v>1.3095890410958904</v>
      </c>
      <c r="U23" s="42">
        <v>478</v>
      </c>
      <c r="V23" s="41">
        <v>5.2710474999798175E-2</v>
      </c>
      <c r="W23" s="46">
        <f>_xll.HLV5r3.Analytics.Miscellaneous.Zero2DF(V23,ZeroCompFreq,U23/365)</f>
        <v>0.93372044251715547</v>
      </c>
      <c r="X23" s="17"/>
      <c r="Y23" s="37" t="str">
        <f t="shared" si="4"/>
        <v>Jun-12</v>
      </c>
      <c r="Z23" s="4">
        <f t="shared" si="5"/>
        <v>41068</v>
      </c>
      <c r="AA23" s="4">
        <f t="shared" si="3"/>
        <v>41158</v>
      </c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</row>
    <row r="24" spans="1:148">
      <c r="A24" s="29" t="s">
        <v>31</v>
      </c>
      <c r="B24" s="29" t="str">
        <f t="shared" si="6"/>
        <v>Sep-12</v>
      </c>
      <c r="C24" s="17"/>
      <c r="D24" s="77">
        <f ca="1">OFFSET(IR!B16,0,$F$13)</f>
        <v>94.39500000000001</v>
      </c>
      <c r="E24" s="117">
        <f ca="1">_xll.HLV5r3.Analytics.Miscellaneous.SFEConvexityAdjustment( D24,ETO!O43,Alpha,Calc_Date,G24,Holidays)*10000*$E$10</f>
        <v>35.00226083275939</v>
      </c>
      <c r="F24" s="72">
        <f ca="1">_xll.HLV5r3.Analytics.Miscellaneous.SFEBillTickValue( D24)</f>
        <v>23.989999999990687</v>
      </c>
      <c r="G24" s="49">
        <f t="shared" si="7"/>
        <v>41153</v>
      </c>
      <c r="H24" s="50"/>
      <c r="I24" s="51"/>
      <c r="J24" s="81">
        <v>90</v>
      </c>
      <c r="K24" s="77" t="s">
        <v>34</v>
      </c>
      <c r="L24" s="82" t="s">
        <v>37</v>
      </c>
      <c r="M24" s="67">
        <f>_xll.HLV5r3.Analytics.Miscellaneous.SFEBillDates(G24, Holidays)</f>
        <v>41166</v>
      </c>
      <c r="N24" s="61">
        <f>_xll.HLV5r3.Analytics.Miscellaneous.DateRoll(M24,J24,K24,L24,Holidays)</f>
        <v>41256</v>
      </c>
      <c r="O24" s="88">
        <v>0</v>
      </c>
      <c r="P24" s="96">
        <f t="shared" ca="1" si="8"/>
        <v>94.745022608327602</v>
      </c>
      <c r="Q24" s="90">
        <v>0</v>
      </c>
      <c r="R24" s="92">
        <f t="shared" ca="1" si="9"/>
        <v>5.2549773916723976E-2</v>
      </c>
      <c r="S24" s="189"/>
      <c r="T24" s="100">
        <f t="shared" si="2"/>
        <v>1.558904109589041</v>
      </c>
      <c r="U24" s="42">
        <v>569</v>
      </c>
      <c r="V24" s="41">
        <v>5.3228001184908738E-2</v>
      </c>
      <c r="W24" s="46">
        <f>_xll.HLV5r3.Analytics.Miscellaneous.Zero2DF(V24,ZeroCompFreq,U24/365)</f>
        <v>0.92087579617913429</v>
      </c>
      <c r="X24" s="17"/>
      <c r="Y24" s="37" t="str">
        <f t="shared" si="4"/>
        <v>Sep-12</v>
      </c>
      <c r="Z24" s="4">
        <f t="shared" si="5"/>
        <v>41166</v>
      </c>
      <c r="AA24" s="4">
        <f t="shared" si="3"/>
        <v>41256</v>
      </c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</row>
    <row r="25" spans="1:148">
      <c r="A25" s="29" t="s">
        <v>31</v>
      </c>
      <c r="B25" s="29" t="str">
        <f t="shared" si="6"/>
        <v>Dec-12</v>
      </c>
      <c r="C25" s="17"/>
      <c r="D25" s="77">
        <f ca="1">OFFSET(IR!B17,0,$F$13)</f>
        <v>94.33</v>
      </c>
      <c r="E25" s="117">
        <f ca="1">_xll.HLV5r3.Analytics.Miscellaneous.SFEConvexityAdjustment( D25,ETO!O44,Alpha,Calc_Date,G25,Holidays)*10000*$E$10</f>
        <v>0</v>
      </c>
      <c r="F25" s="72">
        <f ca="1">_xll.HLV5r3.Analytics.Miscellaneous.SFEBillTickValue( D25)</f>
        <v>23.980000000097789</v>
      </c>
      <c r="G25" s="49">
        <f t="shared" si="7"/>
        <v>41244</v>
      </c>
      <c r="H25" s="50"/>
      <c r="I25" s="51"/>
      <c r="J25" s="81">
        <v>90</v>
      </c>
      <c r="K25" s="77" t="s">
        <v>34</v>
      </c>
      <c r="L25" s="82" t="s">
        <v>37</v>
      </c>
      <c r="M25" s="67">
        <f>_xll.HLV5r3.Analytics.Miscellaneous.SFEBillDates(G25, Holidays)</f>
        <v>41257</v>
      </c>
      <c r="N25" s="61">
        <f>_xll.HLV5r3.Analytics.Miscellaneous.DateRoll(M25,J25,K25,L25,Holidays)</f>
        <v>41347</v>
      </c>
      <c r="O25" s="88">
        <v>0</v>
      </c>
      <c r="P25" s="96">
        <f t="shared" ca="1" si="8"/>
        <v>94.33</v>
      </c>
      <c r="Q25" s="90">
        <v>0</v>
      </c>
      <c r="R25" s="92">
        <f t="shared" ca="1" si="9"/>
        <v>5.6700000000000014E-2</v>
      </c>
      <c r="S25" s="189"/>
      <c r="T25" s="100">
        <f t="shared" si="2"/>
        <v>1.8082191780821917</v>
      </c>
      <c r="U25" s="42">
        <v>660</v>
      </c>
      <c r="V25" s="41">
        <v>5.3686801973493826E-2</v>
      </c>
      <c r="W25" s="46">
        <f>_xll.HLV5r3.Analytics.Miscellaneous.Zero2DF(V25,ZeroCompFreq,U25/365)</f>
        <v>0.90807182277971621</v>
      </c>
      <c r="X25" s="17"/>
      <c r="Y25" s="37" t="str">
        <f t="shared" si="4"/>
        <v>Dec-12</v>
      </c>
      <c r="Z25" s="4">
        <f t="shared" si="5"/>
        <v>41257</v>
      </c>
      <c r="AA25" s="4">
        <f t="shared" si="3"/>
        <v>41347</v>
      </c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</row>
    <row r="26" spans="1:148">
      <c r="A26" s="29" t="s">
        <v>31</v>
      </c>
      <c r="B26" s="29" t="str">
        <f t="shared" si="6"/>
        <v>Mar-13</v>
      </c>
      <c r="C26" s="17"/>
      <c r="D26" s="77">
        <f ca="1">OFFSET(IR!B18,0,$F$13)</f>
        <v>94.295000000000002</v>
      </c>
      <c r="E26" s="117">
        <f ca="1">_xll.HLV5r3.Analytics.Miscellaneous.SFEConvexityAdjustment( D26,ETO!O45,Alpha,Calc_Date,G26,Holidays)*10000*$E$10</f>
        <v>0</v>
      </c>
      <c r="F26" s="72">
        <f ca="1">_xll.HLV5r3.Analytics.Miscellaneous.SFEBillTickValue( D26)</f>
        <v>23.96999999997206</v>
      </c>
      <c r="G26" s="49">
        <f t="shared" si="7"/>
        <v>41334</v>
      </c>
      <c r="H26" s="50"/>
      <c r="I26" s="51"/>
      <c r="J26" s="81">
        <v>90</v>
      </c>
      <c r="K26" s="77" t="s">
        <v>34</v>
      </c>
      <c r="L26" s="82" t="s">
        <v>37</v>
      </c>
      <c r="M26" s="67">
        <f>_xll.HLV5r3.Analytics.Miscellaneous.SFEBillDates(G26, Holidays)</f>
        <v>41341</v>
      </c>
      <c r="N26" s="61">
        <f>_xll.HLV5r3.Analytics.Miscellaneous.DateRoll(M26,J26,K26,L26,Holidays)</f>
        <v>41431</v>
      </c>
      <c r="O26" s="88">
        <v>0</v>
      </c>
      <c r="P26" s="96">
        <f t="shared" ca="1" si="8"/>
        <v>94.295000000000002</v>
      </c>
      <c r="Q26" s="90">
        <v>0</v>
      </c>
      <c r="R26" s="92">
        <f t="shared" ca="1" si="9"/>
        <v>5.7049999999999983E-2</v>
      </c>
      <c r="S26" s="189"/>
      <c r="T26" s="100">
        <f t="shared" si="2"/>
        <v>2.0767123287671234</v>
      </c>
      <c r="U26" s="42">
        <v>758</v>
      </c>
      <c r="V26" s="41">
        <v>5.409259107413273E-2</v>
      </c>
      <c r="W26" s="46">
        <f>_xll.HLV5r3.Analytics.Miscellaneous.Zero2DF(V26,ZeroCompFreq,U26/365)</f>
        <v>0.89441807284974573</v>
      </c>
      <c r="X26" s="17"/>
      <c r="Y26" s="37" t="str">
        <f t="shared" si="4"/>
        <v>Mar-13</v>
      </c>
      <c r="Z26" s="4">
        <f t="shared" si="5"/>
        <v>41341</v>
      </c>
      <c r="AA26" s="4">
        <f t="shared" si="3"/>
        <v>41431</v>
      </c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</row>
    <row r="27" spans="1:148">
      <c r="A27" s="29" t="s">
        <v>32</v>
      </c>
      <c r="B27" s="194" t="str">
        <f t="shared" ref="B27:B39" si="10">J27&amp;K27</f>
        <v>3Y</v>
      </c>
      <c r="C27" s="74">
        <v>33.71</v>
      </c>
      <c r="D27" s="62">
        <f ca="1">$E$43+C27/100</f>
        <v>5.5121000000000118</v>
      </c>
      <c r="E27" s="131"/>
      <c r="F27" s="72">
        <f ca="1">_xll.HLV5r3.Analytics.Miscellaneous.SFEBillTickValue( D27)</f>
        <v>16.21999999997206</v>
      </c>
      <c r="G27" s="81">
        <v>1</v>
      </c>
      <c r="H27" s="77" t="s">
        <v>34</v>
      </c>
      <c r="I27" s="82" t="s">
        <v>35</v>
      </c>
      <c r="J27" s="81">
        <v>3</v>
      </c>
      <c r="K27" s="77" t="s">
        <v>38</v>
      </c>
      <c r="L27" s="82" t="s">
        <v>37</v>
      </c>
      <c r="M27" s="67">
        <f ca="1">_xll.HLV5r3.Analytics.Miscellaneous.DateRoll( Calc_Date,G27,H27,I27,Holidays)</f>
        <v>43641</v>
      </c>
      <c r="N27" s="61">
        <f ca="1">_xll.HLV5r3.Analytics.Miscellaneous.DateRoll(M27,J27,K27,L27,Holidays)</f>
        <v>44739</v>
      </c>
      <c r="O27" s="88">
        <v>4</v>
      </c>
      <c r="P27" s="95">
        <f ca="1">D27/100+E27/10000+Q27</f>
        <v>5.5121000000000114E-2</v>
      </c>
      <c r="Q27" s="90">
        <v>0</v>
      </c>
      <c r="R27" s="92">
        <f t="shared" ref="R27:R39" ca="1" si="11">P27</f>
        <v>5.5121000000000114E-2</v>
      </c>
      <c r="S27" s="90"/>
      <c r="T27" s="100">
        <f t="shared" si="2"/>
        <v>3.0082191780821916</v>
      </c>
      <c r="U27" s="42">
        <v>1098</v>
      </c>
      <c r="V27" s="41">
        <v>5.523417722796406E-2</v>
      </c>
      <c r="W27" s="46">
        <f>_xll.HLV5r3.Analytics.Miscellaneous.Zero2DF(V27,ZeroCompFreq,U27/365)</f>
        <v>0.84787693804302022</v>
      </c>
      <c r="X27" s="17"/>
      <c r="Y27" s="37" t="str">
        <f t="shared" si="4"/>
        <v>3Y</v>
      </c>
      <c r="Z27" s="4">
        <f t="shared" ref="Z27:Z38" ca="1" si="12">M27</f>
        <v>43641</v>
      </c>
      <c r="AA27" s="4">
        <f ca="1">IF(_xll.HLV5r3.Analytics.Miscellaneous.DateRoll( $Z27,AA$14*12/$O27,"M","MF",Holidays)&lt;=$N27,_xll.HLV5r3.Analytics.Miscellaneous.DateRoll( $Z27,AA$14*12/$O27,"M","MF",Holidays),"")</f>
        <v>43733</v>
      </c>
      <c r="AB27" s="4">
        <f ca="1">IF(_xll.HLV5r3.Analytics.Miscellaneous.DateRoll( $Z27,AB$14*12/$O27,"M","MF",Holidays)&lt;=$N27,_xll.HLV5r3.Analytics.Miscellaneous.DateRoll( $Z27,AB$14*12/$O27,"M","MF",Holidays),"")</f>
        <v>43826</v>
      </c>
      <c r="AC27" s="4">
        <f ca="1">IF(_xll.HLV5r3.Analytics.Miscellaneous.DateRoll( $Z27,AC$14*12/$O27,"M","MF",Holidays)&lt;=$N27,_xll.HLV5r3.Analytics.Miscellaneous.DateRoll( $Z27,AC$14*12/$O27,"M","MF",Holidays),"")</f>
        <v>43915</v>
      </c>
      <c r="AD27" s="4">
        <f ca="1">IF(_xll.HLV5r3.Analytics.Miscellaneous.DateRoll( $Z27,AD$14*12/$O27,"M","MF",Holidays)&lt;=$N27,_xll.HLV5r3.Analytics.Miscellaneous.DateRoll( $Z27,AD$14*12/$O27,"M","MF",Holidays),"")</f>
        <v>44007</v>
      </c>
      <c r="AE27" s="4">
        <f ca="1">IF(_xll.HLV5r3.Analytics.Miscellaneous.DateRoll( $Z27,AE$14*12/$O27,"M","MF",Holidays)&lt;=$N27,_xll.HLV5r3.Analytics.Miscellaneous.DateRoll( $Z27,AE$14*12/$O27,"M","MF",Holidays),"")</f>
        <v>44099</v>
      </c>
      <c r="AF27" s="4">
        <f ca="1">IF(_xll.HLV5r3.Analytics.Miscellaneous.DateRoll( $Z27,AF$14*12/$O27,"M","MF",Holidays)&lt;=$N27,_xll.HLV5r3.Analytics.Miscellaneous.DateRoll( $Z27,AF$14*12/$O27,"M","MF",Holidays),"")</f>
        <v>44194</v>
      </c>
      <c r="AG27" s="4">
        <f ca="1">IF(_xll.HLV5r3.Analytics.Miscellaneous.DateRoll( $Z27,AG$14*12/$O27,"M","MF",Holidays)&lt;=$N27,_xll.HLV5r3.Analytics.Miscellaneous.DateRoll( $Z27,AG$14*12/$O27,"M","MF",Holidays),"")</f>
        <v>44280</v>
      </c>
      <c r="AH27" s="4">
        <f ca="1">IF(_xll.HLV5r3.Analytics.Miscellaneous.DateRoll( $Z27,AH$14*12/$O27,"M","MF",Holidays)&lt;=$N27,_xll.HLV5r3.Analytics.Miscellaneous.DateRoll( $Z27,AH$14*12/$O27,"M","MF",Holidays),"")</f>
        <v>44372</v>
      </c>
      <c r="AI27" s="4">
        <f ca="1">IF(_xll.HLV5r3.Analytics.Miscellaneous.DateRoll( $Z27,AI$14*12/$O27,"M","MF",Holidays)&lt;=$N27,_xll.HLV5r3.Analytics.Miscellaneous.DateRoll( $Z27,AI$14*12/$O27,"M","MF",Holidays),"")</f>
        <v>44466</v>
      </c>
      <c r="AJ27" s="4">
        <f ca="1">IF(_xll.HLV5r3.Analytics.Miscellaneous.DateRoll( $Z27,AJ$14*12/$O27,"M","MF",Holidays)&lt;=$N27,_xll.HLV5r3.Analytics.Miscellaneous.DateRoll( $Z27,AJ$14*12/$O27,"M","MF",Holidays),"")</f>
        <v>44559</v>
      </c>
      <c r="AK27" s="4">
        <f ca="1">IF(_xll.HLV5r3.Analytics.Miscellaneous.DateRoll( $Z27,AK$14*12/$O27,"M","MF",Holidays)&lt;=$N27,_xll.HLV5r3.Analytics.Miscellaneous.DateRoll( $Z27,AK$14*12/$O27,"M","MF",Holidays),"")</f>
        <v>44645</v>
      </c>
      <c r="AL27" s="4">
        <f ca="1">IF(_xll.HLV5r3.Analytics.Miscellaneous.DateRoll( $Z27,AL$14*12/$O27,"M","MF",Holidays)&lt;=$N27,_xll.HLV5r3.Analytics.Miscellaneous.DateRoll( $Z27,AL$14*12/$O27,"M","MF",Holidays),"")</f>
        <v>44739</v>
      </c>
      <c r="AM27" s="4" t="str">
        <f ca="1">IF(_xll.HLV5r3.Analytics.Miscellaneous.DateRoll( $Z27,AM$14*12/$O27,"M","MF",Holidays)&lt;=$N27,_xll.HLV5r3.Analytics.Miscellaneous.DateRoll( $Z27,AM$14*12/$O27,"M","MF",Holidays),"")</f>
        <v/>
      </c>
      <c r="AN27" s="4" t="str">
        <f ca="1">IF(_xll.HLV5r3.Analytics.Miscellaneous.DateRoll( $Z27,AN$14*12/$O27,"M","MF",Holidays)&lt;=$N27,_xll.HLV5r3.Analytics.Miscellaneous.DateRoll( $Z27,AN$14*12/$O27,"M","MF",Holidays),"")</f>
        <v/>
      </c>
      <c r="AO27" s="4" t="str">
        <f ca="1">IF(_xll.HLV5r3.Analytics.Miscellaneous.DateRoll( $Z27,AO$14*12/$O27,"M","MF",Holidays)&lt;=$N27,_xll.HLV5r3.Analytics.Miscellaneous.DateRoll( $Z27,AO$14*12/$O27,"M","MF",Holidays),"")</f>
        <v/>
      </c>
      <c r="AP27" s="4" t="str">
        <f ca="1">IF(_xll.HLV5r3.Analytics.Miscellaneous.DateRoll( $Z27,AP$14*12/$O27,"M","MF",Holidays)&lt;=$N27,_xll.HLV5r3.Analytics.Miscellaneous.DateRoll( $Z27,AP$14*12/$O27,"M","MF",Holidays),"")</f>
        <v/>
      </c>
      <c r="AQ27" s="4" t="str">
        <f ca="1">IF(_xll.HLV5r3.Analytics.Miscellaneous.DateRoll( $Z27,AQ$14*12/$O27,"M","MF",Holidays)&lt;=$N27,_xll.HLV5r3.Analytics.Miscellaneous.DateRoll( $Z27,AQ$14*12/$O27,"M","MF",Holidays),"")</f>
        <v/>
      </c>
      <c r="AR27" s="4" t="str">
        <f ca="1">IF(_xll.HLV5r3.Analytics.Miscellaneous.DateRoll( $Z27,AR$14*12/$O27,"M","MF",Holidays)&lt;=$N27,_xll.HLV5r3.Analytics.Miscellaneous.DateRoll( $Z27,AR$14*12/$O27,"M","MF",Holidays),"")</f>
        <v/>
      </c>
      <c r="AS27" s="4" t="str">
        <f ca="1">IF(_xll.HLV5r3.Analytics.Miscellaneous.DateRoll( $Z27,AS$14*12/$O27,"M","MF",Holidays)&lt;=$N27,_xll.HLV5r3.Analytics.Miscellaneous.DateRoll( $Z27,AS$14*12/$O27,"M","MF",Holidays),"")</f>
        <v/>
      </c>
      <c r="AT27" s="4" t="str">
        <f ca="1">IF(_xll.HLV5r3.Analytics.Miscellaneous.DateRoll( $Z27,AT$14*12/$O27,"M","MF",Holidays)&lt;=$N27,_xll.HLV5r3.Analytics.Miscellaneous.DateRoll( $Z27,AT$14*12/$O27,"M","MF",Holidays),"")</f>
        <v/>
      </c>
      <c r="AU27" s="4" t="str">
        <f ca="1">IF(_xll.HLV5r3.Analytics.Miscellaneous.DateRoll( $Z27,AU$14*12/$O27,"M","MF",Holidays)&lt;=$N27,_xll.HLV5r3.Analytics.Miscellaneous.DateRoll( $Z27,AU$14*12/$O27,"M","MF",Holidays),"")</f>
        <v/>
      </c>
      <c r="AV27" s="4" t="str">
        <f ca="1">IF(_xll.HLV5r3.Analytics.Miscellaneous.DateRoll( $Z27,AV$14*12/$O27,"M","MF",Holidays)&lt;=$N27,_xll.HLV5r3.Analytics.Miscellaneous.DateRoll( $Z27,AV$14*12/$O27,"M","MF",Holidays),"")</f>
        <v/>
      </c>
      <c r="AW27" s="4" t="str">
        <f ca="1">IF(_xll.HLV5r3.Analytics.Miscellaneous.DateRoll( $Z27,AW$14*12/$O27,"M","MF",Holidays)&lt;=$N27,_xll.HLV5r3.Analytics.Miscellaneous.DateRoll( $Z27,AW$14*12/$O27,"M","MF",Holidays),"")</f>
        <v/>
      </c>
      <c r="AX27" s="4" t="str">
        <f ca="1">IF(_xll.HLV5r3.Analytics.Miscellaneous.DateRoll( $Z27,AX$14*12/$O27,"M","MF",Holidays)&lt;=$N27,_xll.HLV5r3.Analytics.Miscellaneous.DateRoll( $Z27,AX$14*12/$O27,"M","MF",Holidays),"")</f>
        <v/>
      </c>
      <c r="AY27" s="4" t="str">
        <f ca="1">IF(_xll.HLV5r3.Analytics.Miscellaneous.DateRoll( $Z27,AY$14*12/$O27,"M","MF",Holidays)&lt;=$N27,_xll.HLV5r3.Analytics.Miscellaneous.DateRoll( $Z27,AY$14*12/$O27,"M","MF",Holidays),"")</f>
        <v/>
      </c>
      <c r="AZ27" s="4" t="str">
        <f ca="1">IF(_xll.HLV5r3.Analytics.Miscellaneous.DateRoll( $Z27,AZ$14*12/$O27,"M","MF",Holidays)&lt;=$N27,_xll.HLV5r3.Analytics.Miscellaneous.DateRoll( $Z27,AZ$14*12/$O27,"M","MF",Holidays),"")</f>
        <v/>
      </c>
      <c r="BA27" s="4" t="str">
        <f ca="1">IF(_xll.HLV5r3.Analytics.Miscellaneous.DateRoll( $Z27,BA$14*12/$O27,"M","MF",Holidays)&lt;=$N27,_xll.HLV5r3.Analytics.Miscellaneous.DateRoll( $Z27,BA$14*12/$O27,"M","MF",Holidays),"")</f>
        <v/>
      </c>
      <c r="BB27" s="4" t="str">
        <f ca="1">IF(_xll.HLV5r3.Analytics.Miscellaneous.DateRoll( $Z27,BB$14*12/$O27,"M","MF",Holidays)&lt;=$N27,_xll.HLV5r3.Analytics.Miscellaneous.DateRoll( $Z27,BB$14*12/$O27,"M","MF",Holidays),"")</f>
        <v/>
      </c>
      <c r="BC27" s="4" t="str">
        <f ca="1">IF(_xll.HLV5r3.Analytics.Miscellaneous.DateRoll( $Z27,BC$14*12/$O27,"M","MF",Holidays)&lt;=$N27,_xll.HLV5r3.Analytics.Miscellaneous.DateRoll( $Z27,BC$14*12/$O27,"M","MF",Holidays),"")</f>
        <v/>
      </c>
      <c r="BD27" s="4" t="str">
        <f ca="1">IF(_xll.HLV5r3.Analytics.Miscellaneous.DateRoll( $Z27,BD$14*12/$O27,"M","MF",Holidays)&lt;=$N27,_xll.HLV5r3.Analytics.Miscellaneous.DateRoll( $Z27,BD$14*12/$O27,"M","MF",Holidays),"")</f>
        <v/>
      </c>
      <c r="BE27" s="4" t="str">
        <f ca="1">IF(_xll.HLV5r3.Analytics.Miscellaneous.DateRoll( $Z27,BE$14*12/$O27,"M","MF",Holidays)&lt;=$N27,_xll.HLV5r3.Analytics.Miscellaneous.DateRoll( $Z27,BE$14*12/$O27,"M","MF",Holidays),"")</f>
        <v/>
      </c>
      <c r="BF27" s="4" t="str">
        <f ca="1">IF(_xll.HLV5r3.Analytics.Miscellaneous.DateRoll( $Z27,BF$14*12/$O27,"M","MF",Holidays)&lt;=$N27,_xll.HLV5r3.Analytics.Miscellaneous.DateRoll( $Z27,BF$14*12/$O27,"M","MF",Holidays),"")</f>
        <v/>
      </c>
      <c r="BG27" s="4" t="str">
        <f ca="1">IF(_xll.HLV5r3.Analytics.Miscellaneous.DateRoll( $Z27,BG$14*12/$O27,"M","MF",Holidays)&lt;=$N27,_xll.HLV5r3.Analytics.Miscellaneous.DateRoll( $Z27,BG$14*12/$O27,"M","MF",Holidays),"")</f>
        <v/>
      </c>
      <c r="BH27" s="4" t="str">
        <f ca="1">IF(_xll.HLV5r3.Analytics.Miscellaneous.DateRoll( $Z27,BH$14*12/$O27,"M","MF",Holidays)&lt;=$N27,_xll.HLV5r3.Analytics.Miscellaneous.DateRoll( $Z27,BH$14*12/$O27,"M","MF",Holidays),"")</f>
        <v/>
      </c>
      <c r="BI27" s="4" t="str">
        <f ca="1">IF(_xll.HLV5r3.Analytics.Miscellaneous.DateRoll( $Z27,BI$14*12/$O27,"M","MF",Holidays)&lt;=$N27,_xll.HLV5r3.Analytics.Miscellaneous.DateRoll( $Z27,BI$14*12/$O27,"M","MF",Holidays),"")</f>
        <v/>
      </c>
      <c r="BJ27" s="4" t="str">
        <f ca="1">IF(_xll.HLV5r3.Analytics.Miscellaneous.DateRoll( $Z27,BJ$14*12/$O27,"M","MF",Holidays)&lt;=$N27,_xll.HLV5r3.Analytics.Miscellaneous.DateRoll( $Z27,BJ$14*12/$O27,"M","MF",Holidays),"")</f>
        <v/>
      </c>
      <c r="BK27" s="4" t="str">
        <f ca="1">IF(_xll.HLV5r3.Analytics.Miscellaneous.DateRoll( $Z27,BK$14*12/$O27,"M","MF",Holidays)&lt;=$N27,_xll.HLV5r3.Analytics.Miscellaneous.DateRoll( $Z27,BK$14*12/$O27,"M","MF",Holidays),"")</f>
        <v/>
      </c>
      <c r="BL27" s="4" t="str">
        <f ca="1">IF(_xll.HLV5r3.Analytics.Miscellaneous.DateRoll( $Z27,BL$14*12/$O27,"M","MF",Holidays)&lt;=$N27,_xll.HLV5r3.Analytics.Miscellaneous.DateRoll( $Z27,BL$14*12/$O27,"M","MF",Holidays),"")</f>
        <v/>
      </c>
      <c r="BM27" s="4" t="str">
        <f ca="1">IF(_xll.HLV5r3.Analytics.Miscellaneous.DateRoll( $Z27,BM$14*12/$O27,"M","MF",Holidays)&lt;=$N27,_xll.HLV5r3.Analytics.Miscellaneous.DateRoll( $Z27,BM$14*12/$O27,"M","MF",Holidays),"")</f>
        <v/>
      </c>
      <c r="BN27" s="4" t="str">
        <f ca="1">IF(_xll.HLV5r3.Analytics.Miscellaneous.DateRoll( $Z27,BN$14*12/$O27,"M","MF",Holidays)&lt;=$N27,_xll.HLV5r3.Analytics.Miscellaneous.DateRoll( $Z27,BN$14*12/$O27,"M","MF",Holidays),"")</f>
        <v/>
      </c>
      <c r="BO27" s="4" t="str">
        <f ca="1">IF(_xll.HLV5r3.Analytics.Miscellaneous.DateRoll( $Z27,BO$14*12/$O27,"M","MF",Holidays)&lt;=$N27,_xll.HLV5r3.Analytics.Miscellaneous.DateRoll( $Z27,BO$14*12/$O27,"M","MF",Holidays),"")</f>
        <v/>
      </c>
      <c r="BP27" s="4" t="str">
        <f ca="1">IF(_xll.HLV5r3.Analytics.Miscellaneous.DateRoll( $Z27,BP$14*12/$O27,"M","MF",Holidays)&lt;=$N27,_xll.HLV5r3.Analytics.Miscellaneous.DateRoll( $Z27,BP$14*12/$O27,"M","MF",Holidays),"")</f>
        <v/>
      </c>
      <c r="BQ27" s="4" t="str">
        <f ca="1">IF(_xll.HLV5r3.Analytics.Miscellaneous.DateRoll( $Z27,BQ$14*12/$O27,"M","MF",Holidays)&lt;=$N27,_xll.HLV5r3.Analytics.Miscellaneous.DateRoll( $Z27,BQ$14*12/$O27,"M","MF",Holidays),"")</f>
        <v/>
      </c>
      <c r="BR27" s="4" t="str">
        <f ca="1">IF(_xll.HLV5r3.Analytics.Miscellaneous.DateRoll( $Z27,BR$14*12/$O27,"M","MF",Holidays)&lt;=$N27,_xll.HLV5r3.Analytics.Miscellaneous.DateRoll( $Z27,BR$14*12/$O27,"M","MF",Holidays),"")</f>
        <v/>
      </c>
      <c r="BS27" s="4" t="str">
        <f ca="1">IF(_xll.HLV5r3.Analytics.Miscellaneous.DateRoll( $Z27,BS$14*12/$O27,"M","MF",Holidays)&lt;=$N27,_xll.HLV5r3.Analytics.Miscellaneous.DateRoll( $Z27,BS$14*12/$O27,"M","MF",Holidays),"")</f>
        <v/>
      </c>
      <c r="BT27" s="4" t="str">
        <f ca="1">IF(_xll.HLV5r3.Analytics.Miscellaneous.DateRoll( $Z27,BT$14*12/$O27,"M","MF",Holidays)&lt;=$N27,_xll.HLV5r3.Analytics.Miscellaneous.DateRoll( $Z27,BT$14*12/$O27,"M","MF",Holidays),"")</f>
        <v/>
      </c>
      <c r="BU27" s="4" t="str">
        <f ca="1">IF(_xll.HLV5r3.Analytics.Miscellaneous.DateRoll( $Z27,BU$14*12/$O27,"M","MF",Holidays)&lt;=$N27,_xll.HLV5r3.Analytics.Miscellaneous.DateRoll( $Z27,BU$14*12/$O27,"M","MF",Holidays),"")</f>
        <v/>
      </c>
      <c r="BV27" s="4" t="str">
        <f ca="1">IF(_xll.HLV5r3.Analytics.Miscellaneous.DateRoll( $Z27,BV$14*12/$O27,"M","MF",Holidays)&lt;=$N27,_xll.HLV5r3.Analytics.Miscellaneous.DateRoll( $Z27,BV$14*12/$O27,"M","MF",Holidays),"")</f>
        <v/>
      </c>
      <c r="BW27" s="4" t="str">
        <f ca="1">IF(_xll.HLV5r3.Analytics.Miscellaneous.DateRoll( $Z27,BW$14*12/$O27,"M","MF",Holidays)&lt;=$N27,_xll.HLV5r3.Analytics.Miscellaneous.DateRoll( $Z27,BW$14*12/$O27,"M","MF",Holidays),"")</f>
        <v/>
      </c>
      <c r="BX27" s="4" t="str">
        <f ca="1">IF(_xll.HLV5r3.Analytics.Miscellaneous.DateRoll( $Z27,BX$14*12/$O27,"M","MF",Holidays)&lt;=$N27,_xll.HLV5r3.Analytics.Miscellaneous.DateRoll( $Z27,BX$14*12/$O27,"M","MF",Holidays),"")</f>
        <v/>
      </c>
      <c r="BY27" s="4" t="str">
        <f ca="1">IF(_xll.HLV5r3.Analytics.Miscellaneous.DateRoll( $Z27,BY$14*12/$O27,"M","MF",Holidays)&lt;=$N27,_xll.HLV5r3.Analytics.Miscellaneous.DateRoll( $Z27,BY$14*12/$O27,"M","MF",Holidays),"")</f>
        <v/>
      </c>
      <c r="BZ27" s="4" t="str">
        <f ca="1">IF(_xll.HLV5r3.Analytics.Miscellaneous.DateRoll( $Z27,BZ$14*12/$O27,"M","MF",Holidays)&lt;=$N27,_xll.HLV5r3.Analytics.Miscellaneous.DateRoll( $Z27,BZ$14*12/$O27,"M","MF",Holidays),"")</f>
        <v/>
      </c>
      <c r="CA27" s="4" t="str">
        <f ca="1">IF(_xll.HLV5r3.Analytics.Miscellaneous.DateRoll( $Z27,CA$14*12/$O27,"M","MF",Holidays)&lt;=$N27,_xll.HLV5r3.Analytics.Miscellaneous.DateRoll( $Z27,CA$14*12/$O27,"M","MF",Holidays),"")</f>
        <v/>
      </c>
      <c r="CB27" s="4" t="str">
        <f ca="1">IF(_xll.HLV5r3.Analytics.Miscellaneous.DateRoll( $Z27,CB$14*12/$O27,"M","MF",Holidays)&lt;=$N27,_xll.HLV5r3.Analytics.Miscellaneous.DateRoll( $Z27,CB$14*12/$O27,"M","MF",Holidays),"")</f>
        <v/>
      </c>
      <c r="CC27" s="4" t="str">
        <f ca="1">IF(_xll.HLV5r3.Analytics.Miscellaneous.DateRoll( $Z27,CC$14*12/$O27,"M","MF",Holidays)&lt;=$N27,_xll.HLV5r3.Analytics.Miscellaneous.DateRoll( $Z27,CC$14*12/$O27,"M","MF",Holidays),"")</f>
        <v/>
      </c>
      <c r="CD27" s="4" t="str">
        <f ca="1">IF(_xll.HLV5r3.Analytics.Miscellaneous.DateRoll( $Z27,CD$14*12/$O27,"M","MF",Holidays)&lt;=$N27,_xll.HLV5r3.Analytics.Miscellaneous.DateRoll( $Z27,CD$14*12/$O27,"M","MF",Holidays),"")</f>
        <v/>
      </c>
      <c r="CE27" s="4" t="str">
        <f ca="1">IF(_xll.HLV5r3.Analytics.Miscellaneous.DateRoll( $Z27,CE$14*12/$O27,"M","MF",Holidays)&lt;=$N27,_xll.HLV5r3.Analytics.Miscellaneous.DateRoll( $Z27,CE$14*12/$O27,"M","MF",Holidays),"")</f>
        <v/>
      </c>
      <c r="CF27" s="4" t="str">
        <f ca="1">IF(_xll.HLV5r3.Analytics.Miscellaneous.DateRoll( $Z27,CF$14*12/$O27,"M","MF",Holidays)&lt;=$N27,_xll.HLV5r3.Analytics.Miscellaneous.DateRoll( $Z27,CF$14*12/$O27,"M","MF",Holidays),"")</f>
        <v/>
      </c>
      <c r="CG27" s="4" t="str">
        <f ca="1">IF(_xll.HLV5r3.Analytics.Miscellaneous.DateRoll( $Z27,CG$14*12/$O27,"M","MF",Holidays)&lt;=$N27,_xll.HLV5r3.Analytics.Miscellaneous.DateRoll( $Z27,CG$14*12/$O27,"M","MF",Holidays),"")</f>
        <v/>
      </c>
      <c r="CH27" s="4" t="str">
        <f ca="1">IF(_xll.HLV5r3.Analytics.Miscellaneous.DateRoll( $Z27,CH$14*12/$O27,"M","MF",Holidays)&lt;=$N27,_xll.HLV5r3.Analytics.Miscellaneous.DateRoll( $Z27,CH$14*12/$O27,"M","MF",Holidays),"")</f>
        <v/>
      </c>
      <c r="CI27" s="4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</row>
    <row r="28" spans="1:148">
      <c r="A28" s="29" t="s">
        <v>32</v>
      </c>
      <c r="B28" s="194" t="str">
        <f t="shared" si="10"/>
        <v>4Y</v>
      </c>
      <c r="C28" s="74">
        <v>54.416666666666664</v>
      </c>
      <c r="D28" s="62">
        <f ca="1">$E$43+C28/100</f>
        <v>5.7191666666666778</v>
      </c>
      <c r="E28" s="131">
        <v>-8.75</v>
      </c>
      <c r="F28" s="72">
        <f ca="1">_xll.HLV5r3.Analytics.Miscellaneous.SFEBillTickValue( D28)</f>
        <v>16.229999999981374</v>
      </c>
      <c r="G28" s="81">
        <v>1</v>
      </c>
      <c r="H28" s="77" t="s">
        <v>34</v>
      </c>
      <c r="I28" s="82" t="s">
        <v>35</v>
      </c>
      <c r="J28" s="81">
        <v>4</v>
      </c>
      <c r="K28" s="77" t="s">
        <v>38</v>
      </c>
      <c r="L28" s="82" t="s">
        <v>37</v>
      </c>
      <c r="M28" s="67">
        <f ca="1">_xll.HLV5r3.Analytics.Miscellaneous.DateRoll( Calc_Date,G28,H28,I28,Holidays)</f>
        <v>43641</v>
      </c>
      <c r="N28" s="61">
        <f ca="1">_xll.HLV5r3.Analytics.Miscellaneous.DateRoll(M28,J28,K28,L28,Holidays)</f>
        <v>45103</v>
      </c>
      <c r="O28" s="88">
        <v>2</v>
      </c>
      <c r="P28" s="95">
        <f t="shared" ref="P28:P39" ca="1" si="13">D28/100+E28/10000+Q28</f>
        <v>5.6316666666666779E-2</v>
      </c>
      <c r="Q28" s="90">
        <v>0</v>
      </c>
      <c r="R28" s="92">
        <f t="shared" ca="1" si="11"/>
        <v>5.6316666666666779E-2</v>
      </c>
      <c r="S28" s="190"/>
      <c r="T28" s="100">
        <f t="shared" si="2"/>
        <v>4.0054794520547947</v>
      </c>
      <c r="U28" s="42">
        <v>1462</v>
      </c>
      <c r="V28" s="41">
        <v>5.6082714797362682E-2</v>
      </c>
      <c r="W28" s="46">
        <f>_xll.HLV5r3.Analytics.Miscellaneous.Zero2DF(V28,ZeroCompFreq,U28/365)</f>
        <v>0.80005249183784544</v>
      </c>
      <c r="X28" s="17"/>
      <c r="Y28" s="37" t="str">
        <f t="shared" si="4"/>
        <v>4Y</v>
      </c>
      <c r="Z28" s="4">
        <f t="shared" ca="1" si="12"/>
        <v>43641</v>
      </c>
      <c r="AA28" s="4">
        <f ca="1">IF(_xll.HLV5r3.Analytics.Miscellaneous.DateRoll( $Z28,AA$14*12/$O28,"M","MF",Holidays)&lt;=$N28,_xll.HLV5r3.Analytics.Miscellaneous.DateRoll( $Z28,AA$14*12/$O28,"M","MF",Holidays),"")</f>
        <v>43826</v>
      </c>
      <c r="AB28" s="4">
        <f ca="1">IF(_xll.HLV5r3.Analytics.Miscellaneous.DateRoll( $Z28,AB$14*12/$O28,"M","MF",Holidays)&lt;=$N28,_xll.HLV5r3.Analytics.Miscellaneous.DateRoll( $Z28,AB$14*12/$O28,"M","MF",Holidays),"")</f>
        <v>44007</v>
      </c>
      <c r="AC28" s="4">
        <f ca="1">IF(_xll.HLV5r3.Analytics.Miscellaneous.DateRoll( $Z28,AC$14*12/$O28,"M","MF",Holidays)&lt;=$N28,_xll.HLV5r3.Analytics.Miscellaneous.DateRoll( $Z28,AC$14*12/$O28,"M","MF",Holidays),"")</f>
        <v>44194</v>
      </c>
      <c r="AD28" s="4">
        <f ca="1">IF(_xll.HLV5r3.Analytics.Miscellaneous.DateRoll( $Z28,AD$14*12/$O28,"M","MF",Holidays)&lt;=$N28,_xll.HLV5r3.Analytics.Miscellaneous.DateRoll( $Z28,AD$14*12/$O28,"M","MF",Holidays),"")</f>
        <v>44372</v>
      </c>
      <c r="AE28" s="4">
        <f ca="1">IF(_xll.HLV5r3.Analytics.Miscellaneous.DateRoll( $Z28,AE$14*12/$O28,"M","MF",Holidays)&lt;=$N28,_xll.HLV5r3.Analytics.Miscellaneous.DateRoll( $Z28,AE$14*12/$O28,"M","MF",Holidays),"")</f>
        <v>44559</v>
      </c>
      <c r="AF28" s="4">
        <f ca="1">IF(_xll.HLV5r3.Analytics.Miscellaneous.DateRoll( $Z28,AF$14*12/$O28,"M","MF",Holidays)&lt;=$N28,_xll.HLV5r3.Analytics.Miscellaneous.DateRoll( $Z28,AF$14*12/$O28,"M","MF",Holidays),"")</f>
        <v>44739</v>
      </c>
      <c r="AG28" s="4">
        <f ca="1">IF(_xll.HLV5r3.Analytics.Miscellaneous.DateRoll( $Z28,AG$14*12/$O28,"M","MF",Holidays)&lt;=$N28,_xll.HLV5r3.Analytics.Miscellaneous.DateRoll( $Z28,AG$14*12/$O28,"M","MF",Holidays),"")</f>
        <v>44923</v>
      </c>
      <c r="AH28" s="4">
        <f ca="1">IF(_xll.HLV5r3.Analytics.Miscellaneous.DateRoll( $Z28,AH$14*12/$O28,"M","MF",Holidays)&lt;=$N28,_xll.HLV5r3.Analytics.Miscellaneous.DateRoll( $Z28,AH$14*12/$O28,"M","MF",Holidays),"")</f>
        <v>45103</v>
      </c>
      <c r="AI28" s="4" t="str">
        <f ca="1">IF(_xll.HLV5r3.Analytics.Miscellaneous.DateRoll( $Z28,AI$14*12/$O28,"M","MF",Holidays)&lt;=$N28,_xll.HLV5r3.Analytics.Miscellaneous.DateRoll( $Z28,AI$14*12/$O28,"M","MF",Holidays),"")</f>
        <v/>
      </c>
      <c r="AJ28" s="4" t="str">
        <f ca="1">IF(_xll.HLV5r3.Analytics.Miscellaneous.DateRoll( $Z28,AJ$14*12/$O28,"M","MF",Holidays)&lt;=$N28,_xll.HLV5r3.Analytics.Miscellaneous.DateRoll( $Z28,AJ$14*12/$O28,"M","MF",Holidays),"")</f>
        <v/>
      </c>
      <c r="AK28" s="4" t="str">
        <f ca="1">IF(_xll.HLV5r3.Analytics.Miscellaneous.DateRoll( $Z28,AK$14*12/$O28,"M","MF",Holidays)&lt;=$N28,_xll.HLV5r3.Analytics.Miscellaneous.DateRoll( $Z28,AK$14*12/$O28,"M","MF",Holidays),"")</f>
        <v/>
      </c>
      <c r="AL28" s="4" t="str">
        <f ca="1">IF(_xll.HLV5r3.Analytics.Miscellaneous.DateRoll( $Z28,AL$14*12/$O28,"M","MF",Holidays)&lt;=$N28,_xll.HLV5r3.Analytics.Miscellaneous.DateRoll( $Z28,AL$14*12/$O28,"M","MF",Holidays),"")</f>
        <v/>
      </c>
      <c r="AM28" s="4" t="str">
        <f ca="1">IF(_xll.HLV5r3.Analytics.Miscellaneous.DateRoll( $Z28,AM$14*12/$O28,"M","MF",Holidays)&lt;=$N28,_xll.HLV5r3.Analytics.Miscellaneous.DateRoll( $Z28,AM$14*12/$O28,"M","MF",Holidays),"")</f>
        <v/>
      </c>
      <c r="AN28" s="4" t="str">
        <f ca="1">IF(_xll.HLV5r3.Analytics.Miscellaneous.DateRoll( $Z28,AN$14*12/$O28,"M","MF",Holidays)&lt;=$N28,_xll.HLV5r3.Analytics.Miscellaneous.DateRoll( $Z28,AN$14*12/$O28,"M","MF",Holidays),"")</f>
        <v/>
      </c>
      <c r="AO28" s="4" t="str">
        <f ca="1">IF(_xll.HLV5r3.Analytics.Miscellaneous.DateRoll( $Z28,AO$14*12/$O28,"M","MF",Holidays)&lt;=$N28,_xll.HLV5r3.Analytics.Miscellaneous.DateRoll( $Z28,AO$14*12/$O28,"M","MF",Holidays),"")</f>
        <v/>
      </c>
      <c r="AP28" s="4" t="str">
        <f ca="1">IF(_xll.HLV5r3.Analytics.Miscellaneous.DateRoll( $Z28,AP$14*12/$O28,"M","MF",Holidays)&lt;=$N28,_xll.HLV5r3.Analytics.Miscellaneous.DateRoll( $Z28,AP$14*12/$O28,"M","MF",Holidays),"")</f>
        <v/>
      </c>
      <c r="AQ28" s="4" t="str">
        <f ca="1">IF(_xll.HLV5r3.Analytics.Miscellaneous.DateRoll( $Z28,AQ$14*12/$O28,"M","MF",Holidays)&lt;=$N28,_xll.HLV5r3.Analytics.Miscellaneous.DateRoll( $Z28,AQ$14*12/$O28,"M","MF",Holidays),"")</f>
        <v/>
      </c>
      <c r="AR28" s="4" t="str">
        <f ca="1">IF(_xll.HLV5r3.Analytics.Miscellaneous.DateRoll( $Z28,AR$14*12/$O28,"M","MF",Holidays)&lt;=$N28,_xll.HLV5r3.Analytics.Miscellaneous.DateRoll( $Z28,AR$14*12/$O28,"M","MF",Holidays),"")</f>
        <v/>
      </c>
      <c r="AS28" s="4" t="str">
        <f ca="1">IF(_xll.HLV5r3.Analytics.Miscellaneous.DateRoll( $Z28,AS$14*12/$O28,"M","MF",Holidays)&lt;=$N28,_xll.HLV5r3.Analytics.Miscellaneous.DateRoll( $Z28,AS$14*12/$O28,"M","MF",Holidays),"")</f>
        <v/>
      </c>
      <c r="AT28" s="4" t="str">
        <f ca="1">IF(_xll.HLV5r3.Analytics.Miscellaneous.DateRoll( $Z28,AT$14*12/$O28,"M","MF",Holidays)&lt;=$N28,_xll.HLV5r3.Analytics.Miscellaneous.DateRoll( $Z28,AT$14*12/$O28,"M","MF",Holidays),"")</f>
        <v/>
      </c>
      <c r="AU28" s="4" t="str">
        <f ca="1">IF(_xll.HLV5r3.Analytics.Miscellaneous.DateRoll( $Z28,AU$14*12/$O28,"M","MF",Holidays)&lt;=$N28,_xll.HLV5r3.Analytics.Miscellaneous.DateRoll( $Z28,AU$14*12/$O28,"M","MF",Holidays),"")</f>
        <v/>
      </c>
      <c r="AV28" s="4" t="str">
        <f ca="1">IF(_xll.HLV5r3.Analytics.Miscellaneous.DateRoll( $Z28,AV$14*12/$O28,"M","MF",Holidays)&lt;=$N28,_xll.HLV5r3.Analytics.Miscellaneous.DateRoll( $Z28,AV$14*12/$O28,"M","MF",Holidays),"")</f>
        <v/>
      </c>
      <c r="AW28" s="4" t="str">
        <f ca="1">IF(_xll.HLV5r3.Analytics.Miscellaneous.DateRoll( $Z28,AW$14*12/$O28,"M","MF",Holidays)&lt;=$N28,_xll.HLV5r3.Analytics.Miscellaneous.DateRoll( $Z28,AW$14*12/$O28,"M","MF",Holidays),"")</f>
        <v/>
      </c>
      <c r="AX28" s="4" t="str">
        <f ca="1">IF(_xll.HLV5r3.Analytics.Miscellaneous.DateRoll( $Z28,AX$14*12/$O28,"M","MF",Holidays)&lt;=$N28,_xll.HLV5r3.Analytics.Miscellaneous.DateRoll( $Z28,AX$14*12/$O28,"M","MF",Holidays),"")</f>
        <v/>
      </c>
      <c r="AY28" s="4" t="str">
        <f ca="1">IF(_xll.HLV5r3.Analytics.Miscellaneous.DateRoll( $Z28,AY$14*12/$O28,"M","MF",Holidays)&lt;=$N28,_xll.HLV5r3.Analytics.Miscellaneous.DateRoll( $Z28,AY$14*12/$O28,"M","MF",Holidays),"")</f>
        <v/>
      </c>
      <c r="AZ28" s="4" t="str">
        <f ca="1">IF(_xll.HLV5r3.Analytics.Miscellaneous.DateRoll( $Z28,AZ$14*12/$O28,"M","MF",Holidays)&lt;=$N28,_xll.HLV5r3.Analytics.Miscellaneous.DateRoll( $Z28,AZ$14*12/$O28,"M","MF",Holidays),"")</f>
        <v/>
      </c>
      <c r="BA28" s="4" t="str">
        <f ca="1">IF(_xll.HLV5r3.Analytics.Miscellaneous.DateRoll( $Z28,BA$14*12/$O28,"M","MF",Holidays)&lt;=$N28,_xll.HLV5r3.Analytics.Miscellaneous.DateRoll( $Z28,BA$14*12/$O28,"M","MF",Holidays),"")</f>
        <v/>
      </c>
      <c r="BB28" s="4" t="str">
        <f ca="1">IF(_xll.HLV5r3.Analytics.Miscellaneous.DateRoll( $Z28,BB$14*12/$O28,"M","MF",Holidays)&lt;=$N28,_xll.HLV5r3.Analytics.Miscellaneous.DateRoll( $Z28,BB$14*12/$O28,"M","MF",Holidays),"")</f>
        <v/>
      </c>
      <c r="BC28" s="4" t="str">
        <f ca="1">IF(_xll.HLV5r3.Analytics.Miscellaneous.DateRoll( $Z28,BC$14*12/$O28,"M","MF",Holidays)&lt;=$N28,_xll.HLV5r3.Analytics.Miscellaneous.DateRoll( $Z28,BC$14*12/$O28,"M","MF",Holidays),"")</f>
        <v/>
      </c>
      <c r="BD28" s="4" t="str">
        <f ca="1">IF(_xll.HLV5r3.Analytics.Miscellaneous.DateRoll( $Z28,BD$14*12/$O28,"M","MF",Holidays)&lt;=$N28,_xll.HLV5r3.Analytics.Miscellaneous.DateRoll( $Z28,BD$14*12/$O28,"M","MF",Holidays),"")</f>
        <v/>
      </c>
      <c r="BE28" s="4" t="str">
        <f ca="1">IF(_xll.HLV5r3.Analytics.Miscellaneous.DateRoll( $Z28,BE$14*12/$O28,"M","MF",Holidays)&lt;=$N28,_xll.HLV5r3.Analytics.Miscellaneous.DateRoll( $Z28,BE$14*12/$O28,"M","MF",Holidays),"")</f>
        <v/>
      </c>
      <c r="BF28" s="4" t="str">
        <f ca="1">IF(_xll.HLV5r3.Analytics.Miscellaneous.DateRoll( $Z28,BF$14*12/$O28,"M","MF",Holidays)&lt;=$N28,_xll.HLV5r3.Analytics.Miscellaneous.DateRoll( $Z28,BF$14*12/$O28,"M","MF",Holidays),"")</f>
        <v/>
      </c>
      <c r="BG28" s="4" t="str">
        <f ca="1">IF(_xll.HLV5r3.Analytics.Miscellaneous.DateRoll( $Z28,BG$14*12/$O28,"M","MF",Holidays)&lt;=$N28,_xll.HLV5r3.Analytics.Miscellaneous.DateRoll( $Z28,BG$14*12/$O28,"M","MF",Holidays),"")</f>
        <v/>
      </c>
      <c r="BH28" s="4" t="str">
        <f ca="1">IF(_xll.HLV5r3.Analytics.Miscellaneous.DateRoll( $Z28,BH$14*12/$O28,"M","MF",Holidays)&lt;=$N28,_xll.HLV5r3.Analytics.Miscellaneous.DateRoll( $Z28,BH$14*12/$O28,"M","MF",Holidays),"")</f>
        <v/>
      </c>
      <c r="BI28" s="4" t="str">
        <f ca="1">IF(_xll.HLV5r3.Analytics.Miscellaneous.DateRoll( $Z28,BI$14*12/$O28,"M","MF",Holidays)&lt;=$N28,_xll.HLV5r3.Analytics.Miscellaneous.DateRoll( $Z28,BI$14*12/$O28,"M","MF",Holidays),"")</f>
        <v/>
      </c>
      <c r="BJ28" s="4" t="str">
        <f ca="1">IF(_xll.HLV5r3.Analytics.Miscellaneous.DateRoll( $Z28,BJ$14*12/$O28,"M","MF",Holidays)&lt;=$N28,_xll.HLV5r3.Analytics.Miscellaneous.DateRoll( $Z28,BJ$14*12/$O28,"M","MF",Holidays),"")</f>
        <v/>
      </c>
      <c r="BK28" s="4" t="str">
        <f ca="1">IF(_xll.HLV5r3.Analytics.Miscellaneous.DateRoll( $Z28,BK$14*12/$O28,"M","MF",Holidays)&lt;=$N28,_xll.HLV5r3.Analytics.Miscellaneous.DateRoll( $Z28,BK$14*12/$O28,"M","MF",Holidays),"")</f>
        <v/>
      </c>
      <c r="BL28" s="4" t="str">
        <f ca="1">IF(_xll.HLV5r3.Analytics.Miscellaneous.DateRoll( $Z28,BL$14*12/$O28,"M","MF",Holidays)&lt;=$N28,_xll.HLV5r3.Analytics.Miscellaneous.DateRoll( $Z28,BL$14*12/$O28,"M","MF",Holidays),"")</f>
        <v/>
      </c>
      <c r="BM28" s="4" t="str">
        <f ca="1">IF(_xll.HLV5r3.Analytics.Miscellaneous.DateRoll( $Z28,BM$14*12/$O28,"M","MF",Holidays)&lt;=$N28,_xll.HLV5r3.Analytics.Miscellaneous.DateRoll( $Z28,BM$14*12/$O28,"M","MF",Holidays),"")</f>
        <v/>
      </c>
      <c r="BN28" s="4" t="str">
        <f ca="1">IF(_xll.HLV5r3.Analytics.Miscellaneous.DateRoll( $Z28,BN$14*12/$O28,"M","MF",Holidays)&lt;=$N28,_xll.HLV5r3.Analytics.Miscellaneous.DateRoll( $Z28,BN$14*12/$O28,"M","MF",Holidays),"")</f>
        <v/>
      </c>
      <c r="BO28" s="4" t="str">
        <f ca="1">IF(_xll.HLV5r3.Analytics.Miscellaneous.DateRoll( $Z28,BO$14*12/$O28,"M","MF",Holidays)&lt;=$N28,_xll.HLV5r3.Analytics.Miscellaneous.DateRoll( $Z28,BO$14*12/$O28,"M","MF",Holidays),"")</f>
        <v/>
      </c>
      <c r="BP28" s="4" t="str">
        <f ca="1">IF(_xll.HLV5r3.Analytics.Miscellaneous.DateRoll( $Z28,BP$14*12/$O28,"M","MF",Holidays)&lt;=$N28,_xll.HLV5r3.Analytics.Miscellaneous.DateRoll( $Z28,BP$14*12/$O28,"M","MF",Holidays),"")</f>
        <v/>
      </c>
      <c r="BQ28" s="4" t="str">
        <f ca="1">IF(_xll.HLV5r3.Analytics.Miscellaneous.DateRoll( $Z28,BQ$14*12/$O28,"M","MF",Holidays)&lt;=$N28,_xll.HLV5r3.Analytics.Miscellaneous.DateRoll( $Z28,BQ$14*12/$O28,"M","MF",Holidays),"")</f>
        <v/>
      </c>
      <c r="BR28" s="4" t="str">
        <f ca="1">IF(_xll.HLV5r3.Analytics.Miscellaneous.DateRoll( $Z28,BR$14*12/$O28,"M","MF",Holidays)&lt;=$N28,_xll.HLV5r3.Analytics.Miscellaneous.DateRoll( $Z28,BR$14*12/$O28,"M","MF",Holidays),"")</f>
        <v/>
      </c>
      <c r="BS28" s="4" t="str">
        <f ca="1">IF(_xll.HLV5r3.Analytics.Miscellaneous.DateRoll( $Z28,BS$14*12/$O28,"M","MF",Holidays)&lt;=$N28,_xll.HLV5r3.Analytics.Miscellaneous.DateRoll( $Z28,BS$14*12/$O28,"M","MF",Holidays),"")</f>
        <v/>
      </c>
      <c r="BT28" s="4" t="str">
        <f ca="1">IF(_xll.HLV5r3.Analytics.Miscellaneous.DateRoll( $Z28,BT$14*12/$O28,"M","MF",Holidays)&lt;=$N28,_xll.HLV5r3.Analytics.Miscellaneous.DateRoll( $Z28,BT$14*12/$O28,"M","MF",Holidays),"")</f>
        <v/>
      </c>
      <c r="BU28" s="4" t="str">
        <f ca="1">IF(_xll.HLV5r3.Analytics.Miscellaneous.DateRoll( $Z28,BU$14*12/$O28,"M","MF",Holidays)&lt;=$N28,_xll.HLV5r3.Analytics.Miscellaneous.DateRoll( $Z28,BU$14*12/$O28,"M","MF",Holidays),"")</f>
        <v/>
      </c>
      <c r="BV28" s="4" t="str">
        <f ca="1">IF(_xll.HLV5r3.Analytics.Miscellaneous.DateRoll( $Z28,BV$14*12/$O28,"M","MF",Holidays)&lt;=$N28,_xll.HLV5r3.Analytics.Miscellaneous.DateRoll( $Z28,BV$14*12/$O28,"M","MF",Holidays),"")</f>
        <v/>
      </c>
      <c r="BW28" s="4" t="str">
        <f ca="1">IF(_xll.HLV5r3.Analytics.Miscellaneous.DateRoll( $Z28,BW$14*12/$O28,"M","MF",Holidays)&lt;=$N28,_xll.HLV5r3.Analytics.Miscellaneous.DateRoll( $Z28,BW$14*12/$O28,"M","MF",Holidays),"")</f>
        <v/>
      </c>
      <c r="BX28" s="4" t="str">
        <f ca="1">IF(_xll.HLV5r3.Analytics.Miscellaneous.DateRoll( $Z28,BX$14*12/$O28,"M","MF",Holidays)&lt;=$N28,_xll.HLV5r3.Analytics.Miscellaneous.DateRoll( $Z28,BX$14*12/$O28,"M","MF",Holidays),"")</f>
        <v/>
      </c>
      <c r="BY28" s="4" t="str">
        <f ca="1">IF(_xll.HLV5r3.Analytics.Miscellaneous.DateRoll( $Z28,BY$14*12/$O28,"M","MF",Holidays)&lt;=$N28,_xll.HLV5r3.Analytics.Miscellaneous.DateRoll( $Z28,BY$14*12/$O28,"M","MF",Holidays),"")</f>
        <v/>
      </c>
      <c r="BZ28" s="4" t="str">
        <f ca="1">IF(_xll.HLV5r3.Analytics.Miscellaneous.DateRoll( $Z28,BZ$14*12/$O28,"M","MF",Holidays)&lt;=$N28,_xll.HLV5r3.Analytics.Miscellaneous.DateRoll( $Z28,BZ$14*12/$O28,"M","MF",Holidays),"")</f>
        <v/>
      </c>
      <c r="CA28" s="4" t="str">
        <f ca="1">IF(_xll.HLV5r3.Analytics.Miscellaneous.DateRoll( $Z28,CA$14*12/$O28,"M","MF",Holidays)&lt;=$N28,_xll.HLV5r3.Analytics.Miscellaneous.DateRoll( $Z28,CA$14*12/$O28,"M","MF",Holidays),"")</f>
        <v/>
      </c>
      <c r="CB28" s="4" t="str">
        <f ca="1">IF(_xll.HLV5r3.Analytics.Miscellaneous.DateRoll( $Z28,CB$14*12/$O28,"M","MF",Holidays)&lt;=$N28,_xll.HLV5r3.Analytics.Miscellaneous.DateRoll( $Z28,CB$14*12/$O28,"M","MF",Holidays),"")</f>
        <v/>
      </c>
      <c r="CC28" s="4" t="str">
        <f ca="1">IF(_xll.HLV5r3.Analytics.Miscellaneous.DateRoll( $Z28,CC$14*12/$O28,"M","MF",Holidays)&lt;=$N28,_xll.HLV5r3.Analytics.Miscellaneous.DateRoll( $Z28,CC$14*12/$O28,"M","MF",Holidays),"")</f>
        <v/>
      </c>
      <c r="CD28" s="4" t="str">
        <f ca="1">IF(_xll.HLV5r3.Analytics.Miscellaneous.DateRoll( $Z28,CD$14*12/$O28,"M","MF",Holidays)&lt;=$N28,_xll.HLV5r3.Analytics.Miscellaneous.DateRoll( $Z28,CD$14*12/$O28,"M","MF",Holidays),"")</f>
        <v/>
      </c>
      <c r="CE28" s="4" t="str">
        <f ca="1">IF(_xll.HLV5r3.Analytics.Miscellaneous.DateRoll( $Z28,CE$14*12/$O28,"M","MF",Holidays)&lt;=$N28,_xll.HLV5r3.Analytics.Miscellaneous.DateRoll( $Z28,CE$14*12/$O28,"M","MF",Holidays),"")</f>
        <v/>
      </c>
      <c r="CF28" s="4" t="str">
        <f ca="1">IF(_xll.HLV5r3.Analytics.Miscellaneous.DateRoll( $Z28,CF$14*12/$O28,"M","MF",Holidays)&lt;=$N28,_xll.HLV5r3.Analytics.Miscellaneous.DateRoll( $Z28,CF$14*12/$O28,"M","MF",Holidays),"")</f>
        <v/>
      </c>
      <c r="CG28" s="4" t="str">
        <f ca="1">IF(_xll.HLV5r3.Analytics.Miscellaneous.DateRoll( $Z28,CG$14*12/$O28,"M","MF",Holidays)&lt;=$N28,_xll.HLV5r3.Analytics.Miscellaneous.DateRoll( $Z28,CG$14*12/$O28,"M","MF",Holidays),"")</f>
        <v/>
      </c>
      <c r="CH28" s="4" t="str">
        <f ca="1">IF(_xll.HLV5r3.Analytics.Miscellaneous.DateRoll( $Z28,CH$14*12/$O28,"M","MF",Holidays)&lt;=$N28,_xll.HLV5r3.Analytics.Miscellaneous.DateRoll( $Z28,CH$14*12/$O28,"M","MF",Holidays),"")</f>
        <v/>
      </c>
      <c r="CI28" s="4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</row>
    <row r="29" spans="1:148">
      <c r="A29" s="29" t="s">
        <v>32</v>
      </c>
      <c r="B29" s="194" t="str">
        <f t="shared" si="10"/>
        <v>5Y</v>
      </c>
      <c r="C29" s="74">
        <v>62.833333333333336</v>
      </c>
      <c r="D29" s="62">
        <f ca="1">$E$43+C29/100</f>
        <v>5.8033333333333452</v>
      </c>
      <c r="E29" s="131">
        <v>-8.5</v>
      </c>
      <c r="F29" s="72">
        <f ca="1">_xll.HLV5r3.Analytics.Miscellaneous.SFEBillTickValue( D29)</f>
        <v>16.239999999990687</v>
      </c>
      <c r="G29" s="81">
        <v>1</v>
      </c>
      <c r="H29" s="77" t="s">
        <v>34</v>
      </c>
      <c r="I29" s="82" t="s">
        <v>35</v>
      </c>
      <c r="J29" s="81">
        <v>5</v>
      </c>
      <c r="K29" s="77" t="s">
        <v>38</v>
      </c>
      <c r="L29" s="82" t="s">
        <v>37</v>
      </c>
      <c r="M29" s="67">
        <f ca="1">_xll.HLV5r3.Analytics.Miscellaneous.DateRoll( Calc_Date,G29,H29,I29,Holidays)</f>
        <v>43641</v>
      </c>
      <c r="N29" s="61">
        <f ca="1">_xll.HLV5r3.Analytics.Miscellaneous.DateRoll(M29,J29,K29,L29,Holidays)</f>
        <v>45468</v>
      </c>
      <c r="O29" s="88">
        <v>2</v>
      </c>
      <c r="P29" s="95">
        <f t="shared" ca="1" si="13"/>
        <v>5.7183333333333454E-2</v>
      </c>
      <c r="Q29" s="90">
        <v>0</v>
      </c>
      <c r="R29" s="92">
        <f t="shared" ca="1" si="11"/>
        <v>5.7183333333333454E-2</v>
      </c>
      <c r="S29" s="90"/>
      <c r="T29" s="100">
        <f t="shared" si="2"/>
        <v>5.0054794520547947</v>
      </c>
      <c r="U29" s="42">
        <v>1827</v>
      </c>
      <c r="V29" s="41">
        <v>5.7014618785062234E-2</v>
      </c>
      <c r="W29" s="46">
        <f>_xll.HLV5r3.Analytics.Miscellaneous.Zero2DF(V29,ZeroCompFreq,U29/365)</f>
        <v>0.75324048555055989</v>
      </c>
      <c r="X29" s="10"/>
      <c r="Y29" s="37" t="str">
        <f t="shared" si="4"/>
        <v>5Y</v>
      </c>
      <c r="Z29" s="4">
        <f t="shared" ca="1" si="12"/>
        <v>43641</v>
      </c>
      <c r="AA29" s="4">
        <f ca="1">IF(_xll.HLV5r3.Analytics.Miscellaneous.DateRoll( $Z29,AA$14*12/$O29,"M","MF",Holidays)&lt;=$N29,_xll.HLV5r3.Analytics.Miscellaneous.DateRoll( $Z29,AA$14*12/$O29,"M","MF",Holidays),"")</f>
        <v>43826</v>
      </c>
      <c r="AB29" s="4">
        <f ca="1">IF(_xll.HLV5r3.Analytics.Miscellaneous.DateRoll( $Z29,AB$14*12/$O29,"M","MF",Holidays)&lt;=$N29,_xll.HLV5r3.Analytics.Miscellaneous.DateRoll( $Z29,AB$14*12/$O29,"M","MF",Holidays),"")</f>
        <v>44007</v>
      </c>
      <c r="AC29" s="4">
        <f ca="1">IF(_xll.HLV5r3.Analytics.Miscellaneous.DateRoll( $Z29,AC$14*12/$O29,"M","MF",Holidays)&lt;=$N29,_xll.HLV5r3.Analytics.Miscellaneous.DateRoll( $Z29,AC$14*12/$O29,"M","MF",Holidays),"")</f>
        <v>44194</v>
      </c>
      <c r="AD29" s="4">
        <f ca="1">IF(_xll.HLV5r3.Analytics.Miscellaneous.DateRoll( $Z29,AD$14*12/$O29,"M","MF",Holidays)&lt;=$N29,_xll.HLV5r3.Analytics.Miscellaneous.DateRoll( $Z29,AD$14*12/$O29,"M","MF",Holidays),"")</f>
        <v>44372</v>
      </c>
      <c r="AE29" s="4">
        <f ca="1">IF(_xll.HLV5r3.Analytics.Miscellaneous.DateRoll( $Z29,AE$14*12/$O29,"M","MF",Holidays)&lt;=$N29,_xll.HLV5r3.Analytics.Miscellaneous.DateRoll( $Z29,AE$14*12/$O29,"M","MF",Holidays),"")</f>
        <v>44559</v>
      </c>
      <c r="AF29" s="4">
        <f ca="1">IF(_xll.HLV5r3.Analytics.Miscellaneous.DateRoll( $Z29,AF$14*12/$O29,"M","MF",Holidays)&lt;=$N29,_xll.HLV5r3.Analytics.Miscellaneous.DateRoll( $Z29,AF$14*12/$O29,"M","MF",Holidays),"")</f>
        <v>44739</v>
      </c>
      <c r="AG29" s="4">
        <f ca="1">IF(_xll.HLV5r3.Analytics.Miscellaneous.DateRoll( $Z29,AG$14*12/$O29,"M","MF",Holidays)&lt;=$N29,_xll.HLV5r3.Analytics.Miscellaneous.DateRoll( $Z29,AG$14*12/$O29,"M","MF",Holidays),"")</f>
        <v>44923</v>
      </c>
      <c r="AH29" s="4">
        <f ca="1">IF(_xll.HLV5r3.Analytics.Miscellaneous.DateRoll( $Z29,AH$14*12/$O29,"M","MF",Holidays)&lt;=$N29,_xll.HLV5r3.Analytics.Miscellaneous.DateRoll( $Z29,AH$14*12/$O29,"M","MF",Holidays),"")</f>
        <v>45103</v>
      </c>
      <c r="AI29" s="4">
        <f ca="1">IF(_xll.HLV5r3.Analytics.Miscellaneous.DateRoll( $Z29,AI$14*12/$O29,"M","MF",Holidays)&lt;=$N29,_xll.HLV5r3.Analytics.Miscellaneous.DateRoll( $Z29,AI$14*12/$O29,"M","MF",Holidays),"")</f>
        <v>45287</v>
      </c>
      <c r="AJ29" s="4">
        <f ca="1">IF(_xll.HLV5r3.Analytics.Miscellaneous.DateRoll( $Z29,AJ$14*12/$O29,"M","MF",Holidays)&lt;=$N29,_xll.HLV5r3.Analytics.Miscellaneous.DateRoll( $Z29,AJ$14*12/$O29,"M","MF",Holidays),"")</f>
        <v>45468</v>
      </c>
      <c r="AK29" s="4" t="str">
        <f ca="1">IF(_xll.HLV5r3.Analytics.Miscellaneous.DateRoll( $Z29,AK$14*12/$O29,"M","MF",Holidays)&lt;=$N29,_xll.HLV5r3.Analytics.Miscellaneous.DateRoll( $Z29,AK$14*12/$O29,"M","MF",Holidays),"")</f>
        <v/>
      </c>
      <c r="AL29" s="4" t="str">
        <f ca="1">IF(_xll.HLV5r3.Analytics.Miscellaneous.DateRoll( $Z29,AL$14*12/$O29,"M","MF",Holidays)&lt;=$N29,_xll.HLV5r3.Analytics.Miscellaneous.DateRoll( $Z29,AL$14*12/$O29,"M","MF",Holidays),"")</f>
        <v/>
      </c>
      <c r="AM29" s="4" t="str">
        <f ca="1">IF(_xll.HLV5r3.Analytics.Miscellaneous.DateRoll( $Z29,AM$14*12/$O29,"M","MF",Holidays)&lt;=$N29,_xll.HLV5r3.Analytics.Miscellaneous.DateRoll( $Z29,AM$14*12/$O29,"M","MF",Holidays),"")</f>
        <v/>
      </c>
      <c r="AN29" s="4" t="str">
        <f ca="1">IF(_xll.HLV5r3.Analytics.Miscellaneous.DateRoll( $Z29,AN$14*12/$O29,"M","MF",Holidays)&lt;=$N29,_xll.HLV5r3.Analytics.Miscellaneous.DateRoll( $Z29,AN$14*12/$O29,"M","MF",Holidays),"")</f>
        <v/>
      </c>
      <c r="AO29" s="4" t="str">
        <f ca="1">IF(_xll.HLV5r3.Analytics.Miscellaneous.DateRoll( $Z29,AO$14*12/$O29,"M","MF",Holidays)&lt;=$N29,_xll.HLV5r3.Analytics.Miscellaneous.DateRoll( $Z29,AO$14*12/$O29,"M","MF",Holidays),"")</f>
        <v/>
      </c>
      <c r="AP29" s="4" t="str">
        <f ca="1">IF(_xll.HLV5r3.Analytics.Miscellaneous.DateRoll( $Z29,AP$14*12/$O29,"M","MF",Holidays)&lt;=$N29,_xll.HLV5r3.Analytics.Miscellaneous.DateRoll( $Z29,AP$14*12/$O29,"M","MF",Holidays),"")</f>
        <v/>
      </c>
      <c r="AQ29" s="4" t="str">
        <f ca="1">IF(_xll.HLV5r3.Analytics.Miscellaneous.DateRoll( $Z29,AQ$14*12/$O29,"M","MF",Holidays)&lt;=$N29,_xll.HLV5r3.Analytics.Miscellaneous.DateRoll( $Z29,AQ$14*12/$O29,"M","MF",Holidays),"")</f>
        <v/>
      </c>
      <c r="AR29" s="4" t="str">
        <f ca="1">IF(_xll.HLV5r3.Analytics.Miscellaneous.DateRoll( $Z29,AR$14*12/$O29,"M","MF",Holidays)&lt;=$N29,_xll.HLV5r3.Analytics.Miscellaneous.DateRoll( $Z29,AR$14*12/$O29,"M","MF",Holidays),"")</f>
        <v/>
      </c>
      <c r="AS29" s="4" t="str">
        <f ca="1">IF(_xll.HLV5r3.Analytics.Miscellaneous.DateRoll( $Z29,AS$14*12/$O29,"M","MF",Holidays)&lt;=$N29,_xll.HLV5r3.Analytics.Miscellaneous.DateRoll( $Z29,AS$14*12/$O29,"M","MF",Holidays),"")</f>
        <v/>
      </c>
      <c r="AT29" s="4" t="str">
        <f ca="1">IF(_xll.HLV5r3.Analytics.Miscellaneous.DateRoll( $Z29,AT$14*12/$O29,"M","MF",Holidays)&lt;=$N29,_xll.HLV5r3.Analytics.Miscellaneous.DateRoll( $Z29,AT$14*12/$O29,"M","MF",Holidays),"")</f>
        <v/>
      </c>
      <c r="AU29" s="4" t="str">
        <f ca="1">IF(_xll.HLV5r3.Analytics.Miscellaneous.DateRoll( $Z29,AU$14*12/$O29,"M","MF",Holidays)&lt;=$N29,_xll.HLV5r3.Analytics.Miscellaneous.DateRoll( $Z29,AU$14*12/$O29,"M","MF",Holidays),"")</f>
        <v/>
      </c>
      <c r="AV29" s="4" t="str">
        <f ca="1">IF(_xll.HLV5r3.Analytics.Miscellaneous.DateRoll( $Z29,AV$14*12/$O29,"M","MF",Holidays)&lt;=$N29,_xll.HLV5r3.Analytics.Miscellaneous.DateRoll( $Z29,AV$14*12/$O29,"M","MF",Holidays),"")</f>
        <v/>
      </c>
      <c r="AW29" s="4" t="str">
        <f ca="1">IF(_xll.HLV5r3.Analytics.Miscellaneous.DateRoll( $Z29,AW$14*12/$O29,"M","MF",Holidays)&lt;=$N29,_xll.HLV5r3.Analytics.Miscellaneous.DateRoll( $Z29,AW$14*12/$O29,"M","MF",Holidays),"")</f>
        <v/>
      </c>
      <c r="AX29" s="4" t="str">
        <f ca="1">IF(_xll.HLV5r3.Analytics.Miscellaneous.DateRoll( $Z29,AX$14*12/$O29,"M","MF",Holidays)&lt;=$N29,_xll.HLV5r3.Analytics.Miscellaneous.DateRoll( $Z29,AX$14*12/$O29,"M","MF",Holidays),"")</f>
        <v/>
      </c>
      <c r="AY29" s="4" t="str">
        <f ca="1">IF(_xll.HLV5r3.Analytics.Miscellaneous.DateRoll( $Z29,AY$14*12/$O29,"M","MF",Holidays)&lt;=$N29,_xll.HLV5r3.Analytics.Miscellaneous.DateRoll( $Z29,AY$14*12/$O29,"M","MF",Holidays),"")</f>
        <v/>
      </c>
      <c r="AZ29" s="4" t="str">
        <f ca="1">IF(_xll.HLV5r3.Analytics.Miscellaneous.DateRoll( $Z29,AZ$14*12/$O29,"M","MF",Holidays)&lt;=$N29,_xll.HLV5r3.Analytics.Miscellaneous.DateRoll( $Z29,AZ$14*12/$O29,"M","MF",Holidays),"")</f>
        <v/>
      </c>
      <c r="BA29" s="4" t="str">
        <f ca="1">IF(_xll.HLV5r3.Analytics.Miscellaneous.DateRoll( $Z29,BA$14*12/$O29,"M","MF",Holidays)&lt;=$N29,_xll.HLV5r3.Analytics.Miscellaneous.DateRoll( $Z29,BA$14*12/$O29,"M","MF",Holidays),"")</f>
        <v/>
      </c>
      <c r="BB29" s="4" t="str">
        <f ca="1">IF(_xll.HLV5r3.Analytics.Miscellaneous.DateRoll( $Z29,BB$14*12/$O29,"M","MF",Holidays)&lt;=$N29,_xll.HLV5r3.Analytics.Miscellaneous.DateRoll( $Z29,BB$14*12/$O29,"M","MF",Holidays),"")</f>
        <v/>
      </c>
      <c r="BC29" s="4" t="str">
        <f ca="1">IF(_xll.HLV5r3.Analytics.Miscellaneous.DateRoll( $Z29,BC$14*12/$O29,"M","MF",Holidays)&lt;=$N29,_xll.HLV5r3.Analytics.Miscellaneous.DateRoll( $Z29,BC$14*12/$O29,"M","MF",Holidays),"")</f>
        <v/>
      </c>
      <c r="BD29" s="4" t="str">
        <f ca="1">IF(_xll.HLV5r3.Analytics.Miscellaneous.DateRoll( $Z29,BD$14*12/$O29,"M","MF",Holidays)&lt;=$N29,_xll.HLV5r3.Analytics.Miscellaneous.DateRoll( $Z29,BD$14*12/$O29,"M","MF",Holidays),"")</f>
        <v/>
      </c>
      <c r="BE29" s="4" t="str">
        <f ca="1">IF(_xll.HLV5r3.Analytics.Miscellaneous.DateRoll( $Z29,BE$14*12/$O29,"M","MF",Holidays)&lt;=$N29,_xll.HLV5r3.Analytics.Miscellaneous.DateRoll( $Z29,BE$14*12/$O29,"M","MF",Holidays),"")</f>
        <v/>
      </c>
      <c r="BF29" s="4" t="str">
        <f ca="1">IF(_xll.HLV5r3.Analytics.Miscellaneous.DateRoll( $Z29,BF$14*12/$O29,"M","MF",Holidays)&lt;=$N29,_xll.HLV5r3.Analytics.Miscellaneous.DateRoll( $Z29,BF$14*12/$O29,"M","MF",Holidays),"")</f>
        <v/>
      </c>
      <c r="BG29" s="4" t="str">
        <f ca="1">IF(_xll.HLV5r3.Analytics.Miscellaneous.DateRoll( $Z29,BG$14*12/$O29,"M","MF",Holidays)&lt;=$N29,_xll.HLV5r3.Analytics.Miscellaneous.DateRoll( $Z29,BG$14*12/$O29,"M","MF",Holidays),"")</f>
        <v/>
      </c>
      <c r="BH29" s="4" t="str">
        <f ca="1">IF(_xll.HLV5r3.Analytics.Miscellaneous.DateRoll( $Z29,BH$14*12/$O29,"M","MF",Holidays)&lt;=$N29,_xll.HLV5r3.Analytics.Miscellaneous.DateRoll( $Z29,BH$14*12/$O29,"M","MF",Holidays),"")</f>
        <v/>
      </c>
      <c r="BI29" s="4" t="str">
        <f ca="1">IF(_xll.HLV5r3.Analytics.Miscellaneous.DateRoll( $Z29,BI$14*12/$O29,"M","MF",Holidays)&lt;=$N29,_xll.HLV5r3.Analytics.Miscellaneous.DateRoll( $Z29,BI$14*12/$O29,"M","MF",Holidays),"")</f>
        <v/>
      </c>
      <c r="BJ29" s="4" t="str">
        <f ca="1">IF(_xll.HLV5r3.Analytics.Miscellaneous.DateRoll( $Z29,BJ$14*12/$O29,"M","MF",Holidays)&lt;=$N29,_xll.HLV5r3.Analytics.Miscellaneous.DateRoll( $Z29,BJ$14*12/$O29,"M","MF",Holidays),"")</f>
        <v/>
      </c>
      <c r="BK29" s="4" t="str">
        <f ca="1">IF(_xll.HLV5r3.Analytics.Miscellaneous.DateRoll( $Z29,BK$14*12/$O29,"M","MF",Holidays)&lt;=$N29,_xll.HLV5r3.Analytics.Miscellaneous.DateRoll( $Z29,BK$14*12/$O29,"M","MF",Holidays),"")</f>
        <v/>
      </c>
      <c r="BL29" s="4" t="str">
        <f ca="1">IF(_xll.HLV5r3.Analytics.Miscellaneous.DateRoll( $Z29,BL$14*12/$O29,"M","MF",Holidays)&lt;=$N29,_xll.HLV5r3.Analytics.Miscellaneous.DateRoll( $Z29,BL$14*12/$O29,"M","MF",Holidays),"")</f>
        <v/>
      </c>
      <c r="BM29" s="4" t="str">
        <f ca="1">IF(_xll.HLV5r3.Analytics.Miscellaneous.DateRoll( $Z29,BM$14*12/$O29,"M","MF",Holidays)&lt;=$N29,_xll.HLV5r3.Analytics.Miscellaneous.DateRoll( $Z29,BM$14*12/$O29,"M","MF",Holidays),"")</f>
        <v/>
      </c>
      <c r="BN29" s="4" t="str">
        <f ca="1">IF(_xll.HLV5r3.Analytics.Miscellaneous.DateRoll( $Z29,BN$14*12/$O29,"M","MF",Holidays)&lt;=$N29,_xll.HLV5r3.Analytics.Miscellaneous.DateRoll( $Z29,BN$14*12/$O29,"M","MF",Holidays),"")</f>
        <v/>
      </c>
      <c r="BO29" s="4" t="str">
        <f ca="1">IF(_xll.HLV5r3.Analytics.Miscellaneous.DateRoll( $Z29,BO$14*12/$O29,"M","MF",Holidays)&lt;=$N29,_xll.HLV5r3.Analytics.Miscellaneous.DateRoll( $Z29,BO$14*12/$O29,"M","MF",Holidays),"")</f>
        <v/>
      </c>
      <c r="BP29" s="4" t="str">
        <f ca="1">IF(_xll.HLV5r3.Analytics.Miscellaneous.DateRoll( $Z29,BP$14*12/$O29,"M","MF",Holidays)&lt;=$N29,_xll.HLV5r3.Analytics.Miscellaneous.DateRoll( $Z29,BP$14*12/$O29,"M","MF",Holidays),"")</f>
        <v/>
      </c>
      <c r="BQ29" s="4" t="str">
        <f ca="1">IF(_xll.HLV5r3.Analytics.Miscellaneous.DateRoll( $Z29,BQ$14*12/$O29,"M","MF",Holidays)&lt;=$N29,_xll.HLV5r3.Analytics.Miscellaneous.DateRoll( $Z29,BQ$14*12/$O29,"M","MF",Holidays),"")</f>
        <v/>
      </c>
      <c r="BR29" s="4" t="str">
        <f ca="1">IF(_xll.HLV5r3.Analytics.Miscellaneous.DateRoll( $Z29,BR$14*12/$O29,"M","MF",Holidays)&lt;=$N29,_xll.HLV5r3.Analytics.Miscellaneous.DateRoll( $Z29,BR$14*12/$O29,"M","MF",Holidays),"")</f>
        <v/>
      </c>
      <c r="BS29" s="4" t="str">
        <f ca="1">IF(_xll.HLV5r3.Analytics.Miscellaneous.DateRoll( $Z29,BS$14*12/$O29,"M","MF",Holidays)&lt;=$N29,_xll.HLV5r3.Analytics.Miscellaneous.DateRoll( $Z29,BS$14*12/$O29,"M","MF",Holidays),"")</f>
        <v/>
      </c>
      <c r="BT29" s="4" t="str">
        <f ca="1">IF(_xll.HLV5r3.Analytics.Miscellaneous.DateRoll( $Z29,BT$14*12/$O29,"M","MF",Holidays)&lt;=$N29,_xll.HLV5r3.Analytics.Miscellaneous.DateRoll( $Z29,BT$14*12/$O29,"M","MF",Holidays),"")</f>
        <v/>
      </c>
      <c r="BU29" s="4" t="str">
        <f ca="1">IF(_xll.HLV5r3.Analytics.Miscellaneous.DateRoll( $Z29,BU$14*12/$O29,"M","MF",Holidays)&lt;=$N29,_xll.HLV5r3.Analytics.Miscellaneous.DateRoll( $Z29,BU$14*12/$O29,"M","MF",Holidays),"")</f>
        <v/>
      </c>
      <c r="BV29" s="4" t="str">
        <f ca="1">IF(_xll.HLV5r3.Analytics.Miscellaneous.DateRoll( $Z29,BV$14*12/$O29,"M","MF",Holidays)&lt;=$N29,_xll.HLV5r3.Analytics.Miscellaneous.DateRoll( $Z29,BV$14*12/$O29,"M","MF",Holidays),"")</f>
        <v/>
      </c>
      <c r="BW29" s="4" t="str">
        <f ca="1">IF(_xll.HLV5r3.Analytics.Miscellaneous.DateRoll( $Z29,BW$14*12/$O29,"M","MF",Holidays)&lt;=$N29,_xll.HLV5r3.Analytics.Miscellaneous.DateRoll( $Z29,BW$14*12/$O29,"M","MF",Holidays),"")</f>
        <v/>
      </c>
      <c r="BX29" s="4" t="str">
        <f ca="1">IF(_xll.HLV5r3.Analytics.Miscellaneous.DateRoll( $Z29,BX$14*12/$O29,"M","MF",Holidays)&lt;=$N29,_xll.HLV5r3.Analytics.Miscellaneous.DateRoll( $Z29,BX$14*12/$O29,"M","MF",Holidays),"")</f>
        <v/>
      </c>
      <c r="BY29" s="4" t="str">
        <f ca="1">IF(_xll.HLV5r3.Analytics.Miscellaneous.DateRoll( $Z29,BY$14*12/$O29,"M","MF",Holidays)&lt;=$N29,_xll.HLV5r3.Analytics.Miscellaneous.DateRoll( $Z29,BY$14*12/$O29,"M","MF",Holidays),"")</f>
        <v/>
      </c>
      <c r="BZ29" s="4" t="str">
        <f ca="1">IF(_xll.HLV5r3.Analytics.Miscellaneous.DateRoll( $Z29,BZ$14*12/$O29,"M","MF",Holidays)&lt;=$N29,_xll.HLV5r3.Analytics.Miscellaneous.DateRoll( $Z29,BZ$14*12/$O29,"M","MF",Holidays),"")</f>
        <v/>
      </c>
      <c r="CA29" s="4" t="str">
        <f ca="1">IF(_xll.HLV5r3.Analytics.Miscellaneous.DateRoll( $Z29,CA$14*12/$O29,"M","MF",Holidays)&lt;=$N29,_xll.HLV5r3.Analytics.Miscellaneous.DateRoll( $Z29,CA$14*12/$O29,"M","MF",Holidays),"")</f>
        <v/>
      </c>
      <c r="CB29" s="4" t="str">
        <f ca="1">IF(_xll.HLV5r3.Analytics.Miscellaneous.DateRoll( $Z29,CB$14*12/$O29,"M","MF",Holidays)&lt;=$N29,_xll.HLV5r3.Analytics.Miscellaneous.DateRoll( $Z29,CB$14*12/$O29,"M","MF",Holidays),"")</f>
        <v/>
      </c>
      <c r="CC29" s="4" t="str">
        <f ca="1">IF(_xll.HLV5r3.Analytics.Miscellaneous.DateRoll( $Z29,CC$14*12/$O29,"M","MF",Holidays)&lt;=$N29,_xll.HLV5r3.Analytics.Miscellaneous.DateRoll( $Z29,CC$14*12/$O29,"M","MF",Holidays),"")</f>
        <v/>
      </c>
      <c r="CD29" s="4" t="str">
        <f ca="1">IF(_xll.HLV5r3.Analytics.Miscellaneous.DateRoll( $Z29,CD$14*12/$O29,"M","MF",Holidays)&lt;=$N29,_xll.HLV5r3.Analytics.Miscellaneous.DateRoll( $Z29,CD$14*12/$O29,"M","MF",Holidays),"")</f>
        <v/>
      </c>
      <c r="CE29" s="4" t="str">
        <f ca="1">IF(_xll.HLV5r3.Analytics.Miscellaneous.DateRoll( $Z29,CE$14*12/$O29,"M","MF",Holidays)&lt;=$N29,_xll.HLV5r3.Analytics.Miscellaneous.DateRoll( $Z29,CE$14*12/$O29,"M","MF",Holidays),"")</f>
        <v/>
      </c>
      <c r="CF29" s="4" t="str">
        <f ca="1">IF(_xll.HLV5r3.Analytics.Miscellaneous.DateRoll( $Z29,CF$14*12/$O29,"M","MF",Holidays)&lt;=$N29,_xll.HLV5r3.Analytics.Miscellaneous.DateRoll( $Z29,CF$14*12/$O29,"M","MF",Holidays),"")</f>
        <v/>
      </c>
      <c r="CG29" s="4" t="str">
        <f ca="1">IF(_xll.HLV5r3.Analytics.Miscellaneous.DateRoll( $Z29,CG$14*12/$O29,"M","MF",Holidays)&lt;=$N29,_xll.HLV5r3.Analytics.Miscellaneous.DateRoll( $Z29,CG$14*12/$O29,"M","MF",Holidays),"")</f>
        <v/>
      </c>
      <c r="CH29" s="4" t="str">
        <f ca="1">IF(_xll.HLV5r3.Analytics.Miscellaneous.DateRoll( $Z29,CH$14*12/$O29,"M","MF",Holidays)&lt;=$N29,_xll.HLV5r3.Analytics.Miscellaneous.DateRoll( $Z29,CH$14*12/$O29,"M","MF",Holidays),"")</f>
        <v/>
      </c>
      <c r="CI29" s="4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</row>
    <row r="30" spans="1:148">
      <c r="A30" s="29" t="s">
        <v>32</v>
      </c>
      <c r="B30" s="194" t="str">
        <f t="shared" ref="B30:B35" si="14">J30&amp;K30</f>
        <v>6Y</v>
      </c>
      <c r="C30" s="74">
        <v>39.375</v>
      </c>
      <c r="D30" s="62">
        <f ca="1">$E$44+C30/100</f>
        <v>5.8712500000000061</v>
      </c>
      <c r="E30" s="131">
        <v>-8.2916666666666661</v>
      </c>
      <c r="F30" s="72">
        <f ca="1">_xll.HLV5r3.Analytics.Miscellaneous.SFEBillTickValue( D30)</f>
        <v>16.239999999990687</v>
      </c>
      <c r="G30" s="81">
        <v>1</v>
      </c>
      <c r="H30" s="77" t="s">
        <v>34</v>
      </c>
      <c r="I30" s="82" t="s">
        <v>35</v>
      </c>
      <c r="J30" s="81">
        <v>6</v>
      </c>
      <c r="K30" s="77" t="s">
        <v>38</v>
      </c>
      <c r="L30" s="82" t="s">
        <v>37</v>
      </c>
      <c r="M30" s="67">
        <f ca="1">_xll.HLV5r3.Analytics.Miscellaneous.DateRoll( Calc_Date,G30,H30,I30,Holidays)</f>
        <v>43641</v>
      </c>
      <c r="N30" s="61">
        <f ca="1">_xll.HLV5r3.Analytics.Miscellaneous.DateRoll(M30,J30,K30,L30,Holidays)</f>
        <v>45833</v>
      </c>
      <c r="O30" s="88">
        <v>2</v>
      </c>
      <c r="P30" s="95">
        <f t="shared" ref="P30:P35" ca="1" si="15">D30/100+E30/10000+Q30</f>
        <v>5.7883333333333398E-2</v>
      </c>
      <c r="Q30" s="90">
        <v>0</v>
      </c>
      <c r="R30" s="92">
        <f t="shared" ref="R30:R35" ca="1" si="16">P30</f>
        <v>5.7883333333333398E-2</v>
      </c>
      <c r="S30" s="90"/>
      <c r="T30" s="100">
        <f t="shared" ref="T30:T35" si="17">U30/365</f>
        <v>6.0082191780821921</v>
      </c>
      <c r="U30" s="42">
        <v>2193</v>
      </c>
      <c r="V30" s="41">
        <v>5.7778979266705881E-2</v>
      </c>
      <c r="W30" s="46">
        <f>_xll.HLV5r3.Analytics.Miscellaneous.Zero2DF(V30,ZeroCompFreq,U30/365)</f>
        <v>0.70845734997192022</v>
      </c>
      <c r="X30" s="10"/>
      <c r="Y30" s="37" t="str">
        <f t="shared" ref="Y30:Y35" si="18">B30</f>
        <v>6Y</v>
      </c>
      <c r="Z30" s="4">
        <f t="shared" ref="Z30:Z35" ca="1" si="19">M30</f>
        <v>43641</v>
      </c>
      <c r="AA30" s="4">
        <f ca="1">IF(_xll.HLV5r3.Analytics.Miscellaneous.DateRoll( $Z30,AA$14*12/$O30,"M","MF",Holidays)&lt;=$N30,_xll.HLV5r3.Analytics.Miscellaneous.DateRoll( $Z30,AA$14*12/$O30,"M","MF",Holidays),"")</f>
        <v>43826</v>
      </c>
      <c r="AB30" s="4">
        <f ca="1">IF(_xll.HLV5r3.Analytics.Miscellaneous.DateRoll( $Z30,AB$14*12/$O30,"M","MF",Holidays)&lt;=$N30,_xll.HLV5r3.Analytics.Miscellaneous.DateRoll( $Z30,AB$14*12/$O30,"M","MF",Holidays),"")</f>
        <v>44007</v>
      </c>
      <c r="AC30" s="4">
        <f ca="1">IF(_xll.HLV5r3.Analytics.Miscellaneous.DateRoll( $Z30,AC$14*12/$O30,"M","MF",Holidays)&lt;=$N30,_xll.HLV5r3.Analytics.Miscellaneous.DateRoll( $Z30,AC$14*12/$O30,"M","MF",Holidays),"")</f>
        <v>44194</v>
      </c>
      <c r="AD30" s="4">
        <f ca="1">IF(_xll.HLV5r3.Analytics.Miscellaneous.DateRoll( $Z30,AD$14*12/$O30,"M","MF",Holidays)&lt;=$N30,_xll.HLV5r3.Analytics.Miscellaneous.DateRoll( $Z30,AD$14*12/$O30,"M","MF",Holidays),"")</f>
        <v>44372</v>
      </c>
      <c r="AE30" s="4">
        <f ca="1">IF(_xll.HLV5r3.Analytics.Miscellaneous.DateRoll( $Z30,AE$14*12/$O30,"M","MF",Holidays)&lt;=$N30,_xll.HLV5r3.Analytics.Miscellaneous.DateRoll( $Z30,AE$14*12/$O30,"M","MF",Holidays),"")</f>
        <v>44559</v>
      </c>
      <c r="AF30" s="4">
        <f ca="1">IF(_xll.HLV5r3.Analytics.Miscellaneous.DateRoll( $Z30,AF$14*12/$O30,"M","MF",Holidays)&lt;=$N30,_xll.HLV5r3.Analytics.Miscellaneous.DateRoll( $Z30,AF$14*12/$O30,"M","MF",Holidays),"")</f>
        <v>44739</v>
      </c>
      <c r="AG30" s="4">
        <f ca="1">IF(_xll.HLV5r3.Analytics.Miscellaneous.DateRoll( $Z30,AG$14*12/$O30,"M","MF",Holidays)&lt;=$N30,_xll.HLV5r3.Analytics.Miscellaneous.DateRoll( $Z30,AG$14*12/$O30,"M","MF",Holidays),"")</f>
        <v>44923</v>
      </c>
      <c r="AH30" s="4">
        <f ca="1">IF(_xll.HLV5r3.Analytics.Miscellaneous.DateRoll( $Z30,AH$14*12/$O30,"M","MF",Holidays)&lt;=$N30,_xll.HLV5r3.Analytics.Miscellaneous.DateRoll( $Z30,AH$14*12/$O30,"M","MF",Holidays),"")</f>
        <v>45103</v>
      </c>
      <c r="AI30" s="4">
        <f ca="1">IF(_xll.HLV5r3.Analytics.Miscellaneous.DateRoll( $Z30,AI$14*12/$O30,"M","MF",Holidays)&lt;=$N30,_xll.HLV5r3.Analytics.Miscellaneous.DateRoll( $Z30,AI$14*12/$O30,"M","MF",Holidays),"")</f>
        <v>45287</v>
      </c>
      <c r="AJ30" s="4">
        <f ca="1">IF(_xll.HLV5r3.Analytics.Miscellaneous.DateRoll( $Z30,AJ$14*12/$O30,"M","MF",Holidays)&lt;=$N30,_xll.HLV5r3.Analytics.Miscellaneous.DateRoll( $Z30,AJ$14*12/$O30,"M","MF",Holidays),"")</f>
        <v>45468</v>
      </c>
      <c r="AK30" s="4">
        <f ca="1">IF(_xll.HLV5r3.Analytics.Miscellaneous.DateRoll( $Z30,AK$14*12/$O30,"M","MF",Holidays)&lt;=$N30,_xll.HLV5r3.Analytics.Miscellaneous.DateRoll( $Z30,AK$14*12/$O30,"M","MF",Holidays),"")</f>
        <v>45653</v>
      </c>
      <c r="AL30" s="4">
        <f ca="1">IF(_xll.HLV5r3.Analytics.Miscellaneous.DateRoll( $Z30,AL$14*12/$O30,"M","MF",Holidays)&lt;=$N30,_xll.HLV5r3.Analytics.Miscellaneous.DateRoll( $Z30,AL$14*12/$O30,"M","MF",Holidays),"")</f>
        <v>45833</v>
      </c>
      <c r="AM30" s="4" t="str">
        <f ca="1">IF(_xll.HLV5r3.Analytics.Miscellaneous.DateRoll( $Z30,AM$14*12/$O30,"M","MF",Holidays)&lt;=$N30,_xll.HLV5r3.Analytics.Miscellaneous.DateRoll( $Z30,AM$14*12/$O30,"M","MF",Holidays),"")</f>
        <v/>
      </c>
      <c r="AN30" s="4" t="str">
        <f ca="1">IF(_xll.HLV5r3.Analytics.Miscellaneous.DateRoll( $Z30,AN$14*12/$O30,"M","MF",Holidays)&lt;=$N30,_xll.HLV5r3.Analytics.Miscellaneous.DateRoll( $Z30,AN$14*12/$O30,"M","MF",Holidays),"")</f>
        <v/>
      </c>
      <c r="AO30" s="4" t="str">
        <f ca="1">IF(_xll.HLV5r3.Analytics.Miscellaneous.DateRoll( $Z30,AO$14*12/$O30,"M","MF",Holidays)&lt;=$N30,_xll.HLV5r3.Analytics.Miscellaneous.DateRoll( $Z30,AO$14*12/$O30,"M","MF",Holidays),"")</f>
        <v/>
      </c>
      <c r="AP30" s="4" t="str">
        <f ca="1">IF(_xll.HLV5r3.Analytics.Miscellaneous.DateRoll( $Z30,AP$14*12/$O30,"M","MF",Holidays)&lt;=$N30,_xll.HLV5r3.Analytics.Miscellaneous.DateRoll( $Z30,AP$14*12/$O30,"M","MF",Holidays),"")</f>
        <v/>
      </c>
      <c r="AQ30" s="4" t="str">
        <f ca="1">IF(_xll.HLV5r3.Analytics.Miscellaneous.DateRoll( $Z30,AQ$14*12/$O30,"M","MF",Holidays)&lt;=$N30,_xll.HLV5r3.Analytics.Miscellaneous.DateRoll( $Z30,AQ$14*12/$O30,"M","MF",Holidays),"")</f>
        <v/>
      </c>
      <c r="AR30" s="4" t="str">
        <f ca="1">IF(_xll.HLV5r3.Analytics.Miscellaneous.DateRoll( $Z30,AR$14*12/$O30,"M","MF",Holidays)&lt;=$N30,_xll.HLV5r3.Analytics.Miscellaneous.DateRoll( $Z30,AR$14*12/$O30,"M","MF",Holidays),"")</f>
        <v/>
      </c>
      <c r="AS30" s="4" t="str">
        <f ca="1">IF(_xll.HLV5r3.Analytics.Miscellaneous.DateRoll( $Z30,AS$14*12/$O30,"M","MF",Holidays)&lt;=$N30,_xll.HLV5r3.Analytics.Miscellaneous.DateRoll( $Z30,AS$14*12/$O30,"M","MF",Holidays),"")</f>
        <v/>
      </c>
      <c r="AT30" s="4" t="str">
        <f ca="1">IF(_xll.HLV5r3.Analytics.Miscellaneous.DateRoll( $Z30,AT$14*12/$O30,"M","MF",Holidays)&lt;=$N30,_xll.HLV5r3.Analytics.Miscellaneous.DateRoll( $Z30,AT$14*12/$O30,"M","MF",Holidays),"")</f>
        <v/>
      </c>
      <c r="AU30" s="4" t="str">
        <f ca="1">IF(_xll.HLV5r3.Analytics.Miscellaneous.DateRoll( $Z30,AU$14*12/$O30,"M","MF",Holidays)&lt;=$N30,_xll.HLV5r3.Analytics.Miscellaneous.DateRoll( $Z30,AU$14*12/$O30,"M","MF",Holidays),"")</f>
        <v/>
      </c>
      <c r="AV30" s="4" t="str">
        <f ca="1">IF(_xll.HLV5r3.Analytics.Miscellaneous.DateRoll( $Z30,AV$14*12/$O30,"M","MF",Holidays)&lt;=$N30,_xll.HLV5r3.Analytics.Miscellaneous.DateRoll( $Z30,AV$14*12/$O30,"M","MF",Holidays),"")</f>
        <v/>
      </c>
      <c r="AW30" s="4" t="str">
        <f ca="1">IF(_xll.HLV5r3.Analytics.Miscellaneous.DateRoll( $Z30,AW$14*12/$O30,"M","MF",Holidays)&lt;=$N30,_xll.HLV5r3.Analytics.Miscellaneous.DateRoll( $Z30,AW$14*12/$O30,"M","MF",Holidays),"")</f>
        <v/>
      </c>
      <c r="AX30" s="4" t="str">
        <f ca="1">IF(_xll.HLV5r3.Analytics.Miscellaneous.DateRoll( $Z30,AX$14*12/$O30,"M","MF",Holidays)&lt;=$N30,_xll.HLV5r3.Analytics.Miscellaneous.DateRoll( $Z30,AX$14*12/$O30,"M","MF",Holidays),"")</f>
        <v/>
      </c>
      <c r="AY30" s="4" t="str">
        <f ca="1">IF(_xll.HLV5r3.Analytics.Miscellaneous.DateRoll( $Z30,AY$14*12/$O30,"M","MF",Holidays)&lt;=$N30,_xll.HLV5r3.Analytics.Miscellaneous.DateRoll( $Z30,AY$14*12/$O30,"M","MF",Holidays),"")</f>
        <v/>
      </c>
      <c r="AZ30" s="4" t="str">
        <f ca="1">IF(_xll.HLV5r3.Analytics.Miscellaneous.DateRoll( $Z30,AZ$14*12/$O30,"M","MF",Holidays)&lt;=$N30,_xll.HLV5r3.Analytics.Miscellaneous.DateRoll( $Z30,AZ$14*12/$O30,"M","MF",Holidays),"")</f>
        <v/>
      </c>
      <c r="BA30" s="4" t="str">
        <f ca="1">IF(_xll.HLV5r3.Analytics.Miscellaneous.DateRoll( $Z30,BA$14*12/$O30,"M","MF",Holidays)&lt;=$N30,_xll.HLV5r3.Analytics.Miscellaneous.DateRoll( $Z30,BA$14*12/$O30,"M","MF",Holidays),"")</f>
        <v/>
      </c>
      <c r="BB30" s="4" t="str">
        <f ca="1">IF(_xll.HLV5r3.Analytics.Miscellaneous.DateRoll( $Z30,BB$14*12/$O30,"M","MF",Holidays)&lt;=$N30,_xll.HLV5r3.Analytics.Miscellaneous.DateRoll( $Z30,BB$14*12/$O30,"M","MF",Holidays),"")</f>
        <v/>
      </c>
      <c r="BC30" s="4" t="str">
        <f ca="1">IF(_xll.HLV5r3.Analytics.Miscellaneous.DateRoll( $Z30,BC$14*12/$O30,"M","MF",Holidays)&lt;=$N30,_xll.HLV5r3.Analytics.Miscellaneous.DateRoll( $Z30,BC$14*12/$O30,"M","MF",Holidays),"")</f>
        <v/>
      </c>
      <c r="BD30" s="4" t="str">
        <f ca="1">IF(_xll.HLV5r3.Analytics.Miscellaneous.DateRoll( $Z30,BD$14*12/$O30,"M","MF",Holidays)&lt;=$N30,_xll.HLV5r3.Analytics.Miscellaneous.DateRoll( $Z30,BD$14*12/$O30,"M","MF",Holidays),"")</f>
        <v/>
      </c>
      <c r="BE30" s="4" t="str">
        <f ca="1">IF(_xll.HLV5r3.Analytics.Miscellaneous.DateRoll( $Z30,BE$14*12/$O30,"M","MF",Holidays)&lt;=$N30,_xll.HLV5r3.Analytics.Miscellaneous.DateRoll( $Z30,BE$14*12/$O30,"M","MF",Holidays),"")</f>
        <v/>
      </c>
      <c r="BF30" s="4" t="str">
        <f ca="1">IF(_xll.HLV5r3.Analytics.Miscellaneous.DateRoll( $Z30,BF$14*12/$O30,"M","MF",Holidays)&lt;=$N30,_xll.HLV5r3.Analytics.Miscellaneous.DateRoll( $Z30,BF$14*12/$O30,"M","MF",Holidays),"")</f>
        <v/>
      </c>
      <c r="BG30" s="4" t="str">
        <f ca="1">IF(_xll.HLV5r3.Analytics.Miscellaneous.DateRoll( $Z30,BG$14*12/$O30,"M","MF",Holidays)&lt;=$N30,_xll.HLV5r3.Analytics.Miscellaneous.DateRoll( $Z30,BG$14*12/$O30,"M","MF",Holidays),"")</f>
        <v/>
      </c>
      <c r="BH30" s="4" t="str">
        <f ca="1">IF(_xll.HLV5r3.Analytics.Miscellaneous.DateRoll( $Z30,BH$14*12/$O30,"M","MF",Holidays)&lt;=$N30,_xll.HLV5r3.Analytics.Miscellaneous.DateRoll( $Z30,BH$14*12/$O30,"M","MF",Holidays),"")</f>
        <v/>
      </c>
      <c r="BI30" s="4" t="str">
        <f ca="1">IF(_xll.HLV5r3.Analytics.Miscellaneous.DateRoll( $Z30,BI$14*12/$O30,"M","MF",Holidays)&lt;=$N30,_xll.HLV5r3.Analytics.Miscellaneous.DateRoll( $Z30,BI$14*12/$O30,"M","MF",Holidays),"")</f>
        <v/>
      </c>
      <c r="BJ30" s="4" t="str">
        <f ca="1">IF(_xll.HLV5r3.Analytics.Miscellaneous.DateRoll( $Z30,BJ$14*12/$O30,"M","MF",Holidays)&lt;=$N30,_xll.HLV5r3.Analytics.Miscellaneous.DateRoll( $Z30,BJ$14*12/$O30,"M","MF",Holidays),"")</f>
        <v/>
      </c>
      <c r="BK30" s="4" t="str">
        <f ca="1">IF(_xll.HLV5r3.Analytics.Miscellaneous.DateRoll( $Z30,BK$14*12/$O30,"M","MF",Holidays)&lt;=$N30,_xll.HLV5r3.Analytics.Miscellaneous.DateRoll( $Z30,BK$14*12/$O30,"M","MF",Holidays),"")</f>
        <v/>
      </c>
      <c r="BL30" s="4" t="str">
        <f ca="1">IF(_xll.HLV5r3.Analytics.Miscellaneous.DateRoll( $Z30,BL$14*12/$O30,"M","MF",Holidays)&lt;=$N30,_xll.HLV5r3.Analytics.Miscellaneous.DateRoll( $Z30,BL$14*12/$O30,"M","MF",Holidays),"")</f>
        <v/>
      </c>
      <c r="BM30" s="4" t="str">
        <f ca="1">IF(_xll.HLV5r3.Analytics.Miscellaneous.DateRoll( $Z30,BM$14*12/$O30,"M","MF",Holidays)&lt;=$N30,_xll.HLV5r3.Analytics.Miscellaneous.DateRoll( $Z30,BM$14*12/$O30,"M","MF",Holidays),"")</f>
        <v/>
      </c>
      <c r="BN30" s="4" t="str">
        <f ca="1">IF(_xll.HLV5r3.Analytics.Miscellaneous.DateRoll( $Z30,BN$14*12/$O30,"M","MF",Holidays)&lt;=$N30,_xll.HLV5r3.Analytics.Miscellaneous.DateRoll( $Z30,BN$14*12/$O30,"M","MF",Holidays),"")</f>
        <v/>
      </c>
      <c r="BO30" s="4" t="str">
        <f ca="1">IF(_xll.HLV5r3.Analytics.Miscellaneous.DateRoll( $Z30,BO$14*12/$O30,"M","MF",Holidays)&lt;=$N30,_xll.HLV5r3.Analytics.Miscellaneous.DateRoll( $Z30,BO$14*12/$O30,"M","MF",Holidays),"")</f>
        <v/>
      </c>
      <c r="BP30" s="4" t="str">
        <f ca="1">IF(_xll.HLV5r3.Analytics.Miscellaneous.DateRoll( $Z30,BP$14*12/$O30,"M","MF",Holidays)&lt;=$N30,_xll.HLV5r3.Analytics.Miscellaneous.DateRoll( $Z30,BP$14*12/$O30,"M","MF",Holidays),"")</f>
        <v/>
      </c>
      <c r="BQ30" s="4" t="str">
        <f ca="1">IF(_xll.HLV5r3.Analytics.Miscellaneous.DateRoll( $Z30,BQ$14*12/$O30,"M","MF",Holidays)&lt;=$N30,_xll.HLV5r3.Analytics.Miscellaneous.DateRoll( $Z30,BQ$14*12/$O30,"M","MF",Holidays),"")</f>
        <v/>
      </c>
      <c r="BR30" s="4" t="str">
        <f ca="1">IF(_xll.HLV5r3.Analytics.Miscellaneous.DateRoll( $Z30,BR$14*12/$O30,"M","MF",Holidays)&lt;=$N30,_xll.HLV5r3.Analytics.Miscellaneous.DateRoll( $Z30,BR$14*12/$O30,"M","MF",Holidays),"")</f>
        <v/>
      </c>
      <c r="BS30" s="4" t="str">
        <f ca="1">IF(_xll.HLV5r3.Analytics.Miscellaneous.DateRoll( $Z30,BS$14*12/$O30,"M","MF",Holidays)&lt;=$N30,_xll.HLV5r3.Analytics.Miscellaneous.DateRoll( $Z30,BS$14*12/$O30,"M","MF",Holidays),"")</f>
        <v/>
      </c>
      <c r="BT30" s="4" t="str">
        <f ca="1">IF(_xll.HLV5r3.Analytics.Miscellaneous.DateRoll( $Z30,BT$14*12/$O30,"M","MF",Holidays)&lt;=$N30,_xll.HLV5r3.Analytics.Miscellaneous.DateRoll( $Z30,BT$14*12/$O30,"M","MF",Holidays),"")</f>
        <v/>
      </c>
      <c r="BU30" s="4" t="str">
        <f ca="1">IF(_xll.HLV5r3.Analytics.Miscellaneous.DateRoll( $Z30,BU$14*12/$O30,"M","MF",Holidays)&lt;=$N30,_xll.HLV5r3.Analytics.Miscellaneous.DateRoll( $Z30,BU$14*12/$O30,"M","MF",Holidays),"")</f>
        <v/>
      </c>
      <c r="BV30" s="4" t="str">
        <f ca="1">IF(_xll.HLV5r3.Analytics.Miscellaneous.DateRoll( $Z30,BV$14*12/$O30,"M","MF",Holidays)&lt;=$N30,_xll.HLV5r3.Analytics.Miscellaneous.DateRoll( $Z30,BV$14*12/$O30,"M","MF",Holidays),"")</f>
        <v/>
      </c>
      <c r="BW30" s="4" t="str">
        <f ca="1">IF(_xll.HLV5r3.Analytics.Miscellaneous.DateRoll( $Z30,BW$14*12/$O30,"M","MF",Holidays)&lt;=$N30,_xll.HLV5r3.Analytics.Miscellaneous.DateRoll( $Z30,BW$14*12/$O30,"M","MF",Holidays),"")</f>
        <v/>
      </c>
      <c r="BX30" s="4" t="str">
        <f ca="1">IF(_xll.HLV5r3.Analytics.Miscellaneous.DateRoll( $Z30,BX$14*12/$O30,"M","MF",Holidays)&lt;=$N30,_xll.HLV5r3.Analytics.Miscellaneous.DateRoll( $Z30,BX$14*12/$O30,"M","MF",Holidays),"")</f>
        <v/>
      </c>
      <c r="BY30" s="4" t="str">
        <f ca="1">IF(_xll.HLV5r3.Analytics.Miscellaneous.DateRoll( $Z30,BY$14*12/$O30,"M","MF",Holidays)&lt;=$N30,_xll.HLV5r3.Analytics.Miscellaneous.DateRoll( $Z30,BY$14*12/$O30,"M","MF",Holidays),"")</f>
        <v/>
      </c>
      <c r="BZ30" s="4" t="str">
        <f ca="1">IF(_xll.HLV5r3.Analytics.Miscellaneous.DateRoll( $Z30,BZ$14*12/$O30,"M","MF",Holidays)&lt;=$N30,_xll.HLV5r3.Analytics.Miscellaneous.DateRoll( $Z30,BZ$14*12/$O30,"M","MF",Holidays),"")</f>
        <v/>
      </c>
      <c r="CA30" s="4" t="str">
        <f ca="1">IF(_xll.HLV5r3.Analytics.Miscellaneous.DateRoll( $Z30,CA$14*12/$O30,"M","MF",Holidays)&lt;=$N30,_xll.HLV5r3.Analytics.Miscellaneous.DateRoll( $Z30,CA$14*12/$O30,"M","MF",Holidays),"")</f>
        <v/>
      </c>
      <c r="CB30" s="4" t="str">
        <f ca="1">IF(_xll.HLV5r3.Analytics.Miscellaneous.DateRoll( $Z30,CB$14*12/$O30,"M","MF",Holidays)&lt;=$N30,_xll.HLV5r3.Analytics.Miscellaneous.DateRoll( $Z30,CB$14*12/$O30,"M","MF",Holidays),"")</f>
        <v/>
      </c>
      <c r="CC30" s="4" t="str">
        <f ca="1">IF(_xll.HLV5r3.Analytics.Miscellaneous.DateRoll( $Z30,CC$14*12/$O30,"M","MF",Holidays)&lt;=$N30,_xll.HLV5r3.Analytics.Miscellaneous.DateRoll( $Z30,CC$14*12/$O30,"M","MF",Holidays),"")</f>
        <v/>
      </c>
      <c r="CD30" s="4" t="str">
        <f ca="1">IF(_xll.HLV5r3.Analytics.Miscellaneous.DateRoll( $Z30,CD$14*12/$O30,"M","MF",Holidays)&lt;=$N30,_xll.HLV5r3.Analytics.Miscellaneous.DateRoll( $Z30,CD$14*12/$O30,"M","MF",Holidays),"")</f>
        <v/>
      </c>
      <c r="CE30" s="4" t="str">
        <f ca="1">IF(_xll.HLV5r3.Analytics.Miscellaneous.DateRoll( $Z30,CE$14*12/$O30,"M","MF",Holidays)&lt;=$N30,_xll.HLV5r3.Analytics.Miscellaneous.DateRoll( $Z30,CE$14*12/$O30,"M","MF",Holidays),"")</f>
        <v/>
      </c>
      <c r="CF30" s="4" t="str">
        <f ca="1">IF(_xll.HLV5r3.Analytics.Miscellaneous.DateRoll( $Z30,CF$14*12/$O30,"M","MF",Holidays)&lt;=$N30,_xll.HLV5r3.Analytics.Miscellaneous.DateRoll( $Z30,CF$14*12/$O30,"M","MF",Holidays),"")</f>
        <v/>
      </c>
      <c r="CG30" s="4" t="str">
        <f ca="1">IF(_xll.HLV5r3.Analytics.Miscellaneous.DateRoll( $Z30,CG$14*12/$O30,"M","MF",Holidays)&lt;=$N30,_xll.HLV5r3.Analytics.Miscellaneous.DateRoll( $Z30,CG$14*12/$O30,"M","MF",Holidays),"")</f>
        <v/>
      </c>
      <c r="CH30" s="4" t="str">
        <f ca="1">IF(_xll.HLV5r3.Analytics.Miscellaneous.DateRoll( $Z30,CH$14*12/$O30,"M","MF",Holidays)&lt;=$N30,_xll.HLV5r3.Analytics.Miscellaneous.DateRoll( $Z30,CH$14*12/$O30,"M","MF",Holidays),"")</f>
        <v/>
      </c>
      <c r="CI30" s="4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</row>
    <row r="31" spans="1:148">
      <c r="A31" s="29" t="s">
        <v>32</v>
      </c>
      <c r="B31" s="194" t="str">
        <f t="shared" si="14"/>
        <v>7Y</v>
      </c>
      <c r="C31" s="74">
        <v>45</v>
      </c>
      <c r="D31" s="62">
        <f ca="1">$E$44+C31/100</f>
        <v>5.9275000000000064</v>
      </c>
      <c r="E31" s="131">
        <v>-8</v>
      </c>
      <c r="F31" s="72">
        <f ca="1">_xll.HLV5r3.Analytics.Miscellaneous.SFEBillTickValue( D31)</f>
        <v>16.240000000107102</v>
      </c>
      <c r="G31" s="81">
        <v>1</v>
      </c>
      <c r="H31" s="77" t="s">
        <v>34</v>
      </c>
      <c r="I31" s="82" t="s">
        <v>35</v>
      </c>
      <c r="J31" s="81">
        <v>7</v>
      </c>
      <c r="K31" s="77" t="s">
        <v>38</v>
      </c>
      <c r="L31" s="82" t="s">
        <v>37</v>
      </c>
      <c r="M31" s="67">
        <f ca="1">_xll.HLV5r3.Analytics.Miscellaneous.DateRoll( Calc_Date,G31,H31,I31,Holidays)</f>
        <v>43641</v>
      </c>
      <c r="N31" s="61">
        <f ca="1">_xll.HLV5r3.Analytics.Miscellaneous.DateRoll(M31,J31,K31,L31,Holidays)</f>
        <v>46198</v>
      </c>
      <c r="O31" s="88">
        <v>2</v>
      </c>
      <c r="P31" s="95">
        <f t="shared" ca="1" si="15"/>
        <v>5.8475000000000062E-2</v>
      </c>
      <c r="Q31" s="90">
        <v>0</v>
      </c>
      <c r="R31" s="92">
        <f t="shared" ca="1" si="16"/>
        <v>5.8475000000000062E-2</v>
      </c>
      <c r="S31" s="90"/>
      <c r="T31" s="100">
        <f t="shared" si="17"/>
        <v>7.0082191780821921</v>
      </c>
      <c r="U31" s="42">
        <v>2558</v>
      </c>
      <c r="V31" s="41">
        <v>5.8437596213526434E-2</v>
      </c>
      <c r="W31" s="46">
        <f>_xll.HLV5r3.Analytics.Miscellaneous.Zero2DF(V31,ZeroCompFreq,U31/365)</f>
        <v>0.66592334560032096</v>
      </c>
      <c r="X31" s="10"/>
      <c r="Y31" s="37" t="str">
        <f t="shared" si="18"/>
        <v>7Y</v>
      </c>
      <c r="Z31" s="4">
        <f t="shared" ca="1" si="19"/>
        <v>43641</v>
      </c>
      <c r="AA31" s="4">
        <f ca="1">IF(_xll.HLV5r3.Analytics.Miscellaneous.DateRoll( $Z31,AA$14*12/$O31,"M","MF",Holidays)&lt;=$N31,_xll.HLV5r3.Analytics.Miscellaneous.DateRoll( $Z31,AA$14*12/$O31,"M","MF",Holidays),"")</f>
        <v>43826</v>
      </c>
      <c r="AB31" s="4">
        <f ca="1">IF(_xll.HLV5r3.Analytics.Miscellaneous.DateRoll( $Z31,AB$14*12/$O31,"M","MF",Holidays)&lt;=$N31,_xll.HLV5r3.Analytics.Miscellaneous.DateRoll( $Z31,AB$14*12/$O31,"M","MF",Holidays),"")</f>
        <v>44007</v>
      </c>
      <c r="AC31" s="4">
        <f ca="1">IF(_xll.HLV5r3.Analytics.Miscellaneous.DateRoll( $Z31,AC$14*12/$O31,"M","MF",Holidays)&lt;=$N31,_xll.HLV5r3.Analytics.Miscellaneous.DateRoll( $Z31,AC$14*12/$O31,"M","MF",Holidays),"")</f>
        <v>44194</v>
      </c>
      <c r="AD31" s="4">
        <f ca="1">IF(_xll.HLV5r3.Analytics.Miscellaneous.DateRoll( $Z31,AD$14*12/$O31,"M","MF",Holidays)&lt;=$N31,_xll.HLV5r3.Analytics.Miscellaneous.DateRoll( $Z31,AD$14*12/$O31,"M","MF",Holidays),"")</f>
        <v>44372</v>
      </c>
      <c r="AE31" s="4">
        <f ca="1">IF(_xll.HLV5r3.Analytics.Miscellaneous.DateRoll( $Z31,AE$14*12/$O31,"M","MF",Holidays)&lt;=$N31,_xll.HLV5r3.Analytics.Miscellaneous.DateRoll( $Z31,AE$14*12/$O31,"M","MF",Holidays),"")</f>
        <v>44559</v>
      </c>
      <c r="AF31" s="4">
        <f ca="1">IF(_xll.HLV5r3.Analytics.Miscellaneous.DateRoll( $Z31,AF$14*12/$O31,"M","MF",Holidays)&lt;=$N31,_xll.HLV5r3.Analytics.Miscellaneous.DateRoll( $Z31,AF$14*12/$O31,"M","MF",Holidays),"")</f>
        <v>44739</v>
      </c>
      <c r="AG31" s="4">
        <f ca="1">IF(_xll.HLV5r3.Analytics.Miscellaneous.DateRoll( $Z31,AG$14*12/$O31,"M","MF",Holidays)&lt;=$N31,_xll.HLV5r3.Analytics.Miscellaneous.DateRoll( $Z31,AG$14*12/$O31,"M","MF",Holidays),"")</f>
        <v>44923</v>
      </c>
      <c r="AH31" s="4">
        <f ca="1">IF(_xll.HLV5r3.Analytics.Miscellaneous.DateRoll( $Z31,AH$14*12/$O31,"M","MF",Holidays)&lt;=$N31,_xll.HLV5r3.Analytics.Miscellaneous.DateRoll( $Z31,AH$14*12/$O31,"M","MF",Holidays),"")</f>
        <v>45103</v>
      </c>
      <c r="AI31" s="4">
        <f ca="1">IF(_xll.HLV5r3.Analytics.Miscellaneous.DateRoll( $Z31,AI$14*12/$O31,"M","MF",Holidays)&lt;=$N31,_xll.HLV5r3.Analytics.Miscellaneous.DateRoll( $Z31,AI$14*12/$O31,"M","MF",Holidays),"")</f>
        <v>45287</v>
      </c>
      <c r="AJ31" s="4">
        <f ca="1">IF(_xll.HLV5r3.Analytics.Miscellaneous.DateRoll( $Z31,AJ$14*12/$O31,"M","MF",Holidays)&lt;=$N31,_xll.HLV5r3.Analytics.Miscellaneous.DateRoll( $Z31,AJ$14*12/$O31,"M","MF",Holidays),"")</f>
        <v>45468</v>
      </c>
      <c r="AK31" s="4">
        <f ca="1">IF(_xll.HLV5r3.Analytics.Miscellaneous.DateRoll( $Z31,AK$14*12/$O31,"M","MF",Holidays)&lt;=$N31,_xll.HLV5r3.Analytics.Miscellaneous.DateRoll( $Z31,AK$14*12/$O31,"M","MF",Holidays),"")</f>
        <v>45653</v>
      </c>
      <c r="AL31" s="4">
        <f ca="1">IF(_xll.HLV5r3.Analytics.Miscellaneous.DateRoll( $Z31,AL$14*12/$O31,"M","MF",Holidays)&lt;=$N31,_xll.HLV5r3.Analytics.Miscellaneous.DateRoll( $Z31,AL$14*12/$O31,"M","MF",Holidays),"")</f>
        <v>45833</v>
      </c>
      <c r="AM31" s="4">
        <f ca="1">IF(_xll.HLV5r3.Analytics.Miscellaneous.DateRoll( $Z31,AM$14*12/$O31,"M","MF",Holidays)&lt;=$N31,_xll.HLV5r3.Analytics.Miscellaneous.DateRoll( $Z31,AM$14*12/$O31,"M","MF",Holidays),"")</f>
        <v>46020</v>
      </c>
      <c r="AN31" s="4">
        <f ca="1">IF(_xll.HLV5r3.Analytics.Miscellaneous.DateRoll( $Z31,AN$14*12/$O31,"M","MF",Holidays)&lt;=$N31,_xll.HLV5r3.Analytics.Miscellaneous.DateRoll( $Z31,AN$14*12/$O31,"M","MF",Holidays),"")</f>
        <v>46198</v>
      </c>
      <c r="AO31" s="4" t="str">
        <f ca="1">IF(_xll.HLV5r3.Analytics.Miscellaneous.DateRoll( $Z31,AO$14*12/$O31,"M","MF",Holidays)&lt;=$N31,_xll.HLV5r3.Analytics.Miscellaneous.DateRoll( $Z31,AO$14*12/$O31,"M","MF",Holidays),"")</f>
        <v/>
      </c>
      <c r="AP31" s="4" t="str">
        <f ca="1">IF(_xll.HLV5r3.Analytics.Miscellaneous.DateRoll( $Z31,AP$14*12/$O31,"M","MF",Holidays)&lt;=$N31,_xll.HLV5r3.Analytics.Miscellaneous.DateRoll( $Z31,AP$14*12/$O31,"M","MF",Holidays),"")</f>
        <v/>
      </c>
      <c r="AQ31" s="4" t="str">
        <f ca="1">IF(_xll.HLV5r3.Analytics.Miscellaneous.DateRoll( $Z31,AQ$14*12/$O31,"M","MF",Holidays)&lt;=$N31,_xll.HLV5r3.Analytics.Miscellaneous.DateRoll( $Z31,AQ$14*12/$O31,"M","MF",Holidays),"")</f>
        <v/>
      </c>
      <c r="AR31" s="4" t="str">
        <f ca="1">IF(_xll.HLV5r3.Analytics.Miscellaneous.DateRoll( $Z31,AR$14*12/$O31,"M","MF",Holidays)&lt;=$N31,_xll.HLV5r3.Analytics.Miscellaneous.DateRoll( $Z31,AR$14*12/$O31,"M","MF",Holidays),"")</f>
        <v/>
      </c>
      <c r="AS31" s="4" t="str">
        <f ca="1">IF(_xll.HLV5r3.Analytics.Miscellaneous.DateRoll( $Z31,AS$14*12/$O31,"M","MF",Holidays)&lt;=$N31,_xll.HLV5r3.Analytics.Miscellaneous.DateRoll( $Z31,AS$14*12/$O31,"M","MF",Holidays),"")</f>
        <v/>
      </c>
      <c r="AT31" s="4" t="str">
        <f ca="1">IF(_xll.HLV5r3.Analytics.Miscellaneous.DateRoll( $Z31,AT$14*12/$O31,"M","MF",Holidays)&lt;=$N31,_xll.HLV5r3.Analytics.Miscellaneous.DateRoll( $Z31,AT$14*12/$O31,"M","MF",Holidays),"")</f>
        <v/>
      </c>
      <c r="AU31" s="4" t="str">
        <f ca="1">IF(_xll.HLV5r3.Analytics.Miscellaneous.DateRoll( $Z31,AU$14*12/$O31,"M","MF",Holidays)&lt;=$N31,_xll.HLV5r3.Analytics.Miscellaneous.DateRoll( $Z31,AU$14*12/$O31,"M","MF",Holidays),"")</f>
        <v/>
      </c>
      <c r="AV31" s="4" t="str">
        <f ca="1">IF(_xll.HLV5r3.Analytics.Miscellaneous.DateRoll( $Z31,AV$14*12/$O31,"M","MF",Holidays)&lt;=$N31,_xll.HLV5r3.Analytics.Miscellaneous.DateRoll( $Z31,AV$14*12/$O31,"M","MF",Holidays),"")</f>
        <v/>
      </c>
      <c r="AW31" s="4" t="str">
        <f ca="1">IF(_xll.HLV5r3.Analytics.Miscellaneous.DateRoll( $Z31,AW$14*12/$O31,"M","MF",Holidays)&lt;=$N31,_xll.HLV5r3.Analytics.Miscellaneous.DateRoll( $Z31,AW$14*12/$O31,"M","MF",Holidays),"")</f>
        <v/>
      </c>
      <c r="AX31" s="4" t="str">
        <f ca="1">IF(_xll.HLV5r3.Analytics.Miscellaneous.DateRoll( $Z31,AX$14*12/$O31,"M","MF",Holidays)&lt;=$N31,_xll.HLV5r3.Analytics.Miscellaneous.DateRoll( $Z31,AX$14*12/$O31,"M","MF",Holidays),"")</f>
        <v/>
      </c>
      <c r="AY31" s="4" t="str">
        <f ca="1">IF(_xll.HLV5r3.Analytics.Miscellaneous.DateRoll( $Z31,AY$14*12/$O31,"M","MF",Holidays)&lt;=$N31,_xll.HLV5r3.Analytics.Miscellaneous.DateRoll( $Z31,AY$14*12/$O31,"M","MF",Holidays),"")</f>
        <v/>
      </c>
      <c r="AZ31" s="4" t="str">
        <f ca="1">IF(_xll.HLV5r3.Analytics.Miscellaneous.DateRoll( $Z31,AZ$14*12/$O31,"M","MF",Holidays)&lt;=$N31,_xll.HLV5r3.Analytics.Miscellaneous.DateRoll( $Z31,AZ$14*12/$O31,"M","MF",Holidays),"")</f>
        <v/>
      </c>
      <c r="BA31" s="4" t="str">
        <f ca="1">IF(_xll.HLV5r3.Analytics.Miscellaneous.DateRoll( $Z31,BA$14*12/$O31,"M","MF",Holidays)&lt;=$N31,_xll.HLV5r3.Analytics.Miscellaneous.DateRoll( $Z31,BA$14*12/$O31,"M","MF",Holidays),"")</f>
        <v/>
      </c>
      <c r="BB31" s="4" t="str">
        <f ca="1">IF(_xll.HLV5r3.Analytics.Miscellaneous.DateRoll( $Z31,BB$14*12/$O31,"M","MF",Holidays)&lt;=$N31,_xll.HLV5r3.Analytics.Miscellaneous.DateRoll( $Z31,BB$14*12/$O31,"M","MF",Holidays),"")</f>
        <v/>
      </c>
      <c r="BC31" s="4" t="str">
        <f ca="1">IF(_xll.HLV5r3.Analytics.Miscellaneous.DateRoll( $Z31,BC$14*12/$O31,"M","MF",Holidays)&lt;=$N31,_xll.HLV5r3.Analytics.Miscellaneous.DateRoll( $Z31,BC$14*12/$O31,"M","MF",Holidays),"")</f>
        <v/>
      </c>
      <c r="BD31" s="4" t="str">
        <f ca="1">IF(_xll.HLV5r3.Analytics.Miscellaneous.DateRoll( $Z31,BD$14*12/$O31,"M","MF",Holidays)&lt;=$N31,_xll.HLV5r3.Analytics.Miscellaneous.DateRoll( $Z31,BD$14*12/$O31,"M","MF",Holidays),"")</f>
        <v/>
      </c>
      <c r="BE31" s="4" t="str">
        <f ca="1">IF(_xll.HLV5r3.Analytics.Miscellaneous.DateRoll( $Z31,BE$14*12/$O31,"M","MF",Holidays)&lt;=$N31,_xll.HLV5r3.Analytics.Miscellaneous.DateRoll( $Z31,BE$14*12/$O31,"M","MF",Holidays),"")</f>
        <v/>
      </c>
      <c r="BF31" s="4" t="str">
        <f ca="1">IF(_xll.HLV5r3.Analytics.Miscellaneous.DateRoll( $Z31,BF$14*12/$O31,"M","MF",Holidays)&lt;=$N31,_xll.HLV5r3.Analytics.Miscellaneous.DateRoll( $Z31,BF$14*12/$O31,"M","MF",Holidays),"")</f>
        <v/>
      </c>
      <c r="BG31" s="4" t="str">
        <f ca="1">IF(_xll.HLV5r3.Analytics.Miscellaneous.DateRoll( $Z31,BG$14*12/$O31,"M","MF",Holidays)&lt;=$N31,_xll.HLV5r3.Analytics.Miscellaneous.DateRoll( $Z31,BG$14*12/$O31,"M","MF",Holidays),"")</f>
        <v/>
      </c>
      <c r="BH31" s="4" t="str">
        <f ca="1">IF(_xll.HLV5r3.Analytics.Miscellaneous.DateRoll( $Z31,BH$14*12/$O31,"M","MF",Holidays)&lt;=$N31,_xll.HLV5r3.Analytics.Miscellaneous.DateRoll( $Z31,BH$14*12/$O31,"M","MF",Holidays),"")</f>
        <v/>
      </c>
      <c r="BI31" s="4" t="str">
        <f ca="1">IF(_xll.HLV5r3.Analytics.Miscellaneous.DateRoll( $Z31,BI$14*12/$O31,"M","MF",Holidays)&lt;=$N31,_xll.HLV5r3.Analytics.Miscellaneous.DateRoll( $Z31,BI$14*12/$O31,"M","MF",Holidays),"")</f>
        <v/>
      </c>
      <c r="BJ31" s="4" t="str">
        <f ca="1">IF(_xll.HLV5r3.Analytics.Miscellaneous.DateRoll( $Z31,BJ$14*12/$O31,"M","MF",Holidays)&lt;=$N31,_xll.HLV5r3.Analytics.Miscellaneous.DateRoll( $Z31,BJ$14*12/$O31,"M","MF",Holidays),"")</f>
        <v/>
      </c>
      <c r="BK31" s="4" t="str">
        <f ca="1">IF(_xll.HLV5r3.Analytics.Miscellaneous.DateRoll( $Z31,BK$14*12/$O31,"M","MF",Holidays)&lt;=$N31,_xll.HLV5r3.Analytics.Miscellaneous.DateRoll( $Z31,BK$14*12/$O31,"M","MF",Holidays),"")</f>
        <v/>
      </c>
      <c r="BL31" s="4" t="str">
        <f ca="1">IF(_xll.HLV5r3.Analytics.Miscellaneous.DateRoll( $Z31,BL$14*12/$O31,"M","MF",Holidays)&lt;=$N31,_xll.HLV5r3.Analytics.Miscellaneous.DateRoll( $Z31,BL$14*12/$O31,"M","MF",Holidays),"")</f>
        <v/>
      </c>
      <c r="BM31" s="4" t="str">
        <f ca="1">IF(_xll.HLV5r3.Analytics.Miscellaneous.DateRoll( $Z31,BM$14*12/$O31,"M","MF",Holidays)&lt;=$N31,_xll.HLV5r3.Analytics.Miscellaneous.DateRoll( $Z31,BM$14*12/$O31,"M","MF",Holidays),"")</f>
        <v/>
      </c>
      <c r="BN31" s="4" t="str">
        <f ca="1">IF(_xll.HLV5r3.Analytics.Miscellaneous.DateRoll( $Z31,BN$14*12/$O31,"M","MF",Holidays)&lt;=$N31,_xll.HLV5r3.Analytics.Miscellaneous.DateRoll( $Z31,BN$14*12/$O31,"M","MF",Holidays),"")</f>
        <v/>
      </c>
      <c r="BO31" s="4" t="str">
        <f ca="1">IF(_xll.HLV5r3.Analytics.Miscellaneous.DateRoll( $Z31,BO$14*12/$O31,"M","MF",Holidays)&lt;=$N31,_xll.HLV5r3.Analytics.Miscellaneous.DateRoll( $Z31,BO$14*12/$O31,"M","MF",Holidays),"")</f>
        <v/>
      </c>
      <c r="BP31" s="4" t="str">
        <f ca="1">IF(_xll.HLV5r3.Analytics.Miscellaneous.DateRoll( $Z31,BP$14*12/$O31,"M","MF",Holidays)&lt;=$N31,_xll.HLV5r3.Analytics.Miscellaneous.DateRoll( $Z31,BP$14*12/$O31,"M","MF",Holidays),"")</f>
        <v/>
      </c>
      <c r="BQ31" s="4" t="str">
        <f ca="1">IF(_xll.HLV5r3.Analytics.Miscellaneous.DateRoll( $Z31,BQ$14*12/$O31,"M","MF",Holidays)&lt;=$N31,_xll.HLV5r3.Analytics.Miscellaneous.DateRoll( $Z31,BQ$14*12/$O31,"M","MF",Holidays),"")</f>
        <v/>
      </c>
      <c r="BR31" s="4" t="str">
        <f ca="1">IF(_xll.HLV5r3.Analytics.Miscellaneous.DateRoll( $Z31,BR$14*12/$O31,"M","MF",Holidays)&lt;=$N31,_xll.HLV5r3.Analytics.Miscellaneous.DateRoll( $Z31,BR$14*12/$O31,"M","MF",Holidays),"")</f>
        <v/>
      </c>
      <c r="BS31" s="4" t="str">
        <f ca="1">IF(_xll.HLV5r3.Analytics.Miscellaneous.DateRoll( $Z31,BS$14*12/$O31,"M","MF",Holidays)&lt;=$N31,_xll.HLV5r3.Analytics.Miscellaneous.DateRoll( $Z31,BS$14*12/$O31,"M","MF",Holidays),"")</f>
        <v/>
      </c>
      <c r="BT31" s="4" t="str">
        <f ca="1">IF(_xll.HLV5r3.Analytics.Miscellaneous.DateRoll( $Z31,BT$14*12/$O31,"M","MF",Holidays)&lt;=$N31,_xll.HLV5r3.Analytics.Miscellaneous.DateRoll( $Z31,BT$14*12/$O31,"M","MF",Holidays),"")</f>
        <v/>
      </c>
      <c r="BU31" s="4" t="str">
        <f ca="1">IF(_xll.HLV5r3.Analytics.Miscellaneous.DateRoll( $Z31,BU$14*12/$O31,"M","MF",Holidays)&lt;=$N31,_xll.HLV5r3.Analytics.Miscellaneous.DateRoll( $Z31,BU$14*12/$O31,"M","MF",Holidays),"")</f>
        <v/>
      </c>
      <c r="BV31" s="4" t="str">
        <f ca="1">IF(_xll.HLV5r3.Analytics.Miscellaneous.DateRoll( $Z31,BV$14*12/$O31,"M","MF",Holidays)&lt;=$N31,_xll.HLV5r3.Analytics.Miscellaneous.DateRoll( $Z31,BV$14*12/$O31,"M","MF",Holidays),"")</f>
        <v/>
      </c>
      <c r="BW31" s="4" t="str">
        <f ca="1">IF(_xll.HLV5r3.Analytics.Miscellaneous.DateRoll( $Z31,BW$14*12/$O31,"M","MF",Holidays)&lt;=$N31,_xll.HLV5r3.Analytics.Miscellaneous.DateRoll( $Z31,BW$14*12/$O31,"M","MF",Holidays),"")</f>
        <v/>
      </c>
      <c r="BX31" s="4" t="str">
        <f ca="1">IF(_xll.HLV5r3.Analytics.Miscellaneous.DateRoll( $Z31,BX$14*12/$O31,"M","MF",Holidays)&lt;=$N31,_xll.HLV5r3.Analytics.Miscellaneous.DateRoll( $Z31,BX$14*12/$O31,"M","MF",Holidays),"")</f>
        <v/>
      </c>
      <c r="BY31" s="4" t="str">
        <f ca="1">IF(_xll.HLV5r3.Analytics.Miscellaneous.DateRoll( $Z31,BY$14*12/$O31,"M","MF",Holidays)&lt;=$N31,_xll.HLV5r3.Analytics.Miscellaneous.DateRoll( $Z31,BY$14*12/$O31,"M","MF",Holidays),"")</f>
        <v/>
      </c>
      <c r="BZ31" s="4" t="str">
        <f ca="1">IF(_xll.HLV5r3.Analytics.Miscellaneous.DateRoll( $Z31,BZ$14*12/$O31,"M","MF",Holidays)&lt;=$N31,_xll.HLV5r3.Analytics.Miscellaneous.DateRoll( $Z31,BZ$14*12/$O31,"M","MF",Holidays),"")</f>
        <v/>
      </c>
      <c r="CA31" s="4" t="str">
        <f ca="1">IF(_xll.HLV5r3.Analytics.Miscellaneous.DateRoll( $Z31,CA$14*12/$O31,"M","MF",Holidays)&lt;=$N31,_xll.HLV5r3.Analytics.Miscellaneous.DateRoll( $Z31,CA$14*12/$O31,"M","MF",Holidays),"")</f>
        <v/>
      </c>
      <c r="CB31" s="4" t="str">
        <f ca="1">IF(_xll.HLV5r3.Analytics.Miscellaneous.DateRoll( $Z31,CB$14*12/$O31,"M","MF",Holidays)&lt;=$N31,_xll.HLV5r3.Analytics.Miscellaneous.DateRoll( $Z31,CB$14*12/$O31,"M","MF",Holidays),"")</f>
        <v/>
      </c>
      <c r="CC31" s="4" t="str">
        <f ca="1">IF(_xll.HLV5r3.Analytics.Miscellaneous.DateRoll( $Z31,CC$14*12/$O31,"M","MF",Holidays)&lt;=$N31,_xll.HLV5r3.Analytics.Miscellaneous.DateRoll( $Z31,CC$14*12/$O31,"M","MF",Holidays),"")</f>
        <v/>
      </c>
      <c r="CD31" s="4" t="str">
        <f ca="1">IF(_xll.HLV5r3.Analytics.Miscellaneous.DateRoll( $Z31,CD$14*12/$O31,"M","MF",Holidays)&lt;=$N31,_xll.HLV5r3.Analytics.Miscellaneous.DateRoll( $Z31,CD$14*12/$O31,"M","MF",Holidays),"")</f>
        <v/>
      </c>
      <c r="CE31" s="4" t="str">
        <f ca="1">IF(_xll.HLV5r3.Analytics.Miscellaneous.DateRoll( $Z31,CE$14*12/$O31,"M","MF",Holidays)&lt;=$N31,_xll.HLV5r3.Analytics.Miscellaneous.DateRoll( $Z31,CE$14*12/$O31,"M","MF",Holidays),"")</f>
        <v/>
      </c>
      <c r="CF31" s="4" t="str">
        <f ca="1">IF(_xll.HLV5r3.Analytics.Miscellaneous.DateRoll( $Z31,CF$14*12/$O31,"M","MF",Holidays)&lt;=$N31,_xll.HLV5r3.Analytics.Miscellaneous.DateRoll( $Z31,CF$14*12/$O31,"M","MF",Holidays),"")</f>
        <v/>
      </c>
      <c r="CG31" s="4" t="str">
        <f ca="1">IF(_xll.HLV5r3.Analytics.Miscellaneous.DateRoll( $Z31,CG$14*12/$O31,"M","MF",Holidays)&lt;=$N31,_xll.HLV5r3.Analytics.Miscellaneous.DateRoll( $Z31,CG$14*12/$O31,"M","MF",Holidays),"")</f>
        <v/>
      </c>
      <c r="CH31" s="4" t="str">
        <f ca="1">IF(_xll.HLV5r3.Analytics.Miscellaneous.DateRoll( $Z31,CH$14*12/$O31,"M","MF",Holidays)&lt;=$N31,_xll.HLV5r3.Analytics.Miscellaneous.DateRoll( $Z31,CH$14*12/$O31,"M","MF",Holidays),"")</f>
        <v/>
      </c>
      <c r="CI31" s="4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</row>
    <row r="32" spans="1:148">
      <c r="A32" s="29" t="s">
        <v>32</v>
      </c>
      <c r="B32" s="194" t="str">
        <f t="shared" si="14"/>
        <v>8Y</v>
      </c>
      <c r="C32" s="74">
        <v>47.916666666666664</v>
      </c>
      <c r="D32" s="62">
        <f ca="1">$E$44+C32/100</f>
        <v>5.9566666666666732</v>
      </c>
      <c r="E32" s="131">
        <v>-7.8472222222222223</v>
      </c>
      <c r="F32" s="72">
        <f ca="1">_xll.HLV5r3.Analytics.Miscellaneous.SFEBillTickValue( D32)</f>
        <v>16.25</v>
      </c>
      <c r="G32" s="81">
        <v>1</v>
      </c>
      <c r="H32" s="77" t="s">
        <v>34</v>
      </c>
      <c r="I32" s="82" t="s">
        <v>35</v>
      </c>
      <c r="J32" s="81">
        <v>8</v>
      </c>
      <c r="K32" s="77" t="s">
        <v>38</v>
      </c>
      <c r="L32" s="82" t="s">
        <v>37</v>
      </c>
      <c r="M32" s="67">
        <f ca="1">_xll.HLV5r3.Analytics.Miscellaneous.DateRoll( Calc_Date,G32,H32,I32,Holidays)</f>
        <v>43641</v>
      </c>
      <c r="N32" s="61">
        <f ca="1">_xll.HLV5r3.Analytics.Miscellaneous.DateRoll(M32,J32,K32,L32,Holidays)</f>
        <v>46563</v>
      </c>
      <c r="O32" s="88">
        <v>2</v>
      </c>
      <c r="P32" s="95">
        <f t="shared" ca="1" si="15"/>
        <v>5.8781944444444512E-2</v>
      </c>
      <c r="Q32" s="90">
        <v>0</v>
      </c>
      <c r="R32" s="92">
        <f t="shared" ca="1" si="16"/>
        <v>5.8781944444444512E-2</v>
      </c>
      <c r="S32" s="90"/>
      <c r="T32" s="100">
        <f t="shared" si="17"/>
        <v>8.0136986301369859</v>
      </c>
      <c r="U32" s="42">
        <v>2925</v>
      </c>
      <c r="V32" s="41">
        <v>5.8765700724784486E-2</v>
      </c>
      <c r="W32" s="46">
        <f>_xll.HLV5r3.Analytics.Miscellaneous.Zero2DF(V32,ZeroCompFreq,U32/365)</f>
        <v>0.62656371679964262</v>
      </c>
      <c r="X32" s="10"/>
      <c r="Y32" s="37" t="str">
        <f t="shared" si="18"/>
        <v>8Y</v>
      </c>
      <c r="Z32" s="4">
        <f t="shared" ca="1" si="19"/>
        <v>43641</v>
      </c>
      <c r="AA32" s="4">
        <f ca="1">IF(_xll.HLV5r3.Analytics.Miscellaneous.DateRoll( $Z32,AA$14*12/$O32,"M","MF",Holidays)&lt;=$N32,_xll.HLV5r3.Analytics.Miscellaneous.DateRoll( $Z32,AA$14*12/$O32,"M","MF",Holidays),"")</f>
        <v>43826</v>
      </c>
      <c r="AB32" s="4">
        <f ca="1">IF(_xll.HLV5r3.Analytics.Miscellaneous.DateRoll( $Z32,AB$14*12/$O32,"M","MF",Holidays)&lt;=$N32,_xll.HLV5r3.Analytics.Miscellaneous.DateRoll( $Z32,AB$14*12/$O32,"M","MF",Holidays),"")</f>
        <v>44007</v>
      </c>
      <c r="AC32" s="4">
        <f ca="1">IF(_xll.HLV5r3.Analytics.Miscellaneous.DateRoll( $Z32,AC$14*12/$O32,"M","MF",Holidays)&lt;=$N32,_xll.HLV5r3.Analytics.Miscellaneous.DateRoll( $Z32,AC$14*12/$O32,"M","MF",Holidays),"")</f>
        <v>44194</v>
      </c>
      <c r="AD32" s="4">
        <f ca="1">IF(_xll.HLV5r3.Analytics.Miscellaneous.DateRoll( $Z32,AD$14*12/$O32,"M","MF",Holidays)&lt;=$N32,_xll.HLV5r3.Analytics.Miscellaneous.DateRoll( $Z32,AD$14*12/$O32,"M","MF",Holidays),"")</f>
        <v>44372</v>
      </c>
      <c r="AE32" s="4">
        <f ca="1">IF(_xll.HLV5r3.Analytics.Miscellaneous.DateRoll( $Z32,AE$14*12/$O32,"M","MF",Holidays)&lt;=$N32,_xll.HLV5r3.Analytics.Miscellaneous.DateRoll( $Z32,AE$14*12/$O32,"M","MF",Holidays),"")</f>
        <v>44559</v>
      </c>
      <c r="AF32" s="4">
        <f ca="1">IF(_xll.HLV5r3.Analytics.Miscellaneous.DateRoll( $Z32,AF$14*12/$O32,"M","MF",Holidays)&lt;=$N32,_xll.HLV5r3.Analytics.Miscellaneous.DateRoll( $Z32,AF$14*12/$O32,"M","MF",Holidays),"")</f>
        <v>44739</v>
      </c>
      <c r="AG32" s="4">
        <f ca="1">IF(_xll.HLV5r3.Analytics.Miscellaneous.DateRoll( $Z32,AG$14*12/$O32,"M","MF",Holidays)&lt;=$N32,_xll.HLV5r3.Analytics.Miscellaneous.DateRoll( $Z32,AG$14*12/$O32,"M","MF",Holidays),"")</f>
        <v>44923</v>
      </c>
      <c r="AH32" s="4">
        <f ca="1">IF(_xll.HLV5r3.Analytics.Miscellaneous.DateRoll( $Z32,AH$14*12/$O32,"M","MF",Holidays)&lt;=$N32,_xll.HLV5r3.Analytics.Miscellaneous.DateRoll( $Z32,AH$14*12/$O32,"M","MF",Holidays),"")</f>
        <v>45103</v>
      </c>
      <c r="AI32" s="4">
        <f ca="1">IF(_xll.HLV5r3.Analytics.Miscellaneous.DateRoll( $Z32,AI$14*12/$O32,"M","MF",Holidays)&lt;=$N32,_xll.HLV5r3.Analytics.Miscellaneous.DateRoll( $Z32,AI$14*12/$O32,"M","MF",Holidays),"")</f>
        <v>45287</v>
      </c>
      <c r="AJ32" s="4">
        <f ca="1">IF(_xll.HLV5r3.Analytics.Miscellaneous.DateRoll( $Z32,AJ$14*12/$O32,"M","MF",Holidays)&lt;=$N32,_xll.HLV5r3.Analytics.Miscellaneous.DateRoll( $Z32,AJ$14*12/$O32,"M","MF",Holidays),"")</f>
        <v>45468</v>
      </c>
      <c r="AK32" s="4">
        <f ca="1">IF(_xll.HLV5r3.Analytics.Miscellaneous.DateRoll( $Z32,AK$14*12/$O32,"M","MF",Holidays)&lt;=$N32,_xll.HLV5r3.Analytics.Miscellaneous.DateRoll( $Z32,AK$14*12/$O32,"M","MF",Holidays),"")</f>
        <v>45653</v>
      </c>
      <c r="AL32" s="4">
        <f ca="1">IF(_xll.HLV5r3.Analytics.Miscellaneous.DateRoll( $Z32,AL$14*12/$O32,"M","MF",Holidays)&lt;=$N32,_xll.HLV5r3.Analytics.Miscellaneous.DateRoll( $Z32,AL$14*12/$O32,"M","MF",Holidays),"")</f>
        <v>45833</v>
      </c>
      <c r="AM32" s="4">
        <f ca="1">IF(_xll.HLV5r3.Analytics.Miscellaneous.DateRoll( $Z32,AM$14*12/$O32,"M","MF",Holidays)&lt;=$N32,_xll.HLV5r3.Analytics.Miscellaneous.DateRoll( $Z32,AM$14*12/$O32,"M","MF",Holidays),"")</f>
        <v>46020</v>
      </c>
      <c r="AN32" s="4">
        <f ca="1">IF(_xll.HLV5r3.Analytics.Miscellaneous.DateRoll( $Z32,AN$14*12/$O32,"M","MF",Holidays)&lt;=$N32,_xll.HLV5r3.Analytics.Miscellaneous.DateRoll( $Z32,AN$14*12/$O32,"M","MF",Holidays),"")</f>
        <v>46198</v>
      </c>
      <c r="AO32" s="4">
        <f ca="1">IF(_xll.HLV5r3.Analytics.Miscellaneous.DateRoll( $Z32,AO$14*12/$O32,"M","MF",Holidays)&lt;=$N32,_xll.HLV5r3.Analytics.Miscellaneous.DateRoll( $Z32,AO$14*12/$O32,"M","MF",Holidays),"")</f>
        <v>46385</v>
      </c>
      <c r="AP32" s="4">
        <f ca="1">IF(_xll.HLV5r3.Analytics.Miscellaneous.DateRoll( $Z32,AP$14*12/$O32,"M","MF",Holidays)&lt;=$N32,_xll.HLV5r3.Analytics.Miscellaneous.DateRoll( $Z32,AP$14*12/$O32,"M","MF",Holidays),"")</f>
        <v>46563</v>
      </c>
      <c r="AQ32" s="4" t="str">
        <f ca="1">IF(_xll.HLV5r3.Analytics.Miscellaneous.DateRoll( $Z32,AQ$14*12/$O32,"M","MF",Holidays)&lt;=$N32,_xll.HLV5r3.Analytics.Miscellaneous.DateRoll( $Z32,AQ$14*12/$O32,"M","MF",Holidays),"")</f>
        <v/>
      </c>
      <c r="AR32" s="4" t="str">
        <f ca="1">IF(_xll.HLV5r3.Analytics.Miscellaneous.DateRoll( $Z32,AR$14*12/$O32,"M","MF",Holidays)&lt;=$N32,_xll.HLV5r3.Analytics.Miscellaneous.DateRoll( $Z32,AR$14*12/$O32,"M","MF",Holidays),"")</f>
        <v/>
      </c>
      <c r="AS32" s="4" t="str">
        <f ca="1">IF(_xll.HLV5r3.Analytics.Miscellaneous.DateRoll( $Z32,AS$14*12/$O32,"M","MF",Holidays)&lt;=$N32,_xll.HLV5r3.Analytics.Miscellaneous.DateRoll( $Z32,AS$14*12/$O32,"M","MF",Holidays),"")</f>
        <v/>
      </c>
      <c r="AT32" s="4" t="str">
        <f ca="1">IF(_xll.HLV5r3.Analytics.Miscellaneous.DateRoll( $Z32,AT$14*12/$O32,"M","MF",Holidays)&lt;=$N32,_xll.HLV5r3.Analytics.Miscellaneous.DateRoll( $Z32,AT$14*12/$O32,"M","MF",Holidays),"")</f>
        <v/>
      </c>
      <c r="AU32" s="4" t="str">
        <f ca="1">IF(_xll.HLV5r3.Analytics.Miscellaneous.DateRoll( $Z32,AU$14*12/$O32,"M","MF",Holidays)&lt;=$N32,_xll.HLV5r3.Analytics.Miscellaneous.DateRoll( $Z32,AU$14*12/$O32,"M","MF",Holidays),"")</f>
        <v/>
      </c>
      <c r="AV32" s="4" t="str">
        <f ca="1">IF(_xll.HLV5r3.Analytics.Miscellaneous.DateRoll( $Z32,AV$14*12/$O32,"M","MF",Holidays)&lt;=$N32,_xll.HLV5r3.Analytics.Miscellaneous.DateRoll( $Z32,AV$14*12/$O32,"M","MF",Holidays),"")</f>
        <v/>
      </c>
      <c r="AW32" s="4" t="str">
        <f ca="1">IF(_xll.HLV5r3.Analytics.Miscellaneous.DateRoll( $Z32,AW$14*12/$O32,"M","MF",Holidays)&lt;=$N32,_xll.HLV5r3.Analytics.Miscellaneous.DateRoll( $Z32,AW$14*12/$O32,"M","MF",Holidays),"")</f>
        <v/>
      </c>
      <c r="AX32" s="4" t="str">
        <f ca="1">IF(_xll.HLV5r3.Analytics.Miscellaneous.DateRoll( $Z32,AX$14*12/$O32,"M","MF",Holidays)&lt;=$N32,_xll.HLV5r3.Analytics.Miscellaneous.DateRoll( $Z32,AX$14*12/$O32,"M","MF",Holidays),"")</f>
        <v/>
      </c>
      <c r="AY32" s="4" t="str">
        <f ca="1">IF(_xll.HLV5r3.Analytics.Miscellaneous.DateRoll( $Z32,AY$14*12/$O32,"M","MF",Holidays)&lt;=$N32,_xll.HLV5r3.Analytics.Miscellaneous.DateRoll( $Z32,AY$14*12/$O32,"M","MF",Holidays),"")</f>
        <v/>
      </c>
      <c r="AZ32" s="4" t="str">
        <f ca="1">IF(_xll.HLV5r3.Analytics.Miscellaneous.DateRoll( $Z32,AZ$14*12/$O32,"M","MF",Holidays)&lt;=$N32,_xll.HLV5r3.Analytics.Miscellaneous.DateRoll( $Z32,AZ$14*12/$O32,"M","MF",Holidays),"")</f>
        <v/>
      </c>
      <c r="BA32" s="4" t="str">
        <f ca="1">IF(_xll.HLV5r3.Analytics.Miscellaneous.DateRoll( $Z32,BA$14*12/$O32,"M","MF",Holidays)&lt;=$N32,_xll.HLV5r3.Analytics.Miscellaneous.DateRoll( $Z32,BA$14*12/$O32,"M","MF",Holidays),"")</f>
        <v/>
      </c>
      <c r="BB32" s="4" t="str">
        <f ca="1">IF(_xll.HLV5r3.Analytics.Miscellaneous.DateRoll( $Z32,BB$14*12/$O32,"M","MF",Holidays)&lt;=$N32,_xll.HLV5r3.Analytics.Miscellaneous.DateRoll( $Z32,BB$14*12/$O32,"M","MF",Holidays),"")</f>
        <v/>
      </c>
      <c r="BC32" s="4" t="str">
        <f ca="1">IF(_xll.HLV5r3.Analytics.Miscellaneous.DateRoll( $Z32,BC$14*12/$O32,"M","MF",Holidays)&lt;=$N32,_xll.HLV5r3.Analytics.Miscellaneous.DateRoll( $Z32,BC$14*12/$O32,"M","MF",Holidays),"")</f>
        <v/>
      </c>
      <c r="BD32" s="4" t="str">
        <f ca="1">IF(_xll.HLV5r3.Analytics.Miscellaneous.DateRoll( $Z32,BD$14*12/$O32,"M","MF",Holidays)&lt;=$N32,_xll.HLV5r3.Analytics.Miscellaneous.DateRoll( $Z32,BD$14*12/$O32,"M","MF",Holidays),"")</f>
        <v/>
      </c>
      <c r="BE32" s="4" t="str">
        <f ca="1">IF(_xll.HLV5r3.Analytics.Miscellaneous.DateRoll( $Z32,BE$14*12/$O32,"M","MF",Holidays)&lt;=$N32,_xll.HLV5r3.Analytics.Miscellaneous.DateRoll( $Z32,BE$14*12/$O32,"M","MF",Holidays),"")</f>
        <v/>
      </c>
      <c r="BF32" s="4" t="str">
        <f ca="1">IF(_xll.HLV5r3.Analytics.Miscellaneous.DateRoll( $Z32,BF$14*12/$O32,"M","MF",Holidays)&lt;=$N32,_xll.HLV5r3.Analytics.Miscellaneous.DateRoll( $Z32,BF$14*12/$O32,"M","MF",Holidays),"")</f>
        <v/>
      </c>
      <c r="BG32" s="4" t="str">
        <f ca="1">IF(_xll.HLV5r3.Analytics.Miscellaneous.DateRoll( $Z32,BG$14*12/$O32,"M","MF",Holidays)&lt;=$N32,_xll.HLV5r3.Analytics.Miscellaneous.DateRoll( $Z32,BG$14*12/$O32,"M","MF",Holidays),"")</f>
        <v/>
      </c>
      <c r="BH32" s="4" t="str">
        <f ca="1">IF(_xll.HLV5r3.Analytics.Miscellaneous.DateRoll( $Z32,BH$14*12/$O32,"M","MF",Holidays)&lt;=$N32,_xll.HLV5r3.Analytics.Miscellaneous.DateRoll( $Z32,BH$14*12/$O32,"M","MF",Holidays),"")</f>
        <v/>
      </c>
      <c r="BI32" s="4" t="str">
        <f ca="1">IF(_xll.HLV5r3.Analytics.Miscellaneous.DateRoll( $Z32,BI$14*12/$O32,"M","MF",Holidays)&lt;=$N32,_xll.HLV5r3.Analytics.Miscellaneous.DateRoll( $Z32,BI$14*12/$O32,"M","MF",Holidays),"")</f>
        <v/>
      </c>
      <c r="BJ32" s="4" t="str">
        <f ca="1">IF(_xll.HLV5r3.Analytics.Miscellaneous.DateRoll( $Z32,BJ$14*12/$O32,"M","MF",Holidays)&lt;=$N32,_xll.HLV5r3.Analytics.Miscellaneous.DateRoll( $Z32,BJ$14*12/$O32,"M","MF",Holidays),"")</f>
        <v/>
      </c>
      <c r="BK32" s="4" t="str">
        <f ca="1">IF(_xll.HLV5r3.Analytics.Miscellaneous.DateRoll( $Z32,BK$14*12/$O32,"M","MF",Holidays)&lt;=$N32,_xll.HLV5r3.Analytics.Miscellaneous.DateRoll( $Z32,BK$14*12/$O32,"M","MF",Holidays),"")</f>
        <v/>
      </c>
      <c r="BL32" s="4" t="str">
        <f ca="1">IF(_xll.HLV5r3.Analytics.Miscellaneous.DateRoll( $Z32,BL$14*12/$O32,"M","MF",Holidays)&lt;=$N32,_xll.HLV5r3.Analytics.Miscellaneous.DateRoll( $Z32,BL$14*12/$O32,"M","MF",Holidays),"")</f>
        <v/>
      </c>
      <c r="BM32" s="4" t="str">
        <f ca="1">IF(_xll.HLV5r3.Analytics.Miscellaneous.DateRoll( $Z32,BM$14*12/$O32,"M","MF",Holidays)&lt;=$N32,_xll.HLV5r3.Analytics.Miscellaneous.DateRoll( $Z32,BM$14*12/$O32,"M","MF",Holidays),"")</f>
        <v/>
      </c>
      <c r="BN32" s="4" t="str">
        <f ca="1">IF(_xll.HLV5r3.Analytics.Miscellaneous.DateRoll( $Z32,BN$14*12/$O32,"M","MF",Holidays)&lt;=$N32,_xll.HLV5r3.Analytics.Miscellaneous.DateRoll( $Z32,BN$14*12/$O32,"M","MF",Holidays),"")</f>
        <v/>
      </c>
      <c r="BO32" s="4" t="str">
        <f ca="1">IF(_xll.HLV5r3.Analytics.Miscellaneous.DateRoll( $Z32,BO$14*12/$O32,"M","MF",Holidays)&lt;=$N32,_xll.HLV5r3.Analytics.Miscellaneous.DateRoll( $Z32,BO$14*12/$O32,"M","MF",Holidays),"")</f>
        <v/>
      </c>
      <c r="BP32" s="4" t="str">
        <f ca="1">IF(_xll.HLV5r3.Analytics.Miscellaneous.DateRoll( $Z32,BP$14*12/$O32,"M","MF",Holidays)&lt;=$N32,_xll.HLV5r3.Analytics.Miscellaneous.DateRoll( $Z32,BP$14*12/$O32,"M","MF",Holidays),"")</f>
        <v/>
      </c>
      <c r="BQ32" s="4" t="str">
        <f ca="1">IF(_xll.HLV5r3.Analytics.Miscellaneous.DateRoll( $Z32,BQ$14*12/$O32,"M","MF",Holidays)&lt;=$N32,_xll.HLV5r3.Analytics.Miscellaneous.DateRoll( $Z32,BQ$14*12/$O32,"M","MF",Holidays),"")</f>
        <v/>
      </c>
      <c r="BR32" s="4" t="str">
        <f ca="1">IF(_xll.HLV5r3.Analytics.Miscellaneous.DateRoll( $Z32,BR$14*12/$O32,"M","MF",Holidays)&lt;=$N32,_xll.HLV5r3.Analytics.Miscellaneous.DateRoll( $Z32,BR$14*12/$O32,"M","MF",Holidays),"")</f>
        <v/>
      </c>
      <c r="BS32" s="4" t="str">
        <f ca="1">IF(_xll.HLV5r3.Analytics.Miscellaneous.DateRoll( $Z32,BS$14*12/$O32,"M","MF",Holidays)&lt;=$N32,_xll.HLV5r3.Analytics.Miscellaneous.DateRoll( $Z32,BS$14*12/$O32,"M","MF",Holidays),"")</f>
        <v/>
      </c>
      <c r="BT32" s="4" t="str">
        <f ca="1">IF(_xll.HLV5r3.Analytics.Miscellaneous.DateRoll( $Z32,BT$14*12/$O32,"M","MF",Holidays)&lt;=$N32,_xll.HLV5r3.Analytics.Miscellaneous.DateRoll( $Z32,BT$14*12/$O32,"M","MF",Holidays),"")</f>
        <v/>
      </c>
      <c r="BU32" s="4" t="str">
        <f ca="1">IF(_xll.HLV5r3.Analytics.Miscellaneous.DateRoll( $Z32,BU$14*12/$O32,"M","MF",Holidays)&lt;=$N32,_xll.HLV5r3.Analytics.Miscellaneous.DateRoll( $Z32,BU$14*12/$O32,"M","MF",Holidays),"")</f>
        <v/>
      </c>
      <c r="BV32" s="4" t="str">
        <f ca="1">IF(_xll.HLV5r3.Analytics.Miscellaneous.DateRoll( $Z32,BV$14*12/$O32,"M","MF",Holidays)&lt;=$N32,_xll.HLV5r3.Analytics.Miscellaneous.DateRoll( $Z32,BV$14*12/$O32,"M","MF",Holidays),"")</f>
        <v/>
      </c>
      <c r="BW32" s="4" t="str">
        <f ca="1">IF(_xll.HLV5r3.Analytics.Miscellaneous.DateRoll( $Z32,BW$14*12/$O32,"M","MF",Holidays)&lt;=$N32,_xll.HLV5r3.Analytics.Miscellaneous.DateRoll( $Z32,BW$14*12/$O32,"M","MF",Holidays),"")</f>
        <v/>
      </c>
      <c r="BX32" s="4" t="str">
        <f ca="1">IF(_xll.HLV5r3.Analytics.Miscellaneous.DateRoll( $Z32,BX$14*12/$O32,"M","MF",Holidays)&lt;=$N32,_xll.HLV5r3.Analytics.Miscellaneous.DateRoll( $Z32,BX$14*12/$O32,"M","MF",Holidays),"")</f>
        <v/>
      </c>
      <c r="BY32" s="4" t="str">
        <f ca="1">IF(_xll.HLV5r3.Analytics.Miscellaneous.DateRoll( $Z32,BY$14*12/$O32,"M","MF",Holidays)&lt;=$N32,_xll.HLV5r3.Analytics.Miscellaneous.DateRoll( $Z32,BY$14*12/$O32,"M","MF",Holidays),"")</f>
        <v/>
      </c>
      <c r="BZ32" s="4" t="str">
        <f ca="1">IF(_xll.HLV5r3.Analytics.Miscellaneous.DateRoll( $Z32,BZ$14*12/$O32,"M","MF",Holidays)&lt;=$N32,_xll.HLV5r3.Analytics.Miscellaneous.DateRoll( $Z32,BZ$14*12/$O32,"M","MF",Holidays),"")</f>
        <v/>
      </c>
      <c r="CA32" s="4" t="str">
        <f ca="1">IF(_xll.HLV5r3.Analytics.Miscellaneous.DateRoll( $Z32,CA$14*12/$O32,"M","MF",Holidays)&lt;=$N32,_xll.HLV5r3.Analytics.Miscellaneous.DateRoll( $Z32,CA$14*12/$O32,"M","MF",Holidays),"")</f>
        <v/>
      </c>
      <c r="CB32" s="4" t="str">
        <f ca="1">IF(_xll.HLV5r3.Analytics.Miscellaneous.DateRoll( $Z32,CB$14*12/$O32,"M","MF",Holidays)&lt;=$N32,_xll.HLV5r3.Analytics.Miscellaneous.DateRoll( $Z32,CB$14*12/$O32,"M","MF",Holidays),"")</f>
        <v/>
      </c>
      <c r="CC32" s="4" t="str">
        <f ca="1">IF(_xll.HLV5r3.Analytics.Miscellaneous.DateRoll( $Z32,CC$14*12/$O32,"M","MF",Holidays)&lt;=$N32,_xll.HLV5r3.Analytics.Miscellaneous.DateRoll( $Z32,CC$14*12/$O32,"M","MF",Holidays),"")</f>
        <v/>
      </c>
      <c r="CD32" s="4" t="str">
        <f ca="1">IF(_xll.HLV5r3.Analytics.Miscellaneous.DateRoll( $Z32,CD$14*12/$O32,"M","MF",Holidays)&lt;=$N32,_xll.HLV5r3.Analytics.Miscellaneous.DateRoll( $Z32,CD$14*12/$O32,"M","MF",Holidays),"")</f>
        <v/>
      </c>
      <c r="CE32" s="4" t="str">
        <f ca="1">IF(_xll.HLV5r3.Analytics.Miscellaneous.DateRoll( $Z32,CE$14*12/$O32,"M","MF",Holidays)&lt;=$N32,_xll.HLV5r3.Analytics.Miscellaneous.DateRoll( $Z32,CE$14*12/$O32,"M","MF",Holidays),"")</f>
        <v/>
      </c>
      <c r="CF32" s="4" t="str">
        <f ca="1">IF(_xll.HLV5r3.Analytics.Miscellaneous.DateRoll( $Z32,CF$14*12/$O32,"M","MF",Holidays)&lt;=$N32,_xll.HLV5r3.Analytics.Miscellaneous.DateRoll( $Z32,CF$14*12/$O32,"M","MF",Holidays),"")</f>
        <v/>
      </c>
      <c r="CG32" s="4" t="str">
        <f ca="1">IF(_xll.HLV5r3.Analytics.Miscellaneous.DateRoll( $Z32,CG$14*12/$O32,"M","MF",Holidays)&lt;=$N32,_xll.HLV5r3.Analytics.Miscellaneous.DateRoll( $Z32,CG$14*12/$O32,"M","MF",Holidays),"")</f>
        <v/>
      </c>
      <c r="CH32" s="4" t="str">
        <f ca="1">IF(_xll.HLV5r3.Analytics.Miscellaneous.DateRoll( $Z32,CH$14*12/$O32,"M","MF",Holidays)&lt;=$N32,_xll.HLV5r3.Analytics.Miscellaneous.DateRoll( $Z32,CH$14*12/$O32,"M","MF",Holidays),"")</f>
        <v/>
      </c>
      <c r="CI32" s="4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</row>
    <row r="33" spans="1:148">
      <c r="A33" s="29" t="s">
        <v>32</v>
      </c>
      <c r="B33" s="194" t="str">
        <f t="shared" si="14"/>
        <v>9Y</v>
      </c>
      <c r="C33" s="74">
        <v>50.25</v>
      </c>
      <c r="D33" s="62">
        <f ca="1">$E$44+C33/100</f>
        <v>5.9800000000000058</v>
      </c>
      <c r="E33" s="131">
        <v>-7.7361111111111107</v>
      </c>
      <c r="F33" s="72">
        <f ca="1">_xll.HLV5r3.Analytics.Miscellaneous.SFEBillTickValue( D33)</f>
        <v>16.25</v>
      </c>
      <c r="G33" s="81">
        <v>1</v>
      </c>
      <c r="H33" s="77" t="s">
        <v>34</v>
      </c>
      <c r="I33" s="82" t="s">
        <v>35</v>
      </c>
      <c r="J33" s="81">
        <v>9</v>
      </c>
      <c r="K33" s="77" t="s">
        <v>38</v>
      </c>
      <c r="L33" s="82" t="s">
        <v>37</v>
      </c>
      <c r="M33" s="67">
        <f ca="1">_xll.HLV5r3.Analytics.Miscellaneous.DateRoll( Calc_Date,G33,H33,I33,Holidays)</f>
        <v>43641</v>
      </c>
      <c r="N33" s="61">
        <f ca="1">_xll.HLV5r3.Analytics.Miscellaneous.DateRoll(M33,J33,K33,L33,Holidays)</f>
        <v>46930</v>
      </c>
      <c r="O33" s="88">
        <v>2</v>
      </c>
      <c r="P33" s="95">
        <f t="shared" ca="1" si="15"/>
        <v>5.9026388888888941E-2</v>
      </c>
      <c r="Q33" s="90">
        <v>0</v>
      </c>
      <c r="R33" s="92">
        <f t="shared" ca="1" si="16"/>
        <v>5.9026388888888941E-2</v>
      </c>
      <c r="S33" s="90"/>
      <c r="T33" s="100">
        <f t="shared" si="17"/>
        <v>9.0109589041095894</v>
      </c>
      <c r="U33" s="42">
        <v>3289</v>
      </c>
      <c r="V33" s="41">
        <v>5.9030918360401093E-2</v>
      </c>
      <c r="W33" s="46">
        <f>_xll.HLV5r3.Analytics.Miscellaneous.Zero2DF(V33,ZeroCompFreq,U33/365)</f>
        <v>0.58976072858677586</v>
      </c>
      <c r="X33" s="10"/>
      <c r="Y33" s="37" t="str">
        <f t="shared" si="18"/>
        <v>9Y</v>
      </c>
      <c r="Z33" s="4">
        <f t="shared" ca="1" si="19"/>
        <v>43641</v>
      </c>
      <c r="AA33" s="4">
        <f ca="1">IF(_xll.HLV5r3.Analytics.Miscellaneous.DateRoll( $Z33,AA$14*12/$O33,"M","MF",Holidays)&lt;=$N33,_xll.HLV5r3.Analytics.Miscellaneous.DateRoll( $Z33,AA$14*12/$O33,"M","MF",Holidays),"")</f>
        <v>43826</v>
      </c>
      <c r="AB33" s="4">
        <f ca="1">IF(_xll.HLV5r3.Analytics.Miscellaneous.DateRoll( $Z33,AB$14*12/$O33,"M","MF",Holidays)&lt;=$N33,_xll.HLV5r3.Analytics.Miscellaneous.DateRoll( $Z33,AB$14*12/$O33,"M","MF",Holidays),"")</f>
        <v>44007</v>
      </c>
      <c r="AC33" s="4">
        <f ca="1">IF(_xll.HLV5r3.Analytics.Miscellaneous.DateRoll( $Z33,AC$14*12/$O33,"M","MF",Holidays)&lt;=$N33,_xll.HLV5r3.Analytics.Miscellaneous.DateRoll( $Z33,AC$14*12/$O33,"M","MF",Holidays),"")</f>
        <v>44194</v>
      </c>
      <c r="AD33" s="4">
        <f ca="1">IF(_xll.HLV5r3.Analytics.Miscellaneous.DateRoll( $Z33,AD$14*12/$O33,"M","MF",Holidays)&lt;=$N33,_xll.HLV5r3.Analytics.Miscellaneous.DateRoll( $Z33,AD$14*12/$O33,"M","MF",Holidays),"")</f>
        <v>44372</v>
      </c>
      <c r="AE33" s="4">
        <f ca="1">IF(_xll.HLV5r3.Analytics.Miscellaneous.DateRoll( $Z33,AE$14*12/$O33,"M","MF",Holidays)&lt;=$N33,_xll.HLV5r3.Analytics.Miscellaneous.DateRoll( $Z33,AE$14*12/$O33,"M","MF",Holidays),"")</f>
        <v>44559</v>
      </c>
      <c r="AF33" s="4">
        <f ca="1">IF(_xll.HLV5r3.Analytics.Miscellaneous.DateRoll( $Z33,AF$14*12/$O33,"M","MF",Holidays)&lt;=$N33,_xll.HLV5r3.Analytics.Miscellaneous.DateRoll( $Z33,AF$14*12/$O33,"M","MF",Holidays),"")</f>
        <v>44739</v>
      </c>
      <c r="AG33" s="4">
        <f ca="1">IF(_xll.HLV5r3.Analytics.Miscellaneous.DateRoll( $Z33,AG$14*12/$O33,"M","MF",Holidays)&lt;=$N33,_xll.HLV5r3.Analytics.Miscellaneous.DateRoll( $Z33,AG$14*12/$O33,"M","MF",Holidays),"")</f>
        <v>44923</v>
      </c>
      <c r="AH33" s="4">
        <f ca="1">IF(_xll.HLV5r3.Analytics.Miscellaneous.DateRoll( $Z33,AH$14*12/$O33,"M","MF",Holidays)&lt;=$N33,_xll.HLV5r3.Analytics.Miscellaneous.DateRoll( $Z33,AH$14*12/$O33,"M","MF",Holidays),"")</f>
        <v>45103</v>
      </c>
      <c r="AI33" s="4">
        <f ca="1">IF(_xll.HLV5r3.Analytics.Miscellaneous.DateRoll( $Z33,AI$14*12/$O33,"M","MF",Holidays)&lt;=$N33,_xll.HLV5r3.Analytics.Miscellaneous.DateRoll( $Z33,AI$14*12/$O33,"M","MF",Holidays),"")</f>
        <v>45287</v>
      </c>
      <c r="AJ33" s="4">
        <f ca="1">IF(_xll.HLV5r3.Analytics.Miscellaneous.DateRoll( $Z33,AJ$14*12/$O33,"M","MF",Holidays)&lt;=$N33,_xll.HLV5r3.Analytics.Miscellaneous.DateRoll( $Z33,AJ$14*12/$O33,"M","MF",Holidays),"")</f>
        <v>45468</v>
      </c>
      <c r="AK33" s="4">
        <f ca="1">IF(_xll.HLV5r3.Analytics.Miscellaneous.DateRoll( $Z33,AK$14*12/$O33,"M","MF",Holidays)&lt;=$N33,_xll.HLV5r3.Analytics.Miscellaneous.DateRoll( $Z33,AK$14*12/$O33,"M","MF",Holidays),"")</f>
        <v>45653</v>
      </c>
      <c r="AL33" s="4">
        <f ca="1">IF(_xll.HLV5r3.Analytics.Miscellaneous.DateRoll( $Z33,AL$14*12/$O33,"M","MF",Holidays)&lt;=$N33,_xll.HLV5r3.Analytics.Miscellaneous.DateRoll( $Z33,AL$14*12/$O33,"M","MF",Holidays),"")</f>
        <v>45833</v>
      </c>
      <c r="AM33" s="4">
        <f ca="1">IF(_xll.HLV5r3.Analytics.Miscellaneous.DateRoll( $Z33,AM$14*12/$O33,"M","MF",Holidays)&lt;=$N33,_xll.HLV5r3.Analytics.Miscellaneous.DateRoll( $Z33,AM$14*12/$O33,"M","MF",Holidays),"")</f>
        <v>46020</v>
      </c>
      <c r="AN33" s="4">
        <f ca="1">IF(_xll.HLV5r3.Analytics.Miscellaneous.DateRoll( $Z33,AN$14*12/$O33,"M","MF",Holidays)&lt;=$N33,_xll.HLV5r3.Analytics.Miscellaneous.DateRoll( $Z33,AN$14*12/$O33,"M","MF",Holidays),"")</f>
        <v>46198</v>
      </c>
      <c r="AO33" s="4">
        <f ca="1">IF(_xll.HLV5r3.Analytics.Miscellaneous.DateRoll( $Z33,AO$14*12/$O33,"M","MF",Holidays)&lt;=$N33,_xll.HLV5r3.Analytics.Miscellaneous.DateRoll( $Z33,AO$14*12/$O33,"M","MF",Holidays),"")</f>
        <v>46385</v>
      </c>
      <c r="AP33" s="4">
        <f ca="1">IF(_xll.HLV5r3.Analytics.Miscellaneous.DateRoll( $Z33,AP$14*12/$O33,"M","MF",Holidays)&lt;=$N33,_xll.HLV5r3.Analytics.Miscellaneous.DateRoll( $Z33,AP$14*12/$O33,"M","MF",Holidays),"")</f>
        <v>46563</v>
      </c>
      <c r="AQ33" s="4">
        <f ca="1">IF(_xll.HLV5r3.Analytics.Miscellaneous.DateRoll( $Z33,AQ$14*12/$O33,"M","MF",Holidays)&lt;=$N33,_xll.HLV5r3.Analytics.Miscellaneous.DateRoll( $Z33,AQ$14*12/$O33,"M","MF",Holidays),"")</f>
        <v>46750</v>
      </c>
      <c r="AR33" s="4">
        <f ca="1">IF(_xll.HLV5r3.Analytics.Miscellaneous.DateRoll( $Z33,AR$14*12/$O33,"M","MF",Holidays)&lt;=$N33,_xll.HLV5r3.Analytics.Miscellaneous.DateRoll( $Z33,AR$14*12/$O33,"M","MF",Holidays),"")</f>
        <v>46930</v>
      </c>
      <c r="AS33" s="4" t="str">
        <f ca="1">IF(_xll.HLV5r3.Analytics.Miscellaneous.DateRoll( $Z33,AS$14*12/$O33,"M","MF",Holidays)&lt;=$N33,_xll.HLV5r3.Analytics.Miscellaneous.DateRoll( $Z33,AS$14*12/$O33,"M","MF",Holidays),"")</f>
        <v/>
      </c>
      <c r="AT33" s="4" t="str">
        <f ca="1">IF(_xll.HLV5r3.Analytics.Miscellaneous.DateRoll( $Z33,AT$14*12/$O33,"M","MF",Holidays)&lt;=$N33,_xll.HLV5r3.Analytics.Miscellaneous.DateRoll( $Z33,AT$14*12/$O33,"M","MF",Holidays),"")</f>
        <v/>
      </c>
      <c r="AU33" s="4" t="str">
        <f ca="1">IF(_xll.HLV5r3.Analytics.Miscellaneous.DateRoll( $Z33,AU$14*12/$O33,"M","MF",Holidays)&lt;=$N33,_xll.HLV5r3.Analytics.Miscellaneous.DateRoll( $Z33,AU$14*12/$O33,"M","MF",Holidays),"")</f>
        <v/>
      </c>
      <c r="AV33" s="4" t="str">
        <f ca="1">IF(_xll.HLV5r3.Analytics.Miscellaneous.DateRoll( $Z33,AV$14*12/$O33,"M","MF",Holidays)&lt;=$N33,_xll.HLV5r3.Analytics.Miscellaneous.DateRoll( $Z33,AV$14*12/$O33,"M","MF",Holidays),"")</f>
        <v/>
      </c>
      <c r="AW33" s="4" t="str">
        <f ca="1">IF(_xll.HLV5r3.Analytics.Miscellaneous.DateRoll( $Z33,AW$14*12/$O33,"M","MF",Holidays)&lt;=$N33,_xll.HLV5r3.Analytics.Miscellaneous.DateRoll( $Z33,AW$14*12/$O33,"M","MF",Holidays),"")</f>
        <v/>
      </c>
      <c r="AX33" s="4" t="str">
        <f ca="1">IF(_xll.HLV5r3.Analytics.Miscellaneous.DateRoll( $Z33,AX$14*12/$O33,"M","MF",Holidays)&lt;=$N33,_xll.HLV5r3.Analytics.Miscellaneous.DateRoll( $Z33,AX$14*12/$O33,"M","MF",Holidays),"")</f>
        <v/>
      </c>
      <c r="AY33" s="4" t="str">
        <f ca="1">IF(_xll.HLV5r3.Analytics.Miscellaneous.DateRoll( $Z33,AY$14*12/$O33,"M","MF",Holidays)&lt;=$N33,_xll.HLV5r3.Analytics.Miscellaneous.DateRoll( $Z33,AY$14*12/$O33,"M","MF",Holidays),"")</f>
        <v/>
      </c>
      <c r="AZ33" s="4" t="str">
        <f ca="1">IF(_xll.HLV5r3.Analytics.Miscellaneous.DateRoll( $Z33,AZ$14*12/$O33,"M","MF",Holidays)&lt;=$N33,_xll.HLV5r3.Analytics.Miscellaneous.DateRoll( $Z33,AZ$14*12/$O33,"M","MF",Holidays),"")</f>
        <v/>
      </c>
      <c r="BA33" s="4" t="str">
        <f ca="1">IF(_xll.HLV5r3.Analytics.Miscellaneous.DateRoll( $Z33,BA$14*12/$O33,"M","MF",Holidays)&lt;=$N33,_xll.HLV5r3.Analytics.Miscellaneous.DateRoll( $Z33,BA$14*12/$O33,"M","MF",Holidays),"")</f>
        <v/>
      </c>
      <c r="BB33" s="4" t="str">
        <f ca="1">IF(_xll.HLV5r3.Analytics.Miscellaneous.DateRoll( $Z33,BB$14*12/$O33,"M","MF",Holidays)&lt;=$N33,_xll.HLV5r3.Analytics.Miscellaneous.DateRoll( $Z33,BB$14*12/$O33,"M","MF",Holidays),"")</f>
        <v/>
      </c>
      <c r="BC33" s="4" t="str">
        <f ca="1">IF(_xll.HLV5r3.Analytics.Miscellaneous.DateRoll( $Z33,BC$14*12/$O33,"M","MF",Holidays)&lt;=$N33,_xll.HLV5r3.Analytics.Miscellaneous.DateRoll( $Z33,BC$14*12/$O33,"M","MF",Holidays),"")</f>
        <v/>
      </c>
      <c r="BD33" s="4" t="str">
        <f ca="1">IF(_xll.HLV5r3.Analytics.Miscellaneous.DateRoll( $Z33,BD$14*12/$O33,"M","MF",Holidays)&lt;=$N33,_xll.HLV5r3.Analytics.Miscellaneous.DateRoll( $Z33,BD$14*12/$O33,"M","MF",Holidays),"")</f>
        <v/>
      </c>
      <c r="BE33" s="4" t="str">
        <f ca="1">IF(_xll.HLV5r3.Analytics.Miscellaneous.DateRoll( $Z33,BE$14*12/$O33,"M","MF",Holidays)&lt;=$N33,_xll.HLV5r3.Analytics.Miscellaneous.DateRoll( $Z33,BE$14*12/$O33,"M","MF",Holidays),"")</f>
        <v/>
      </c>
      <c r="BF33" s="4" t="str">
        <f ca="1">IF(_xll.HLV5r3.Analytics.Miscellaneous.DateRoll( $Z33,BF$14*12/$O33,"M","MF",Holidays)&lt;=$N33,_xll.HLV5r3.Analytics.Miscellaneous.DateRoll( $Z33,BF$14*12/$O33,"M","MF",Holidays),"")</f>
        <v/>
      </c>
      <c r="BG33" s="4" t="str">
        <f ca="1">IF(_xll.HLV5r3.Analytics.Miscellaneous.DateRoll( $Z33,BG$14*12/$O33,"M","MF",Holidays)&lt;=$N33,_xll.HLV5r3.Analytics.Miscellaneous.DateRoll( $Z33,BG$14*12/$O33,"M","MF",Holidays),"")</f>
        <v/>
      </c>
      <c r="BH33" s="4" t="str">
        <f ca="1">IF(_xll.HLV5r3.Analytics.Miscellaneous.DateRoll( $Z33,BH$14*12/$O33,"M","MF",Holidays)&lt;=$N33,_xll.HLV5r3.Analytics.Miscellaneous.DateRoll( $Z33,BH$14*12/$O33,"M","MF",Holidays),"")</f>
        <v/>
      </c>
      <c r="BI33" s="4" t="str">
        <f ca="1">IF(_xll.HLV5r3.Analytics.Miscellaneous.DateRoll( $Z33,BI$14*12/$O33,"M","MF",Holidays)&lt;=$N33,_xll.HLV5r3.Analytics.Miscellaneous.DateRoll( $Z33,BI$14*12/$O33,"M","MF",Holidays),"")</f>
        <v/>
      </c>
      <c r="BJ33" s="4" t="str">
        <f ca="1">IF(_xll.HLV5r3.Analytics.Miscellaneous.DateRoll( $Z33,BJ$14*12/$O33,"M","MF",Holidays)&lt;=$N33,_xll.HLV5r3.Analytics.Miscellaneous.DateRoll( $Z33,BJ$14*12/$O33,"M","MF",Holidays),"")</f>
        <v/>
      </c>
      <c r="BK33" s="4" t="str">
        <f ca="1">IF(_xll.HLV5r3.Analytics.Miscellaneous.DateRoll( $Z33,BK$14*12/$O33,"M","MF",Holidays)&lt;=$N33,_xll.HLV5r3.Analytics.Miscellaneous.DateRoll( $Z33,BK$14*12/$O33,"M","MF",Holidays),"")</f>
        <v/>
      </c>
      <c r="BL33" s="4" t="str">
        <f ca="1">IF(_xll.HLV5r3.Analytics.Miscellaneous.DateRoll( $Z33,BL$14*12/$O33,"M","MF",Holidays)&lt;=$N33,_xll.HLV5r3.Analytics.Miscellaneous.DateRoll( $Z33,BL$14*12/$O33,"M","MF",Holidays),"")</f>
        <v/>
      </c>
      <c r="BM33" s="4" t="str">
        <f ca="1">IF(_xll.HLV5r3.Analytics.Miscellaneous.DateRoll( $Z33,BM$14*12/$O33,"M","MF",Holidays)&lt;=$N33,_xll.HLV5r3.Analytics.Miscellaneous.DateRoll( $Z33,BM$14*12/$O33,"M","MF",Holidays),"")</f>
        <v/>
      </c>
      <c r="BN33" s="4" t="str">
        <f ca="1">IF(_xll.HLV5r3.Analytics.Miscellaneous.DateRoll( $Z33,BN$14*12/$O33,"M","MF",Holidays)&lt;=$N33,_xll.HLV5r3.Analytics.Miscellaneous.DateRoll( $Z33,BN$14*12/$O33,"M","MF",Holidays),"")</f>
        <v/>
      </c>
      <c r="BO33" s="4" t="str">
        <f ca="1">IF(_xll.HLV5r3.Analytics.Miscellaneous.DateRoll( $Z33,BO$14*12/$O33,"M","MF",Holidays)&lt;=$N33,_xll.HLV5r3.Analytics.Miscellaneous.DateRoll( $Z33,BO$14*12/$O33,"M","MF",Holidays),"")</f>
        <v/>
      </c>
      <c r="BP33" s="4" t="str">
        <f ca="1">IF(_xll.HLV5r3.Analytics.Miscellaneous.DateRoll( $Z33,BP$14*12/$O33,"M","MF",Holidays)&lt;=$N33,_xll.HLV5r3.Analytics.Miscellaneous.DateRoll( $Z33,BP$14*12/$O33,"M","MF",Holidays),"")</f>
        <v/>
      </c>
      <c r="BQ33" s="4" t="str">
        <f ca="1">IF(_xll.HLV5r3.Analytics.Miscellaneous.DateRoll( $Z33,BQ$14*12/$O33,"M","MF",Holidays)&lt;=$N33,_xll.HLV5r3.Analytics.Miscellaneous.DateRoll( $Z33,BQ$14*12/$O33,"M","MF",Holidays),"")</f>
        <v/>
      </c>
      <c r="BR33" s="4" t="str">
        <f ca="1">IF(_xll.HLV5r3.Analytics.Miscellaneous.DateRoll( $Z33,BR$14*12/$O33,"M","MF",Holidays)&lt;=$N33,_xll.HLV5r3.Analytics.Miscellaneous.DateRoll( $Z33,BR$14*12/$O33,"M","MF",Holidays),"")</f>
        <v/>
      </c>
      <c r="BS33" s="4" t="str">
        <f ca="1">IF(_xll.HLV5r3.Analytics.Miscellaneous.DateRoll( $Z33,BS$14*12/$O33,"M","MF",Holidays)&lt;=$N33,_xll.HLV5r3.Analytics.Miscellaneous.DateRoll( $Z33,BS$14*12/$O33,"M","MF",Holidays),"")</f>
        <v/>
      </c>
      <c r="BT33" s="4" t="str">
        <f ca="1">IF(_xll.HLV5r3.Analytics.Miscellaneous.DateRoll( $Z33,BT$14*12/$O33,"M","MF",Holidays)&lt;=$N33,_xll.HLV5r3.Analytics.Miscellaneous.DateRoll( $Z33,BT$14*12/$O33,"M","MF",Holidays),"")</f>
        <v/>
      </c>
      <c r="BU33" s="4" t="str">
        <f ca="1">IF(_xll.HLV5r3.Analytics.Miscellaneous.DateRoll( $Z33,BU$14*12/$O33,"M","MF",Holidays)&lt;=$N33,_xll.HLV5r3.Analytics.Miscellaneous.DateRoll( $Z33,BU$14*12/$O33,"M","MF",Holidays),"")</f>
        <v/>
      </c>
      <c r="BV33" s="4" t="str">
        <f ca="1">IF(_xll.HLV5r3.Analytics.Miscellaneous.DateRoll( $Z33,BV$14*12/$O33,"M","MF",Holidays)&lt;=$N33,_xll.HLV5r3.Analytics.Miscellaneous.DateRoll( $Z33,BV$14*12/$O33,"M","MF",Holidays),"")</f>
        <v/>
      </c>
      <c r="BW33" s="4" t="str">
        <f ca="1">IF(_xll.HLV5r3.Analytics.Miscellaneous.DateRoll( $Z33,BW$14*12/$O33,"M","MF",Holidays)&lt;=$N33,_xll.HLV5r3.Analytics.Miscellaneous.DateRoll( $Z33,BW$14*12/$O33,"M","MF",Holidays),"")</f>
        <v/>
      </c>
      <c r="BX33" s="4" t="str">
        <f ca="1">IF(_xll.HLV5r3.Analytics.Miscellaneous.DateRoll( $Z33,BX$14*12/$O33,"M","MF",Holidays)&lt;=$N33,_xll.HLV5r3.Analytics.Miscellaneous.DateRoll( $Z33,BX$14*12/$O33,"M","MF",Holidays),"")</f>
        <v/>
      </c>
      <c r="BY33" s="4" t="str">
        <f ca="1">IF(_xll.HLV5r3.Analytics.Miscellaneous.DateRoll( $Z33,BY$14*12/$O33,"M","MF",Holidays)&lt;=$N33,_xll.HLV5r3.Analytics.Miscellaneous.DateRoll( $Z33,BY$14*12/$O33,"M","MF",Holidays),"")</f>
        <v/>
      </c>
      <c r="BZ33" s="4" t="str">
        <f ca="1">IF(_xll.HLV5r3.Analytics.Miscellaneous.DateRoll( $Z33,BZ$14*12/$O33,"M","MF",Holidays)&lt;=$N33,_xll.HLV5r3.Analytics.Miscellaneous.DateRoll( $Z33,BZ$14*12/$O33,"M","MF",Holidays),"")</f>
        <v/>
      </c>
      <c r="CA33" s="4" t="str">
        <f ca="1">IF(_xll.HLV5r3.Analytics.Miscellaneous.DateRoll( $Z33,CA$14*12/$O33,"M","MF",Holidays)&lt;=$N33,_xll.HLV5r3.Analytics.Miscellaneous.DateRoll( $Z33,CA$14*12/$O33,"M","MF",Holidays),"")</f>
        <v/>
      </c>
      <c r="CB33" s="4" t="str">
        <f ca="1">IF(_xll.HLV5r3.Analytics.Miscellaneous.DateRoll( $Z33,CB$14*12/$O33,"M","MF",Holidays)&lt;=$N33,_xll.HLV5r3.Analytics.Miscellaneous.DateRoll( $Z33,CB$14*12/$O33,"M","MF",Holidays),"")</f>
        <v/>
      </c>
      <c r="CC33" s="4" t="str">
        <f ca="1">IF(_xll.HLV5r3.Analytics.Miscellaneous.DateRoll( $Z33,CC$14*12/$O33,"M","MF",Holidays)&lt;=$N33,_xll.HLV5r3.Analytics.Miscellaneous.DateRoll( $Z33,CC$14*12/$O33,"M","MF",Holidays),"")</f>
        <v/>
      </c>
      <c r="CD33" s="4" t="str">
        <f ca="1">IF(_xll.HLV5r3.Analytics.Miscellaneous.DateRoll( $Z33,CD$14*12/$O33,"M","MF",Holidays)&lt;=$N33,_xll.HLV5r3.Analytics.Miscellaneous.DateRoll( $Z33,CD$14*12/$O33,"M","MF",Holidays),"")</f>
        <v/>
      </c>
      <c r="CE33" s="4" t="str">
        <f ca="1">IF(_xll.HLV5r3.Analytics.Miscellaneous.DateRoll( $Z33,CE$14*12/$O33,"M","MF",Holidays)&lt;=$N33,_xll.HLV5r3.Analytics.Miscellaneous.DateRoll( $Z33,CE$14*12/$O33,"M","MF",Holidays),"")</f>
        <v/>
      </c>
      <c r="CF33" s="4" t="str">
        <f ca="1">IF(_xll.HLV5r3.Analytics.Miscellaneous.DateRoll( $Z33,CF$14*12/$O33,"M","MF",Holidays)&lt;=$N33,_xll.HLV5r3.Analytics.Miscellaneous.DateRoll( $Z33,CF$14*12/$O33,"M","MF",Holidays),"")</f>
        <v/>
      </c>
      <c r="CG33" s="4" t="str">
        <f ca="1">IF(_xll.HLV5r3.Analytics.Miscellaneous.DateRoll( $Z33,CG$14*12/$O33,"M","MF",Holidays)&lt;=$N33,_xll.HLV5r3.Analytics.Miscellaneous.DateRoll( $Z33,CG$14*12/$O33,"M","MF",Holidays),"")</f>
        <v/>
      </c>
      <c r="CH33" s="4" t="str">
        <f ca="1">IF(_xll.HLV5r3.Analytics.Miscellaneous.DateRoll( $Z33,CH$14*12/$O33,"M","MF",Holidays)&lt;=$N33,_xll.HLV5r3.Analytics.Miscellaneous.DateRoll( $Z33,CH$14*12/$O33,"M","MF",Holidays),"")</f>
        <v/>
      </c>
      <c r="CI33" s="4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</row>
    <row r="34" spans="1:148">
      <c r="A34" s="29" t="s">
        <v>32</v>
      </c>
      <c r="B34" s="194" t="str">
        <f t="shared" si="14"/>
        <v>10Y</v>
      </c>
      <c r="C34" s="74">
        <v>52.083333333333336</v>
      </c>
      <c r="D34" s="62">
        <f t="shared" ref="D34:D39" ca="1" si="20">$E$44+C34/100</f>
        <v>5.9983333333333393</v>
      </c>
      <c r="E34" s="131">
        <v>-7.666666666666667</v>
      </c>
      <c r="F34" s="72">
        <f ca="1">_xll.HLV5r3.Analytics.Miscellaneous.SFEBillTickValue( D34)</f>
        <v>16.25</v>
      </c>
      <c r="G34" s="81">
        <v>1</v>
      </c>
      <c r="H34" s="77" t="s">
        <v>34</v>
      </c>
      <c r="I34" s="82" t="s">
        <v>35</v>
      </c>
      <c r="J34" s="81">
        <v>10</v>
      </c>
      <c r="K34" s="77" t="s">
        <v>38</v>
      </c>
      <c r="L34" s="82" t="s">
        <v>37</v>
      </c>
      <c r="M34" s="67">
        <f ca="1">_xll.HLV5r3.Analytics.Miscellaneous.DateRoll( Calc_Date,G34,H34,I34,Holidays)</f>
        <v>43641</v>
      </c>
      <c r="N34" s="61">
        <f ca="1">_xll.HLV5r3.Analytics.Miscellaneous.DateRoll(M34,J34,K34,L34,Holidays)</f>
        <v>47294</v>
      </c>
      <c r="O34" s="88">
        <v>2</v>
      </c>
      <c r="P34" s="95">
        <f t="shared" ca="1" si="15"/>
        <v>5.921666666666673E-2</v>
      </c>
      <c r="Q34" s="90">
        <v>0</v>
      </c>
      <c r="R34" s="92">
        <f t="shared" ca="1" si="16"/>
        <v>5.921666666666673E-2</v>
      </c>
      <c r="S34" s="90"/>
      <c r="T34" s="100">
        <f t="shared" si="17"/>
        <v>10.010958904109589</v>
      </c>
      <c r="U34" s="42">
        <v>3654</v>
      </c>
      <c r="V34" s="41">
        <v>5.9237278566393159E-2</v>
      </c>
      <c r="W34" s="46">
        <f>_xll.HLV5r3.Analytics.Miscellaneous.Zero2DF(V34,ZeroCompFreq,U34/365)</f>
        <v>0.55506296978430902</v>
      </c>
      <c r="X34" s="10"/>
      <c r="Y34" s="37" t="str">
        <f t="shared" si="18"/>
        <v>10Y</v>
      </c>
      <c r="Z34" s="4">
        <f t="shared" ca="1" si="19"/>
        <v>43641</v>
      </c>
      <c r="AA34" s="4">
        <f ca="1">IF(_xll.HLV5r3.Analytics.Miscellaneous.DateRoll( $Z34,AA$14*12/$O34,"M","MF",Holidays)&lt;=$N34,_xll.HLV5r3.Analytics.Miscellaneous.DateRoll( $Z34,AA$14*12/$O34,"M","MF",Holidays),"")</f>
        <v>43826</v>
      </c>
      <c r="AB34" s="4">
        <f ca="1">IF(_xll.HLV5r3.Analytics.Miscellaneous.DateRoll( $Z34,AB$14*12/$O34,"M","MF",Holidays)&lt;=$N34,_xll.HLV5r3.Analytics.Miscellaneous.DateRoll( $Z34,AB$14*12/$O34,"M","MF",Holidays),"")</f>
        <v>44007</v>
      </c>
      <c r="AC34" s="4">
        <f ca="1">IF(_xll.HLV5r3.Analytics.Miscellaneous.DateRoll( $Z34,AC$14*12/$O34,"M","MF",Holidays)&lt;=$N34,_xll.HLV5r3.Analytics.Miscellaneous.DateRoll( $Z34,AC$14*12/$O34,"M","MF",Holidays),"")</f>
        <v>44194</v>
      </c>
      <c r="AD34" s="4">
        <f ca="1">IF(_xll.HLV5r3.Analytics.Miscellaneous.DateRoll( $Z34,AD$14*12/$O34,"M","MF",Holidays)&lt;=$N34,_xll.HLV5r3.Analytics.Miscellaneous.DateRoll( $Z34,AD$14*12/$O34,"M","MF",Holidays),"")</f>
        <v>44372</v>
      </c>
      <c r="AE34" s="4">
        <f ca="1">IF(_xll.HLV5r3.Analytics.Miscellaneous.DateRoll( $Z34,AE$14*12/$O34,"M","MF",Holidays)&lt;=$N34,_xll.HLV5r3.Analytics.Miscellaneous.DateRoll( $Z34,AE$14*12/$O34,"M","MF",Holidays),"")</f>
        <v>44559</v>
      </c>
      <c r="AF34" s="4">
        <f ca="1">IF(_xll.HLV5r3.Analytics.Miscellaneous.DateRoll( $Z34,AF$14*12/$O34,"M","MF",Holidays)&lt;=$N34,_xll.HLV5r3.Analytics.Miscellaneous.DateRoll( $Z34,AF$14*12/$O34,"M","MF",Holidays),"")</f>
        <v>44739</v>
      </c>
      <c r="AG34" s="4">
        <f ca="1">IF(_xll.HLV5r3.Analytics.Miscellaneous.DateRoll( $Z34,AG$14*12/$O34,"M","MF",Holidays)&lt;=$N34,_xll.HLV5r3.Analytics.Miscellaneous.DateRoll( $Z34,AG$14*12/$O34,"M","MF",Holidays),"")</f>
        <v>44923</v>
      </c>
      <c r="AH34" s="4">
        <f ca="1">IF(_xll.HLV5r3.Analytics.Miscellaneous.DateRoll( $Z34,AH$14*12/$O34,"M","MF",Holidays)&lt;=$N34,_xll.HLV5r3.Analytics.Miscellaneous.DateRoll( $Z34,AH$14*12/$O34,"M","MF",Holidays),"")</f>
        <v>45103</v>
      </c>
      <c r="AI34" s="4">
        <f ca="1">IF(_xll.HLV5r3.Analytics.Miscellaneous.DateRoll( $Z34,AI$14*12/$O34,"M","MF",Holidays)&lt;=$N34,_xll.HLV5r3.Analytics.Miscellaneous.DateRoll( $Z34,AI$14*12/$O34,"M","MF",Holidays),"")</f>
        <v>45287</v>
      </c>
      <c r="AJ34" s="4">
        <f ca="1">IF(_xll.HLV5r3.Analytics.Miscellaneous.DateRoll( $Z34,AJ$14*12/$O34,"M","MF",Holidays)&lt;=$N34,_xll.HLV5r3.Analytics.Miscellaneous.DateRoll( $Z34,AJ$14*12/$O34,"M","MF",Holidays),"")</f>
        <v>45468</v>
      </c>
      <c r="AK34" s="4">
        <f ca="1">IF(_xll.HLV5r3.Analytics.Miscellaneous.DateRoll( $Z34,AK$14*12/$O34,"M","MF",Holidays)&lt;=$N34,_xll.HLV5r3.Analytics.Miscellaneous.DateRoll( $Z34,AK$14*12/$O34,"M","MF",Holidays),"")</f>
        <v>45653</v>
      </c>
      <c r="AL34" s="4">
        <f ca="1">IF(_xll.HLV5r3.Analytics.Miscellaneous.DateRoll( $Z34,AL$14*12/$O34,"M","MF",Holidays)&lt;=$N34,_xll.HLV5r3.Analytics.Miscellaneous.DateRoll( $Z34,AL$14*12/$O34,"M","MF",Holidays),"")</f>
        <v>45833</v>
      </c>
      <c r="AM34" s="4">
        <f ca="1">IF(_xll.HLV5r3.Analytics.Miscellaneous.DateRoll( $Z34,AM$14*12/$O34,"M","MF",Holidays)&lt;=$N34,_xll.HLV5r3.Analytics.Miscellaneous.DateRoll( $Z34,AM$14*12/$O34,"M","MF",Holidays),"")</f>
        <v>46020</v>
      </c>
      <c r="AN34" s="4">
        <f ca="1">IF(_xll.HLV5r3.Analytics.Miscellaneous.DateRoll( $Z34,AN$14*12/$O34,"M","MF",Holidays)&lt;=$N34,_xll.HLV5r3.Analytics.Miscellaneous.DateRoll( $Z34,AN$14*12/$O34,"M","MF",Holidays),"")</f>
        <v>46198</v>
      </c>
      <c r="AO34" s="4">
        <f ca="1">IF(_xll.HLV5r3.Analytics.Miscellaneous.DateRoll( $Z34,AO$14*12/$O34,"M","MF",Holidays)&lt;=$N34,_xll.HLV5r3.Analytics.Miscellaneous.DateRoll( $Z34,AO$14*12/$O34,"M","MF",Holidays),"")</f>
        <v>46385</v>
      </c>
      <c r="AP34" s="4">
        <f ca="1">IF(_xll.HLV5r3.Analytics.Miscellaneous.DateRoll( $Z34,AP$14*12/$O34,"M","MF",Holidays)&lt;=$N34,_xll.HLV5r3.Analytics.Miscellaneous.DateRoll( $Z34,AP$14*12/$O34,"M","MF",Holidays),"")</f>
        <v>46563</v>
      </c>
      <c r="AQ34" s="4">
        <f ca="1">IF(_xll.HLV5r3.Analytics.Miscellaneous.DateRoll( $Z34,AQ$14*12/$O34,"M","MF",Holidays)&lt;=$N34,_xll.HLV5r3.Analytics.Miscellaneous.DateRoll( $Z34,AQ$14*12/$O34,"M","MF",Holidays),"")</f>
        <v>46750</v>
      </c>
      <c r="AR34" s="4">
        <f ca="1">IF(_xll.HLV5r3.Analytics.Miscellaneous.DateRoll( $Z34,AR$14*12/$O34,"M","MF",Holidays)&lt;=$N34,_xll.HLV5r3.Analytics.Miscellaneous.DateRoll( $Z34,AR$14*12/$O34,"M","MF",Holidays),"")</f>
        <v>46930</v>
      </c>
      <c r="AS34" s="4">
        <f ca="1">IF(_xll.HLV5r3.Analytics.Miscellaneous.DateRoll( $Z34,AS$14*12/$O34,"M","MF",Holidays)&lt;=$N34,_xll.HLV5r3.Analytics.Miscellaneous.DateRoll( $Z34,AS$14*12/$O34,"M","MF",Holidays),"")</f>
        <v>47114</v>
      </c>
      <c r="AT34" s="4">
        <f ca="1">IF(_xll.HLV5r3.Analytics.Miscellaneous.DateRoll( $Z34,AT$14*12/$O34,"M","MF",Holidays)&lt;=$N34,_xll.HLV5r3.Analytics.Miscellaneous.DateRoll( $Z34,AT$14*12/$O34,"M","MF",Holidays),"")</f>
        <v>47294</v>
      </c>
      <c r="AU34" s="4" t="str">
        <f ca="1">IF(_xll.HLV5r3.Analytics.Miscellaneous.DateRoll( $Z34,AU$14*12/$O34,"M","MF",Holidays)&lt;=$N34,_xll.HLV5r3.Analytics.Miscellaneous.DateRoll( $Z34,AU$14*12/$O34,"M","MF",Holidays),"")</f>
        <v/>
      </c>
      <c r="AV34" s="4" t="str">
        <f ca="1">IF(_xll.HLV5r3.Analytics.Miscellaneous.DateRoll( $Z34,AV$14*12/$O34,"M","MF",Holidays)&lt;=$N34,_xll.HLV5r3.Analytics.Miscellaneous.DateRoll( $Z34,AV$14*12/$O34,"M","MF",Holidays),"")</f>
        <v/>
      </c>
      <c r="AW34" s="4" t="str">
        <f ca="1">IF(_xll.HLV5r3.Analytics.Miscellaneous.DateRoll( $Z34,AW$14*12/$O34,"M","MF",Holidays)&lt;=$N34,_xll.HLV5r3.Analytics.Miscellaneous.DateRoll( $Z34,AW$14*12/$O34,"M","MF",Holidays),"")</f>
        <v/>
      </c>
      <c r="AX34" s="4" t="str">
        <f ca="1">IF(_xll.HLV5r3.Analytics.Miscellaneous.DateRoll( $Z34,AX$14*12/$O34,"M","MF",Holidays)&lt;=$N34,_xll.HLV5r3.Analytics.Miscellaneous.DateRoll( $Z34,AX$14*12/$O34,"M","MF",Holidays),"")</f>
        <v/>
      </c>
      <c r="AY34" s="4" t="str">
        <f ca="1">IF(_xll.HLV5r3.Analytics.Miscellaneous.DateRoll( $Z34,AY$14*12/$O34,"M","MF",Holidays)&lt;=$N34,_xll.HLV5r3.Analytics.Miscellaneous.DateRoll( $Z34,AY$14*12/$O34,"M","MF",Holidays),"")</f>
        <v/>
      </c>
      <c r="AZ34" s="4" t="str">
        <f ca="1">IF(_xll.HLV5r3.Analytics.Miscellaneous.DateRoll( $Z34,AZ$14*12/$O34,"M","MF",Holidays)&lt;=$N34,_xll.HLV5r3.Analytics.Miscellaneous.DateRoll( $Z34,AZ$14*12/$O34,"M","MF",Holidays),"")</f>
        <v/>
      </c>
      <c r="BA34" s="4" t="str">
        <f ca="1">IF(_xll.HLV5r3.Analytics.Miscellaneous.DateRoll( $Z34,BA$14*12/$O34,"M","MF",Holidays)&lt;=$N34,_xll.HLV5r3.Analytics.Miscellaneous.DateRoll( $Z34,BA$14*12/$O34,"M","MF",Holidays),"")</f>
        <v/>
      </c>
      <c r="BB34" s="4" t="str">
        <f ca="1">IF(_xll.HLV5r3.Analytics.Miscellaneous.DateRoll( $Z34,BB$14*12/$O34,"M","MF",Holidays)&lt;=$N34,_xll.HLV5r3.Analytics.Miscellaneous.DateRoll( $Z34,BB$14*12/$O34,"M","MF",Holidays),"")</f>
        <v/>
      </c>
      <c r="BC34" s="4" t="str">
        <f ca="1">IF(_xll.HLV5r3.Analytics.Miscellaneous.DateRoll( $Z34,BC$14*12/$O34,"M","MF",Holidays)&lt;=$N34,_xll.HLV5r3.Analytics.Miscellaneous.DateRoll( $Z34,BC$14*12/$O34,"M","MF",Holidays),"")</f>
        <v/>
      </c>
      <c r="BD34" s="4" t="str">
        <f ca="1">IF(_xll.HLV5r3.Analytics.Miscellaneous.DateRoll( $Z34,BD$14*12/$O34,"M","MF",Holidays)&lt;=$N34,_xll.HLV5r3.Analytics.Miscellaneous.DateRoll( $Z34,BD$14*12/$O34,"M","MF",Holidays),"")</f>
        <v/>
      </c>
      <c r="BE34" s="4" t="str">
        <f ca="1">IF(_xll.HLV5r3.Analytics.Miscellaneous.DateRoll( $Z34,BE$14*12/$O34,"M","MF",Holidays)&lt;=$N34,_xll.HLV5r3.Analytics.Miscellaneous.DateRoll( $Z34,BE$14*12/$O34,"M","MF",Holidays),"")</f>
        <v/>
      </c>
      <c r="BF34" s="4" t="str">
        <f ca="1">IF(_xll.HLV5r3.Analytics.Miscellaneous.DateRoll( $Z34,BF$14*12/$O34,"M","MF",Holidays)&lt;=$N34,_xll.HLV5r3.Analytics.Miscellaneous.DateRoll( $Z34,BF$14*12/$O34,"M","MF",Holidays),"")</f>
        <v/>
      </c>
      <c r="BG34" s="4" t="str">
        <f ca="1">IF(_xll.HLV5r3.Analytics.Miscellaneous.DateRoll( $Z34,BG$14*12/$O34,"M","MF",Holidays)&lt;=$N34,_xll.HLV5r3.Analytics.Miscellaneous.DateRoll( $Z34,BG$14*12/$O34,"M","MF",Holidays),"")</f>
        <v/>
      </c>
      <c r="BH34" s="4" t="str">
        <f ca="1">IF(_xll.HLV5r3.Analytics.Miscellaneous.DateRoll( $Z34,BH$14*12/$O34,"M","MF",Holidays)&lt;=$N34,_xll.HLV5r3.Analytics.Miscellaneous.DateRoll( $Z34,BH$14*12/$O34,"M","MF",Holidays),"")</f>
        <v/>
      </c>
      <c r="BI34" s="4" t="str">
        <f ca="1">IF(_xll.HLV5r3.Analytics.Miscellaneous.DateRoll( $Z34,BI$14*12/$O34,"M","MF",Holidays)&lt;=$N34,_xll.HLV5r3.Analytics.Miscellaneous.DateRoll( $Z34,BI$14*12/$O34,"M","MF",Holidays),"")</f>
        <v/>
      </c>
      <c r="BJ34" s="4" t="str">
        <f ca="1">IF(_xll.HLV5r3.Analytics.Miscellaneous.DateRoll( $Z34,BJ$14*12/$O34,"M","MF",Holidays)&lt;=$N34,_xll.HLV5r3.Analytics.Miscellaneous.DateRoll( $Z34,BJ$14*12/$O34,"M","MF",Holidays),"")</f>
        <v/>
      </c>
      <c r="BK34" s="4" t="str">
        <f ca="1">IF(_xll.HLV5r3.Analytics.Miscellaneous.DateRoll( $Z34,BK$14*12/$O34,"M","MF",Holidays)&lt;=$N34,_xll.HLV5r3.Analytics.Miscellaneous.DateRoll( $Z34,BK$14*12/$O34,"M","MF",Holidays),"")</f>
        <v/>
      </c>
      <c r="BL34" s="4" t="str">
        <f ca="1">IF(_xll.HLV5r3.Analytics.Miscellaneous.DateRoll( $Z34,BL$14*12/$O34,"M","MF",Holidays)&lt;=$N34,_xll.HLV5r3.Analytics.Miscellaneous.DateRoll( $Z34,BL$14*12/$O34,"M","MF",Holidays),"")</f>
        <v/>
      </c>
      <c r="BM34" s="4" t="str">
        <f ca="1">IF(_xll.HLV5r3.Analytics.Miscellaneous.DateRoll( $Z34,BM$14*12/$O34,"M","MF",Holidays)&lt;=$N34,_xll.HLV5r3.Analytics.Miscellaneous.DateRoll( $Z34,BM$14*12/$O34,"M","MF",Holidays),"")</f>
        <v/>
      </c>
      <c r="BN34" s="4" t="str">
        <f ca="1">IF(_xll.HLV5r3.Analytics.Miscellaneous.DateRoll( $Z34,BN$14*12/$O34,"M","MF",Holidays)&lt;=$N34,_xll.HLV5r3.Analytics.Miscellaneous.DateRoll( $Z34,BN$14*12/$O34,"M","MF",Holidays),"")</f>
        <v/>
      </c>
      <c r="BO34" s="4" t="str">
        <f ca="1">IF(_xll.HLV5r3.Analytics.Miscellaneous.DateRoll( $Z34,BO$14*12/$O34,"M","MF",Holidays)&lt;=$N34,_xll.HLV5r3.Analytics.Miscellaneous.DateRoll( $Z34,BO$14*12/$O34,"M","MF",Holidays),"")</f>
        <v/>
      </c>
      <c r="BP34" s="4" t="str">
        <f ca="1">IF(_xll.HLV5r3.Analytics.Miscellaneous.DateRoll( $Z34,BP$14*12/$O34,"M","MF",Holidays)&lt;=$N34,_xll.HLV5r3.Analytics.Miscellaneous.DateRoll( $Z34,BP$14*12/$O34,"M","MF",Holidays),"")</f>
        <v/>
      </c>
      <c r="BQ34" s="4" t="str">
        <f ca="1">IF(_xll.HLV5r3.Analytics.Miscellaneous.DateRoll( $Z34,BQ$14*12/$O34,"M","MF",Holidays)&lt;=$N34,_xll.HLV5r3.Analytics.Miscellaneous.DateRoll( $Z34,BQ$14*12/$O34,"M","MF",Holidays),"")</f>
        <v/>
      </c>
      <c r="BR34" s="4" t="str">
        <f ca="1">IF(_xll.HLV5r3.Analytics.Miscellaneous.DateRoll( $Z34,BR$14*12/$O34,"M","MF",Holidays)&lt;=$N34,_xll.HLV5r3.Analytics.Miscellaneous.DateRoll( $Z34,BR$14*12/$O34,"M","MF",Holidays),"")</f>
        <v/>
      </c>
      <c r="BS34" s="4" t="str">
        <f ca="1">IF(_xll.HLV5r3.Analytics.Miscellaneous.DateRoll( $Z34,BS$14*12/$O34,"M","MF",Holidays)&lt;=$N34,_xll.HLV5r3.Analytics.Miscellaneous.DateRoll( $Z34,BS$14*12/$O34,"M","MF",Holidays),"")</f>
        <v/>
      </c>
      <c r="BT34" s="4" t="str">
        <f ca="1">IF(_xll.HLV5r3.Analytics.Miscellaneous.DateRoll( $Z34,BT$14*12/$O34,"M","MF",Holidays)&lt;=$N34,_xll.HLV5r3.Analytics.Miscellaneous.DateRoll( $Z34,BT$14*12/$O34,"M","MF",Holidays),"")</f>
        <v/>
      </c>
      <c r="BU34" s="4" t="str">
        <f ca="1">IF(_xll.HLV5r3.Analytics.Miscellaneous.DateRoll( $Z34,BU$14*12/$O34,"M","MF",Holidays)&lt;=$N34,_xll.HLV5r3.Analytics.Miscellaneous.DateRoll( $Z34,BU$14*12/$O34,"M","MF",Holidays),"")</f>
        <v/>
      </c>
      <c r="BV34" s="4" t="str">
        <f ca="1">IF(_xll.HLV5r3.Analytics.Miscellaneous.DateRoll( $Z34,BV$14*12/$O34,"M","MF",Holidays)&lt;=$N34,_xll.HLV5r3.Analytics.Miscellaneous.DateRoll( $Z34,BV$14*12/$O34,"M","MF",Holidays),"")</f>
        <v/>
      </c>
      <c r="BW34" s="4" t="str">
        <f ca="1">IF(_xll.HLV5r3.Analytics.Miscellaneous.DateRoll( $Z34,BW$14*12/$O34,"M","MF",Holidays)&lt;=$N34,_xll.HLV5r3.Analytics.Miscellaneous.DateRoll( $Z34,BW$14*12/$O34,"M","MF",Holidays),"")</f>
        <v/>
      </c>
      <c r="BX34" s="4" t="str">
        <f ca="1">IF(_xll.HLV5r3.Analytics.Miscellaneous.DateRoll( $Z34,BX$14*12/$O34,"M","MF",Holidays)&lt;=$N34,_xll.HLV5r3.Analytics.Miscellaneous.DateRoll( $Z34,BX$14*12/$O34,"M","MF",Holidays),"")</f>
        <v/>
      </c>
      <c r="BY34" s="4" t="str">
        <f ca="1">IF(_xll.HLV5r3.Analytics.Miscellaneous.DateRoll( $Z34,BY$14*12/$O34,"M","MF",Holidays)&lt;=$N34,_xll.HLV5r3.Analytics.Miscellaneous.DateRoll( $Z34,BY$14*12/$O34,"M","MF",Holidays),"")</f>
        <v/>
      </c>
      <c r="BZ34" s="4" t="str">
        <f ca="1">IF(_xll.HLV5r3.Analytics.Miscellaneous.DateRoll( $Z34,BZ$14*12/$O34,"M","MF",Holidays)&lt;=$N34,_xll.HLV5r3.Analytics.Miscellaneous.DateRoll( $Z34,BZ$14*12/$O34,"M","MF",Holidays),"")</f>
        <v/>
      </c>
      <c r="CA34" s="4" t="str">
        <f ca="1">IF(_xll.HLV5r3.Analytics.Miscellaneous.DateRoll( $Z34,CA$14*12/$O34,"M","MF",Holidays)&lt;=$N34,_xll.HLV5r3.Analytics.Miscellaneous.DateRoll( $Z34,CA$14*12/$O34,"M","MF",Holidays),"")</f>
        <v/>
      </c>
      <c r="CB34" s="4" t="str">
        <f ca="1">IF(_xll.HLV5r3.Analytics.Miscellaneous.DateRoll( $Z34,CB$14*12/$O34,"M","MF",Holidays)&lt;=$N34,_xll.HLV5r3.Analytics.Miscellaneous.DateRoll( $Z34,CB$14*12/$O34,"M","MF",Holidays),"")</f>
        <v/>
      </c>
      <c r="CC34" s="4" t="str">
        <f ca="1">IF(_xll.HLV5r3.Analytics.Miscellaneous.DateRoll( $Z34,CC$14*12/$O34,"M","MF",Holidays)&lt;=$N34,_xll.HLV5r3.Analytics.Miscellaneous.DateRoll( $Z34,CC$14*12/$O34,"M","MF",Holidays),"")</f>
        <v/>
      </c>
      <c r="CD34" s="4" t="str">
        <f ca="1">IF(_xll.HLV5r3.Analytics.Miscellaneous.DateRoll( $Z34,CD$14*12/$O34,"M","MF",Holidays)&lt;=$N34,_xll.HLV5r3.Analytics.Miscellaneous.DateRoll( $Z34,CD$14*12/$O34,"M","MF",Holidays),"")</f>
        <v/>
      </c>
      <c r="CE34" s="4" t="str">
        <f ca="1">IF(_xll.HLV5r3.Analytics.Miscellaneous.DateRoll( $Z34,CE$14*12/$O34,"M","MF",Holidays)&lt;=$N34,_xll.HLV5r3.Analytics.Miscellaneous.DateRoll( $Z34,CE$14*12/$O34,"M","MF",Holidays),"")</f>
        <v/>
      </c>
      <c r="CF34" s="4" t="str">
        <f ca="1">IF(_xll.HLV5r3.Analytics.Miscellaneous.DateRoll( $Z34,CF$14*12/$O34,"M","MF",Holidays)&lt;=$N34,_xll.HLV5r3.Analytics.Miscellaneous.DateRoll( $Z34,CF$14*12/$O34,"M","MF",Holidays),"")</f>
        <v/>
      </c>
      <c r="CG34" s="4" t="str">
        <f ca="1">IF(_xll.HLV5r3.Analytics.Miscellaneous.DateRoll( $Z34,CG$14*12/$O34,"M","MF",Holidays)&lt;=$N34,_xll.HLV5r3.Analytics.Miscellaneous.DateRoll( $Z34,CG$14*12/$O34,"M","MF",Holidays),"")</f>
        <v/>
      </c>
      <c r="CH34" s="4" t="str">
        <f ca="1">IF(_xll.HLV5r3.Analytics.Miscellaneous.DateRoll( $Z34,CH$14*12/$O34,"M","MF",Holidays)&lt;=$N34,_xll.HLV5r3.Analytics.Miscellaneous.DateRoll( $Z34,CH$14*12/$O34,"M","MF",Holidays),"")</f>
        <v/>
      </c>
      <c r="CI34" s="4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</row>
    <row r="35" spans="1:148">
      <c r="A35" s="29" t="s">
        <v>32</v>
      </c>
      <c r="B35" s="194" t="str">
        <f t="shared" si="14"/>
        <v>12Y</v>
      </c>
      <c r="C35" s="74">
        <v>55.333333333333336</v>
      </c>
      <c r="D35" s="62">
        <f t="shared" ca="1" si="20"/>
        <v>6.0308333333333399</v>
      </c>
      <c r="E35" s="131">
        <v>-7.0055555555555555</v>
      </c>
      <c r="F35" s="72">
        <f ca="1">_xll.HLV5r3.Analytics.Miscellaneous.SFEBillTickValue( D35)</f>
        <v>16.25</v>
      </c>
      <c r="G35" s="81">
        <v>1</v>
      </c>
      <c r="H35" s="77" t="s">
        <v>34</v>
      </c>
      <c r="I35" s="82" t="s">
        <v>35</v>
      </c>
      <c r="J35" s="81">
        <v>12</v>
      </c>
      <c r="K35" s="77" t="s">
        <v>38</v>
      </c>
      <c r="L35" s="82" t="s">
        <v>37</v>
      </c>
      <c r="M35" s="67">
        <f ca="1">_xll.HLV5r3.Analytics.Miscellaneous.DateRoll( Calc_Date,G35,H35,I35,Holidays)</f>
        <v>43641</v>
      </c>
      <c r="N35" s="61">
        <f ca="1">_xll.HLV5r3.Analytics.Miscellaneous.DateRoll(M35,J35,K35,L35,Holidays)</f>
        <v>48024</v>
      </c>
      <c r="O35" s="88">
        <v>2</v>
      </c>
      <c r="P35" s="95">
        <f t="shared" ca="1" si="15"/>
        <v>5.9607777777777843E-2</v>
      </c>
      <c r="Q35" s="90">
        <v>0</v>
      </c>
      <c r="R35" s="92">
        <f t="shared" ca="1" si="16"/>
        <v>5.9607777777777843E-2</v>
      </c>
      <c r="S35" s="90"/>
      <c r="T35" s="100">
        <f t="shared" si="17"/>
        <v>12.010958904109589</v>
      </c>
      <c r="U35" s="42">
        <v>4384</v>
      </c>
      <c r="V35" s="41">
        <v>5.9695882961390806E-2</v>
      </c>
      <c r="W35" s="46">
        <f>_xll.HLV5r3.Analytics.Miscellaneous.Zero2DF(V35,ZeroCompFreq,U35/365)</f>
        <v>0.49080559792160111</v>
      </c>
      <c r="X35" s="10"/>
      <c r="Y35" s="37" t="str">
        <f t="shared" si="18"/>
        <v>12Y</v>
      </c>
      <c r="Z35" s="4">
        <f t="shared" ca="1" si="19"/>
        <v>43641</v>
      </c>
      <c r="AA35" s="4">
        <f ca="1">IF(_xll.HLV5r3.Analytics.Miscellaneous.DateRoll( $Z35,AA$14*12/$O35,"M","MF",Holidays)&lt;=$N35,_xll.HLV5r3.Analytics.Miscellaneous.DateRoll( $Z35,AA$14*12/$O35,"M","MF",Holidays),"")</f>
        <v>43826</v>
      </c>
      <c r="AB35" s="4">
        <f ca="1">IF(_xll.HLV5r3.Analytics.Miscellaneous.DateRoll( $Z35,AB$14*12/$O35,"M","MF",Holidays)&lt;=$N35,_xll.HLV5r3.Analytics.Miscellaneous.DateRoll( $Z35,AB$14*12/$O35,"M","MF",Holidays),"")</f>
        <v>44007</v>
      </c>
      <c r="AC35" s="4">
        <f ca="1">IF(_xll.HLV5r3.Analytics.Miscellaneous.DateRoll( $Z35,AC$14*12/$O35,"M","MF",Holidays)&lt;=$N35,_xll.HLV5r3.Analytics.Miscellaneous.DateRoll( $Z35,AC$14*12/$O35,"M","MF",Holidays),"")</f>
        <v>44194</v>
      </c>
      <c r="AD35" s="4">
        <f ca="1">IF(_xll.HLV5r3.Analytics.Miscellaneous.DateRoll( $Z35,AD$14*12/$O35,"M","MF",Holidays)&lt;=$N35,_xll.HLV5r3.Analytics.Miscellaneous.DateRoll( $Z35,AD$14*12/$O35,"M","MF",Holidays),"")</f>
        <v>44372</v>
      </c>
      <c r="AE35" s="4">
        <f ca="1">IF(_xll.HLV5r3.Analytics.Miscellaneous.DateRoll( $Z35,AE$14*12/$O35,"M","MF",Holidays)&lt;=$N35,_xll.HLV5r3.Analytics.Miscellaneous.DateRoll( $Z35,AE$14*12/$O35,"M","MF",Holidays),"")</f>
        <v>44559</v>
      </c>
      <c r="AF35" s="4">
        <f ca="1">IF(_xll.HLV5r3.Analytics.Miscellaneous.DateRoll( $Z35,AF$14*12/$O35,"M","MF",Holidays)&lt;=$N35,_xll.HLV5r3.Analytics.Miscellaneous.DateRoll( $Z35,AF$14*12/$O35,"M","MF",Holidays),"")</f>
        <v>44739</v>
      </c>
      <c r="AG35" s="4">
        <f ca="1">IF(_xll.HLV5r3.Analytics.Miscellaneous.DateRoll( $Z35,AG$14*12/$O35,"M","MF",Holidays)&lt;=$N35,_xll.HLV5r3.Analytics.Miscellaneous.DateRoll( $Z35,AG$14*12/$O35,"M","MF",Holidays),"")</f>
        <v>44923</v>
      </c>
      <c r="AH35" s="4">
        <f ca="1">IF(_xll.HLV5r3.Analytics.Miscellaneous.DateRoll( $Z35,AH$14*12/$O35,"M","MF",Holidays)&lt;=$N35,_xll.HLV5r3.Analytics.Miscellaneous.DateRoll( $Z35,AH$14*12/$O35,"M","MF",Holidays),"")</f>
        <v>45103</v>
      </c>
      <c r="AI35" s="4">
        <f ca="1">IF(_xll.HLV5r3.Analytics.Miscellaneous.DateRoll( $Z35,AI$14*12/$O35,"M","MF",Holidays)&lt;=$N35,_xll.HLV5r3.Analytics.Miscellaneous.DateRoll( $Z35,AI$14*12/$O35,"M","MF",Holidays),"")</f>
        <v>45287</v>
      </c>
      <c r="AJ35" s="4">
        <f ca="1">IF(_xll.HLV5r3.Analytics.Miscellaneous.DateRoll( $Z35,AJ$14*12/$O35,"M","MF",Holidays)&lt;=$N35,_xll.HLV5r3.Analytics.Miscellaneous.DateRoll( $Z35,AJ$14*12/$O35,"M","MF",Holidays),"")</f>
        <v>45468</v>
      </c>
      <c r="AK35" s="4">
        <f ca="1">IF(_xll.HLV5r3.Analytics.Miscellaneous.DateRoll( $Z35,AK$14*12/$O35,"M","MF",Holidays)&lt;=$N35,_xll.HLV5r3.Analytics.Miscellaneous.DateRoll( $Z35,AK$14*12/$O35,"M","MF",Holidays),"")</f>
        <v>45653</v>
      </c>
      <c r="AL35" s="4">
        <f ca="1">IF(_xll.HLV5r3.Analytics.Miscellaneous.DateRoll( $Z35,AL$14*12/$O35,"M","MF",Holidays)&lt;=$N35,_xll.HLV5r3.Analytics.Miscellaneous.DateRoll( $Z35,AL$14*12/$O35,"M","MF",Holidays),"")</f>
        <v>45833</v>
      </c>
      <c r="AM35" s="4">
        <f ca="1">IF(_xll.HLV5r3.Analytics.Miscellaneous.DateRoll( $Z35,AM$14*12/$O35,"M","MF",Holidays)&lt;=$N35,_xll.HLV5r3.Analytics.Miscellaneous.DateRoll( $Z35,AM$14*12/$O35,"M","MF",Holidays),"")</f>
        <v>46020</v>
      </c>
      <c r="AN35" s="4">
        <f ca="1">IF(_xll.HLV5r3.Analytics.Miscellaneous.DateRoll( $Z35,AN$14*12/$O35,"M","MF",Holidays)&lt;=$N35,_xll.HLV5r3.Analytics.Miscellaneous.DateRoll( $Z35,AN$14*12/$O35,"M","MF",Holidays),"")</f>
        <v>46198</v>
      </c>
      <c r="AO35" s="4">
        <f ca="1">IF(_xll.HLV5r3.Analytics.Miscellaneous.DateRoll( $Z35,AO$14*12/$O35,"M","MF",Holidays)&lt;=$N35,_xll.HLV5r3.Analytics.Miscellaneous.DateRoll( $Z35,AO$14*12/$O35,"M","MF",Holidays),"")</f>
        <v>46385</v>
      </c>
      <c r="AP35" s="4">
        <f ca="1">IF(_xll.HLV5r3.Analytics.Miscellaneous.DateRoll( $Z35,AP$14*12/$O35,"M","MF",Holidays)&lt;=$N35,_xll.HLV5r3.Analytics.Miscellaneous.DateRoll( $Z35,AP$14*12/$O35,"M","MF",Holidays),"")</f>
        <v>46563</v>
      </c>
      <c r="AQ35" s="4">
        <f ca="1">IF(_xll.HLV5r3.Analytics.Miscellaneous.DateRoll( $Z35,AQ$14*12/$O35,"M","MF",Holidays)&lt;=$N35,_xll.HLV5r3.Analytics.Miscellaneous.DateRoll( $Z35,AQ$14*12/$O35,"M","MF",Holidays),"")</f>
        <v>46750</v>
      </c>
      <c r="AR35" s="4">
        <f ca="1">IF(_xll.HLV5r3.Analytics.Miscellaneous.DateRoll( $Z35,AR$14*12/$O35,"M","MF",Holidays)&lt;=$N35,_xll.HLV5r3.Analytics.Miscellaneous.DateRoll( $Z35,AR$14*12/$O35,"M","MF",Holidays),"")</f>
        <v>46930</v>
      </c>
      <c r="AS35" s="4">
        <f ca="1">IF(_xll.HLV5r3.Analytics.Miscellaneous.DateRoll( $Z35,AS$14*12/$O35,"M","MF",Holidays)&lt;=$N35,_xll.HLV5r3.Analytics.Miscellaneous.DateRoll( $Z35,AS$14*12/$O35,"M","MF",Holidays),"")</f>
        <v>47114</v>
      </c>
      <c r="AT35" s="4">
        <f ca="1">IF(_xll.HLV5r3.Analytics.Miscellaneous.DateRoll( $Z35,AT$14*12/$O35,"M","MF",Holidays)&lt;=$N35,_xll.HLV5r3.Analytics.Miscellaneous.DateRoll( $Z35,AT$14*12/$O35,"M","MF",Holidays),"")</f>
        <v>47294</v>
      </c>
      <c r="AU35" s="4">
        <f ca="1">IF(_xll.HLV5r3.Analytics.Miscellaneous.DateRoll( $Z35,AU$14*12/$O35,"M","MF",Holidays)&lt;=$N35,_xll.HLV5r3.Analytics.Miscellaneous.DateRoll( $Z35,AU$14*12/$O35,"M","MF",Holidays),"")</f>
        <v>47479</v>
      </c>
      <c r="AV35" s="4">
        <f ca="1">IF(_xll.HLV5r3.Analytics.Miscellaneous.DateRoll( $Z35,AV$14*12/$O35,"M","MF",Holidays)&lt;=$N35,_xll.HLV5r3.Analytics.Miscellaneous.DateRoll( $Z35,AV$14*12/$O35,"M","MF",Holidays),"")</f>
        <v>47659</v>
      </c>
      <c r="AW35" s="4">
        <f ca="1">IF(_xll.HLV5r3.Analytics.Miscellaneous.DateRoll( $Z35,AW$14*12/$O35,"M","MF",Holidays)&lt;=$N35,_xll.HLV5r3.Analytics.Miscellaneous.DateRoll( $Z35,AW$14*12/$O35,"M","MF",Holidays),"")</f>
        <v>47844</v>
      </c>
      <c r="AX35" s="4">
        <f ca="1">IF(_xll.HLV5r3.Analytics.Miscellaneous.DateRoll( $Z35,AX$14*12/$O35,"M","MF",Holidays)&lt;=$N35,_xll.HLV5r3.Analytics.Miscellaneous.DateRoll( $Z35,AX$14*12/$O35,"M","MF",Holidays),"")</f>
        <v>48024</v>
      </c>
      <c r="AY35" s="4" t="str">
        <f ca="1">IF(_xll.HLV5r3.Analytics.Miscellaneous.DateRoll( $Z35,AY$14*12/$O35,"M","MF",Holidays)&lt;=$N35,_xll.HLV5r3.Analytics.Miscellaneous.DateRoll( $Z35,AY$14*12/$O35,"M","MF",Holidays),"")</f>
        <v/>
      </c>
      <c r="AZ35" s="4" t="str">
        <f ca="1">IF(_xll.HLV5r3.Analytics.Miscellaneous.DateRoll( $Z35,AZ$14*12/$O35,"M","MF",Holidays)&lt;=$N35,_xll.HLV5r3.Analytics.Miscellaneous.DateRoll( $Z35,AZ$14*12/$O35,"M","MF",Holidays),"")</f>
        <v/>
      </c>
      <c r="BA35" s="4" t="str">
        <f ca="1">IF(_xll.HLV5r3.Analytics.Miscellaneous.DateRoll( $Z35,BA$14*12/$O35,"M","MF",Holidays)&lt;=$N35,_xll.HLV5r3.Analytics.Miscellaneous.DateRoll( $Z35,BA$14*12/$O35,"M","MF",Holidays),"")</f>
        <v/>
      </c>
      <c r="BB35" s="4" t="str">
        <f ca="1">IF(_xll.HLV5r3.Analytics.Miscellaneous.DateRoll( $Z35,BB$14*12/$O35,"M","MF",Holidays)&lt;=$N35,_xll.HLV5r3.Analytics.Miscellaneous.DateRoll( $Z35,BB$14*12/$O35,"M","MF",Holidays),"")</f>
        <v/>
      </c>
      <c r="BC35" s="4" t="str">
        <f ca="1">IF(_xll.HLV5r3.Analytics.Miscellaneous.DateRoll( $Z35,BC$14*12/$O35,"M","MF",Holidays)&lt;=$N35,_xll.HLV5r3.Analytics.Miscellaneous.DateRoll( $Z35,BC$14*12/$O35,"M","MF",Holidays),"")</f>
        <v/>
      </c>
      <c r="BD35" s="4" t="str">
        <f ca="1">IF(_xll.HLV5r3.Analytics.Miscellaneous.DateRoll( $Z35,BD$14*12/$O35,"M","MF",Holidays)&lt;=$N35,_xll.HLV5r3.Analytics.Miscellaneous.DateRoll( $Z35,BD$14*12/$O35,"M","MF",Holidays),"")</f>
        <v/>
      </c>
      <c r="BE35" s="4" t="str">
        <f ca="1">IF(_xll.HLV5r3.Analytics.Miscellaneous.DateRoll( $Z35,BE$14*12/$O35,"M","MF",Holidays)&lt;=$N35,_xll.HLV5r3.Analytics.Miscellaneous.DateRoll( $Z35,BE$14*12/$O35,"M","MF",Holidays),"")</f>
        <v/>
      </c>
      <c r="BF35" s="4" t="str">
        <f ca="1">IF(_xll.HLV5r3.Analytics.Miscellaneous.DateRoll( $Z35,BF$14*12/$O35,"M","MF",Holidays)&lt;=$N35,_xll.HLV5r3.Analytics.Miscellaneous.DateRoll( $Z35,BF$14*12/$O35,"M","MF",Holidays),"")</f>
        <v/>
      </c>
      <c r="BG35" s="4" t="str">
        <f ca="1">IF(_xll.HLV5r3.Analytics.Miscellaneous.DateRoll( $Z35,BG$14*12/$O35,"M","MF",Holidays)&lt;=$N35,_xll.HLV5r3.Analytics.Miscellaneous.DateRoll( $Z35,BG$14*12/$O35,"M","MF",Holidays),"")</f>
        <v/>
      </c>
      <c r="BH35" s="4" t="str">
        <f ca="1">IF(_xll.HLV5r3.Analytics.Miscellaneous.DateRoll( $Z35,BH$14*12/$O35,"M","MF",Holidays)&lt;=$N35,_xll.HLV5r3.Analytics.Miscellaneous.DateRoll( $Z35,BH$14*12/$O35,"M","MF",Holidays),"")</f>
        <v/>
      </c>
      <c r="BI35" s="4" t="str">
        <f ca="1">IF(_xll.HLV5r3.Analytics.Miscellaneous.DateRoll( $Z35,BI$14*12/$O35,"M","MF",Holidays)&lt;=$N35,_xll.HLV5r3.Analytics.Miscellaneous.DateRoll( $Z35,BI$14*12/$O35,"M","MF",Holidays),"")</f>
        <v/>
      </c>
      <c r="BJ35" s="4" t="str">
        <f ca="1">IF(_xll.HLV5r3.Analytics.Miscellaneous.DateRoll( $Z35,BJ$14*12/$O35,"M","MF",Holidays)&lt;=$N35,_xll.HLV5r3.Analytics.Miscellaneous.DateRoll( $Z35,BJ$14*12/$O35,"M","MF",Holidays),"")</f>
        <v/>
      </c>
      <c r="BK35" s="4" t="str">
        <f ca="1">IF(_xll.HLV5r3.Analytics.Miscellaneous.DateRoll( $Z35,BK$14*12/$O35,"M","MF",Holidays)&lt;=$N35,_xll.HLV5r3.Analytics.Miscellaneous.DateRoll( $Z35,BK$14*12/$O35,"M","MF",Holidays),"")</f>
        <v/>
      </c>
      <c r="BL35" s="4" t="str">
        <f ca="1">IF(_xll.HLV5r3.Analytics.Miscellaneous.DateRoll( $Z35,BL$14*12/$O35,"M","MF",Holidays)&lt;=$N35,_xll.HLV5r3.Analytics.Miscellaneous.DateRoll( $Z35,BL$14*12/$O35,"M","MF",Holidays),"")</f>
        <v/>
      </c>
      <c r="BM35" s="4" t="str">
        <f ca="1">IF(_xll.HLV5r3.Analytics.Miscellaneous.DateRoll( $Z35,BM$14*12/$O35,"M","MF",Holidays)&lt;=$N35,_xll.HLV5r3.Analytics.Miscellaneous.DateRoll( $Z35,BM$14*12/$O35,"M","MF",Holidays),"")</f>
        <v/>
      </c>
      <c r="BN35" s="4" t="str">
        <f ca="1">IF(_xll.HLV5r3.Analytics.Miscellaneous.DateRoll( $Z35,BN$14*12/$O35,"M","MF",Holidays)&lt;=$N35,_xll.HLV5r3.Analytics.Miscellaneous.DateRoll( $Z35,BN$14*12/$O35,"M","MF",Holidays),"")</f>
        <v/>
      </c>
      <c r="BO35" s="4" t="str">
        <f ca="1">IF(_xll.HLV5r3.Analytics.Miscellaneous.DateRoll( $Z35,BO$14*12/$O35,"M","MF",Holidays)&lt;=$N35,_xll.HLV5r3.Analytics.Miscellaneous.DateRoll( $Z35,BO$14*12/$O35,"M","MF",Holidays),"")</f>
        <v/>
      </c>
      <c r="BP35" s="4" t="str">
        <f ca="1">IF(_xll.HLV5r3.Analytics.Miscellaneous.DateRoll( $Z35,BP$14*12/$O35,"M","MF",Holidays)&lt;=$N35,_xll.HLV5r3.Analytics.Miscellaneous.DateRoll( $Z35,BP$14*12/$O35,"M","MF",Holidays),"")</f>
        <v/>
      </c>
      <c r="BQ35" s="4" t="str">
        <f ca="1">IF(_xll.HLV5r3.Analytics.Miscellaneous.DateRoll( $Z35,BQ$14*12/$O35,"M","MF",Holidays)&lt;=$N35,_xll.HLV5r3.Analytics.Miscellaneous.DateRoll( $Z35,BQ$14*12/$O35,"M","MF",Holidays),"")</f>
        <v/>
      </c>
      <c r="BR35" s="4" t="str">
        <f ca="1">IF(_xll.HLV5r3.Analytics.Miscellaneous.DateRoll( $Z35,BR$14*12/$O35,"M","MF",Holidays)&lt;=$N35,_xll.HLV5r3.Analytics.Miscellaneous.DateRoll( $Z35,BR$14*12/$O35,"M","MF",Holidays),"")</f>
        <v/>
      </c>
      <c r="BS35" s="4" t="str">
        <f ca="1">IF(_xll.HLV5r3.Analytics.Miscellaneous.DateRoll( $Z35,BS$14*12/$O35,"M","MF",Holidays)&lt;=$N35,_xll.HLV5r3.Analytics.Miscellaneous.DateRoll( $Z35,BS$14*12/$O35,"M","MF",Holidays),"")</f>
        <v/>
      </c>
      <c r="BT35" s="4" t="str">
        <f ca="1">IF(_xll.HLV5r3.Analytics.Miscellaneous.DateRoll( $Z35,BT$14*12/$O35,"M","MF",Holidays)&lt;=$N35,_xll.HLV5r3.Analytics.Miscellaneous.DateRoll( $Z35,BT$14*12/$O35,"M","MF",Holidays),"")</f>
        <v/>
      </c>
      <c r="BU35" s="4" t="str">
        <f ca="1">IF(_xll.HLV5r3.Analytics.Miscellaneous.DateRoll( $Z35,BU$14*12/$O35,"M","MF",Holidays)&lt;=$N35,_xll.HLV5r3.Analytics.Miscellaneous.DateRoll( $Z35,BU$14*12/$O35,"M","MF",Holidays),"")</f>
        <v/>
      </c>
      <c r="BV35" s="4" t="str">
        <f ca="1">IF(_xll.HLV5r3.Analytics.Miscellaneous.DateRoll( $Z35,BV$14*12/$O35,"M","MF",Holidays)&lt;=$N35,_xll.HLV5r3.Analytics.Miscellaneous.DateRoll( $Z35,BV$14*12/$O35,"M","MF",Holidays),"")</f>
        <v/>
      </c>
      <c r="BW35" s="4" t="str">
        <f ca="1">IF(_xll.HLV5r3.Analytics.Miscellaneous.DateRoll( $Z35,BW$14*12/$O35,"M","MF",Holidays)&lt;=$N35,_xll.HLV5r3.Analytics.Miscellaneous.DateRoll( $Z35,BW$14*12/$O35,"M","MF",Holidays),"")</f>
        <v/>
      </c>
      <c r="BX35" s="4" t="str">
        <f ca="1">IF(_xll.HLV5r3.Analytics.Miscellaneous.DateRoll( $Z35,BX$14*12/$O35,"M","MF",Holidays)&lt;=$N35,_xll.HLV5r3.Analytics.Miscellaneous.DateRoll( $Z35,BX$14*12/$O35,"M","MF",Holidays),"")</f>
        <v/>
      </c>
      <c r="BY35" s="4" t="str">
        <f ca="1">IF(_xll.HLV5r3.Analytics.Miscellaneous.DateRoll( $Z35,BY$14*12/$O35,"M","MF",Holidays)&lt;=$N35,_xll.HLV5r3.Analytics.Miscellaneous.DateRoll( $Z35,BY$14*12/$O35,"M","MF",Holidays),"")</f>
        <v/>
      </c>
      <c r="BZ35" s="4" t="str">
        <f ca="1">IF(_xll.HLV5r3.Analytics.Miscellaneous.DateRoll( $Z35,BZ$14*12/$O35,"M","MF",Holidays)&lt;=$N35,_xll.HLV5r3.Analytics.Miscellaneous.DateRoll( $Z35,BZ$14*12/$O35,"M","MF",Holidays),"")</f>
        <v/>
      </c>
      <c r="CA35" s="4" t="str">
        <f ca="1">IF(_xll.HLV5r3.Analytics.Miscellaneous.DateRoll( $Z35,CA$14*12/$O35,"M","MF",Holidays)&lt;=$N35,_xll.HLV5r3.Analytics.Miscellaneous.DateRoll( $Z35,CA$14*12/$O35,"M","MF",Holidays),"")</f>
        <v/>
      </c>
      <c r="CB35" s="4" t="str">
        <f ca="1">IF(_xll.HLV5r3.Analytics.Miscellaneous.DateRoll( $Z35,CB$14*12/$O35,"M","MF",Holidays)&lt;=$N35,_xll.HLV5r3.Analytics.Miscellaneous.DateRoll( $Z35,CB$14*12/$O35,"M","MF",Holidays),"")</f>
        <v/>
      </c>
      <c r="CC35" s="4" t="str">
        <f ca="1">IF(_xll.HLV5r3.Analytics.Miscellaneous.DateRoll( $Z35,CC$14*12/$O35,"M","MF",Holidays)&lt;=$N35,_xll.HLV5r3.Analytics.Miscellaneous.DateRoll( $Z35,CC$14*12/$O35,"M","MF",Holidays),"")</f>
        <v/>
      </c>
      <c r="CD35" s="4" t="str">
        <f ca="1">IF(_xll.HLV5r3.Analytics.Miscellaneous.DateRoll( $Z35,CD$14*12/$O35,"M","MF",Holidays)&lt;=$N35,_xll.HLV5r3.Analytics.Miscellaneous.DateRoll( $Z35,CD$14*12/$O35,"M","MF",Holidays),"")</f>
        <v/>
      </c>
      <c r="CE35" s="4" t="str">
        <f ca="1">IF(_xll.HLV5r3.Analytics.Miscellaneous.DateRoll( $Z35,CE$14*12/$O35,"M","MF",Holidays)&lt;=$N35,_xll.HLV5r3.Analytics.Miscellaneous.DateRoll( $Z35,CE$14*12/$O35,"M","MF",Holidays),"")</f>
        <v/>
      </c>
      <c r="CF35" s="4" t="str">
        <f ca="1">IF(_xll.HLV5r3.Analytics.Miscellaneous.DateRoll( $Z35,CF$14*12/$O35,"M","MF",Holidays)&lt;=$N35,_xll.HLV5r3.Analytics.Miscellaneous.DateRoll( $Z35,CF$14*12/$O35,"M","MF",Holidays),"")</f>
        <v/>
      </c>
      <c r="CG35" s="4" t="str">
        <f ca="1">IF(_xll.HLV5r3.Analytics.Miscellaneous.DateRoll( $Z35,CG$14*12/$O35,"M","MF",Holidays)&lt;=$N35,_xll.HLV5r3.Analytics.Miscellaneous.DateRoll( $Z35,CG$14*12/$O35,"M","MF",Holidays),"")</f>
        <v/>
      </c>
      <c r="CH35" s="4" t="str">
        <f ca="1">IF(_xll.HLV5r3.Analytics.Miscellaneous.DateRoll( $Z35,CH$14*12/$O35,"M","MF",Holidays)&lt;=$N35,_xll.HLV5r3.Analytics.Miscellaneous.DateRoll( $Z35,CH$14*12/$O35,"M","MF",Holidays),"")</f>
        <v/>
      </c>
      <c r="CI35" s="4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</row>
    <row r="36" spans="1:148">
      <c r="A36" s="29" t="s">
        <v>32</v>
      </c>
      <c r="B36" s="194" t="str">
        <f t="shared" si="10"/>
        <v>15Y</v>
      </c>
      <c r="C36" s="74">
        <v>57.75</v>
      </c>
      <c r="D36" s="62">
        <f t="shared" ca="1" si="20"/>
        <v>6.0550000000000059</v>
      </c>
      <c r="E36" s="131">
        <v>-6.083333333333333</v>
      </c>
      <c r="F36" s="72">
        <f ca="1">_xll.HLV5r3.Analytics.Miscellaneous.SFEBillTickValue( D36)</f>
        <v>16.260000000009313</v>
      </c>
      <c r="G36" s="81">
        <v>1</v>
      </c>
      <c r="H36" s="77" t="s">
        <v>34</v>
      </c>
      <c r="I36" s="82" t="s">
        <v>35</v>
      </c>
      <c r="J36" s="81">
        <v>15</v>
      </c>
      <c r="K36" s="77" t="s">
        <v>38</v>
      </c>
      <c r="L36" s="82" t="s">
        <v>37</v>
      </c>
      <c r="M36" s="67">
        <f ca="1">_xll.HLV5r3.Analytics.Miscellaneous.DateRoll( Calc_Date,G36,H36,I36,Holidays)</f>
        <v>43641</v>
      </c>
      <c r="N36" s="61">
        <f ca="1">_xll.HLV5r3.Analytics.Miscellaneous.DateRoll(M36,J36,K36,L36,Holidays)</f>
        <v>49121</v>
      </c>
      <c r="O36" s="88">
        <v>2</v>
      </c>
      <c r="P36" s="95">
        <f t="shared" ca="1" si="13"/>
        <v>5.9941666666666726E-2</v>
      </c>
      <c r="Q36" s="90">
        <v>0</v>
      </c>
      <c r="R36" s="92">
        <f t="shared" ca="1" si="11"/>
        <v>5.9941666666666726E-2</v>
      </c>
      <c r="S36" s="90"/>
      <c r="T36" s="100">
        <f t="shared" si="2"/>
        <v>15.013698630136986</v>
      </c>
      <c r="U36" s="42">
        <v>5480</v>
      </c>
      <c r="V36" s="41">
        <v>6.0082221741020736E-2</v>
      </c>
      <c r="W36" s="46">
        <f>_xll.HLV5r3.Analytics.Miscellaneous.Zero2DF(V36,ZeroCompFreq,U36/365)</f>
        <v>0.40846511709591088</v>
      </c>
      <c r="X36" s="10"/>
      <c r="Y36" s="37" t="str">
        <f t="shared" si="4"/>
        <v>15Y</v>
      </c>
      <c r="Z36" s="4">
        <f t="shared" ca="1" si="12"/>
        <v>43641</v>
      </c>
      <c r="AA36" s="4">
        <f ca="1">IF(_xll.HLV5r3.Analytics.Miscellaneous.DateRoll( $Z36,AA$14*12/$O36,"M","MF",Holidays)&lt;=$N36,_xll.HLV5r3.Analytics.Miscellaneous.DateRoll( $Z36,AA$14*12/$O36,"M","MF",Holidays),"")</f>
        <v>43826</v>
      </c>
      <c r="AB36" s="4">
        <f ca="1">IF(_xll.HLV5r3.Analytics.Miscellaneous.DateRoll( $Z36,AB$14*12/$O36,"M","MF",Holidays)&lt;=$N36,_xll.HLV5r3.Analytics.Miscellaneous.DateRoll( $Z36,AB$14*12/$O36,"M","MF",Holidays),"")</f>
        <v>44007</v>
      </c>
      <c r="AC36" s="4">
        <f ca="1">IF(_xll.HLV5r3.Analytics.Miscellaneous.DateRoll( $Z36,AC$14*12/$O36,"M","MF",Holidays)&lt;=$N36,_xll.HLV5r3.Analytics.Miscellaneous.DateRoll( $Z36,AC$14*12/$O36,"M","MF",Holidays),"")</f>
        <v>44194</v>
      </c>
      <c r="AD36" s="4">
        <f ca="1">IF(_xll.HLV5r3.Analytics.Miscellaneous.DateRoll( $Z36,AD$14*12/$O36,"M","MF",Holidays)&lt;=$N36,_xll.HLV5r3.Analytics.Miscellaneous.DateRoll( $Z36,AD$14*12/$O36,"M","MF",Holidays),"")</f>
        <v>44372</v>
      </c>
      <c r="AE36" s="4">
        <f ca="1">IF(_xll.HLV5r3.Analytics.Miscellaneous.DateRoll( $Z36,AE$14*12/$O36,"M","MF",Holidays)&lt;=$N36,_xll.HLV5r3.Analytics.Miscellaneous.DateRoll( $Z36,AE$14*12/$O36,"M","MF",Holidays),"")</f>
        <v>44559</v>
      </c>
      <c r="AF36" s="4">
        <f ca="1">IF(_xll.HLV5r3.Analytics.Miscellaneous.DateRoll( $Z36,AF$14*12/$O36,"M","MF",Holidays)&lt;=$N36,_xll.HLV5r3.Analytics.Miscellaneous.DateRoll( $Z36,AF$14*12/$O36,"M","MF",Holidays),"")</f>
        <v>44739</v>
      </c>
      <c r="AG36" s="4">
        <f ca="1">IF(_xll.HLV5r3.Analytics.Miscellaneous.DateRoll( $Z36,AG$14*12/$O36,"M","MF",Holidays)&lt;=$N36,_xll.HLV5r3.Analytics.Miscellaneous.DateRoll( $Z36,AG$14*12/$O36,"M","MF",Holidays),"")</f>
        <v>44923</v>
      </c>
      <c r="AH36" s="4">
        <f ca="1">IF(_xll.HLV5r3.Analytics.Miscellaneous.DateRoll( $Z36,AH$14*12/$O36,"M","MF",Holidays)&lt;=$N36,_xll.HLV5r3.Analytics.Miscellaneous.DateRoll( $Z36,AH$14*12/$O36,"M","MF",Holidays),"")</f>
        <v>45103</v>
      </c>
      <c r="AI36" s="4">
        <f ca="1">IF(_xll.HLV5r3.Analytics.Miscellaneous.DateRoll( $Z36,AI$14*12/$O36,"M","MF",Holidays)&lt;=$N36,_xll.HLV5r3.Analytics.Miscellaneous.DateRoll( $Z36,AI$14*12/$O36,"M","MF",Holidays),"")</f>
        <v>45287</v>
      </c>
      <c r="AJ36" s="4">
        <f ca="1">IF(_xll.HLV5r3.Analytics.Miscellaneous.DateRoll( $Z36,AJ$14*12/$O36,"M","MF",Holidays)&lt;=$N36,_xll.HLV5r3.Analytics.Miscellaneous.DateRoll( $Z36,AJ$14*12/$O36,"M","MF",Holidays),"")</f>
        <v>45468</v>
      </c>
      <c r="AK36" s="4">
        <f ca="1">IF(_xll.HLV5r3.Analytics.Miscellaneous.DateRoll( $Z36,AK$14*12/$O36,"M","MF",Holidays)&lt;=$N36,_xll.HLV5r3.Analytics.Miscellaneous.DateRoll( $Z36,AK$14*12/$O36,"M","MF",Holidays),"")</f>
        <v>45653</v>
      </c>
      <c r="AL36" s="4">
        <f ca="1">IF(_xll.HLV5r3.Analytics.Miscellaneous.DateRoll( $Z36,AL$14*12/$O36,"M","MF",Holidays)&lt;=$N36,_xll.HLV5r3.Analytics.Miscellaneous.DateRoll( $Z36,AL$14*12/$O36,"M","MF",Holidays),"")</f>
        <v>45833</v>
      </c>
      <c r="AM36" s="4">
        <f ca="1">IF(_xll.HLV5r3.Analytics.Miscellaneous.DateRoll( $Z36,AM$14*12/$O36,"M","MF",Holidays)&lt;=$N36,_xll.HLV5r3.Analytics.Miscellaneous.DateRoll( $Z36,AM$14*12/$O36,"M","MF",Holidays),"")</f>
        <v>46020</v>
      </c>
      <c r="AN36" s="4">
        <f ca="1">IF(_xll.HLV5r3.Analytics.Miscellaneous.DateRoll( $Z36,AN$14*12/$O36,"M","MF",Holidays)&lt;=$N36,_xll.HLV5r3.Analytics.Miscellaneous.DateRoll( $Z36,AN$14*12/$O36,"M","MF",Holidays),"")</f>
        <v>46198</v>
      </c>
      <c r="AO36" s="4">
        <f ca="1">IF(_xll.HLV5r3.Analytics.Miscellaneous.DateRoll( $Z36,AO$14*12/$O36,"M","MF",Holidays)&lt;=$N36,_xll.HLV5r3.Analytics.Miscellaneous.DateRoll( $Z36,AO$14*12/$O36,"M","MF",Holidays),"")</f>
        <v>46385</v>
      </c>
      <c r="AP36" s="4">
        <f ca="1">IF(_xll.HLV5r3.Analytics.Miscellaneous.DateRoll( $Z36,AP$14*12/$O36,"M","MF",Holidays)&lt;=$N36,_xll.HLV5r3.Analytics.Miscellaneous.DateRoll( $Z36,AP$14*12/$O36,"M","MF",Holidays),"")</f>
        <v>46563</v>
      </c>
      <c r="AQ36" s="4">
        <f ca="1">IF(_xll.HLV5r3.Analytics.Miscellaneous.DateRoll( $Z36,AQ$14*12/$O36,"M","MF",Holidays)&lt;=$N36,_xll.HLV5r3.Analytics.Miscellaneous.DateRoll( $Z36,AQ$14*12/$O36,"M","MF",Holidays),"")</f>
        <v>46750</v>
      </c>
      <c r="AR36" s="4">
        <f ca="1">IF(_xll.HLV5r3.Analytics.Miscellaneous.DateRoll( $Z36,AR$14*12/$O36,"M","MF",Holidays)&lt;=$N36,_xll.HLV5r3.Analytics.Miscellaneous.DateRoll( $Z36,AR$14*12/$O36,"M","MF",Holidays),"")</f>
        <v>46930</v>
      </c>
      <c r="AS36" s="4">
        <f ca="1">IF(_xll.HLV5r3.Analytics.Miscellaneous.DateRoll( $Z36,AS$14*12/$O36,"M","MF",Holidays)&lt;=$N36,_xll.HLV5r3.Analytics.Miscellaneous.DateRoll( $Z36,AS$14*12/$O36,"M","MF",Holidays),"")</f>
        <v>47114</v>
      </c>
      <c r="AT36" s="4">
        <f ca="1">IF(_xll.HLV5r3.Analytics.Miscellaneous.DateRoll( $Z36,AT$14*12/$O36,"M","MF",Holidays)&lt;=$N36,_xll.HLV5r3.Analytics.Miscellaneous.DateRoll( $Z36,AT$14*12/$O36,"M","MF",Holidays),"")</f>
        <v>47294</v>
      </c>
      <c r="AU36" s="4">
        <f ca="1">IF(_xll.HLV5r3.Analytics.Miscellaneous.DateRoll( $Z36,AU$14*12/$O36,"M","MF",Holidays)&lt;=$N36,_xll.HLV5r3.Analytics.Miscellaneous.DateRoll( $Z36,AU$14*12/$O36,"M","MF",Holidays),"")</f>
        <v>47479</v>
      </c>
      <c r="AV36" s="4">
        <f ca="1">IF(_xll.HLV5r3.Analytics.Miscellaneous.DateRoll( $Z36,AV$14*12/$O36,"M","MF",Holidays)&lt;=$N36,_xll.HLV5r3.Analytics.Miscellaneous.DateRoll( $Z36,AV$14*12/$O36,"M","MF",Holidays),"")</f>
        <v>47659</v>
      </c>
      <c r="AW36" s="4">
        <f ca="1">IF(_xll.HLV5r3.Analytics.Miscellaneous.DateRoll( $Z36,AW$14*12/$O36,"M","MF",Holidays)&lt;=$N36,_xll.HLV5r3.Analytics.Miscellaneous.DateRoll( $Z36,AW$14*12/$O36,"M","MF",Holidays),"")</f>
        <v>47844</v>
      </c>
      <c r="AX36" s="4">
        <f ca="1">IF(_xll.HLV5r3.Analytics.Miscellaneous.DateRoll( $Z36,AX$14*12/$O36,"M","MF",Holidays)&lt;=$N36,_xll.HLV5r3.Analytics.Miscellaneous.DateRoll( $Z36,AX$14*12/$O36,"M","MF",Holidays),"")</f>
        <v>48024</v>
      </c>
      <c r="AY36" s="4">
        <f ca="1">IF(_xll.HLV5r3.Analytics.Miscellaneous.DateRoll( $Z36,AY$14*12/$O36,"M","MF",Holidays)&lt;=$N36,_xll.HLV5r3.Analytics.Miscellaneous.DateRoll( $Z36,AY$14*12/$O36,"M","MF",Holidays),"")</f>
        <v>48211</v>
      </c>
      <c r="AZ36" s="4">
        <f ca="1">IF(_xll.HLV5r3.Analytics.Miscellaneous.DateRoll( $Z36,AZ$14*12/$O36,"M","MF",Holidays)&lt;=$N36,_xll.HLV5r3.Analytics.Miscellaneous.DateRoll( $Z36,AZ$14*12/$O36,"M","MF",Holidays),"")</f>
        <v>48390</v>
      </c>
      <c r="BA36" s="4">
        <f ca="1">IF(_xll.HLV5r3.Analytics.Miscellaneous.DateRoll( $Z36,BA$14*12/$O36,"M","MF",Holidays)&lt;=$N36,_xll.HLV5r3.Analytics.Miscellaneous.DateRoll( $Z36,BA$14*12/$O36,"M","MF",Holidays),"")</f>
        <v>48577</v>
      </c>
      <c r="BB36" s="4">
        <f ca="1">IF(_xll.HLV5r3.Analytics.Miscellaneous.DateRoll( $Z36,BB$14*12/$O36,"M","MF",Holidays)&lt;=$N36,_xll.HLV5r3.Analytics.Miscellaneous.DateRoll( $Z36,BB$14*12/$O36,"M","MF",Holidays),"")</f>
        <v>48757</v>
      </c>
      <c r="BC36" s="4">
        <f ca="1">IF(_xll.HLV5r3.Analytics.Miscellaneous.DateRoll( $Z36,BC$14*12/$O36,"M","MF",Holidays)&lt;=$N36,_xll.HLV5r3.Analytics.Miscellaneous.DateRoll( $Z36,BC$14*12/$O36,"M","MF",Holidays),"")</f>
        <v>48941</v>
      </c>
      <c r="BD36" s="4">
        <f ca="1">IF(_xll.HLV5r3.Analytics.Miscellaneous.DateRoll( $Z36,BD$14*12/$O36,"M","MF",Holidays)&lt;=$N36,_xll.HLV5r3.Analytics.Miscellaneous.DateRoll( $Z36,BD$14*12/$O36,"M","MF",Holidays),"")</f>
        <v>49121</v>
      </c>
      <c r="BE36" s="4" t="str">
        <f ca="1">IF(_xll.HLV5r3.Analytics.Miscellaneous.DateRoll( $Z36,BE$14*12/$O36,"M","MF",Holidays)&lt;=$N36,_xll.HLV5r3.Analytics.Miscellaneous.DateRoll( $Z36,BE$14*12/$O36,"M","MF",Holidays),"")</f>
        <v/>
      </c>
      <c r="BF36" s="4" t="str">
        <f ca="1">IF(_xll.HLV5r3.Analytics.Miscellaneous.DateRoll( $Z36,BF$14*12/$O36,"M","MF",Holidays)&lt;=$N36,_xll.HLV5r3.Analytics.Miscellaneous.DateRoll( $Z36,BF$14*12/$O36,"M","MF",Holidays),"")</f>
        <v/>
      </c>
      <c r="BG36" s="4" t="str">
        <f ca="1">IF(_xll.HLV5r3.Analytics.Miscellaneous.DateRoll( $Z36,BG$14*12/$O36,"M","MF",Holidays)&lt;=$N36,_xll.HLV5r3.Analytics.Miscellaneous.DateRoll( $Z36,BG$14*12/$O36,"M","MF",Holidays),"")</f>
        <v/>
      </c>
      <c r="BH36" s="4" t="str">
        <f ca="1">IF(_xll.HLV5r3.Analytics.Miscellaneous.DateRoll( $Z36,BH$14*12/$O36,"M","MF",Holidays)&lt;=$N36,_xll.HLV5r3.Analytics.Miscellaneous.DateRoll( $Z36,BH$14*12/$O36,"M","MF",Holidays),"")</f>
        <v/>
      </c>
      <c r="BI36" s="4" t="str">
        <f ca="1">IF(_xll.HLV5r3.Analytics.Miscellaneous.DateRoll( $Z36,BI$14*12/$O36,"M","MF",Holidays)&lt;=$N36,_xll.HLV5r3.Analytics.Miscellaneous.DateRoll( $Z36,BI$14*12/$O36,"M","MF",Holidays),"")</f>
        <v/>
      </c>
      <c r="BJ36" s="4" t="str">
        <f ca="1">IF(_xll.HLV5r3.Analytics.Miscellaneous.DateRoll( $Z36,BJ$14*12/$O36,"M","MF",Holidays)&lt;=$N36,_xll.HLV5r3.Analytics.Miscellaneous.DateRoll( $Z36,BJ$14*12/$O36,"M","MF",Holidays),"")</f>
        <v/>
      </c>
      <c r="BK36" s="4" t="str">
        <f ca="1">IF(_xll.HLV5r3.Analytics.Miscellaneous.DateRoll( $Z36,BK$14*12/$O36,"M","MF",Holidays)&lt;=$N36,_xll.HLV5r3.Analytics.Miscellaneous.DateRoll( $Z36,BK$14*12/$O36,"M","MF",Holidays),"")</f>
        <v/>
      </c>
      <c r="BL36" s="4" t="str">
        <f ca="1">IF(_xll.HLV5r3.Analytics.Miscellaneous.DateRoll( $Z36,BL$14*12/$O36,"M","MF",Holidays)&lt;=$N36,_xll.HLV5r3.Analytics.Miscellaneous.DateRoll( $Z36,BL$14*12/$O36,"M","MF",Holidays),"")</f>
        <v/>
      </c>
      <c r="BM36" s="4" t="str">
        <f ca="1">IF(_xll.HLV5r3.Analytics.Miscellaneous.DateRoll( $Z36,BM$14*12/$O36,"M","MF",Holidays)&lt;=$N36,_xll.HLV5r3.Analytics.Miscellaneous.DateRoll( $Z36,BM$14*12/$O36,"M","MF",Holidays),"")</f>
        <v/>
      </c>
      <c r="BN36" s="4" t="str">
        <f ca="1">IF(_xll.HLV5r3.Analytics.Miscellaneous.DateRoll( $Z36,BN$14*12/$O36,"M","MF",Holidays)&lt;=$N36,_xll.HLV5r3.Analytics.Miscellaneous.DateRoll( $Z36,BN$14*12/$O36,"M","MF",Holidays),"")</f>
        <v/>
      </c>
      <c r="BO36" s="4" t="str">
        <f ca="1">IF(_xll.HLV5r3.Analytics.Miscellaneous.DateRoll( $Z36,BO$14*12/$O36,"M","MF",Holidays)&lt;=$N36,_xll.HLV5r3.Analytics.Miscellaneous.DateRoll( $Z36,BO$14*12/$O36,"M","MF",Holidays),"")</f>
        <v/>
      </c>
      <c r="BP36" s="4" t="str">
        <f ca="1">IF(_xll.HLV5r3.Analytics.Miscellaneous.DateRoll( $Z36,BP$14*12/$O36,"M","MF",Holidays)&lt;=$N36,_xll.HLV5r3.Analytics.Miscellaneous.DateRoll( $Z36,BP$14*12/$O36,"M","MF",Holidays),"")</f>
        <v/>
      </c>
      <c r="BQ36" s="4" t="str">
        <f ca="1">IF(_xll.HLV5r3.Analytics.Miscellaneous.DateRoll( $Z36,BQ$14*12/$O36,"M","MF",Holidays)&lt;=$N36,_xll.HLV5r3.Analytics.Miscellaneous.DateRoll( $Z36,BQ$14*12/$O36,"M","MF",Holidays),"")</f>
        <v/>
      </c>
      <c r="BR36" s="4" t="str">
        <f ca="1">IF(_xll.HLV5r3.Analytics.Miscellaneous.DateRoll( $Z36,BR$14*12/$O36,"M","MF",Holidays)&lt;=$N36,_xll.HLV5r3.Analytics.Miscellaneous.DateRoll( $Z36,BR$14*12/$O36,"M","MF",Holidays),"")</f>
        <v/>
      </c>
      <c r="BS36" s="4" t="str">
        <f ca="1">IF(_xll.HLV5r3.Analytics.Miscellaneous.DateRoll( $Z36,BS$14*12/$O36,"M","MF",Holidays)&lt;=$N36,_xll.HLV5r3.Analytics.Miscellaneous.DateRoll( $Z36,BS$14*12/$O36,"M","MF",Holidays),"")</f>
        <v/>
      </c>
      <c r="BT36" s="4" t="str">
        <f ca="1">IF(_xll.HLV5r3.Analytics.Miscellaneous.DateRoll( $Z36,BT$14*12/$O36,"M","MF",Holidays)&lt;=$N36,_xll.HLV5r3.Analytics.Miscellaneous.DateRoll( $Z36,BT$14*12/$O36,"M","MF",Holidays),"")</f>
        <v/>
      </c>
      <c r="BU36" s="4" t="str">
        <f ca="1">IF(_xll.HLV5r3.Analytics.Miscellaneous.DateRoll( $Z36,BU$14*12/$O36,"M","MF",Holidays)&lt;=$N36,_xll.HLV5r3.Analytics.Miscellaneous.DateRoll( $Z36,BU$14*12/$O36,"M","MF",Holidays),"")</f>
        <v/>
      </c>
      <c r="BV36" s="4" t="str">
        <f ca="1">IF(_xll.HLV5r3.Analytics.Miscellaneous.DateRoll( $Z36,BV$14*12/$O36,"M","MF",Holidays)&lt;=$N36,_xll.HLV5r3.Analytics.Miscellaneous.DateRoll( $Z36,BV$14*12/$O36,"M","MF",Holidays),"")</f>
        <v/>
      </c>
      <c r="BW36" s="4" t="str">
        <f ca="1">IF(_xll.HLV5r3.Analytics.Miscellaneous.DateRoll( $Z36,BW$14*12/$O36,"M","MF",Holidays)&lt;=$N36,_xll.HLV5r3.Analytics.Miscellaneous.DateRoll( $Z36,BW$14*12/$O36,"M","MF",Holidays),"")</f>
        <v/>
      </c>
      <c r="BX36" s="4" t="str">
        <f ca="1">IF(_xll.HLV5r3.Analytics.Miscellaneous.DateRoll( $Z36,BX$14*12/$O36,"M","MF",Holidays)&lt;=$N36,_xll.HLV5r3.Analytics.Miscellaneous.DateRoll( $Z36,BX$14*12/$O36,"M","MF",Holidays),"")</f>
        <v/>
      </c>
      <c r="BY36" s="4" t="str">
        <f ca="1">IF(_xll.HLV5r3.Analytics.Miscellaneous.DateRoll( $Z36,BY$14*12/$O36,"M","MF",Holidays)&lt;=$N36,_xll.HLV5r3.Analytics.Miscellaneous.DateRoll( $Z36,BY$14*12/$O36,"M","MF",Holidays),"")</f>
        <v/>
      </c>
      <c r="BZ36" s="4" t="str">
        <f ca="1">IF(_xll.HLV5r3.Analytics.Miscellaneous.DateRoll( $Z36,BZ$14*12/$O36,"M","MF",Holidays)&lt;=$N36,_xll.HLV5r3.Analytics.Miscellaneous.DateRoll( $Z36,BZ$14*12/$O36,"M","MF",Holidays),"")</f>
        <v/>
      </c>
      <c r="CA36" s="4" t="str">
        <f ca="1">IF(_xll.HLV5r3.Analytics.Miscellaneous.DateRoll( $Z36,CA$14*12/$O36,"M","MF",Holidays)&lt;=$N36,_xll.HLV5r3.Analytics.Miscellaneous.DateRoll( $Z36,CA$14*12/$O36,"M","MF",Holidays),"")</f>
        <v/>
      </c>
      <c r="CB36" s="4" t="str">
        <f ca="1">IF(_xll.HLV5r3.Analytics.Miscellaneous.DateRoll( $Z36,CB$14*12/$O36,"M","MF",Holidays)&lt;=$N36,_xll.HLV5r3.Analytics.Miscellaneous.DateRoll( $Z36,CB$14*12/$O36,"M","MF",Holidays),"")</f>
        <v/>
      </c>
      <c r="CC36" s="4" t="str">
        <f ca="1">IF(_xll.HLV5r3.Analytics.Miscellaneous.DateRoll( $Z36,CC$14*12/$O36,"M","MF",Holidays)&lt;=$N36,_xll.HLV5r3.Analytics.Miscellaneous.DateRoll( $Z36,CC$14*12/$O36,"M","MF",Holidays),"")</f>
        <v/>
      </c>
      <c r="CD36" s="4" t="str">
        <f ca="1">IF(_xll.HLV5r3.Analytics.Miscellaneous.DateRoll( $Z36,CD$14*12/$O36,"M","MF",Holidays)&lt;=$N36,_xll.HLV5r3.Analytics.Miscellaneous.DateRoll( $Z36,CD$14*12/$O36,"M","MF",Holidays),"")</f>
        <v/>
      </c>
      <c r="CE36" s="4" t="str">
        <f ca="1">IF(_xll.HLV5r3.Analytics.Miscellaneous.DateRoll( $Z36,CE$14*12/$O36,"M","MF",Holidays)&lt;=$N36,_xll.HLV5r3.Analytics.Miscellaneous.DateRoll( $Z36,CE$14*12/$O36,"M","MF",Holidays),"")</f>
        <v/>
      </c>
      <c r="CF36" s="4" t="str">
        <f ca="1">IF(_xll.HLV5r3.Analytics.Miscellaneous.DateRoll( $Z36,CF$14*12/$O36,"M","MF",Holidays)&lt;=$N36,_xll.HLV5r3.Analytics.Miscellaneous.DateRoll( $Z36,CF$14*12/$O36,"M","MF",Holidays),"")</f>
        <v/>
      </c>
      <c r="CG36" s="4" t="str">
        <f ca="1">IF(_xll.HLV5r3.Analytics.Miscellaneous.DateRoll( $Z36,CG$14*12/$O36,"M","MF",Holidays)&lt;=$N36,_xll.HLV5r3.Analytics.Miscellaneous.DateRoll( $Z36,CG$14*12/$O36,"M","MF",Holidays),"")</f>
        <v/>
      </c>
      <c r="CH36" s="4" t="str">
        <f ca="1">IF(_xll.HLV5r3.Analytics.Miscellaneous.DateRoll( $Z36,CH$14*12/$O36,"M","MF",Holidays)&lt;=$N36,_xll.HLV5r3.Analytics.Miscellaneous.DateRoll( $Z36,CH$14*12/$O36,"M","MF",Holidays),"")</f>
        <v/>
      </c>
      <c r="CI36" s="4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</row>
    <row r="37" spans="1:148">
      <c r="A37" s="29" t="s">
        <v>32</v>
      </c>
      <c r="B37" s="194" t="str">
        <f t="shared" si="10"/>
        <v>20Y</v>
      </c>
      <c r="C37" s="74">
        <v>50.166666666666664</v>
      </c>
      <c r="D37" s="62">
        <f t="shared" ca="1" si="20"/>
        <v>5.9791666666666732</v>
      </c>
      <c r="E37" s="131">
        <v>-5.458333333333333</v>
      </c>
      <c r="F37" s="72">
        <f ca="1">_xll.HLV5r3.Analytics.Miscellaneous.SFEBillTickValue( D37)</f>
        <v>16.25</v>
      </c>
      <c r="G37" s="81">
        <v>1</v>
      </c>
      <c r="H37" s="77" t="s">
        <v>34</v>
      </c>
      <c r="I37" s="82" t="s">
        <v>35</v>
      </c>
      <c r="J37" s="81">
        <v>20</v>
      </c>
      <c r="K37" s="77" t="s">
        <v>38</v>
      </c>
      <c r="L37" s="82" t="s">
        <v>37</v>
      </c>
      <c r="M37" s="67">
        <f ca="1">_xll.HLV5r3.Analytics.Miscellaneous.DateRoll( Calc_Date,G37,H37,I37,Holidays)</f>
        <v>43641</v>
      </c>
      <c r="N37" s="61">
        <f ca="1">_xll.HLV5r3.Analytics.Miscellaneous.DateRoll(M37,J37,K37,L37,Holidays)</f>
        <v>50948</v>
      </c>
      <c r="O37" s="88">
        <v>2</v>
      </c>
      <c r="P37" s="95">
        <f t="shared" ca="1" si="13"/>
        <v>5.9245833333333393E-2</v>
      </c>
      <c r="Q37" s="90">
        <v>0</v>
      </c>
      <c r="R37" s="92">
        <f t="shared" ca="1" si="11"/>
        <v>5.9245833333333393E-2</v>
      </c>
      <c r="S37" s="90"/>
      <c r="T37" s="100">
        <f t="shared" si="2"/>
        <v>20.019178082191782</v>
      </c>
      <c r="U37" s="42">
        <v>7307</v>
      </c>
      <c r="V37" s="41">
        <v>5.8789652359128461E-2</v>
      </c>
      <c r="W37" s="46">
        <f>_xll.HLV5r3.Analytics.Miscellaneous.Zero2DF(V37,ZeroCompFreq,U37/365)</f>
        <v>0.31087776056764477</v>
      </c>
      <c r="X37" s="10"/>
      <c r="Y37" s="37" t="str">
        <f t="shared" si="4"/>
        <v>20Y</v>
      </c>
      <c r="Z37" s="4">
        <f t="shared" ca="1" si="12"/>
        <v>43641</v>
      </c>
      <c r="AA37" s="4">
        <f ca="1">IF(_xll.HLV5r3.Analytics.Miscellaneous.DateRoll( $Z37,AA$14*12/$O37,"M","MF",Holidays)&lt;=$N37,_xll.HLV5r3.Analytics.Miscellaneous.DateRoll( $Z37,AA$14*12/$O37,"M","MF",Holidays),"")</f>
        <v>43826</v>
      </c>
      <c r="AB37" s="4">
        <f ca="1">IF(_xll.HLV5r3.Analytics.Miscellaneous.DateRoll( $Z37,AB$14*12/$O37,"M","MF",Holidays)&lt;=$N37,_xll.HLV5r3.Analytics.Miscellaneous.DateRoll( $Z37,AB$14*12/$O37,"M","MF",Holidays),"")</f>
        <v>44007</v>
      </c>
      <c r="AC37" s="4">
        <f ca="1">IF(_xll.HLV5r3.Analytics.Miscellaneous.DateRoll( $Z37,AC$14*12/$O37,"M","MF",Holidays)&lt;=$N37,_xll.HLV5r3.Analytics.Miscellaneous.DateRoll( $Z37,AC$14*12/$O37,"M","MF",Holidays),"")</f>
        <v>44194</v>
      </c>
      <c r="AD37" s="4">
        <f ca="1">IF(_xll.HLV5r3.Analytics.Miscellaneous.DateRoll( $Z37,AD$14*12/$O37,"M","MF",Holidays)&lt;=$N37,_xll.HLV5r3.Analytics.Miscellaneous.DateRoll( $Z37,AD$14*12/$O37,"M","MF",Holidays),"")</f>
        <v>44372</v>
      </c>
      <c r="AE37" s="4">
        <f ca="1">IF(_xll.HLV5r3.Analytics.Miscellaneous.DateRoll( $Z37,AE$14*12/$O37,"M","MF",Holidays)&lt;=$N37,_xll.HLV5r3.Analytics.Miscellaneous.DateRoll( $Z37,AE$14*12/$O37,"M","MF",Holidays),"")</f>
        <v>44559</v>
      </c>
      <c r="AF37" s="4">
        <f ca="1">IF(_xll.HLV5r3.Analytics.Miscellaneous.DateRoll( $Z37,AF$14*12/$O37,"M","MF",Holidays)&lt;=$N37,_xll.HLV5r3.Analytics.Miscellaneous.DateRoll( $Z37,AF$14*12/$O37,"M","MF",Holidays),"")</f>
        <v>44739</v>
      </c>
      <c r="AG37" s="4">
        <f ca="1">IF(_xll.HLV5r3.Analytics.Miscellaneous.DateRoll( $Z37,AG$14*12/$O37,"M","MF",Holidays)&lt;=$N37,_xll.HLV5r3.Analytics.Miscellaneous.DateRoll( $Z37,AG$14*12/$O37,"M","MF",Holidays),"")</f>
        <v>44923</v>
      </c>
      <c r="AH37" s="4">
        <f ca="1">IF(_xll.HLV5r3.Analytics.Miscellaneous.DateRoll( $Z37,AH$14*12/$O37,"M","MF",Holidays)&lt;=$N37,_xll.HLV5r3.Analytics.Miscellaneous.DateRoll( $Z37,AH$14*12/$O37,"M","MF",Holidays),"")</f>
        <v>45103</v>
      </c>
      <c r="AI37" s="4">
        <f ca="1">IF(_xll.HLV5r3.Analytics.Miscellaneous.DateRoll( $Z37,AI$14*12/$O37,"M","MF",Holidays)&lt;=$N37,_xll.HLV5r3.Analytics.Miscellaneous.DateRoll( $Z37,AI$14*12/$O37,"M","MF",Holidays),"")</f>
        <v>45287</v>
      </c>
      <c r="AJ37" s="4">
        <f ca="1">IF(_xll.HLV5r3.Analytics.Miscellaneous.DateRoll( $Z37,AJ$14*12/$O37,"M","MF",Holidays)&lt;=$N37,_xll.HLV5r3.Analytics.Miscellaneous.DateRoll( $Z37,AJ$14*12/$O37,"M","MF",Holidays),"")</f>
        <v>45468</v>
      </c>
      <c r="AK37" s="4">
        <f ca="1">IF(_xll.HLV5r3.Analytics.Miscellaneous.DateRoll( $Z37,AK$14*12/$O37,"M","MF",Holidays)&lt;=$N37,_xll.HLV5r3.Analytics.Miscellaneous.DateRoll( $Z37,AK$14*12/$O37,"M","MF",Holidays),"")</f>
        <v>45653</v>
      </c>
      <c r="AL37" s="4">
        <f ca="1">IF(_xll.HLV5r3.Analytics.Miscellaneous.DateRoll( $Z37,AL$14*12/$O37,"M","MF",Holidays)&lt;=$N37,_xll.HLV5r3.Analytics.Miscellaneous.DateRoll( $Z37,AL$14*12/$O37,"M","MF",Holidays),"")</f>
        <v>45833</v>
      </c>
      <c r="AM37" s="4">
        <f ca="1">IF(_xll.HLV5r3.Analytics.Miscellaneous.DateRoll( $Z37,AM$14*12/$O37,"M","MF",Holidays)&lt;=$N37,_xll.HLV5r3.Analytics.Miscellaneous.DateRoll( $Z37,AM$14*12/$O37,"M","MF",Holidays),"")</f>
        <v>46020</v>
      </c>
      <c r="AN37" s="4">
        <f ca="1">IF(_xll.HLV5r3.Analytics.Miscellaneous.DateRoll( $Z37,AN$14*12/$O37,"M","MF",Holidays)&lt;=$N37,_xll.HLV5r3.Analytics.Miscellaneous.DateRoll( $Z37,AN$14*12/$O37,"M","MF",Holidays),"")</f>
        <v>46198</v>
      </c>
      <c r="AO37" s="4">
        <f ca="1">IF(_xll.HLV5r3.Analytics.Miscellaneous.DateRoll( $Z37,AO$14*12/$O37,"M","MF",Holidays)&lt;=$N37,_xll.HLV5r3.Analytics.Miscellaneous.DateRoll( $Z37,AO$14*12/$O37,"M","MF",Holidays),"")</f>
        <v>46385</v>
      </c>
      <c r="AP37" s="4">
        <f ca="1">IF(_xll.HLV5r3.Analytics.Miscellaneous.DateRoll( $Z37,AP$14*12/$O37,"M","MF",Holidays)&lt;=$N37,_xll.HLV5r3.Analytics.Miscellaneous.DateRoll( $Z37,AP$14*12/$O37,"M","MF",Holidays),"")</f>
        <v>46563</v>
      </c>
      <c r="AQ37" s="4">
        <f ca="1">IF(_xll.HLV5r3.Analytics.Miscellaneous.DateRoll( $Z37,AQ$14*12/$O37,"M","MF",Holidays)&lt;=$N37,_xll.HLV5r3.Analytics.Miscellaneous.DateRoll( $Z37,AQ$14*12/$O37,"M","MF",Holidays),"")</f>
        <v>46750</v>
      </c>
      <c r="AR37" s="4">
        <f ca="1">IF(_xll.HLV5r3.Analytics.Miscellaneous.DateRoll( $Z37,AR$14*12/$O37,"M","MF",Holidays)&lt;=$N37,_xll.HLV5r3.Analytics.Miscellaneous.DateRoll( $Z37,AR$14*12/$O37,"M","MF",Holidays),"")</f>
        <v>46930</v>
      </c>
      <c r="AS37" s="4">
        <f ca="1">IF(_xll.HLV5r3.Analytics.Miscellaneous.DateRoll( $Z37,AS$14*12/$O37,"M","MF",Holidays)&lt;=$N37,_xll.HLV5r3.Analytics.Miscellaneous.DateRoll( $Z37,AS$14*12/$O37,"M","MF",Holidays),"")</f>
        <v>47114</v>
      </c>
      <c r="AT37" s="4">
        <f ca="1">IF(_xll.HLV5r3.Analytics.Miscellaneous.DateRoll( $Z37,AT$14*12/$O37,"M","MF",Holidays)&lt;=$N37,_xll.HLV5r3.Analytics.Miscellaneous.DateRoll( $Z37,AT$14*12/$O37,"M","MF",Holidays),"")</f>
        <v>47294</v>
      </c>
      <c r="AU37" s="4">
        <f ca="1">IF(_xll.HLV5r3.Analytics.Miscellaneous.DateRoll( $Z37,AU$14*12/$O37,"M","MF",Holidays)&lt;=$N37,_xll.HLV5r3.Analytics.Miscellaneous.DateRoll( $Z37,AU$14*12/$O37,"M","MF",Holidays),"")</f>
        <v>47479</v>
      </c>
      <c r="AV37" s="4">
        <f ca="1">IF(_xll.HLV5r3.Analytics.Miscellaneous.DateRoll( $Z37,AV$14*12/$O37,"M","MF",Holidays)&lt;=$N37,_xll.HLV5r3.Analytics.Miscellaneous.DateRoll( $Z37,AV$14*12/$O37,"M","MF",Holidays),"")</f>
        <v>47659</v>
      </c>
      <c r="AW37" s="4">
        <f ca="1">IF(_xll.HLV5r3.Analytics.Miscellaneous.DateRoll( $Z37,AW$14*12/$O37,"M","MF",Holidays)&lt;=$N37,_xll.HLV5r3.Analytics.Miscellaneous.DateRoll( $Z37,AW$14*12/$O37,"M","MF",Holidays),"")</f>
        <v>47844</v>
      </c>
      <c r="AX37" s="4">
        <f ca="1">IF(_xll.HLV5r3.Analytics.Miscellaneous.DateRoll( $Z37,AX$14*12/$O37,"M","MF",Holidays)&lt;=$N37,_xll.HLV5r3.Analytics.Miscellaneous.DateRoll( $Z37,AX$14*12/$O37,"M","MF",Holidays),"")</f>
        <v>48024</v>
      </c>
      <c r="AY37" s="4">
        <f ca="1">IF(_xll.HLV5r3.Analytics.Miscellaneous.DateRoll( $Z37,AY$14*12/$O37,"M","MF",Holidays)&lt;=$N37,_xll.HLV5r3.Analytics.Miscellaneous.DateRoll( $Z37,AY$14*12/$O37,"M","MF",Holidays),"")</f>
        <v>48211</v>
      </c>
      <c r="AZ37" s="4">
        <f ca="1">IF(_xll.HLV5r3.Analytics.Miscellaneous.DateRoll( $Z37,AZ$14*12/$O37,"M","MF",Holidays)&lt;=$N37,_xll.HLV5r3.Analytics.Miscellaneous.DateRoll( $Z37,AZ$14*12/$O37,"M","MF",Holidays),"")</f>
        <v>48390</v>
      </c>
      <c r="BA37" s="4">
        <f ca="1">IF(_xll.HLV5r3.Analytics.Miscellaneous.DateRoll( $Z37,BA$14*12/$O37,"M","MF",Holidays)&lt;=$N37,_xll.HLV5r3.Analytics.Miscellaneous.DateRoll( $Z37,BA$14*12/$O37,"M","MF",Holidays),"")</f>
        <v>48577</v>
      </c>
      <c r="BB37" s="4">
        <f ca="1">IF(_xll.HLV5r3.Analytics.Miscellaneous.DateRoll( $Z37,BB$14*12/$O37,"M","MF",Holidays)&lt;=$N37,_xll.HLV5r3.Analytics.Miscellaneous.DateRoll( $Z37,BB$14*12/$O37,"M","MF",Holidays),"")</f>
        <v>48757</v>
      </c>
      <c r="BC37" s="4">
        <f ca="1">IF(_xll.HLV5r3.Analytics.Miscellaneous.DateRoll( $Z37,BC$14*12/$O37,"M","MF",Holidays)&lt;=$N37,_xll.HLV5r3.Analytics.Miscellaneous.DateRoll( $Z37,BC$14*12/$O37,"M","MF",Holidays),"")</f>
        <v>48941</v>
      </c>
      <c r="BD37" s="4">
        <f ca="1">IF(_xll.HLV5r3.Analytics.Miscellaneous.DateRoll( $Z37,BD$14*12/$O37,"M","MF",Holidays)&lt;=$N37,_xll.HLV5r3.Analytics.Miscellaneous.DateRoll( $Z37,BD$14*12/$O37,"M","MF",Holidays),"")</f>
        <v>49121</v>
      </c>
      <c r="BE37" s="4">
        <f ca="1">IF(_xll.HLV5r3.Analytics.Miscellaneous.DateRoll( $Z37,BE$14*12/$O37,"M","MF",Holidays)&lt;=$N37,_xll.HLV5r3.Analytics.Miscellaneous.DateRoll( $Z37,BE$14*12/$O37,"M","MF",Holidays),"")</f>
        <v>49305</v>
      </c>
      <c r="BF37" s="4">
        <f ca="1">IF(_xll.HLV5r3.Analytics.Miscellaneous.DateRoll( $Z37,BF$14*12/$O37,"M","MF",Holidays)&lt;=$N37,_xll.HLV5r3.Analytics.Miscellaneous.DateRoll( $Z37,BF$14*12/$O37,"M","MF",Holidays),"")</f>
        <v>49485</v>
      </c>
      <c r="BG37" s="4">
        <f ca="1">IF(_xll.HLV5r3.Analytics.Miscellaneous.DateRoll( $Z37,BG$14*12/$O37,"M","MF",Holidays)&lt;=$N37,_xll.HLV5r3.Analytics.Miscellaneous.DateRoll( $Z37,BG$14*12/$O37,"M","MF",Holidays),"")</f>
        <v>49670</v>
      </c>
      <c r="BH37" s="4">
        <f ca="1">IF(_xll.HLV5r3.Analytics.Miscellaneous.DateRoll( $Z37,BH$14*12/$O37,"M","MF",Holidays)&lt;=$N37,_xll.HLV5r3.Analytics.Miscellaneous.DateRoll( $Z37,BH$14*12/$O37,"M","MF",Holidays),"")</f>
        <v>49851</v>
      </c>
      <c r="BI37" s="4">
        <f ca="1">IF(_xll.HLV5r3.Analytics.Miscellaneous.DateRoll( $Z37,BI$14*12/$O37,"M","MF",Holidays)&lt;=$N37,_xll.HLV5r3.Analytics.Miscellaneous.DateRoll( $Z37,BI$14*12/$O37,"M","MF",Holidays),"")</f>
        <v>50038</v>
      </c>
      <c r="BJ37" s="4">
        <f ca="1">IF(_xll.HLV5r3.Analytics.Miscellaneous.DateRoll( $Z37,BJ$14*12/$O37,"M","MF",Holidays)&lt;=$N37,_xll.HLV5r3.Analytics.Miscellaneous.DateRoll( $Z37,BJ$14*12/$O37,"M","MF",Holidays),"")</f>
        <v>50216</v>
      </c>
      <c r="BK37" s="4">
        <f ca="1">IF(_xll.HLV5r3.Analytics.Miscellaneous.DateRoll( $Z37,BK$14*12/$O37,"M","MF",Holidays)&lt;=$N37,_xll.HLV5r3.Analytics.Miscellaneous.DateRoll( $Z37,BK$14*12/$O37,"M","MF",Holidays),"")</f>
        <v>50403</v>
      </c>
      <c r="BL37" s="4">
        <f ca="1">IF(_xll.HLV5r3.Analytics.Miscellaneous.DateRoll( $Z37,BL$14*12/$O37,"M","MF",Holidays)&lt;=$N37,_xll.HLV5r3.Analytics.Miscellaneous.DateRoll( $Z37,BL$14*12/$O37,"M","MF",Holidays),"")</f>
        <v>50581</v>
      </c>
      <c r="BM37" s="4">
        <f ca="1">IF(_xll.HLV5r3.Analytics.Miscellaneous.DateRoll( $Z37,BM$14*12/$O37,"M","MF",Holidays)&lt;=$N37,_xll.HLV5r3.Analytics.Miscellaneous.DateRoll( $Z37,BM$14*12/$O37,"M","MF",Holidays),"")</f>
        <v>50768</v>
      </c>
      <c r="BN37" s="4">
        <f ca="1">IF(_xll.HLV5r3.Analytics.Miscellaneous.DateRoll( $Z37,BN$14*12/$O37,"M","MF",Holidays)&lt;=$N37,_xll.HLV5r3.Analytics.Miscellaneous.DateRoll( $Z37,BN$14*12/$O37,"M","MF",Holidays),"")</f>
        <v>50948</v>
      </c>
      <c r="BO37" s="4" t="str">
        <f ca="1">IF(_xll.HLV5r3.Analytics.Miscellaneous.DateRoll( $Z37,BO$14*12/$O37,"M","MF",Holidays)&lt;=$N37,_xll.HLV5r3.Analytics.Miscellaneous.DateRoll( $Z37,BO$14*12/$O37,"M","MF",Holidays),"")</f>
        <v/>
      </c>
      <c r="BP37" s="4" t="str">
        <f ca="1">IF(_xll.HLV5r3.Analytics.Miscellaneous.DateRoll( $Z37,BP$14*12/$O37,"M","MF",Holidays)&lt;=$N37,_xll.HLV5r3.Analytics.Miscellaneous.DateRoll( $Z37,BP$14*12/$O37,"M","MF",Holidays),"")</f>
        <v/>
      </c>
      <c r="BQ37" s="4" t="str">
        <f ca="1">IF(_xll.HLV5r3.Analytics.Miscellaneous.DateRoll( $Z37,BQ$14*12/$O37,"M","MF",Holidays)&lt;=$N37,_xll.HLV5r3.Analytics.Miscellaneous.DateRoll( $Z37,BQ$14*12/$O37,"M","MF",Holidays),"")</f>
        <v/>
      </c>
      <c r="BR37" s="4" t="str">
        <f ca="1">IF(_xll.HLV5r3.Analytics.Miscellaneous.DateRoll( $Z37,BR$14*12/$O37,"M","MF",Holidays)&lt;=$N37,_xll.HLV5r3.Analytics.Miscellaneous.DateRoll( $Z37,BR$14*12/$O37,"M","MF",Holidays),"")</f>
        <v/>
      </c>
      <c r="BS37" s="4" t="str">
        <f ca="1">IF(_xll.HLV5r3.Analytics.Miscellaneous.DateRoll( $Z37,BS$14*12/$O37,"M","MF",Holidays)&lt;=$N37,_xll.HLV5r3.Analytics.Miscellaneous.DateRoll( $Z37,BS$14*12/$O37,"M","MF",Holidays),"")</f>
        <v/>
      </c>
      <c r="BT37" s="4" t="str">
        <f ca="1">IF(_xll.HLV5r3.Analytics.Miscellaneous.DateRoll( $Z37,BT$14*12/$O37,"M","MF",Holidays)&lt;=$N37,_xll.HLV5r3.Analytics.Miscellaneous.DateRoll( $Z37,BT$14*12/$O37,"M","MF",Holidays),"")</f>
        <v/>
      </c>
      <c r="BU37" s="4" t="str">
        <f ca="1">IF(_xll.HLV5r3.Analytics.Miscellaneous.DateRoll( $Z37,BU$14*12/$O37,"M","MF",Holidays)&lt;=$N37,_xll.HLV5r3.Analytics.Miscellaneous.DateRoll( $Z37,BU$14*12/$O37,"M","MF",Holidays),"")</f>
        <v/>
      </c>
      <c r="BV37" s="4" t="str">
        <f ca="1">IF(_xll.HLV5r3.Analytics.Miscellaneous.DateRoll( $Z37,BV$14*12/$O37,"M","MF",Holidays)&lt;=$N37,_xll.HLV5r3.Analytics.Miscellaneous.DateRoll( $Z37,BV$14*12/$O37,"M","MF",Holidays),"")</f>
        <v/>
      </c>
      <c r="BW37" s="4" t="str">
        <f ca="1">IF(_xll.HLV5r3.Analytics.Miscellaneous.DateRoll( $Z37,BW$14*12/$O37,"M","MF",Holidays)&lt;=$N37,_xll.HLV5r3.Analytics.Miscellaneous.DateRoll( $Z37,BW$14*12/$O37,"M","MF",Holidays),"")</f>
        <v/>
      </c>
      <c r="BX37" s="4" t="str">
        <f ca="1">IF(_xll.HLV5r3.Analytics.Miscellaneous.DateRoll( $Z37,BX$14*12/$O37,"M","MF",Holidays)&lt;=$N37,_xll.HLV5r3.Analytics.Miscellaneous.DateRoll( $Z37,BX$14*12/$O37,"M","MF",Holidays),"")</f>
        <v/>
      </c>
      <c r="BY37" s="4" t="str">
        <f ca="1">IF(_xll.HLV5r3.Analytics.Miscellaneous.DateRoll( $Z37,BY$14*12/$O37,"M","MF",Holidays)&lt;=$N37,_xll.HLV5r3.Analytics.Miscellaneous.DateRoll( $Z37,BY$14*12/$O37,"M","MF",Holidays),"")</f>
        <v/>
      </c>
      <c r="BZ37" s="4" t="str">
        <f ca="1">IF(_xll.HLV5r3.Analytics.Miscellaneous.DateRoll( $Z37,BZ$14*12/$O37,"M","MF",Holidays)&lt;=$N37,_xll.HLV5r3.Analytics.Miscellaneous.DateRoll( $Z37,BZ$14*12/$O37,"M","MF",Holidays),"")</f>
        <v/>
      </c>
      <c r="CA37" s="4" t="str">
        <f ca="1">IF(_xll.HLV5r3.Analytics.Miscellaneous.DateRoll( $Z37,CA$14*12/$O37,"M","MF",Holidays)&lt;=$N37,_xll.HLV5r3.Analytics.Miscellaneous.DateRoll( $Z37,CA$14*12/$O37,"M","MF",Holidays),"")</f>
        <v/>
      </c>
      <c r="CB37" s="4" t="str">
        <f ca="1">IF(_xll.HLV5r3.Analytics.Miscellaneous.DateRoll( $Z37,CB$14*12/$O37,"M","MF",Holidays)&lt;=$N37,_xll.HLV5r3.Analytics.Miscellaneous.DateRoll( $Z37,CB$14*12/$O37,"M","MF",Holidays),"")</f>
        <v/>
      </c>
      <c r="CC37" s="4" t="str">
        <f ca="1">IF(_xll.HLV5r3.Analytics.Miscellaneous.DateRoll( $Z37,CC$14*12/$O37,"M","MF",Holidays)&lt;=$N37,_xll.HLV5r3.Analytics.Miscellaneous.DateRoll( $Z37,CC$14*12/$O37,"M","MF",Holidays),"")</f>
        <v/>
      </c>
      <c r="CD37" s="4" t="str">
        <f ca="1">IF(_xll.HLV5r3.Analytics.Miscellaneous.DateRoll( $Z37,CD$14*12/$O37,"M","MF",Holidays)&lt;=$N37,_xll.HLV5r3.Analytics.Miscellaneous.DateRoll( $Z37,CD$14*12/$O37,"M","MF",Holidays),"")</f>
        <v/>
      </c>
      <c r="CE37" s="4" t="str">
        <f ca="1">IF(_xll.HLV5r3.Analytics.Miscellaneous.DateRoll( $Z37,CE$14*12/$O37,"M","MF",Holidays)&lt;=$N37,_xll.HLV5r3.Analytics.Miscellaneous.DateRoll( $Z37,CE$14*12/$O37,"M","MF",Holidays),"")</f>
        <v/>
      </c>
      <c r="CF37" s="4" t="str">
        <f ca="1">IF(_xll.HLV5r3.Analytics.Miscellaneous.DateRoll( $Z37,CF$14*12/$O37,"M","MF",Holidays)&lt;=$N37,_xll.HLV5r3.Analytics.Miscellaneous.DateRoll( $Z37,CF$14*12/$O37,"M","MF",Holidays),"")</f>
        <v/>
      </c>
      <c r="CG37" s="4" t="str">
        <f ca="1">IF(_xll.HLV5r3.Analytics.Miscellaneous.DateRoll( $Z37,CG$14*12/$O37,"M","MF",Holidays)&lt;=$N37,_xll.HLV5r3.Analytics.Miscellaneous.DateRoll( $Z37,CG$14*12/$O37,"M","MF",Holidays),"")</f>
        <v/>
      </c>
      <c r="CH37" s="4" t="str">
        <f ca="1">IF(_xll.HLV5r3.Analytics.Miscellaneous.DateRoll( $Z37,CH$14*12/$O37,"M","MF",Holidays)&lt;=$N37,_xll.HLV5r3.Analytics.Miscellaneous.DateRoll( $Z37,CH$14*12/$O37,"M","MF",Holidays),"")</f>
        <v/>
      </c>
      <c r="CI37" s="4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</row>
    <row r="38" spans="1:148">
      <c r="A38" s="29" t="s">
        <v>32</v>
      </c>
      <c r="B38" s="194" t="str">
        <f t="shared" si="10"/>
        <v>25Y</v>
      </c>
      <c r="C38" s="74">
        <v>38.666666666666664</v>
      </c>
      <c r="D38" s="62">
        <f t="shared" ca="1" si="20"/>
        <v>5.864166666666673</v>
      </c>
      <c r="E38" s="131">
        <v>-4.791666666666667</v>
      </c>
      <c r="F38" s="72">
        <f ca="1">_xll.HLV5r3.Analytics.Miscellaneous.SFEBillTickValue( D38)</f>
        <v>16.239999999990687</v>
      </c>
      <c r="G38" s="81">
        <v>1</v>
      </c>
      <c r="H38" s="77" t="s">
        <v>34</v>
      </c>
      <c r="I38" s="82" t="s">
        <v>35</v>
      </c>
      <c r="J38" s="81">
        <v>25</v>
      </c>
      <c r="K38" s="77" t="s">
        <v>38</v>
      </c>
      <c r="L38" s="82" t="s">
        <v>37</v>
      </c>
      <c r="M38" s="67">
        <f ca="1">_xll.HLV5r3.Analytics.Miscellaneous.DateRoll( Calc_Date,G38,H38,I38,Holidays)</f>
        <v>43641</v>
      </c>
      <c r="N38" s="61">
        <f ca="1">_xll.HLV5r3.Analytics.Miscellaneous.DateRoll(M38,J38,K38,L38,Holidays)</f>
        <v>52775</v>
      </c>
      <c r="O38" s="88">
        <v>2</v>
      </c>
      <c r="P38" s="95">
        <f t="shared" ca="1" si="13"/>
        <v>5.8162500000000061E-2</v>
      </c>
      <c r="Q38" s="90">
        <v>0</v>
      </c>
      <c r="R38" s="92">
        <f t="shared" ca="1" si="11"/>
        <v>5.8162500000000061E-2</v>
      </c>
      <c r="S38" s="90"/>
      <c r="T38" s="100">
        <f t="shared" si="2"/>
        <v>25.024657534246575</v>
      </c>
      <c r="U38" s="42">
        <v>9134</v>
      </c>
      <c r="V38" s="41">
        <v>5.673842729719103E-2</v>
      </c>
      <c r="W38" s="46">
        <f>_xll.HLV5r3.Analytics.Miscellaneous.Zero2DF(V38,ZeroCompFreq,U38/365)</f>
        <v>0.24417163929069971</v>
      </c>
      <c r="X38" s="10"/>
      <c r="Y38" s="37" t="str">
        <f t="shared" si="4"/>
        <v>25Y</v>
      </c>
      <c r="Z38" s="4">
        <f t="shared" ca="1" si="12"/>
        <v>43641</v>
      </c>
      <c r="AA38" s="4">
        <f ca="1">IF(_xll.HLV5r3.Analytics.Miscellaneous.DateRoll( $Z38,AA$14*12/$O38,"M","MF",Holidays)&lt;=$N38,_xll.HLV5r3.Analytics.Miscellaneous.DateRoll( $Z38,AA$14*12/$O38,"M","MF",Holidays),"")</f>
        <v>43826</v>
      </c>
      <c r="AB38" s="4">
        <f ca="1">IF(_xll.HLV5r3.Analytics.Miscellaneous.DateRoll( $Z38,AB$14*12/$O38,"M","MF",Holidays)&lt;=$N38,_xll.HLV5r3.Analytics.Miscellaneous.DateRoll( $Z38,AB$14*12/$O38,"M","MF",Holidays),"")</f>
        <v>44007</v>
      </c>
      <c r="AC38" s="4">
        <f ca="1">IF(_xll.HLV5r3.Analytics.Miscellaneous.DateRoll( $Z38,AC$14*12/$O38,"M","MF",Holidays)&lt;=$N38,_xll.HLV5r3.Analytics.Miscellaneous.DateRoll( $Z38,AC$14*12/$O38,"M","MF",Holidays),"")</f>
        <v>44194</v>
      </c>
      <c r="AD38" s="4">
        <f ca="1">IF(_xll.HLV5r3.Analytics.Miscellaneous.DateRoll( $Z38,AD$14*12/$O38,"M","MF",Holidays)&lt;=$N38,_xll.HLV5r3.Analytics.Miscellaneous.DateRoll( $Z38,AD$14*12/$O38,"M","MF",Holidays),"")</f>
        <v>44372</v>
      </c>
      <c r="AE38" s="4">
        <f ca="1">IF(_xll.HLV5r3.Analytics.Miscellaneous.DateRoll( $Z38,AE$14*12/$O38,"M","MF",Holidays)&lt;=$N38,_xll.HLV5r3.Analytics.Miscellaneous.DateRoll( $Z38,AE$14*12/$O38,"M","MF",Holidays),"")</f>
        <v>44559</v>
      </c>
      <c r="AF38" s="4">
        <f ca="1">IF(_xll.HLV5r3.Analytics.Miscellaneous.DateRoll( $Z38,AF$14*12/$O38,"M","MF",Holidays)&lt;=$N38,_xll.HLV5r3.Analytics.Miscellaneous.DateRoll( $Z38,AF$14*12/$O38,"M","MF",Holidays),"")</f>
        <v>44739</v>
      </c>
      <c r="AG38" s="4">
        <f ca="1">IF(_xll.HLV5r3.Analytics.Miscellaneous.DateRoll( $Z38,AG$14*12/$O38,"M","MF",Holidays)&lt;=$N38,_xll.HLV5r3.Analytics.Miscellaneous.DateRoll( $Z38,AG$14*12/$O38,"M","MF",Holidays),"")</f>
        <v>44923</v>
      </c>
      <c r="AH38" s="4">
        <f ca="1">IF(_xll.HLV5r3.Analytics.Miscellaneous.DateRoll( $Z38,AH$14*12/$O38,"M","MF",Holidays)&lt;=$N38,_xll.HLV5r3.Analytics.Miscellaneous.DateRoll( $Z38,AH$14*12/$O38,"M","MF",Holidays),"")</f>
        <v>45103</v>
      </c>
      <c r="AI38" s="4">
        <f ca="1">IF(_xll.HLV5r3.Analytics.Miscellaneous.DateRoll( $Z38,AI$14*12/$O38,"M","MF",Holidays)&lt;=$N38,_xll.HLV5r3.Analytics.Miscellaneous.DateRoll( $Z38,AI$14*12/$O38,"M","MF",Holidays),"")</f>
        <v>45287</v>
      </c>
      <c r="AJ38" s="4">
        <f ca="1">IF(_xll.HLV5r3.Analytics.Miscellaneous.DateRoll( $Z38,AJ$14*12/$O38,"M","MF",Holidays)&lt;=$N38,_xll.HLV5r3.Analytics.Miscellaneous.DateRoll( $Z38,AJ$14*12/$O38,"M","MF",Holidays),"")</f>
        <v>45468</v>
      </c>
      <c r="AK38" s="4">
        <f ca="1">IF(_xll.HLV5r3.Analytics.Miscellaneous.DateRoll( $Z38,AK$14*12/$O38,"M","MF",Holidays)&lt;=$N38,_xll.HLV5r3.Analytics.Miscellaneous.DateRoll( $Z38,AK$14*12/$O38,"M","MF",Holidays),"")</f>
        <v>45653</v>
      </c>
      <c r="AL38" s="4">
        <f ca="1">IF(_xll.HLV5r3.Analytics.Miscellaneous.DateRoll( $Z38,AL$14*12/$O38,"M","MF",Holidays)&lt;=$N38,_xll.HLV5r3.Analytics.Miscellaneous.DateRoll( $Z38,AL$14*12/$O38,"M","MF",Holidays),"")</f>
        <v>45833</v>
      </c>
      <c r="AM38" s="4">
        <f ca="1">IF(_xll.HLV5r3.Analytics.Miscellaneous.DateRoll( $Z38,AM$14*12/$O38,"M","MF",Holidays)&lt;=$N38,_xll.HLV5r3.Analytics.Miscellaneous.DateRoll( $Z38,AM$14*12/$O38,"M","MF",Holidays),"")</f>
        <v>46020</v>
      </c>
      <c r="AN38" s="4">
        <f ca="1">IF(_xll.HLV5r3.Analytics.Miscellaneous.DateRoll( $Z38,AN$14*12/$O38,"M","MF",Holidays)&lt;=$N38,_xll.HLV5r3.Analytics.Miscellaneous.DateRoll( $Z38,AN$14*12/$O38,"M","MF",Holidays),"")</f>
        <v>46198</v>
      </c>
      <c r="AO38" s="4">
        <f ca="1">IF(_xll.HLV5r3.Analytics.Miscellaneous.DateRoll( $Z38,AO$14*12/$O38,"M","MF",Holidays)&lt;=$N38,_xll.HLV5r3.Analytics.Miscellaneous.DateRoll( $Z38,AO$14*12/$O38,"M","MF",Holidays),"")</f>
        <v>46385</v>
      </c>
      <c r="AP38" s="4">
        <f ca="1">IF(_xll.HLV5r3.Analytics.Miscellaneous.DateRoll( $Z38,AP$14*12/$O38,"M","MF",Holidays)&lt;=$N38,_xll.HLV5r3.Analytics.Miscellaneous.DateRoll( $Z38,AP$14*12/$O38,"M","MF",Holidays),"")</f>
        <v>46563</v>
      </c>
      <c r="AQ38" s="4">
        <f ca="1">IF(_xll.HLV5r3.Analytics.Miscellaneous.DateRoll( $Z38,AQ$14*12/$O38,"M","MF",Holidays)&lt;=$N38,_xll.HLV5r3.Analytics.Miscellaneous.DateRoll( $Z38,AQ$14*12/$O38,"M","MF",Holidays),"")</f>
        <v>46750</v>
      </c>
      <c r="AR38" s="4">
        <f ca="1">IF(_xll.HLV5r3.Analytics.Miscellaneous.DateRoll( $Z38,AR$14*12/$O38,"M","MF",Holidays)&lt;=$N38,_xll.HLV5r3.Analytics.Miscellaneous.DateRoll( $Z38,AR$14*12/$O38,"M","MF",Holidays),"")</f>
        <v>46930</v>
      </c>
      <c r="AS38" s="4">
        <f ca="1">IF(_xll.HLV5r3.Analytics.Miscellaneous.DateRoll( $Z38,AS$14*12/$O38,"M","MF",Holidays)&lt;=$N38,_xll.HLV5r3.Analytics.Miscellaneous.DateRoll( $Z38,AS$14*12/$O38,"M","MF",Holidays),"")</f>
        <v>47114</v>
      </c>
      <c r="AT38" s="4">
        <f ca="1">IF(_xll.HLV5r3.Analytics.Miscellaneous.DateRoll( $Z38,AT$14*12/$O38,"M","MF",Holidays)&lt;=$N38,_xll.HLV5r3.Analytics.Miscellaneous.DateRoll( $Z38,AT$14*12/$O38,"M","MF",Holidays),"")</f>
        <v>47294</v>
      </c>
      <c r="AU38" s="4">
        <f ca="1">IF(_xll.HLV5r3.Analytics.Miscellaneous.DateRoll( $Z38,AU$14*12/$O38,"M","MF",Holidays)&lt;=$N38,_xll.HLV5r3.Analytics.Miscellaneous.DateRoll( $Z38,AU$14*12/$O38,"M","MF",Holidays),"")</f>
        <v>47479</v>
      </c>
      <c r="AV38" s="4">
        <f ca="1">IF(_xll.HLV5r3.Analytics.Miscellaneous.DateRoll( $Z38,AV$14*12/$O38,"M","MF",Holidays)&lt;=$N38,_xll.HLV5r3.Analytics.Miscellaneous.DateRoll( $Z38,AV$14*12/$O38,"M","MF",Holidays),"")</f>
        <v>47659</v>
      </c>
      <c r="AW38" s="4">
        <f ca="1">IF(_xll.HLV5r3.Analytics.Miscellaneous.DateRoll( $Z38,AW$14*12/$O38,"M","MF",Holidays)&lt;=$N38,_xll.HLV5r3.Analytics.Miscellaneous.DateRoll( $Z38,AW$14*12/$O38,"M","MF",Holidays),"")</f>
        <v>47844</v>
      </c>
      <c r="AX38" s="4">
        <f ca="1">IF(_xll.HLV5r3.Analytics.Miscellaneous.DateRoll( $Z38,AX$14*12/$O38,"M","MF",Holidays)&lt;=$N38,_xll.HLV5r3.Analytics.Miscellaneous.DateRoll( $Z38,AX$14*12/$O38,"M","MF",Holidays),"")</f>
        <v>48024</v>
      </c>
      <c r="AY38" s="4">
        <f ca="1">IF(_xll.HLV5r3.Analytics.Miscellaneous.DateRoll( $Z38,AY$14*12/$O38,"M","MF",Holidays)&lt;=$N38,_xll.HLV5r3.Analytics.Miscellaneous.DateRoll( $Z38,AY$14*12/$O38,"M","MF",Holidays),"")</f>
        <v>48211</v>
      </c>
      <c r="AZ38" s="4">
        <f ca="1">IF(_xll.HLV5r3.Analytics.Miscellaneous.DateRoll( $Z38,AZ$14*12/$O38,"M","MF",Holidays)&lt;=$N38,_xll.HLV5r3.Analytics.Miscellaneous.DateRoll( $Z38,AZ$14*12/$O38,"M","MF",Holidays),"")</f>
        <v>48390</v>
      </c>
      <c r="BA38" s="4">
        <f ca="1">IF(_xll.HLV5r3.Analytics.Miscellaneous.DateRoll( $Z38,BA$14*12/$O38,"M","MF",Holidays)&lt;=$N38,_xll.HLV5r3.Analytics.Miscellaneous.DateRoll( $Z38,BA$14*12/$O38,"M","MF",Holidays),"")</f>
        <v>48577</v>
      </c>
      <c r="BB38" s="4">
        <f ca="1">IF(_xll.HLV5r3.Analytics.Miscellaneous.DateRoll( $Z38,BB$14*12/$O38,"M","MF",Holidays)&lt;=$N38,_xll.HLV5r3.Analytics.Miscellaneous.DateRoll( $Z38,BB$14*12/$O38,"M","MF",Holidays),"")</f>
        <v>48757</v>
      </c>
      <c r="BC38" s="4">
        <f ca="1">IF(_xll.HLV5r3.Analytics.Miscellaneous.DateRoll( $Z38,BC$14*12/$O38,"M","MF",Holidays)&lt;=$N38,_xll.HLV5r3.Analytics.Miscellaneous.DateRoll( $Z38,BC$14*12/$O38,"M","MF",Holidays),"")</f>
        <v>48941</v>
      </c>
      <c r="BD38" s="4">
        <f ca="1">IF(_xll.HLV5r3.Analytics.Miscellaneous.DateRoll( $Z38,BD$14*12/$O38,"M","MF",Holidays)&lt;=$N38,_xll.HLV5r3.Analytics.Miscellaneous.DateRoll( $Z38,BD$14*12/$O38,"M","MF",Holidays),"")</f>
        <v>49121</v>
      </c>
      <c r="BE38" s="4">
        <f ca="1">IF(_xll.HLV5r3.Analytics.Miscellaneous.DateRoll( $Z38,BE$14*12/$O38,"M","MF",Holidays)&lt;=$N38,_xll.HLV5r3.Analytics.Miscellaneous.DateRoll( $Z38,BE$14*12/$O38,"M","MF",Holidays),"")</f>
        <v>49305</v>
      </c>
      <c r="BF38" s="4">
        <f ca="1">IF(_xll.HLV5r3.Analytics.Miscellaneous.DateRoll( $Z38,BF$14*12/$O38,"M","MF",Holidays)&lt;=$N38,_xll.HLV5r3.Analytics.Miscellaneous.DateRoll( $Z38,BF$14*12/$O38,"M","MF",Holidays),"")</f>
        <v>49485</v>
      </c>
      <c r="BG38" s="4">
        <f ca="1">IF(_xll.HLV5r3.Analytics.Miscellaneous.DateRoll( $Z38,BG$14*12/$O38,"M","MF",Holidays)&lt;=$N38,_xll.HLV5r3.Analytics.Miscellaneous.DateRoll( $Z38,BG$14*12/$O38,"M","MF",Holidays),"")</f>
        <v>49670</v>
      </c>
      <c r="BH38" s="4">
        <f ca="1">IF(_xll.HLV5r3.Analytics.Miscellaneous.DateRoll( $Z38,BH$14*12/$O38,"M","MF",Holidays)&lt;=$N38,_xll.HLV5r3.Analytics.Miscellaneous.DateRoll( $Z38,BH$14*12/$O38,"M","MF",Holidays),"")</f>
        <v>49851</v>
      </c>
      <c r="BI38" s="4">
        <f ca="1">IF(_xll.HLV5r3.Analytics.Miscellaneous.DateRoll( $Z38,BI$14*12/$O38,"M","MF",Holidays)&lt;=$N38,_xll.HLV5r3.Analytics.Miscellaneous.DateRoll( $Z38,BI$14*12/$O38,"M","MF",Holidays),"")</f>
        <v>50038</v>
      </c>
      <c r="BJ38" s="4">
        <f ca="1">IF(_xll.HLV5r3.Analytics.Miscellaneous.DateRoll( $Z38,BJ$14*12/$O38,"M","MF",Holidays)&lt;=$N38,_xll.HLV5r3.Analytics.Miscellaneous.DateRoll( $Z38,BJ$14*12/$O38,"M","MF",Holidays),"")</f>
        <v>50216</v>
      </c>
      <c r="BK38" s="4">
        <f ca="1">IF(_xll.HLV5r3.Analytics.Miscellaneous.DateRoll( $Z38,BK$14*12/$O38,"M","MF",Holidays)&lt;=$N38,_xll.HLV5r3.Analytics.Miscellaneous.DateRoll( $Z38,BK$14*12/$O38,"M","MF",Holidays),"")</f>
        <v>50403</v>
      </c>
      <c r="BL38" s="4">
        <f ca="1">IF(_xll.HLV5r3.Analytics.Miscellaneous.DateRoll( $Z38,BL$14*12/$O38,"M","MF",Holidays)&lt;=$N38,_xll.HLV5r3.Analytics.Miscellaneous.DateRoll( $Z38,BL$14*12/$O38,"M","MF",Holidays),"")</f>
        <v>50581</v>
      </c>
      <c r="BM38" s="4">
        <f ca="1">IF(_xll.HLV5r3.Analytics.Miscellaneous.DateRoll( $Z38,BM$14*12/$O38,"M","MF",Holidays)&lt;=$N38,_xll.HLV5r3.Analytics.Miscellaneous.DateRoll( $Z38,BM$14*12/$O38,"M","MF",Holidays),"")</f>
        <v>50768</v>
      </c>
      <c r="BN38" s="4">
        <f ca="1">IF(_xll.HLV5r3.Analytics.Miscellaneous.DateRoll( $Z38,BN$14*12/$O38,"M","MF",Holidays)&lt;=$N38,_xll.HLV5r3.Analytics.Miscellaneous.DateRoll( $Z38,BN$14*12/$O38,"M","MF",Holidays),"")</f>
        <v>50948</v>
      </c>
      <c r="BO38" s="4">
        <f ca="1">IF(_xll.HLV5r3.Analytics.Miscellaneous.DateRoll( $Z38,BO$14*12/$O38,"M","MF",Holidays)&lt;=$N38,_xll.HLV5r3.Analytics.Miscellaneous.DateRoll( $Z38,BO$14*12/$O38,"M","MF",Holidays),"")</f>
        <v>51132</v>
      </c>
      <c r="BP38" s="4">
        <f ca="1">IF(_xll.HLV5r3.Analytics.Miscellaneous.DateRoll( $Z38,BP$14*12/$O38,"M","MF",Holidays)&lt;=$N38,_xll.HLV5r3.Analytics.Miscellaneous.DateRoll( $Z38,BP$14*12/$O38,"M","MF",Holidays),"")</f>
        <v>51312</v>
      </c>
      <c r="BQ38" s="4">
        <f ca="1">IF(_xll.HLV5r3.Analytics.Miscellaneous.DateRoll( $Z38,BQ$14*12/$O38,"M","MF",Holidays)&lt;=$N38,_xll.HLV5r3.Analytics.Miscellaneous.DateRoll( $Z38,BQ$14*12/$O38,"M","MF",Holidays),"")</f>
        <v>51497</v>
      </c>
      <c r="BR38" s="4">
        <f ca="1">IF(_xll.HLV5r3.Analytics.Miscellaneous.DateRoll( $Z38,BR$14*12/$O38,"M","MF",Holidays)&lt;=$N38,_xll.HLV5r3.Analytics.Miscellaneous.DateRoll( $Z38,BR$14*12/$O38,"M","MF",Holidays),"")</f>
        <v>51677</v>
      </c>
      <c r="BS38" s="4">
        <f ca="1">IF(_xll.HLV5r3.Analytics.Miscellaneous.DateRoll( $Z38,BS$14*12/$O38,"M","MF",Holidays)&lt;=$N38,_xll.HLV5r3.Analytics.Miscellaneous.DateRoll( $Z38,BS$14*12/$O38,"M","MF",Holidays),"")</f>
        <v>51862</v>
      </c>
      <c r="BT38" s="4">
        <f ca="1">IF(_xll.HLV5r3.Analytics.Miscellaneous.DateRoll( $Z38,BT$14*12/$O38,"M","MF",Holidays)&lt;=$N38,_xll.HLV5r3.Analytics.Miscellaneous.DateRoll( $Z38,BT$14*12/$O38,"M","MF",Holidays),"")</f>
        <v>52042</v>
      </c>
      <c r="BU38" s="4">
        <f ca="1">IF(_xll.HLV5r3.Analytics.Miscellaneous.DateRoll( $Z38,BU$14*12/$O38,"M","MF",Holidays)&lt;=$N38,_xll.HLV5r3.Analytics.Miscellaneous.DateRoll( $Z38,BU$14*12/$O38,"M","MF",Holidays),"")</f>
        <v>52229</v>
      </c>
      <c r="BV38" s="4">
        <f ca="1">IF(_xll.HLV5r3.Analytics.Miscellaneous.DateRoll( $Z38,BV$14*12/$O38,"M","MF",Holidays)&lt;=$N38,_xll.HLV5r3.Analytics.Miscellaneous.DateRoll( $Z38,BV$14*12/$O38,"M","MF",Holidays),"")</f>
        <v>52407</v>
      </c>
      <c r="BW38" s="4">
        <f ca="1">IF(_xll.HLV5r3.Analytics.Miscellaneous.DateRoll( $Z38,BW$14*12/$O38,"M","MF",Holidays)&lt;=$N38,_xll.HLV5r3.Analytics.Miscellaneous.DateRoll( $Z38,BW$14*12/$O38,"M","MF",Holidays),"")</f>
        <v>52594</v>
      </c>
      <c r="BX38" s="4">
        <f ca="1">IF(_xll.HLV5r3.Analytics.Miscellaneous.DateRoll( $Z38,BX$14*12/$O38,"M","MF",Holidays)&lt;=$N38,_xll.HLV5r3.Analytics.Miscellaneous.DateRoll( $Z38,BX$14*12/$O38,"M","MF",Holidays),"")</f>
        <v>52775</v>
      </c>
      <c r="BY38" s="4" t="str">
        <f ca="1">IF(_xll.HLV5r3.Analytics.Miscellaneous.DateRoll( $Z38,BY$14*12/$O38,"M","MF",Holidays)&lt;=$N38,_xll.HLV5r3.Analytics.Miscellaneous.DateRoll( $Z38,BY$14*12/$O38,"M","MF",Holidays),"")</f>
        <v/>
      </c>
      <c r="BZ38" s="4" t="str">
        <f ca="1">IF(_xll.HLV5r3.Analytics.Miscellaneous.DateRoll( $Z38,BZ$14*12/$O38,"M","MF",Holidays)&lt;=$N38,_xll.HLV5r3.Analytics.Miscellaneous.DateRoll( $Z38,BZ$14*12/$O38,"M","MF",Holidays),"")</f>
        <v/>
      </c>
      <c r="CA38" s="4" t="str">
        <f ca="1">IF(_xll.HLV5r3.Analytics.Miscellaneous.DateRoll( $Z38,CA$14*12/$O38,"M","MF",Holidays)&lt;=$N38,_xll.HLV5r3.Analytics.Miscellaneous.DateRoll( $Z38,CA$14*12/$O38,"M","MF",Holidays),"")</f>
        <v/>
      </c>
      <c r="CB38" s="4" t="str">
        <f ca="1">IF(_xll.HLV5r3.Analytics.Miscellaneous.DateRoll( $Z38,CB$14*12/$O38,"M","MF",Holidays)&lt;=$N38,_xll.HLV5r3.Analytics.Miscellaneous.DateRoll( $Z38,CB$14*12/$O38,"M","MF",Holidays),"")</f>
        <v/>
      </c>
      <c r="CC38" s="4" t="str">
        <f ca="1">IF(_xll.HLV5r3.Analytics.Miscellaneous.DateRoll( $Z38,CC$14*12/$O38,"M","MF",Holidays)&lt;=$N38,_xll.HLV5r3.Analytics.Miscellaneous.DateRoll( $Z38,CC$14*12/$O38,"M","MF",Holidays),"")</f>
        <v/>
      </c>
      <c r="CD38" s="4" t="str">
        <f ca="1">IF(_xll.HLV5r3.Analytics.Miscellaneous.DateRoll( $Z38,CD$14*12/$O38,"M","MF",Holidays)&lt;=$N38,_xll.HLV5r3.Analytics.Miscellaneous.DateRoll( $Z38,CD$14*12/$O38,"M","MF",Holidays),"")</f>
        <v/>
      </c>
      <c r="CE38" s="4" t="str">
        <f ca="1">IF(_xll.HLV5r3.Analytics.Miscellaneous.DateRoll( $Z38,CE$14*12/$O38,"M","MF",Holidays)&lt;=$N38,_xll.HLV5r3.Analytics.Miscellaneous.DateRoll( $Z38,CE$14*12/$O38,"M","MF",Holidays),"")</f>
        <v/>
      </c>
      <c r="CF38" s="4" t="str">
        <f ca="1">IF(_xll.HLV5r3.Analytics.Miscellaneous.DateRoll( $Z38,CF$14*12/$O38,"M","MF",Holidays)&lt;=$N38,_xll.HLV5r3.Analytics.Miscellaneous.DateRoll( $Z38,CF$14*12/$O38,"M","MF",Holidays),"")</f>
        <v/>
      </c>
      <c r="CG38" s="4" t="str">
        <f ca="1">IF(_xll.HLV5r3.Analytics.Miscellaneous.DateRoll( $Z38,CG$14*12/$O38,"M","MF",Holidays)&lt;=$N38,_xll.HLV5r3.Analytics.Miscellaneous.DateRoll( $Z38,CG$14*12/$O38,"M","MF",Holidays),"")</f>
        <v/>
      </c>
      <c r="CH38" s="4" t="str">
        <f ca="1">IF(_xll.HLV5r3.Analytics.Miscellaneous.DateRoll( $Z38,CH$14*12/$O38,"M","MF",Holidays)&lt;=$N38,_xll.HLV5r3.Analytics.Miscellaneous.DateRoll( $Z38,CH$14*12/$O38,"M","MF",Holidays),"")</f>
        <v/>
      </c>
      <c r="CI38" s="4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</row>
    <row r="39" spans="1:148" ht="13.5" thickBot="1">
      <c r="A39" s="30" t="s">
        <v>32</v>
      </c>
      <c r="B39" s="195" t="str">
        <f t="shared" si="10"/>
        <v>30Y</v>
      </c>
      <c r="C39" s="75">
        <v>24.666666666666668</v>
      </c>
      <c r="D39" s="63">
        <f t="shared" ca="1" si="20"/>
        <v>5.7241666666666733</v>
      </c>
      <c r="E39" s="132">
        <v>-4.666666666666667</v>
      </c>
      <c r="F39" s="72">
        <f ca="1">_xll.HLV5r3.Analytics.Miscellaneous.SFEBillTickValue( D39)</f>
        <v>16.229999999981374</v>
      </c>
      <c r="G39" s="84">
        <v>1</v>
      </c>
      <c r="H39" s="78" t="s">
        <v>34</v>
      </c>
      <c r="I39" s="85" t="s">
        <v>35</v>
      </c>
      <c r="J39" s="84">
        <v>30</v>
      </c>
      <c r="K39" s="78" t="s">
        <v>38</v>
      </c>
      <c r="L39" s="85" t="s">
        <v>37</v>
      </c>
      <c r="M39" s="68">
        <f ca="1">_xll.HLV5r3.Analytics.Miscellaneous.DateRoll( Calc_Date,G39,H39,I39,Holidays)</f>
        <v>43641</v>
      </c>
      <c r="N39" s="64">
        <f ca="1">_xll.HLV5r3.Analytics.Miscellaneous.DateRoll(M39,J39,K39,L39,Holidays)</f>
        <v>54599</v>
      </c>
      <c r="O39" s="89">
        <v>2</v>
      </c>
      <c r="P39" s="97">
        <f t="shared" ca="1" si="13"/>
        <v>5.6775000000000068E-2</v>
      </c>
      <c r="Q39" s="91">
        <v>0</v>
      </c>
      <c r="R39" s="93">
        <f t="shared" ca="1" si="11"/>
        <v>5.6775000000000068E-2</v>
      </c>
      <c r="S39" s="90"/>
      <c r="T39" s="100">
        <f t="shared" si="2"/>
        <v>30.030136986301368</v>
      </c>
      <c r="U39" s="43">
        <v>10961</v>
      </c>
      <c r="V39" s="44">
        <v>5.3945692471443832E-2</v>
      </c>
      <c r="W39" s="47">
        <f>_xll.HLV5r3.Analytics.Miscellaneous.Zero2DF(V39,ZeroCompFreq,U39/365)</f>
        <v>0.20005363178219149</v>
      </c>
      <c r="X39" s="10"/>
      <c r="Y39" s="37" t="str">
        <f t="shared" si="4"/>
        <v>30Y</v>
      </c>
      <c r="Z39" s="4">
        <f ca="1">M39</f>
        <v>43641</v>
      </c>
      <c r="AA39" s="4">
        <f ca="1">IF(_xll.HLV5r3.Analytics.Miscellaneous.DateRoll( $Z39,AA$14*12/$O39,"M","MF",Holidays)&lt;=$N39,_xll.HLV5r3.Analytics.Miscellaneous.DateRoll( $Z39,AA$14*12/$O39,"M","MF",Holidays),"")</f>
        <v>43826</v>
      </c>
      <c r="AB39" s="4">
        <f ca="1">IF(_xll.HLV5r3.Analytics.Miscellaneous.DateRoll( $Z39,AB$14*12/$O39,"M","MF",Holidays)&lt;=$N39,_xll.HLV5r3.Analytics.Miscellaneous.DateRoll( $Z39,AB$14*12/$O39,"M","MF",Holidays),"")</f>
        <v>44007</v>
      </c>
      <c r="AC39" s="4">
        <f ca="1">IF(_xll.HLV5r3.Analytics.Miscellaneous.DateRoll( $Z39,AC$14*12/$O39,"M","MF",Holidays)&lt;=$N39,_xll.HLV5r3.Analytics.Miscellaneous.DateRoll( $Z39,AC$14*12/$O39,"M","MF",Holidays),"")</f>
        <v>44194</v>
      </c>
      <c r="AD39" s="4">
        <f ca="1">IF(_xll.HLV5r3.Analytics.Miscellaneous.DateRoll( $Z39,AD$14*12/$O39,"M","MF",Holidays)&lt;=$N39,_xll.HLV5r3.Analytics.Miscellaneous.DateRoll( $Z39,AD$14*12/$O39,"M","MF",Holidays),"")</f>
        <v>44372</v>
      </c>
      <c r="AE39" s="4">
        <f ca="1">IF(_xll.HLV5r3.Analytics.Miscellaneous.DateRoll( $Z39,AE$14*12/$O39,"M","MF",Holidays)&lt;=$N39,_xll.HLV5r3.Analytics.Miscellaneous.DateRoll( $Z39,AE$14*12/$O39,"M","MF",Holidays),"")</f>
        <v>44559</v>
      </c>
      <c r="AF39" s="4">
        <f ca="1">IF(_xll.HLV5r3.Analytics.Miscellaneous.DateRoll( $Z39,AF$14*12/$O39,"M","MF",Holidays)&lt;=$N39,_xll.HLV5r3.Analytics.Miscellaneous.DateRoll( $Z39,AF$14*12/$O39,"M","MF",Holidays),"")</f>
        <v>44739</v>
      </c>
      <c r="AG39" s="4">
        <f ca="1">IF(_xll.HLV5r3.Analytics.Miscellaneous.DateRoll( $Z39,AG$14*12/$O39,"M","MF",Holidays)&lt;=$N39,_xll.HLV5r3.Analytics.Miscellaneous.DateRoll( $Z39,AG$14*12/$O39,"M","MF",Holidays),"")</f>
        <v>44923</v>
      </c>
      <c r="AH39" s="4">
        <f ca="1">IF(_xll.HLV5r3.Analytics.Miscellaneous.DateRoll( $Z39,AH$14*12/$O39,"M","MF",Holidays)&lt;=$N39,_xll.HLV5r3.Analytics.Miscellaneous.DateRoll( $Z39,AH$14*12/$O39,"M","MF",Holidays),"")</f>
        <v>45103</v>
      </c>
      <c r="AI39" s="4">
        <f ca="1">IF(_xll.HLV5r3.Analytics.Miscellaneous.DateRoll( $Z39,AI$14*12/$O39,"M","MF",Holidays)&lt;=$N39,_xll.HLV5r3.Analytics.Miscellaneous.DateRoll( $Z39,AI$14*12/$O39,"M","MF",Holidays),"")</f>
        <v>45287</v>
      </c>
      <c r="AJ39" s="4">
        <f ca="1">IF(_xll.HLV5r3.Analytics.Miscellaneous.DateRoll( $Z39,AJ$14*12/$O39,"M","MF",Holidays)&lt;=$N39,_xll.HLV5r3.Analytics.Miscellaneous.DateRoll( $Z39,AJ$14*12/$O39,"M","MF",Holidays),"")</f>
        <v>45468</v>
      </c>
      <c r="AK39" s="4">
        <f ca="1">IF(_xll.HLV5r3.Analytics.Miscellaneous.DateRoll( $Z39,AK$14*12/$O39,"M","MF",Holidays)&lt;=$N39,_xll.HLV5r3.Analytics.Miscellaneous.DateRoll( $Z39,AK$14*12/$O39,"M","MF",Holidays),"")</f>
        <v>45653</v>
      </c>
      <c r="AL39" s="4">
        <f ca="1">IF(_xll.HLV5r3.Analytics.Miscellaneous.DateRoll( $Z39,AL$14*12/$O39,"M","MF",Holidays)&lt;=$N39,_xll.HLV5r3.Analytics.Miscellaneous.DateRoll( $Z39,AL$14*12/$O39,"M","MF",Holidays),"")</f>
        <v>45833</v>
      </c>
      <c r="AM39" s="4">
        <f ca="1">IF(_xll.HLV5r3.Analytics.Miscellaneous.DateRoll( $Z39,AM$14*12/$O39,"M","MF",Holidays)&lt;=$N39,_xll.HLV5r3.Analytics.Miscellaneous.DateRoll( $Z39,AM$14*12/$O39,"M","MF",Holidays),"")</f>
        <v>46020</v>
      </c>
      <c r="AN39" s="4">
        <f ca="1">IF(_xll.HLV5r3.Analytics.Miscellaneous.DateRoll( $Z39,AN$14*12/$O39,"M","MF",Holidays)&lt;=$N39,_xll.HLV5r3.Analytics.Miscellaneous.DateRoll( $Z39,AN$14*12/$O39,"M","MF",Holidays),"")</f>
        <v>46198</v>
      </c>
      <c r="AO39" s="4">
        <f ca="1">IF(_xll.HLV5r3.Analytics.Miscellaneous.DateRoll( $Z39,AO$14*12/$O39,"M","MF",Holidays)&lt;=$N39,_xll.HLV5r3.Analytics.Miscellaneous.DateRoll( $Z39,AO$14*12/$O39,"M","MF",Holidays),"")</f>
        <v>46385</v>
      </c>
      <c r="AP39" s="4">
        <f ca="1">IF(_xll.HLV5r3.Analytics.Miscellaneous.DateRoll( $Z39,AP$14*12/$O39,"M","MF",Holidays)&lt;=$N39,_xll.HLV5r3.Analytics.Miscellaneous.DateRoll( $Z39,AP$14*12/$O39,"M","MF",Holidays),"")</f>
        <v>46563</v>
      </c>
      <c r="AQ39" s="4">
        <f ca="1">IF(_xll.HLV5r3.Analytics.Miscellaneous.DateRoll( $Z39,AQ$14*12/$O39,"M","MF",Holidays)&lt;=$N39,_xll.HLV5r3.Analytics.Miscellaneous.DateRoll( $Z39,AQ$14*12/$O39,"M","MF",Holidays),"")</f>
        <v>46750</v>
      </c>
      <c r="AR39" s="4">
        <f ca="1">IF(_xll.HLV5r3.Analytics.Miscellaneous.DateRoll( $Z39,AR$14*12/$O39,"M","MF",Holidays)&lt;=$N39,_xll.HLV5r3.Analytics.Miscellaneous.DateRoll( $Z39,AR$14*12/$O39,"M","MF",Holidays),"")</f>
        <v>46930</v>
      </c>
      <c r="AS39" s="4">
        <f ca="1">IF(_xll.HLV5r3.Analytics.Miscellaneous.DateRoll( $Z39,AS$14*12/$O39,"M","MF",Holidays)&lt;=$N39,_xll.HLV5r3.Analytics.Miscellaneous.DateRoll( $Z39,AS$14*12/$O39,"M","MF",Holidays),"")</f>
        <v>47114</v>
      </c>
      <c r="AT39" s="4">
        <f ca="1">IF(_xll.HLV5r3.Analytics.Miscellaneous.DateRoll( $Z39,AT$14*12/$O39,"M","MF",Holidays)&lt;=$N39,_xll.HLV5r3.Analytics.Miscellaneous.DateRoll( $Z39,AT$14*12/$O39,"M","MF",Holidays),"")</f>
        <v>47294</v>
      </c>
      <c r="AU39" s="4">
        <f ca="1">IF(_xll.HLV5r3.Analytics.Miscellaneous.DateRoll( $Z39,AU$14*12/$O39,"M","MF",Holidays)&lt;=$N39,_xll.HLV5r3.Analytics.Miscellaneous.DateRoll( $Z39,AU$14*12/$O39,"M","MF",Holidays),"")</f>
        <v>47479</v>
      </c>
      <c r="AV39" s="4">
        <f ca="1">IF(_xll.HLV5r3.Analytics.Miscellaneous.DateRoll( $Z39,AV$14*12/$O39,"M","MF",Holidays)&lt;=$N39,_xll.HLV5r3.Analytics.Miscellaneous.DateRoll( $Z39,AV$14*12/$O39,"M","MF",Holidays),"")</f>
        <v>47659</v>
      </c>
      <c r="AW39" s="4">
        <f ca="1">IF(_xll.HLV5r3.Analytics.Miscellaneous.DateRoll( $Z39,AW$14*12/$O39,"M","MF",Holidays)&lt;=$N39,_xll.HLV5r3.Analytics.Miscellaneous.DateRoll( $Z39,AW$14*12/$O39,"M","MF",Holidays),"")</f>
        <v>47844</v>
      </c>
      <c r="AX39" s="4">
        <f ca="1">IF(_xll.HLV5r3.Analytics.Miscellaneous.DateRoll( $Z39,AX$14*12/$O39,"M","MF",Holidays)&lt;=$N39,_xll.HLV5r3.Analytics.Miscellaneous.DateRoll( $Z39,AX$14*12/$O39,"M","MF",Holidays),"")</f>
        <v>48024</v>
      </c>
      <c r="AY39" s="4">
        <f ca="1">IF(_xll.HLV5r3.Analytics.Miscellaneous.DateRoll( $Z39,AY$14*12/$O39,"M","MF",Holidays)&lt;=$N39,_xll.HLV5r3.Analytics.Miscellaneous.DateRoll( $Z39,AY$14*12/$O39,"M","MF",Holidays),"")</f>
        <v>48211</v>
      </c>
      <c r="AZ39" s="4">
        <f ca="1">IF(_xll.HLV5r3.Analytics.Miscellaneous.DateRoll( $Z39,AZ$14*12/$O39,"M","MF",Holidays)&lt;=$N39,_xll.HLV5r3.Analytics.Miscellaneous.DateRoll( $Z39,AZ$14*12/$O39,"M","MF",Holidays),"")</f>
        <v>48390</v>
      </c>
      <c r="BA39" s="4">
        <f ca="1">IF(_xll.HLV5r3.Analytics.Miscellaneous.DateRoll( $Z39,BA$14*12/$O39,"M","MF",Holidays)&lt;=$N39,_xll.HLV5r3.Analytics.Miscellaneous.DateRoll( $Z39,BA$14*12/$O39,"M","MF",Holidays),"")</f>
        <v>48577</v>
      </c>
      <c r="BB39" s="4">
        <f ca="1">IF(_xll.HLV5r3.Analytics.Miscellaneous.DateRoll( $Z39,BB$14*12/$O39,"M","MF",Holidays)&lt;=$N39,_xll.HLV5r3.Analytics.Miscellaneous.DateRoll( $Z39,BB$14*12/$O39,"M","MF",Holidays),"")</f>
        <v>48757</v>
      </c>
      <c r="BC39" s="4">
        <f ca="1">IF(_xll.HLV5r3.Analytics.Miscellaneous.DateRoll( $Z39,BC$14*12/$O39,"M","MF",Holidays)&lt;=$N39,_xll.HLV5r3.Analytics.Miscellaneous.DateRoll( $Z39,BC$14*12/$O39,"M","MF",Holidays),"")</f>
        <v>48941</v>
      </c>
      <c r="BD39" s="4">
        <f ca="1">IF(_xll.HLV5r3.Analytics.Miscellaneous.DateRoll( $Z39,BD$14*12/$O39,"M","MF",Holidays)&lt;=$N39,_xll.HLV5r3.Analytics.Miscellaneous.DateRoll( $Z39,BD$14*12/$O39,"M","MF",Holidays),"")</f>
        <v>49121</v>
      </c>
      <c r="BE39" s="4">
        <f ca="1">IF(_xll.HLV5r3.Analytics.Miscellaneous.DateRoll( $Z39,BE$14*12/$O39,"M","MF",Holidays)&lt;=$N39,_xll.HLV5r3.Analytics.Miscellaneous.DateRoll( $Z39,BE$14*12/$O39,"M","MF",Holidays),"")</f>
        <v>49305</v>
      </c>
      <c r="BF39" s="4">
        <f ca="1">IF(_xll.HLV5r3.Analytics.Miscellaneous.DateRoll( $Z39,BF$14*12/$O39,"M","MF",Holidays)&lt;=$N39,_xll.HLV5r3.Analytics.Miscellaneous.DateRoll( $Z39,BF$14*12/$O39,"M","MF",Holidays),"")</f>
        <v>49485</v>
      </c>
      <c r="BG39" s="4">
        <f ca="1">IF(_xll.HLV5r3.Analytics.Miscellaneous.DateRoll( $Z39,BG$14*12/$O39,"M","MF",Holidays)&lt;=$N39,_xll.HLV5r3.Analytics.Miscellaneous.DateRoll( $Z39,BG$14*12/$O39,"M","MF",Holidays),"")</f>
        <v>49670</v>
      </c>
      <c r="BH39" s="4">
        <f ca="1">IF(_xll.HLV5r3.Analytics.Miscellaneous.DateRoll( $Z39,BH$14*12/$O39,"M","MF",Holidays)&lt;=$N39,_xll.HLV5r3.Analytics.Miscellaneous.DateRoll( $Z39,BH$14*12/$O39,"M","MF",Holidays),"")</f>
        <v>49851</v>
      </c>
      <c r="BI39" s="4">
        <f ca="1">IF(_xll.HLV5r3.Analytics.Miscellaneous.DateRoll( $Z39,BI$14*12/$O39,"M","MF",Holidays)&lt;=$N39,_xll.HLV5r3.Analytics.Miscellaneous.DateRoll( $Z39,BI$14*12/$O39,"M","MF",Holidays),"")</f>
        <v>50038</v>
      </c>
      <c r="BJ39" s="4">
        <f ca="1">IF(_xll.HLV5r3.Analytics.Miscellaneous.DateRoll( $Z39,BJ$14*12/$O39,"M","MF",Holidays)&lt;=$N39,_xll.HLV5r3.Analytics.Miscellaneous.DateRoll( $Z39,BJ$14*12/$O39,"M","MF",Holidays),"")</f>
        <v>50216</v>
      </c>
      <c r="BK39" s="4">
        <f ca="1">IF(_xll.HLV5r3.Analytics.Miscellaneous.DateRoll( $Z39,BK$14*12/$O39,"M","MF",Holidays)&lt;=$N39,_xll.HLV5r3.Analytics.Miscellaneous.DateRoll( $Z39,BK$14*12/$O39,"M","MF",Holidays),"")</f>
        <v>50403</v>
      </c>
      <c r="BL39" s="4">
        <f ca="1">IF(_xll.HLV5r3.Analytics.Miscellaneous.DateRoll( $Z39,BL$14*12/$O39,"M","MF",Holidays)&lt;=$N39,_xll.HLV5r3.Analytics.Miscellaneous.DateRoll( $Z39,BL$14*12/$O39,"M","MF",Holidays),"")</f>
        <v>50581</v>
      </c>
      <c r="BM39" s="4">
        <f ca="1">IF(_xll.HLV5r3.Analytics.Miscellaneous.DateRoll( $Z39,BM$14*12/$O39,"M","MF",Holidays)&lt;=$N39,_xll.HLV5r3.Analytics.Miscellaneous.DateRoll( $Z39,BM$14*12/$O39,"M","MF",Holidays),"")</f>
        <v>50768</v>
      </c>
      <c r="BN39" s="4">
        <f ca="1">IF(_xll.HLV5r3.Analytics.Miscellaneous.DateRoll( $Z39,BN$14*12/$O39,"M","MF",Holidays)&lt;=$N39,_xll.HLV5r3.Analytics.Miscellaneous.DateRoll( $Z39,BN$14*12/$O39,"M","MF",Holidays),"")</f>
        <v>50948</v>
      </c>
      <c r="BO39" s="4">
        <f ca="1">IF(_xll.HLV5r3.Analytics.Miscellaneous.DateRoll( $Z39,BO$14*12/$O39,"M","MF",Holidays)&lt;=$N39,_xll.HLV5r3.Analytics.Miscellaneous.DateRoll( $Z39,BO$14*12/$O39,"M","MF",Holidays),"")</f>
        <v>51132</v>
      </c>
      <c r="BP39" s="4">
        <f ca="1">IF(_xll.HLV5r3.Analytics.Miscellaneous.DateRoll( $Z39,BP$14*12/$O39,"M","MF",Holidays)&lt;=$N39,_xll.HLV5r3.Analytics.Miscellaneous.DateRoll( $Z39,BP$14*12/$O39,"M","MF",Holidays),"")</f>
        <v>51312</v>
      </c>
      <c r="BQ39" s="4">
        <f ca="1">IF(_xll.HLV5r3.Analytics.Miscellaneous.DateRoll( $Z39,BQ$14*12/$O39,"M","MF",Holidays)&lt;=$N39,_xll.HLV5r3.Analytics.Miscellaneous.DateRoll( $Z39,BQ$14*12/$O39,"M","MF",Holidays),"")</f>
        <v>51497</v>
      </c>
      <c r="BR39" s="4">
        <f ca="1">IF(_xll.HLV5r3.Analytics.Miscellaneous.DateRoll( $Z39,BR$14*12/$O39,"M","MF",Holidays)&lt;=$N39,_xll.HLV5r3.Analytics.Miscellaneous.DateRoll( $Z39,BR$14*12/$O39,"M","MF",Holidays),"")</f>
        <v>51677</v>
      </c>
      <c r="BS39" s="4">
        <f ca="1">IF(_xll.HLV5r3.Analytics.Miscellaneous.DateRoll( $Z39,BS$14*12/$O39,"M","MF",Holidays)&lt;=$N39,_xll.HLV5r3.Analytics.Miscellaneous.DateRoll( $Z39,BS$14*12/$O39,"M","MF",Holidays),"")</f>
        <v>51862</v>
      </c>
      <c r="BT39" s="4">
        <f ca="1">IF(_xll.HLV5r3.Analytics.Miscellaneous.DateRoll( $Z39,BT$14*12/$O39,"M","MF",Holidays)&lt;=$N39,_xll.HLV5r3.Analytics.Miscellaneous.DateRoll( $Z39,BT$14*12/$O39,"M","MF",Holidays),"")</f>
        <v>52042</v>
      </c>
      <c r="BU39" s="4">
        <f ca="1">IF(_xll.HLV5r3.Analytics.Miscellaneous.DateRoll( $Z39,BU$14*12/$O39,"M","MF",Holidays)&lt;=$N39,_xll.HLV5r3.Analytics.Miscellaneous.DateRoll( $Z39,BU$14*12/$O39,"M","MF",Holidays),"")</f>
        <v>52229</v>
      </c>
      <c r="BV39" s="4">
        <f ca="1">IF(_xll.HLV5r3.Analytics.Miscellaneous.DateRoll( $Z39,BV$14*12/$O39,"M","MF",Holidays)&lt;=$N39,_xll.HLV5r3.Analytics.Miscellaneous.DateRoll( $Z39,BV$14*12/$O39,"M","MF",Holidays),"")</f>
        <v>52407</v>
      </c>
      <c r="BW39" s="4">
        <f ca="1">IF(_xll.HLV5r3.Analytics.Miscellaneous.DateRoll( $Z39,BW$14*12/$O39,"M","MF",Holidays)&lt;=$N39,_xll.HLV5r3.Analytics.Miscellaneous.DateRoll( $Z39,BW$14*12/$O39,"M","MF",Holidays),"")</f>
        <v>52594</v>
      </c>
      <c r="BX39" s="4">
        <f ca="1">IF(_xll.HLV5r3.Analytics.Miscellaneous.DateRoll( $Z39,BX$14*12/$O39,"M","MF",Holidays)&lt;=$N39,_xll.HLV5r3.Analytics.Miscellaneous.DateRoll( $Z39,BX$14*12/$O39,"M","MF",Holidays),"")</f>
        <v>52775</v>
      </c>
      <c r="BY39" s="4">
        <f ca="1">IF(_xll.HLV5r3.Analytics.Miscellaneous.DateRoll( $Z39,BY$14*12/$O39,"M","MF",Holidays)&lt;=$N39,_xll.HLV5r3.Analytics.Miscellaneous.DateRoll( $Z39,BY$14*12/$O39,"M","MF",Holidays),"")</f>
        <v>52959</v>
      </c>
      <c r="BZ39" s="4">
        <f ca="1">IF(_xll.HLV5r3.Analytics.Miscellaneous.DateRoll( $Z39,BZ$14*12/$O39,"M","MF",Holidays)&lt;=$N39,_xll.HLV5r3.Analytics.Miscellaneous.DateRoll( $Z39,BZ$14*12/$O39,"M","MF",Holidays),"")</f>
        <v>53139</v>
      </c>
      <c r="CA39" s="4">
        <f ca="1">IF(_xll.HLV5r3.Analytics.Miscellaneous.DateRoll( $Z39,CA$14*12/$O39,"M","MF",Holidays)&lt;=$N39,_xll.HLV5r3.Analytics.Miscellaneous.DateRoll( $Z39,CA$14*12/$O39,"M","MF",Holidays),"")</f>
        <v>53323</v>
      </c>
      <c r="CB39" s="4">
        <f ca="1">IF(_xll.HLV5r3.Analytics.Miscellaneous.DateRoll( $Z39,CB$14*12/$O39,"M","MF",Holidays)&lt;=$N39,_xll.HLV5r3.Analytics.Miscellaneous.DateRoll( $Z39,CB$14*12/$O39,"M","MF",Holidays),"")</f>
        <v>53503</v>
      </c>
      <c r="CC39" s="4">
        <f ca="1">IF(_xll.HLV5r3.Analytics.Miscellaneous.DateRoll( $Z39,CC$14*12/$O39,"M","MF",Holidays)&lt;=$N39,_xll.HLV5r3.Analytics.Miscellaneous.DateRoll( $Z39,CC$14*12/$O39,"M","MF",Holidays),"")</f>
        <v>53688</v>
      </c>
      <c r="CD39" s="4">
        <f ca="1">IF(_xll.HLV5r3.Analytics.Miscellaneous.DateRoll( $Z39,CD$14*12/$O39,"M","MF",Holidays)&lt;=$N39,_xll.HLV5r3.Analytics.Miscellaneous.DateRoll( $Z39,CD$14*12/$O39,"M","MF",Holidays),"")</f>
        <v>53868</v>
      </c>
      <c r="CE39" s="4">
        <f ca="1">IF(_xll.HLV5r3.Analytics.Miscellaneous.DateRoll( $Z39,CE$14*12/$O39,"M","MF",Holidays)&lt;=$N39,_xll.HLV5r3.Analytics.Miscellaneous.DateRoll( $Z39,CE$14*12/$O39,"M","MF",Holidays),"")</f>
        <v>54053</v>
      </c>
      <c r="CF39" s="4">
        <f ca="1">IF(_xll.HLV5r3.Analytics.Miscellaneous.DateRoll( $Z39,CF$14*12/$O39,"M","MF",Holidays)&lt;=$N39,_xll.HLV5r3.Analytics.Miscellaneous.DateRoll( $Z39,CF$14*12/$O39,"M","MF",Holidays),"")</f>
        <v>54234</v>
      </c>
      <c r="CG39" s="4">
        <f ca="1">IF(_xll.HLV5r3.Analytics.Miscellaneous.DateRoll( $Z39,CG$14*12/$O39,"M","MF",Holidays)&lt;=$N39,_xll.HLV5r3.Analytics.Miscellaneous.DateRoll( $Z39,CG$14*12/$O39,"M","MF",Holidays),"")</f>
        <v>54421</v>
      </c>
      <c r="CH39" s="4">
        <f ca="1">IF(_xll.HLV5r3.Analytics.Miscellaneous.DateRoll( $Z39,CH$14*12/$O39,"M","MF",Holidays)&lt;=$N39,_xll.HLV5r3.Analytics.Miscellaneous.DateRoll( $Z39,CH$14*12/$O39,"M","MF",Holidays),"")</f>
        <v>54599</v>
      </c>
      <c r="CI39" s="4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</row>
    <row r="40" spans="1:148" ht="13.5" thickBot="1">
      <c r="B40" s="127"/>
      <c r="C40" s="121"/>
      <c r="D40" s="6"/>
      <c r="E40" s="116"/>
      <c r="G40" s="121"/>
      <c r="M40" s="145"/>
      <c r="Q40" s="193">
        <f ca="1">P37+0.00015</f>
        <v>5.9395833333333391E-2</v>
      </c>
      <c r="W40" s="39"/>
      <c r="Y40" s="37">
        <f t="shared" si="4"/>
        <v>0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</row>
    <row r="41" spans="1:148" ht="13.5" thickBot="1">
      <c r="B41" s="188">
        <f>C28-8.75</f>
        <v>45.666666666666664</v>
      </c>
      <c r="C41" s="236" t="s">
        <v>55</v>
      </c>
      <c r="D41" s="237"/>
      <c r="E41" s="237"/>
      <c r="F41" s="238"/>
      <c r="G41" s="2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</row>
    <row r="42" spans="1:148" ht="13.5" thickBot="1">
      <c r="A42" s="121"/>
      <c r="B42" s="188">
        <f>C29-8.5</f>
        <v>54.333333333333336</v>
      </c>
      <c r="C42" s="13" t="s">
        <v>56</v>
      </c>
      <c r="D42" s="14" t="s">
        <v>57</v>
      </c>
      <c r="E42" s="14" t="s">
        <v>58</v>
      </c>
      <c r="F42" s="15" t="s">
        <v>64</v>
      </c>
      <c r="G42" s="6"/>
      <c r="S42" s="99"/>
      <c r="Z42" s="3" t="s">
        <v>9</v>
      </c>
      <c r="CJ42" s="16" t="s">
        <v>11</v>
      </c>
    </row>
    <row r="43" spans="1:148" ht="13.5" thickBot="1">
      <c r="A43" s="11"/>
      <c r="B43" s="26"/>
      <c r="C43" s="3" t="s">
        <v>52</v>
      </c>
      <c r="D43" s="77">
        <f ca="1">OFFSET(IR!B21,0,$F$13)</f>
        <v>94.824999999999989</v>
      </c>
      <c r="E43" s="26">
        <f ca="1">100-D43</f>
        <v>5.1750000000000114</v>
      </c>
      <c r="F43" s="72">
        <f ca="1">_xll.HLV5r3.Analytics.Miscellaneous.SFEBondTickValue( "3Yr",D43)</f>
        <v>27.83381546693272</v>
      </c>
      <c r="G43" s="11"/>
      <c r="T43" s="171"/>
      <c r="W43" s="3" t="s">
        <v>28</v>
      </c>
      <c r="X43" s="3" t="s">
        <v>68</v>
      </c>
      <c r="Z43" s="13" t="s">
        <v>6</v>
      </c>
      <c r="AA43" s="14">
        <v>1</v>
      </c>
      <c r="AB43" s="14">
        <f t="shared" ref="AB43:BG43" si="21">AA43+1</f>
        <v>2</v>
      </c>
      <c r="AC43" s="14">
        <f t="shared" si="21"/>
        <v>3</v>
      </c>
      <c r="AD43" s="14">
        <f t="shared" si="21"/>
        <v>4</v>
      </c>
      <c r="AE43" s="14">
        <f t="shared" si="21"/>
        <v>5</v>
      </c>
      <c r="AF43" s="14">
        <f t="shared" si="21"/>
        <v>6</v>
      </c>
      <c r="AG43" s="14">
        <f t="shared" si="21"/>
        <v>7</v>
      </c>
      <c r="AH43" s="14">
        <f t="shared" si="21"/>
        <v>8</v>
      </c>
      <c r="AI43" s="14">
        <f t="shared" si="21"/>
        <v>9</v>
      </c>
      <c r="AJ43" s="14">
        <f t="shared" si="21"/>
        <v>10</v>
      </c>
      <c r="AK43" s="14">
        <f t="shared" si="21"/>
        <v>11</v>
      </c>
      <c r="AL43" s="14">
        <f t="shared" si="21"/>
        <v>12</v>
      </c>
      <c r="AM43" s="14">
        <f t="shared" si="21"/>
        <v>13</v>
      </c>
      <c r="AN43" s="14">
        <f t="shared" si="21"/>
        <v>14</v>
      </c>
      <c r="AO43" s="14">
        <f t="shared" si="21"/>
        <v>15</v>
      </c>
      <c r="AP43" s="14">
        <f t="shared" si="21"/>
        <v>16</v>
      </c>
      <c r="AQ43" s="14">
        <f t="shared" si="21"/>
        <v>17</v>
      </c>
      <c r="AR43" s="14">
        <f t="shared" si="21"/>
        <v>18</v>
      </c>
      <c r="AS43" s="14">
        <f t="shared" si="21"/>
        <v>19</v>
      </c>
      <c r="AT43" s="14">
        <f t="shared" si="21"/>
        <v>20</v>
      </c>
      <c r="AU43" s="14">
        <f t="shared" si="21"/>
        <v>21</v>
      </c>
      <c r="AV43" s="14">
        <f t="shared" si="21"/>
        <v>22</v>
      </c>
      <c r="AW43" s="14">
        <f t="shared" si="21"/>
        <v>23</v>
      </c>
      <c r="AX43" s="14">
        <f t="shared" si="21"/>
        <v>24</v>
      </c>
      <c r="AY43" s="14">
        <f t="shared" si="21"/>
        <v>25</v>
      </c>
      <c r="AZ43" s="14">
        <f t="shared" si="21"/>
        <v>26</v>
      </c>
      <c r="BA43" s="14">
        <f t="shared" si="21"/>
        <v>27</v>
      </c>
      <c r="BB43" s="14">
        <f t="shared" si="21"/>
        <v>28</v>
      </c>
      <c r="BC43" s="14">
        <f t="shared" si="21"/>
        <v>29</v>
      </c>
      <c r="BD43" s="14">
        <f t="shared" si="21"/>
        <v>30</v>
      </c>
      <c r="BE43" s="14">
        <f t="shared" si="21"/>
        <v>31</v>
      </c>
      <c r="BF43" s="14">
        <f t="shared" si="21"/>
        <v>32</v>
      </c>
      <c r="BG43" s="14">
        <f t="shared" si="21"/>
        <v>33</v>
      </c>
      <c r="BH43" s="14">
        <f t="shared" ref="BH43:CH43" si="22">BG43+1</f>
        <v>34</v>
      </c>
      <c r="BI43" s="14">
        <f t="shared" si="22"/>
        <v>35</v>
      </c>
      <c r="BJ43" s="14">
        <f t="shared" si="22"/>
        <v>36</v>
      </c>
      <c r="BK43" s="14">
        <f t="shared" si="22"/>
        <v>37</v>
      </c>
      <c r="BL43" s="14">
        <f t="shared" si="22"/>
        <v>38</v>
      </c>
      <c r="BM43" s="14">
        <f t="shared" si="22"/>
        <v>39</v>
      </c>
      <c r="BN43" s="14">
        <f t="shared" si="22"/>
        <v>40</v>
      </c>
      <c r="BO43" s="14">
        <f t="shared" si="22"/>
        <v>41</v>
      </c>
      <c r="BP43" s="14">
        <f t="shared" si="22"/>
        <v>42</v>
      </c>
      <c r="BQ43" s="14">
        <f t="shared" si="22"/>
        <v>43</v>
      </c>
      <c r="BR43" s="14">
        <f t="shared" si="22"/>
        <v>44</v>
      </c>
      <c r="BS43" s="14">
        <f t="shared" si="22"/>
        <v>45</v>
      </c>
      <c r="BT43" s="14">
        <f t="shared" si="22"/>
        <v>46</v>
      </c>
      <c r="BU43" s="14">
        <f t="shared" si="22"/>
        <v>47</v>
      </c>
      <c r="BV43" s="14">
        <f t="shared" si="22"/>
        <v>48</v>
      </c>
      <c r="BW43" s="14">
        <f t="shared" si="22"/>
        <v>49</v>
      </c>
      <c r="BX43" s="14">
        <f t="shared" si="22"/>
        <v>50</v>
      </c>
      <c r="BY43" s="14">
        <f t="shared" si="22"/>
        <v>51</v>
      </c>
      <c r="BZ43" s="14">
        <f t="shared" si="22"/>
        <v>52</v>
      </c>
      <c r="CA43" s="14">
        <f t="shared" si="22"/>
        <v>53</v>
      </c>
      <c r="CB43" s="14">
        <f t="shared" si="22"/>
        <v>54</v>
      </c>
      <c r="CC43" s="14">
        <f t="shared" si="22"/>
        <v>55</v>
      </c>
      <c r="CD43" s="14">
        <f t="shared" si="22"/>
        <v>56</v>
      </c>
      <c r="CE43" s="14">
        <f t="shared" si="22"/>
        <v>57</v>
      </c>
      <c r="CF43" s="14">
        <f t="shared" si="22"/>
        <v>58</v>
      </c>
      <c r="CG43" s="14">
        <f t="shared" si="22"/>
        <v>59</v>
      </c>
      <c r="CH43" s="15">
        <f t="shared" si="22"/>
        <v>60</v>
      </c>
      <c r="CJ43" s="13" t="s">
        <v>6</v>
      </c>
      <c r="CK43" s="14">
        <v>1</v>
      </c>
      <c r="CL43" s="14">
        <f t="shared" ref="CL43:DQ43" si="23">CK43+1</f>
        <v>2</v>
      </c>
      <c r="CM43" s="14">
        <f t="shared" si="23"/>
        <v>3</v>
      </c>
      <c r="CN43" s="14">
        <f t="shared" si="23"/>
        <v>4</v>
      </c>
      <c r="CO43" s="14">
        <f t="shared" si="23"/>
        <v>5</v>
      </c>
      <c r="CP43" s="14">
        <f t="shared" si="23"/>
        <v>6</v>
      </c>
      <c r="CQ43" s="14">
        <f t="shared" si="23"/>
        <v>7</v>
      </c>
      <c r="CR43" s="14">
        <f t="shared" si="23"/>
        <v>8</v>
      </c>
      <c r="CS43" s="14">
        <f t="shared" si="23"/>
        <v>9</v>
      </c>
      <c r="CT43" s="14">
        <f t="shared" si="23"/>
        <v>10</v>
      </c>
      <c r="CU43" s="14">
        <f t="shared" si="23"/>
        <v>11</v>
      </c>
      <c r="CV43" s="14">
        <f t="shared" si="23"/>
        <v>12</v>
      </c>
      <c r="CW43" s="14">
        <f t="shared" si="23"/>
        <v>13</v>
      </c>
      <c r="CX43" s="14">
        <f t="shared" si="23"/>
        <v>14</v>
      </c>
      <c r="CY43" s="14">
        <f t="shared" si="23"/>
        <v>15</v>
      </c>
      <c r="CZ43" s="14">
        <f t="shared" si="23"/>
        <v>16</v>
      </c>
      <c r="DA43" s="14">
        <f t="shared" si="23"/>
        <v>17</v>
      </c>
      <c r="DB43" s="14">
        <f t="shared" si="23"/>
        <v>18</v>
      </c>
      <c r="DC43" s="14">
        <f t="shared" si="23"/>
        <v>19</v>
      </c>
      <c r="DD43" s="14">
        <f t="shared" si="23"/>
        <v>20</v>
      </c>
      <c r="DE43" s="14">
        <f t="shared" si="23"/>
        <v>21</v>
      </c>
      <c r="DF43" s="14">
        <f t="shared" si="23"/>
        <v>22</v>
      </c>
      <c r="DG43" s="14">
        <f t="shared" si="23"/>
        <v>23</v>
      </c>
      <c r="DH43" s="14">
        <f t="shared" si="23"/>
        <v>24</v>
      </c>
      <c r="DI43" s="14">
        <f t="shared" si="23"/>
        <v>25</v>
      </c>
      <c r="DJ43" s="14">
        <f t="shared" si="23"/>
        <v>26</v>
      </c>
      <c r="DK43" s="14">
        <f t="shared" si="23"/>
        <v>27</v>
      </c>
      <c r="DL43" s="14">
        <f t="shared" si="23"/>
        <v>28</v>
      </c>
      <c r="DM43" s="14">
        <f t="shared" si="23"/>
        <v>29</v>
      </c>
      <c r="DN43" s="14">
        <f t="shared" si="23"/>
        <v>30</v>
      </c>
      <c r="DO43" s="14">
        <f t="shared" si="23"/>
        <v>31</v>
      </c>
      <c r="DP43" s="14">
        <f t="shared" si="23"/>
        <v>32</v>
      </c>
      <c r="DQ43" s="14">
        <f t="shared" si="23"/>
        <v>33</v>
      </c>
      <c r="DR43" s="14">
        <f t="shared" ref="DR43:ER43" si="24">DQ43+1</f>
        <v>34</v>
      </c>
      <c r="DS43" s="14">
        <f t="shared" si="24"/>
        <v>35</v>
      </c>
      <c r="DT43" s="14">
        <f t="shared" si="24"/>
        <v>36</v>
      </c>
      <c r="DU43" s="14">
        <f t="shared" si="24"/>
        <v>37</v>
      </c>
      <c r="DV43" s="14">
        <f t="shared" si="24"/>
        <v>38</v>
      </c>
      <c r="DW43" s="14">
        <f t="shared" si="24"/>
        <v>39</v>
      </c>
      <c r="DX43" s="14">
        <f t="shared" si="24"/>
        <v>40</v>
      </c>
      <c r="DY43" s="14">
        <f t="shared" si="24"/>
        <v>41</v>
      </c>
      <c r="DZ43" s="14">
        <f t="shared" si="24"/>
        <v>42</v>
      </c>
      <c r="EA43" s="14">
        <f t="shared" si="24"/>
        <v>43</v>
      </c>
      <c r="EB43" s="14">
        <f t="shared" si="24"/>
        <v>44</v>
      </c>
      <c r="EC43" s="14">
        <f t="shared" si="24"/>
        <v>45</v>
      </c>
      <c r="ED43" s="14">
        <f t="shared" si="24"/>
        <v>46</v>
      </c>
      <c r="EE43" s="14">
        <f t="shared" si="24"/>
        <v>47</v>
      </c>
      <c r="EF43" s="14">
        <f t="shared" si="24"/>
        <v>48</v>
      </c>
      <c r="EG43" s="14">
        <f t="shared" si="24"/>
        <v>49</v>
      </c>
      <c r="EH43" s="14">
        <f t="shared" si="24"/>
        <v>50</v>
      </c>
      <c r="EI43" s="14">
        <f t="shared" si="24"/>
        <v>51</v>
      </c>
      <c r="EJ43" s="14">
        <f t="shared" si="24"/>
        <v>52</v>
      </c>
      <c r="EK43" s="14">
        <f t="shared" si="24"/>
        <v>53</v>
      </c>
      <c r="EL43" s="14">
        <f t="shared" si="24"/>
        <v>54</v>
      </c>
      <c r="EM43" s="14">
        <f t="shared" si="24"/>
        <v>55</v>
      </c>
      <c r="EN43" s="14">
        <f t="shared" si="24"/>
        <v>56</v>
      </c>
      <c r="EO43" s="14">
        <f t="shared" si="24"/>
        <v>57</v>
      </c>
      <c r="EP43" s="14">
        <f t="shared" si="24"/>
        <v>58</v>
      </c>
      <c r="EQ43" s="14">
        <f t="shared" si="24"/>
        <v>59</v>
      </c>
      <c r="ER43" s="15">
        <f t="shared" si="24"/>
        <v>60</v>
      </c>
    </row>
    <row r="44" spans="1:148">
      <c r="B44" s="26"/>
      <c r="C44" s="3" t="s">
        <v>53</v>
      </c>
      <c r="D44" s="77">
        <f ca="1">OFFSET(IR!B25,0,$F$13)</f>
        <v>94.522499999999994</v>
      </c>
      <c r="E44" s="26">
        <f ca="1">100-D44</f>
        <v>5.4775000000000063</v>
      </c>
      <c r="F44" s="72">
        <f ca="1">_xll.HLV5r3.Analytics.Miscellaneous.SFEBondTickValue( "10Yr",D44)</f>
        <v>78.041821791615803</v>
      </c>
      <c r="G44" s="6"/>
      <c r="S44" s="11"/>
      <c r="T44" s="171"/>
      <c r="W44" s="6">
        <v>0</v>
      </c>
      <c r="X44" s="11">
        <f ca="1">_xll.HLV5r3.Analytics.Miscellaneous.PVFromCurve( CF_Days,CF,QZ_Nodes,W44,InterpSpace,ZeroCompFreq,Method)*10^6</f>
        <v>2.9522464334297283E-5</v>
      </c>
      <c r="Y44" s="38" t="str">
        <f t="shared" ref="Y44:Y58" si="25">B15</f>
        <v>O/N</v>
      </c>
      <c r="Z44" s="6">
        <f t="shared" ref="Z44:BE44" ca="1" si="26">IF(Z15="","",Z15-Calc_Date)</f>
        <v>0</v>
      </c>
      <c r="AA44" s="6">
        <f t="shared" ca="1" si="26"/>
        <v>1</v>
      </c>
      <c r="AB44" s="6" t="str">
        <f t="shared" si="26"/>
        <v/>
      </c>
      <c r="AC44" s="6" t="str">
        <f t="shared" si="26"/>
        <v/>
      </c>
      <c r="AD44" s="6" t="str">
        <f t="shared" si="26"/>
        <v/>
      </c>
      <c r="AE44" s="6" t="str">
        <f t="shared" si="26"/>
        <v/>
      </c>
      <c r="AF44" s="6" t="str">
        <f t="shared" si="26"/>
        <v/>
      </c>
      <c r="AG44" s="6" t="str">
        <f t="shared" si="26"/>
        <v/>
      </c>
      <c r="AH44" s="6" t="str">
        <f t="shared" si="26"/>
        <v/>
      </c>
      <c r="AI44" s="6" t="str">
        <f t="shared" si="26"/>
        <v/>
      </c>
      <c r="AJ44" s="6" t="str">
        <f t="shared" si="26"/>
        <v/>
      </c>
      <c r="AK44" s="6" t="str">
        <f t="shared" si="26"/>
        <v/>
      </c>
      <c r="AL44" s="6" t="str">
        <f t="shared" si="26"/>
        <v/>
      </c>
      <c r="AM44" s="6" t="str">
        <f t="shared" si="26"/>
        <v/>
      </c>
      <c r="AN44" s="6" t="str">
        <f t="shared" si="26"/>
        <v/>
      </c>
      <c r="AO44" s="6" t="str">
        <f t="shared" si="26"/>
        <v/>
      </c>
      <c r="AP44" s="6" t="str">
        <f t="shared" si="26"/>
        <v/>
      </c>
      <c r="AQ44" s="6" t="str">
        <f t="shared" si="26"/>
        <v/>
      </c>
      <c r="AR44" s="6" t="str">
        <f t="shared" si="26"/>
        <v/>
      </c>
      <c r="AS44" s="6" t="str">
        <f t="shared" si="26"/>
        <v/>
      </c>
      <c r="AT44" s="6" t="str">
        <f t="shared" si="26"/>
        <v/>
      </c>
      <c r="AU44" s="6" t="str">
        <f t="shared" si="26"/>
        <v/>
      </c>
      <c r="AV44" s="6" t="str">
        <f t="shared" si="26"/>
        <v/>
      </c>
      <c r="AW44" s="6" t="str">
        <f t="shared" si="26"/>
        <v/>
      </c>
      <c r="AX44" s="6" t="str">
        <f t="shared" si="26"/>
        <v/>
      </c>
      <c r="AY44" s="6" t="str">
        <f t="shared" si="26"/>
        <v/>
      </c>
      <c r="AZ44" s="6" t="str">
        <f t="shared" si="26"/>
        <v/>
      </c>
      <c r="BA44" s="6" t="str">
        <f t="shared" si="26"/>
        <v/>
      </c>
      <c r="BB44" s="6" t="str">
        <f t="shared" si="26"/>
        <v/>
      </c>
      <c r="BC44" s="6" t="str">
        <f t="shared" si="26"/>
        <v/>
      </c>
      <c r="BD44" s="6" t="str">
        <f t="shared" si="26"/>
        <v/>
      </c>
      <c r="BE44" s="6" t="str">
        <f t="shared" si="26"/>
        <v/>
      </c>
      <c r="BF44" s="6" t="str">
        <f t="shared" ref="BF44:CH44" si="27">IF(BF15="","",BF15-Calc_Date)</f>
        <v/>
      </c>
      <c r="BG44" s="6" t="str">
        <f t="shared" si="27"/>
        <v/>
      </c>
      <c r="BH44" s="6" t="str">
        <f t="shared" si="27"/>
        <v/>
      </c>
      <c r="BI44" s="6" t="str">
        <f t="shared" si="27"/>
        <v/>
      </c>
      <c r="BJ44" s="6" t="str">
        <f t="shared" si="27"/>
        <v/>
      </c>
      <c r="BK44" s="6" t="str">
        <f t="shared" si="27"/>
        <v/>
      </c>
      <c r="BL44" s="6" t="str">
        <f t="shared" si="27"/>
        <v/>
      </c>
      <c r="BM44" s="6" t="str">
        <f t="shared" si="27"/>
        <v/>
      </c>
      <c r="BN44" s="6" t="str">
        <f t="shared" si="27"/>
        <v/>
      </c>
      <c r="BO44" s="6" t="str">
        <f t="shared" si="27"/>
        <v/>
      </c>
      <c r="BP44" s="6" t="str">
        <f t="shared" si="27"/>
        <v/>
      </c>
      <c r="BQ44" s="6" t="str">
        <f t="shared" si="27"/>
        <v/>
      </c>
      <c r="BR44" s="6" t="str">
        <f t="shared" si="27"/>
        <v/>
      </c>
      <c r="BS44" s="6" t="str">
        <f t="shared" si="27"/>
        <v/>
      </c>
      <c r="BT44" s="6" t="str">
        <f t="shared" si="27"/>
        <v/>
      </c>
      <c r="BU44" s="6" t="str">
        <f t="shared" si="27"/>
        <v/>
      </c>
      <c r="BV44" s="6" t="str">
        <f t="shared" si="27"/>
        <v/>
      </c>
      <c r="BW44" s="6" t="str">
        <f t="shared" si="27"/>
        <v/>
      </c>
      <c r="BX44" s="6" t="str">
        <f t="shared" si="27"/>
        <v/>
      </c>
      <c r="BY44" s="6" t="str">
        <f t="shared" si="27"/>
        <v/>
      </c>
      <c r="BZ44" s="6" t="str">
        <f t="shared" si="27"/>
        <v/>
      </c>
      <c r="CA44" s="6" t="str">
        <f t="shared" si="27"/>
        <v/>
      </c>
      <c r="CB44" s="6" t="str">
        <f t="shared" si="27"/>
        <v/>
      </c>
      <c r="CC44" s="6" t="str">
        <f t="shared" si="27"/>
        <v/>
      </c>
      <c r="CD44" s="6" t="str">
        <f t="shared" si="27"/>
        <v/>
      </c>
      <c r="CE44" s="6" t="str">
        <f t="shared" si="27"/>
        <v/>
      </c>
      <c r="CF44" s="6" t="str">
        <f t="shared" si="27"/>
        <v/>
      </c>
      <c r="CG44" s="6" t="str">
        <f t="shared" si="27"/>
        <v/>
      </c>
      <c r="CH44" s="6" t="str">
        <f t="shared" si="27"/>
        <v/>
      </c>
      <c r="CI44" s="34"/>
      <c r="CJ44" s="7">
        <v>-1</v>
      </c>
      <c r="CK44" s="7">
        <f ca="1">(1+P15*(N15-M15)/365)</f>
        <v>1.000133698630137</v>
      </c>
    </row>
    <row r="45" spans="1:148" ht="13.5" thickBot="1">
      <c r="B45" s="2"/>
      <c r="D45" s="11"/>
      <c r="G45" s="11"/>
      <c r="S45" s="11"/>
      <c r="T45" s="171"/>
      <c r="W45" s="6">
        <f>U333+1</f>
        <v>1</v>
      </c>
      <c r="X45" s="11">
        <f ca="1">_xll.HLV5r3.Analytics.Miscellaneous.PVFromCurve( CF_Days,CF,QZ_Nodes,W45,InterpSpace,ZeroCompFreq,Method)*10^6</f>
        <v>1.2584377984126149E-6</v>
      </c>
      <c r="Y45" s="38" t="str">
        <f t="shared" si="25"/>
        <v>1M</v>
      </c>
      <c r="Z45" s="6">
        <f t="shared" ref="Z45:BE45" ca="1" si="28">IF(Z16="","",Z16-Calc_Date)</f>
        <v>1</v>
      </c>
      <c r="AA45" s="6">
        <f t="shared" ca="1" si="28"/>
        <v>31</v>
      </c>
      <c r="AB45" s="6" t="str">
        <f t="shared" si="28"/>
        <v/>
      </c>
      <c r="AC45" s="6" t="str">
        <f t="shared" si="28"/>
        <v/>
      </c>
      <c r="AD45" s="6" t="str">
        <f t="shared" si="28"/>
        <v/>
      </c>
      <c r="AE45" s="6" t="str">
        <f t="shared" si="28"/>
        <v/>
      </c>
      <c r="AF45" s="6" t="str">
        <f t="shared" si="28"/>
        <v/>
      </c>
      <c r="AG45" s="6" t="str">
        <f t="shared" si="28"/>
        <v/>
      </c>
      <c r="AH45" s="6" t="str">
        <f t="shared" si="28"/>
        <v/>
      </c>
      <c r="AI45" s="6" t="str">
        <f t="shared" si="28"/>
        <v/>
      </c>
      <c r="AJ45" s="6" t="str">
        <f t="shared" si="28"/>
        <v/>
      </c>
      <c r="AK45" s="6" t="str">
        <f t="shared" si="28"/>
        <v/>
      </c>
      <c r="AL45" s="6" t="str">
        <f t="shared" si="28"/>
        <v/>
      </c>
      <c r="AM45" s="6" t="str">
        <f t="shared" si="28"/>
        <v/>
      </c>
      <c r="AN45" s="6" t="str">
        <f t="shared" si="28"/>
        <v/>
      </c>
      <c r="AO45" s="6" t="str">
        <f t="shared" si="28"/>
        <v/>
      </c>
      <c r="AP45" s="6" t="str">
        <f t="shared" si="28"/>
        <v/>
      </c>
      <c r="AQ45" s="6" t="str">
        <f t="shared" si="28"/>
        <v/>
      </c>
      <c r="AR45" s="6" t="str">
        <f t="shared" si="28"/>
        <v/>
      </c>
      <c r="AS45" s="6" t="str">
        <f t="shared" si="28"/>
        <v/>
      </c>
      <c r="AT45" s="6" t="str">
        <f t="shared" si="28"/>
        <v/>
      </c>
      <c r="AU45" s="6" t="str">
        <f t="shared" si="28"/>
        <v/>
      </c>
      <c r="AV45" s="6" t="str">
        <f t="shared" si="28"/>
        <v/>
      </c>
      <c r="AW45" s="6" t="str">
        <f t="shared" si="28"/>
        <v/>
      </c>
      <c r="AX45" s="6" t="str">
        <f t="shared" si="28"/>
        <v/>
      </c>
      <c r="AY45" s="6" t="str">
        <f t="shared" si="28"/>
        <v/>
      </c>
      <c r="AZ45" s="6" t="str">
        <f t="shared" si="28"/>
        <v/>
      </c>
      <c r="BA45" s="6" t="str">
        <f t="shared" si="28"/>
        <v/>
      </c>
      <c r="BB45" s="6" t="str">
        <f t="shared" si="28"/>
        <v/>
      </c>
      <c r="BC45" s="6" t="str">
        <f t="shared" si="28"/>
        <v/>
      </c>
      <c r="BD45" s="6" t="str">
        <f t="shared" si="28"/>
        <v/>
      </c>
      <c r="BE45" s="6" t="str">
        <f t="shared" si="28"/>
        <v/>
      </c>
      <c r="BF45" s="6" t="str">
        <f t="shared" ref="BF45:CH45" si="29">IF(BF16="","",BF16-Calc_Date)</f>
        <v/>
      </c>
      <c r="BG45" s="6" t="str">
        <f t="shared" si="29"/>
        <v/>
      </c>
      <c r="BH45" s="6" t="str">
        <f t="shared" si="29"/>
        <v/>
      </c>
      <c r="BI45" s="6" t="str">
        <f t="shared" si="29"/>
        <v/>
      </c>
      <c r="BJ45" s="6" t="str">
        <f t="shared" si="29"/>
        <v/>
      </c>
      <c r="BK45" s="6" t="str">
        <f t="shared" si="29"/>
        <v/>
      </c>
      <c r="BL45" s="6" t="str">
        <f t="shared" si="29"/>
        <v/>
      </c>
      <c r="BM45" s="6" t="str">
        <f t="shared" si="29"/>
        <v/>
      </c>
      <c r="BN45" s="6" t="str">
        <f t="shared" si="29"/>
        <v/>
      </c>
      <c r="BO45" s="6" t="str">
        <f t="shared" si="29"/>
        <v/>
      </c>
      <c r="BP45" s="6" t="str">
        <f t="shared" si="29"/>
        <v/>
      </c>
      <c r="BQ45" s="6" t="str">
        <f t="shared" si="29"/>
        <v/>
      </c>
      <c r="BR45" s="6" t="str">
        <f t="shared" si="29"/>
        <v/>
      </c>
      <c r="BS45" s="6" t="str">
        <f t="shared" si="29"/>
        <v/>
      </c>
      <c r="BT45" s="6" t="str">
        <f t="shared" si="29"/>
        <v/>
      </c>
      <c r="BU45" s="6" t="str">
        <f t="shared" si="29"/>
        <v/>
      </c>
      <c r="BV45" s="6" t="str">
        <f t="shared" si="29"/>
        <v/>
      </c>
      <c r="BW45" s="6" t="str">
        <f t="shared" si="29"/>
        <v/>
      </c>
      <c r="BX45" s="6" t="str">
        <f t="shared" si="29"/>
        <v/>
      </c>
      <c r="BY45" s="6" t="str">
        <f t="shared" si="29"/>
        <v/>
      </c>
      <c r="BZ45" s="6" t="str">
        <f t="shared" si="29"/>
        <v/>
      </c>
      <c r="CA45" s="6" t="str">
        <f t="shared" si="29"/>
        <v/>
      </c>
      <c r="CB45" s="6" t="str">
        <f t="shared" si="29"/>
        <v/>
      </c>
      <c r="CC45" s="6" t="str">
        <f t="shared" si="29"/>
        <v/>
      </c>
      <c r="CD45" s="6" t="str">
        <f t="shared" si="29"/>
        <v/>
      </c>
      <c r="CE45" s="6" t="str">
        <f t="shared" si="29"/>
        <v/>
      </c>
      <c r="CF45" s="6" t="str">
        <f t="shared" si="29"/>
        <v/>
      </c>
      <c r="CG45" s="6" t="str">
        <f t="shared" si="29"/>
        <v/>
      </c>
      <c r="CH45" s="6" t="str">
        <f t="shared" si="29"/>
        <v/>
      </c>
      <c r="CI45" s="34"/>
      <c r="CJ45" s="7">
        <f ca="1">-CK45/(1+P16*(N16-M16)/365)</f>
        <v>-0.99597245112913269</v>
      </c>
      <c r="CK45" s="7">
        <v>1</v>
      </c>
    </row>
    <row r="46" spans="1:148" ht="13.5" thickBot="1">
      <c r="A46" s="236" t="s">
        <v>48</v>
      </c>
      <c r="B46" s="237"/>
      <c r="C46" s="237"/>
      <c r="D46" s="237"/>
      <c r="E46" s="237"/>
      <c r="F46" s="238"/>
      <c r="S46" s="11"/>
      <c r="T46" s="171"/>
      <c r="W46" s="6">
        <f>W45+1</f>
        <v>2</v>
      </c>
      <c r="X46" s="11">
        <f ca="1">_xll.HLV5r3.Analytics.Miscellaneous.PVFromCurve( CF_Days,CF,QZ_Nodes,W46,InterpSpace,ZeroCompFreq,Method)*10^6</f>
        <v>-3.2263123219689049</v>
      </c>
      <c r="Y46" s="38" t="str">
        <f t="shared" si="25"/>
        <v>2M</v>
      </c>
      <c r="Z46" s="6">
        <f t="shared" ref="Z46:BE46" ca="1" si="30">IF(Z17="","",Z17-Calc_Date)</f>
        <v>1</v>
      </c>
      <c r="AA46" s="6">
        <f t="shared" ca="1" si="30"/>
        <v>63</v>
      </c>
      <c r="AB46" s="6" t="str">
        <f t="shared" si="30"/>
        <v/>
      </c>
      <c r="AC46" s="6" t="str">
        <f t="shared" si="30"/>
        <v/>
      </c>
      <c r="AD46" s="6" t="str">
        <f t="shared" si="30"/>
        <v/>
      </c>
      <c r="AE46" s="6" t="str">
        <f t="shared" si="30"/>
        <v/>
      </c>
      <c r="AF46" s="6" t="str">
        <f t="shared" si="30"/>
        <v/>
      </c>
      <c r="AG46" s="6" t="str">
        <f t="shared" si="30"/>
        <v/>
      </c>
      <c r="AH46" s="6" t="str">
        <f t="shared" si="30"/>
        <v/>
      </c>
      <c r="AI46" s="6" t="str">
        <f t="shared" si="30"/>
        <v/>
      </c>
      <c r="AJ46" s="6" t="str">
        <f t="shared" si="30"/>
        <v/>
      </c>
      <c r="AK46" s="6" t="str">
        <f t="shared" si="30"/>
        <v/>
      </c>
      <c r="AL46" s="6" t="str">
        <f t="shared" si="30"/>
        <v/>
      </c>
      <c r="AM46" s="6" t="str">
        <f t="shared" si="30"/>
        <v/>
      </c>
      <c r="AN46" s="6" t="str">
        <f t="shared" si="30"/>
        <v/>
      </c>
      <c r="AO46" s="6" t="str">
        <f t="shared" si="30"/>
        <v/>
      </c>
      <c r="AP46" s="6" t="str">
        <f t="shared" si="30"/>
        <v/>
      </c>
      <c r="AQ46" s="6" t="str">
        <f t="shared" si="30"/>
        <v/>
      </c>
      <c r="AR46" s="6" t="str">
        <f t="shared" si="30"/>
        <v/>
      </c>
      <c r="AS46" s="6" t="str">
        <f t="shared" si="30"/>
        <v/>
      </c>
      <c r="AT46" s="6" t="str">
        <f t="shared" si="30"/>
        <v/>
      </c>
      <c r="AU46" s="6" t="str">
        <f t="shared" si="30"/>
        <v/>
      </c>
      <c r="AV46" s="6" t="str">
        <f t="shared" si="30"/>
        <v/>
      </c>
      <c r="AW46" s="6" t="str">
        <f t="shared" si="30"/>
        <v/>
      </c>
      <c r="AX46" s="6" t="str">
        <f t="shared" si="30"/>
        <v/>
      </c>
      <c r="AY46" s="6" t="str">
        <f t="shared" si="30"/>
        <v/>
      </c>
      <c r="AZ46" s="6" t="str">
        <f t="shared" si="30"/>
        <v/>
      </c>
      <c r="BA46" s="6" t="str">
        <f t="shared" si="30"/>
        <v/>
      </c>
      <c r="BB46" s="6" t="str">
        <f t="shared" si="30"/>
        <v/>
      </c>
      <c r="BC46" s="6" t="str">
        <f t="shared" si="30"/>
        <v/>
      </c>
      <c r="BD46" s="6" t="str">
        <f t="shared" si="30"/>
        <v/>
      </c>
      <c r="BE46" s="6" t="str">
        <f t="shared" si="30"/>
        <v/>
      </c>
      <c r="BF46" s="6" t="str">
        <f t="shared" ref="BF46:CH46" si="31">IF(BF17="","",BF17-Calc_Date)</f>
        <v/>
      </c>
      <c r="BG46" s="6" t="str">
        <f t="shared" si="31"/>
        <v/>
      </c>
      <c r="BH46" s="6" t="str">
        <f t="shared" si="31"/>
        <v/>
      </c>
      <c r="BI46" s="6" t="str">
        <f t="shared" si="31"/>
        <v/>
      </c>
      <c r="BJ46" s="6" t="str">
        <f t="shared" si="31"/>
        <v/>
      </c>
      <c r="BK46" s="6" t="str">
        <f t="shared" si="31"/>
        <v/>
      </c>
      <c r="BL46" s="6" t="str">
        <f t="shared" si="31"/>
        <v/>
      </c>
      <c r="BM46" s="6" t="str">
        <f t="shared" si="31"/>
        <v/>
      </c>
      <c r="BN46" s="6" t="str">
        <f t="shared" si="31"/>
        <v/>
      </c>
      <c r="BO46" s="6" t="str">
        <f t="shared" si="31"/>
        <v/>
      </c>
      <c r="BP46" s="6" t="str">
        <f t="shared" si="31"/>
        <v/>
      </c>
      <c r="BQ46" s="6" t="str">
        <f t="shared" si="31"/>
        <v/>
      </c>
      <c r="BR46" s="6" t="str">
        <f t="shared" si="31"/>
        <v/>
      </c>
      <c r="BS46" s="6" t="str">
        <f t="shared" si="31"/>
        <v/>
      </c>
      <c r="BT46" s="6" t="str">
        <f t="shared" si="31"/>
        <v/>
      </c>
      <c r="BU46" s="6" t="str">
        <f t="shared" si="31"/>
        <v/>
      </c>
      <c r="BV46" s="6" t="str">
        <f t="shared" si="31"/>
        <v/>
      </c>
      <c r="BW46" s="6" t="str">
        <f t="shared" si="31"/>
        <v/>
      </c>
      <c r="BX46" s="6" t="str">
        <f t="shared" si="31"/>
        <v/>
      </c>
      <c r="BY46" s="6" t="str">
        <f t="shared" si="31"/>
        <v/>
      </c>
      <c r="BZ46" s="6" t="str">
        <f t="shared" si="31"/>
        <v/>
      </c>
      <c r="CA46" s="6" t="str">
        <f t="shared" si="31"/>
        <v/>
      </c>
      <c r="CB46" s="6" t="str">
        <f t="shared" si="31"/>
        <v/>
      </c>
      <c r="CC46" s="6" t="str">
        <f t="shared" si="31"/>
        <v/>
      </c>
      <c r="CD46" s="6" t="str">
        <f t="shared" si="31"/>
        <v/>
      </c>
      <c r="CE46" s="6" t="str">
        <f t="shared" si="31"/>
        <v/>
      </c>
      <c r="CF46" s="6" t="str">
        <f t="shared" si="31"/>
        <v/>
      </c>
      <c r="CG46" s="6" t="str">
        <f t="shared" si="31"/>
        <v/>
      </c>
      <c r="CH46" s="6" t="str">
        <f t="shared" si="31"/>
        <v/>
      </c>
      <c r="CI46" s="34"/>
      <c r="CJ46" s="7">
        <f ca="1">-CK46/(1+P17*(N17-M17)/365)</f>
        <v>-0.99164518554904002</v>
      </c>
      <c r="CK46" s="7">
        <v>1</v>
      </c>
    </row>
    <row r="47" spans="1:148" ht="13.5" thickBot="1">
      <c r="A47" s="16" t="s">
        <v>61</v>
      </c>
      <c r="B47" s="30" t="s">
        <v>41</v>
      </c>
      <c r="C47" s="101" t="s">
        <v>42</v>
      </c>
      <c r="D47" s="101" t="s">
        <v>29</v>
      </c>
      <c r="E47" s="101" t="s">
        <v>43</v>
      </c>
      <c r="F47" s="102" t="s">
        <v>45</v>
      </c>
      <c r="G47" s="71" t="s">
        <v>49</v>
      </c>
      <c r="S47" s="11"/>
      <c r="T47" s="171"/>
      <c r="W47" s="6">
        <f t="shared" ref="W47:W68" si="32">W46+1</f>
        <v>3</v>
      </c>
      <c r="X47" s="11">
        <f ca="1">_xll.HLV5r3.Analytics.Miscellaneous.PVFromCurve( CF_Days,CF,QZ_Nodes,W47,InterpSpace,ZeroCompFreq,Method)*10^6</f>
        <v>6.2649885279597584E-7</v>
      </c>
      <c r="Y47" s="38" t="str">
        <f t="shared" si="25"/>
        <v>3M</v>
      </c>
      <c r="Z47" s="6">
        <f t="shared" ref="Z47:BE47" ca="1" si="33">IF(Z18="","",Z18-Calc_Date)</f>
        <v>1</v>
      </c>
      <c r="AA47" s="6">
        <f t="shared" ca="1" si="33"/>
        <v>93</v>
      </c>
      <c r="AB47" s="6" t="str">
        <f t="shared" si="33"/>
        <v/>
      </c>
      <c r="AC47" s="6" t="str">
        <f t="shared" si="33"/>
        <v/>
      </c>
      <c r="AD47" s="6" t="str">
        <f t="shared" si="33"/>
        <v/>
      </c>
      <c r="AE47" s="6" t="str">
        <f t="shared" si="33"/>
        <v/>
      </c>
      <c r="AF47" s="6" t="str">
        <f t="shared" si="33"/>
        <v/>
      </c>
      <c r="AG47" s="6" t="str">
        <f t="shared" si="33"/>
        <v/>
      </c>
      <c r="AH47" s="6" t="str">
        <f t="shared" si="33"/>
        <v/>
      </c>
      <c r="AI47" s="6" t="str">
        <f t="shared" si="33"/>
        <v/>
      </c>
      <c r="AJ47" s="6" t="str">
        <f t="shared" si="33"/>
        <v/>
      </c>
      <c r="AK47" s="6" t="str">
        <f t="shared" si="33"/>
        <v/>
      </c>
      <c r="AL47" s="6" t="str">
        <f t="shared" si="33"/>
        <v/>
      </c>
      <c r="AM47" s="6" t="str">
        <f t="shared" si="33"/>
        <v/>
      </c>
      <c r="AN47" s="6" t="str">
        <f t="shared" si="33"/>
        <v/>
      </c>
      <c r="AO47" s="6" t="str">
        <f t="shared" si="33"/>
        <v/>
      </c>
      <c r="AP47" s="6" t="str">
        <f t="shared" si="33"/>
        <v/>
      </c>
      <c r="AQ47" s="6" t="str">
        <f t="shared" si="33"/>
        <v/>
      </c>
      <c r="AR47" s="6" t="str">
        <f t="shared" si="33"/>
        <v/>
      </c>
      <c r="AS47" s="6" t="str">
        <f t="shared" si="33"/>
        <v/>
      </c>
      <c r="AT47" s="6" t="str">
        <f t="shared" si="33"/>
        <v/>
      </c>
      <c r="AU47" s="6" t="str">
        <f t="shared" si="33"/>
        <v/>
      </c>
      <c r="AV47" s="6" t="str">
        <f t="shared" si="33"/>
        <v/>
      </c>
      <c r="AW47" s="6" t="str">
        <f t="shared" si="33"/>
        <v/>
      </c>
      <c r="AX47" s="6" t="str">
        <f t="shared" si="33"/>
        <v/>
      </c>
      <c r="AY47" s="6" t="str">
        <f t="shared" si="33"/>
        <v/>
      </c>
      <c r="AZ47" s="6" t="str">
        <f t="shared" si="33"/>
        <v/>
      </c>
      <c r="BA47" s="6" t="str">
        <f t="shared" si="33"/>
        <v/>
      </c>
      <c r="BB47" s="6" t="str">
        <f t="shared" si="33"/>
        <v/>
      </c>
      <c r="BC47" s="6" t="str">
        <f t="shared" si="33"/>
        <v/>
      </c>
      <c r="BD47" s="6" t="str">
        <f t="shared" si="33"/>
        <v/>
      </c>
      <c r="BE47" s="6" t="str">
        <f t="shared" si="33"/>
        <v/>
      </c>
      <c r="BF47" s="6" t="str">
        <f t="shared" ref="BF47:CH47" si="34">IF(BF18="","",BF18-Calc_Date)</f>
        <v/>
      </c>
      <c r="BG47" s="6" t="str">
        <f t="shared" si="34"/>
        <v/>
      </c>
      <c r="BH47" s="6" t="str">
        <f t="shared" si="34"/>
        <v/>
      </c>
      <c r="BI47" s="6" t="str">
        <f t="shared" si="34"/>
        <v/>
      </c>
      <c r="BJ47" s="6" t="str">
        <f t="shared" si="34"/>
        <v/>
      </c>
      <c r="BK47" s="6" t="str">
        <f t="shared" si="34"/>
        <v/>
      </c>
      <c r="BL47" s="6" t="str">
        <f t="shared" si="34"/>
        <v/>
      </c>
      <c r="BM47" s="6" t="str">
        <f t="shared" si="34"/>
        <v/>
      </c>
      <c r="BN47" s="6" t="str">
        <f t="shared" si="34"/>
        <v/>
      </c>
      <c r="BO47" s="6" t="str">
        <f t="shared" si="34"/>
        <v/>
      </c>
      <c r="BP47" s="6" t="str">
        <f t="shared" si="34"/>
        <v/>
      </c>
      <c r="BQ47" s="6" t="str">
        <f t="shared" si="34"/>
        <v/>
      </c>
      <c r="BR47" s="6" t="str">
        <f t="shared" si="34"/>
        <v/>
      </c>
      <c r="BS47" s="6" t="str">
        <f t="shared" si="34"/>
        <v/>
      </c>
      <c r="BT47" s="6" t="str">
        <f t="shared" si="34"/>
        <v/>
      </c>
      <c r="BU47" s="6" t="str">
        <f t="shared" si="34"/>
        <v/>
      </c>
      <c r="BV47" s="6" t="str">
        <f t="shared" si="34"/>
        <v/>
      </c>
      <c r="BW47" s="6" t="str">
        <f t="shared" si="34"/>
        <v/>
      </c>
      <c r="BX47" s="6" t="str">
        <f t="shared" si="34"/>
        <v/>
      </c>
      <c r="BY47" s="6" t="str">
        <f t="shared" si="34"/>
        <v/>
      </c>
      <c r="BZ47" s="6" t="str">
        <f t="shared" si="34"/>
        <v/>
      </c>
      <c r="CA47" s="6" t="str">
        <f t="shared" si="34"/>
        <v/>
      </c>
      <c r="CB47" s="6" t="str">
        <f t="shared" si="34"/>
        <v/>
      </c>
      <c r="CC47" s="6" t="str">
        <f t="shared" si="34"/>
        <v/>
      </c>
      <c r="CD47" s="6" t="str">
        <f t="shared" si="34"/>
        <v/>
      </c>
      <c r="CE47" s="6" t="str">
        <f t="shared" si="34"/>
        <v/>
      </c>
      <c r="CF47" s="6" t="str">
        <f t="shared" si="34"/>
        <v/>
      </c>
      <c r="CG47" s="6" t="str">
        <f t="shared" si="34"/>
        <v/>
      </c>
      <c r="CH47" s="6" t="str">
        <f t="shared" si="34"/>
        <v/>
      </c>
      <c r="CI47" s="34"/>
      <c r="CJ47" s="7">
        <f ca="1">-CK47/(1+P18*(N18-M18)/365)</f>
        <v>-0.98750495105222036</v>
      </c>
      <c r="CK47" s="7">
        <v>1</v>
      </c>
    </row>
    <row r="48" spans="1:148">
      <c r="A48" s="1">
        <v>0</v>
      </c>
      <c r="B48" s="4">
        <f ca="1">N15</f>
        <v>43641</v>
      </c>
      <c r="C48" s="58">
        <f ca="1">_xll.HLV5r3.Analytics.Miscellaneous.LinearInterp(QZ_Nodes,B48-Calc_Date,1,2)</f>
        <v>4.9095581364560832E-2</v>
      </c>
      <c r="D48" s="59">
        <f ca="1">_xll.HLV5r3.Analytics.Miscellaneous.Zero2DF( C48,4,(B48-Calc_Date)/365)</f>
        <v>0.99986631927231562</v>
      </c>
      <c r="E48" s="60"/>
      <c r="F48" s="60"/>
      <c r="S48" s="11"/>
      <c r="T48" s="171"/>
      <c r="W48" s="6">
        <f t="shared" si="32"/>
        <v>4</v>
      </c>
      <c r="X48" s="11">
        <f ca="1">_xll.HLV5r3.Analytics.Miscellaneous.PVFromCurve( CF_Days,CF,QZ_Nodes,W48,InterpSpace,ZeroCompFreq,Method)*10^6</f>
        <v>363.74000166894405</v>
      </c>
      <c r="Y48" s="38" t="str">
        <f t="shared" si="25"/>
        <v>Jun-11</v>
      </c>
      <c r="Z48" s="6">
        <f t="shared" ref="Z48:BE48" ca="1" si="35">IF(Z19="","",Z19-Calc_Date)</f>
        <v>-2936</v>
      </c>
      <c r="AA48" s="6">
        <f t="shared" ca="1" si="35"/>
        <v>-2846</v>
      </c>
      <c r="AB48" s="6" t="str">
        <f t="shared" si="35"/>
        <v/>
      </c>
      <c r="AC48" s="6" t="str">
        <f t="shared" si="35"/>
        <v/>
      </c>
      <c r="AD48" s="6" t="str">
        <f t="shared" si="35"/>
        <v/>
      </c>
      <c r="AE48" s="6" t="str">
        <f t="shared" si="35"/>
        <v/>
      </c>
      <c r="AF48" s="6" t="str">
        <f t="shared" si="35"/>
        <v/>
      </c>
      <c r="AG48" s="6" t="str">
        <f t="shared" si="35"/>
        <v/>
      </c>
      <c r="AH48" s="6" t="str">
        <f t="shared" si="35"/>
        <v/>
      </c>
      <c r="AI48" s="6" t="str">
        <f t="shared" si="35"/>
        <v/>
      </c>
      <c r="AJ48" s="6" t="str">
        <f t="shared" si="35"/>
        <v/>
      </c>
      <c r="AK48" s="6" t="str">
        <f t="shared" si="35"/>
        <v/>
      </c>
      <c r="AL48" s="6" t="str">
        <f t="shared" si="35"/>
        <v/>
      </c>
      <c r="AM48" s="6" t="str">
        <f t="shared" si="35"/>
        <v/>
      </c>
      <c r="AN48" s="6" t="str">
        <f t="shared" si="35"/>
        <v/>
      </c>
      <c r="AO48" s="6" t="str">
        <f t="shared" si="35"/>
        <v/>
      </c>
      <c r="AP48" s="6" t="str">
        <f t="shared" si="35"/>
        <v/>
      </c>
      <c r="AQ48" s="6" t="str">
        <f t="shared" si="35"/>
        <v/>
      </c>
      <c r="AR48" s="6" t="str">
        <f t="shared" si="35"/>
        <v/>
      </c>
      <c r="AS48" s="6" t="str">
        <f t="shared" si="35"/>
        <v/>
      </c>
      <c r="AT48" s="6" t="str">
        <f t="shared" si="35"/>
        <v/>
      </c>
      <c r="AU48" s="6" t="str">
        <f t="shared" si="35"/>
        <v/>
      </c>
      <c r="AV48" s="6" t="str">
        <f t="shared" si="35"/>
        <v/>
      </c>
      <c r="AW48" s="6" t="str">
        <f t="shared" si="35"/>
        <v/>
      </c>
      <c r="AX48" s="6" t="str">
        <f t="shared" si="35"/>
        <v/>
      </c>
      <c r="AY48" s="6" t="str">
        <f t="shared" si="35"/>
        <v/>
      </c>
      <c r="AZ48" s="6" t="str">
        <f t="shared" si="35"/>
        <v/>
      </c>
      <c r="BA48" s="6" t="str">
        <f t="shared" si="35"/>
        <v/>
      </c>
      <c r="BB48" s="6" t="str">
        <f t="shared" si="35"/>
        <v/>
      </c>
      <c r="BC48" s="6" t="str">
        <f t="shared" si="35"/>
        <v/>
      </c>
      <c r="BD48" s="6" t="str">
        <f t="shared" si="35"/>
        <v/>
      </c>
      <c r="BE48" s="6" t="str">
        <f t="shared" si="35"/>
        <v/>
      </c>
      <c r="BF48" s="6" t="str">
        <f t="shared" ref="BF48:CH48" si="36">IF(BF19="","",BF19-Calc_Date)</f>
        <v/>
      </c>
      <c r="BG48" s="6" t="str">
        <f t="shared" si="36"/>
        <v/>
      </c>
      <c r="BH48" s="6" t="str">
        <f t="shared" si="36"/>
        <v/>
      </c>
      <c r="BI48" s="6" t="str">
        <f t="shared" si="36"/>
        <v/>
      </c>
      <c r="BJ48" s="6" t="str">
        <f t="shared" si="36"/>
        <v/>
      </c>
      <c r="BK48" s="6" t="str">
        <f t="shared" si="36"/>
        <v/>
      </c>
      <c r="BL48" s="6" t="str">
        <f t="shared" si="36"/>
        <v/>
      </c>
      <c r="BM48" s="6" t="str">
        <f t="shared" si="36"/>
        <v/>
      </c>
      <c r="BN48" s="6" t="str">
        <f t="shared" si="36"/>
        <v/>
      </c>
      <c r="BO48" s="6" t="str">
        <f t="shared" si="36"/>
        <v/>
      </c>
      <c r="BP48" s="6" t="str">
        <f t="shared" si="36"/>
        <v/>
      </c>
      <c r="BQ48" s="6" t="str">
        <f t="shared" si="36"/>
        <v/>
      </c>
      <c r="BR48" s="6" t="str">
        <f t="shared" si="36"/>
        <v/>
      </c>
      <c r="BS48" s="6" t="str">
        <f t="shared" si="36"/>
        <v/>
      </c>
      <c r="BT48" s="6" t="str">
        <f t="shared" si="36"/>
        <v/>
      </c>
      <c r="BU48" s="6" t="str">
        <f t="shared" si="36"/>
        <v/>
      </c>
      <c r="BV48" s="6" t="str">
        <f t="shared" si="36"/>
        <v/>
      </c>
      <c r="BW48" s="6" t="str">
        <f t="shared" si="36"/>
        <v/>
      </c>
      <c r="BX48" s="6" t="str">
        <f t="shared" si="36"/>
        <v/>
      </c>
      <c r="BY48" s="6" t="str">
        <f t="shared" si="36"/>
        <v/>
      </c>
      <c r="BZ48" s="6" t="str">
        <f t="shared" si="36"/>
        <v/>
      </c>
      <c r="CA48" s="6" t="str">
        <f t="shared" si="36"/>
        <v/>
      </c>
      <c r="CB48" s="6" t="str">
        <f t="shared" si="36"/>
        <v/>
      </c>
      <c r="CC48" s="6" t="str">
        <f t="shared" si="36"/>
        <v/>
      </c>
      <c r="CD48" s="6" t="str">
        <f t="shared" si="36"/>
        <v/>
      </c>
      <c r="CE48" s="6" t="str">
        <f t="shared" si="36"/>
        <v/>
      </c>
      <c r="CF48" s="6" t="str">
        <f t="shared" si="36"/>
        <v/>
      </c>
      <c r="CG48" s="6" t="str">
        <f t="shared" si="36"/>
        <v/>
      </c>
      <c r="CH48" s="6" t="str">
        <f t="shared" si="36"/>
        <v/>
      </c>
      <c r="CI48" s="34"/>
      <c r="CJ48" s="7">
        <f t="shared" ref="CJ48:CJ55" ca="1" si="37">-CK48/(1+(100-P19)/100*(N19-M19)/365)</f>
        <v>-0.987794371571037</v>
      </c>
      <c r="CK48" s="7">
        <v>1</v>
      </c>
    </row>
    <row r="49" spans="1:148">
      <c r="A49" s="1">
        <v>1</v>
      </c>
      <c r="B49" s="4">
        <f ca="1">_xll.HLV5r3.Analytics.Miscellaneous.DateRoll($B$48,A49*3,"M","MF",Holidays)</f>
        <v>43733</v>
      </c>
      <c r="C49" s="58">
        <f ca="1">_xll.HLV5r3.Analytics.Miscellaneous.LinearInterp(QZ_Nodes,B49-Calc_Date,1,2)</f>
        <v>5.0185572513157334E-2</v>
      </c>
      <c r="D49" s="59">
        <f ca="1">_xll.HLV5r3.Analytics.Miscellaneous.Zero2DF( C49,4,(B49-Calc_Date)/365)</f>
        <v>0.98737294067239822</v>
      </c>
      <c r="E49" s="59">
        <f t="shared" ref="E49:E56" ca="1" si="38">(B49-B48)/365</f>
        <v>0.25205479452054796</v>
      </c>
      <c r="F49" s="58">
        <f ca="1">($D$48-D49)/SUMPRODUCT(D$49:D49,E$49:E49)</f>
        <v>5.0199999997450902E-2</v>
      </c>
      <c r="G49" s="11">
        <f ca="1">SUMPRODUCT(E$49:E49,D$49:D49)*10^6*0.0001</f>
        <v>24.887208367633054</v>
      </c>
      <c r="S49" s="11"/>
      <c r="T49" s="171"/>
      <c r="W49" s="6">
        <f t="shared" si="32"/>
        <v>5</v>
      </c>
      <c r="X49" s="11">
        <f ca="1">_xll.HLV5r3.Analytics.Miscellaneous.PVFromCurve( CF_Days,CF,QZ_Nodes,W49,InterpSpace,ZeroCompFreq,Method)*10^6</f>
        <v>-205.98168739049959</v>
      </c>
      <c r="Y49" s="38" t="str">
        <f t="shared" si="25"/>
        <v>Sep-11</v>
      </c>
      <c r="Z49" s="6">
        <f t="shared" ref="Z49:BE49" ca="1" si="39">IF(Z20="","",Z20-Calc_Date)</f>
        <v>-2845</v>
      </c>
      <c r="AA49" s="6">
        <f t="shared" ca="1" si="39"/>
        <v>-2755</v>
      </c>
      <c r="AB49" s="6" t="str">
        <f t="shared" si="39"/>
        <v/>
      </c>
      <c r="AC49" s="6" t="str">
        <f t="shared" si="39"/>
        <v/>
      </c>
      <c r="AD49" s="6" t="str">
        <f t="shared" si="39"/>
        <v/>
      </c>
      <c r="AE49" s="6" t="str">
        <f t="shared" si="39"/>
        <v/>
      </c>
      <c r="AF49" s="6" t="str">
        <f t="shared" si="39"/>
        <v/>
      </c>
      <c r="AG49" s="6" t="str">
        <f t="shared" si="39"/>
        <v/>
      </c>
      <c r="AH49" s="6" t="str">
        <f t="shared" si="39"/>
        <v/>
      </c>
      <c r="AI49" s="6" t="str">
        <f t="shared" si="39"/>
        <v/>
      </c>
      <c r="AJ49" s="6" t="str">
        <f t="shared" si="39"/>
        <v/>
      </c>
      <c r="AK49" s="6" t="str">
        <f t="shared" si="39"/>
        <v/>
      </c>
      <c r="AL49" s="6" t="str">
        <f t="shared" si="39"/>
        <v/>
      </c>
      <c r="AM49" s="6" t="str">
        <f t="shared" si="39"/>
        <v/>
      </c>
      <c r="AN49" s="6" t="str">
        <f t="shared" si="39"/>
        <v/>
      </c>
      <c r="AO49" s="6" t="str">
        <f t="shared" si="39"/>
        <v/>
      </c>
      <c r="AP49" s="6" t="str">
        <f t="shared" si="39"/>
        <v/>
      </c>
      <c r="AQ49" s="6" t="str">
        <f t="shared" si="39"/>
        <v/>
      </c>
      <c r="AR49" s="6" t="str">
        <f t="shared" si="39"/>
        <v/>
      </c>
      <c r="AS49" s="6" t="str">
        <f t="shared" si="39"/>
        <v/>
      </c>
      <c r="AT49" s="6" t="str">
        <f t="shared" si="39"/>
        <v/>
      </c>
      <c r="AU49" s="6" t="str">
        <f t="shared" si="39"/>
        <v/>
      </c>
      <c r="AV49" s="6" t="str">
        <f t="shared" si="39"/>
        <v/>
      </c>
      <c r="AW49" s="6" t="str">
        <f t="shared" si="39"/>
        <v/>
      </c>
      <c r="AX49" s="6" t="str">
        <f t="shared" si="39"/>
        <v/>
      </c>
      <c r="AY49" s="6" t="str">
        <f t="shared" si="39"/>
        <v/>
      </c>
      <c r="AZ49" s="6" t="str">
        <f t="shared" si="39"/>
        <v/>
      </c>
      <c r="BA49" s="6" t="str">
        <f t="shared" si="39"/>
        <v/>
      </c>
      <c r="BB49" s="6" t="str">
        <f t="shared" si="39"/>
        <v/>
      </c>
      <c r="BC49" s="6" t="str">
        <f t="shared" si="39"/>
        <v/>
      </c>
      <c r="BD49" s="6" t="str">
        <f t="shared" si="39"/>
        <v/>
      </c>
      <c r="BE49" s="6" t="str">
        <f t="shared" si="39"/>
        <v/>
      </c>
      <c r="BF49" s="6" t="str">
        <f t="shared" ref="BF49:CH49" si="40">IF(BF20="","",BF20-Calc_Date)</f>
        <v/>
      </c>
      <c r="BG49" s="6" t="str">
        <f t="shared" si="40"/>
        <v/>
      </c>
      <c r="BH49" s="6" t="str">
        <f t="shared" si="40"/>
        <v/>
      </c>
      <c r="BI49" s="6" t="str">
        <f t="shared" si="40"/>
        <v/>
      </c>
      <c r="BJ49" s="6" t="str">
        <f t="shared" si="40"/>
        <v/>
      </c>
      <c r="BK49" s="6" t="str">
        <f t="shared" si="40"/>
        <v/>
      </c>
      <c r="BL49" s="6" t="str">
        <f t="shared" si="40"/>
        <v/>
      </c>
      <c r="BM49" s="6" t="str">
        <f t="shared" si="40"/>
        <v/>
      </c>
      <c r="BN49" s="6" t="str">
        <f t="shared" si="40"/>
        <v/>
      </c>
      <c r="BO49" s="6" t="str">
        <f t="shared" si="40"/>
        <v/>
      </c>
      <c r="BP49" s="6" t="str">
        <f t="shared" si="40"/>
        <v/>
      </c>
      <c r="BQ49" s="6" t="str">
        <f t="shared" si="40"/>
        <v/>
      </c>
      <c r="BR49" s="6" t="str">
        <f t="shared" si="40"/>
        <v/>
      </c>
      <c r="BS49" s="6" t="str">
        <f t="shared" si="40"/>
        <v/>
      </c>
      <c r="BT49" s="6" t="str">
        <f t="shared" si="40"/>
        <v/>
      </c>
      <c r="BU49" s="6" t="str">
        <f t="shared" si="40"/>
        <v/>
      </c>
      <c r="BV49" s="6" t="str">
        <f t="shared" si="40"/>
        <v/>
      </c>
      <c r="BW49" s="6" t="str">
        <f t="shared" si="40"/>
        <v/>
      </c>
      <c r="BX49" s="6" t="str">
        <f t="shared" si="40"/>
        <v/>
      </c>
      <c r="BY49" s="6" t="str">
        <f t="shared" si="40"/>
        <v/>
      </c>
      <c r="BZ49" s="6" t="str">
        <f t="shared" si="40"/>
        <v/>
      </c>
      <c r="CA49" s="6" t="str">
        <f t="shared" si="40"/>
        <v/>
      </c>
      <c r="CB49" s="6" t="str">
        <f t="shared" si="40"/>
        <v/>
      </c>
      <c r="CC49" s="6" t="str">
        <f t="shared" si="40"/>
        <v/>
      </c>
      <c r="CD49" s="6" t="str">
        <f t="shared" si="40"/>
        <v/>
      </c>
      <c r="CE49" s="6" t="str">
        <f t="shared" si="40"/>
        <v/>
      </c>
      <c r="CF49" s="6" t="str">
        <f t="shared" si="40"/>
        <v/>
      </c>
      <c r="CG49" s="6" t="str">
        <f t="shared" si="40"/>
        <v/>
      </c>
      <c r="CH49" s="6" t="str">
        <f t="shared" si="40"/>
        <v/>
      </c>
      <c r="CI49" s="34"/>
      <c r="CJ49" s="7">
        <f t="shared" ca="1" si="37"/>
        <v>-0.98818084021253183</v>
      </c>
      <c r="CK49" s="7">
        <v>1</v>
      </c>
    </row>
    <row r="50" spans="1:148">
      <c r="A50" s="1">
        <f t="shared" ref="A50:A56" si="41">A49+1</f>
        <v>2</v>
      </c>
      <c r="B50" s="4">
        <f ca="1">_xll.HLV5r3.Analytics.Miscellaneous.DateRoll($B$48,A50*3,"M","MF",Holidays)</f>
        <v>43826</v>
      </c>
      <c r="C50" s="58">
        <f ca="1">_xll.HLV5r3.Analytics.Miscellaneous.LinearInterp(QZ_Nodes,B50-Calc_Date,1,2)</f>
        <v>5.0682672264327787E-2</v>
      </c>
      <c r="D50" s="59">
        <f ca="1">_xll.HLV5r3.Analytics.Miscellaneous.Zero2DF( C50,4,(B50-Calc_Date)/365)</f>
        <v>0.97466146981392099</v>
      </c>
      <c r="E50" s="59">
        <f t="shared" ca="1" si="38"/>
        <v>0.25479452054794521</v>
      </c>
      <c r="F50" s="58">
        <f ca="1">($D$48-D50)/SUMPRODUCT(D$49:D50,E$49:E50)</f>
        <v>5.0692513914486002E-2</v>
      </c>
      <c r="G50" s="11">
        <f ca="1">SUMPRODUCT(E$49:E50,D$49:D50)*10^6*0.0001</f>
        <v>49.721048557412409</v>
      </c>
      <c r="S50" s="11"/>
      <c r="T50" s="171"/>
      <c r="W50" s="6">
        <f t="shared" si="32"/>
        <v>6</v>
      </c>
      <c r="X50" s="11">
        <f ca="1">_xll.HLV5r3.Analytics.Miscellaneous.PVFromCurve( CF_Days,CF,QZ_Nodes,W50,InterpSpace,ZeroCompFreq,Method)*10^6</f>
        <v>196.89945009560006</v>
      </c>
      <c r="Y50" s="38" t="str">
        <f t="shared" si="25"/>
        <v>Dec-11</v>
      </c>
      <c r="Z50" s="6">
        <f t="shared" ref="Z50:BE50" ca="1" si="42">IF(Z21="","",Z21-Calc_Date)</f>
        <v>-2754</v>
      </c>
      <c r="AA50" s="6">
        <f t="shared" ca="1" si="42"/>
        <v>-2664</v>
      </c>
      <c r="AB50" s="6" t="str">
        <f t="shared" si="42"/>
        <v/>
      </c>
      <c r="AC50" s="6" t="str">
        <f t="shared" si="42"/>
        <v/>
      </c>
      <c r="AD50" s="6" t="str">
        <f t="shared" si="42"/>
        <v/>
      </c>
      <c r="AE50" s="6" t="str">
        <f t="shared" si="42"/>
        <v/>
      </c>
      <c r="AF50" s="6" t="str">
        <f t="shared" si="42"/>
        <v/>
      </c>
      <c r="AG50" s="6" t="str">
        <f t="shared" si="42"/>
        <v/>
      </c>
      <c r="AH50" s="6" t="str">
        <f t="shared" si="42"/>
        <v/>
      </c>
      <c r="AI50" s="6" t="str">
        <f t="shared" si="42"/>
        <v/>
      </c>
      <c r="AJ50" s="6" t="str">
        <f t="shared" si="42"/>
        <v/>
      </c>
      <c r="AK50" s="6" t="str">
        <f t="shared" si="42"/>
        <v/>
      </c>
      <c r="AL50" s="6" t="str">
        <f t="shared" si="42"/>
        <v/>
      </c>
      <c r="AM50" s="6" t="str">
        <f t="shared" si="42"/>
        <v/>
      </c>
      <c r="AN50" s="6" t="str">
        <f t="shared" si="42"/>
        <v/>
      </c>
      <c r="AO50" s="6" t="str">
        <f t="shared" si="42"/>
        <v/>
      </c>
      <c r="AP50" s="6" t="str">
        <f t="shared" si="42"/>
        <v/>
      </c>
      <c r="AQ50" s="6" t="str">
        <f t="shared" si="42"/>
        <v/>
      </c>
      <c r="AR50" s="6" t="str">
        <f t="shared" si="42"/>
        <v/>
      </c>
      <c r="AS50" s="6" t="str">
        <f t="shared" si="42"/>
        <v/>
      </c>
      <c r="AT50" s="6" t="str">
        <f t="shared" si="42"/>
        <v/>
      </c>
      <c r="AU50" s="6" t="str">
        <f t="shared" si="42"/>
        <v/>
      </c>
      <c r="AV50" s="6" t="str">
        <f t="shared" si="42"/>
        <v/>
      </c>
      <c r="AW50" s="6" t="str">
        <f t="shared" si="42"/>
        <v/>
      </c>
      <c r="AX50" s="6" t="str">
        <f t="shared" si="42"/>
        <v/>
      </c>
      <c r="AY50" s="6" t="str">
        <f t="shared" si="42"/>
        <v/>
      </c>
      <c r="AZ50" s="6" t="str">
        <f t="shared" si="42"/>
        <v/>
      </c>
      <c r="BA50" s="6" t="str">
        <f t="shared" si="42"/>
        <v/>
      </c>
      <c r="BB50" s="6" t="str">
        <f t="shared" si="42"/>
        <v/>
      </c>
      <c r="BC50" s="6" t="str">
        <f t="shared" si="42"/>
        <v/>
      </c>
      <c r="BD50" s="6" t="str">
        <f t="shared" si="42"/>
        <v/>
      </c>
      <c r="BE50" s="6" t="str">
        <f t="shared" si="42"/>
        <v/>
      </c>
      <c r="BF50" s="6" t="str">
        <f t="shared" ref="BF50:CH50" si="43">IF(BF21="","",BF21-Calc_Date)</f>
        <v/>
      </c>
      <c r="BG50" s="6" t="str">
        <f t="shared" si="43"/>
        <v/>
      </c>
      <c r="BH50" s="6" t="str">
        <f t="shared" si="43"/>
        <v/>
      </c>
      <c r="BI50" s="6" t="str">
        <f t="shared" si="43"/>
        <v/>
      </c>
      <c r="BJ50" s="6" t="str">
        <f t="shared" si="43"/>
        <v/>
      </c>
      <c r="BK50" s="6" t="str">
        <f t="shared" si="43"/>
        <v/>
      </c>
      <c r="BL50" s="6" t="str">
        <f t="shared" si="43"/>
        <v/>
      </c>
      <c r="BM50" s="6" t="str">
        <f t="shared" si="43"/>
        <v/>
      </c>
      <c r="BN50" s="6" t="str">
        <f t="shared" si="43"/>
        <v/>
      </c>
      <c r="BO50" s="6" t="str">
        <f t="shared" si="43"/>
        <v/>
      </c>
      <c r="BP50" s="6" t="str">
        <f t="shared" si="43"/>
        <v/>
      </c>
      <c r="BQ50" s="6" t="str">
        <f t="shared" si="43"/>
        <v/>
      </c>
      <c r="BR50" s="6" t="str">
        <f t="shared" si="43"/>
        <v/>
      </c>
      <c r="BS50" s="6" t="str">
        <f t="shared" si="43"/>
        <v/>
      </c>
      <c r="BT50" s="6" t="str">
        <f t="shared" si="43"/>
        <v/>
      </c>
      <c r="BU50" s="6" t="str">
        <f t="shared" si="43"/>
        <v/>
      </c>
      <c r="BV50" s="6" t="str">
        <f t="shared" si="43"/>
        <v/>
      </c>
      <c r="BW50" s="6" t="str">
        <f t="shared" si="43"/>
        <v/>
      </c>
      <c r="BX50" s="6" t="str">
        <f t="shared" si="43"/>
        <v/>
      </c>
      <c r="BY50" s="6" t="str">
        <f t="shared" si="43"/>
        <v/>
      </c>
      <c r="BZ50" s="6" t="str">
        <f t="shared" si="43"/>
        <v/>
      </c>
      <c r="CA50" s="6" t="str">
        <f t="shared" si="43"/>
        <v/>
      </c>
      <c r="CB50" s="6" t="str">
        <f t="shared" si="43"/>
        <v/>
      </c>
      <c r="CC50" s="6" t="str">
        <f t="shared" si="43"/>
        <v/>
      </c>
      <c r="CD50" s="6" t="str">
        <f t="shared" si="43"/>
        <v/>
      </c>
      <c r="CE50" s="6" t="str">
        <f t="shared" si="43"/>
        <v/>
      </c>
      <c r="CF50" s="6" t="str">
        <f t="shared" si="43"/>
        <v/>
      </c>
      <c r="CG50" s="6" t="str">
        <f t="shared" si="43"/>
        <v/>
      </c>
      <c r="CH50" s="6" t="str">
        <f t="shared" si="43"/>
        <v/>
      </c>
      <c r="CI50" s="34"/>
      <c r="CJ50" s="7">
        <f t="shared" ca="1" si="37"/>
        <v>-0.98790377338664592</v>
      </c>
      <c r="CK50" s="7">
        <v>1</v>
      </c>
    </row>
    <row r="51" spans="1:148">
      <c r="A51" s="1">
        <f t="shared" si="41"/>
        <v>3</v>
      </c>
      <c r="B51" s="4">
        <f ca="1">_xll.HLV5r3.Analytics.Miscellaneous.DateRoll($B$48,A51*3,"M","MF",Holidays)</f>
        <v>43915</v>
      </c>
      <c r="C51" s="58">
        <f ca="1">_xll.HLV5r3.Analytics.Miscellaneous.LinearInterp(QZ_Nodes,B51-Calc_Date,1,2)</f>
        <v>5.1332259376843825E-2</v>
      </c>
      <c r="D51" s="59">
        <f ca="1">_xll.HLV5r3.Analytics.Miscellaneous.Zero2DF( C51,4,(B51-Calc_Date)/365)</f>
        <v>0.96230008962432068</v>
      </c>
      <c r="E51" s="59">
        <f t="shared" ca="1" si="38"/>
        <v>0.24383561643835616</v>
      </c>
      <c r="F51" s="58">
        <f ca="1">($D$48-D51)/SUMPRODUCT(D$49:D51,E$49:E51)</f>
        <v>5.1330257440285063E-2</v>
      </c>
      <c r="G51" s="11">
        <f ca="1">SUMPRODUCT(E$49:E51,D$49:D51)*10^6*0.0001</f>
        <v>73.185352112635584</v>
      </c>
      <c r="S51" s="11"/>
      <c r="T51" s="171"/>
      <c r="W51" s="6">
        <f t="shared" si="32"/>
        <v>7</v>
      </c>
      <c r="X51" s="11">
        <f ca="1">_xll.HLV5r3.Analytics.Miscellaneous.PVFromCurve( CF_Days,CF,QZ_Nodes,W51,InterpSpace,ZeroCompFreq,Method)*10^6</f>
        <v>429.66237466668389</v>
      </c>
      <c r="Y51" s="38" t="str">
        <f t="shared" si="25"/>
        <v>Mar-12</v>
      </c>
      <c r="Z51" s="6">
        <f t="shared" ref="Z51:BE51" ca="1" si="44">IF(Z22="","",Z22-Calc_Date)</f>
        <v>-2663</v>
      </c>
      <c r="AA51" s="6">
        <f t="shared" ca="1" si="44"/>
        <v>-2573</v>
      </c>
      <c r="AB51" s="6" t="str">
        <f t="shared" si="44"/>
        <v/>
      </c>
      <c r="AC51" s="6" t="str">
        <f t="shared" si="44"/>
        <v/>
      </c>
      <c r="AD51" s="6" t="str">
        <f t="shared" si="44"/>
        <v/>
      </c>
      <c r="AE51" s="6" t="str">
        <f t="shared" si="44"/>
        <v/>
      </c>
      <c r="AF51" s="6" t="str">
        <f t="shared" si="44"/>
        <v/>
      </c>
      <c r="AG51" s="6" t="str">
        <f t="shared" si="44"/>
        <v/>
      </c>
      <c r="AH51" s="6" t="str">
        <f t="shared" si="44"/>
        <v/>
      </c>
      <c r="AI51" s="6" t="str">
        <f t="shared" si="44"/>
        <v/>
      </c>
      <c r="AJ51" s="6" t="str">
        <f t="shared" si="44"/>
        <v/>
      </c>
      <c r="AK51" s="6" t="str">
        <f t="shared" si="44"/>
        <v/>
      </c>
      <c r="AL51" s="6" t="str">
        <f t="shared" si="44"/>
        <v/>
      </c>
      <c r="AM51" s="6" t="str">
        <f t="shared" si="44"/>
        <v/>
      </c>
      <c r="AN51" s="6" t="str">
        <f t="shared" si="44"/>
        <v/>
      </c>
      <c r="AO51" s="6" t="str">
        <f t="shared" si="44"/>
        <v/>
      </c>
      <c r="AP51" s="6" t="str">
        <f t="shared" si="44"/>
        <v/>
      </c>
      <c r="AQ51" s="6" t="str">
        <f t="shared" si="44"/>
        <v/>
      </c>
      <c r="AR51" s="6" t="str">
        <f t="shared" si="44"/>
        <v/>
      </c>
      <c r="AS51" s="6" t="str">
        <f t="shared" si="44"/>
        <v/>
      </c>
      <c r="AT51" s="6" t="str">
        <f t="shared" si="44"/>
        <v/>
      </c>
      <c r="AU51" s="6" t="str">
        <f t="shared" si="44"/>
        <v/>
      </c>
      <c r="AV51" s="6" t="str">
        <f t="shared" si="44"/>
        <v/>
      </c>
      <c r="AW51" s="6" t="str">
        <f t="shared" si="44"/>
        <v/>
      </c>
      <c r="AX51" s="6" t="str">
        <f t="shared" si="44"/>
        <v/>
      </c>
      <c r="AY51" s="6" t="str">
        <f t="shared" si="44"/>
        <v/>
      </c>
      <c r="AZ51" s="6" t="str">
        <f t="shared" si="44"/>
        <v/>
      </c>
      <c r="BA51" s="6" t="str">
        <f t="shared" si="44"/>
        <v/>
      </c>
      <c r="BB51" s="6" t="str">
        <f t="shared" si="44"/>
        <v/>
      </c>
      <c r="BC51" s="6" t="str">
        <f t="shared" si="44"/>
        <v/>
      </c>
      <c r="BD51" s="6" t="str">
        <f t="shared" si="44"/>
        <v/>
      </c>
      <c r="BE51" s="6" t="str">
        <f t="shared" si="44"/>
        <v/>
      </c>
      <c r="BF51" s="6" t="str">
        <f t="shared" ref="BF51:CH51" si="45">IF(BF22="","",BF22-Calc_Date)</f>
        <v/>
      </c>
      <c r="BG51" s="6" t="str">
        <f t="shared" si="45"/>
        <v/>
      </c>
      <c r="BH51" s="6" t="str">
        <f t="shared" si="45"/>
        <v/>
      </c>
      <c r="BI51" s="6" t="str">
        <f t="shared" si="45"/>
        <v/>
      </c>
      <c r="BJ51" s="6" t="str">
        <f t="shared" si="45"/>
        <v/>
      </c>
      <c r="BK51" s="6" t="str">
        <f t="shared" si="45"/>
        <v/>
      </c>
      <c r="BL51" s="6" t="str">
        <f t="shared" si="45"/>
        <v/>
      </c>
      <c r="BM51" s="6" t="str">
        <f t="shared" si="45"/>
        <v/>
      </c>
      <c r="BN51" s="6" t="str">
        <f t="shared" si="45"/>
        <v/>
      </c>
      <c r="BO51" s="6" t="str">
        <f t="shared" si="45"/>
        <v/>
      </c>
      <c r="BP51" s="6" t="str">
        <f t="shared" si="45"/>
        <v/>
      </c>
      <c r="BQ51" s="6" t="str">
        <f t="shared" si="45"/>
        <v/>
      </c>
      <c r="BR51" s="6" t="str">
        <f t="shared" si="45"/>
        <v/>
      </c>
      <c r="BS51" s="6" t="str">
        <f t="shared" si="45"/>
        <v/>
      </c>
      <c r="BT51" s="6" t="str">
        <f t="shared" si="45"/>
        <v/>
      </c>
      <c r="BU51" s="6" t="str">
        <f t="shared" si="45"/>
        <v/>
      </c>
      <c r="BV51" s="6" t="str">
        <f t="shared" si="45"/>
        <v/>
      </c>
      <c r="BW51" s="6" t="str">
        <f t="shared" si="45"/>
        <v/>
      </c>
      <c r="BX51" s="6" t="str">
        <f t="shared" si="45"/>
        <v/>
      </c>
      <c r="BY51" s="6" t="str">
        <f t="shared" si="45"/>
        <v/>
      </c>
      <c r="BZ51" s="6" t="str">
        <f t="shared" si="45"/>
        <v/>
      </c>
      <c r="CA51" s="6" t="str">
        <f t="shared" si="45"/>
        <v/>
      </c>
      <c r="CB51" s="6" t="str">
        <f t="shared" si="45"/>
        <v/>
      </c>
      <c r="CC51" s="6" t="str">
        <f t="shared" si="45"/>
        <v/>
      </c>
      <c r="CD51" s="6" t="str">
        <f t="shared" si="45"/>
        <v/>
      </c>
      <c r="CE51" s="6" t="str">
        <f t="shared" si="45"/>
        <v/>
      </c>
      <c r="CF51" s="6" t="str">
        <f t="shared" si="45"/>
        <v/>
      </c>
      <c r="CG51" s="6" t="str">
        <f t="shared" si="45"/>
        <v/>
      </c>
      <c r="CH51" s="6" t="str">
        <f t="shared" si="45"/>
        <v/>
      </c>
      <c r="CI51" s="34"/>
      <c r="CJ51" s="7">
        <f t="shared" ca="1" si="37"/>
        <v>-0.98773906412761459</v>
      </c>
      <c r="CK51" s="7">
        <v>1</v>
      </c>
    </row>
    <row r="52" spans="1:148">
      <c r="A52" s="1">
        <f t="shared" si="41"/>
        <v>4</v>
      </c>
      <c r="B52" s="55">
        <f ca="1">_xll.HLV5r3.Analytics.Miscellaneous.DateRoll($B$48,A52*3,"M","MF",Holidays)</f>
        <v>44007</v>
      </c>
      <c r="C52" s="56">
        <f ca="1">_xll.HLV5r3.Analytics.Miscellaneous.LinearInterp(QZ_Nodes,B52-Calc_Date,1,2)</f>
        <v>5.1989119136878585E-2</v>
      </c>
      <c r="D52" s="57">
        <f ca="1">_xll.HLV5r3.Analytics.Miscellaneous.Zero2DF( C52,4,(B52-Calc_Date)/365)</f>
        <v>0.94938849006456882</v>
      </c>
      <c r="E52" s="57">
        <f t="shared" ca="1" si="38"/>
        <v>0.25205479452054796</v>
      </c>
      <c r="F52" s="56">
        <f ca="1">($D$48-D52)/SUMPRODUCT(D$49:D52,E$49:E52)</f>
        <v>5.1977299347342722E-2</v>
      </c>
      <c r="G52" s="73">
        <f ca="1">SUMPRODUCT(E$49:E52,D$49:D52)*10^6*0.0001</f>
        <v>97.115144190975386</v>
      </c>
      <c r="S52" s="11"/>
      <c r="T52" s="171"/>
      <c r="W52" s="6">
        <f t="shared" si="32"/>
        <v>8</v>
      </c>
      <c r="X52" s="11">
        <f ca="1">_xll.HLV5r3.Analytics.Miscellaneous.PVFromCurve( CF_Days,CF,QZ_Nodes,W52,InterpSpace,ZeroCompFreq,Method)*10^6</f>
        <v>797.6795994881769</v>
      </c>
      <c r="Y52" s="38" t="str">
        <f t="shared" si="25"/>
        <v>Jun-12</v>
      </c>
      <c r="Z52" s="6">
        <f t="shared" ref="Z52:BE52" ca="1" si="46">IF(Z23="","",Z23-Calc_Date)</f>
        <v>-2572</v>
      </c>
      <c r="AA52" s="6">
        <f t="shared" ca="1" si="46"/>
        <v>-2482</v>
      </c>
      <c r="AB52" s="6" t="str">
        <f t="shared" si="46"/>
        <v/>
      </c>
      <c r="AC52" s="6" t="str">
        <f t="shared" si="46"/>
        <v/>
      </c>
      <c r="AD52" s="6" t="str">
        <f t="shared" si="46"/>
        <v/>
      </c>
      <c r="AE52" s="6" t="str">
        <f t="shared" si="46"/>
        <v/>
      </c>
      <c r="AF52" s="6" t="str">
        <f t="shared" si="46"/>
        <v/>
      </c>
      <c r="AG52" s="6" t="str">
        <f t="shared" si="46"/>
        <v/>
      </c>
      <c r="AH52" s="6" t="str">
        <f t="shared" si="46"/>
        <v/>
      </c>
      <c r="AI52" s="6" t="str">
        <f t="shared" si="46"/>
        <v/>
      </c>
      <c r="AJ52" s="6" t="str">
        <f t="shared" si="46"/>
        <v/>
      </c>
      <c r="AK52" s="6" t="str">
        <f t="shared" si="46"/>
        <v/>
      </c>
      <c r="AL52" s="6" t="str">
        <f t="shared" si="46"/>
        <v/>
      </c>
      <c r="AM52" s="6" t="str">
        <f t="shared" si="46"/>
        <v/>
      </c>
      <c r="AN52" s="6" t="str">
        <f t="shared" si="46"/>
        <v/>
      </c>
      <c r="AO52" s="6" t="str">
        <f t="shared" si="46"/>
        <v/>
      </c>
      <c r="AP52" s="6" t="str">
        <f t="shared" si="46"/>
        <v/>
      </c>
      <c r="AQ52" s="6" t="str">
        <f t="shared" si="46"/>
        <v/>
      </c>
      <c r="AR52" s="6" t="str">
        <f t="shared" si="46"/>
        <v/>
      </c>
      <c r="AS52" s="6" t="str">
        <f t="shared" si="46"/>
        <v/>
      </c>
      <c r="AT52" s="6" t="str">
        <f t="shared" si="46"/>
        <v/>
      </c>
      <c r="AU52" s="6" t="str">
        <f t="shared" si="46"/>
        <v/>
      </c>
      <c r="AV52" s="6" t="str">
        <f t="shared" si="46"/>
        <v/>
      </c>
      <c r="AW52" s="6" t="str">
        <f t="shared" si="46"/>
        <v/>
      </c>
      <c r="AX52" s="6" t="str">
        <f t="shared" si="46"/>
        <v/>
      </c>
      <c r="AY52" s="6" t="str">
        <f t="shared" si="46"/>
        <v/>
      </c>
      <c r="AZ52" s="6" t="str">
        <f t="shared" si="46"/>
        <v/>
      </c>
      <c r="BA52" s="6" t="str">
        <f t="shared" si="46"/>
        <v/>
      </c>
      <c r="BB52" s="6" t="str">
        <f t="shared" si="46"/>
        <v/>
      </c>
      <c r="BC52" s="6" t="str">
        <f t="shared" si="46"/>
        <v/>
      </c>
      <c r="BD52" s="6" t="str">
        <f t="shared" si="46"/>
        <v/>
      </c>
      <c r="BE52" s="6" t="str">
        <f t="shared" si="46"/>
        <v/>
      </c>
      <c r="BF52" s="6" t="str">
        <f t="shared" ref="BF52:CH52" si="47">IF(BF23="","",BF23-Calc_Date)</f>
        <v/>
      </c>
      <c r="BG52" s="6" t="str">
        <f t="shared" si="47"/>
        <v/>
      </c>
      <c r="BH52" s="6" t="str">
        <f t="shared" si="47"/>
        <v/>
      </c>
      <c r="BI52" s="6" t="str">
        <f t="shared" si="47"/>
        <v/>
      </c>
      <c r="BJ52" s="6" t="str">
        <f t="shared" si="47"/>
        <v/>
      </c>
      <c r="BK52" s="6" t="str">
        <f t="shared" si="47"/>
        <v/>
      </c>
      <c r="BL52" s="6" t="str">
        <f t="shared" si="47"/>
        <v/>
      </c>
      <c r="BM52" s="6" t="str">
        <f t="shared" si="47"/>
        <v/>
      </c>
      <c r="BN52" s="6" t="str">
        <f t="shared" si="47"/>
        <v/>
      </c>
      <c r="BO52" s="6" t="str">
        <f t="shared" si="47"/>
        <v/>
      </c>
      <c r="BP52" s="6" t="str">
        <f t="shared" si="47"/>
        <v/>
      </c>
      <c r="BQ52" s="6" t="str">
        <f t="shared" si="47"/>
        <v/>
      </c>
      <c r="BR52" s="6" t="str">
        <f t="shared" si="47"/>
        <v/>
      </c>
      <c r="BS52" s="6" t="str">
        <f t="shared" si="47"/>
        <v/>
      </c>
      <c r="BT52" s="6" t="str">
        <f t="shared" si="47"/>
        <v/>
      </c>
      <c r="BU52" s="6" t="str">
        <f t="shared" si="47"/>
        <v/>
      </c>
      <c r="BV52" s="6" t="str">
        <f t="shared" si="47"/>
        <v/>
      </c>
      <c r="BW52" s="6" t="str">
        <f t="shared" si="47"/>
        <v/>
      </c>
      <c r="BX52" s="6" t="str">
        <f t="shared" si="47"/>
        <v/>
      </c>
      <c r="BY52" s="6" t="str">
        <f t="shared" si="47"/>
        <v/>
      </c>
      <c r="BZ52" s="6" t="str">
        <f t="shared" si="47"/>
        <v/>
      </c>
      <c r="CA52" s="6" t="str">
        <f t="shared" si="47"/>
        <v/>
      </c>
      <c r="CB52" s="6" t="str">
        <f t="shared" si="47"/>
        <v/>
      </c>
      <c r="CC52" s="6" t="str">
        <f t="shared" si="47"/>
        <v/>
      </c>
      <c r="CD52" s="6" t="str">
        <f t="shared" si="47"/>
        <v/>
      </c>
      <c r="CE52" s="6" t="str">
        <f t="shared" si="47"/>
        <v/>
      </c>
      <c r="CF52" s="6" t="str">
        <f t="shared" si="47"/>
        <v/>
      </c>
      <c r="CG52" s="6" t="str">
        <f t="shared" si="47"/>
        <v/>
      </c>
      <c r="CH52" s="6" t="str">
        <f t="shared" si="47"/>
        <v/>
      </c>
      <c r="CI52" s="34"/>
      <c r="CJ52" s="7">
        <f t="shared" ca="1" si="37"/>
        <v>-0.98747444309060817</v>
      </c>
      <c r="CK52" s="7">
        <v>1</v>
      </c>
    </row>
    <row r="53" spans="1:148">
      <c r="A53" s="1">
        <f t="shared" si="41"/>
        <v>5</v>
      </c>
      <c r="B53" s="4">
        <f ca="1">_xll.HLV5r3.Analytics.Miscellaneous.DateRoll($B$48,A53*3,"M","MF",Holidays)</f>
        <v>44099</v>
      </c>
      <c r="C53" s="58">
        <f ca="1">_xll.HLV5r3.Analytics.Miscellaneous.LinearInterp(QZ_Nodes,B53-Calc_Date,1,2)</f>
        <v>5.2589204916764734E-2</v>
      </c>
      <c r="D53" s="59">
        <f ca="1">_xll.HLV5r3.Analytics.Miscellaneous.Zero2DF( C53,4,(B53-Calc_Date)/365)</f>
        <v>0.93641009202935921</v>
      </c>
      <c r="E53" s="59">
        <f t="shared" ca="1" si="38"/>
        <v>0.25205479452054796</v>
      </c>
      <c r="F53" s="58">
        <f ca="1">($D$48-D53)/SUMPRODUCT(D$49:D53,E$49:E53)</f>
        <v>5.2565754376261604E-2</v>
      </c>
      <c r="G53" s="11">
        <f ca="1">SUMPRODUCT(E$49:E53,D$49:D53)*10^6*0.0001</f>
        <v>120.71780952431814</v>
      </c>
      <c r="S53" s="11"/>
      <c r="T53" s="171"/>
      <c r="W53" s="6">
        <f t="shared" si="32"/>
        <v>9</v>
      </c>
      <c r="X53" s="11">
        <f ca="1">_xll.HLV5r3.Analytics.Miscellaneous.PVFromCurve( CF_Days,CF,QZ_Nodes,W53,InterpSpace,ZeroCompFreq,Method)*10^6</f>
        <v>1157.8122150035508</v>
      </c>
      <c r="Y53" s="38" t="str">
        <f t="shared" si="25"/>
        <v>Sep-12</v>
      </c>
      <c r="Z53" s="6">
        <f t="shared" ref="Z53:BE53" ca="1" si="48">IF(Z24="","",Z24-Calc_Date)</f>
        <v>-2474</v>
      </c>
      <c r="AA53" s="6">
        <f t="shared" ca="1" si="48"/>
        <v>-2384</v>
      </c>
      <c r="AB53" s="6" t="str">
        <f t="shared" si="48"/>
        <v/>
      </c>
      <c r="AC53" s="6" t="str">
        <f t="shared" si="48"/>
        <v/>
      </c>
      <c r="AD53" s="6" t="str">
        <f t="shared" si="48"/>
        <v/>
      </c>
      <c r="AE53" s="6" t="str">
        <f t="shared" si="48"/>
        <v/>
      </c>
      <c r="AF53" s="6" t="str">
        <f t="shared" si="48"/>
        <v/>
      </c>
      <c r="AG53" s="6" t="str">
        <f t="shared" si="48"/>
        <v/>
      </c>
      <c r="AH53" s="6" t="str">
        <f t="shared" si="48"/>
        <v/>
      </c>
      <c r="AI53" s="6" t="str">
        <f t="shared" si="48"/>
        <v/>
      </c>
      <c r="AJ53" s="6" t="str">
        <f t="shared" si="48"/>
        <v/>
      </c>
      <c r="AK53" s="6" t="str">
        <f t="shared" si="48"/>
        <v/>
      </c>
      <c r="AL53" s="6" t="str">
        <f t="shared" si="48"/>
        <v/>
      </c>
      <c r="AM53" s="6" t="str">
        <f t="shared" si="48"/>
        <v/>
      </c>
      <c r="AN53" s="6" t="str">
        <f t="shared" si="48"/>
        <v/>
      </c>
      <c r="AO53" s="6" t="str">
        <f t="shared" si="48"/>
        <v/>
      </c>
      <c r="AP53" s="6" t="str">
        <f t="shared" si="48"/>
        <v/>
      </c>
      <c r="AQ53" s="6" t="str">
        <f t="shared" si="48"/>
        <v/>
      </c>
      <c r="AR53" s="6" t="str">
        <f t="shared" si="48"/>
        <v/>
      </c>
      <c r="AS53" s="6" t="str">
        <f t="shared" si="48"/>
        <v/>
      </c>
      <c r="AT53" s="6" t="str">
        <f t="shared" si="48"/>
        <v/>
      </c>
      <c r="AU53" s="6" t="str">
        <f t="shared" si="48"/>
        <v/>
      </c>
      <c r="AV53" s="6" t="str">
        <f t="shared" si="48"/>
        <v/>
      </c>
      <c r="AW53" s="6" t="str">
        <f t="shared" si="48"/>
        <v/>
      </c>
      <c r="AX53" s="6" t="str">
        <f t="shared" si="48"/>
        <v/>
      </c>
      <c r="AY53" s="6" t="str">
        <f t="shared" si="48"/>
        <v/>
      </c>
      <c r="AZ53" s="6" t="str">
        <f t="shared" si="48"/>
        <v/>
      </c>
      <c r="BA53" s="6" t="str">
        <f t="shared" si="48"/>
        <v/>
      </c>
      <c r="BB53" s="6" t="str">
        <f t="shared" si="48"/>
        <v/>
      </c>
      <c r="BC53" s="6" t="str">
        <f t="shared" si="48"/>
        <v/>
      </c>
      <c r="BD53" s="6" t="str">
        <f t="shared" si="48"/>
        <v/>
      </c>
      <c r="BE53" s="6" t="str">
        <f t="shared" si="48"/>
        <v/>
      </c>
      <c r="BF53" s="6" t="str">
        <f t="shared" ref="BF53:CH53" si="49">IF(BF24="","",BF24-Calc_Date)</f>
        <v/>
      </c>
      <c r="BG53" s="6" t="str">
        <f t="shared" si="49"/>
        <v/>
      </c>
      <c r="BH53" s="6" t="str">
        <f t="shared" si="49"/>
        <v/>
      </c>
      <c r="BI53" s="6" t="str">
        <f t="shared" si="49"/>
        <v/>
      </c>
      <c r="BJ53" s="6" t="str">
        <f t="shared" si="49"/>
        <v/>
      </c>
      <c r="BK53" s="6" t="str">
        <f t="shared" si="49"/>
        <v/>
      </c>
      <c r="BL53" s="6" t="str">
        <f t="shared" si="49"/>
        <v/>
      </c>
      <c r="BM53" s="6" t="str">
        <f t="shared" si="49"/>
        <v/>
      </c>
      <c r="BN53" s="6" t="str">
        <f t="shared" si="49"/>
        <v/>
      </c>
      <c r="BO53" s="6" t="str">
        <f t="shared" si="49"/>
        <v/>
      </c>
      <c r="BP53" s="6" t="str">
        <f t="shared" si="49"/>
        <v/>
      </c>
      <c r="BQ53" s="6" t="str">
        <f t="shared" si="49"/>
        <v/>
      </c>
      <c r="BR53" s="6" t="str">
        <f t="shared" si="49"/>
        <v/>
      </c>
      <c r="BS53" s="6" t="str">
        <f t="shared" si="49"/>
        <v/>
      </c>
      <c r="BT53" s="6" t="str">
        <f t="shared" si="49"/>
        <v/>
      </c>
      <c r="BU53" s="6" t="str">
        <f t="shared" si="49"/>
        <v/>
      </c>
      <c r="BV53" s="6" t="str">
        <f t="shared" si="49"/>
        <v/>
      </c>
      <c r="BW53" s="6" t="str">
        <f t="shared" si="49"/>
        <v/>
      </c>
      <c r="BX53" s="6" t="str">
        <f t="shared" si="49"/>
        <v/>
      </c>
      <c r="BY53" s="6" t="str">
        <f t="shared" si="49"/>
        <v/>
      </c>
      <c r="BZ53" s="6" t="str">
        <f t="shared" si="49"/>
        <v/>
      </c>
      <c r="CA53" s="6" t="str">
        <f t="shared" si="49"/>
        <v/>
      </c>
      <c r="CB53" s="6" t="str">
        <f t="shared" si="49"/>
        <v/>
      </c>
      <c r="CC53" s="6" t="str">
        <f t="shared" si="49"/>
        <v/>
      </c>
      <c r="CD53" s="6" t="str">
        <f t="shared" si="49"/>
        <v/>
      </c>
      <c r="CE53" s="6" t="str">
        <f t="shared" si="49"/>
        <v/>
      </c>
      <c r="CF53" s="6" t="str">
        <f t="shared" si="49"/>
        <v/>
      </c>
      <c r="CG53" s="6" t="str">
        <f t="shared" si="49"/>
        <v/>
      </c>
      <c r="CH53" s="6" t="str">
        <f t="shared" si="49"/>
        <v/>
      </c>
      <c r="CI53" s="34"/>
      <c r="CJ53" s="7">
        <f t="shared" ca="1" si="37"/>
        <v>-0.98720827006558898</v>
      </c>
      <c r="CK53" s="7">
        <v>1</v>
      </c>
    </row>
    <row r="54" spans="1:148">
      <c r="A54" s="1">
        <f t="shared" si="41"/>
        <v>6</v>
      </c>
      <c r="B54" s="4">
        <f ca="1">_xll.HLV5r3.Analytics.Miscellaneous.DateRoll($B$48,A54*3,"M","MF",Holidays)</f>
        <v>44194</v>
      </c>
      <c r="C54" s="58">
        <f ca="1">_xll.HLV5r3.Analytics.Miscellaneous.LinearInterp(QZ_Nodes,B54-Calc_Date,1,2)</f>
        <v>5.3142694670879523E-2</v>
      </c>
      <c r="D54" s="59">
        <f ca="1">_xll.HLV5r3.Analytics.Miscellaneous.Zero2DF( C54,4,(B54-Calc_Date)/365)</f>
        <v>0.92299699171126381</v>
      </c>
      <c r="E54" s="59">
        <f t="shared" ca="1" si="38"/>
        <v>0.26027397260273971</v>
      </c>
      <c r="F54" s="58">
        <f ca="1">($D$48-D54)/SUMPRODUCT(D$49:D54,E$49:E54)</f>
        <v>5.3108184636603467E-2</v>
      </c>
      <c r="G54" s="11">
        <f ca="1">SUMPRODUCT(E$49:E54,D$49:D54)*10^6*0.0001</f>
        <v>144.74101889762503</v>
      </c>
      <c r="S54" s="11"/>
      <c r="T54" s="171"/>
      <c r="W54" s="6">
        <f t="shared" si="32"/>
        <v>10</v>
      </c>
      <c r="X54" s="11">
        <f ca="1">_xll.HLV5r3.Analytics.Miscellaneous.PVFromCurve( CF_Days,CF,QZ_Nodes,W54,InterpSpace,ZeroCompFreq,Method)*10^6</f>
        <v>2513.9332944812409</v>
      </c>
      <c r="Y54" s="38" t="str">
        <f t="shared" si="25"/>
        <v>Dec-12</v>
      </c>
      <c r="Z54" s="6">
        <f t="shared" ref="Z54:BE54" ca="1" si="50">IF(Z25="","",Z25-Calc_Date)</f>
        <v>-2383</v>
      </c>
      <c r="AA54" s="6">
        <f t="shared" ca="1" si="50"/>
        <v>-2293</v>
      </c>
      <c r="AB54" s="6" t="str">
        <f t="shared" si="50"/>
        <v/>
      </c>
      <c r="AC54" s="6" t="str">
        <f t="shared" si="50"/>
        <v/>
      </c>
      <c r="AD54" s="6" t="str">
        <f t="shared" si="50"/>
        <v/>
      </c>
      <c r="AE54" s="6" t="str">
        <f t="shared" si="50"/>
        <v/>
      </c>
      <c r="AF54" s="6" t="str">
        <f t="shared" si="50"/>
        <v/>
      </c>
      <c r="AG54" s="6" t="str">
        <f t="shared" si="50"/>
        <v/>
      </c>
      <c r="AH54" s="6" t="str">
        <f t="shared" si="50"/>
        <v/>
      </c>
      <c r="AI54" s="6" t="str">
        <f t="shared" si="50"/>
        <v/>
      </c>
      <c r="AJ54" s="6" t="str">
        <f t="shared" si="50"/>
        <v/>
      </c>
      <c r="AK54" s="6" t="str">
        <f t="shared" si="50"/>
        <v/>
      </c>
      <c r="AL54" s="6" t="str">
        <f t="shared" si="50"/>
        <v/>
      </c>
      <c r="AM54" s="6" t="str">
        <f t="shared" si="50"/>
        <v/>
      </c>
      <c r="AN54" s="6" t="str">
        <f t="shared" si="50"/>
        <v/>
      </c>
      <c r="AO54" s="6" t="str">
        <f t="shared" si="50"/>
        <v/>
      </c>
      <c r="AP54" s="6" t="str">
        <f t="shared" si="50"/>
        <v/>
      </c>
      <c r="AQ54" s="6" t="str">
        <f t="shared" si="50"/>
        <v/>
      </c>
      <c r="AR54" s="6" t="str">
        <f t="shared" si="50"/>
        <v/>
      </c>
      <c r="AS54" s="6" t="str">
        <f t="shared" si="50"/>
        <v/>
      </c>
      <c r="AT54" s="6" t="str">
        <f t="shared" si="50"/>
        <v/>
      </c>
      <c r="AU54" s="6" t="str">
        <f t="shared" si="50"/>
        <v/>
      </c>
      <c r="AV54" s="6" t="str">
        <f t="shared" si="50"/>
        <v/>
      </c>
      <c r="AW54" s="6" t="str">
        <f t="shared" si="50"/>
        <v/>
      </c>
      <c r="AX54" s="6" t="str">
        <f t="shared" si="50"/>
        <v/>
      </c>
      <c r="AY54" s="6" t="str">
        <f t="shared" si="50"/>
        <v/>
      </c>
      <c r="AZ54" s="6" t="str">
        <f t="shared" si="50"/>
        <v/>
      </c>
      <c r="BA54" s="6" t="str">
        <f t="shared" si="50"/>
        <v/>
      </c>
      <c r="BB54" s="6" t="str">
        <f t="shared" si="50"/>
        <v/>
      </c>
      <c r="BC54" s="6" t="str">
        <f t="shared" si="50"/>
        <v/>
      </c>
      <c r="BD54" s="6" t="str">
        <f t="shared" si="50"/>
        <v/>
      </c>
      <c r="BE54" s="6" t="str">
        <f t="shared" si="50"/>
        <v/>
      </c>
      <c r="BF54" s="6" t="str">
        <f t="shared" ref="BF54:CH54" si="51">IF(BF25="","",BF25-Calc_Date)</f>
        <v/>
      </c>
      <c r="BG54" s="6" t="str">
        <f t="shared" si="51"/>
        <v/>
      </c>
      <c r="BH54" s="6" t="str">
        <f t="shared" si="51"/>
        <v/>
      </c>
      <c r="BI54" s="6" t="str">
        <f t="shared" si="51"/>
        <v/>
      </c>
      <c r="BJ54" s="6" t="str">
        <f t="shared" si="51"/>
        <v/>
      </c>
      <c r="BK54" s="6" t="str">
        <f t="shared" si="51"/>
        <v/>
      </c>
      <c r="BL54" s="6" t="str">
        <f t="shared" si="51"/>
        <v/>
      </c>
      <c r="BM54" s="6" t="str">
        <f t="shared" si="51"/>
        <v/>
      </c>
      <c r="BN54" s="6" t="str">
        <f t="shared" si="51"/>
        <v/>
      </c>
      <c r="BO54" s="6" t="str">
        <f t="shared" si="51"/>
        <v/>
      </c>
      <c r="BP54" s="6" t="str">
        <f t="shared" si="51"/>
        <v/>
      </c>
      <c r="BQ54" s="6" t="str">
        <f t="shared" si="51"/>
        <v/>
      </c>
      <c r="BR54" s="6" t="str">
        <f t="shared" si="51"/>
        <v/>
      </c>
      <c r="BS54" s="6" t="str">
        <f t="shared" si="51"/>
        <v/>
      </c>
      <c r="BT54" s="6" t="str">
        <f t="shared" si="51"/>
        <v/>
      </c>
      <c r="BU54" s="6" t="str">
        <f t="shared" si="51"/>
        <v/>
      </c>
      <c r="BV54" s="6" t="str">
        <f t="shared" si="51"/>
        <v/>
      </c>
      <c r="BW54" s="6" t="str">
        <f t="shared" si="51"/>
        <v/>
      </c>
      <c r="BX54" s="6" t="str">
        <f t="shared" si="51"/>
        <v/>
      </c>
      <c r="BY54" s="6" t="str">
        <f t="shared" si="51"/>
        <v/>
      </c>
      <c r="BZ54" s="6" t="str">
        <f t="shared" si="51"/>
        <v/>
      </c>
      <c r="CA54" s="6" t="str">
        <f t="shared" si="51"/>
        <v/>
      </c>
      <c r="CB54" s="6" t="str">
        <f t="shared" si="51"/>
        <v/>
      </c>
      <c r="CC54" s="6" t="str">
        <f t="shared" si="51"/>
        <v/>
      </c>
      <c r="CD54" s="6" t="str">
        <f t="shared" si="51"/>
        <v/>
      </c>
      <c r="CE54" s="6" t="str">
        <f t="shared" si="51"/>
        <v/>
      </c>
      <c r="CF54" s="6" t="str">
        <f t="shared" si="51"/>
        <v/>
      </c>
      <c r="CG54" s="6" t="str">
        <f t="shared" si="51"/>
        <v/>
      </c>
      <c r="CH54" s="6" t="str">
        <f t="shared" si="51"/>
        <v/>
      </c>
      <c r="CI54" s="34"/>
      <c r="CJ54" s="7">
        <f t="shared" ca="1" si="37"/>
        <v>-0.98621194640410925</v>
      </c>
      <c r="CK54" s="7">
        <v>1</v>
      </c>
    </row>
    <row r="55" spans="1:148">
      <c r="A55" s="1">
        <f t="shared" si="41"/>
        <v>7</v>
      </c>
      <c r="B55" s="4">
        <f ca="1">_xll.HLV5r3.Analytics.Miscellaneous.DateRoll($B$48,A55*3,"M","MF",Holidays)</f>
        <v>44280</v>
      </c>
      <c r="C55" s="58">
        <f ca="1">_xll.HLV5r3.Analytics.Miscellaneous.LinearInterp(QZ_Nodes,B55-Calc_Date,1,2)</f>
        <v>5.3585966635343256E-2</v>
      </c>
      <c r="D55" s="59">
        <f ca="1">_xll.HLV5r3.Analytics.Miscellaneous.Zero2DF( C55,4,(B55-Calc_Date)/365)</f>
        <v>0.91088815589796579</v>
      </c>
      <c r="E55" s="59">
        <f t="shared" ca="1" si="38"/>
        <v>0.23561643835616439</v>
      </c>
      <c r="F55" s="58">
        <f ca="1">($D$48-D55)/SUMPRODUCT(D$49:D55,E$49:E55)</f>
        <v>5.3535821445503257E-2</v>
      </c>
      <c r="G55" s="11">
        <f ca="1">SUMPRODUCT(E$49:E55,D$49:D55)*10^6*0.0001</f>
        <v>166.20304120097433</v>
      </c>
      <c r="S55" s="11"/>
      <c r="T55" s="171"/>
      <c r="U55" s="126"/>
      <c r="W55" s="6">
        <f t="shared" si="32"/>
        <v>11</v>
      </c>
      <c r="X55" s="11">
        <f ca="1">_xll.HLV5r3.Analytics.Miscellaneous.PVFromCurve( CF_Days,CF,QZ_Nodes,W55,InterpSpace,ZeroCompFreq,Method)*10^6</f>
        <v>2599.9906935791905</v>
      </c>
      <c r="Y55" s="38" t="str">
        <f t="shared" si="25"/>
        <v>Mar-13</v>
      </c>
      <c r="Z55" s="6">
        <f t="shared" ref="Z55:BE55" ca="1" si="52">IF(Z26="","",Z26-Calc_Date)</f>
        <v>-2299</v>
      </c>
      <c r="AA55" s="6">
        <f t="shared" ca="1" si="52"/>
        <v>-2209</v>
      </c>
      <c r="AB55" s="6" t="str">
        <f t="shared" si="52"/>
        <v/>
      </c>
      <c r="AC55" s="6" t="str">
        <f t="shared" si="52"/>
        <v/>
      </c>
      <c r="AD55" s="6" t="str">
        <f t="shared" si="52"/>
        <v/>
      </c>
      <c r="AE55" s="6" t="str">
        <f t="shared" si="52"/>
        <v/>
      </c>
      <c r="AF55" s="6" t="str">
        <f t="shared" si="52"/>
        <v/>
      </c>
      <c r="AG55" s="6" t="str">
        <f t="shared" si="52"/>
        <v/>
      </c>
      <c r="AH55" s="6" t="str">
        <f t="shared" si="52"/>
        <v/>
      </c>
      <c r="AI55" s="6" t="str">
        <f t="shared" si="52"/>
        <v/>
      </c>
      <c r="AJ55" s="6" t="str">
        <f t="shared" si="52"/>
        <v/>
      </c>
      <c r="AK55" s="6" t="str">
        <f t="shared" si="52"/>
        <v/>
      </c>
      <c r="AL55" s="6" t="str">
        <f t="shared" si="52"/>
        <v/>
      </c>
      <c r="AM55" s="6" t="str">
        <f t="shared" si="52"/>
        <v/>
      </c>
      <c r="AN55" s="6" t="str">
        <f t="shared" si="52"/>
        <v/>
      </c>
      <c r="AO55" s="6" t="str">
        <f t="shared" si="52"/>
        <v/>
      </c>
      <c r="AP55" s="6" t="str">
        <f t="shared" si="52"/>
        <v/>
      </c>
      <c r="AQ55" s="6" t="str">
        <f t="shared" si="52"/>
        <v/>
      </c>
      <c r="AR55" s="6" t="str">
        <f t="shared" si="52"/>
        <v/>
      </c>
      <c r="AS55" s="6" t="str">
        <f t="shared" si="52"/>
        <v/>
      </c>
      <c r="AT55" s="6" t="str">
        <f t="shared" si="52"/>
        <v/>
      </c>
      <c r="AU55" s="6" t="str">
        <f t="shared" si="52"/>
        <v/>
      </c>
      <c r="AV55" s="6" t="str">
        <f t="shared" si="52"/>
        <v/>
      </c>
      <c r="AW55" s="6" t="str">
        <f t="shared" si="52"/>
        <v/>
      </c>
      <c r="AX55" s="6" t="str">
        <f t="shared" si="52"/>
        <v/>
      </c>
      <c r="AY55" s="6" t="str">
        <f t="shared" si="52"/>
        <v/>
      </c>
      <c r="AZ55" s="6" t="str">
        <f t="shared" si="52"/>
        <v/>
      </c>
      <c r="BA55" s="6" t="str">
        <f t="shared" si="52"/>
        <v/>
      </c>
      <c r="BB55" s="6" t="str">
        <f t="shared" si="52"/>
        <v/>
      </c>
      <c r="BC55" s="6" t="str">
        <f t="shared" si="52"/>
        <v/>
      </c>
      <c r="BD55" s="6" t="str">
        <f t="shared" si="52"/>
        <v/>
      </c>
      <c r="BE55" s="6" t="str">
        <f t="shared" si="52"/>
        <v/>
      </c>
      <c r="BF55" s="6" t="str">
        <f t="shared" ref="BF55:CH55" si="53">IF(BF26="","",BF26-Calc_Date)</f>
        <v/>
      </c>
      <c r="BG55" s="6" t="str">
        <f t="shared" si="53"/>
        <v/>
      </c>
      <c r="BH55" s="6" t="str">
        <f t="shared" si="53"/>
        <v/>
      </c>
      <c r="BI55" s="6" t="str">
        <f t="shared" si="53"/>
        <v/>
      </c>
      <c r="BJ55" s="6" t="str">
        <f t="shared" si="53"/>
        <v/>
      </c>
      <c r="BK55" s="6" t="str">
        <f t="shared" si="53"/>
        <v/>
      </c>
      <c r="BL55" s="6" t="str">
        <f t="shared" si="53"/>
        <v/>
      </c>
      <c r="BM55" s="6" t="str">
        <f t="shared" si="53"/>
        <v/>
      </c>
      <c r="BN55" s="6" t="str">
        <f t="shared" si="53"/>
        <v/>
      </c>
      <c r="BO55" s="6" t="str">
        <f t="shared" si="53"/>
        <v/>
      </c>
      <c r="BP55" s="6" t="str">
        <f t="shared" si="53"/>
        <v/>
      </c>
      <c r="BQ55" s="6" t="str">
        <f t="shared" si="53"/>
        <v/>
      </c>
      <c r="BR55" s="6" t="str">
        <f t="shared" si="53"/>
        <v/>
      </c>
      <c r="BS55" s="6" t="str">
        <f t="shared" si="53"/>
        <v/>
      </c>
      <c r="BT55" s="6" t="str">
        <f t="shared" si="53"/>
        <v/>
      </c>
      <c r="BU55" s="6" t="str">
        <f t="shared" si="53"/>
        <v/>
      </c>
      <c r="BV55" s="6" t="str">
        <f t="shared" si="53"/>
        <v/>
      </c>
      <c r="BW55" s="6" t="str">
        <f t="shared" si="53"/>
        <v/>
      </c>
      <c r="BX55" s="6" t="str">
        <f t="shared" si="53"/>
        <v/>
      </c>
      <c r="BY55" s="6" t="str">
        <f t="shared" si="53"/>
        <v/>
      </c>
      <c r="BZ55" s="6" t="str">
        <f t="shared" si="53"/>
        <v/>
      </c>
      <c r="CA55" s="6" t="str">
        <f t="shared" si="53"/>
        <v/>
      </c>
      <c r="CB55" s="6" t="str">
        <f t="shared" si="53"/>
        <v/>
      </c>
      <c r="CC55" s="6" t="str">
        <f t="shared" si="53"/>
        <v/>
      </c>
      <c r="CD55" s="6" t="str">
        <f t="shared" si="53"/>
        <v/>
      </c>
      <c r="CE55" s="6" t="str">
        <f t="shared" si="53"/>
        <v/>
      </c>
      <c r="CF55" s="6" t="str">
        <f t="shared" si="53"/>
        <v/>
      </c>
      <c r="CG55" s="6" t="str">
        <f t="shared" si="53"/>
        <v/>
      </c>
      <c r="CH55" s="6" t="str">
        <f t="shared" si="53"/>
        <v/>
      </c>
      <c r="CI55" s="34"/>
      <c r="CJ55" s="7">
        <f t="shared" ca="1" si="37"/>
        <v>-0.9861280156267519</v>
      </c>
      <c r="CK55" s="7">
        <v>1</v>
      </c>
    </row>
    <row r="56" spans="1:148">
      <c r="A56" s="1">
        <f t="shared" si="41"/>
        <v>8</v>
      </c>
      <c r="B56" s="55">
        <f ca="1">_xll.HLV5r3.Analytics.Miscellaneous.DateRoll($B$48,A56*3,"M","MF",Holidays)</f>
        <v>44372</v>
      </c>
      <c r="C56" s="56">
        <f ca="1">_xll.HLV5r3.Analytics.Miscellaneous.LinearInterp(QZ_Nodes,B56-Calc_Date,1,2)</f>
        <v>5.3984932741310165E-2</v>
      </c>
      <c r="D56" s="57">
        <f ca="1">_xll.HLV5r3.Analytics.Miscellaneous.Zero2DF( C56,4,(B56-Calc_Date)/365)</f>
        <v>0.89803917079791107</v>
      </c>
      <c r="E56" s="57">
        <f t="shared" ca="1" si="38"/>
        <v>0.25205479452054796</v>
      </c>
      <c r="F56" s="56">
        <f ca="1">($D$48-D56)/SUMPRODUCT(D$49:D56,E$49:E56)</f>
        <v>5.3922861077437947E-2</v>
      </c>
      <c r="G56" s="73">
        <f ca="1">SUMPRODUCT(E$49:E56,D$49:D56)*10^6*0.0001</f>
        <v>188.8385490676614</v>
      </c>
      <c r="S56" s="58"/>
      <c r="T56" s="171"/>
      <c r="U56" s="126"/>
      <c r="W56" s="6">
        <f t="shared" si="32"/>
        <v>12</v>
      </c>
      <c r="X56" s="11">
        <f ca="1">_xll.HLV5r3.Analytics.Miscellaneous.PVFromCurve( CF_Days,CF,QZ_Nodes,W56,InterpSpace,ZeroCompFreq,Method)*10^6</f>
        <v>-7.7032380972041885</v>
      </c>
      <c r="Y56" s="38" t="str">
        <f t="shared" si="25"/>
        <v>3Y</v>
      </c>
      <c r="Z56" s="6">
        <f t="shared" ref="Z56:BE56" ca="1" si="54">IF(Z27="","",Z27-Calc_Date)</f>
        <v>1</v>
      </c>
      <c r="AA56" s="6">
        <f t="shared" ca="1" si="54"/>
        <v>93</v>
      </c>
      <c r="AB56" s="6">
        <f t="shared" ca="1" si="54"/>
        <v>186</v>
      </c>
      <c r="AC56" s="6">
        <f t="shared" ca="1" si="54"/>
        <v>275</v>
      </c>
      <c r="AD56" s="6">
        <f t="shared" ca="1" si="54"/>
        <v>367</v>
      </c>
      <c r="AE56" s="6">
        <f t="shared" ca="1" si="54"/>
        <v>459</v>
      </c>
      <c r="AF56" s="6">
        <f t="shared" ca="1" si="54"/>
        <v>554</v>
      </c>
      <c r="AG56" s="6">
        <f t="shared" ca="1" si="54"/>
        <v>640</v>
      </c>
      <c r="AH56" s="6">
        <f t="shared" ca="1" si="54"/>
        <v>732</v>
      </c>
      <c r="AI56" s="6">
        <f t="shared" ca="1" si="54"/>
        <v>826</v>
      </c>
      <c r="AJ56" s="6">
        <f t="shared" ca="1" si="54"/>
        <v>919</v>
      </c>
      <c r="AK56" s="6">
        <f t="shared" ca="1" si="54"/>
        <v>1005</v>
      </c>
      <c r="AL56" s="6">
        <f t="shared" ca="1" si="54"/>
        <v>1099</v>
      </c>
      <c r="AM56" s="6" t="str">
        <f t="shared" ca="1" si="54"/>
        <v/>
      </c>
      <c r="AN56" s="6" t="str">
        <f t="shared" ca="1" si="54"/>
        <v/>
      </c>
      <c r="AO56" s="6" t="str">
        <f t="shared" ca="1" si="54"/>
        <v/>
      </c>
      <c r="AP56" s="6" t="str">
        <f t="shared" ca="1" si="54"/>
        <v/>
      </c>
      <c r="AQ56" s="6" t="str">
        <f t="shared" ca="1" si="54"/>
        <v/>
      </c>
      <c r="AR56" s="6" t="str">
        <f t="shared" ca="1" si="54"/>
        <v/>
      </c>
      <c r="AS56" s="6" t="str">
        <f t="shared" ca="1" si="54"/>
        <v/>
      </c>
      <c r="AT56" s="6" t="str">
        <f t="shared" ca="1" si="54"/>
        <v/>
      </c>
      <c r="AU56" s="6" t="str">
        <f t="shared" ca="1" si="54"/>
        <v/>
      </c>
      <c r="AV56" s="6" t="str">
        <f t="shared" ca="1" si="54"/>
        <v/>
      </c>
      <c r="AW56" s="6" t="str">
        <f t="shared" ca="1" si="54"/>
        <v/>
      </c>
      <c r="AX56" s="6" t="str">
        <f t="shared" ca="1" si="54"/>
        <v/>
      </c>
      <c r="AY56" s="6" t="str">
        <f t="shared" ca="1" si="54"/>
        <v/>
      </c>
      <c r="AZ56" s="6" t="str">
        <f t="shared" ca="1" si="54"/>
        <v/>
      </c>
      <c r="BA56" s="6" t="str">
        <f t="shared" ca="1" si="54"/>
        <v/>
      </c>
      <c r="BB56" s="6" t="str">
        <f t="shared" ca="1" si="54"/>
        <v/>
      </c>
      <c r="BC56" s="6" t="str">
        <f t="shared" ca="1" si="54"/>
        <v/>
      </c>
      <c r="BD56" s="6" t="str">
        <f t="shared" ca="1" si="54"/>
        <v/>
      </c>
      <c r="BE56" s="6" t="str">
        <f t="shared" ca="1" si="54"/>
        <v/>
      </c>
      <c r="BF56" s="6" t="str">
        <f t="shared" ref="BF56:CH56" ca="1" si="55">IF(BF27="","",BF27-Calc_Date)</f>
        <v/>
      </c>
      <c r="BG56" s="6" t="str">
        <f t="shared" ca="1" si="55"/>
        <v/>
      </c>
      <c r="BH56" s="6" t="str">
        <f t="shared" ca="1" si="55"/>
        <v/>
      </c>
      <c r="BI56" s="6" t="str">
        <f t="shared" ca="1" si="55"/>
        <v/>
      </c>
      <c r="BJ56" s="6" t="str">
        <f t="shared" ca="1" si="55"/>
        <v/>
      </c>
      <c r="BK56" s="6" t="str">
        <f t="shared" ca="1" si="55"/>
        <v/>
      </c>
      <c r="BL56" s="6" t="str">
        <f t="shared" ca="1" si="55"/>
        <v/>
      </c>
      <c r="BM56" s="6" t="str">
        <f t="shared" ca="1" si="55"/>
        <v/>
      </c>
      <c r="BN56" s="6" t="str">
        <f t="shared" ca="1" si="55"/>
        <v/>
      </c>
      <c r="BO56" s="6" t="str">
        <f t="shared" ca="1" si="55"/>
        <v/>
      </c>
      <c r="BP56" s="6" t="str">
        <f t="shared" ca="1" si="55"/>
        <v/>
      </c>
      <c r="BQ56" s="6" t="str">
        <f t="shared" ca="1" si="55"/>
        <v/>
      </c>
      <c r="BR56" s="6" t="str">
        <f t="shared" ca="1" si="55"/>
        <v/>
      </c>
      <c r="BS56" s="6" t="str">
        <f t="shared" ca="1" si="55"/>
        <v/>
      </c>
      <c r="BT56" s="6" t="str">
        <f t="shared" ca="1" si="55"/>
        <v/>
      </c>
      <c r="BU56" s="6" t="str">
        <f t="shared" ca="1" si="55"/>
        <v/>
      </c>
      <c r="BV56" s="6" t="str">
        <f t="shared" ca="1" si="55"/>
        <v/>
      </c>
      <c r="BW56" s="6" t="str">
        <f t="shared" ca="1" si="55"/>
        <v/>
      </c>
      <c r="BX56" s="6" t="str">
        <f t="shared" ca="1" si="55"/>
        <v/>
      </c>
      <c r="BY56" s="6" t="str">
        <f t="shared" ca="1" si="55"/>
        <v/>
      </c>
      <c r="BZ56" s="6" t="str">
        <f t="shared" ca="1" si="55"/>
        <v/>
      </c>
      <c r="CA56" s="6" t="str">
        <f t="shared" ca="1" si="55"/>
        <v/>
      </c>
      <c r="CB56" s="6" t="str">
        <f t="shared" ca="1" si="55"/>
        <v/>
      </c>
      <c r="CC56" s="6" t="str">
        <f t="shared" ca="1" si="55"/>
        <v/>
      </c>
      <c r="CD56" s="6" t="str">
        <f t="shared" ca="1" si="55"/>
        <v/>
      </c>
      <c r="CE56" s="6" t="str">
        <f t="shared" ca="1" si="55"/>
        <v/>
      </c>
      <c r="CF56" s="6" t="str">
        <f t="shared" ca="1" si="55"/>
        <v/>
      </c>
      <c r="CG56" s="6" t="str">
        <f t="shared" ca="1" si="55"/>
        <v/>
      </c>
      <c r="CH56" s="6" t="str">
        <f t="shared" ca="1" si="55"/>
        <v/>
      </c>
      <c r="CI56" s="35"/>
      <c r="CJ56" s="7">
        <v>-1</v>
      </c>
      <c r="CK56" s="7">
        <f t="shared" ref="CK56:CT58" ca="1" si="56">IF(AA27&lt;$N27,$P27*(AA27-Z27)/365,IF(AA27=$N27,1+$P27*(AA27-Z27)/365,IF(AA27&gt;$N27,"")))</f>
        <v>1.3893512328767151E-2</v>
      </c>
      <c r="CL56" s="7">
        <f t="shared" ca="1" si="56"/>
        <v>1.4044528767123317E-2</v>
      </c>
      <c r="CM56" s="7">
        <f t="shared" ca="1" si="56"/>
        <v>1.3440463013698658E-2</v>
      </c>
      <c r="CN56" s="7">
        <f t="shared" ca="1" si="56"/>
        <v>1.3893512328767151E-2</v>
      </c>
      <c r="CO56" s="7">
        <f t="shared" ca="1" si="56"/>
        <v>1.3893512328767151E-2</v>
      </c>
      <c r="CP56" s="7">
        <f t="shared" ca="1" si="56"/>
        <v>1.4346561643835647E-2</v>
      </c>
      <c r="CQ56" s="7">
        <f t="shared" ca="1" si="56"/>
        <v>1.2987413698630164E-2</v>
      </c>
      <c r="CR56" s="7">
        <f t="shared" ca="1" si="56"/>
        <v>1.3893512328767151E-2</v>
      </c>
      <c r="CS56" s="7">
        <f t="shared" ca="1" si="56"/>
        <v>1.4195545205479481E-2</v>
      </c>
      <c r="CT56" s="7">
        <f t="shared" ca="1" si="56"/>
        <v>1.4044528767123317E-2</v>
      </c>
      <c r="CU56" s="7">
        <f t="shared" ref="CU56:DD58" ca="1" si="57">IF(AK27&lt;$N27,$P27*(AK27-AJ27)/365,IF(AK27=$N27,1+$P27*(AK27-AJ27)/365,IF(AK27&gt;$N27,"")))</f>
        <v>1.2987413698630164E-2</v>
      </c>
      <c r="CV56" s="7">
        <f t="shared" ca="1" si="57"/>
        <v>1.0141955452054794</v>
      </c>
      <c r="CW56" s="7" t="str">
        <f t="shared" ca="1" si="57"/>
        <v/>
      </c>
      <c r="CX56" s="7" t="str">
        <f t="shared" ca="1" si="57"/>
        <v/>
      </c>
      <c r="CY56" s="7" t="str">
        <f t="shared" ca="1" si="57"/>
        <v/>
      </c>
      <c r="CZ56" s="7" t="str">
        <f t="shared" ca="1" si="57"/>
        <v/>
      </c>
      <c r="DA56" s="7" t="str">
        <f t="shared" ca="1" si="57"/>
        <v/>
      </c>
      <c r="DB56" s="7" t="str">
        <f t="shared" ca="1" si="57"/>
        <v/>
      </c>
      <c r="DC56" s="7" t="str">
        <f t="shared" ca="1" si="57"/>
        <v/>
      </c>
      <c r="DD56" s="7" t="str">
        <f t="shared" ca="1" si="57"/>
        <v/>
      </c>
      <c r="DE56" s="7" t="str">
        <f t="shared" ref="DE56:DN58" ca="1" si="58">IF(AU27&lt;$N27,$P27*(AU27-AT27)/365,IF(AU27=$N27,1+$P27*(AU27-AT27)/365,IF(AU27&gt;$N27,"")))</f>
        <v/>
      </c>
      <c r="DF56" s="7" t="str">
        <f t="shared" ca="1" si="58"/>
        <v/>
      </c>
      <c r="DG56" s="7" t="str">
        <f t="shared" ca="1" si="58"/>
        <v/>
      </c>
      <c r="DH56" s="7" t="str">
        <f t="shared" ca="1" si="58"/>
        <v/>
      </c>
      <c r="DI56" s="7" t="str">
        <f t="shared" ca="1" si="58"/>
        <v/>
      </c>
      <c r="DJ56" s="7" t="str">
        <f t="shared" ca="1" si="58"/>
        <v/>
      </c>
      <c r="DK56" s="7" t="str">
        <f t="shared" ca="1" si="58"/>
        <v/>
      </c>
      <c r="DL56" s="7" t="str">
        <f t="shared" ca="1" si="58"/>
        <v/>
      </c>
      <c r="DM56" s="7" t="str">
        <f t="shared" ca="1" si="58"/>
        <v/>
      </c>
      <c r="DN56" s="7" t="str">
        <f t="shared" ca="1" si="58"/>
        <v/>
      </c>
      <c r="DO56" s="7" t="str">
        <f t="shared" ref="DO56:DX58" ca="1" si="59">IF(BE27&lt;$N27,$P27*(BE27-BD27)/365,IF(BE27=$N27,1+$P27*(BE27-BD27)/365,IF(BE27&gt;$N27,"")))</f>
        <v/>
      </c>
      <c r="DP56" s="7" t="str">
        <f t="shared" ca="1" si="59"/>
        <v/>
      </c>
      <c r="DQ56" s="7" t="str">
        <f t="shared" ca="1" si="59"/>
        <v/>
      </c>
      <c r="DR56" s="7" t="str">
        <f t="shared" ca="1" si="59"/>
        <v/>
      </c>
      <c r="DS56" s="7" t="str">
        <f t="shared" ca="1" si="59"/>
        <v/>
      </c>
      <c r="DT56" s="7" t="str">
        <f t="shared" ca="1" si="59"/>
        <v/>
      </c>
      <c r="DU56" s="7" t="str">
        <f t="shared" ca="1" si="59"/>
        <v/>
      </c>
      <c r="DV56" s="7" t="str">
        <f t="shared" ca="1" si="59"/>
        <v/>
      </c>
      <c r="DW56" s="7" t="str">
        <f t="shared" ca="1" si="59"/>
        <v/>
      </c>
      <c r="DX56" s="7" t="str">
        <f t="shared" ca="1" si="59"/>
        <v/>
      </c>
      <c r="DY56" s="7" t="str">
        <f t="shared" ref="DY56:EH58" ca="1" si="60">IF(BO27&lt;$N27,$P27*(BO27-BN27)/365,IF(BO27=$N27,1+$P27*(BO27-BN27)/365,IF(BO27&gt;$N27,"")))</f>
        <v/>
      </c>
      <c r="DZ56" s="7" t="str">
        <f t="shared" ca="1" si="60"/>
        <v/>
      </c>
      <c r="EA56" s="7" t="str">
        <f t="shared" ca="1" si="60"/>
        <v/>
      </c>
      <c r="EB56" s="7" t="str">
        <f t="shared" ca="1" si="60"/>
        <v/>
      </c>
      <c r="EC56" s="7" t="str">
        <f t="shared" ca="1" si="60"/>
        <v/>
      </c>
      <c r="ED56" s="7" t="str">
        <f t="shared" ca="1" si="60"/>
        <v/>
      </c>
      <c r="EE56" s="7" t="str">
        <f t="shared" ca="1" si="60"/>
        <v/>
      </c>
      <c r="EF56" s="7" t="str">
        <f t="shared" ca="1" si="60"/>
        <v/>
      </c>
      <c r="EG56" s="7" t="str">
        <f t="shared" ca="1" si="60"/>
        <v/>
      </c>
      <c r="EH56" s="7" t="str">
        <f t="shared" ca="1" si="60"/>
        <v/>
      </c>
      <c r="EI56" s="7" t="str">
        <f t="shared" ref="EI56:ER58" ca="1" si="61">IF(BY27&lt;$N27,$P27*(BY27-BX27)/365,IF(BY27=$N27,1+$P27*(BY27-BX27)/365,IF(BY27&gt;$N27,"")))</f>
        <v/>
      </c>
      <c r="EJ56" s="7" t="str">
        <f t="shared" ca="1" si="61"/>
        <v/>
      </c>
      <c r="EK56" s="7" t="str">
        <f t="shared" ca="1" si="61"/>
        <v/>
      </c>
      <c r="EL56" s="7" t="str">
        <f t="shared" ca="1" si="61"/>
        <v/>
      </c>
      <c r="EM56" s="7" t="str">
        <f t="shared" ca="1" si="61"/>
        <v/>
      </c>
      <c r="EN56" s="7" t="str">
        <f t="shared" ca="1" si="61"/>
        <v/>
      </c>
      <c r="EO56" s="7" t="str">
        <f t="shared" ca="1" si="61"/>
        <v/>
      </c>
      <c r="EP56" s="7" t="str">
        <f t="shared" ca="1" si="61"/>
        <v/>
      </c>
      <c r="EQ56" s="7" t="str">
        <f t="shared" ca="1" si="61"/>
        <v/>
      </c>
      <c r="ER56" s="7" t="str">
        <f t="shared" ca="1" si="61"/>
        <v/>
      </c>
    </row>
    <row r="57" spans="1:148">
      <c r="A57" s="1">
        <f>A56+1</f>
        <v>9</v>
      </c>
      <c r="B57" s="4">
        <f ca="1">_xll.HLV5r3.Analytics.Miscellaneous.DateRoll($B$48,A57*3,"M","MF",Holidays)</f>
        <v>44466</v>
      </c>
      <c r="C57" s="58">
        <f ca="1">_xll.HLV5r3.Analytics.Miscellaneous.LinearInterp(QZ_Nodes,B57-Calc_Date,1,2)</f>
        <v>5.4320908304898996E-2</v>
      </c>
      <c r="D57" s="59">
        <f ca="1">_xll.HLV5r3.Analytics.Miscellaneous.Zero2DF( C57,4,(B57-Calc_Date)/365)</f>
        <v>0.88505831911596744</v>
      </c>
      <c r="E57" s="59">
        <f ca="1">(B57-B56)/365</f>
        <v>0.25753424657534246</v>
      </c>
      <c r="F57" s="58">
        <f ca="1">($D$48-D57)/SUMPRODUCT(D$49:D57,E$49:E57)</f>
        <v>5.4248928044671019E-2</v>
      </c>
      <c r="G57" s="11">
        <f ca="1">SUMPRODUCT(E$49:E57,D$49:D57)*10^6*0.0001</f>
        <v>211.63183180653834</v>
      </c>
      <c r="T57" s="171"/>
      <c r="U57" s="126"/>
      <c r="W57" s="6">
        <f t="shared" si="32"/>
        <v>13</v>
      </c>
      <c r="X57" s="11">
        <f ca="1">_xll.HLV5r3.Analytics.Miscellaneous.PVFromCurve( CF_Days,CF,QZ_Nodes,W57,InterpSpace,ZeroCompFreq,Method)*10^6</f>
        <v>-10.954934599287478</v>
      </c>
      <c r="Y57" s="38" t="str">
        <f t="shared" si="25"/>
        <v>4Y</v>
      </c>
      <c r="Z57" s="6">
        <f t="shared" ref="Z57:BE57" ca="1" si="62">IF(Z28="","",Z28-Calc_Date)</f>
        <v>1</v>
      </c>
      <c r="AA57" s="6">
        <f t="shared" ca="1" si="62"/>
        <v>186</v>
      </c>
      <c r="AB57" s="6">
        <f t="shared" ca="1" si="62"/>
        <v>367</v>
      </c>
      <c r="AC57" s="6">
        <f t="shared" ca="1" si="62"/>
        <v>554</v>
      </c>
      <c r="AD57" s="6">
        <f t="shared" ca="1" si="62"/>
        <v>732</v>
      </c>
      <c r="AE57" s="6">
        <f t="shared" ca="1" si="62"/>
        <v>919</v>
      </c>
      <c r="AF57" s="6">
        <f t="shared" ca="1" si="62"/>
        <v>1099</v>
      </c>
      <c r="AG57" s="6">
        <f t="shared" ca="1" si="62"/>
        <v>1283</v>
      </c>
      <c r="AH57" s="6">
        <f t="shared" ca="1" si="62"/>
        <v>1463</v>
      </c>
      <c r="AI57" s="6" t="str">
        <f t="shared" ca="1" si="62"/>
        <v/>
      </c>
      <c r="AJ57" s="6" t="str">
        <f t="shared" ca="1" si="62"/>
        <v/>
      </c>
      <c r="AK57" s="6" t="str">
        <f t="shared" ca="1" si="62"/>
        <v/>
      </c>
      <c r="AL57" s="6" t="str">
        <f t="shared" ca="1" si="62"/>
        <v/>
      </c>
      <c r="AM57" s="6" t="str">
        <f t="shared" ca="1" si="62"/>
        <v/>
      </c>
      <c r="AN57" s="6" t="str">
        <f t="shared" ca="1" si="62"/>
        <v/>
      </c>
      <c r="AO57" s="6" t="str">
        <f t="shared" ca="1" si="62"/>
        <v/>
      </c>
      <c r="AP57" s="6" t="str">
        <f t="shared" ca="1" si="62"/>
        <v/>
      </c>
      <c r="AQ57" s="6" t="str">
        <f t="shared" ca="1" si="62"/>
        <v/>
      </c>
      <c r="AR57" s="6" t="str">
        <f t="shared" ca="1" si="62"/>
        <v/>
      </c>
      <c r="AS57" s="6" t="str">
        <f t="shared" ca="1" si="62"/>
        <v/>
      </c>
      <c r="AT57" s="6" t="str">
        <f t="shared" ca="1" si="62"/>
        <v/>
      </c>
      <c r="AU57" s="6" t="str">
        <f t="shared" ca="1" si="62"/>
        <v/>
      </c>
      <c r="AV57" s="6" t="str">
        <f t="shared" ca="1" si="62"/>
        <v/>
      </c>
      <c r="AW57" s="6" t="str">
        <f t="shared" ca="1" si="62"/>
        <v/>
      </c>
      <c r="AX57" s="6" t="str">
        <f t="shared" ca="1" si="62"/>
        <v/>
      </c>
      <c r="AY57" s="6" t="str">
        <f t="shared" ca="1" si="62"/>
        <v/>
      </c>
      <c r="AZ57" s="6" t="str">
        <f t="shared" ca="1" si="62"/>
        <v/>
      </c>
      <c r="BA57" s="6" t="str">
        <f t="shared" ca="1" si="62"/>
        <v/>
      </c>
      <c r="BB57" s="6" t="str">
        <f t="shared" ca="1" si="62"/>
        <v/>
      </c>
      <c r="BC57" s="6" t="str">
        <f t="shared" ca="1" si="62"/>
        <v/>
      </c>
      <c r="BD57" s="6" t="str">
        <f t="shared" ca="1" si="62"/>
        <v/>
      </c>
      <c r="BE57" s="6" t="str">
        <f t="shared" ca="1" si="62"/>
        <v/>
      </c>
      <c r="BF57" s="6" t="str">
        <f t="shared" ref="BF57:CH57" ca="1" si="63">IF(BF28="","",BF28-Calc_Date)</f>
        <v/>
      </c>
      <c r="BG57" s="6" t="str">
        <f t="shared" ca="1" si="63"/>
        <v/>
      </c>
      <c r="BH57" s="6" t="str">
        <f t="shared" ca="1" si="63"/>
        <v/>
      </c>
      <c r="BI57" s="6" t="str">
        <f t="shared" ca="1" si="63"/>
        <v/>
      </c>
      <c r="BJ57" s="6" t="str">
        <f t="shared" ca="1" si="63"/>
        <v/>
      </c>
      <c r="BK57" s="6" t="str">
        <f t="shared" ca="1" si="63"/>
        <v/>
      </c>
      <c r="BL57" s="6" t="str">
        <f t="shared" ca="1" si="63"/>
        <v/>
      </c>
      <c r="BM57" s="6" t="str">
        <f t="shared" ca="1" si="63"/>
        <v/>
      </c>
      <c r="BN57" s="6" t="str">
        <f t="shared" ca="1" si="63"/>
        <v/>
      </c>
      <c r="BO57" s="6" t="str">
        <f t="shared" ca="1" si="63"/>
        <v/>
      </c>
      <c r="BP57" s="6" t="str">
        <f t="shared" ca="1" si="63"/>
        <v/>
      </c>
      <c r="BQ57" s="6" t="str">
        <f t="shared" ca="1" si="63"/>
        <v/>
      </c>
      <c r="BR57" s="6" t="str">
        <f t="shared" ca="1" si="63"/>
        <v/>
      </c>
      <c r="BS57" s="6" t="str">
        <f t="shared" ca="1" si="63"/>
        <v/>
      </c>
      <c r="BT57" s="6" t="str">
        <f t="shared" ca="1" si="63"/>
        <v/>
      </c>
      <c r="BU57" s="6" t="str">
        <f t="shared" ca="1" si="63"/>
        <v/>
      </c>
      <c r="BV57" s="6" t="str">
        <f t="shared" ca="1" si="63"/>
        <v/>
      </c>
      <c r="BW57" s="6" t="str">
        <f t="shared" ca="1" si="63"/>
        <v/>
      </c>
      <c r="BX57" s="6" t="str">
        <f t="shared" ca="1" si="63"/>
        <v/>
      </c>
      <c r="BY57" s="6" t="str">
        <f t="shared" ca="1" si="63"/>
        <v/>
      </c>
      <c r="BZ57" s="6" t="str">
        <f t="shared" ca="1" si="63"/>
        <v/>
      </c>
      <c r="CA57" s="6" t="str">
        <f t="shared" ca="1" si="63"/>
        <v/>
      </c>
      <c r="CB57" s="6" t="str">
        <f t="shared" ca="1" si="63"/>
        <v/>
      </c>
      <c r="CC57" s="6" t="str">
        <f t="shared" ca="1" si="63"/>
        <v/>
      </c>
      <c r="CD57" s="6" t="str">
        <f t="shared" ca="1" si="63"/>
        <v/>
      </c>
      <c r="CE57" s="6" t="str">
        <f t="shared" ca="1" si="63"/>
        <v/>
      </c>
      <c r="CF57" s="6" t="str">
        <f t="shared" ca="1" si="63"/>
        <v/>
      </c>
      <c r="CG57" s="6" t="str">
        <f t="shared" ca="1" si="63"/>
        <v/>
      </c>
      <c r="CH57" s="6" t="str">
        <f t="shared" ca="1" si="63"/>
        <v/>
      </c>
      <c r="CI57" s="34"/>
      <c r="CJ57" s="7">
        <v>-1</v>
      </c>
      <c r="CK57" s="7">
        <f t="shared" ca="1" si="56"/>
        <v>2.8544063926940696E-2</v>
      </c>
      <c r="CL57" s="7">
        <f t="shared" ca="1" si="56"/>
        <v>2.7926894977169006E-2</v>
      </c>
      <c r="CM57" s="7">
        <f t="shared" ca="1" si="56"/>
        <v>2.8852648401826539E-2</v>
      </c>
      <c r="CN57" s="7">
        <f t="shared" ca="1" si="56"/>
        <v>2.7464018264840236E-2</v>
      </c>
      <c r="CO57" s="7">
        <f t="shared" ca="1" si="56"/>
        <v>2.8852648401826539E-2</v>
      </c>
      <c r="CP57" s="7">
        <f t="shared" ca="1" si="56"/>
        <v>2.7772602739726083E-2</v>
      </c>
      <c r="CQ57" s="7">
        <f t="shared" ca="1" si="56"/>
        <v>2.8389771689497776E-2</v>
      </c>
      <c r="CR57" s="7">
        <f t="shared" ca="1" si="56"/>
        <v>1.027772602739726</v>
      </c>
      <c r="CS57" s="7" t="str">
        <f t="shared" ca="1" si="56"/>
        <v/>
      </c>
      <c r="CT57" s="7" t="str">
        <f t="shared" ca="1" si="56"/>
        <v/>
      </c>
      <c r="CU57" s="7" t="str">
        <f t="shared" ca="1" si="57"/>
        <v/>
      </c>
      <c r="CV57" s="7" t="str">
        <f t="shared" ca="1" si="57"/>
        <v/>
      </c>
      <c r="CW57" s="7" t="str">
        <f t="shared" ca="1" si="57"/>
        <v/>
      </c>
      <c r="CX57" s="7" t="str">
        <f t="shared" ca="1" si="57"/>
        <v/>
      </c>
      <c r="CY57" s="7" t="str">
        <f t="shared" ca="1" si="57"/>
        <v/>
      </c>
      <c r="CZ57" s="7" t="str">
        <f t="shared" ca="1" si="57"/>
        <v/>
      </c>
      <c r="DA57" s="7" t="str">
        <f t="shared" ca="1" si="57"/>
        <v/>
      </c>
      <c r="DB57" s="7" t="str">
        <f t="shared" ca="1" si="57"/>
        <v/>
      </c>
      <c r="DC57" s="7" t="str">
        <f t="shared" ca="1" si="57"/>
        <v/>
      </c>
      <c r="DD57" s="7" t="str">
        <f t="shared" ca="1" si="57"/>
        <v/>
      </c>
      <c r="DE57" s="7" t="str">
        <f t="shared" ca="1" si="58"/>
        <v/>
      </c>
      <c r="DF57" s="7" t="str">
        <f t="shared" ca="1" si="58"/>
        <v/>
      </c>
      <c r="DG57" s="7" t="str">
        <f t="shared" ca="1" si="58"/>
        <v/>
      </c>
      <c r="DH57" s="7" t="str">
        <f t="shared" ca="1" si="58"/>
        <v/>
      </c>
      <c r="DI57" s="7" t="str">
        <f t="shared" ca="1" si="58"/>
        <v/>
      </c>
      <c r="DJ57" s="7" t="str">
        <f t="shared" ca="1" si="58"/>
        <v/>
      </c>
      <c r="DK57" s="7" t="str">
        <f t="shared" ca="1" si="58"/>
        <v/>
      </c>
      <c r="DL57" s="7" t="str">
        <f t="shared" ca="1" si="58"/>
        <v/>
      </c>
      <c r="DM57" s="7" t="str">
        <f t="shared" ca="1" si="58"/>
        <v/>
      </c>
      <c r="DN57" s="7" t="str">
        <f t="shared" ca="1" si="58"/>
        <v/>
      </c>
      <c r="DO57" s="7" t="str">
        <f t="shared" ca="1" si="59"/>
        <v/>
      </c>
      <c r="DP57" s="7" t="str">
        <f t="shared" ca="1" si="59"/>
        <v/>
      </c>
      <c r="DQ57" s="7" t="str">
        <f t="shared" ca="1" si="59"/>
        <v/>
      </c>
      <c r="DR57" s="7" t="str">
        <f t="shared" ca="1" si="59"/>
        <v/>
      </c>
      <c r="DS57" s="7" t="str">
        <f t="shared" ca="1" si="59"/>
        <v/>
      </c>
      <c r="DT57" s="7" t="str">
        <f t="shared" ca="1" si="59"/>
        <v/>
      </c>
      <c r="DU57" s="7" t="str">
        <f t="shared" ca="1" si="59"/>
        <v/>
      </c>
      <c r="DV57" s="7" t="str">
        <f t="shared" ca="1" si="59"/>
        <v/>
      </c>
      <c r="DW57" s="7" t="str">
        <f t="shared" ca="1" si="59"/>
        <v/>
      </c>
      <c r="DX57" s="7" t="str">
        <f t="shared" ca="1" si="59"/>
        <v/>
      </c>
      <c r="DY57" s="7" t="str">
        <f t="shared" ca="1" si="60"/>
        <v/>
      </c>
      <c r="DZ57" s="7" t="str">
        <f t="shared" ca="1" si="60"/>
        <v/>
      </c>
      <c r="EA57" s="7" t="str">
        <f t="shared" ca="1" si="60"/>
        <v/>
      </c>
      <c r="EB57" s="7" t="str">
        <f t="shared" ca="1" si="60"/>
        <v/>
      </c>
      <c r="EC57" s="7" t="str">
        <f t="shared" ca="1" si="60"/>
        <v/>
      </c>
      <c r="ED57" s="7" t="str">
        <f t="shared" ca="1" si="60"/>
        <v/>
      </c>
      <c r="EE57" s="7" t="str">
        <f t="shared" ca="1" si="60"/>
        <v/>
      </c>
      <c r="EF57" s="7" t="str">
        <f t="shared" ca="1" si="60"/>
        <v/>
      </c>
      <c r="EG57" s="7" t="str">
        <f t="shared" ca="1" si="60"/>
        <v/>
      </c>
      <c r="EH57" s="7" t="str">
        <f t="shared" ca="1" si="60"/>
        <v/>
      </c>
      <c r="EI57" s="7" t="str">
        <f t="shared" ca="1" si="61"/>
        <v/>
      </c>
      <c r="EJ57" s="7" t="str">
        <f t="shared" ca="1" si="61"/>
        <v/>
      </c>
      <c r="EK57" s="7" t="str">
        <f t="shared" ca="1" si="61"/>
        <v/>
      </c>
      <c r="EL57" s="7" t="str">
        <f t="shared" ca="1" si="61"/>
        <v/>
      </c>
      <c r="EM57" s="7" t="str">
        <f t="shared" ca="1" si="61"/>
        <v/>
      </c>
      <c r="EN57" s="7" t="str">
        <f t="shared" ca="1" si="61"/>
        <v/>
      </c>
      <c r="EO57" s="7" t="str">
        <f t="shared" ca="1" si="61"/>
        <v/>
      </c>
      <c r="EP57" s="7" t="str">
        <f t="shared" ca="1" si="61"/>
        <v/>
      </c>
      <c r="EQ57" s="7" t="str">
        <f t="shared" ca="1" si="61"/>
        <v/>
      </c>
      <c r="ER57" s="7" t="str">
        <f t="shared" ca="1" si="61"/>
        <v/>
      </c>
    </row>
    <row r="58" spans="1:148">
      <c r="A58" s="1">
        <f>A57+1</f>
        <v>10</v>
      </c>
      <c r="B58" s="4">
        <f ca="1">_xll.HLV5r3.Analytics.Miscellaneous.DateRoll($B$48,A58*3,"M","MF",Holidays)</f>
        <v>44559</v>
      </c>
      <c r="C58" s="58">
        <f ca="1">_xll.HLV5r3.Analytics.Miscellaneous.LinearInterp(QZ_Nodes,B58-Calc_Date,1,2)</f>
        <v>5.4633165694035216E-2</v>
      </c>
      <c r="D58" s="59">
        <f ca="1">_xll.HLV5r3.Analytics.Miscellaneous.Zero2DF( C58,4,(B58-Calc_Date)/365)</f>
        <v>0.87229735326571733</v>
      </c>
      <c r="E58" s="59">
        <f ca="1">(B58-B57)/365</f>
        <v>0.25479452054794521</v>
      </c>
      <c r="F58" s="58">
        <f ca="1">($D$48-D58)/SUMPRODUCT(D$49:D58,E$49:E58)</f>
        <v>5.454987385277054E-2</v>
      </c>
      <c r="G58" s="11">
        <f ca="1">SUMPRODUCT(E$49:E58,D$49:D58)*10^6*0.0001</f>
        <v>233.85749039659638</v>
      </c>
      <c r="S58" s="99"/>
      <c r="T58" s="171"/>
      <c r="U58" s="126"/>
      <c r="W58" s="6">
        <f t="shared" si="32"/>
        <v>14</v>
      </c>
      <c r="X58" s="11">
        <f ca="1">_xll.HLV5r3.Analytics.Miscellaneous.PVFromCurve( CF_Days,CF,QZ_Nodes,W58,InterpSpace,ZeroCompFreq,Method)*10^6</f>
        <v>-10.892775441244396</v>
      </c>
      <c r="Y58" s="38" t="str">
        <f t="shared" si="25"/>
        <v>5Y</v>
      </c>
      <c r="Z58" s="6">
        <f t="shared" ref="Z58:BE58" ca="1" si="64">IF(Z29="","",Z29-Calc_Date)</f>
        <v>1</v>
      </c>
      <c r="AA58" s="6">
        <f t="shared" ca="1" si="64"/>
        <v>186</v>
      </c>
      <c r="AB58" s="6">
        <f t="shared" ca="1" si="64"/>
        <v>367</v>
      </c>
      <c r="AC58" s="6">
        <f t="shared" ca="1" si="64"/>
        <v>554</v>
      </c>
      <c r="AD58" s="6">
        <f t="shared" ca="1" si="64"/>
        <v>732</v>
      </c>
      <c r="AE58" s="6">
        <f t="shared" ca="1" si="64"/>
        <v>919</v>
      </c>
      <c r="AF58" s="6">
        <f t="shared" ca="1" si="64"/>
        <v>1099</v>
      </c>
      <c r="AG58" s="6">
        <f t="shared" ca="1" si="64"/>
        <v>1283</v>
      </c>
      <c r="AH58" s="6">
        <f t="shared" ca="1" si="64"/>
        <v>1463</v>
      </c>
      <c r="AI58" s="6">
        <f t="shared" ca="1" si="64"/>
        <v>1647</v>
      </c>
      <c r="AJ58" s="6">
        <f t="shared" ca="1" si="64"/>
        <v>1828</v>
      </c>
      <c r="AK58" s="6" t="str">
        <f t="shared" ca="1" si="64"/>
        <v/>
      </c>
      <c r="AL58" s="6" t="str">
        <f t="shared" ca="1" si="64"/>
        <v/>
      </c>
      <c r="AM58" s="6" t="str">
        <f t="shared" ca="1" si="64"/>
        <v/>
      </c>
      <c r="AN58" s="6" t="str">
        <f t="shared" ca="1" si="64"/>
        <v/>
      </c>
      <c r="AO58" s="6" t="str">
        <f t="shared" ca="1" si="64"/>
        <v/>
      </c>
      <c r="AP58" s="6" t="str">
        <f t="shared" ca="1" si="64"/>
        <v/>
      </c>
      <c r="AQ58" s="6" t="str">
        <f t="shared" ca="1" si="64"/>
        <v/>
      </c>
      <c r="AR58" s="6" t="str">
        <f t="shared" ca="1" si="64"/>
        <v/>
      </c>
      <c r="AS58" s="6" t="str">
        <f t="shared" ca="1" si="64"/>
        <v/>
      </c>
      <c r="AT58" s="6" t="str">
        <f t="shared" ca="1" si="64"/>
        <v/>
      </c>
      <c r="AU58" s="6" t="str">
        <f t="shared" ca="1" si="64"/>
        <v/>
      </c>
      <c r="AV58" s="6" t="str">
        <f t="shared" ca="1" si="64"/>
        <v/>
      </c>
      <c r="AW58" s="6" t="str">
        <f t="shared" ca="1" si="64"/>
        <v/>
      </c>
      <c r="AX58" s="6" t="str">
        <f t="shared" ca="1" si="64"/>
        <v/>
      </c>
      <c r="AY58" s="6" t="str">
        <f t="shared" ca="1" si="64"/>
        <v/>
      </c>
      <c r="AZ58" s="6" t="str">
        <f t="shared" ca="1" si="64"/>
        <v/>
      </c>
      <c r="BA58" s="6" t="str">
        <f t="shared" ca="1" si="64"/>
        <v/>
      </c>
      <c r="BB58" s="6" t="str">
        <f t="shared" ca="1" si="64"/>
        <v/>
      </c>
      <c r="BC58" s="6" t="str">
        <f t="shared" ca="1" si="64"/>
        <v/>
      </c>
      <c r="BD58" s="6" t="str">
        <f t="shared" ca="1" si="64"/>
        <v/>
      </c>
      <c r="BE58" s="6" t="str">
        <f t="shared" ca="1" si="64"/>
        <v/>
      </c>
      <c r="BF58" s="6" t="str">
        <f t="shared" ref="BF58:CH58" ca="1" si="65">IF(BF29="","",BF29-Calc_Date)</f>
        <v/>
      </c>
      <c r="BG58" s="6" t="str">
        <f t="shared" ca="1" si="65"/>
        <v/>
      </c>
      <c r="BH58" s="6" t="str">
        <f t="shared" ca="1" si="65"/>
        <v/>
      </c>
      <c r="BI58" s="6" t="str">
        <f t="shared" ca="1" si="65"/>
        <v/>
      </c>
      <c r="BJ58" s="6" t="str">
        <f t="shared" ca="1" si="65"/>
        <v/>
      </c>
      <c r="BK58" s="6" t="str">
        <f t="shared" ca="1" si="65"/>
        <v/>
      </c>
      <c r="BL58" s="6" t="str">
        <f t="shared" ca="1" si="65"/>
        <v/>
      </c>
      <c r="BM58" s="6" t="str">
        <f t="shared" ca="1" si="65"/>
        <v/>
      </c>
      <c r="BN58" s="6" t="str">
        <f t="shared" ca="1" si="65"/>
        <v/>
      </c>
      <c r="BO58" s="6" t="str">
        <f t="shared" ca="1" si="65"/>
        <v/>
      </c>
      <c r="BP58" s="6" t="str">
        <f t="shared" ca="1" si="65"/>
        <v/>
      </c>
      <c r="BQ58" s="6" t="str">
        <f t="shared" ca="1" si="65"/>
        <v/>
      </c>
      <c r="BR58" s="6" t="str">
        <f t="shared" ca="1" si="65"/>
        <v/>
      </c>
      <c r="BS58" s="6" t="str">
        <f t="shared" ca="1" si="65"/>
        <v/>
      </c>
      <c r="BT58" s="6" t="str">
        <f t="shared" ca="1" si="65"/>
        <v/>
      </c>
      <c r="BU58" s="6" t="str">
        <f t="shared" ca="1" si="65"/>
        <v/>
      </c>
      <c r="BV58" s="6" t="str">
        <f t="shared" ca="1" si="65"/>
        <v/>
      </c>
      <c r="BW58" s="6" t="str">
        <f t="shared" ca="1" si="65"/>
        <v/>
      </c>
      <c r="BX58" s="6" t="str">
        <f t="shared" ca="1" si="65"/>
        <v/>
      </c>
      <c r="BY58" s="6" t="str">
        <f t="shared" ca="1" si="65"/>
        <v/>
      </c>
      <c r="BZ58" s="6" t="str">
        <f t="shared" ca="1" si="65"/>
        <v/>
      </c>
      <c r="CA58" s="6" t="str">
        <f t="shared" ca="1" si="65"/>
        <v/>
      </c>
      <c r="CB58" s="6" t="str">
        <f t="shared" ca="1" si="65"/>
        <v/>
      </c>
      <c r="CC58" s="6" t="str">
        <f t="shared" ca="1" si="65"/>
        <v/>
      </c>
      <c r="CD58" s="6" t="str">
        <f t="shared" ca="1" si="65"/>
        <v/>
      </c>
      <c r="CE58" s="6" t="str">
        <f t="shared" ca="1" si="65"/>
        <v/>
      </c>
      <c r="CF58" s="6" t="str">
        <f t="shared" ca="1" si="65"/>
        <v/>
      </c>
      <c r="CG58" s="6" t="str">
        <f t="shared" ca="1" si="65"/>
        <v/>
      </c>
      <c r="CH58" s="6" t="str">
        <f t="shared" ca="1" si="65"/>
        <v/>
      </c>
      <c r="CI58" s="34"/>
      <c r="CJ58" s="7">
        <v>-1</v>
      </c>
      <c r="CK58" s="7">
        <f t="shared" ca="1" si="56"/>
        <v>2.8983333333333396E-2</v>
      </c>
      <c r="CL58" s="7">
        <f t="shared" ca="1" si="56"/>
        <v>2.8356666666666728E-2</v>
      </c>
      <c r="CM58" s="7">
        <f t="shared" ca="1" si="56"/>
        <v>2.9296666666666731E-2</v>
      </c>
      <c r="CN58" s="7">
        <f t="shared" ca="1" si="56"/>
        <v>2.7886666666666726E-2</v>
      </c>
      <c r="CO58" s="7">
        <f t="shared" ca="1" si="56"/>
        <v>2.9296666666666731E-2</v>
      </c>
      <c r="CP58" s="7">
        <f t="shared" ca="1" si="56"/>
        <v>2.8200000000000062E-2</v>
      </c>
      <c r="CQ58" s="7">
        <f t="shared" ca="1" si="56"/>
        <v>2.8826666666666726E-2</v>
      </c>
      <c r="CR58" s="7">
        <f t="shared" ca="1" si="56"/>
        <v>2.8200000000000062E-2</v>
      </c>
      <c r="CS58" s="7">
        <f t="shared" ca="1" si="56"/>
        <v>2.8826666666666726E-2</v>
      </c>
      <c r="CT58" s="7">
        <f t="shared" ca="1" si="56"/>
        <v>1.0283566666666668</v>
      </c>
      <c r="CU58" s="7" t="str">
        <f t="shared" ca="1" si="57"/>
        <v/>
      </c>
      <c r="CV58" s="7" t="str">
        <f t="shared" ca="1" si="57"/>
        <v/>
      </c>
      <c r="CW58" s="7" t="str">
        <f t="shared" ca="1" si="57"/>
        <v/>
      </c>
      <c r="CX58" s="7" t="str">
        <f t="shared" ca="1" si="57"/>
        <v/>
      </c>
      <c r="CY58" s="7" t="str">
        <f t="shared" ca="1" si="57"/>
        <v/>
      </c>
      <c r="CZ58" s="7" t="str">
        <f t="shared" ca="1" si="57"/>
        <v/>
      </c>
      <c r="DA58" s="7" t="str">
        <f t="shared" ca="1" si="57"/>
        <v/>
      </c>
      <c r="DB58" s="7" t="str">
        <f t="shared" ca="1" si="57"/>
        <v/>
      </c>
      <c r="DC58" s="7" t="str">
        <f t="shared" ca="1" si="57"/>
        <v/>
      </c>
      <c r="DD58" s="7" t="str">
        <f t="shared" ca="1" si="57"/>
        <v/>
      </c>
      <c r="DE58" s="7" t="str">
        <f t="shared" ca="1" si="58"/>
        <v/>
      </c>
      <c r="DF58" s="7" t="str">
        <f t="shared" ca="1" si="58"/>
        <v/>
      </c>
      <c r="DG58" s="7" t="str">
        <f t="shared" ca="1" si="58"/>
        <v/>
      </c>
      <c r="DH58" s="7" t="str">
        <f t="shared" ca="1" si="58"/>
        <v/>
      </c>
      <c r="DI58" s="7" t="str">
        <f t="shared" ca="1" si="58"/>
        <v/>
      </c>
      <c r="DJ58" s="7" t="str">
        <f t="shared" ca="1" si="58"/>
        <v/>
      </c>
      <c r="DK58" s="7" t="str">
        <f t="shared" ca="1" si="58"/>
        <v/>
      </c>
      <c r="DL58" s="7" t="str">
        <f t="shared" ca="1" si="58"/>
        <v/>
      </c>
      <c r="DM58" s="7" t="str">
        <f t="shared" ca="1" si="58"/>
        <v/>
      </c>
      <c r="DN58" s="7" t="str">
        <f t="shared" ca="1" si="58"/>
        <v/>
      </c>
      <c r="DO58" s="7" t="str">
        <f t="shared" ca="1" si="59"/>
        <v/>
      </c>
      <c r="DP58" s="7" t="str">
        <f t="shared" ca="1" si="59"/>
        <v/>
      </c>
      <c r="DQ58" s="7" t="str">
        <f t="shared" ca="1" si="59"/>
        <v/>
      </c>
      <c r="DR58" s="7" t="str">
        <f t="shared" ca="1" si="59"/>
        <v/>
      </c>
      <c r="DS58" s="7" t="str">
        <f t="shared" ca="1" si="59"/>
        <v/>
      </c>
      <c r="DT58" s="7" t="str">
        <f t="shared" ca="1" si="59"/>
        <v/>
      </c>
      <c r="DU58" s="7" t="str">
        <f t="shared" ca="1" si="59"/>
        <v/>
      </c>
      <c r="DV58" s="7" t="str">
        <f t="shared" ca="1" si="59"/>
        <v/>
      </c>
      <c r="DW58" s="7" t="str">
        <f t="shared" ca="1" si="59"/>
        <v/>
      </c>
      <c r="DX58" s="7" t="str">
        <f t="shared" ca="1" si="59"/>
        <v/>
      </c>
      <c r="DY58" s="7" t="str">
        <f t="shared" ca="1" si="60"/>
        <v/>
      </c>
      <c r="DZ58" s="7" t="str">
        <f t="shared" ca="1" si="60"/>
        <v/>
      </c>
      <c r="EA58" s="7" t="str">
        <f t="shared" ca="1" si="60"/>
        <v/>
      </c>
      <c r="EB58" s="7" t="str">
        <f t="shared" ca="1" si="60"/>
        <v/>
      </c>
      <c r="EC58" s="7" t="str">
        <f t="shared" ca="1" si="60"/>
        <v/>
      </c>
      <c r="ED58" s="7" t="str">
        <f t="shared" ca="1" si="60"/>
        <v/>
      </c>
      <c r="EE58" s="7" t="str">
        <f t="shared" ca="1" si="60"/>
        <v/>
      </c>
      <c r="EF58" s="7" t="str">
        <f t="shared" ca="1" si="60"/>
        <v/>
      </c>
      <c r="EG58" s="7" t="str">
        <f t="shared" ca="1" si="60"/>
        <v/>
      </c>
      <c r="EH58" s="7" t="str">
        <f t="shared" ca="1" si="60"/>
        <v/>
      </c>
      <c r="EI58" s="7" t="str">
        <f t="shared" ca="1" si="61"/>
        <v/>
      </c>
      <c r="EJ58" s="7" t="str">
        <f t="shared" ca="1" si="61"/>
        <v/>
      </c>
      <c r="EK58" s="7" t="str">
        <f t="shared" ca="1" si="61"/>
        <v/>
      </c>
      <c r="EL58" s="7" t="str">
        <f t="shared" ca="1" si="61"/>
        <v/>
      </c>
      <c r="EM58" s="7" t="str">
        <f t="shared" ca="1" si="61"/>
        <v/>
      </c>
      <c r="EN58" s="7" t="str">
        <f t="shared" ca="1" si="61"/>
        <v/>
      </c>
      <c r="EO58" s="7" t="str">
        <f t="shared" ca="1" si="61"/>
        <v/>
      </c>
      <c r="EP58" s="7" t="str">
        <f t="shared" ca="1" si="61"/>
        <v/>
      </c>
      <c r="EQ58" s="7" t="str">
        <f t="shared" ca="1" si="61"/>
        <v/>
      </c>
      <c r="ER58" s="7" t="str">
        <f t="shared" ca="1" si="61"/>
        <v/>
      </c>
    </row>
    <row r="59" spans="1:148" ht="13.5" thickBot="1">
      <c r="A59" s="1">
        <f>A58+1</f>
        <v>11</v>
      </c>
      <c r="B59" s="4">
        <f ca="1">_xll.HLV5r3.Analytics.Miscellaneous.DateRoll($B$48,A59*3,"M","MF",Holidays)</f>
        <v>44645</v>
      </c>
      <c r="C59" s="58">
        <f ca="1">_xll.HLV5r3.Analytics.Miscellaneous.LinearInterp(QZ_Nodes,B59-Calc_Date,1,2)</f>
        <v>5.492191983882784E-2</v>
      </c>
      <c r="D59" s="59">
        <f ca="1">_xll.HLV5r3.Analytics.Miscellaneous.Zero2DF( C59,4,(B59-Calc_Date)/365)</f>
        <v>0.86054050756075595</v>
      </c>
      <c r="E59" s="59">
        <f ca="1">(B59-B58)/365</f>
        <v>0.23561643835616439</v>
      </c>
      <c r="F59" s="58">
        <f ca="1">($D$48-D59)/SUMPRODUCT(D$49:D59,E$49:E59)</f>
        <v>5.4823923101273937E-2</v>
      </c>
      <c r="G59" s="11">
        <f ca="1">SUMPRODUCT(E$49:E59,D$49:D59)*10^6*0.0001</f>
        <v>254.13323934186349</v>
      </c>
      <c r="H59" s="118"/>
      <c r="T59" s="171"/>
      <c r="U59" s="126"/>
      <c r="W59" s="6">
        <f t="shared" si="32"/>
        <v>15</v>
      </c>
      <c r="X59" s="11">
        <f ca="1">_xll.HLV5r3.Analytics.Miscellaneous.PVFromCurve( CF_Days,CF,QZ_Nodes,W59,InterpSpace,ZeroCompFreq,Method)*10^6</f>
        <v>-1.0098035984341101</v>
      </c>
      <c r="Y59" s="38" t="str">
        <f t="shared" ref="Y59:Y68" si="66">B30</f>
        <v>6Y</v>
      </c>
      <c r="Z59" s="6">
        <f t="shared" ref="Z59:CH59" ca="1" si="67">IF(Z30="","",Z30-Calc_Date)</f>
        <v>1</v>
      </c>
      <c r="AA59" s="6">
        <f t="shared" ca="1" si="67"/>
        <v>186</v>
      </c>
      <c r="AB59" s="6">
        <f t="shared" ca="1" si="67"/>
        <v>367</v>
      </c>
      <c r="AC59" s="6">
        <f t="shared" ca="1" si="67"/>
        <v>554</v>
      </c>
      <c r="AD59" s="6">
        <f t="shared" ca="1" si="67"/>
        <v>732</v>
      </c>
      <c r="AE59" s="6">
        <f t="shared" ca="1" si="67"/>
        <v>919</v>
      </c>
      <c r="AF59" s="6">
        <f t="shared" ca="1" si="67"/>
        <v>1099</v>
      </c>
      <c r="AG59" s="6">
        <f t="shared" ca="1" si="67"/>
        <v>1283</v>
      </c>
      <c r="AH59" s="6">
        <f t="shared" ca="1" si="67"/>
        <v>1463</v>
      </c>
      <c r="AI59" s="6">
        <f t="shared" ca="1" si="67"/>
        <v>1647</v>
      </c>
      <c r="AJ59" s="6">
        <f t="shared" ca="1" si="67"/>
        <v>1828</v>
      </c>
      <c r="AK59" s="6">
        <f t="shared" ca="1" si="67"/>
        <v>2013</v>
      </c>
      <c r="AL59" s="6">
        <f t="shared" ca="1" si="67"/>
        <v>2193</v>
      </c>
      <c r="AM59" s="6" t="str">
        <f t="shared" ca="1" si="67"/>
        <v/>
      </c>
      <c r="AN59" s="6" t="str">
        <f t="shared" ca="1" si="67"/>
        <v/>
      </c>
      <c r="AO59" s="6" t="str">
        <f t="shared" ca="1" si="67"/>
        <v/>
      </c>
      <c r="AP59" s="6" t="str">
        <f t="shared" ca="1" si="67"/>
        <v/>
      </c>
      <c r="AQ59" s="6" t="str">
        <f t="shared" ca="1" si="67"/>
        <v/>
      </c>
      <c r="AR59" s="6" t="str">
        <f t="shared" ca="1" si="67"/>
        <v/>
      </c>
      <c r="AS59" s="6" t="str">
        <f t="shared" ca="1" si="67"/>
        <v/>
      </c>
      <c r="AT59" s="6" t="str">
        <f t="shared" ca="1" si="67"/>
        <v/>
      </c>
      <c r="AU59" s="6" t="str">
        <f t="shared" ca="1" si="67"/>
        <v/>
      </c>
      <c r="AV59" s="6" t="str">
        <f t="shared" ca="1" si="67"/>
        <v/>
      </c>
      <c r="AW59" s="6" t="str">
        <f t="shared" ca="1" si="67"/>
        <v/>
      </c>
      <c r="AX59" s="6" t="str">
        <f t="shared" ca="1" si="67"/>
        <v/>
      </c>
      <c r="AY59" s="6" t="str">
        <f t="shared" ca="1" si="67"/>
        <v/>
      </c>
      <c r="AZ59" s="6" t="str">
        <f t="shared" ca="1" si="67"/>
        <v/>
      </c>
      <c r="BA59" s="6" t="str">
        <f t="shared" ca="1" si="67"/>
        <v/>
      </c>
      <c r="BB59" s="6" t="str">
        <f t="shared" ca="1" si="67"/>
        <v/>
      </c>
      <c r="BC59" s="6" t="str">
        <f t="shared" ca="1" si="67"/>
        <v/>
      </c>
      <c r="BD59" s="6" t="str">
        <f t="shared" ca="1" si="67"/>
        <v/>
      </c>
      <c r="BE59" s="6" t="str">
        <f t="shared" ca="1" si="67"/>
        <v/>
      </c>
      <c r="BF59" s="6" t="str">
        <f t="shared" ca="1" si="67"/>
        <v/>
      </c>
      <c r="BG59" s="6" t="str">
        <f t="shared" ca="1" si="67"/>
        <v/>
      </c>
      <c r="BH59" s="6" t="str">
        <f t="shared" ca="1" si="67"/>
        <v/>
      </c>
      <c r="BI59" s="6" t="str">
        <f t="shared" ca="1" si="67"/>
        <v/>
      </c>
      <c r="BJ59" s="6" t="str">
        <f t="shared" ca="1" si="67"/>
        <v/>
      </c>
      <c r="BK59" s="6" t="str">
        <f t="shared" ca="1" si="67"/>
        <v/>
      </c>
      <c r="BL59" s="6" t="str">
        <f t="shared" ca="1" si="67"/>
        <v/>
      </c>
      <c r="BM59" s="6" t="str">
        <f t="shared" ca="1" si="67"/>
        <v/>
      </c>
      <c r="BN59" s="6" t="str">
        <f t="shared" ca="1" si="67"/>
        <v/>
      </c>
      <c r="BO59" s="6" t="str">
        <f t="shared" ca="1" si="67"/>
        <v/>
      </c>
      <c r="BP59" s="6" t="str">
        <f t="shared" ca="1" si="67"/>
        <v/>
      </c>
      <c r="BQ59" s="6" t="str">
        <f t="shared" ca="1" si="67"/>
        <v/>
      </c>
      <c r="BR59" s="6" t="str">
        <f t="shared" ca="1" si="67"/>
        <v/>
      </c>
      <c r="BS59" s="6" t="str">
        <f t="shared" ca="1" si="67"/>
        <v/>
      </c>
      <c r="BT59" s="6" t="str">
        <f t="shared" ca="1" si="67"/>
        <v/>
      </c>
      <c r="BU59" s="6" t="str">
        <f t="shared" ca="1" si="67"/>
        <v/>
      </c>
      <c r="BV59" s="6" t="str">
        <f t="shared" ca="1" si="67"/>
        <v/>
      </c>
      <c r="BW59" s="6" t="str">
        <f t="shared" ca="1" si="67"/>
        <v/>
      </c>
      <c r="BX59" s="6" t="str">
        <f t="shared" ca="1" si="67"/>
        <v/>
      </c>
      <c r="BY59" s="6" t="str">
        <f t="shared" ca="1" si="67"/>
        <v/>
      </c>
      <c r="BZ59" s="6" t="str">
        <f t="shared" ca="1" si="67"/>
        <v/>
      </c>
      <c r="CA59" s="6" t="str">
        <f t="shared" ca="1" si="67"/>
        <v/>
      </c>
      <c r="CB59" s="6" t="str">
        <f t="shared" ca="1" si="67"/>
        <v/>
      </c>
      <c r="CC59" s="6" t="str">
        <f t="shared" ca="1" si="67"/>
        <v/>
      </c>
      <c r="CD59" s="6" t="str">
        <f t="shared" ca="1" si="67"/>
        <v/>
      </c>
      <c r="CE59" s="6" t="str">
        <f t="shared" ca="1" si="67"/>
        <v/>
      </c>
      <c r="CF59" s="6" t="str">
        <f t="shared" ca="1" si="67"/>
        <v/>
      </c>
      <c r="CG59" s="6" t="str">
        <f t="shared" ca="1" si="67"/>
        <v/>
      </c>
      <c r="CH59" s="6" t="str">
        <f t="shared" ca="1" si="67"/>
        <v/>
      </c>
      <c r="CI59" s="34"/>
      <c r="CJ59" s="7">
        <v>-1</v>
      </c>
      <c r="CK59" s="7">
        <f t="shared" ref="CK59:ER59" ca="1" si="68">IF(AA30&lt;$N30,$P30*(AA30-Z30)/365,IF(AA30=$N30,1+$P30*(AA30-Z30)/365,IF(AA30&gt;$N30,"")))</f>
        <v>2.9338127853881311E-2</v>
      </c>
      <c r="CL59" s="7">
        <f t="shared" ca="1" si="68"/>
        <v>2.8703789954337932E-2</v>
      </c>
      <c r="CM59" s="7">
        <f t="shared" ca="1" si="68"/>
        <v>2.9655296803652999E-2</v>
      </c>
      <c r="CN59" s="7">
        <f t="shared" ca="1" si="68"/>
        <v>2.8228036529680398E-2</v>
      </c>
      <c r="CO59" s="7">
        <f t="shared" ca="1" si="68"/>
        <v>2.9655296803652999E-2</v>
      </c>
      <c r="CP59" s="7">
        <f t="shared" ca="1" si="68"/>
        <v>2.8545205479452086E-2</v>
      </c>
      <c r="CQ59" s="7">
        <f t="shared" ca="1" si="68"/>
        <v>2.9179543378995469E-2</v>
      </c>
      <c r="CR59" s="7">
        <f t="shared" ca="1" si="68"/>
        <v>2.8545205479452086E-2</v>
      </c>
      <c r="CS59" s="7">
        <f t="shared" ca="1" si="68"/>
        <v>2.9179543378995469E-2</v>
      </c>
      <c r="CT59" s="7">
        <f t="shared" ca="1" si="68"/>
        <v>2.8703789954337932E-2</v>
      </c>
      <c r="CU59" s="7">
        <f t="shared" ca="1" si="68"/>
        <v>2.9338127853881311E-2</v>
      </c>
      <c r="CV59" s="7">
        <f t="shared" ca="1" si="68"/>
        <v>1.0285452054794522</v>
      </c>
      <c r="CW59" s="7" t="str">
        <f t="shared" ca="1" si="68"/>
        <v/>
      </c>
      <c r="CX59" s="7" t="str">
        <f t="shared" ca="1" si="68"/>
        <v/>
      </c>
      <c r="CY59" s="7" t="str">
        <f t="shared" ca="1" si="68"/>
        <v/>
      </c>
      <c r="CZ59" s="7" t="str">
        <f t="shared" ca="1" si="68"/>
        <v/>
      </c>
      <c r="DA59" s="7" t="str">
        <f t="shared" ca="1" si="68"/>
        <v/>
      </c>
      <c r="DB59" s="7" t="str">
        <f t="shared" ca="1" si="68"/>
        <v/>
      </c>
      <c r="DC59" s="7" t="str">
        <f t="shared" ca="1" si="68"/>
        <v/>
      </c>
      <c r="DD59" s="7" t="str">
        <f t="shared" ca="1" si="68"/>
        <v/>
      </c>
      <c r="DE59" s="7" t="str">
        <f t="shared" ca="1" si="68"/>
        <v/>
      </c>
      <c r="DF59" s="7" t="str">
        <f t="shared" ca="1" si="68"/>
        <v/>
      </c>
      <c r="DG59" s="7" t="str">
        <f t="shared" ca="1" si="68"/>
        <v/>
      </c>
      <c r="DH59" s="7" t="str">
        <f t="shared" ca="1" si="68"/>
        <v/>
      </c>
      <c r="DI59" s="7" t="str">
        <f t="shared" ca="1" si="68"/>
        <v/>
      </c>
      <c r="DJ59" s="7" t="str">
        <f t="shared" ca="1" si="68"/>
        <v/>
      </c>
      <c r="DK59" s="7" t="str">
        <f t="shared" ca="1" si="68"/>
        <v/>
      </c>
      <c r="DL59" s="7" t="str">
        <f t="shared" ca="1" si="68"/>
        <v/>
      </c>
      <c r="DM59" s="7" t="str">
        <f t="shared" ca="1" si="68"/>
        <v/>
      </c>
      <c r="DN59" s="7" t="str">
        <f t="shared" ca="1" si="68"/>
        <v/>
      </c>
      <c r="DO59" s="7" t="str">
        <f t="shared" ca="1" si="68"/>
        <v/>
      </c>
      <c r="DP59" s="7" t="str">
        <f t="shared" ca="1" si="68"/>
        <v/>
      </c>
      <c r="DQ59" s="7" t="str">
        <f t="shared" ca="1" si="68"/>
        <v/>
      </c>
      <c r="DR59" s="7" t="str">
        <f t="shared" ca="1" si="68"/>
        <v/>
      </c>
      <c r="DS59" s="7" t="str">
        <f t="shared" ca="1" si="68"/>
        <v/>
      </c>
      <c r="DT59" s="7" t="str">
        <f t="shared" ca="1" si="68"/>
        <v/>
      </c>
      <c r="DU59" s="7" t="str">
        <f t="shared" ca="1" si="68"/>
        <v/>
      </c>
      <c r="DV59" s="7" t="str">
        <f t="shared" ca="1" si="68"/>
        <v/>
      </c>
      <c r="DW59" s="7" t="str">
        <f t="shared" ca="1" si="68"/>
        <v/>
      </c>
      <c r="DX59" s="7" t="str">
        <f t="shared" ca="1" si="68"/>
        <v/>
      </c>
      <c r="DY59" s="7" t="str">
        <f t="shared" ca="1" si="68"/>
        <v/>
      </c>
      <c r="DZ59" s="7" t="str">
        <f t="shared" ca="1" si="68"/>
        <v/>
      </c>
      <c r="EA59" s="7" t="str">
        <f t="shared" ca="1" si="68"/>
        <v/>
      </c>
      <c r="EB59" s="7" t="str">
        <f t="shared" ca="1" si="68"/>
        <v/>
      </c>
      <c r="EC59" s="7" t="str">
        <f t="shared" ca="1" si="68"/>
        <v/>
      </c>
      <c r="ED59" s="7" t="str">
        <f t="shared" ca="1" si="68"/>
        <v/>
      </c>
      <c r="EE59" s="7" t="str">
        <f t="shared" ca="1" si="68"/>
        <v/>
      </c>
      <c r="EF59" s="7" t="str">
        <f t="shared" ca="1" si="68"/>
        <v/>
      </c>
      <c r="EG59" s="7" t="str">
        <f t="shared" ca="1" si="68"/>
        <v/>
      </c>
      <c r="EH59" s="7" t="str">
        <f t="shared" ca="1" si="68"/>
        <v/>
      </c>
      <c r="EI59" s="7" t="str">
        <f t="shared" ca="1" si="68"/>
        <v/>
      </c>
      <c r="EJ59" s="7" t="str">
        <f t="shared" ca="1" si="68"/>
        <v/>
      </c>
      <c r="EK59" s="7" t="str">
        <f t="shared" ca="1" si="68"/>
        <v/>
      </c>
      <c r="EL59" s="7" t="str">
        <f t="shared" ca="1" si="68"/>
        <v/>
      </c>
      <c r="EM59" s="7" t="str">
        <f t="shared" ca="1" si="68"/>
        <v/>
      </c>
      <c r="EN59" s="7" t="str">
        <f t="shared" ca="1" si="68"/>
        <v/>
      </c>
      <c r="EO59" s="7" t="str">
        <f t="shared" ca="1" si="68"/>
        <v/>
      </c>
      <c r="EP59" s="7" t="str">
        <f t="shared" ca="1" si="68"/>
        <v/>
      </c>
      <c r="EQ59" s="7" t="str">
        <f t="shared" ca="1" si="68"/>
        <v/>
      </c>
      <c r="ER59" s="7" t="str">
        <f t="shared" ca="1" si="68"/>
        <v/>
      </c>
    </row>
    <row r="60" spans="1:148" ht="13.5" thickBot="1">
      <c r="A60" s="1">
        <f>A59+1</f>
        <v>12</v>
      </c>
      <c r="B60" s="55">
        <f ca="1">_xll.HLV5r3.Analytics.Miscellaneous.DateRoll($B$48,A60*3,"M","MF",Holidays)</f>
        <v>44739</v>
      </c>
      <c r="C60" s="56">
        <f ca="1">_xll.HLV5r3.Analytics.Miscellaneous.LinearInterp(QZ_Nodes,B60-Calc_Date,1,2)</f>
        <v>5.5236508375132734E-2</v>
      </c>
      <c r="D60" s="57">
        <f ca="1">_xll.HLV5r3.Analytics.Miscellaneous.Zero2DF( C60,4,(B60-Calc_Date)/365)</f>
        <v>0.84774364987217121</v>
      </c>
      <c r="E60" s="57">
        <f ca="1">(B60-B59)/365</f>
        <v>0.25753424657534246</v>
      </c>
      <c r="F60" s="56">
        <f ca="1">($D$48-D60)/SUMPRODUCT(D$49:D60,E$49:E60)</f>
        <v>5.5123791376797925E-2</v>
      </c>
      <c r="G60" s="73">
        <f ca="1">SUMPRODUCT(E$49:E60,D$49:D60)*10^6*0.0001</f>
        <v>275.96554155774953</v>
      </c>
      <c r="H60" s="2"/>
      <c r="M60" s="13" t="s">
        <v>67</v>
      </c>
      <c r="N60" s="15" t="s">
        <v>100</v>
      </c>
      <c r="O60" s="16" t="s">
        <v>98</v>
      </c>
      <c r="P60" s="13" t="s">
        <v>101</v>
      </c>
      <c r="Q60" s="15" t="s">
        <v>102</v>
      </c>
      <c r="R60" s="16" t="s">
        <v>103</v>
      </c>
      <c r="S60" s="16" t="s">
        <v>104</v>
      </c>
      <c r="T60" s="171"/>
      <c r="U60" s="126"/>
      <c r="W60" s="6">
        <f t="shared" si="32"/>
        <v>16</v>
      </c>
      <c r="X60" s="11">
        <f ca="1">_xll.HLV5r3.Analytics.Miscellaneous.PVFromCurve( CF_Days,CF,QZ_Nodes,W60,InterpSpace,ZeroCompFreq,Method)*10^6</f>
        <v>-1.5619790985619044</v>
      </c>
      <c r="Y60" s="38" t="str">
        <f t="shared" si="66"/>
        <v>7Y</v>
      </c>
      <c r="Z60" s="6">
        <f t="shared" ref="Z60:CH60" ca="1" si="69">IF(Z31="","",Z31-Calc_Date)</f>
        <v>1</v>
      </c>
      <c r="AA60" s="6">
        <f t="shared" ca="1" si="69"/>
        <v>186</v>
      </c>
      <c r="AB60" s="6">
        <f t="shared" ca="1" si="69"/>
        <v>367</v>
      </c>
      <c r="AC60" s="6">
        <f t="shared" ca="1" si="69"/>
        <v>554</v>
      </c>
      <c r="AD60" s="6">
        <f t="shared" ca="1" si="69"/>
        <v>732</v>
      </c>
      <c r="AE60" s="6">
        <f t="shared" ca="1" si="69"/>
        <v>919</v>
      </c>
      <c r="AF60" s="6">
        <f t="shared" ca="1" si="69"/>
        <v>1099</v>
      </c>
      <c r="AG60" s="6">
        <f t="shared" ca="1" si="69"/>
        <v>1283</v>
      </c>
      <c r="AH60" s="6">
        <f t="shared" ca="1" si="69"/>
        <v>1463</v>
      </c>
      <c r="AI60" s="6">
        <f t="shared" ca="1" si="69"/>
        <v>1647</v>
      </c>
      <c r="AJ60" s="6">
        <f t="shared" ca="1" si="69"/>
        <v>1828</v>
      </c>
      <c r="AK60" s="6">
        <f t="shared" ca="1" si="69"/>
        <v>2013</v>
      </c>
      <c r="AL60" s="6">
        <f t="shared" ca="1" si="69"/>
        <v>2193</v>
      </c>
      <c r="AM60" s="6">
        <f t="shared" ca="1" si="69"/>
        <v>2380</v>
      </c>
      <c r="AN60" s="6">
        <f t="shared" ca="1" si="69"/>
        <v>2558</v>
      </c>
      <c r="AO60" s="6" t="str">
        <f t="shared" ca="1" si="69"/>
        <v/>
      </c>
      <c r="AP60" s="6" t="str">
        <f t="shared" ca="1" si="69"/>
        <v/>
      </c>
      <c r="AQ60" s="6" t="str">
        <f t="shared" ca="1" si="69"/>
        <v/>
      </c>
      <c r="AR60" s="6" t="str">
        <f t="shared" ca="1" si="69"/>
        <v/>
      </c>
      <c r="AS60" s="6" t="str">
        <f t="shared" ca="1" si="69"/>
        <v/>
      </c>
      <c r="AT60" s="6" t="str">
        <f t="shared" ca="1" si="69"/>
        <v/>
      </c>
      <c r="AU60" s="6" t="str">
        <f t="shared" ca="1" si="69"/>
        <v/>
      </c>
      <c r="AV60" s="6" t="str">
        <f t="shared" ca="1" si="69"/>
        <v/>
      </c>
      <c r="AW60" s="6" t="str">
        <f t="shared" ca="1" si="69"/>
        <v/>
      </c>
      <c r="AX60" s="6" t="str">
        <f t="shared" ca="1" si="69"/>
        <v/>
      </c>
      <c r="AY60" s="6" t="str">
        <f t="shared" ca="1" si="69"/>
        <v/>
      </c>
      <c r="AZ60" s="6" t="str">
        <f t="shared" ca="1" si="69"/>
        <v/>
      </c>
      <c r="BA60" s="6" t="str">
        <f t="shared" ca="1" si="69"/>
        <v/>
      </c>
      <c r="BB60" s="6" t="str">
        <f t="shared" ca="1" si="69"/>
        <v/>
      </c>
      <c r="BC60" s="6" t="str">
        <f t="shared" ca="1" si="69"/>
        <v/>
      </c>
      <c r="BD60" s="6" t="str">
        <f t="shared" ca="1" si="69"/>
        <v/>
      </c>
      <c r="BE60" s="6" t="str">
        <f t="shared" ca="1" si="69"/>
        <v/>
      </c>
      <c r="BF60" s="6" t="str">
        <f t="shared" ca="1" si="69"/>
        <v/>
      </c>
      <c r="BG60" s="6" t="str">
        <f t="shared" ca="1" si="69"/>
        <v/>
      </c>
      <c r="BH60" s="6" t="str">
        <f t="shared" ca="1" si="69"/>
        <v/>
      </c>
      <c r="BI60" s="6" t="str">
        <f t="shared" ca="1" si="69"/>
        <v/>
      </c>
      <c r="BJ60" s="6" t="str">
        <f t="shared" ca="1" si="69"/>
        <v/>
      </c>
      <c r="BK60" s="6" t="str">
        <f t="shared" ca="1" si="69"/>
        <v/>
      </c>
      <c r="BL60" s="6" t="str">
        <f t="shared" ca="1" si="69"/>
        <v/>
      </c>
      <c r="BM60" s="6" t="str">
        <f t="shared" ca="1" si="69"/>
        <v/>
      </c>
      <c r="BN60" s="6" t="str">
        <f t="shared" ca="1" si="69"/>
        <v/>
      </c>
      <c r="BO60" s="6" t="str">
        <f t="shared" ca="1" si="69"/>
        <v/>
      </c>
      <c r="BP60" s="6" t="str">
        <f t="shared" ca="1" si="69"/>
        <v/>
      </c>
      <c r="BQ60" s="6" t="str">
        <f t="shared" ca="1" si="69"/>
        <v/>
      </c>
      <c r="BR60" s="6" t="str">
        <f t="shared" ca="1" si="69"/>
        <v/>
      </c>
      <c r="BS60" s="6" t="str">
        <f t="shared" ca="1" si="69"/>
        <v/>
      </c>
      <c r="BT60" s="6" t="str">
        <f t="shared" ca="1" si="69"/>
        <v/>
      </c>
      <c r="BU60" s="6" t="str">
        <f t="shared" ca="1" si="69"/>
        <v/>
      </c>
      <c r="BV60" s="6" t="str">
        <f t="shared" ca="1" si="69"/>
        <v/>
      </c>
      <c r="BW60" s="6" t="str">
        <f t="shared" ca="1" si="69"/>
        <v/>
      </c>
      <c r="BX60" s="6" t="str">
        <f t="shared" ca="1" si="69"/>
        <v/>
      </c>
      <c r="BY60" s="6" t="str">
        <f t="shared" ca="1" si="69"/>
        <v/>
      </c>
      <c r="BZ60" s="6" t="str">
        <f t="shared" ca="1" si="69"/>
        <v/>
      </c>
      <c r="CA60" s="6" t="str">
        <f t="shared" ca="1" si="69"/>
        <v/>
      </c>
      <c r="CB60" s="6" t="str">
        <f t="shared" ca="1" si="69"/>
        <v/>
      </c>
      <c r="CC60" s="6" t="str">
        <f t="shared" ca="1" si="69"/>
        <v/>
      </c>
      <c r="CD60" s="6" t="str">
        <f t="shared" ca="1" si="69"/>
        <v/>
      </c>
      <c r="CE60" s="6" t="str">
        <f t="shared" ca="1" si="69"/>
        <v/>
      </c>
      <c r="CF60" s="6" t="str">
        <f t="shared" ca="1" si="69"/>
        <v/>
      </c>
      <c r="CG60" s="6" t="str">
        <f t="shared" ca="1" si="69"/>
        <v/>
      </c>
      <c r="CH60" s="6" t="str">
        <f t="shared" ca="1" si="69"/>
        <v/>
      </c>
      <c r="CI60" s="34"/>
      <c r="CJ60" s="7">
        <v>-1</v>
      </c>
      <c r="CK60" s="7">
        <f t="shared" ref="CK60:ER60" ca="1" si="70">IF(AA31&lt;$N31,$P31*(AA31-Z31)/365,IF(AA31=$N31,1+$P31*(AA31-Z31)/365,IF(AA31&gt;$N31,"")))</f>
        <v>2.9638013698630169E-2</v>
      </c>
      <c r="CL60" s="7">
        <f t="shared" ca="1" si="70"/>
        <v>2.8997191780821947E-2</v>
      </c>
      <c r="CM60" s="7">
        <f t="shared" ca="1" si="70"/>
        <v>2.9958424657534274E-2</v>
      </c>
      <c r="CN60" s="7">
        <f t="shared" ca="1" si="70"/>
        <v>2.8516575342465784E-2</v>
      </c>
      <c r="CO60" s="7">
        <f t="shared" ca="1" si="70"/>
        <v>2.9958424657534274E-2</v>
      </c>
      <c r="CP60" s="7">
        <f t="shared" ca="1" si="70"/>
        <v>2.8836986301369896E-2</v>
      </c>
      <c r="CQ60" s="7">
        <f t="shared" ca="1" si="70"/>
        <v>2.9477808219178114E-2</v>
      </c>
      <c r="CR60" s="7">
        <f t="shared" ca="1" si="70"/>
        <v>2.8836986301369896E-2</v>
      </c>
      <c r="CS60" s="7">
        <f t="shared" ca="1" si="70"/>
        <v>2.9477808219178114E-2</v>
      </c>
      <c r="CT60" s="7">
        <f t="shared" ca="1" si="70"/>
        <v>2.8997191780821947E-2</v>
      </c>
      <c r="CU60" s="7">
        <f t="shared" ca="1" si="70"/>
        <v>2.9638013698630169E-2</v>
      </c>
      <c r="CV60" s="7">
        <f t="shared" ca="1" si="70"/>
        <v>2.8836986301369896E-2</v>
      </c>
      <c r="CW60" s="7">
        <f t="shared" ca="1" si="70"/>
        <v>2.9958424657534274E-2</v>
      </c>
      <c r="CX60" s="7">
        <f t="shared" ca="1" si="70"/>
        <v>1.0285165753424659</v>
      </c>
      <c r="CY60" s="7" t="str">
        <f t="shared" ca="1" si="70"/>
        <v/>
      </c>
      <c r="CZ60" s="7" t="str">
        <f t="shared" ca="1" si="70"/>
        <v/>
      </c>
      <c r="DA60" s="7" t="str">
        <f t="shared" ca="1" si="70"/>
        <v/>
      </c>
      <c r="DB60" s="7" t="str">
        <f t="shared" ca="1" si="70"/>
        <v/>
      </c>
      <c r="DC60" s="7" t="str">
        <f t="shared" ca="1" si="70"/>
        <v/>
      </c>
      <c r="DD60" s="7" t="str">
        <f t="shared" ca="1" si="70"/>
        <v/>
      </c>
      <c r="DE60" s="7" t="str">
        <f t="shared" ca="1" si="70"/>
        <v/>
      </c>
      <c r="DF60" s="7" t="str">
        <f t="shared" ca="1" si="70"/>
        <v/>
      </c>
      <c r="DG60" s="7" t="str">
        <f t="shared" ca="1" si="70"/>
        <v/>
      </c>
      <c r="DH60" s="7" t="str">
        <f t="shared" ca="1" si="70"/>
        <v/>
      </c>
      <c r="DI60" s="7" t="str">
        <f t="shared" ca="1" si="70"/>
        <v/>
      </c>
      <c r="DJ60" s="7" t="str">
        <f t="shared" ca="1" si="70"/>
        <v/>
      </c>
      <c r="DK60" s="7" t="str">
        <f t="shared" ca="1" si="70"/>
        <v/>
      </c>
      <c r="DL60" s="7" t="str">
        <f t="shared" ca="1" si="70"/>
        <v/>
      </c>
      <c r="DM60" s="7" t="str">
        <f t="shared" ca="1" si="70"/>
        <v/>
      </c>
      <c r="DN60" s="7" t="str">
        <f t="shared" ca="1" si="70"/>
        <v/>
      </c>
      <c r="DO60" s="7" t="str">
        <f t="shared" ca="1" si="70"/>
        <v/>
      </c>
      <c r="DP60" s="7" t="str">
        <f t="shared" ca="1" si="70"/>
        <v/>
      </c>
      <c r="DQ60" s="7" t="str">
        <f t="shared" ca="1" si="70"/>
        <v/>
      </c>
      <c r="DR60" s="7" t="str">
        <f t="shared" ca="1" si="70"/>
        <v/>
      </c>
      <c r="DS60" s="7" t="str">
        <f t="shared" ca="1" si="70"/>
        <v/>
      </c>
      <c r="DT60" s="7" t="str">
        <f t="shared" ca="1" si="70"/>
        <v/>
      </c>
      <c r="DU60" s="7" t="str">
        <f t="shared" ca="1" si="70"/>
        <v/>
      </c>
      <c r="DV60" s="7" t="str">
        <f t="shared" ca="1" si="70"/>
        <v/>
      </c>
      <c r="DW60" s="7" t="str">
        <f t="shared" ca="1" si="70"/>
        <v/>
      </c>
      <c r="DX60" s="7" t="str">
        <f t="shared" ca="1" si="70"/>
        <v/>
      </c>
      <c r="DY60" s="7" t="str">
        <f t="shared" ca="1" si="70"/>
        <v/>
      </c>
      <c r="DZ60" s="7" t="str">
        <f t="shared" ca="1" si="70"/>
        <v/>
      </c>
      <c r="EA60" s="7" t="str">
        <f t="shared" ca="1" si="70"/>
        <v/>
      </c>
      <c r="EB60" s="7" t="str">
        <f t="shared" ca="1" si="70"/>
        <v/>
      </c>
      <c r="EC60" s="7" t="str">
        <f t="shared" ca="1" si="70"/>
        <v/>
      </c>
      <c r="ED60" s="7" t="str">
        <f t="shared" ca="1" si="70"/>
        <v/>
      </c>
      <c r="EE60" s="7" t="str">
        <f t="shared" ca="1" si="70"/>
        <v/>
      </c>
      <c r="EF60" s="7" t="str">
        <f t="shared" ca="1" si="70"/>
        <v/>
      </c>
      <c r="EG60" s="7" t="str">
        <f t="shared" ca="1" si="70"/>
        <v/>
      </c>
      <c r="EH60" s="7" t="str">
        <f t="shared" ca="1" si="70"/>
        <v/>
      </c>
      <c r="EI60" s="7" t="str">
        <f t="shared" ca="1" si="70"/>
        <v/>
      </c>
      <c r="EJ60" s="7" t="str">
        <f t="shared" ca="1" si="70"/>
        <v/>
      </c>
      <c r="EK60" s="7" t="str">
        <f t="shared" ca="1" si="70"/>
        <v/>
      </c>
      <c r="EL60" s="7" t="str">
        <f t="shared" ca="1" si="70"/>
        <v/>
      </c>
      <c r="EM60" s="7" t="str">
        <f t="shared" ca="1" si="70"/>
        <v/>
      </c>
      <c r="EN60" s="7" t="str">
        <f t="shared" ca="1" si="70"/>
        <v/>
      </c>
      <c r="EO60" s="7" t="str">
        <f t="shared" ca="1" si="70"/>
        <v/>
      </c>
      <c r="EP60" s="7" t="str">
        <f t="shared" ca="1" si="70"/>
        <v/>
      </c>
      <c r="EQ60" s="7" t="str">
        <f t="shared" ca="1" si="70"/>
        <v/>
      </c>
      <c r="ER60" s="7" t="str">
        <f t="shared" ca="1" si="70"/>
        <v/>
      </c>
    </row>
    <row r="61" spans="1:148" ht="13.5" thickBot="1">
      <c r="A61" s="1"/>
      <c r="B61" s="4"/>
      <c r="C61" s="58"/>
      <c r="D61" s="59"/>
      <c r="E61" s="37" t="s">
        <v>99</v>
      </c>
      <c r="F61" s="2">
        <f ca="1">($D$52-D56)/SUMPRODUCT(D$53:D56,E$53:E56)</f>
        <v>5.5982787965287981E-2</v>
      </c>
      <c r="G61" s="58"/>
      <c r="H61" s="56"/>
      <c r="L61" s="146" t="s">
        <v>105</v>
      </c>
      <c r="M61" s="147">
        <f ca="1">N16</f>
        <v>43671</v>
      </c>
      <c r="N61" s="148">
        <f ca="1">_xll.HLV5r3.Analytics.Miscellaneous.DateRoll(M61,3,"M","MF",Holidays)</f>
        <v>43763</v>
      </c>
      <c r="O61" s="149">
        <f ca="1">(_xll.HLV5r3.Analytics.Miscellaneous.Zero2DF(_xll.HLV5r3.Analytics.Miscellaneous.LinearInterp(QZ_Nodes,M61-Calc_Date,1,2),4,(M61-Calc_Date)/365)/_xll.HLV5r3.Analytics.Miscellaneous.Zero2DF(_xll.HLV5r3.Analytics.Miscellaneous.LinearInterp(QZ_Nodes,N61-Calc_Date,1,2),4,(N61-Calc_Date)/365)-1)*365/(N61-M61)</f>
        <v>5.0574191452731301E-2</v>
      </c>
      <c r="P61" s="150" t="e">
        <f ca="1">_xll.RtGet("IDN_SELECTFEED","AU"&amp;L61&amp;"F=TTKL","PRIM ACT 1")</f>
        <v>#NAME?</v>
      </c>
      <c r="Q61" s="151" t="e">
        <f ca="1">_xll.RtGet("IDN_SELECTFEED","AU"&amp;L61&amp;"F=TTKL","SECOND ACTIVY 1")</f>
        <v>#NAME?</v>
      </c>
      <c r="R61" s="234">
        <v>5.07</v>
      </c>
      <c r="S61" s="152">
        <f ca="1">(O61-R61%)*10000</f>
        <v>-1.2580854726870068</v>
      </c>
      <c r="T61" s="171"/>
      <c r="U61" s="126"/>
      <c r="W61" s="6">
        <f t="shared" si="32"/>
        <v>17</v>
      </c>
      <c r="X61" s="11">
        <f ca="1">_xll.HLV5r3.Analytics.Miscellaneous.PVFromCurve( CF_Days,CF,QZ_Nodes,W61,InterpSpace,ZeroCompFreq,Method)*10^6</f>
        <v>11.439359987805052</v>
      </c>
      <c r="Y61" s="38" t="str">
        <f t="shared" si="66"/>
        <v>8Y</v>
      </c>
      <c r="Z61" s="6">
        <f t="shared" ref="Z61:CH61" ca="1" si="71">IF(Z32="","",Z32-Calc_Date)</f>
        <v>1</v>
      </c>
      <c r="AA61" s="6">
        <f t="shared" ca="1" si="71"/>
        <v>186</v>
      </c>
      <c r="AB61" s="6">
        <f t="shared" ca="1" si="71"/>
        <v>367</v>
      </c>
      <c r="AC61" s="6">
        <f t="shared" ca="1" si="71"/>
        <v>554</v>
      </c>
      <c r="AD61" s="6">
        <f t="shared" ca="1" si="71"/>
        <v>732</v>
      </c>
      <c r="AE61" s="6">
        <f t="shared" ca="1" si="71"/>
        <v>919</v>
      </c>
      <c r="AF61" s="6">
        <f t="shared" ca="1" si="71"/>
        <v>1099</v>
      </c>
      <c r="AG61" s="6">
        <f t="shared" ca="1" si="71"/>
        <v>1283</v>
      </c>
      <c r="AH61" s="6">
        <f t="shared" ca="1" si="71"/>
        <v>1463</v>
      </c>
      <c r="AI61" s="6">
        <f t="shared" ca="1" si="71"/>
        <v>1647</v>
      </c>
      <c r="AJ61" s="6">
        <f t="shared" ca="1" si="71"/>
        <v>1828</v>
      </c>
      <c r="AK61" s="6">
        <f t="shared" ca="1" si="71"/>
        <v>2013</v>
      </c>
      <c r="AL61" s="6">
        <f t="shared" ca="1" si="71"/>
        <v>2193</v>
      </c>
      <c r="AM61" s="6">
        <f t="shared" ca="1" si="71"/>
        <v>2380</v>
      </c>
      <c r="AN61" s="6">
        <f t="shared" ca="1" si="71"/>
        <v>2558</v>
      </c>
      <c r="AO61" s="6">
        <f t="shared" ca="1" si="71"/>
        <v>2745</v>
      </c>
      <c r="AP61" s="6">
        <f t="shared" ca="1" si="71"/>
        <v>2923</v>
      </c>
      <c r="AQ61" s="6" t="str">
        <f t="shared" ca="1" si="71"/>
        <v/>
      </c>
      <c r="AR61" s="6" t="str">
        <f t="shared" ca="1" si="71"/>
        <v/>
      </c>
      <c r="AS61" s="6" t="str">
        <f t="shared" ca="1" si="71"/>
        <v/>
      </c>
      <c r="AT61" s="6" t="str">
        <f t="shared" ca="1" si="71"/>
        <v/>
      </c>
      <c r="AU61" s="6" t="str">
        <f t="shared" ca="1" si="71"/>
        <v/>
      </c>
      <c r="AV61" s="6" t="str">
        <f t="shared" ca="1" si="71"/>
        <v/>
      </c>
      <c r="AW61" s="6" t="str">
        <f t="shared" ca="1" si="71"/>
        <v/>
      </c>
      <c r="AX61" s="6" t="str">
        <f t="shared" ca="1" si="71"/>
        <v/>
      </c>
      <c r="AY61" s="6" t="str">
        <f t="shared" ca="1" si="71"/>
        <v/>
      </c>
      <c r="AZ61" s="6" t="str">
        <f t="shared" ca="1" si="71"/>
        <v/>
      </c>
      <c r="BA61" s="6" t="str">
        <f t="shared" ca="1" si="71"/>
        <v/>
      </c>
      <c r="BB61" s="6" t="str">
        <f t="shared" ca="1" si="71"/>
        <v/>
      </c>
      <c r="BC61" s="6" t="str">
        <f t="shared" ca="1" si="71"/>
        <v/>
      </c>
      <c r="BD61" s="6" t="str">
        <f t="shared" ca="1" si="71"/>
        <v/>
      </c>
      <c r="BE61" s="6" t="str">
        <f t="shared" ca="1" si="71"/>
        <v/>
      </c>
      <c r="BF61" s="6" t="str">
        <f t="shared" ca="1" si="71"/>
        <v/>
      </c>
      <c r="BG61" s="6" t="str">
        <f t="shared" ca="1" si="71"/>
        <v/>
      </c>
      <c r="BH61" s="6" t="str">
        <f t="shared" ca="1" si="71"/>
        <v/>
      </c>
      <c r="BI61" s="6" t="str">
        <f t="shared" ca="1" si="71"/>
        <v/>
      </c>
      <c r="BJ61" s="6" t="str">
        <f t="shared" ca="1" si="71"/>
        <v/>
      </c>
      <c r="BK61" s="6" t="str">
        <f t="shared" ca="1" si="71"/>
        <v/>
      </c>
      <c r="BL61" s="6" t="str">
        <f t="shared" ca="1" si="71"/>
        <v/>
      </c>
      <c r="BM61" s="6" t="str">
        <f t="shared" ca="1" si="71"/>
        <v/>
      </c>
      <c r="BN61" s="6" t="str">
        <f t="shared" ca="1" si="71"/>
        <v/>
      </c>
      <c r="BO61" s="6" t="str">
        <f t="shared" ca="1" si="71"/>
        <v/>
      </c>
      <c r="BP61" s="6" t="str">
        <f t="shared" ca="1" si="71"/>
        <v/>
      </c>
      <c r="BQ61" s="6" t="str">
        <f t="shared" ca="1" si="71"/>
        <v/>
      </c>
      <c r="BR61" s="6" t="str">
        <f t="shared" ca="1" si="71"/>
        <v/>
      </c>
      <c r="BS61" s="6" t="str">
        <f t="shared" ca="1" si="71"/>
        <v/>
      </c>
      <c r="BT61" s="6" t="str">
        <f t="shared" ca="1" si="71"/>
        <v/>
      </c>
      <c r="BU61" s="6" t="str">
        <f t="shared" ca="1" si="71"/>
        <v/>
      </c>
      <c r="BV61" s="6" t="str">
        <f t="shared" ca="1" si="71"/>
        <v/>
      </c>
      <c r="BW61" s="6" t="str">
        <f t="shared" ca="1" si="71"/>
        <v/>
      </c>
      <c r="BX61" s="6" t="str">
        <f t="shared" ca="1" si="71"/>
        <v/>
      </c>
      <c r="BY61" s="6" t="str">
        <f t="shared" ca="1" si="71"/>
        <v/>
      </c>
      <c r="BZ61" s="6" t="str">
        <f t="shared" ca="1" si="71"/>
        <v/>
      </c>
      <c r="CA61" s="6" t="str">
        <f t="shared" ca="1" si="71"/>
        <v/>
      </c>
      <c r="CB61" s="6" t="str">
        <f t="shared" ca="1" si="71"/>
        <v/>
      </c>
      <c r="CC61" s="6" t="str">
        <f t="shared" ca="1" si="71"/>
        <v/>
      </c>
      <c r="CD61" s="6" t="str">
        <f t="shared" ca="1" si="71"/>
        <v/>
      </c>
      <c r="CE61" s="6" t="str">
        <f t="shared" ca="1" si="71"/>
        <v/>
      </c>
      <c r="CF61" s="6" t="str">
        <f t="shared" ca="1" si="71"/>
        <v/>
      </c>
      <c r="CG61" s="6" t="str">
        <f t="shared" ca="1" si="71"/>
        <v/>
      </c>
      <c r="CH61" s="6" t="str">
        <f t="shared" ca="1" si="71"/>
        <v/>
      </c>
      <c r="CI61" s="34"/>
      <c r="CJ61" s="7">
        <v>-1</v>
      </c>
      <c r="CK61" s="7">
        <f t="shared" ref="CK61:ER61" ca="1" si="72">IF(AA32&lt;$N32,$P32*(AA32-Z32)/365,IF(AA32=$N32,1+$P32*(AA32-Z32)/365,IF(AA32&gt;$N32,"")))</f>
        <v>2.9793588280060918E-2</v>
      </c>
      <c r="CL61" s="7">
        <f t="shared" ca="1" si="72"/>
        <v>2.9149402587519059E-2</v>
      </c>
      <c r="CM61" s="7">
        <f t="shared" ca="1" si="72"/>
        <v>3.0115681126331846E-2</v>
      </c>
      <c r="CN61" s="7">
        <f t="shared" ca="1" si="72"/>
        <v>2.8666263318112666E-2</v>
      </c>
      <c r="CO61" s="7">
        <f t="shared" ca="1" si="72"/>
        <v>3.0115681126331846E-2</v>
      </c>
      <c r="CP61" s="7">
        <f t="shared" ca="1" si="72"/>
        <v>2.8988356164383597E-2</v>
      </c>
      <c r="CQ61" s="7">
        <f t="shared" ca="1" si="72"/>
        <v>2.9632541856925449E-2</v>
      </c>
      <c r="CR61" s="7">
        <f t="shared" ca="1" si="72"/>
        <v>2.8988356164383597E-2</v>
      </c>
      <c r="CS61" s="7">
        <f t="shared" ca="1" si="72"/>
        <v>2.9632541856925449E-2</v>
      </c>
      <c r="CT61" s="7">
        <f t="shared" ca="1" si="72"/>
        <v>2.9149402587519059E-2</v>
      </c>
      <c r="CU61" s="7">
        <f t="shared" ca="1" si="72"/>
        <v>2.9793588280060918E-2</v>
      </c>
      <c r="CV61" s="7">
        <f t="shared" ca="1" si="72"/>
        <v>2.8988356164383597E-2</v>
      </c>
      <c r="CW61" s="7">
        <f t="shared" ca="1" si="72"/>
        <v>3.0115681126331846E-2</v>
      </c>
      <c r="CX61" s="7">
        <f t="shared" ca="1" si="72"/>
        <v>2.8666263318112666E-2</v>
      </c>
      <c r="CY61" s="7">
        <f t="shared" ca="1" si="72"/>
        <v>3.0115681126331846E-2</v>
      </c>
      <c r="CZ61" s="7">
        <f t="shared" ca="1" si="72"/>
        <v>1.0286662633181127</v>
      </c>
      <c r="DA61" s="7" t="str">
        <f t="shared" ca="1" si="72"/>
        <v/>
      </c>
      <c r="DB61" s="7" t="str">
        <f t="shared" ca="1" si="72"/>
        <v/>
      </c>
      <c r="DC61" s="7" t="str">
        <f t="shared" ca="1" si="72"/>
        <v/>
      </c>
      <c r="DD61" s="7" t="str">
        <f t="shared" ca="1" si="72"/>
        <v/>
      </c>
      <c r="DE61" s="7" t="str">
        <f t="shared" ca="1" si="72"/>
        <v/>
      </c>
      <c r="DF61" s="7" t="str">
        <f t="shared" ca="1" si="72"/>
        <v/>
      </c>
      <c r="DG61" s="7" t="str">
        <f t="shared" ca="1" si="72"/>
        <v/>
      </c>
      <c r="DH61" s="7" t="str">
        <f t="shared" ca="1" si="72"/>
        <v/>
      </c>
      <c r="DI61" s="7" t="str">
        <f t="shared" ca="1" si="72"/>
        <v/>
      </c>
      <c r="DJ61" s="7" t="str">
        <f t="shared" ca="1" si="72"/>
        <v/>
      </c>
      <c r="DK61" s="7" t="str">
        <f t="shared" ca="1" si="72"/>
        <v/>
      </c>
      <c r="DL61" s="7" t="str">
        <f t="shared" ca="1" si="72"/>
        <v/>
      </c>
      <c r="DM61" s="7" t="str">
        <f t="shared" ca="1" si="72"/>
        <v/>
      </c>
      <c r="DN61" s="7" t="str">
        <f t="shared" ca="1" si="72"/>
        <v/>
      </c>
      <c r="DO61" s="7" t="str">
        <f t="shared" ca="1" si="72"/>
        <v/>
      </c>
      <c r="DP61" s="7" t="str">
        <f t="shared" ca="1" si="72"/>
        <v/>
      </c>
      <c r="DQ61" s="7" t="str">
        <f t="shared" ca="1" si="72"/>
        <v/>
      </c>
      <c r="DR61" s="7" t="str">
        <f t="shared" ca="1" si="72"/>
        <v/>
      </c>
      <c r="DS61" s="7" t="str">
        <f t="shared" ca="1" si="72"/>
        <v/>
      </c>
      <c r="DT61" s="7" t="str">
        <f t="shared" ca="1" si="72"/>
        <v/>
      </c>
      <c r="DU61" s="7" t="str">
        <f t="shared" ca="1" si="72"/>
        <v/>
      </c>
      <c r="DV61" s="7" t="str">
        <f t="shared" ca="1" si="72"/>
        <v/>
      </c>
      <c r="DW61" s="7" t="str">
        <f t="shared" ca="1" si="72"/>
        <v/>
      </c>
      <c r="DX61" s="7" t="str">
        <f t="shared" ca="1" si="72"/>
        <v/>
      </c>
      <c r="DY61" s="7" t="str">
        <f t="shared" ca="1" si="72"/>
        <v/>
      </c>
      <c r="DZ61" s="7" t="str">
        <f t="shared" ca="1" si="72"/>
        <v/>
      </c>
      <c r="EA61" s="7" t="str">
        <f t="shared" ca="1" si="72"/>
        <v/>
      </c>
      <c r="EB61" s="7" t="str">
        <f t="shared" ca="1" si="72"/>
        <v/>
      </c>
      <c r="EC61" s="7" t="str">
        <f t="shared" ca="1" si="72"/>
        <v/>
      </c>
      <c r="ED61" s="7" t="str">
        <f t="shared" ca="1" si="72"/>
        <v/>
      </c>
      <c r="EE61" s="7" t="str">
        <f t="shared" ca="1" si="72"/>
        <v/>
      </c>
      <c r="EF61" s="7" t="str">
        <f t="shared" ca="1" si="72"/>
        <v/>
      </c>
      <c r="EG61" s="7" t="str">
        <f t="shared" ca="1" si="72"/>
        <v/>
      </c>
      <c r="EH61" s="7" t="str">
        <f t="shared" ca="1" si="72"/>
        <v/>
      </c>
      <c r="EI61" s="7" t="str">
        <f t="shared" ca="1" si="72"/>
        <v/>
      </c>
      <c r="EJ61" s="7" t="str">
        <f t="shared" ca="1" si="72"/>
        <v/>
      </c>
      <c r="EK61" s="7" t="str">
        <f t="shared" ca="1" si="72"/>
        <v/>
      </c>
      <c r="EL61" s="7" t="str">
        <f t="shared" ca="1" si="72"/>
        <v/>
      </c>
      <c r="EM61" s="7" t="str">
        <f t="shared" ca="1" si="72"/>
        <v/>
      </c>
      <c r="EN61" s="7" t="str">
        <f t="shared" ca="1" si="72"/>
        <v/>
      </c>
      <c r="EO61" s="7" t="str">
        <f t="shared" ca="1" si="72"/>
        <v/>
      </c>
      <c r="EP61" s="7" t="str">
        <f t="shared" ca="1" si="72"/>
        <v/>
      </c>
      <c r="EQ61" s="7" t="str">
        <f t="shared" ca="1" si="72"/>
        <v/>
      </c>
      <c r="ER61" s="7" t="str">
        <f t="shared" ca="1" si="72"/>
        <v/>
      </c>
    </row>
    <row r="62" spans="1:148" ht="13.5" thickBot="1">
      <c r="A62" s="236" t="s">
        <v>60</v>
      </c>
      <c r="B62" s="237"/>
      <c r="C62" s="237"/>
      <c r="D62" s="237"/>
      <c r="E62" s="237"/>
      <c r="F62" s="238"/>
      <c r="H62" s="11"/>
      <c r="L62" s="153" t="s">
        <v>106</v>
      </c>
      <c r="M62" s="154">
        <f ca="1">N17</f>
        <v>43703</v>
      </c>
      <c r="N62" s="155">
        <f ca="1">_xll.HLV5r3.Analytics.Miscellaneous.DateRoll(M62,3,"M","MF",Holidays)</f>
        <v>43795</v>
      </c>
      <c r="O62" s="149">
        <f ca="1">(_xll.HLV5r3.Analytics.Miscellaneous.Zero2DF(_xll.HLV5r3.Analytics.Miscellaneous.LinearInterp(QZ_Nodes,M62-Calc_Date,1,2),4,(M62-Calc_Date)/365)/_xll.HLV5r3.Analytics.Miscellaneous.Zero2DF(_xll.HLV5r3.Analytics.Miscellaneous.LinearInterp(QZ_Nodes,N62-Calc_Date,1,2),4,(N62-Calc_Date)/365)-1)*365/(N62-M62)</f>
        <v>5.1014610933958371E-2</v>
      </c>
      <c r="P62" s="150" t="e">
        <f ca="1">_xll.RtGet("IDN_SELECTFEED","AU"&amp;L62&amp;"F=TTKL","PRIM ACT 1")</f>
        <v>#NAME?</v>
      </c>
      <c r="Q62" s="151" t="e">
        <f ca="1">_xll.RtGet("IDN_SELECTFEED","AU"&amp;L62&amp;"F=TTKL","SECOND ACTIVY 1")</f>
        <v>#NAME?</v>
      </c>
      <c r="R62" s="234">
        <v>5.1100000000000003</v>
      </c>
      <c r="S62" s="152">
        <f ca="1">(O62-R62%)*10000</f>
        <v>-0.85389066041635653</v>
      </c>
      <c r="T62" s="171"/>
      <c r="U62" s="126"/>
      <c r="W62" s="6">
        <f t="shared" si="32"/>
        <v>18</v>
      </c>
      <c r="X62" s="11">
        <f ca="1">_xll.HLV5r3.Analytics.Miscellaneous.PVFromCurve( CF_Days,CF,QZ_Nodes,W62,InterpSpace,ZeroCompFreq,Method)*10^6</f>
        <v>-7.3602245299598215</v>
      </c>
      <c r="Y62" s="38" t="str">
        <f t="shared" si="66"/>
        <v>9Y</v>
      </c>
      <c r="Z62" s="6">
        <f t="shared" ref="Z62:CH62" ca="1" si="73">IF(Z33="","",Z33-Calc_Date)</f>
        <v>1</v>
      </c>
      <c r="AA62" s="6">
        <f t="shared" ca="1" si="73"/>
        <v>186</v>
      </c>
      <c r="AB62" s="6">
        <f t="shared" ca="1" si="73"/>
        <v>367</v>
      </c>
      <c r="AC62" s="6">
        <f t="shared" ca="1" si="73"/>
        <v>554</v>
      </c>
      <c r="AD62" s="6">
        <f t="shared" ca="1" si="73"/>
        <v>732</v>
      </c>
      <c r="AE62" s="6">
        <f t="shared" ca="1" si="73"/>
        <v>919</v>
      </c>
      <c r="AF62" s="6">
        <f t="shared" ca="1" si="73"/>
        <v>1099</v>
      </c>
      <c r="AG62" s="6">
        <f t="shared" ca="1" si="73"/>
        <v>1283</v>
      </c>
      <c r="AH62" s="6">
        <f t="shared" ca="1" si="73"/>
        <v>1463</v>
      </c>
      <c r="AI62" s="6">
        <f t="shared" ca="1" si="73"/>
        <v>1647</v>
      </c>
      <c r="AJ62" s="6">
        <f t="shared" ca="1" si="73"/>
        <v>1828</v>
      </c>
      <c r="AK62" s="6">
        <f t="shared" ca="1" si="73"/>
        <v>2013</v>
      </c>
      <c r="AL62" s="6">
        <f t="shared" ca="1" si="73"/>
        <v>2193</v>
      </c>
      <c r="AM62" s="6">
        <f t="shared" ca="1" si="73"/>
        <v>2380</v>
      </c>
      <c r="AN62" s="6">
        <f t="shared" ca="1" si="73"/>
        <v>2558</v>
      </c>
      <c r="AO62" s="6">
        <f t="shared" ca="1" si="73"/>
        <v>2745</v>
      </c>
      <c r="AP62" s="6">
        <f t="shared" ca="1" si="73"/>
        <v>2923</v>
      </c>
      <c r="AQ62" s="6">
        <f t="shared" ca="1" si="73"/>
        <v>3110</v>
      </c>
      <c r="AR62" s="6">
        <f t="shared" ca="1" si="73"/>
        <v>3290</v>
      </c>
      <c r="AS62" s="6" t="str">
        <f t="shared" ca="1" si="73"/>
        <v/>
      </c>
      <c r="AT62" s="6" t="str">
        <f t="shared" ca="1" si="73"/>
        <v/>
      </c>
      <c r="AU62" s="6" t="str">
        <f t="shared" ca="1" si="73"/>
        <v/>
      </c>
      <c r="AV62" s="6" t="str">
        <f t="shared" ca="1" si="73"/>
        <v/>
      </c>
      <c r="AW62" s="6" t="str">
        <f t="shared" ca="1" si="73"/>
        <v/>
      </c>
      <c r="AX62" s="6" t="str">
        <f t="shared" ca="1" si="73"/>
        <v/>
      </c>
      <c r="AY62" s="6" t="str">
        <f t="shared" ca="1" si="73"/>
        <v/>
      </c>
      <c r="AZ62" s="6" t="str">
        <f t="shared" ca="1" si="73"/>
        <v/>
      </c>
      <c r="BA62" s="6" t="str">
        <f t="shared" ca="1" si="73"/>
        <v/>
      </c>
      <c r="BB62" s="6" t="str">
        <f t="shared" ca="1" si="73"/>
        <v/>
      </c>
      <c r="BC62" s="6" t="str">
        <f t="shared" ca="1" si="73"/>
        <v/>
      </c>
      <c r="BD62" s="6" t="str">
        <f t="shared" ca="1" si="73"/>
        <v/>
      </c>
      <c r="BE62" s="6" t="str">
        <f t="shared" ca="1" si="73"/>
        <v/>
      </c>
      <c r="BF62" s="6" t="str">
        <f t="shared" ca="1" si="73"/>
        <v/>
      </c>
      <c r="BG62" s="6" t="str">
        <f t="shared" ca="1" si="73"/>
        <v/>
      </c>
      <c r="BH62" s="6" t="str">
        <f t="shared" ca="1" si="73"/>
        <v/>
      </c>
      <c r="BI62" s="6" t="str">
        <f t="shared" ca="1" si="73"/>
        <v/>
      </c>
      <c r="BJ62" s="6" t="str">
        <f t="shared" ca="1" si="73"/>
        <v/>
      </c>
      <c r="BK62" s="6" t="str">
        <f t="shared" ca="1" si="73"/>
        <v/>
      </c>
      <c r="BL62" s="6" t="str">
        <f t="shared" ca="1" si="73"/>
        <v/>
      </c>
      <c r="BM62" s="6" t="str">
        <f t="shared" ca="1" si="73"/>
        <v/>
      </c>
      <c r="BN62" s="6" t="str">
        <f t="shared" ca="1" si="73"/>
        <v/>
      </c>
      <c r="BO62" s="6" t="str">
        <f t="shared" ca="1" si="73"/>
        <v/>
      </c>
      <c r="BP62" s="6" t="str">
        <f t="shared" ca="1" si="73"/>
        <v/>
      </c>
      <c r="BQ62" s="6" t="str">
        <f t="shared" ca="1" si="73"/>
        <v/>
      </c>
      <c r="BR62" s="6" t="str">
        <f t="shared" ca="1" si="73"/>
        <v/>
      </c>
      <c r="BS62" s="6" t="str">
        <f t="shared" ca="1" si="73"/>
        <v/>
      </c>
      <c r="BT62" s="6" t="str">
        <f t="shared" ca="1" si="73"/>
        <v/>
      </c>
      <c r="BU62" s="6" t="str">
        <f t="shared" ca="1" si="73"/>
        <v/>
      </c>
      <c r="BV62" s="6" t="str">
        <f t="shared" ca="1" si="73"/>
        <v/>
      </c>
      <c r="BW62" s="6" t="str">
        <f t="shared" ca="1" si="73"/>
        <v/>
      </c>
      <c r="BX62" s="6" t="str">
        <f t="shared" ca="1" si="73"/>
        <v/>
      </c>
      <c r="BY62" s="6" t="str">
        <f t="shared" ca="1" si="73"/>
        <v/>
      </c>
      <c r="BZ62" s="6" t="str">
        <f t="shared" ca="1" si="73"/>
        <v/>
      </c>
      <c r="CA62" s="6" t="str">
        <f t="shared" ca="1" si="73"/>
        <v/>
      </c>
      <c r="CB62" s="6" t="str">
        <f t="shared" ca="1" si="73"/>
        <v/>
      </c>
      <c r="CC62" s="6" t="str">
        <f t="shared" ca="1" si="73"/>
        <v/>
      </c>
      <c r="CD62" s="6" t="str">
        <f t="shared" ca="1" si="73"/>
        <v/>
      </c>
      <c r="CE62" s="6" t="str">
        <f t="shared" ca="1" si="73"/>
        <v/>
      </c>
      <c r="CF62" s="6" t="str">
        <f t="shared" ca="1" si="73"/>
        <v/>
      </c>
      <c r="CG62" s="6" t="str">
        <f t="shared" ca="1" si="73"/>
        <v/>
      </c>
      <c r="CH62" s="6" t="str">
        <f t="shared" ca="1" si="73"/>
        <v/>
      </c>
      <c r="CI62" s="34"/>
      <c r="CJ62" s="7">
        <v>-1</v>
      </c>
      <c r="CK62" s="7">
        <f t="shared" ref="CK62:ER62" ca="1" si="74">IF(AA33&lt;$N33,$P33*(AA33-Z33)/365,IF(AA33=$N33,1+$P33*(AA33-Z33)/365,IF(AA33&gt;$N33,"")))</f>
        <v>2.9917484779299872E-2</v>
      </c>
      <c r="CL62" s="7">
        <f t="shared" ca="1" si="74"/>
        <v>2.9270620243531227E-2</v>
      </c>
      <c r="CM62" s="7">
        <f t="shared" ca="1" si="74"/>
        <v>3.0240917047184197E-2</v>
      </c>
      <c r="CN62" s="7">
        <f t="shared" ca="1" si="74"/>
        <v>2.8785471841704741E-2</v>
      </c>
      <c r="CO62" s="7">
        <f t="shared" ca="1" si="74"/>
        <v>3.0240917047184197E-2</v>
      </c>
      <c r="CP62" s="7">
        <f t="shared" ca="1" si="74"/>
        <v>2.9108904109589068E-2</v>
      </c>
      <c r="CQ62" s="7">
        <f t="shared" ca="1" si="74"/>
        <v>2.9755768645357714E-2</v>
      </c>
      <c r="CR62" s="7">
        <f t="shared" ca="1" si="74"/>
        <v>2.9108904109589068E-2</v>
      </c>
      <c r="CS62" s="7">
        <f t="shared" ca="1" si="74"/>
        <v>2.9755768645357714E-2</v>
      </c>
      <c r="CT62" s="7">
        <f t="shared" ca="1" si="74"/>
        <v>2.9270620243531227E-2</v>
      </c>
      <c r="CU62" s="7">
        <f t="shared" ca="1" si="74"/>
        <v>2.9917484779299872E-2</v>
      </c>
      <c r="CV62" s="7">
        <f t="shared" ca="1" si="74"/>
        <v>2.9108904109589068E-2</v>
      </c>
      <c r="CW62" s="7">
        <f t="shared" ca="1" si="74"/>
        <v>3.0240917047184197E-2</v>
      </c>
      <c r="CX62" s="7">
        <f t="shared" ca="1" si="74"/>
        <v>2.8785471841704741E-2</v>
      </c>
      <c r="CY62" s="7">
        <f t="shared" ca="1" si="74"/>
        <v>3.0240917047184197E-2</v>
      </c>
      <c r="CZ62" s="7">
        <f t="shared" ca="1" si="74"/>
        <v>2.8785471841704741E-2</v>
      </c>
      <c r="DA62" s="7">
        <f t="shared" ca="1" si="74"/>
        <v>3.0240917047184197E-2</v>
      </c>
      <c r="DB62" s="7">
        <f t="shared" ca="1" si="74"/>
        <v>1.0291089041095891</v>
      </c>
      <c r="DC62" s="7" t="str">
        <f t="shared" ca="1" si="74"/>
        <v/>
      </c>
      <c r="DD62" s="7" t="str">
        <f t="shared" ca="1" si="74"/>
        <v/>
      </c>
      <c r="DE62" s="7" t="str">
        <f t="shared" ca="1" si="74"/>
        <v/>
      </c>
      <c r="DF62" s="7" t="str">
        <f t="shared" ca="1" si="74"/>
        <v/>
      </c>
      <c r="DG62" s="7" t="str">
        <f t="shared" ca="1" si="74"/>
        <v/>
      </c>
      <c r="DH62" s="7" t="str">
        <f t="shared" ca="1" si="74"/>
        <v/>
      </c>
      <c r="DI62" s="7" t="str">
        <f t="shared" ca="1" si="74"/>
        <v/>
      </c>
      <c r="DJ62" s="7" t="str">
        <f t="shared" ca="1" si="74"/>
        <v/>
      </c>
      <c r="DK62" s="7" t="str">
        <f t="shared" ca="1" si="74"/>
        <v/>
      </c>
      <c r="DL62" s="7" t="str">
        <f t="shared" ca="1" si="74"/>
        <v/>
      </c>
      <c r="DM62" s="7" t="str">
        <f t="shared" ca="1" si="74"/>
        <v/>
      </c>
      <c r="DN62" s="7" t="str">
        <f t="shared" ca="1" si="74"/>
        <v/>
      </c>
      <c r="DO62" s="7" t="str">
        <f t="shared" ca="1" si="74"/>
        <v/>
      </c>
      <c r="DP62" s="7" t="str">
        <f t="shared" ca="1" si="74"/>
        <v/>
      </c>
      <c r="DQ62" s="7" t="str">
        <f t="shared" ca="1" si="74"/>
        <v/>
      </c>
      <c r="DR62" s="7" t="str">
        <f t="shared" ca="1" si="74"/>
        <v/>
      </c>
      <c r="DS62" s="7" t="str">
        <f t="shared" ca="1" si="74"/>
        <v/>
      </c>
      <c r="DT62" s="7" t="str">
        <f t="shared" ca="1" si="74"/>
        <v/>
      </c>
      <c r="DU62" s="7" t="str">
        <f t="shared" ca="1" si="74"/>
        <v/>
      </c>
      <c r="DV62" s="7" t="str">
        <f t="shared" ca="1" si="74"/>
        <v/>
      </c>
      <c r="DW62" s="7" t="str">
        <f t="shared" ca="1" si="74"/>
        <v/>
      </c>
      <c r="DX62" s="7" t="str">
        <f t="shared" ca="1" si="74"/>
        <v/>
      </c>
      <c r="DY62" s="7" t="str">
        <f t="shared" ca="1" si="74"/>
        <v/>
      </c>
      <c r="DZ62" s="7" t="str">
        <f t="shared" ca="1" si="74"/>
        <v/>
      </c>
      <c r="EA62" s="7" t="str">
        <f t="shared" ca="1" si="74"/>
        <v/>
      </c>
      <c r="EB62" s="7" t="str">
        <f t="shared" ca="1" si="74"/>
        <v/>
      </c>
      <c r="EC62" s="7" t="str">
        <f t="shared" ca="1" si="74"/>
        <v/>
      </c>
      <c r="ED62" s="7" t="str">
        <f t="shared" ca="1" si="74"/>
        <v/>
      </c>
      <c r="EE62" s="7" t="str">
        <f t="shared" ca="1" si="74"/>
        <v/>
      </c>
      <c r="EF62" s="7" t="str">
        <f t="shared" ca="1" si="74"/>
        <v/>
      </c>
      <c r="EG62" s="7" t="str">
        <f t="shared" ca="1" si="74"/>
        <v/>
      </c>
      <c r="EH62" s="7" t="str">
        <f t="shared" ca="1" si="74"/>
        <v/>
      </c>
      <c r="EI62" s="7" t="str">
        <f t="shared" ca="1" si="74"/>
        <v/>
      </c>
      <c r="EJ62" s="7" t="str">
        <f t="shared" ca="1" si="74"/>
        <v/>
      </c>
      <c r="EK62" s="7" t="str">
        <f t="shared" ca="1" si="74"/>
        <v/>
      </c>
      <c r="EL62" s="7" t="str">
        <f t="shared" ca="1" si="74"/>
        <v/>
      </c>
      <c r="EM62" s="7" t="str">
        <f t="shared" ca="1" si="74"/>
        <v/>
      </c>
      <c r="EN62" s="7" t="str">
        <f t="shared" ca="1" si="74"/>
        <v/>
      </c>
      <c r="EO62" s="7" t="str">
        <f t="shared" ca="1" si="74"/>
        <v/>
      </c>
      <c r="EP62" s="7" t="str">
        <f t="shared" ca="1" si="74"/>
        <v/>
      </c>
      <c r="EQ62" s="7" t="str">
        <f t="shared" ca="1" si="74"/>
        <v/>
      </c>
      <c r="ER62" s="7" t="str">
        <f t="shared" ca="1" si="74"/>
        <v/>
      </c>
    </row>
    <row r="63" spans="1:148" ht="13.5" thickBot="1">
      <c r="A63" s="16" t="s">
        <v>61</v>
      </c>
      <c r="B63" s="30" t="s">
        <v>41</v>
      </c>
      <c r="C63" s="101" t="s">
        <v>42</v>
      </c>
      <c r="D63" s="101" t="s">
        <v>29</v>
      </c>
      <c r="E63" s="101" t="s">
        <v>43</v>
      </c>
      <c r="F63" s="102" t="s">
        <v>45</v>
      </c>
      <c r="G63" s="71" t="s">
        <v>49</v>
      </c>
      <c r="I63" t="e">
        <f>_xll.HLV5r3.Analytics.Miscellaneous.Zero2DF( zero, ZeroCompFreq, T)</f>
        <v>#NUM!</v>
      </c>
      <c r="L63" s="156" t="s">
        <v>107</v>
      </c>
      <c r="M63" s="157">
        <f ca="1">N18</f>
        <v>43733</v>
      </c>
      <c r="N63" s="158">
        <f ca="1">_xll.HLV5r3.Analytics.Miscellaneous.DateRoll(M63,3,"M","MF",Holidays)</f>
        <v>43826</v>
      </c>
      <c r="O63" s="159">
        <f ca="1">(_xll.HLV5r3.Analytics.Miscellaneous.Zero2DF(_xll.HLV5r3.Analytics.Miscellaneous.LinearInterp(QZ_Nodes,M63-Calc_Date,1,2),4,(M63-Calc_Date)/365)/_xll.HLV5r3.Analytics.Miscellaneous.Zero2DF(_xll.HLV5r3.Analytics.Miscellaneous.LinearInterp(QZ_Nodes,N63-Calc_Date,1,2),4,(N63-Calc_Date)/365)-1)*365/(N63-M63)</f>
        <v>5.1186086248991632E-2</v>
      </c>
      <c r="P63" s="160" t="e">
        <f ca="1">_xll.RtGet("IDN_SELECTFEED","AU"&amp;L63&amp;"F=TTKL","PRIM ACT 1")</f>
        <v>#NAME?</v>
      </c>
      <c r="Q63" s="161" t="e">
        <f ca="1">_xll.RtGet("IDN_SELECTFEED","AU"&amp;L63&amp;"F=TTKL","SECOND ACTIVY 1")</f>
        <v>#NAME?</v>
      </c>
      <c r="R63" s="235">
        <v>5.12</v>
      </c>
      <c r="S63" s="162">
        <f ca="1">(O63-R63%)*10000</f>
        <v>-0.13913751008370889</v>
      </c>
      <c r="T63" s="171"/>
      <c r="U63" s="126"/>
      <c r="W63" s="6">
        <f t="shared" si="32"/>
        <v>19</v>
      </c>
      <c r="X63" s="11">
        <f ca="1">_xll.HLV5r3.Analytics.Miscellaneous.PVFromCurve( CF_Days,CF,QZ_Nodes,W63,InterpSpace,ZeroCompFreq,Method)*10^6</f>
        <v>-2.425719427543219</v>
      </c>
      <c r="Y63" s="38" t="str">
        <f t="shared" si="66"/>
        <v>10Y</v>
      </c>
      <c r="Z63" s="6">
        <f t="shared" ref="Z63:CH63" ca="1" si="75">IF(Z34="","",Z34-Calc_Date)</f>
        <v>1</v>
      </c>
      <c r="AA63" s="6">
        <f t="shared" ca="1" si="75"/>
        <v>186</v>
      </c>
      <c r="AB63" s="6">
        <f t="shared" ca="1" si="75"/>
        <v>367</v>
      </c>
      <c r="AC63" s="6">
        <f t="shared" ca="1" si="75"/>
        <v>554</v>
      </c>
      <c r="AD63" s="6">
        <f t="shared" ca="1" si="75"/>
        <v>732</v>
      </c>
      <c r="AE63" s="6">
        <f t="shared" ca="1" si="75"/>
        <v>919</v>
      </c>
      <c r="AF63" s="6">
        <f t="shared" ca="1" si="75"/>
        <v>1099</v>
      </c>
      <c r="AG63" s="6">
        <f t="shared" ca="1" si="75"/>
        <v>1283</v>
      </c>
      <c r="AH63" s="6">
        <f t="shared" ca="1" si="75"/>
        <v>1463</v>
      </c>
      <c r="AI63" s="6">
        <f t="shared" ca="1" si="75"/>
        <v>1647</v>
      </c>
      <c r="AJ63" s="6">
        <f t="shared" ca="1" si="75"/>
        <v>1828</v>
      </c>
      <c r="AK63" s="6">
        <f t="shared" ca="1" si="75"/>
        <v>2013</v>
      </c>
      <c r="AL63" s="6">
        <f t="shared" ca="1" si="75"/>
        <v>2193</v>
      </c>
      <c r="AM63" s="6">
        <f t="shared" ca="1" si="75"/>
        <v>2380</v>
      </c>
      <c r="AN63" s="6">
        <f t="shared" ca="1" si="75"/>
        <v>2558</v>
      </c>
      <c r="AO63" s="6">
        <f t="shared" ca="1" si="75"/>
        <v>2745</v>
      </c>
      <c r="AP63" s="6">
        <f t="shared" ca="1" si="75"/>
        <v>2923</v>
      </c>
      <c r="AQ63" s="6">
        <f t="shared" ca="1" si="75"/>
        <v>3110</v>
      </c>
      <c r="AR63" s="6">
        <f t="shared" ca="1" si="75"/>
        <v>3290</v>
      </c>
      <c r="AS63" s="6">
        <f t="shared" ca="1" si="75"/>
        <v>3474</v>
      </c>
      <c r="AT63" s="6">
        <f t="shared" ca="1" si="75"/>
        <v>3654</v>
      </c>
      <c r="AU63" s="6" t="str">
        <f t="shared" ca="1" si="75"/>
        <v/>
      </c>
      <c r="AV63" s="6" t="str">
        <f t="shared" ca="1" si="75"/>
        <v/>
      </c>
      <c r="AW63" s="6" t="str">
        <f t="shared" ca="1" si="75"/>
        <v/>
      </c>
      <c r="AX63" s="6" t="str">
        <f t="shared" ca="1" si="75"/>
        <v/>
      </c>
      <c r="AY63" s="6" t="str">
        <f t="shared" ca="1" si="75"/>
        <v/>
      </c>
      <c r="AZ63" s="6" t="str">
        <f t="shared" ca="1" si="75"/>
        <v/>
      </c>
      <c r="BA63" s="6" t="str">
        <f t="shared" ca="1" si="75"/>
        <v/>
      </c>
      <c r="BB63" s="6" t="str">
        <f t="shared" ca="1" si="75"/>
        <v/>
      </c>
      <c r="BC63" s="6" t="str">
        <f t="shared" ca="1" si="75"/>
        <v/>
      </c>
      <c r="BD63" s="6" t="str">
        <f t="shared" ca="1" si="75"/>
        <v/>
      </c>
      <c r="BE63" s="6" t="str">
        <f t="shared" ca="1" si="75"/>
        <v/>
      </c>
      <c r="BF63" s="6" t="str">
        <f t="shared" ca="1" si="75"/>
        <v/>
      </c>
      <c r="BG63" s="6" t="str">
        <f t="shared" ca="1" si="75"/>
        <v/>
      </c>
      <c r="BH63" s="6" t="str">
        <f t="shared" ca="1" si="75"/>
        <v/>
      </c>
      <c r="BI63" s="6" t="str">
        <f t="shared" ca="1" si="75"/>
        <v/>
      </c>
      <c r="BJ63" s="6" t="str">
        <f t="shared" ca="1" si="75"/>
        <v/>
      </c>
      <c r="BK63" s="6" t="str">
        <f t="shared" ca="1" si="75"/>
        <v/>
      </c>
      <c r="BL63" s="6" t="str">
        <f t="shared" ca="1" si="75"/>
        <v/>
      </c>
      <c r="BM63" s="6" t="str">
        <f t="shared" ca="1" si="75"/>
        <v/>
      </c>
      <c r="BN63" s="6" t="str">
        <f t="shared" ca="1" si="75"/>
        <v/>
      </c>
      <c r="BO63" s="6" t="str">
        <f t="shared" ca="1" si="75"/>
        <v/>
      </c>
      <c r="BP63" s="6" t="str">
        <f t="shared" ca="1" si="75"/>
        <v/>
      </c>
      <c r="BQ63" s="6" t="str">
        <f t="shared" ca="1" si="75"/>
        <v/>
      </c>
      <c r="BR63" s="6" t="str">
        <f t="shared" ca="1" si="75"/>
        <v/>
      </c>
      <c r="BS63" s="6" t="str">
        <f t="shared" ca="1" si="75"/>
        <v/>
      </c>
      <c r="BT63" s="6" t="str">
        <f t="shared" ca="1" si="75"/>
        <v/>
      </c>
      <c r="BU63" s="6" t="str">
        <f t="shared" ca="1" si="75"/>
        <v/>
      </c>
      <c r="BV63" s="6" t="str">
        <f t="shared" ca="1" si="75"/>
        <v/>
      </c>
      <c r="BW63" s="6" t="str">
        <f t="shared" ca="1" si="75"/>
        <v/>
      </c>
      <c r="BX63" s="6" t="str">
        <f t="shared" ca="1" si="75"/>
        <v/>
      </c>
      <c r="BY63" s="6" t="str">
        <f t="shared" ca="1" si="75"/>
        <v/>
      </c>
      <c r="BZ63" s="6" t="str">
        <f t="shared" ca="1" si="75"/>
        <v/>
      </c>
      <c r="CA63" s="6" t="str">
        <f t="shared" ca="1" si="75"/>
        <v/>
      </c>
      <c r="CB63" s="6" t="str">
        <f t="shared" ca="1" si="75"/>
        <v/>
      </c>
      <c r="CC63" s="6" t="str">
        <f t="shared" ca="1" si="75"/>
        <v/>
      </c>
      <c r="CD63" s="6" t="str">
        <f t="shared" ca="1" si="75"/>
        <v/>
      </c>
      <c r="CE63" s="6" t="str">
        <f t="shared" ca="1" si="75"/>
        <v/>
      </c>
      <c r="CF63" s="6" t="str">
        <f t="shared" ca="1" si="75"/>
        <v/>
      </c>
      <c r="CG63" s="6" t="str">
        <f t="shared" ca="1" si="75"/>
        <v/>
      </c>
      <c r="CH63" s="6" t="str">
        <f t="shared" ca="1" si="75"/>
        <v/>
      </c>
      <c r="CI63" s="34"/>
      <c r="CJ63" s="7">
        <v>-1</v>
      </c>
      <c r="CK63" s="7">
        <f t="shared" ref="CK63:ER63" ca="1" si="76">IF(AA34&lt;$N34,$P34*(AA34-Z34)/365,IF(AA34=$N34,1+$P34*(AA34-Z34)/365,IF(AA34&gt;$N34,"")))</f>
        <v>3.0013926940639302E-2</v>
      </c>
      <c r="CL63" s="7">
        <f t="shared" ca="1" si="76"/>
        <v>2.9364977168949803E-2</v>
      </c>
      <c r="CM63" s="7">
        <f t="shared" ca="1" si="76"/>
        <v>3.0338401826484052E-2</v>
      </c>
      <c r="CN63" s="7">
        <f t="shared" ca="1" si="76"/>
        <v>2.8878264840182678E-2</v>
      </c>
      <c r="CO63" s="7">
        <f t="shared" ca="1" si="76"/>
        <v>3.0338401826484052E-2</v>
      </c>
      <c r="CP63" s="7">
        <f t="shared" ca="1" si="76"/>
        <v>2.9202739726027428E-2</v>
      </c>
      <c r="CQ63" s="7">
        <f t="shared" ca="1" si="76"/>
        <v>2.9851689497716927E-2</v>
      </c>
      <c r="CR63" s="7">
        <f t="shared" ca="1" si="76"/>
        <v>2.9202739726027428E-2</v>
      </c>
      <c r="CS63" s="7">
        <f t="shared" ca="1" si="76"/>
        <v>2.9851689497716927E-2</v>
      </c>
      <c r="CT63" s="7">
        <f t="shared" ca="1" si="76"/>
        <v>2.9364977168949803E-2</v>
      </c>
      <c r="CU63" s="7">
        <f t="shared" ca="1" si="76"/>
        <v>3.0013926940639302E-2</v>
      </c>
      <c r="CV63" s="7">
        <f t="shared" ca="1" si="76"/>
        <v>2.9202739726027428E-2</v>
      </c>
      <c r="CW63" s="7">
        <f t="shared" ca="1" si="76"/>
        <v>3.0338401826484052E-2</v>
      </c>
      <c r="CX63" s="7">
        <f t="shared" ca="1" si="76"/>
        <v>2.8878264840182678E-2</v>
      </c>
      <c r="CY63" s="7">
        <f t="shared" ca="1" si="76"/>
        <v>3.0338401826484052E-2</v>
      </c>
      <c r="CZ63" s="7">
        <f t="shared" ca="1" si="76"/>
        <v>2.8878264840182678E-2</v>
      </c>
      <c r="DA63" s="7">
        <f t="shared" ca="1" si="76"/>
        <v>3.0338401826484052E-2</v>
      </c>
      <c r="DB63" s="7">
        <f t="shared" ca="1" si="76"/>
        <v>2.9202739726027428E-2</v>
      </c>
      <c r="DC63" s="7">
        <f t="shared" ca="1" si="76"/>
        <v>2.9851689497716927E-2</v>
      </c>
      <c r="DD63" s="7">
        <f t="shared" ca="1" si="76"/>
        <v>1.0292027397260275</v>
      </c>
      <c r="DE63" s="7" t="str">
        <f t="shared" ca="1" si="76"/>
        <v/>
      </c>
      <c r="DF63" s="7" t="str">
        <f t="shared" ca="1" si="76"/>
        <v/>
      </c>
      <c r="DG63" s="7" t="str">
        <f t="shared" ca="1" si="76"/>
        <v/>
      </c>
      <c r="DH63" s="7" t="str">
        <f t="shared" ca="1" si="76"/>
        <v/>
      </c>
      <c r="DI63" s="7" t="str">
        <f t="shared" ca="1" si="76"/>
        <v/>
      </c>
      <c r="DJ63" s="7" t="str">
        <f t="shared" ca="1" si="76"/>
        <v/>
      </c>
      <c r="DK63" s="7" t="str">
        <f t="shared" ca="1" si="76"/>
        <v/>
      </c>
      <c r="DL63" s="7" t="str">
        <f t="shared" ca="1" si="76"/>
        <v/>
      </c>
      <c r="DM63" s="7" t="str">
        <f t="shared" ca="1" si="76"/>
        <v/>
      </c>
      <c r="DN63" s="7" t="str">
        <f t="shared" ca="1" si="76"/>
        <v/>
      </c>
      <c r="DO63" s="7" t="str">
        <f t="shared" ca="1" si="76"/>
        <v/>
      </c>
      <c r="DP63" s="7" t="str">
        <f t="shared" ca="1" si="76"/>
        <v/>
      </c>
      <c r="DQ63" s="7" t="str">
        <f t="shared" ca="1" si="76"/>
        <v/>
      </c>
      <c r="DR63" s="7" t="str">
        <f t="shared" ca="1" si="76"/>
        <v/>
      </c>
      <c r="DS63" s="7" t="str">
        <f t="shared" ca="1" si="76"/>
        <v/>
      </c>
      <c r="DT63" s="7" t="str">
        <f t="shared" ca="1" si="76"/>
        <v/>
      </c>
      <c r="DU63" s="7" t="str">
        <f t="shared" ca="1" si="76"/>
        <v/>
      </c>
      <c r="DV63" s="7" t="str">
        <f t="shared" ca="1" si="76"/>
        <v/>
      </c>
      <c r="DW63" s="7" t="str">
        <f t="shared" ca="1" si="76"/>
        <v/>
      </c>
      <c r="DX63" s="7" t="str">
        <f t="shared" ca="1" si="76"/>
        <v/>
      </c>
      <c r="DY63" s="7" t="str">
        <f t="shared" ca="1" si="76"/>
        <v/>
      </c>
      <c r="DZ63" s="7" t="str">
        <f t="shared" ca="1" si="76"/>
        <v/>
      </c>
      <c r="EA63" s="7" t="str">
        <f t="shared" ca="1" si="76"/>
        <v/>
      </c>
      <c r="EB63" s="7" t="str">
        <f t="shared" ca="1" si="76"/>
        <v/>
      </c>
      <c r="EC63" s="7" t="str">
        <f t="shared" ca="1" si="76"/>
        <v/>
      </c>
      <c r="ED63" s="7" t="str">
        <f t="shared" ca="1" si="76"/>
        <v/>
      </c>
      <c r="EE63" s="7" t="str">
        <f t="shared" ca="1" si="76"/>
        <v/>
      </c>
      <c r="EF63" s="7" t="str">
        <f t="shared" ca="1" si="76"/>
        <v/>
      </c>
      <c r="EG63" s="7" t="str">
        <f t="shared" ca="1" si="76"/>
        <v/>
      </c>
      <c r="EH63" s="7" t="str">
        <f t="shared" ca="1" si="76"/>
        <v/>
      </c>
      <c r="EI63" s="7" t="str">
        <f t="shared" ca="1" si="76"/>
        <v/>
      </c>
      <c r="EJ63" s="7" t="str">
        <f t="shared" ca="1" si="76"/>
        <v/>
      </c>
      <c r="EK63" s="7" t="str">
        <f t="shared" ca="1" si="76"/>
        <v/>
      </c>
      <c r="EL63" s="7" t="str">
        <f t="shared" ca="1" si="76"/>
        <v/>
      </c>
      <c r="EM63" s="7" t="str">
        <f t="shared" ca="1" si="76"/>
        <v/>
      </c>
      <c r="EN63" s="7" t="str">
        <f t="shared" ca="1" si="76"/>
        <v/>
      </c>
      <c r="EO63" s="7" t="str">
        <f t="shared" ca="1" si="76"/>
        <v/>
      </c>
      <c r="EP63" s="7" t="str">
        <f t="shared" ca="1" si="76"/>
        <v/>
      </c>
      <c r="EQ63" s="7" t="str">
        <f t="shared" ca="1" si="76"/>
        <v/>
      </c>
      <c r="ER63" s="7" t="str">
        <f t="shared" ca="1" si="76"/>
        <v/>
      </c>
    </row>
    <row r="64" spans="1:148" ht="13.5" thickBot="1">
      <c r="A64" s="1">
        <v>0</v>
      </c>
      <c r="B64" s="4">
        <f ca="1">M27</f>
        <v>43641</v>
      </c>
      <c r="C64" s="58">
        <f ca="1">_xll.HLV5r3.Analytics.Miscellaneous.LinearInterp(QZ_Nodes,B64-Calc_Date,1,2)</f>
        <v>4.9095581364560832E-2</v>
      </c>
      <c r="D64" s="59">
        <f ca="1">_xll.HLV5r3.Analytics.Miscellaneous.Zero2DF(C64,4,(B64-Calc_Date)/365)</f>
        <v>0.99986631927231562</v>
      </c>
      <c r="E64" s="60"/>
      <c r="F64" s="60"/>
      <c r="T64" s="171"/>
      <c r="U64" s="126"/>
      <c r="W64" s="6">
        <f t="shared" si="32"/>
        <v>20</v>
      </c>
      <c r="X64" s="11">
        <f ca="1">_xll.HLV5r3.Analytics.Miscellaneous.PVFromCurve( CF_Days,CF,QZ_Nodes,W64,InterpSpace,ZeroCompFreq,Method)*10^6</f>
        <v>-2.8371943664224255</v>
      </c>
      <c r="Y64" s="38" t="str">
        <f t="shared" si="66"/>
        <v>12Y</v>
      </c>
      <c r="Z64" s="6">
        <f t="shared" ref="Z64:CH64" ca="1" si="77">IF(Z35="","",Z35-Calc_Date)</f>
        <v>1</v>
      </c>
      <c r="AA64" s="6">
        <f t="shared" ca="1" si="77"/>
        <v>186</v>
      </c>
      <c r="AB64" s="6">
        <f t="shared" ca="1" si="77"/>
        <v>367</v>
      </c>
      <c r="AC64" s="6">
        <f t="shared" ca="1" si="77"/>
        <v>554</v>
      </c>
      <c r="AD64" s="6">
        <f t="shared" ca="1" si="77"/>
        <v>732</v>
      </c>
      <c r="AE64" s="6">
        <f t="shared" ca="1" si="77"/>
        <v>919</v>
      </c>
      <c r="AF64" s="6">
        <f t="shared" ca="1" si="77"/>
        <v>1099</v>
      </c>
      <c r="AG64" s="6">
        <f t="shared" ca="1" si="77"/>
        <v>1283</v>
      </c>
      <c r="AH64" s="6">
        <f t="shared" ca="1" si="77"/>
        <v>1463</v>
      </c>
      <c r="AI64" s="6">
        <f t="shared" ca="1" si="77"/>
        <v>1647</v>
      </c>
      <c r="AJ64" s="6">
        <f t="shared" ca="1" si="77"/>
        <v>1828</v>
      </c>
      <c r="AK64" s="6">
        <f t="shared" ca="1" si="77"/>
        <v>2013</v>
      </c>
      <c r="AL64" s="6">
        <f t="shared" ca="1" si="77"/>
        <v>2193</v>
      </c>
      <c r="AM64" s="6">
        <f t="shared" ca="1" si="77"/>
        <v>2380</v>
      </c>
      <c r="AN64" s="6">
        <f t="shared" ca="1" si="77"/>
        <v>2558</v>
      </c>
      <c r="AO64" s="6">
        <f t="shared" ca="1" si="77"/>
        <v>2745</v>
      </c>
      <c r="AP64" s="6">
        <f t="shared" ca="1" si="77"/>
        <v>2923</v>
      </c>
      <c r="AQ64" s="6">
        <f t="shared" ca="1" si="77"/>
        <v>3110</v>
      </c>
      <c r="AR64" s="6">
        <f t="shared" ca="1" si="77"/>
        <v>3290</v>
      </c>
      <c r="AS64" s="6">
        <f t="shared" ca="1" si="77"/>
        <v>3474</v>
      </c>
      <c r="AT64" s="6">
        <f t="shared" ca="1" si="77"/>
        <v>3654</v>
      </c>
      <c r="AU64" s="6">
        <f t="shared" ca="1" si="77"/>
        <v>3839</v>
      </c>
      <c r="AV64" s="6">
        <f t="shared" ca="1" si="77"/>
        <v>4019</v>
      </c>
      <c r="AW64" s="6">
        <f t="shared" ca="1" si="77"/>
        <v>4204</v>
      </c>
      <c r="AX64" s="6">
        <f t="shared" ca="1" si="77"/>
        <v>4384</v>
      </c>
      <c r="AY64" s="6" t="str">
        <f t="shared" ca="1" si="77"/>
        <v/>
      </c>
      <c r="AZ64" s="6" t="str">
        <f t="shared" ca="1" si="77"/>
        <v/>
      </c>
      <c r="BA64" s="6" t="str">
        <f t="shared" ca="1" si="77"/>
        <v/>
      </c>
      <c r="BB64" s="6" t="str">
        <f t="shared" ca="1" si="77"/>
        <v/>
      </c>
      <c r="BC64" s="6" t="str">
        <f t="shared" ca="1" si="77"/>
        <v/>
      </c>
      <c r="BD64" s="6" t="str">
        <f t="shared" ca="1" si="77"/>
        <v/>
      </c>
      <c r="BE64" s="6" t="str">
        <f t="shared" ca="1" si="77"/>
        <v/>
      </c>
      <c r="BF64" s="6" t="str">
        <f t="shared" ca="1" si="77"/>
        <v/>
      </c>
      <c r="BG64" s="6" t="str">
        <f t="shared" ca="1" si="77"/>
        <v/>
      </c>
      <c r="BH64" s="6" t="str">
        <f t="shared" ca="1" si="77"/>
        <v/>
      </c>
      <c r="BI64" s="6" t="str">
        <f t="shared" ca="1" si="77"/>
        <v/>
      </c>
      <c r="BJ64" s="6" t="str">
        <f t="shared" ca="1" si="77"/>
        <v/>
      </c>
      <c r="BK64" s="6" t="str">
        <f t="shared" ca="1" si="77"/>
        <v/>
      </c>
      <c r="BL64" s="6" t="str">
        <f t="shared" ca="1" si="77"/>
        <v/>
      </c>
      <c r="BM64" s="6" t="str">
        <f t="shared" ca="1" si="77"/>
        <v/>
      </c>
      <c r="BN64" s="6" t="str">
        <f t="shared" ca="1" si="77"/>
        <v/>
      </c>
      <c r="BO64" s="6" t="str">
        <f t="shared" ca="1" si="77"/>
        <v/>
      </c>
      <c r="BP64" s="6" t="str">
        <f t="shared" ca="1" si="77"/>
        <v/>
      </c>
      <c r="BQ64" s="6" t="str">
        <f t="shared" ca="1" si="77"/>
        <v/>
      </c>
      <c r="BR64" s="6" t="str">
        <f t="shared" ca="1" si="77"/>
        <v/>
      </c>
      <c r="BS64" s="6" t="str">
        <f t="shared" ca="1" si="77"/>
        <v/>
      </c>
      <c r="BT64" s="6" t="str">
        <f t="shared" ca="1" si="77"/>
        <v/>
      </c>
      <c r="BU64" s="6" t="str">
        <f t="shared" ca="1" si="77"/>
        <v/>
      </c>
      <c r="BV64" s="6" t="str">
        <f t="shared" ca="1" si="77"/>
        <v/>
      </c>
      <c r="BW64" s="6" t="str">
        <f t="shared" ca="1" si="77"/>
        <v/>
      </c>
      <c r="BX64" s="6" t="str">
        <f t="shared" ca="1" si="77"/>
        <v/>
      </c>
      <c r="BY64" s="6" t="str">
        <f t="shared" ca="1" si="77"/>
        <v/>
      </c>
      <c r="BZ64" s="6" t="str">
        <f t="shared" ca="1" si="77"/>
        <v/>
      </c>
      <c r="CA64" s="6" t="str">
        <f t="shared" ca="1" si="77"/>
        <v/>
      </c>
      <c r="CB64" s="6" t="str">
        <f t="shared" ca="1" si="77"/>
        <v/>
      </c>
      <c r="CC64" s="6" t="str">
        <f t="shared" ca="1" si="77"/>
        <v/>
      </c>
      <c r="CD64" s="6" t="str">
        <f t="shared" ca="1" si="77"/>
        <v/>
      </c>
      <c r="CE64" s="6" t="str">
        <f t="shared" ca="1" si="77"/>
        <v/>
      </c>
      <c r="CF64" s="6" t="str">
        <f t="shared" ca="1" si="77"/>
        <v/>
      </c>
      <c r="CG64" s="6" t="str">
        <f t="shared" ca="1" si="77"/>
        <v/>
      </c>
      <c r="CH64" s="6" t="str">
        <f t="shared" ca="1" si="77"/>
        <v/>
      </c>
      <c r="CI64" s="34"/>
      <c r="CJ64" s="7">
        <v>-1</v>
      </c>
      <c r="CK64" s="7">
        <f t="shared" ref="CK64:ER64" ca="1" si="78">IF(AA35&lt;$N35,$P35*(AA35-Z35)/365,IF(AA35=$N35,1+$P35*(AA35-Z35)/365,IF(AA35&gt;$N35,"")))</f>
        <v>3.0212161339421645E-2</v>
      </c>
      <c r="CL64" s="7">
        <f t="shared" ca="1" si="78"/>
        <v>2.955892541856929E-2</v>
      </c>
      <c r="CM64" s="7">
        <f t="shared" ca="1" si="78"/>
        <v>3.0538779299847826E-2</v>
      </c>
      <c r="CN64" s="7">
        <f t="shared" ca="1" si="78"/>
        <v>2.9068998477930017E-2</v>
      </c>
      <c r="CO64" s="7">
        <f t="shared" ca="1" si="78"/>
        <v>3.0538779299847826E-2</v>
      </c>
      <c r="CP64" s="7">
        <f t="shared" ca="1" si="78"/>
        <v>2.9395616438356198E-2</v>
      </c>
      <c r="CQ64" s="7">
        <f t="shared" ca="1" si="78"/>
        <v>3.0048852359208556E-2</v>
      </c>
      <c r="CR64" s="7">
        <f t="shared" ca="1" si="78"/>
        <v>2.9395616438356198E-2</v>
      </c>
      <c r="CS64" s="7">
        <f t="shared" ca="1" si="78"/>
        <v>3.0048852359208556E-2</v>
      </c>
      <c r="CT64" s="7">
        <f t="shared" ca="1" si="78"/>
        <v>2.955892541856929E-2</v>
      </c>
      <c r="CU64" s="7">
        <f t="shared" ca="1" si="78"/>
        <v>3.0212161339421645E-2</v>
      </c>
      <c r="CV64" s="7">
        <f t="shared" ca="1" si="78"/>
        <v>2.9395616438356198E-2</v>
      </c>
      <c r="CW64" s="7">
        <f t="shared" ca="1" si="78"/>
        <v>3.0538779299847826E-2</v>
      </c>
      <c r="CX64" s="7">
        <f t="shared" ca="1" si="78"/>
        <v>2.9068998477930017E-2</v>
      </c>
      <c r="CY64" s="7">
        <f t="shared" ca="1" si="78"/>
        <v>3.0538779299847826E-2</v>
      </c>
      <c r="CZ64" s="7">
        <f t="shared" ca="1" si="78"/>
        <v>2.9068998477930017E-2</v>
      </c>
      <c r="DA64" s="7">
        <f t="shared" ca="1" si="78"/>
        <v>3.0538779299847826E-2</v>
      </c>
      <c r="DB64" s="7">
        <f t="shared" ca="1" si="78"/>
        <v>2.9395616438356198E-2</v>
      </c>
      <c r="DC64" s="7">
        <f t="shared" ca="1" si="78"/>
        <v>3.0048852359208556E-2</v>
      </c>
      <c r="DD64" s="7">
        <f t="shared" ca="1" si="78"/>
        <v>2.9395616438356198E-2</v>
      </c>
      <c r="DE64" s="7">
        <f t="shared" ca="1" si="78"/>
        <v>3.0212161339421645E-2</v>
      </c>
      <c r="DF64" s="7">
        <f t="shared" ca="1" si="78"/>
        <v>2.9395616438356198E-2</v>
      </c>
      <c r="DG64" s="7">
        <f t="shared" ca="1" si="78"/>
        <v>3.0212161339421645E-2</v>
      </c>
      <c r="DH64" s="7">
        <f t="shared" ca="1" si="78"/>
        <v>1.0293956164383562</v>
      </c>
      <c r="DI64" s="7" t="str">
        <f t="shared" ca="1" si="78"/>
        <v/>
      </c>
      <c r="DJ64" s="7" t="str">
        <f t="shared" ca="1" si="78"/>
        <v/>
      </c>
      <c r="DK64" s="7" t="str">
        <f t="shared" ca="1" si="78"/>
        <v/>
      </c>
      <c r="DL64" s="7" t="str">
        <f t="shared" ca="1" si="78"/>
        <v/>
      </c>
      <c r="DM64" s="7" t="str">
        <f t="shared" ca="1" si="78"/>
        <v/>
      </c>
      <c r="DN64" s="7" t="str">
        <f t="shared" ca="1" si="78"/>
        <v/>
      </c>
      <c r="DO64" s="7" t="str">
        <f t="shared" ca="1" si="78"/>
        <v/>
      </c>
      <c r="DP64" s="7" t="str">
        <f t="shared" ca="1" si="78"/>
        <v/>
      </c>
      <c r="DQ64" s="7" t="str">
        <f t="shared" ca="1" si="78"/>
        <v/>
      </c>
      <c r="DR64" s="7" t="str">
        <f t="shared" ca="1" si="78"/>
        <v/>
      </c>
      <c r="DS64" s="7" t="str">
        <f t="shared" ca="1" si="78"/>
        <v/>
      </c>
      <c r="DT64" s="7" t="str">
        <f t="shared" ca="1" si="78"/>
        <v/>
      </c>
      <c r="DU64" s="7" t="str">
        <f t="shared" ca="1" si="78"/>
        <v/>
      </c>
      <c r="DV64" s="7" t="str">
        <f t="shared" ca="1" si="78"/>
        <v/>
      </c>
      <c r="DW64" s="7" t="str">
        <f t="shared" ca="1" si="78"/>
        <v/>
      </c>
      <c r="DX64" s="7" t="str">
        <f t="shared" ca="1" si="78"/>
        <v/>
      </c>
      <c r="DY64" s="7" t="str">
        <f t="shared" ca="1" si="78"/>
        <v/>
      </c>
      <c r="DZ64" s="7" t="str">
        <f t="shared" ca="1" si="78"/>
        <v/>
      </c>
      <c r="EA64" s="7" t="str">
        <f t="shared" ca="1" si="78"/>
        <v/>
      </c>
      <c r="EB64" s="7" t="str">
        <f t="shared" ca="1" si="78"/>
        <v/>
      </c>
      <c r="EC64" s="7" t="str">
        <f t="shared" ca="1" si="78"/>
        <v/>
      </c>
      <c r="ED64" s="7" t="str">
        <f t="shared" ca="1" si="78"/>
        <v/>
      </c>
      <c r="EE64" s="7" t="str">
        <f t="shared" ca="1" si="78"/>
        <v/>
      </c>
      <c r="EF64" s="7" t="str">
        <f t="shared" ca="1" si="78"/>
        <v/>
      </c>
      <c r="EG64" s="7" t="str">
        <f t="shared" ca="1" si="78"/>
        <v/>
      </c>
      <c r="EH64" s="7" t="str">
        <f t="shared" ca="1" si="78"/>
        <v/>
      </c>
      <c r="EI64" s="7" t="str">
        <f t="shared" ca="1" si="78"/>
        <v/>
      </c>
      <c r="EJ64" s="7" t="str">
        <f t="shared" ca="1" si="78"/>
        <v/>
      </c>
      <c r="EK64" s="7" t="str">
        <f t="shared" ca="1" si="78"/>
        <v/>
      </c>
      <c r="EL64" s="7" t="str">
        <f t="shared" ca="1" si="78"/>
        <v/>
      </c>
      <c r="EM64" s="7" t="str">
        <f t="shared" ca="1" si="78"/>
        <v/>
      </c>
      <c r="EN64" s="7" t="str">
        <f t="shared" ca="1" si="78"/>
        <v/>
      </c>
      <c r="EO64" s="7" t="str">
        <f t="shared" ca="1" si="78"/>
        <v/>
      </c>
      <c r="EP64" s="7" t="str">
        <f t="shared" ca="1" si="78"/>
        <v/>
      </c>
      <c r="EQ64" s="7" t="str">
        <f t="shared" ca="1" si="78"/>
        <v/>
      </c>
      <c r="ER64" s="7" t="str">
        <f t="shared" ca="1" si="78"/>
        <v/>
      </c>
    </row>
    <row r="65" spans="1:148" ht="13.5" thickBot="1">
      <c r="A65" s="1">
        <v>1</v>
      </c>
      <c r="B65" s="4">
        <f ca="1">_xll.HLV5r3.Analytics.Miscellaneous.DateRoll($B$48,A65*6,"M","MF",Holidays)</f>
        <v>43826</v>
      </c>
      <c r="C65" s="58">
        <f ca="1">_xll.HLV5r3.Analytics.Miscellaneous.LinearInterp(QZ_Nodes,B65-Calc_Date,1,2)</f>
        <v>5.0682672264327787E-2</v>
      </c>
      <c r="D65" s="59">
        <f ca="1">_xll.HLV5r3.Analytics.Miscellaneous.Zero2DF(C65,4,(B65-Calc_Date)/365)</f>
        <v>0.97466146981392099</v>
      </c>
      <c r="E65" s="59">
        <f t="shared" ref="E65:E79" ca="1" si="79">(B65-B64)/365</f>
        <v>0.50684931506849318</v>
      </c>
      <c r="F65" s="58">
        <f ca="1">($D$64-D65)/SUMPRODUCT(D$65:D65,E$65:E65)</f>
        <v>5.102129129897693E-2</v>
      </c>
      <c r="G65" s="11">
        <f ca="1">SUMPRODUCT(E$65:E65,D$65:D65)*10^6*0.0001</f>
        <v>49.40064983988367</v>
      </c>
      <c r="H65" s="11"/>
      <c r="M65" s="163">
        <f ca="1">Calc_Date</f>
        <v>43640</v>
      </c>
      <c r="N65" s="164">
        <f ca="1">_xll.HLV5r3.Analytics.Miscellaneous.DateRoll(M65,6,"M","MF",Holidays)</f>
        <v>43823</v>
      </c>
      <c r="O65" s="165">
        <f ca="1">(_xll.HLV5r3.Analytics.Miscellaneous.Zero2DF(_xll.HLV5r3.Analytics.Miscellaneous.LinearInterp(QZ_Nodes,M65-Calc_Date,1,2),4,(M65-Calc_Date)/365)/_xll.HLV5r3.Analytics.Miscellaneous.Zero2DF(_xll.HLV5r3.Analytics.Miscellaneous.LinearInterp(QZ_Nodes,N65-Calc_Date,1,2),4,(N65-Calc_Date)/365)-1)*365/(N65-M65)</f>
        <v>5.0985852133587133E-2</v>
      </c>
      <c r="T65" s="171"/>
      <c r="U65" s="126"/>
      <c r="W65" s="6">
        <f t="shared" si="32"/>
        <v>21</v>
      </c>
      <c r="X65" s="11">
        <f ca="1">_xll.HLV5r3.Analytics.Miscellaneous.PVFromCurve( CF_Days,CF,QZ_Nodes,W65,InterpSpace,ZeroCompFreq,Method)*10^6</f>
        <v>-1.0054807122247682</v>
      </c>
      <c r="Y65" s="38" t="str">
        <f t="shared" si="66"/>
        <v>15Y</v>
      </c>
      <c r="Z65" s="6">
        <f t="shared" ref="Z65:CH65" ca="1" si="80">IF(Z36="","",Z36-Calc_Date)</f>
        <v>1</v>
      </c>
      <c r="AA65" s="6">
        <f t="shared" ca="1" si="80"/>
        <v>186</v>
      </c>
      <c r="AB65" s="6">
        <f t="shared" ca="1" si="80"/>
        <v>367</v>
      </c>
      <c r="AC65" s="6">
        <f t="shared" ca="1" si="80"/>
        <v>554</v>
      </c>
      <c r="AD65" s="6">
        <f t="shared" ca="1" si="80"/>
        <v>732</v>
      </c>
      <c r="AE65" s="6">
        <f t="shared" ca="1" si="80"/>
        <v>919</v>
      </c>
      <c r="AF65" s="6">
        <f t="shared" ca="1" si="80"/>
        <v>1099</v>
      </c>
      <c r="AG65" s="6">
        <f t="shared" ca="1" si="80"/>
        <v>1283</v>
      </c>
      <c r="AH65" s="6">
        <f t="shared" ca="1" si="80"/>
        <v>1463</v>
      </c>
      <c r="AI65" s="6">
        <f t="shared" ca="1" si="80"/>
        <v>1647</v>
      </c>
      <c r="AJ65" s="6">
        <f t="shared" ca="1" si="80"/>
        <v>1828</v>
      </c>
      <c r="AK65" s="6">
        <f t="shared" ca="1" si="80"/>
        <v>2013</v>
      </c>
      <c r="AL65" s="6">
        <f t="shared" ca="1" si="80"/>
        <v>2193</v>
      </c>
      <c r="AM65" s="6">
        <f t="shared" ca="1" si="80"/>
        <v>2380</v>
      </c>
      <c r="AN65" s="6">
        <f t="shared" ca="1" si="80"/>
        <v>2558</v>
      </c>
      <c r="AO65" s="6">
        <f t="shared" ca="1" si="80"/>
        <v>2745</v>
      </c>
      <c r="AP65" s="6">
        <f t="shared" ca="1" si="80"/>
        <v>2923</v>
      </c>
      <c r="AQ65" s="6">
        <f t="shared" ca="1" si="80"/>
        <v>3110</v>
      </c>
      <c r="AR65" s="6">
        <f t="shared" ca="1" si="80"/>
        <v>3290</v>
      </c>
      <c r="AS65" s="6">
        <f t="shared" ca="1" si="80"/>
        <v>3474</v>
      </c>
      <c r="AT65" s="6">
        <f t="shared" ca="1" si="80"/>
        <v>3654</v>
      </c>
      <c r="AU65" s="6">
        <f t="shared" ca="1" si="80"/>
        <v>3839</v>
      </c>
      <c r="AV65" s="6">
        <f t="shared" ca="1" si="80"/>
        <v>4019</v>
      </c>
      <c r="AW65" s="6">
        <f t="shared" ca="1" si="80"/>
        <v>4204</v>
      </c>
      <c r="AX65" s="6">
        <f t="shared" ca="1" si="80"/>
        <v>4384</v>
      </c>
      <c r="AY65" s="6">
        <f t="shared" ca="1" si="80"/>
        <v>4571</v>
      </c>
      <c r="AZ65" s="6">
        <f t="shared" ca="1" si="80"/>
        <v>4750</v>
      </c>
      <c r="BA65" s="6">
        <f t="shared" ca="1" si="80"/>
        <v>4937</v>
      </c>
      <c r="BB65" s="6">
        <f t="shared" ca="1" si="80"/>
        <v>5117</v>
      </c>
      <c r="BC65" s="6">
        <f t="shared" ca="1" si="80"/>
        <v>5301</v>
      </c>
      <c r="BD65" s="6">
        <f t="shared" ca="1" si="80"/>
        <v>5481</v>
      </c>
      <c r="BE65" s="6" t="str">
        <f t="shared" ca="1" si="80"/>
        <v/>
      </c>
      <c r="BF65" s="6" t="str">
        <f t="shared" ca="1" si="80"/>
        <v/>
      </c>
      <c r="BG65" s="6" t="str">
        <f t="shared" ca="1" si="80"/>
        <v/>
      </c>
      <c r="BH65" s="6" t="str">
        <f t="shared" ca="1" si="80"/>
        <v/>
      </c>
      <c r="BI65" s="6" t="str">
        <f t="shared" ca="1" si="80"/>
        <v/>
      </c>
      <c r="BJ65" s="6" t="str">
        <f t="shared" ca="1" si="80"/>
        <v/>
      </c>
      <c r="BK65" s="6" t="str">
        <f t="shared" ca="1" si="80"/>
        <v/>
      </c>
      <c r="BL65" s="6" t="str">
        <f t="shared" ca="1" si="80"/>
        <v/>
      </c>
      <c r="BM65" s="6" t="str">
        <f t="shared" ca="1" si="80"/>
        <v/>
      </c>
      <c r="BN65" s="6" t="str">
        <f t="shared" ca="1" si="80"/>
        <v/>
      </c>
      <c r="BO65" s="6" t="str">
        <f t="shared" ca="1" si="80"/>
        <v/>
      </c>
      <c r="BP65" s="6" t="str">
        <f t="shared" ca="1" si="80"/>
        <v/>
      </c>
      <c r="BQ65" s="6" t="str">
        <f t="shared" ca="1" si="80"/>
        <v/>
      </c>
      <c r="BR65" s="6" t="str">
        <f t="shared" ca="1" si="80"/>
        <v/>
      </c>
      <c r="BS65" s="6" t="str">
        <f t="shared" ca="1" si="80"/>
        <v/>
      </c>
      <c r="BT65" s="6" t="str">
        <f t="shared" ca="1" si="80"/>
        <v/>
      </c>
      <c r="BU65" s="6" t="str">
        <f t="shared" ca="1" si="80"/>
        <v/>
      </c>
      <c r="BV65" s="6" t="str">
        <f t="shared" ca="1" si="80"/>
        <v/>
      </c>
      <c r="BW65" s="6" t="str">
        <f t="shared" ca="1" si="80"/>
        <v/>
      </c>
      <c r="BX65" s="6" t="str">
        <f t="shared" ca="1" si="80"/>
        <v/>
      </c>
      <c r="BY65" s="6" t="str">
        <f t="shared" ca="1" si="80"/>
        <v/>
      </c>
      <c r="BZ65" s="6" t="str">
        <f t="shared" ca="1" si="80"/>
        <v/>
      </c>
      <c r="CA65" s="6" t="str">
        <f t="shared" ca="1" si="80"/>
        <v/>
      </c>
      <c r="CB65" s="6" t="str">
        <f t="shared" ca="1" si="80"/>
        <v/>
      </c>
      <c r="CC65" s="6" t="str">
        <f t="shared" ca="1" si="80"/>
        <v/>
      </c>
      <c r="CD65" s="6" t="str">
        <f t="shared" ca="1" si="80"/>
        <v/>
      </c>
      <c r="CE65" s="6" t="str">
        <f t="shared" ca="1" si="80"/>
        <v/>
      </c>
      <c r="CF65" s="6" t="str">
        <f t="shared" ca="1" si="80"/>
        <v/>
      </c>
      <c r="CG65" s="6" t="str">
        <f t="shared" ca="1" si="80"/>
        <v/>
      </c>
      <c r="CH65" s="6" t="str">
        <f t="shared" ca="1" si="80"/>
        <v/>
      </c>
      <c r="CI65" s="34"/>
      <c r="CJ65" s="7">
        <v>-1</v>
      </c>
      <c r="CK65" s="7">
        <f t="shared" ref="CK65:ER65" ca="1" si="81">IF(AA36&lt;$N36,$P36*(AA36-Z36)/365,IF(AA36=$N36,1+$P36*(AA36-Z36)/365,IF(AA36&gt;$N36,"")))</f>
        <v>3.0381392694063956E-2</v>
      </c>
      <c r="CL65" s="7">
        <f t="shared" ca="1" si="81"/>
        <v>2.9724497716895008E-2</v>
      </c>
      <c r="CM65" s="7">
        <f t="shared" ca="1" si="81"/>
        <v>3.0709840182648433E-2</v>
      </c>
      <c r="CN65" s="7">
        <f t="shared" ca="1" si="81"/>
        <v>2.9231826484018293E-2</v>
      </c>
      <c r="CO65" s="7">
        <f t="shared" ca="1" si="81"/>
        <v>3.0709840182648433E-2</v>
      </c>
      <c r="CP65" s="7">
        <f t="shared" ca="1" si="81"/>
        <v>2.9560273972602771E-2</v>
      </c>
      <c r="CQ65" s="7">
        <f t="shared" ca="1" si="81"/>
        <v>3.0217168949771719E-2</v>
      </c>
      <c r="CR65" s="7">
        <f t="shared" ca="1" si="81"/>
        <v>2.9560273972602771E-2</v>
      </c>
      <c r="CS65" s="7">
        <f t="shared" ca="1" si="81"/>
        <v>3.0217168949771719E-2</v>
      </c>
      <c r="CT65" s="7">
        <f t="shared" ca="1" si="81"/>
        <v>2.9724497716895008E-2</v>
      </c>
      <c r="CU65" s="7">
        <f t="shared" ca="1" si="81"/>
        <v>3.0381392694063956E-2</v>
      </c>
      <c r="CV65" s="7">
        <f t="shared" ca="1" si="81"/>
        <v>2.9560273972602771E-2</v>
      </c>
      <c r="CW65" s="7">
        <f t="shared" ca="1" si="81"/>
        <v>3.0709840182648433E-2</v>
      </c>
      <c r="CX65" s="7">
        <f t="shared" ca="1" si="81"/>
        <v>2.9231826484018293E-2</v>
      </c>
      <c r="CY65" s="7">
        <f t="shared" ca="1" si="81"/>
        <v>3.0709840182648433E-2</v>
      </c>
      <c r="CZ65" s="7">
        <f t="shared" ca="1" si="81"/>
        <v>2.9231826484018293E-2</v>
      </c>
      <c r="DA65" s="7">
        <f t="shared" ca="1" si="81"/>
        <v>3.0709840182648433E-2</v>
      </c>
      <c r="DB65" s="7">
        <f t="shared" ca="1" si="81"/>
        <v>2.9560273972602771E-2</v>
      </c>
      <c r="DC65" s="7">
        <f t="shared" ca="1" si="81"/>
        <v>3.0217168949771719E-2</v>
      </c>
      <c r="DD65" s="7">
        <f t="shared" ca="1" si="81"/>
        <v>2.9560273972602771E-2</v>
      </c>
      <c r="DE65" s="7">
        <f t="shared" ca="1" si="81"/>
        <v>3.0381392694063956E-2</v>
      </c>
      <c r="DF65" s="7">
        <f t="shared" ca="1" si="81"/>
        <v>2.9560273972602771E-2</v>
      </c>
      <c r="DG65" s="7">
        <f t="shared" ca="1" si="81"/>
        <v>3.0381392694063956E-2</v>
      </c>
      <c r="DH65" s="7">
        <f t="shared" ca="1" si="81"/>
        <v>2.9560273972602771E-2</v>
      </c>
      <c r="DI65" s="7">
        <f t="shared" ca="1" si="81"/>
        <v>3.0709840182648433E-2</v>
      </c>
      <c r="DJ65" s="7">
        <f t="shared" ca="1" si="81"/>
        <v>2.939605022831053E-2</v>
      </c>
      <c r="DK65" s="7">
        <f t="shared" ca="1" si="81"/>
        <v>3.0709840182648433E-2</v>
      </c>
      <c r="DL65" s="7">
        <f t="shared" ca="1" si="81"/>
        <v>2.9560273972602771E-2</v>
      </c>
      <c r="DM65" s="7">
        <f t="shared" ca="1" si="81"/>
        <v>3.0217168949771719E-2</v>
      </c>
      <c r="DN65" s="7">
        <f t="shared" ca="1" si="81"/>
        <v>1.0295602739726029</v>
      </c>
      <c r="DO65" s="7" t="str">
        <f t="shared" ca="1" si="81"/>
        <v/>
      </c>
      <c r="DP65" s="7" t="str">
        <f t="shared" ca="1" si="81"/>
        <v/>
      </c>
      <c r="DQ65" s="7" t="str">
        <f t="shared" ca="1" si="81"/>
        <v/>
      </c>
      <c r="DR65" s="7" t="str">
        <f t="shared" ca="1" si="81"/>
        <v/>
      </c>
      <c r="DS65" s="7" t="str">
        <f t="shared" ca="1" si="81"/>
        <v/>
      </c>
      <c r="DT65" s="7" t="str">
        <f t="shared" ca="1" si="81"/>
        <v/>
      </c>
      <c r="DU65" s="7" t="str">
        <f t="shared" ca="1" si="81"/>
        <v/>
      </c>
      <c r="DV65" s="7" t="str">
        <f t="shared" ca="1" si="81"/>
        <v/>
      </c>
      <c r="DW65" s="7" t="str">
        <f t="shared" ca="1" si="81"/>
        <v/>
      </c>
      <c r="DX65" s="7" t="str">
        <f t="shared" ca="1" si="81"/>
        <v/>
      </c>
      <c r="DY65" s="7" t="str">
        <f t="shared" ca="1" si="81"/>
        <v/>
      </c>
      <c r="DZ65" s="7" t="str">
        <f t="shared" ca="1" si="81"/>
        <v/>
      </c>
      <c r="EA65" s="7" t="str">
        <f t="shared" ca="1" si="81"/>
        <v/>
      </c>
      <c r="EB65" s="7" t="str">
        <f t="shared" ca="1" si="81"/>
        <v/>
      </c>
      <c r="EC65" s="7" t="str">
        <f t="shared" ca="1" si="81"/>
        <v/>
      </c>
      <c r="ED65" s="7" t="str">
        <f t="shared" ca="1" si="81"/>
        <v/>
      </c>
      <c r="EE65" s="7" t="str">
        <f t="shared" ca="1" si="81"/>
        <v/>
      </c>
      <c r="EF65" s="7" t="str">
        <f t="shared" ca="1" si="81"/>
        <v/>
      </c>
      <c r="EG65" s="7" t="str">
        <f t="shared" ca="1" si="81"/>
        <v/>
      </c>
      <c r="EH65" s="7" t="str">
        <f t="shared" ca="1" si="81"/>
        <v/>
      </c>
      <c r="EI65" s="7" t="str">
        <f t="shared" ca="1" si="81"/>
        <v/>
      </c>
      <c r="EJ65" s="7" t="str">
        <f t="shared" ca="1" si="81"/>
        <v/>
      </c>
      <c r="EK65" s="7" t="str">
        <f t="shared" ca="1" si="81"/>
        <v/>
      </c>
      <c r="EL65" s="7" t="str">
        <f t="shared" ca="1" si="81"/>
        <v/>
      </c>
      <c r="EM65" s="7" t="str">
        <f t="shared" ca="1" si="81"/>
        <v/>
      </c>
      <c r="EN65" s="7" t="str">
        <f t="shared" ca="1" si="81"/>
        <v/>
      </c>
      <c r="EO65" s="7" t="str">
        <f t="shared" ca="1" si="81"/>
        <v/>
      </c>
      <c r="EP65" s="7" t="str">
        <f t="shared" ca="1" si="81"/>
        <v/>
      </c>
      <c r="EQ65" s="7" t="str">
        <f t="shared" ca="1" si="81"/>
        <v/>
      </c>
      <c r="ER65" s="7" t="str">
        <f t="shared" ca="1" si="81"/>
        <v/>
      </c>
    </row>
    <row r="66" spans="1:148">
      <c r="A66" s="1">
        <f t="shared" ref="A66:A79" si="82">A65+1</f>
        <v>2</v>
      </c>
      <c r="B66" s="55">
        <f ca="1">_xll.HLV5r3.Analytics.Miscellaneous.DateRoll($B$48,A66*6,"M","MF",Holidays)</f>
        <v>44007</v>
      </c>
      <c r="C66" s="56">
        <f ca="1">_xll.HLV5r3.Analytics.Miscellaneous.LinearInterp(QZ_Nodes,B66-Calc_Date,1,2)</f>
        <v>5.1989119136878585E-2</v>
      </c>
      <c r="D66" s="57">
        <f ca="1">_xll.HLV5r3.Analytics.Miscellaneous.Zero2DF(C66,4,(B66-Calc_Date)/365)</f>
        <v>0.94938849006456882</v>
      </c>
      <c r="E66" s="57">
        <f t="shared" ca="1" si="79"/>
        <v>0.49589041095890413</v>
      </c>
      <c r="F66" s="56">
        <f ca="1">($D$64-D66)/SUMPRODUCT(D$65:D66,E$65:E66)</f>
        <v>5.2319520980210969E-2</v>
      </c>
      <c r="G66" s="73">
        <f ca="1">SUMPRODUCT(E$65:E66,D$65:D66)*10^6*0.0001</f>
        <v>96.479914689660944</v>
      </c>
      <c r="H66" s="11"/>
      <c r="I66" s="2"/>
      <c r="M66" s="2"/>
      <c r="Q66" s="125">
        <v>-9.0339613661462312</v>
      </c>
      <c r="R66" s="11">
        <v>-5.2276083530708792</v>
      </c>
      <c r="S66" s="11"/>
      <c r="T66" s="171"/>
      <c r="U66" s="126"/>
      <c r="W66" s="6">
        <f t="shared" si="32"/>
        <v>22</v>
      </c>
      <c r="X66" s="11">
        <f ca="1">_xll.HLV5r3.Analytics.Miscellaneous.PVFromCurve( CF_Days,CF,QZ_Nodes,W66,InterpSpace,ZeroCompFreq,Method)*10^6</f>
        <v>1.6884789064233492</v>
      </c>
      <c r="Y66" s="38" t="str">
        <f t="shared" si="66"/>
        <v>20Y</v>
      </c>
      <c r="Z66" s="6">
        <f t="shared" ref="Z66:CH66" ca="1" si="83">IF(Z37="","",Z37-Calc_Date)</f>
        <v>1</v>
      </c>
      <c r="AA66" s="6">
        <f t="shared" ca="1" si="83"/>
        <v>186</v>
      </c>
      <c r="AB66" s="6">
        <f t="shared" ca="1" si="83"/>
        <v>367</v>
      </c>
      <c r="AC66" s="6">
        <f t="shared" ca="1" si="83"/>
        <v>554</v>
      </c>
      <c r="AD66" s="6">
        <f t="shared" ca="1" si="83"/>
        <v>732</v>
      </c>
      <c r="AE66" s="6">
        <f t="shared" ca="1" si="83"/>
        <v>919</v>
      </c>
      <c r="AF66" s="6">
        <f t="shared" ca="1" si="83"/>
        <v>1099</v>
      </c>
      <c r="AG66" s="6">
        <f t="shared" ca="1" si="83"/>
        <v>1283</v>
      </c>
      <c r="AH66" s="6">
        <f t="shared" ca="1" si="83"/>
        <v>1463</v>
      </c>
      <c r="AI66" s="6">
        <f t="shared" ca="1" si="83"/>
        <v>1647</v>
      </c>
      <c r="AJ66" s="6">
        <f t="shared" ca="1" si="83"/>
        <v>1828</v>
      </c>
      <c r="AK66" s="6">
        <f t="shared" ca="1" si="83"/>
        <v>2013</v>
      </c>
      <c r="AL66" s="6">
        <f t="shared" ca="1" si="83"/>
        <v>2193</v>
      </c>
      <c r="AM66" s="6">
        <f t="shared" ca="1" si="83"/>
        <v>2380</v>
      </c>
      <c r="AN66" s="6">
        <f t="shared" ca="1" si="83"/>
        <v>2558</v>
      </c>
      <c r="AO66" s="6">
        <f t="shared" ca="1" si="83"/>
        <v>2745</v>
      </c>
      <c r="AP66" s="6">
        <f t="shared" ca="1" si="83"/>
        <v>2923</v>
      </c>
      <c r="AQ66" s="6">
        <f t="shared" ca="1" si="83"/>
        <v>3110</v>
      </c>
      <c r="AR66" s="6">
        <f t="shared" ca="1" si="83"/>
        <v>3290</v>
      </c>
      <c r="AS66" s="6">
        <f t="shared" ca="1" si="83"/>
        <v>3474</v>
      </c>
      <c r="AT66" s="6">
        <f t="shared" ca="1" si="83"/>
        <v>3654</v>
      </c>
      <c r="AU66" s="6">
        <f t="shared" ca="1" si="83"/>
        <v>3839</v>
      </c>
      <c r="AV66" s="6">
        <f t="shared" ca="1" si="83"/>
        <v>4019</v>
      </c>
      <c r="AW66" s="6">
        <f t="shared" ca="1" si="83"/>
        <v>4204</v>
      </c>
      <c r="AX66" s="6">
        <f t="shared" ca="1" si="83"/>
        <v>4384</v>
      </c>
      <c r="AY66" s="6">
        <f t="shared" ca="1" si="83"/>
        <v>4571</v>
      </c>
      <c r="AZ66" s="6">
        <f t="shared" ca="1" si="83"/>
        <v>4750</v>
      </c>
      <c r="BA66" s="6">
        <f t="shared" ca="1" si="83"/>
        <v>4937</v>
      </c>
      <c r="BB66" s="6">
        <f t="shared" ca="1" si="83"/>
        <v>5117</v>
      </c>
      <c r="BC66" s="6">
        <f t="shared" ca="1" si="83"/>
        <v>5301</v>
      </c>
      <c r="BD66" s="6">
        <f t="shared" ca="1" si="83"/>
        <v>5481</v>
      </c>
      <c r="BE66" s="6">
        <f t="shared" ca="1" si="83"/>
        <v>5665</v>
      </c>
      <c r="BF66" s="6">
        <f t="shared" ca="1" si="83"/>
        <v>5845</v>
      </c>
      <c r="BG66" s="6">
        <f t="shared" ca="1" si="83"/>
        <v>6030</v>
      </c>
      <c r="BH66" s="6">
        <f t="shared" ca="1" si="83"/>
        <v>6211</v>
      </c>
      <c r="BI66" s="6">
        <f t="shared" ca="1" si="83"/>
        <v>6398</v>
      </c>
      <c r="BJ66" s="6">
        <f t="shared" ca="1" si="83"/>
        <v>6576</v>
      </c>
      <c r="BK66" s="6">
        <f t="shared" ca="1" si="83"/>
        <v>6763</v>
      </c>
      <c r="BL66" s="6">
        <f t="shared" ca="1" si="83"/>
        <v>6941</v>
      </c>
      <c r="BM66" s="6">
        <f t="shared" ca="1" si="83"/>
        <v>7128</v>
      </c>
      <c r="BN66" s="6">
        <f t="shared" ca="1" si="83"/>
        <v>7308</v>
      </c>
      <c r="BO66" s="6" t="str">
        <f t="shared" ca="1" si="83"/>
        <v/>
      </c>
      <c r="BP66" s="6" t="str">
        <f t="shared" ca="1" si="83"/>
        <v/>
      </c>
      <c r="BQ66" s="6" t="str">
        <f t="shared" ca="1" si="83"/>
        <v/>
      </c>
      <c r="BR66" s="6" t="str">
        <f t="shared" ca="1" si="83"/>
        <v/>
      </c>
      <c r="BS66" s="6" t="str">
        <f t="shared" ca="1" si="83"/>
        <v/>
      </c>
      <c r="BT66" s="6" t="str">
        <f t="shared" ca="1" si="83"/>
        <v/>
      </c>
      <c r="BU66" s="6" t="str">
        <f t="shared" ca="1" si="83"/>
        <v/>
      </c>
      <c r="BV66" s="6" t="str">
        <f t="shared" ca="1" si="83"/>
        <v/>
      </c>
      <c r="BW66" s="6" t="str">
        <f t="shared" ca="1" si="83"/>
        <v/>
      </c>
      <c r="BX66" s="6" t="str">
        <f t="shared" ca="1" si="83"/>
        <v/>
      </c>
      <c r="BY66" s="6" t="str">
        <f t="shared" ca="1" si="83"/>
        <v/>
      </c>
      <c r="BZ66" s="6" t="str">
        <f t="shared" ca="1" si="83"/>
        <v/>
      </c>
      <c r="CA66" s="6" t="str">
        <f t="shared" ca="1" si="83"/>
        <v/>
      </c>
      <c r="CB66" s="6" t="str">
        <f t="shared" ca="1" si="83"/>
        <v/>
      </c>
      <c r="CC66" s="6" t="str">
        <f t="shared" ca="1" si="83"/>
        <v/>
      </c>
      <c r="CD66" s="6" t="str">
        <f t="shared" ca="1" si="83"/>
        <v/>
      </c>
      <c r="CE66" s="6" t="str">
        <f t="shared" ca="1" si="83"/>
        <v/>
      </c>
      <c r="CF66" s="6" t="str">
        <f t="shared" ca="1" si="83"/>
        <v/>
      </c>
      <c r="CG66" s="6" t="str">
        <f t="shared" ca="1" si="83"/>
        <v/>
      </c>
      <c r="CH66" s="6" t="str">
        <f t="shared" ca="1" si="83"/>
        <v/>
      </c>
      <c r="CI66" s="34"/>
      <c r="CJ66" s="7">
        <v>-1</v>
      </c>
      <c r="CK66" s="7">
        <f t="shared" ref="CK66:ER66" ca="1" si="84">IF(AA37&lt;$N37,$P37*(AA37-Z37)/365,IF(AA37=$N37,1+$P37*(AA37-Z37)/365,IF(AA37&gt;$N37,"")))</f>
        <v>3.002871004566213E-2</v>
      </c>
      <c r="CL66" s="7">
        <f t="shared" ca="1" si="84"/>
        <v>2.9379440639269436E-2</v>
      </c>
      <c r="CM66" s="7">
        <f t="shared" ca="1" si="84"/>
        <v>3.035334474885848E-2</v>
      </c>
      <c r="CN66" s="7">
        <f t="shared" ca="1" si="84"/>
        <v>2.8892488584474917E-2</v>
      </c>
      <c r="CO66" s="7">
        <f t="shared" ca="1" si="84"/>
        <v>3.035334474885848E-2</v>
      </c>
      <c r="CP66" s="7">
        <f t="shared" ca="1" si="84"/>
        <v>2.9217123287671263E-2</v>
      </c>
      <c r="CQ66" s="7">
        <f t="shared" ca="1" si="84"/>
        <v>2.9866392694063958E-2</v>
      </c>
      <c r="CR66" s="7">
        <f t="shared" ca="1" si="84"/>
        <v>2.9217123287671263E-2</v>
      </c>
      <c r="CS66" s="7">
        <f t="shared" ca="1" si="84"/>
        <v>2.9866392694063958E-2</v>
      </c>
      <c r="CT66" s="7">
        <f t="shared" ca="1" si="84"/>
        <v>2.9379440639269436E-2</v>
      </c>
      <c r="CU66" s="7">
        <f t="shared" ca="1" si="84"/>
        <v>3.002871004566213E-2</v>
      </c>
      <c r="CV66" s="7">
        <f t="shared" ca="1" si="84"/>
        <v>2.9217123287671263E-2</v>
      </c>
      <c r="CW66" s="7">
        <f t="shared" ca="1" si="84"/>
        <v>3.035334474885848E-2</v>
      </c>
      <c r="CX66" s="7">
        <f t="shared" ca="1" si="84"/>
        <v>2.8892488584474917E-2</v>
      </c>
      <c r="CY66" s="7">
        <f t="shared" ca="1" si="84"/>
        <v>3.035334474885848E-2</v>
      </c>
      <c r="CZ66" s="7">
        <f t="shared" ca="1" si="84"/>
        <v>2.8892488584474917E-2</v>
      </c>
      <c r="DA66" s="7">
        <f t="shared" ca="1" si="84"/>
        <v>3.035334474885848E-2</v>
      </c>
      <c r="DB66" s="7">
        <f t="shared" ca="1" si="84"/>
        <v>2.9217123287671263E-2</v>
      </c>
      <c r="DC66" s="7">
        <f t="shared" ca="1" si="84"/>
        <v>2.9866392694063958E-2</v>
      </c>
      <c r="DD66" s="7">
        <f t="shared" ca="1" si="84"/>
        <v>2.9217123287671263E-2</v>
      </c>
      <c r="DE66" s="7">
        <f t="shared" ca="1" si="84"/>
        <v>3.002871004566213E-2</v>
      </c>
      <c r="DF66" s="7">
        <f t="shared" ca="1" si="84"/>
        <v>2.9217123287671263E-2</v>
      </c>
      <c r="DG66" s="7">
        <f t="shared" ca="1" si="84"/>
        <v>3.002871004566213E-2</v>
      </c>
      <c r="DH66" s="7">
        <f t="shared" ca="1" si="84"/>
        <v>2.9217123287671263E-2</v>
      </c>
      <c r="DI66" s="7">
        <f t="shared" ca="1" si="84"/>
        <v>3.035334474885848E-2</v>
      </c>
      <c r="DJ66" s="7">
        <f t="shared" ca="1" si="84"/>
        <v>2.905480593607309E-2</v>
      </c>
      <c r="DK66" s="7">
        <f t="shared" ca="1" si="84"/>
        <v>3.035334474885848E-2</v>
      </c>
      <c r="DL66" s="7">
        <f t="shared" ca="1" si="84"/>
        <v>2.9217123287671263E-2</v>
      </c>
      <c r="DM66" s="7">
        <f t="shared" ca="1" si="84"/>
        <v>2.9866392694063958E-2</v>
      </c>
      <c r="DN66" s="7">
        <f t="shared" ca="1" si="84"/>
        <v>2.9217123287671263E-2</v>
      </c>
      <c r="DO66" s="7">
        <f t="shared" ca="1" si="84"/>
        <v>2.9866392694063958E-2</v>
      </c>
      <c r="DP66" s="7">
        <f t="shared" ca="1" si="84"/>
        <v>2.9217123287671263E-2</v>
      </c>
      <c r="DQ66" s="7">
        <f t="shared" ca="1" si="84"/>
        <v>3.002871004566213E-2</v>
      </c>
      <c r="DR66" s="7">
        <f t="shared" ca="1" si="84"/>
        <v>2.9379440639269436E-2</v>
      </c>
      <c r="DS66" s="7">
        <f t="shared" ca="1" si="84"/>
        <v>3.035334474885848E-2</v>
      </c>
      <c r="DT66" s="7">
        <f t="shared" ca="1" si="84"/>
        <v>2.8892488584474917E-2</v>
      </c>
      <c r="DU66" s="7">
        <f t="shared" ca="1" si="84"/>
        <v>3.035334474885848E-2</v>
      </c>
      <c r="DV66" s="7">
        <f t="shared" ca="1" si="84"/>
        <v>2.8892488584474917E-2</v>
      </c>
      <c r="DW66" s="7">
        <f t="shared" ca="1" si="84"/>
        <v>3.035334474885848E-2</v>
      </c>
      <c r="DX66" s="7">
        <f t="shared" ca="1" si="84"/>
        <v>1.0292171232876712</v>
      </c>
      <c r="DY66" s="7" t="str">
        <f t="shared" ca="1" si="84"/>
        <v/>
      </c>
      <c r="DZ66" s="7" t="str">
        <f t="shared" ca="1" si="84"/>
        <v/>
      </c>
      <c r="EA66" s="7" t="str">
        <f t="shared" ca="1" si="84"/>
        <v/>
      </c>
      <c r="EB66" s="7" t="str">
        <f t="shared" ca="1" si="84"/>
        <v/>
      </c>
      <c r="EC66" s="7" t="str">
        <f t="shared" ca="1" si="84"/>
        <v/>
      </c>
      <c r="ED66" s="7" t="str">
        <f t="shared" ca="1" si="84"/>
        <v/>
      </c>
      <c r="EE66" s="7" t="str">
        <f t="shared" ca="1" si="84"/>
        <v/>
      </c>
      <c r="EF66" s="7" t="str">
        <f t="shared" ca="1" si="84"/>
        <v/>
      </c>
      <c r="EG66" s="7" t="str">
        <f t="shared" ca="1" si="84"/>
        <v/>
      </c>
      <c r="EH66" s="7" t="str">
        <f t="shared" ca="1" si="84"/>
        <v/>
      </c>
      <c r="EI66" s="7" t="str">
        <f t="shared" ca="1" si="84"/>
        <v/>
      </c>
      <c r="EJ66" s="7" t="str">
        <f t="shared" ca="1" si="84"/>
        <v/>
      </c>
      <c r="EK66" s="7" t="str">
        <f t="shared" ca="1" si="84"/>
        <v/>
      </c>
      <c r="EL66" s="7" t="str">
        <f t="shared" ca="1" si="84"/>
        <v/>
      </c>
      <c r="EM66" s="7" t="str">
        <f t="shared" ca="1" si="84"/>
        <v/>
      </c>
      <c r="EN66" s="7" t="str">
        <f t="shared" ca="1" si="84"/>
        <v/>
      </c>
      <c r="EO66" s="7" t="str">
        <f t="shared" ca="1" si="84"/>
        <v/>
      </c>
      <c r="EP66" s="7" t="str">
        <f t="shared" ca="1" si="84"/>
        <v/>
      </c>
      <c r="EQ66" s="7" t="str">
        <f t="shared" ca="1" si="84"/>
        <v/>
      </c>
      <c r="ER66" s="7" t="str">
        <f t="shared" ca="1" si="84"/>
        <v/>
      </c>
    </row>
    <row r="67" spans="1:148">
      <c r="A67" s="1">
        <f t="shared" si="82"/>
        <v>3</v>
      </c>
      <c r="B67" s="4">
        <f ca="1">_xll.HLV5r3.Analytics.Miscellaneous.DateRoll($B$48,A67*6,"M","MF",Holidays)</f>
        <v>44194</v>
      </c>
      <c r="C67" s="58">
        <f ca="1">_xll.HLV5r3.Analytics.Miscellaneous.LinearInterp(QZ_Nodes,B67-Calc_Date,1,2)</f>
        <v>5.3142694670879523E-2</v>
      </c>
      <c r="D67" s="59">
        <f ca="1">_xll.HLV5r3.Analytics.Miscellaneous.Zero2DF(C67,4,(B67-Calc_Date)/365)</f>
        <v>0.92299699171126381</v>
      </c>
      <c r="E67" s="59">
        <f t="shared" ca="1" si="79"/>
        <v>0.51232876712328768</v>
      </c>
      <c r="F67" s="58">
        <f ca="1">($D$64-D67)/SUMPRODUCT(D$65:D67,E$65:E67)</f>
        <v>5.3467729173501628E-2</v>
      </c>
      <c r="G67" s="11">
        <f ca="1">SUMPRODUCT(E$65:E67,D$65:D67)*10^6*0.0001</f>
        <v>143.76770577185445</v>
      </c>
      <c r="H67" s="11"/>
      <c r="I67" s="144"/>
      <c r="M67" s="6"/>
      <c r="N67" s="6"/>
      <c r="O67" s="126"/>
      <c r="P67" s="11"/>
      <c r="Q67" s="125">
        <v>-5.6904203356117158</v>
      </c>
      <c r="R67" s="11">
        <v>-6.3444096260766205</v>
      </c>
      <c r="S67" s="11"/>
      <c r="T67" s="171"/>
      <c r="U67" s="126"/>
      <c r="W67" s="6">
        <f t="shared" si="32"/>
        <v>23</v>
      </c>
      <c r="X67" s="11">
        <f ca="1">_xll.HLV5r3.Analytics.Miscellaneous.PVFromCurve( CF_Days,CF,QZ_Nodes,W67,InterpSpace,ZeroCompFreq,Method)*10^6</f>
        <v>4.3851725560941759</v>
      </c>
      <c r="Y67" s="38" t="str">
        <f t="shared" si="66"/>
        <v>25Y</v>
      </c>
      <c r="Z67" s="6">
        <f t="shared" ref="Z67:CH67" ca="1" si="85">IF(Z38="","",Z38-Calc_Date)</f>
        <v>1</v>
      </c>
      <c r="AA67" s="6">
        <f t="shared" ca="1" si="85"/>
        <v>186</v>
      </c>
      <c r="AB67" s="6">
        <f t="shared" ca="1" si="85"/>
        <v>367</v>
      </c>
      <c r="AC67" s="6">
        <f t="shared" ca="1" si="85"/>
        <v>554</v>
      </c>
      <c r="AD67" s="6">
        <f t="shared" ca="1" si="85"/>
        <v>732</v>
      </c>
      <c r="AE67" s="6">
        <f t="shared" ca="1" si="85"/>
        <v>919</v>
      </c>
      <c r="AF67" s="6">
        <f t="shared" ca="1" si="85"/>
        <v>1099</v>
      </c>
      <c r="AG67" s="6">
        <f t="shared" ca="1" si="85"/>
        <v>1283</v>
      </c>
      <c r="AH67" s="6">
        <f t="shared" ca="1" si="85"/>
        <v>1463</v>
      </c>
      <c r="AI67" s="6">
        <f t="shared" ca="1" si="85"/>
        <v>1647</v>
      </c>
      <c r="AJ67" s="6">
        <f t="shared" ca="1" si="85"/>
        <v>1828</v>
      </c>
      <c r="AK67" s="6">
        <f t="shared" ca="1" si="85"/>
        <v>2013</v>
      </c>
      <c r="AL67" s="6">
        <f t="shared" ca="1" si="85"/>
        <v>2193</v>
      </c>
      <c r="AM67" s="6">
        <f t="shared" ca="1" si="85"/>
        <v>2380</v>
      </c>
      <c r="AN67" s="6">
        <f t="shared" ca="1" si="85"/>
        <v>2558</v>
      </c>
      <c r="AO67" s="6">
        <f t="shared" ca="1" si="85"/>
        <v>2745</v>
      </c>
      <c r="AP67" s="6">
        <f t="shared" ca="1" si="85"/>
        <v>2923</v>
      </c>
      <c r="AQ67" s="6">
        <f t="shared" ca="1" si="85"/>
        <v>3110</v>
      </c>
      <c r="AR67" s="6">
        <f t="shared" ca="1" si="85"/>
        <v>3290</v>
      </c>
      <c r="AS67" s="6">
        <f t="shared" ca="1" si="85"/>
        <v>3474</v>
      </c>
      <c r="AT67" s="6">
        <f t="shared" ca="1" si="85"/>
        <v>3654</v>
      </c>
      <c r="AU67" s="6">
        <f t="shared" ca="1" si="85"/>
        <v>3839</v>
      </c>
      <c r="AV67" s="6">
        <f t="shared" ca="1" si="85"/>
        <v>4019</v>
      </c>
      <c r="AW67" s="6">
        <f t="shared" ca="1" si="85"/>
        <v>4204</v>
      </c>
      <c r="AX67" s="6">
        <f t="shared" ca="1" si="85"/>
        <v>4384</v>
      </c>
      <c r="AY67" s="6">
        <f t="shared" ca="1" si="85"/>
        <v>4571</v>
      </c>
      <c r="AZ67" s="6">
        <f t="shared" ca="1" si="85"/>
        <v>4750</v>
      </c>
      <c r="BA67" s="6">
        <f t="shared" ca="1" si="85"/>
        <v>4937</v>
      </c>
      <c r="BB67" s="6">
        <f t="shared" ca="1" si="85"/>
        <v>5117</v>
      </c>
      <c r="BC67" s="6">
        <f t="shared" ca="1" si="85"/>
        <v>5301</v>
      </c>
      <c r="BD67" s="6">
        <f t="shared" ca="1" si="85"/>
        <v>5481</v>
      </c>
      <c r="BE67" s="6">
        <f t="shared" ca="1" si="85"/>
        <v>5665</v>
      </c>
      <c r="BF67" s="6">
        <f t="shared" ca="1" si="85"/>
        <v>5845</v>
      </c>
      <c r="BG67" s="6">
        <f t="shared" ca="1" si="85"/>
        <v>6030</v>
      </c>
      <c r="BH67" s="6">
        <f t="shared" ca="1" si="85"/>
        <v>6211</v>
      </c>
      <c r="BI67" s="6">
        <f t="shared" ca="1" si="85"/>
        <v>6398</v>
      </c>
      <c r="BJ67" s="6">
        <f t="shared" ca="1" si="85"/>
        <v>6576</v>
      </c>
      <c r="BK67" s="6">
        <f t="shared" ca="1" si="85"/>
        <v>6763</v>
      </c>
      <c r="BL67" s="6">
        <f t="shared" ca="1" si="85"/>
        <v>6941</v>
      </c>
      <c r="BM67" s="6">
        <f t="shared" ca="1" si="85"/>
        <v>7128</v>
      </c>
      <c r="BN67" s="6">
        <f t="shared" ca="1" si="85"/>
        <v>7308</v>
      </c>
      <c r="BO67" s="6">
        <f t="shared" ca="1" si="85"/>
        <v>7492</v>
      </c>
      <c r="BP67" s="6">
        <f t="shared" ca="1" si="85"/>
        <v>7672</v>
      </c>
      <c r="BQ67" s="6">
        <f t="shared" ca="1" si="85"/>
        <v>7857</v>
      </c>
      <c r="BR67" s="6">
        <f t="shared" ca="1" si="85"/>
        <v>8037</v>
      </c>
      <c r="BS67" s="6">
        <f t="shared" ca="1" si="85"/>
        <v>8222</v>
      </c>
      <c r="BT67" s="6">
        <f t="shared" ca="1" si="85"/>
        <v>8402</v>
      </c>
      <c r="BU67" s="6">
        <f t="shared" ca="1" si="85"/>
        <v>8589</v>
      </c>
      <c r="BV67" s="6">
        <f t="shared" ca="1" si="85"/>
        <v>8767</v>
      </c>
      <c r="BW67" s="6">
        <f t="shared" ca="1" si="85"/>
        <v>8954</v>
      </c>
      <c r="BX67" s="6">
        <f t="shared" ca="1" si="85"/>
        <v>9135</v>
      </c>
      <c r="BY67" s="6" t="str">
        <f t="shared" ca="1" si="85"/>
        <v/>
      </c>
      <c r="BZ67" s="6" t="str">
        <f t="shared" ca="1" si="85"/>
        <v/>
      </c>
      <c r="CA67" s="6" t="str">
        <f t="shared" ca="1" si="85"/>
        <v/>
      </c>
      <c r="CB67" s="6" t="str">
        <f t="shared" ca="1" si="85"/>
        <v/>
      </c>
      <c r="CC67" s="6" t="str">
        <f t="shared" ca="1" si="85"/>
        <v/>
      </c>
      <c r="CD67" s="6" t="str">
        <f t="shared" ca="1" si="85"/>
        <v/>
      </c>
      <c r="CE67" s="6" t="str">
        <f t="shared" ca="1" si="85"/>
        <v/>
      </c>
      <c r="CF67" s="6" t="str">
        <f t="shared" ca="1" si="85"/>
        <v/>
      </c>
      <c r="CG67" s="6" t="str">
        <f t="shared" ca="1" si="85"/>
        <v/>
      </c>
      <c r="CH67" s="6" t="str">
        <f t="shared" ca="1" si="85"/>
        <v/>
      </c>
      <c r="CI67" s="34"/>
      <c r="CJ67" s="7">
        <v>-1</v>
      </c>
      <c r="CK67" s="7">
        <f t="shared" ref="CK67:ER67" ca="1" si="86">IF(AA38&lt;$N38,$P38*(AA38-Z38)/365,IF(AA38=$N38,1+$P38*(AA38-Z38)/365,IF(AA38&gt;$N38,"")))</f>
        <v>2.9479623287671262E-2</v>
      </c>
      <c r="CL67" s="7">
        <f t="shared" ca="1" si="86"/>
        <v>2.8842226027397291E-2</v>
      </c>
      <c r="CM67" s="7">
        <f t="shared" ca="1" si="86"/>
        <v>2.9798321917808252E-2</v>
      </c>
      <c r="CN67" s="7">
        <f t="shared" ca="1" si="86"/>
        <v>2.8364178082191813E-2</v>
      </c>
      <c r="CO67" s="7">
        <f t="shared" ca="1" si="86"/>
        <v>2.9798321917808252E-2</v>
      </c>
      <c r="CP67" s="7">
        <f t="shared" ca="1" si="86"/>
        <v>2.86828767123288E-2</v>
      </c>
      <c r="CQ67" s="7">
        <f t="shared" ca="1" si="86"/>
        <v>2.932027397260277E-2</v>
      </c>
      <c r="CR67" s="7">
        <f t="shared" ca="1" si="86"/>
        <v>2.86828767123288E-2</v>
      </c>
      <c r="CS67" s="7">
        <f t="shared" ca="1" si="86"/>
        <v>2.932027397260277E-2</v>
      </c>
      <c r="CT67" s="7">
        <f t="shared" ca="1" si="86"/>
        <v>2.8842226027397291E-2</v>
      </c>
      <c r="CU67" s="7">
        <f t="shared" ca="1" si="86"/>
        <v>2.9479623287671262E-2</v>
      </c>
      <c r="CV67" s="7">
        <f t="shared" ca="1" si="86"/>
        <v>2.86828767123288E-2</v>
      </c>
      <c r="CW67" s="7">
        <f t="shared" ca="1" si="86"/>
        <v>2.9798321917808252E-2</v>
      </c>
      <c r="CX67" s="7">
        <f t="shared" ca="1" si="86"/>
        <v>2.8364178082191813E-2</v>
      </c>
      <c r="CY67" s="7">
        <f t="shared" ca="1" si="86"/>
        <v>2.9798321917808252E-2</v>
      </c>
      <c r="CZ67" s="7">
        <f t="shared" ca="1" si="86"/>
        <v>2.8364178082191813E-2</v>
      </c>
      <c r="DA67" s="7">
        <f t="shared" ca="1" si="86"/>
        <v>2.9798321917808252E-2</v>
      </c>
      <c r="DB67" s="7">
        <f t="shared" ca="1" si="86"/>
        <v>2.86828767123288E-2</v>
      </c>
      <c r="DC67" s="7">
        <f t="shared" ca="1" si="86"/>
        <v>2.932027397260277E-2</v>
      </c>
      <c r="DD67" s="7">
        <f t="shared" ca="1" si="86"/>
        <v>2.86828767123288E-2</v>
      </c>
      <c r="DE67" s="7">
        <f t="shared" ca="1" si="86"/>
        <v>2.9479623287671262E-2</v>
      </c>
      <c r="DF67" s="7">
        <f t="shared" ca="1" si="86"/>
        <v>2.86828767123288E-2</v>
      </c>
      <c r="DG67" s="7">
        <f t="shared" ca="1" si="86"/>
        <v>2.9479623287671262E-2</v>
      </c>
      <c r="DH67" s="7">
        <f t="shared" ca="1" si="86"/>
        <v>2.86828767123288E-2</v>
      </c>
      <c r="DI67" s="7">
        <f t="shared" ca="1" si="86"/>
        <v>2.9798321917808252E-2</v>
      </c>
      <c r="DJ67" s="7">
        <f t="shared" ca="1" si="86"/>
        <v>2.8523527397260304E-2</v>
      </c>
      <c r="DK67" s="7">
        <f t="shared" ca="1" si="86"/>
        <v>2.9798321917808252E-2</v>
      </c>
      <c r="DL67" s="7">
        <f t="shared" ca="1" si="86"/>
        <v>2.86828767123288E-2</v>
      </c>
      <c r="DM67" s="7">
        <f t="shared" ca="1" si="86"/>
        <v>2.932027397260277E-2</v>
      </c>
      <c r="DN67" s="7">
        <f t="shared" ca="1" si="86"/>
        <v>2.86828767123288E-2</v>
      </c>
      <c r="DO67" s="7">
        <f t="shared" ca="1" si="86"/>
        <v>2.932027397260277E-2</v>
      </c>
      <c r="DP67" s="7">
        <f t="shared" ca="1" si="86"/>
        <v>2.86828767123288E-2</v>
      </c>
      <c r="DQ67" s="7">
        <f t="shared" ca="1" si="86"/>
        <v>2.9479623287671262E-2</v>
      </c>
      <c r="DR67" s="7">
        <f t="shared" ca="1" si="86"/>
        <v>2.8842226027397291E-2</v>
      </c>
      <c r="DS67" s="7">
        <f t="shared" ca="1" si="86"/>
        <v>2.9798321917808252E-2</v>
      </c>
      <c r="DT67" s="7">
        <f t="shared" ca="1" si="86"/>
        <v>2.8364178082191813E-2</v>
      </c>
      <c r="DU67" s="7">
        <f t="shared" ca="1" si="86"/>
        <v>2.9798321917808252E-2</v>
      </c>
      <c r="DV67" s="7">
        <f t="shared" ca="1" si="86"/>
        <v>2.8364178082191813E-2</v>
      </c>
      <c r="DW67" s="7">
        <f t="shared" ca="1" si="86"/>
        <v>2.9798321917808252E-2</v>
      </c>
      <c r="DX67" s="7">
        <f t="shared" ca="1" si="86"/>
        <v>2.86828767123288E-2</v>
      </c>
      <c r="DY67" s="7">
        <f t="shared" ca="1" si="86"/>
        <v>2.932027397260277E-2</v>
      </c>
      <c r="DZ67" s="7">
        <f t="shared" ca="1" si="86"/>
        <v>2.86828767123288E-2</v>
      </c>
      <c r="EA67" s="7">
        <f t="shared" ca="1" si="86"/>
        <v>2.9479623287671262E-2</v>
      </c>
      <c r="EB67" s="7">
        <f t="shared" ca="1" si="86"/>
        <v>2.86828767123288E-2</v>
      </c>
      <c r="EC67" s="7">
        <f t="shared" ca="1" si="86"/>
        <v>2.9479623287671262E-2</v>
      </c>
      <c r="ED67" s="7">
        <f t="shared" ca="1" si="86"/>
        <v>2.86828767123288E-2</v>
      </c>
      <c r="EE67" s="7">
        <f t="shared" ca="1" si="86"/>
        <v>2.9798321917808252E-2</v>
      </c>
      <c r="EF67" s="7">
        <f t="shared" ca="1" si="86"/>
        <v>2.8364178082191813E-2</v>
      </c>
      <c r="EG67" s="7">
        <f t="shared" ca="1" si="86"/>
        <v>2.9798321917808252E-2</v>
      </c>
      <c r="EH67" s="7">
        <f t="shared" ca="1" si="86"/>
        <v>1.0288422260273973</v>
      </c>
      <c r="EI67" s="7" t="str">
        <f t="shared" ca="1" si="86"/>
        <v/>
      </c>
      <c r="EJ67" s="7" t="str">
        <f t="shared" ca="1" si="86"/>
        <v/>
      </c>
      <c r="EK67" s="7" t="str">
        <f t="shared" ca="1" si="86"/>
        <v/>
      </c>
      <c r="EL67" s="7" t="str">
        <f t="shared" ca="1" si="86"/>
        <v/>
      </c>
      <c r="EM67" s="7" t="str">
        <f t="shared" ca="1" si="86"/>
        <v/>
      </c>
      <c r="EN67" s="7" t="str">
        <f t="shared" ca="1" si="86"/>
        <v/>
      </c>
      <c r="EO67" s="7" t="str">
        <f t="shared" ca="1" si="86"/>
        <v/>
      </c>
      <c r="EP67" s="7" t="str">
        <f t="shared" ca="1" si="86"/>
        <v/>
      </c>
      <c r="EQ67" s="7" t="str">
        <f t="shared" ca="1" si="86"/>
        <v/>
      </c>
      <c r="ER67" s="7" t="str">
        <f t="shared" ca="1" si="86"/>
        <v/>
      </c>
    </row>
    <row r="68" spans="1:148">
      <c r="A68" s="1">
        <f t="shared" si="82"/>
        <v>4</v>
      </c>
      <c r="B68" s="55">
        <f ca="1">_xll.HLV5r3.Analytics.Miscellaneous.DateRoll($B$48,A68*6,"M","MF",Holidays)</f>
        <v>44372</v>
      </c>
      <c r="C68" s="56">
        <f ca="1">_xll.HLV5r3.Analytics.Miscellaneous.LinearInterp(QZ_Nodes,B68-Calc_Date,1,2)</f>
        <v>5.3984932741310165E-2</v>
      </c>
      <c r="D68" s="57">
        <f ca="1">_xll.HLV5r3.Analytics.Miscellaneous.Zero2DF(C68,4,(B68-Calc_Date)/365)</f>
        <v>0.89803917079791107</v>
      </c>
      <c r="E68" s="57">
        <f t="shared" ca="1" si="79"/>
        <v>0.48767123287671232</v>
      </c>
      <c r="F68" s="56">
        <f ca="1">($D$64-D68)/SUMPRODUCT(D$65:D68,E$65:E68)</f>
        <v>5.4289718051611362E-2</v>
      </c>
      <c r="G68" s="73">
        <f ca="1">SUMPRODUCT(E$65:E68,D$65:D68)*10^6*0.0001</f>
        <v>187.56249273131422</v>
      </c>
      <c r="H68" s="11"/>
      <c r="I68" s="144"/>
      <c r="M68" s="6"/>
      <c r="N68" s="6"/>
      <c r="O68" s="126"/>
      <c r="P68" s="128"/>
      <c r="S68" s="11"/>
      <c r="T68" s="171"/>
      <c r="U68" s="126"/>
      <c r="W68" s="6">
        <f t="shared" si="32"/>
        <v>24</v>
      </c>
      <c r="X68" s="11">
        <f ca="1">_xll.HLV5r3.Analytics.Miscellaneous.PVFromCurve( CF_Days,CF,QZ_Nodes,W68,InterpSpace,ZeroCompFreq,Method)*10^6</f>
        <v>-25.914925032675022</v>
      </c>
      <c r="Y68" s="38" t="str">
        <f t="shared" si="66"/>
        <v>30Y</v>
      </c>
      <c r="Z68" s="6">
        <f t="shared" ref="Z68:CH68" ca="1" si="87">IF(Z39="","",Z39-Calc_Date)</f>
        <v>1</v>
      </c>
      <c r="AA68" s="6">
        <f t="shared" ca="1" si="87"/>
        <v>186</v>
      </c>
      <c r="AB68" s="6">
        <f t="shared" ca="1" si="87"/>
        <v>367</v>
      </c>
      <c r="AC68" s="6">
        <f t="shared" ca="1" si="87"/>
        <v>554</v>
      </c>
      <c r="AD68" s="6">
        <f t="shared" ca="1" si="87"/>
        <v>732</v>
      </c>
      <c r="AE68" s="6">
        <f t="shared" ca="1" si="87"/>
        <v>919</v>
      </c>
      <c r="AF68" s="6">
        <f t="shared" ca="1" si="87"/>
        <v>1099</v>
      </c>
      <c r="AG68" s="6">
        <f t="shared" ca="1" si="87"/>
        <v>1283</v>
      </c>
      <c r="AH68" s="6">
        <f t="shared" ca="1" si="87"/>
        <v>1463</v>
      </c>
      <c r="AI68" s="6">
        <f t="shared" ca="1" si="87"/>
        <v>1647</v>
      </c>
      <c r="AJ68" s="6">
        <f t="shared" ca="1" si="87"/>
        <v>1828</v>
      </c>
      <c r="AK68" s="6">
        <f t="shared" ca="1" si="87"/>
        <v>2013</v>
      </c>
      <c r="AL68" s="6">
        <f t="shared" ca="1" si="87"/>
        <v>2193</v>
      </c>
      <c r="AM68" s="6">
        <f t="shared" ca="1" si="87"/>
        <v>2380</v>
      </c>
      <c r="AN68" s="6">
        <f t="shared" ca="1" si="87"/>
        <v>2558</v>
      </c>
      <c r="AO68" s="6">
        <f t="shared" ca="1" si="87"/>
        <v>2745</v>
      </c>
      <c r="AP68" s="6">
        <f t="shared" ca="1" si="87"/>
        <v>2923</v>
      </c>
      <c r="AQ68" s="6">
        <f t="shared" ca="1" si="87"/>
        <v>3110</v>
      </c>
      <c r="AR68" s="6">
        <f t="shared" ca="1" si="87"/>
        <v>3290</v>
      </c>
      <c r="AS68" s="6">
        <f t="shared" ca="1" si="87"/>
        <v>3474</v>
      </c>
      <c r="AT68" s="6">
        <f t="shared" ca="1" si="87"/>
        <v>3654</v>
      </c>
      <c r="AU68" s="6">
        <f t="shared" ca="1" si="87"/>
        <v>3839</v>
      </c>
      <c r="AV68" s="6">
        <f t="shared" ca="1" si="87"/>
        <v>4019</v>
      </c>
      <c r="AW68" s="6">
        <f t="shared" ca="1" si="87"/>
        <v>4204</v>
      </c>
      <c r="AX68" s="6">
        <f t="shared" ca="1" si="87"/>
        <v>4384</v>
      </c>
      <c r="AY68" s="6">
        <f t="shared" ca="1" si="87"/>
        <v>4571</v>
      </c>
      <c r="AZ68" s="6">
        <f t="shared" ca="1" si="87"/>
        <v>4750</v>
      </c>
      <c r="BA68" s="6">
        <f t="shared" ca="1" si="87"/>
        <v>4937</v>
      </c>
      <c r="BB68" s="6">
        <f t="shared" ca="1" si="87"/>
        <v>5117</v>
      </c>
      <c r="BC68" s="6">
        <f t="shared" ca="1" si="87"/>
        <v>5301</v>
      </c>
      <c r="BD68" s="6">
        <f t="shared" ca="1" si="87"/>
        <v>5481</v>
      </c>
      <c r="BE68" s="6">
        <f t="shared" ca="1" si="87"/>
        <v>5665</v>
      </c>
      <c r="BF68" s="6">
        <f t="shared" ca="1" si="87"/>
        <v>5845</v>
      </c>
      <c r="BG68" s="6">
        <f t="shared" ca="1" si="87"/>
        <v>6030</v>
      </c>
      <c r="BH68" s="6">
        <f t="shared" ca="1" si="87"/>
        <v>6211</v>
      </c>
      <c r="BI68" s="6">
        <f t="shared" ca="1" si="87"/>
        <v>6398</v>
      </c>
      <c r="BJ68" s="6">
        <f t="shared" ca="1" si="87"/>
        <v>6576</v>
      </c>
      <c r="BK68" s="6">
        <f t="shared" ca="1" si="87"/>
        <v>6763</v>
      </c>
      <c r="BL68" s="6">
        <f t="shared" ca="1" si="87"/>
        <v>6941</v>
      </c>
      <c r="BM68" s="6">
        <f t="shared" ca="1" si="87"/>
        <v>7128</v>
      </c>
      <c r="BN68" s="6">
        <f t="shared" ca="1" si="87"/>
        <v>7308</v>
      </c>
      <c r="BO68" s="6">
        <f t="shared" ca="1" si="87"/>
        <v>7492</v>
      </c>
      <c r="BP68" s="6">
        <f t="shared" ca="1" si="87"/>
        <v>7672</v>
      </c>
      <c r="BQ68" s="6">
        <f t="shared" ca="1" si="87"/>
        <v>7857</v>
      </c>
      <c r="BR68" s="6">
        <f t="shared" ca="1" si="87"/>
        <v>8037</v>
      </c>
      <c r="BS68" s="6">
        <f t="shared" ca="1" si="87"/>
        <v>8222</v>
      </c>
      <c r="BT68" s="6">
        <f t="shared" ca="1" si="87"/>
        <v>8402</v>
      </c>
      <c r="BU68" s="6">
        <f t="shared" ca="1" si="87"/>
        <v>8589</v>
      </c>
      <c r="BV68" s="6">
        <f t="shared" ca="1" si="87"/>
        <v>8767</v>
      </c>
      <c r="BW68" s="6">
        <f t="shared" ca="1" si="87"/>
        <v>8954</v>
      </c>
      <c r="BX68" s="6">
        <f t="shared" ca="1" si="87"/>
        <v>9135</v>
      </c>
      <c r="BY68" s="6">
        <f t="shared" ca="1" si="87"/>
        <v>9319</v>
      </c>
      <c r="BZ68" s="6">
        <f t="shared" ca="1" si="87"/>
        <v>9499</v>
      </c>
      <c r="CA68" s="6">
        <f t="shared" ca="1" si="87"/>
        <v>9683</v>
      </c>
      <c r="CB68" s="6">
        <f t="shared" ca="1" si="87"/>
        <v>9863</v>
      </c>
      <c r="CC68" s="6">
        <f t="shared" ca="1" si="87"/>
        <v>10048</v>
      </c>
      <c r="CD68" s="6">
        <f t="shared" ca="1" si="87"/>
        <v>10228</v>
      </c>
      <c r="CE68" s="6">
        <f t="shared" ca="1" si="87"/>
        <v>10413</v>
      </c>
      <c r="CF68" s="6">
        <f t="shared" ca="1" si="87"/>
        <v>10594</v>
      </c>
      <c r="CG68" s="6">
        <f t="shared" ca="1" si="87"/>
        <v>10781</v>
      </c>
      <c r="CH68" s="6">
        <f t="shared" ca="1" si="87"/>
        <v>10959</v>
      </c>
      <c r="CI68" s="34"/>
      <c r="CJ68" s="7">
        <v>-1</v>
      </c>
      <c r="CK68" s="7">
        <f t="shared" ref="CK68:ER68" ca="1" si="88">IF(AA39&lt;$N39,$P39*(AA39-Z39)/365,IF(AA39=$N39,1+$P39*(AA39-Z39)/365,IF(AA39&gt;$N39,"")))</f>
        <v>2.8776369863013733E-2</v>
      </c>
      <c r="CL68" s="7">
        <f t="shared" ca="1" si="88"/>
        <v>2.8154178082191814E-2</v>
      </c>
      <c r="CM68" s="7">
        <f t="shared" ca="1" si="88"/>
        <v>2.9087465753424691E-2</v>
      </c>
      <c r="CN68" s="7">
        <f t="shared" ca="1" si="88"/>
        <v>2.7687534246575378E-2</v>
      </c>
      <c r="CO68" s="7">
        <f t="shared" ca="1" si="88"/>
        <v>2.9087465753424691E-2</v>
      </c>
      <c r="CP68" s="7">
        <f t="shared" ca="1" si="88"/>
        <v>2.7998630136986336E-2</v>
      </c>
      <c r="CQ68" s="7">
        <f t="shared" ca="1" si="88"/>
        <v>2.8620821917808254E-2</v>
      </c>
      <c r="CR68" s="7">
        <f t="shared" ca="1" si="88"/>
        <v>2.7998630136986336E-2</v>
      </c>
      <c r="CS68" s="7">
        <f t="shared" ca="1" si="88"/>
        <v>2.8620821917808254E-2</v>
      </c>
      <c r="CT68" s="7">
        <f t="shared" ca="1" si="88"/>
        <v>2.8154178082191814E-2</v>
      </c>
      <c r="CU68" s="7">
        <f t="shared" ca="1" si="88"/>
        <v>2.8776369863013733E-2</v>
      </c>
      <c r="CV68" s="7">
        <f t="shared" ca="1" si="88"/>
        <v>2.7998630136986336E-2</v>
      </c>
      <c r="CW68" s="7">
        <f t="shared" ca="1" si="88"/>
        <v>2.9087465753424691E-2</v>
      </c>
      <c r="CX68" s="7">
        <f t="shared" ca="1" si="88"/>
        <v>2.7687534246575378E-2</v>
      </c>
      <c r="CY68" s="7">
        <f t="shared" ca="1" si="88"/>
        <v>2.9087465753424691E-2</v>
      </c>
      <c r="CZ68" s="7">
        <f t="shared" ca="1" si="88"/>
        <v>2.7687534246575378E-2</v>
      </c>
      <c r="DA68" s="7">
        <f t="shared" ca="1" si="88"/>
        <v>2.9087465753424691E-2</v>
      </c>
      <c r="DB68" s="7">
        <f t="shared" ca="1" si="88"/>
        <v>2.7998630136986336E-2</v>
      </c>
      <c r="DC68" s="7">
        <f t="shared" ca="1" si="88"/>
        <v>2.8620821917808254E-2</v>
      </c>
      <c r="DD68" s="7">
        <f t="shared" ca="1" si="88"/>
        <v>2.7998630136986336E-2</v>
      </c>
      <c r="DE68" s="7">
        <f t="shared" ca="1" si="88"/>
        <v>2.8776369863013733E-2</v>
      </c>
      <c r="DF68" s="7">
        <f t="shared" ca="1" si="88"/>
        <v>2.7998630136986336E-2</v>
      </c>
      <c r="DG68" s="7">
        <f t="shared" ca="1" si="88"/>
        <v>2.8776369863013733E-2</v>
      </c>
      <c r="DH68" s="7">
        <f t="shared" ca="1" si="88"/>
        <v>2.7998630136986336E-2</v>
      </c>
      <c r="DI68" s="7">
        <f t="shared" ca="1" si="88"/>
        <v>2.9087465753424691E-2</v>
      </c>
      <c r="DJ68" s="7">
        <f t="shared" ca="1" si="88"/>
        <v>2.7843082191780857E-2</v>
      </c>
      <c r="DK68" s="7">
        <f t="shared" ca="1" si="88"/>
        <v>2.9087465753424691E-2</v>
      </c>
      <c r="DL68" s="7">
        <f t="shared" ca="1" si="88"/>
        <v>2.7998630136986336E-2</v>
      </c>
      <c r="DM68" s="7">
        <f t="shared" ca="1" si="88"/>
        <v>2.8620821917808254E-2</v>
      </c>
      <c r="DN68" s="7">
        <f t="shared" ca="1" si="88"/>
        <v>2.7998630136986336E-2</v>
      </c>
      <c r="DO68" s="7">
        <f t="shared" ca="1" si="88"/>
        <v>2.8620821917808254E-2</v>
      </c>
      <c r="DP68" s="7">
        <f t="shared" ca="1" si="88"/>
        <v>2.7998630136986336E-2</v>
      </c>
      <c r="DQ68" s="7">
        <f t="shared" ca="1" si="88"/>
        <v>2.8776369863013733E-2</v>
      </c>
      <c r="DR68" s="7">
        <f t="shared" ca="1" si="88"/>
        <v>2.8154178082191814E-2</v>
      </c>
      <c r="DS68" s="7">
        <f t="shared" ca="1" si="88"/>
        <v>2.9087465753424691E-2</v>
      </c>
      <c r="DT68" s="7">
        <f t="shared" ca="1" si="88"/>
        <v>2.7687534246575378E-2</v>
      </c>
      <c r="DU68" s="7">
        <f t="shared" ca="1" si="88"/>
        <v>2.9087465753424691E-2</v>
      </c>
      <c r="DV68" s="7">
        <f t="shared" ca="1" si="88"/>
        <v>2.7687534246575378E-2</v>
      </c>
      <c r="DW68" s="7">
        <f t="shared" ca="1" si="88"/>
        <v>2.9087465753424691E-2</v>
      </c>
      <c r="DX68" s="7">
        <f t="shared" ca="1" si="88"/>
        <v>2.7998630136986336E-2</v>
      </c>
      <c r="DY68" s="7">
        <f t="shared" ca="1" si="88"/>
        <v>2.8620821917808254E-2</v>
      </c>
      <c r="DZ68" s="7">
        <f t="shared" ca="1" si="88"/>
        <v>2.7998630136986336E-2</v>
      </c>
      <c r="EA68" s="7">
        <f t="shared" ca="1" si="88"/>
        <v>2.8776369863013733E-2</v>
      </c>
      <c r="EB68" s="7">
        <f t="shared" ca="1" si="88"/>
        <v>2.7998630136986336E-2</v>
      </c>
      <c r="EC68" s="7">
        <f t="shared" ca="1" si="88"/>
        <v>2.8776369863013733E-2</v>
      </c>
      <c r="ED68" s="7">
        <f t="shared" ca="1" si="88"/>
        <v>2.7998630136986336E-2</v>
      </c>
      <c r="EE68" s="7">
        <f t="shared" ca="1" si="88"/>
        <v>2.9087465753424691E-2</v>
      </c>
      <c r="EF68" s="7">
        <f t="shared" ca="1" si="88"/>
        <v>2.7687534246575378E-2</v>
      </c>
      <c r="EG68" s="7">
        <f t="shared" ca="1" si="88"/>
        <v>2.9087465753424691E-2</v>
      </c>
      <c r="EH68" s="7">
        <f t="shared" ca="1" si="88"/>
        <v>2.8154178082191814E-2</v>
      </c>
      <c r="EI68" s="7">
        <f t="shared" ca="1" si="88"/>
        <v>2.8620821917808254E-2</v>
      </c>
      <c r="EJ68" s="7">
        <f t="shared" ca="1" si="88"/>
        <v>2.7998630136986336E-2</v>
      </c>
      <c r="EK68" s="7">
        <f t="shared" ca="1" si="88"/>
        <v>2.8620821917808254E-2</v>
      </c>
      <c r="EL68" s="7">
        <f t="shared" ca="1" si="88"/>
        <v>2.7998630136986336E-2</v>
      </c>
      <c r="EM68" s="7">
        <f t="shared" ca="1" si="88"/>
        <v>2.8776369863013733E-2</v>
      </c>
      <c r="EN68" s="7">
        <f t="shared" ca="1" si="88"/>
        <v>2.7998630136986336E-2</v>
      </c>
      <c r="EO68" s="7">
        <f t="shared" ca="1" si="88"/>
        <v>2.8776369863013733E-2</v>
      </c>
      <c r="EP68" s="7">
        <f t="shared" ca="1" si="88"/>
        <v>2.8154178082191814E-2</v>
      </c>
      <c r="EQ68" s="7">
        <f t="shared" ca="1" si="88"/>
        <v>2.9087465753424691E-2</v>
      </c>
      <c r="ER68" s="7">
        <f t="shared" ca="1" si="88"/>
        <v>1.0276875342465754</v>
      </c>
    </row>
    <row r="69" spans="1:148" ht="13.5" thickBot="1">
      <c r="A69" s="1">
        <f t="shared" si="82"/>
        <v>5</v>
      </c>
      <c r="B69" s="4">
        <f ca="1">_xll.HLV5r3.Analytics.Miscellaneous.DateRoll($B$48,A69*6,"M","MF",Holidays)</f>
        <v>44559</v>
      </c>
      <c r="C69" s="58">
        <f ca="1">_xll.HLV5r3.Analytics.Miscellaneous.LinearInterp(QZ_Nodes,B69-Calc_Date,1,2)</f>
        <v>5.4633165694035216E-2</v>
      </c>
      <c r="D69" s="59">
        <f ca="1">_xll.HLV5r3.Analytics.Miscellaneous.Zero2DF(C69,4,(B69-Calc_Date)/365)</f>
        <v>0.87229735326571733</v>
      </c>
      <c r="E69" s="59">
        <f t="shared" ca="1" si="79"/>
        <v>0.51232876712328768</v>
      </c>
      <c r="F69" s="58">
        <f ca="1">($D$64-D69)/SUMPRODUCT(D$65:D69,E$65:E69)</f>
        <v>5.4926773104598509E-2</v>
      </c>
      <c r="G69" s="11">
        <f ca="1">SUMPRODUCT(E$65:E69,D$65:D69)*10^6*0.0001</f>
        <v>232.25279548766744</v>
      </c>
      <c r="H69" s="2"/>
      <c r="I69" s="144"/>
      <c r="M69" s="6"/>
      <c r="N69" s="6"/>
      <c r="O69" s="6"/>
      <c r="P69" s="6"/>
      <c r="Q69" s="11">
        <f t="array" aca="1" ref="Q69:Q70" ca="1">MMULT(Q66:R67,S61:S62)</f>
        <v>15.829301504565993</v>
      </c>
      <c r="R69" s="121">
        <f ca="1">-Q69+E16</f>
        <v>-4.8293015045659935</v>
      </c>
      <c r="S69" s="11"/>
      <c r="T69" s="171"/>
      <c r="U69" s="126"/>
    </row>
    <row r="70" spans="1:148" ht="13.5" thickBot="1">
      <c r="A70" s="1">
        <f t="shared" si="82"/>
        <v>6</v>
      </c>
      <c r="B70" s="55">
        <f ca="1">_xll.HLV5r3.Analytics.Miscellaneous.DateRoll($B$48,A70*6,"M","MF",Holidays)</f>
        <v>44739</v>
      </c>
      <c r="C70" s="56">
        <f ca="1">_xll.HLV5r3.Analytics.Miscellaneous.LinearInterp(QZ_Nodes,B70-Calc_Date,1,2)</f>
        <v>5.5236508375132734E-2</v>
      </c>
      <c r="D70" s="57">
        <f ca="1">_xll.HLV5r3.Analytics.Miscellaneous.Zero2DF(C70,4,(B70-Calc_Date)/365)</f>
        <v>0.84774364987217121</v>
      </c>
      <c r="E70" s="57">
        <f t="shared" ca="1" si="79"/>
        <v>0.49315068493150682</v>
      </c>
      <c r="F70" s="56">
        <f ca="1">($D$64-D70)/SUMPRODUCT(D$65:D70,E$65:E70)</f>
        <v>5.5507202942748281E-2</v>
      </c>
      <c r="G70" s="73">
        <f ca="1">SUMPRODUCT(E$65:E70,D$65:D70)*10^6*0.0001</f>
        <v>274.05933164574708</v>
      </c>
      <c r="H70" s="2"/>
      <c r="I70" s="6"/>
      <c r="M70" s="6"/>
      <c r="N70" s="6"/>
      <c r="O70" s="6"/>
      <c r="P70" s="6"/>
      <c r="Q70" s="11">
        <f ca="1"/>
        <v>12.576467283278276</v>
      </c>
      <c r="R70" s="121">
        <f ca="1">-Q70+E17</f>
        <v>-10.576467283278276</v>
      </c>
      <c r="S70" s="11"/>
      <c r="T70" s="135"/>
      <c r="U70" s="176" t="s">
        <v>109</v>
      </c>
      <c r="V70" s="177"/>
      <c r="W70" s="3" t="s">
        <v>108</v>
      </c>
      <c r="X70" s="3" t="s">
        <v>64</v>
      </c>
      <c r="Z70" s="25"/>
    </row>
    <row r="71" spans="1:148">
      <c r="A71" s="1">
        <f t="shared" si="82"/>
        <v>7</v>
      </c>
      <c r="B71" s="4">
        <f ca="1">_xll.HLV5r3.Analytics.Miscellaneous.DateRoll($B$48,A71*6,"M","MF",Holidays)</f>
        <v>44923</v>
      </c>
      <c r="C71" s="58">
        <f ca="1">_xll.HLV5r3.Analytics.Miscellaneous.LinearInterp(QZ_Nodes,B71-Calc_Date,1,2)</f>
        <v>5.5665439454169401E-2</v>
      </c>
      <c r="D71" s="59">
        <f ca="1">_xll.HLV5r3.Analytics.Miscellaneous.Zero2DF(C71,4,(B71-Calc_Date)/365)</f>
        <v>0.82339532992917319</v>
      </c>
      <c r="E71" s="59">
        <f t="shared" ca="1" si="79"/>
        <v>0.50410958904109593</v>
      </c>
      <c r="F71" s="58">
        <f ca="1">($D$64-D71)/SUMPRODUCT(D$65:D71,E$65:E71)</f>
        <v>5.5921791898067022E-2</v>
      </c>
      <c r="G71" s="11">
        <f ca="1">SUMPRODUCT(E$65:E71,D$65:D71)*10^6*0.0001</f>
        <v>315.56747978464239</v>
      </c>
      <c r="H71" s="2"/>
      <c r="I71" s="144"/>
      <c r="M71" s="136" t="s">
        <v>71</v>
      </c>
      <c r="N71" s="6"/>
      <c r="O71" s="10">
        <f>P15</f>
        <v>4.880000000000001E-2</v>
      </c>
      <c r="P71" s="6"/>
      <c r="S71" s="11"/>
      <c r="T71" s="135"/>
      <c r="U71" s="105">
        <f t="shared" ref="U71:U86" si="89">U14</f>
        <v>0</v>
      </c>
      <c r="V71" s="167">
        <f t="shared" ref="V71:V86" si="90">V14+0.0001</f>
        <v>4.9195581364560835E-2</v>
      </c>
      <c r="Z71" s="6"/>
      <c r="CM71" s="33"/>
    </row>
    <row r="72" spans="1:148">
      <c r="A72" s="1">
        <f t="shared" si="82"/>
        <v>8</v>
      </c>
      <c r="B72" s="55">
        <f ca="1">_xll.HLV5r3.Analytics.Miscellaneous.DateRoll($B$48,A72*6,"M","MF",Holidays)</f>
        <v>45103</v>
      </c>
      <c r="C72" s="56">
        <f ca="1">_xll.HLV5r3.Analytics.Miscellaneous.LinearInterp(QZ_Nodes,B72-Calc_Date,1,2)</f>
        <v>5.6085267958972819E-2</v>
      </c>
      <c r="D72" s="57">
        <f ca="1">_xll.HLV5r3.Analytics.Miscellaneous.Zero2DF(C72,4,(B72-Calc_Date)/365)</f>
        <v>0.79992235290902891</v>
      </c>
      <c r="E72" s="57">
        <f t="shared" ca="1" si="79"/>
        <v>0.49315068493150682</v>
      </c>
      <c r="F72" s="56">
        <f ca="1">($D$64-D72)/SUMPRODUCT(D$65:D72,E$65:E72)</f>
        <v>5.6319752427221113E-2</v>
      </c>
      <c r="G72" s="73">
        <f ca="1">SUMPRODUCT(E$65:E72,D$65:D72)*10^6*0.0001</f>
        <v>355.01570540755341</v>
      </c>
      <c r="H72" s="11"/>
      <c r="I72" s="11"/>
      <c r="M72" s="136" t="s">
        <v>72</v>
      </c>
      <c r="N72" s="6"/>
      <c r="O72" s="10">
        <f>P16</f>
        <v>4.9200000000000001E-2</v>
      </c>
      <c r="P72" s="6"/>
      <c r="S72" s="11"/>
      <c r="T72" s="135"/>
      <c r="U72" s="107">
        <f t="shared" si="89"/>
        <v>1</v>
      </c>
      <c r="V72" s="168">
        <f t="shared" si="90"/>
        <v>4.9195581364560835E-2</v>
      </c>
      <c r="W72" s="11">
        <f t="shared" ref="W72:W86" ca="1" si="91">X44/X72</f>
        <v>-1.0908095458766782E-4</v>
      </c>
      <c r="X72" s="123">
        <f ca="1">_xll.HLV5r3.Analytics.Miscellaneous.PVFromCurve(CF_Days,CF,$U$71:$V$96,W44,InterpSpace,ZeroCompFreq,Method)*10^6-X44</f>
        <v>-0.27064728619119505</v>
      </c>
      <c r="Z72" s="25"/>
      <c r="CM72" s="33"/>
    </row>
    <row r="73" spans="1:148">
      <c r="A73" s="1">
        <f t="shared" si="82"/>
        <v>9</v>
      </c>
      <c r="B73" s="4">
        <f ca="1">_xll.HLV5r3.Analytics.Miscellaneous.DateRoll($B$48,A73*6,"M","MF",Holidays)</f>
        <v>45287</v>
      </c>
      <c r="C73" s="58">
        <f ca="1">_xll.HLV5r3.Analytics.Miscellaneous.LinearInterp(QZ_Nodes,B73-Calc_Date,1,2)</f>
        <v>5.6555049695237794E-2</v>
      </c>
      <c r="D73" s="59">
        <f ca="1">_xll.HLV5r3.Analytics.Miscellaneous.Zero2DF(C73,4,(B73-Calc_Date)/365)</f>
        <v>0.7761513542632823</v>
      </c>
      <c r="E73" s="59">
        <f t="shared" ca="1" si="79"/>
        <v>0.50410958904109593</v>
      </c>
      <c r="F73" s="58">
        <f ca="1">($D$64-D73)/SUMPRODUCT(D$65:D73,E$65:E73)</f>
        <v>5.6759956845065421E-2</v>
      </c>
      <c r="G73" s="11">
        <f ca="1">SUMPRODUCT(E$65:E73,D$65:D73)*10^6*0.0001</f>
        <v>394.14223943068873</v>
      </c>
      <c r="H73" s="2"/>
      <c r="I73" s="144"/>
      <c r="M73" s="136" t="s">
        <v>73</v>
      </c>
      <c r="N73" s="6"/>
      <c r="O73" s="10">
        <f>P17</f>
        <v>4.9599999999999991E-2</v>
      </c>
      <c r="S73" s="11"/>
      <c r="T73" s="135"/>
      <c r="U73" s="107">
        <f t="shared" si="89"/>
        <v>31</v>
      </c>
      <c r="V73" s="168">
        <f t="shared" si="90"/>
        <v>4.9493457243869589E-2</v>
      </c>
      <c r="W73" s="11">
        <f t="shared" ca="1" si="91"/>
        <v>-1.5565117095102546E-7</v>
      </c>
      <c r="X73" s="123">
        <f ca="1">_xll.HLV5r3.Analytics.Miscellaneous.PVFromCurve(CF_Days,CF,$U$71:$V$96,W45,InterpSpace,ZeroCompFreq,Method)*10^6-X45</f>
        <v>-8.0849876729072179</v>
      </c>
      <c r="Z73" s="6"/>
      <c r="CJ73" s="1"/>
      <c r="CK73" s="36"/>
      <c r="CL73" s="34"/>
      <c r="CM73" s="33"/>
    </row>
    <row r="74" spans="1:148">
      <c r="A74" s="1">
        <f t="shared" si="82"/>
        <v>10</v>
      </c>
      <c r="B74" s="55">
        <f ca="1">_xll.HLV5r3.Analytics.Miscellaneous.DateRoll($B$48,A74*6,"M","MF",Holidays)</f>
        <v>45468</v>
      </c>
      <c r="C74" s="56">
        <f ca="1">_xll.HLV5r3.Analytics.Miscellaneous.LinearInterp(QZ_Nodes,B74-Calc_Date,1,2)</f>
        <v>5.7016707201678743E-2</v>
      </c>
      <c r="D74" s="57">
        <f ca="1">_xll.HLV5r3.Analytics.Miscellaneous.Zero2DF(C74,4,(B74-Calc_Date)/365)</f>
        <v>0.75311589939524048</v>
      </c>
      <c r="E74" s="57">
        <f t="shared" ca="1" si="79"/>
        <v>0.49589041095890413</v>
      </c>
      <c r="F74" s="56">
        <f ca="1">($D$64-D74)/SUMPRODUCT(D$65:D74,E$65:E74)</f>
        <v>5.7185857797963466E-2</v>
      </c>
      <c r="G74" s="73">
        <f ca="1">SUMPRODUCT(E$65:E74,D$65:D74)*10^6*0.0001</f>
        <v>431.48853471576768</v>
      </c>
      <c r="H74" s="2"/>
      <c r="I74" s="144"/>
      <c r="M74" s="136" t="s">
        <v>74</v>
      </c>
      <c r="N74" s="6"/>
      <c r="O74" s="10">
        <f>P18</f>
        <v>5.0199999999999995E-2</v>
      </c>
      <c r="S74" s="11"/>
      <c r="T74" s="135"/>
      <c r="U74" s="107">
        <f t="shared" si="89"/>
        <v>62</v>
      </c>
      <c r="V74" s="168">
        <f t="shared" si="90"/>
        <v>4.9792024930190713E-2</v>
      </c>
      <c r="W74" s="11">
        <f t="shared" ca="1" si="91"/>
        <v>0.19394771424356674</v>
      </c>
      <c r="X74" s="123">
        <f ca="1">_xll.HLV5r3.Analytics.Miscellaneous.PVFromCurve(CF_Days,CF,$U$71:$V$96,W46,InterpSpace,ZeroCompFreq,Method)*10^6-X46</f>
        <v>-16.634959244310465</v>
      </c>
      <c r="Z74" s="25"/>
      <c r="CJ74" s="1"/>
      <c r="CK74" s="36"/>
      <c r="CL74" s="34"/>
      <c r="CM74" s="33"/>
    </row>
    <row r="75" spans="1:148">
      <c r="A75" s="1">
        <f t="shared" si="82"/>
        <v>11</v>
      </c>
      <c r="B75" s="4">
        <f ca="1">_xll.HLV5r3.Analytics.Miscellaneous.DateRoll($B$48,A75*6,"M","MF",Holidays)</f>
        <v>45653</v>
      </c>
      <c r="C75" s="58">
        <f ca="1">_xll.HLV5r3.Analytics.Miscellaneous.LinearInterp(QZ_Nodes,B75-Calc_Date,1,2)</f>
        <v>5.7403064275733592E-2</v>
      </c>
      <c r="D75" s="59">
        <f ca="1">_xll.HLV5r3.Analytics.Miscellaneous.Zero2DF(C75,4,(B75-Calc_Date)/365)</f>
        <v>0.7302767283067082</v>
      </c>
      <c r="E75" s="59">
        <f t="shared" ca="1" si="79"/>
        <v>0.50684931506849318</v>
      </c>
      <c r="F75" s="58">
        <f ca="1">($D$64-D75)/SUMPRODUCT(D$65:D75,E$65:E75)</f>
        <v>5.7542821234418118E-2</v>
      </c>
      <c r="G75" s="11">
        <f ca="1">SUMPRODUCT(E$65:E75,D$65:D75)*10^6*0.0001</f>
        <v>468.5025606710393</v>
      </c>
      <c r="H75" s="2"/>
      <c r="I75" s="144"/>
      <c r="M75" s="136" t="s">
        <v>75</v>
      </c>
      <c r="N75" s="6"/>
      <c r="O75" s="138">
        <f ca="1">D19</f>
        <v>94.955000000000013</v>
      </c>
      <c r="S75" s="11"/>
      <c r="T75" s="135"/>
      <c r="U75" s="107">
        <f t="shared" si="89"/>
        <v>93</v>
      </c>
      <c r="V75" s="168">
        <f t="shared" si="90"/>
        <v>5.0285572513157337E-2</v>
      </c>
      <c r="W75" s="11">
        <f t="shared" ca="1" si="91"/>
        <v>-2.5490079040269304E-8</v>
      </c>
      <c r="X75" s="123">
        <f ca="1">_xll.HLV5r3.Analytics.Miscellaneous.PVFromCurve(CF_Days,CF,$U$71:$V$96,W47,InterpSpace,ZeroCompFreq,Method)*10^6-X47</f>
        <v>-24.578144767861687</v>
      </c>
      <c r="Z75" s="6"/>
      <c r="CJ75" s="1"/>
      <c r="CK75" s="36"/>
      <c r="CL75" s="34"/>
      <c r="CM75" s="33"/>
    </row>
    <row r="76" spans="1:148">
      <c r="A76" s="1">
        <f t="shared" si="82"/>
        <v>12</v>
      </c>
      <c r="B76" s="4">
        <f ca="1">_xll.HLV5r3.Analytics.Miscellaneous.DateRoll($B$48,A76*6,"M","MF",Holidays)</f>
        <v>45833</v>
      </c>
      <c r="C76" s="58">
        <f ca="1">_xll.HLV5r3.Analytics.Miscellaneous.LinearInterp(QZ_Nodes,B76-Calc_Date,1,2)</f>
        <v>5.7778979266705881E-2</v>
      </c>
      <c r="D76" s="59">
        <f ca="1">_xll.HLV5r3.Analytics.Miscellaneous.Zero2DF(C76,4,(B76-Calc_Date)/365)</f>
        <v>0.70845734997192022</v>
      </c>
      <c r="E76" s="59">
        <f t="shared" ca="1" si="79"/>
        <v>0.49315068493150682</v>
      </c>
      <c r="F76" s="58">
        <f ca="1">($D$64-D76)/SUMPRODUCT(D$65:D76,E$65:E76)</f>
        <v>5.7883533913984667E-2</v>
      </c>
      <c r="G76" s="11">
        <f ca="1">SUMPRODUCT(E$65:E76,D$65:D76)*10^6*0.0001</f>
        <v>503.44018340938055</v>
      </c>
      <c r="H76" s="2"/>
      <c r="I76" s="144"/>
      <c r="M76" s="134" t="s">
        <v>76</v>
      </c>
      <c r="O76" s="138">
        <f t="shared" ref="O76:O82" ca="1" si="92">D20</f>
        <v>94.844999999999999</v>
      </c>
      <c r="S76" s="11"/>
      <c r="T76" s="135"/>
      <c r="U76" s="107">
        <f t="shared" si="89"/>
        <v>114</v>
      </c>
      <c r="V76" s="168">
        <f t="shared" si="90"/>
        <v>5.0316325185776341E-2</v>
      </c>
      <c r="W76" s="11">
        <f t="shared" ca="1" si="91"/>
        <v>-10.282525090131392</v>
      </c>
      <c r="X76" s="123">
        <f ca="1">_xll.HLV5r3.Analytics.Miscellaneous.PVFromCurve(CF_Days,CF,$U$71:$V$96,W48,InterpSpace,ZeroCompFreq,Method)*10^6-X48</f>
        <v>-35.374579539615411</v>
      </c>
      <c r="Z76" s="25"/>
      <c r="CJ76" s="1"/>
      <c r="CK76" s="36"/>
      <c r="CL76" s="34"/>
      <c r="CM76" s="33"/>
    </row>
    <row r="77" spans="1:148">
      <c r="A77" s="1">
        <f t="shared" si="82"/>
        <v>13</v>
      </c>
      <c r="B77" s="4">
        <f ca="1">_xll.HLV5r3.Analytics.Miscellaneous.DateRoll($B$48,A77*6,"M","MF",Holidays)</f>
        <v>46020</v>
      </c>
      <c r="C77" s="58">
        <f ca="1">_xll.HLV5r3.Analytics.Miscellaneous.LinearInterp(QZ_Nodes,B77-Calc_Date,1,2)</f>
        <v>5.8116407675076961E-2</v>
      </c>
      <c r="D77" s="59">
        <f ca="1">_xll.HLV5r3.Analytics.Miscellaneous.Zero2DF(C77,4,(B77-Calc_Date)/365)</f>
        <v>0.68644835041317409</v>
      </c>
      <c r="E77" s="59">
        <f t="shared" ca="1" si="79"/>
        <v>0.51232876712328768</v>
      </c>
      <c r="F77" s="58">
        <f ca="1">($D$64-D77)/SUMPRODUCT(D$65:D77,E$65:E77)</f>
        <v>5.8190268433853311E-2</v>
      </c>
      <c r="G77" s="11">
        <f ca="1">SUMPRODUCT(E$65:E77,D$65:D77)*10^6*0.0001</f>
        <v>538.60890711548018</v>
      </c>
      <c r="H77" s="2"/>
      <c r="I77" s="144"/>
      <c r="M77" s="136" t="s">
        <v>77</v>
      </c>
      <c r="N77" s="6"/>
      <c r="O77" s="138">
        <f t="shared" ca="1" si="92"/>
        <v>94.694999999999993</v>
      </c>
      <c r="P77" s="6"/>
      <c r="Q77" s="6"/>
      <c r="R77" s="6"/>
      <c r="S77" s="11"/>
      <c r="T77" s="135"/>
      <c r="U77" s="107">
        <f t="shared" si="89"/>
        <v>205</v>
      </c>
      <c r="V77" s="168">
        <f t="shared" si="90"/>
        <v>5.0905736076723315E-2</v>
      </c>
      <c r="W77" s="11">
        <f t="shared" ca="1" si="91"/>
        <v>5.8202899459301598</v>
      </c>
      <c r="X77" s="123">
        <f ca="1">_xll.HLV5r3.Analytics.Miscellaneous.PVFromCurve(CF_Days,CF,$U$71:$V$96,W49,InterpSpace,ZeroCompFreq,Method)*10^6-X49</f>
        <v>-35.390279402580688</v>
      </c>
      <c r="CJ77" s="1"/>
      <c r="CK77" s="36"/>
      <c r="CL77" s="34"/>
      <c r="CM77" s="33"/>
    </row>
    <row r="78" spans="1:148">
      <c r="A78" s="1">
        <f t="shared" si="82"/>
        <v>14</v>
      </c>
      <c r="B78" s="55">
        <f ca="1">_xll.HLV5r3.Analytics.Miscellaneous.DateRoll($B$48,A78*6,"M","MF",Holidays)</f>
        <v>46198</v>
      </c>
      <c r="C78" s="56">
        <f ca="1">_xll.HLV5r3.Analytics.Miscellaneous.LinearInterp(QZ_Nodes,B78-Calc_Date,1,2)</f>
        <v>5.8437596213526434E-2</v>
      </c>
      <c r="D78" s="57">
        <f ca="1">_xll.HLV5r3.Analytics.Miscellaneous.Zero2DF(C78,4,(B78-Calc_Date)/365)</f>
        <v>0.66592334560032096</v>
      </c>
      <c r="E78" s="57">
        <f t="shared" ca="1" si="79"/>
        <v>0.48767123287671232</v>
      </c>
      <c r="F78" s="56">
        <f ca="1">($D$64-D78)/SUMPRODUCT(D$65:D78,E$65:E78)</f>
        <v>5.8475273511234695E-2</v>
      </c>
      <c r="G78" s="73">
        <f ca="1">SUMPRODUCT(E$65:E78,D$65:D78)*10^6*0.0001</f>
        <v>571.08407301050954</v>
      </c>
      <c r="H78" s="2"/>
      <c r="I78" s="144"/>
      <c r="M78" s="136" t="s">
        <v>78</v>
      </c>
      <c r="N78" s="6"/>
      <c r="O78" s="138">
        <f t="shared" ca="1" si="92"/>
        <v>94.574999999999989</v>
      </c>
      <c r="P78" s="6"/>
      <c r="Q78" s="6"/>
      <c r="R78" s="6"/>
      <c r="S78" s="11"/>
      <c r="T78" s="135"/>
      <c r="U78" s="107">
        <f t="shared" si="89"/>
        <v>296</v>
      </c>
      <c r="V78" s="168">
        <f t="shared" si="90"/>
        <v>5.1590216366879979E-2</v>
      </c>
      <c r="W78" s="11">
        <f t="shared" ca="1" si="91"/>
        <v>-5.6812255622459649</v>
      </c>
      <c r="X78" s="123">
        <f ca="1">_xll.HLV5r3.Analytics.Miscellaneous.PVFromCurve(CF_Days,CF,$U$71:$V$96,W50,InterpSpace,ZeroCompFreq,Method)*10^6-X50</f>
        <v>-34.657918073888197</v>
      </c>
      <c r="CJ78" s="1"/>
      <c r="CK78" s="36"/>
      <c r="CL78" s="34"/>
      <c r="CM78" s="33"/>
    </row>
    <row r="79" spans="1:148">
      <c r="A79" s="1">
        <f t="shared" si="82"/>
        <v>15</v>
      </c>
      <c r="B79" s="4">
        <f ca="1">_xll.HLV5r3.Analytics.Miscellaneous.DateRoll($B$48,A79*6,"M","MF",Holidays)</f>
        <v>46385</v>
      </c>
      <c r="C79" s="58">
        <f ca="1">_xll.HLV5r3.Analytics.Miscellaneous.LinearInterp(QZ_Nodes,B79-Calc_Date,1,2)</f>
        <v>5.8604777531251928E-2</v>
      </c>
      <c r="D79" s="59">
        <f ca="1">_xll.HLV5r3.Analytics.Miscellaneous.Zero2DF(C79,4,(B79-Calc_Date)/365)</f>
        <v>0.64562105545421855</v>
      </c>
      <c r="E79" s="59">
        <f t="shared" ca="1" si="79"/>
        <v>0.51232876712328768</v>
      </c>
      <c r="F79" s="58">
        <f ca="1">($D$64-D79)/SUMPRODUCT(D$65:D79,E$65:E79)</f>
        <v>5.8634239378854335E-2</v>
      </c>
      <c r="G79" s="11">
        <f ca="1">SUMPRODUCT(E$65:E79,D$65:D79)*10^6*0.0001</f>
        <v>604.16109694747911</v>
      </c>
      <c r="H79" s="2"/>
      <c r="I79" s="144"/>
      <c r="M79" s="136" t="s">
        <v>79</v>
      </c>
      <c r="N79" s="6"/>
      <c r="O79" s="138">
        <f t="shared" ca="1" si="92"/>
        <v>94.474999999999994</v>
      </c>
      <c r="P79" s="6"/>
      <c r="Q79" s="6"/>
      <c r="R79" s="6"/>
      <c r="S79" s="11"/>
      <c r="T79" s="135"/>
      <c r="U79" s="107">
        <f t="shared" si="89"/>
        <v>387</v>
      </c>
      <c r="V79" s="168">
        <f t="shared" si="90"/>
        <v>5.2229655128427491E-2</v>
      </c>
      <c r="W79" s="11">
        <f t="shared" ca="1" si="91"/>
        <v>-12.60996426200345</v>
      </c>
      <c r="X79" s="123">
        <f ca="1">_xll.HLV5r3.Analytics.Miscellaneous.PVFromCurve(CF_Days,CF,$U$71:$V$96,W51,InterpSpace,ZeroCompFreq,Method)*10^6-X51</f>
        <v>-34.073242852983299</v>
      </c>
      <c r="CJ79" s="1"/>
      <c r="CK79" s="36"/>
      <c r="CL79" s="34"/>
      <c r="CM79" s="33"/>
    </row>
    <row r="80" spans="1:148">
      <c r="A80" s="1">
        <f t="shared" ref="A80:A94" si="93">A79+1</f>
        <v>16</v>
      </c>
      <c r="B80" s="4">
        <f ca="1">_xll.HLV5r3.Analytics.Miscellaneous.DateRoll($B$48,A80*6,"M","MF",Holidays)</f>
        <v>46563</v>
      </c>
      <c r="C80" s="58">
        <f ca="1">_xll.HLV5r3.Analytics.Miscellaneous.LinearInterp(QZ_Nodes,B80-Calc_Date,1,2)</f>
        <v>5.8763912689300792E-2</v>
      </c>
      <c r="D80" s="59">
        <f ca="1">_xll.HLV5r3.Analytics.Miscellaneous.Zero2DF(C80,4,(B80-Calc_Date)/365)</f>
        <v>0.62677288179937651</v>
      </c>
      <c r="E80" s="59">
        <f t="shared" ref="E80:E94" ca="1" si="94">(B80-B79)/365</f>
        <v>0.48767123287671232</v>
      </c>
      <c r="F80" s="58">
        <f ca="1">($D$64-D80)/SUMPRODUCT(D$65:D80,E$65:E80)</f>
        <v>5.878014219562646E-2</v>
      </c>
      <c r="G80" s="11">
        <f ca="1">SUMPRODUCT(E$65:E80,D$65:D80)*10^6*0.0001</f>
        <v>634.72700734755824</v>
      </c>
      <c r="H80" s="2"/>
      <c r="I80" s="144"/>
      <c r="M80" s="136" t="s">
        <v>80</v>
      </c>
      <c r="N80" s="6"/>
      <c r="O80" s="138">
        <f t="shared" ca="1" si="92"/>
        <v>94.39500000000001</v>
      </c>
      <c r="P80" s="6"/>
      <c r="Q80" s="6"/>
      <c r="R80" s="6"/>
      <c r="S80" s="11"/>
      <c r="T80" s="135"/>
      <c r="U80" s="107">
        <f t="shared" si="89"/>
        <v>478</v>
      </c>
      <c r="V80" s="168">
        <f t="shared" si="90"/>
        <v>5.2810474999798178E-2</v>
      </c>
      <c r="W80" s="11">
        <f t="shared" ca="1" si="91"/>
        <v>-23.874783631235374</v>
      </c>
      <c r="X80" s="123">
        <f ca="1">_xll.HLV5r3.Analytics.Miscellaneous.PVFromCurve(CF_Days,CF,$U$71:$V$96,W52,InterpSpace,ZeroCompFreq,Method)*10^6-X52</f>
        <v>-33.410966642000176</v>
      </c>
      <c r="CJ80" s="1"/>
      <c r="CK80" s="36"/>
      <c r="CL80" s="34"/>
      <c r="CM80" s="33"/>
    </row>
    <row r="81" spans="1:91">
      <c r="A81" s="1">
        <f t="shared" si="93"/>
        <v>17</v>
      </c>
      <c r="B81" s="4">
        <f ca="1">_xll.HLV5r3.Analytics.Miscellaneous.DateRoll($B$48,A81*6,"M","MF",Holidays)</f>
        <v>46750</v>
      </c>
      <c r="C81" s="58">
        <f ca="1">_xll.HLV5r3.Analytics.Miscellaneous.LinearInterp(QZ_Nodes,B81-Calc_Date,1,2)</f>
        <v>5.8900495402226992E-2</v>
      </c>
      <c r="D81" s="59">
        <f ca="1">_xll.HLV5r3.Analytics.Miscellaneous.Zero2DF(C81,4,(B81-Calc_Date)/365)</f>
        <v>0.60762013897605582</v>
      </c>
      <c r="E81" s="59">
        <f t="shared" ca="1" si="94"/>
        <v>0.51232876712328768</v>
      </c>
      <c r="F81" s="58">
        <f ca="1">($D$64-D81)/SUMPRODUCT(D$65:D81,E$65:E81)</f>
        <v>5.8908459438080908E-2</v>
      </c>
      <c r="G81" s="11">
        <f ca="1">SUMPRODUCT(E$65:E81,D$65:D81)*10^6*0.0001</f>
        <v>665.85713501564658</v>
      </c>
      <c r="H81" s="2"/>
      <c r="I81" s="144"/>
      <c r="M81" s="136" t="s">
        <v>81</v>
      </c>
      <c r="N81" s="6"/>
      <c r="O81" s="138">
        <f t="shared" ca="1" si="92"/>
        <v>94.33</v>
      </c>
      <c r="P81" s="1">
        <v>1</v>
      </c>
      <c r="Q81" s="138">
        <f ca="1">F66*10000</f>
        <v>523.19520980210973</v>
      </c>
      <c r="R81" s="6"/>
      <c r="S81" s="11"/>
      <c r="U81" s="107">
        <f t="shared" si="89"/>
        <v>569</v>
      </c>
      <c r="V81" s="168">
        <f t="shared" si="90"/>
        <v>5.3328001184908741E-2</v>
      </c>
      <c r="W81" s="11">
        <f t="shared" ca="1" si="91"/>
        <v>-35.355291669195239</v>
      </c>
      <c r="X81" s="123">
        <f ca="1">_xll.HLV5r3.Analytics.Miscellaneous.PVFromCurve(CF_Days,CF,$U$71:$V$96,W53,InterpSpace,ZeroCompFreq,Method)*10^6-X53</f>
        <v>-32.74791863794303</v>
      </c>
      <c r="CJ81" s="1"/>
      <c r="CK81" s="36"/>
      <c r="CL81" s="34"/>
      <c r="CM81" s="33"/>
    </row>
    <row r="82" spans="1:91">
      <c r="A82" s="1">
        <f t="shared" si="93"/>
        <v>18</v>
      </c>
      <c r="B82" s="4">
        <f ca="1">_xll.HLV5r3.Analytics.Miscellaneous.DateRoll($B$48,A82*6,"M","MF",Holidays)</f>
        <v>46930</v>
      </c>
      <c r="C82" s="58">
        <f ca="1">_xll.HLV5r3.Analytics.Miscellaneous.LinearInterp(QZ_Nodes,B82-Calc_Date,1,2)</f>
        <v>5.903148373082847E-2</v>
      </c>
      <c r="D82" s="59">
        <f ca="1">_xll.HLV5r3.Analytics.Miscellaneous.Zero2DF(C82,4,(B82-Calc_Date)/365)</f>
        <v>0.58966309072418177</v>
      </c>
      <c r="E82" s="59">
        <f t="shared" ca="1" si="94"/>
        <v>0.49315068493150682</v>
      </c>
      <c r="F82" s="58">
        <f ca="1">($D$64-D82)/SUMPRODUCT(D$65:D82,E$65:E82)</f>
        <v>5.9027448010905911E-2</v>
      </c>
      <c r="G82" s="11">
        <f ca="1">SUMPRODUCT(E$65:E82,D$65:D82)*10^6*0.0001</f>
        <v>694.93641072259254</v>
      </c>
      <c r="H82" s="2"/>
      <c r="I82" s="144"/>
      <c r="M82" s="136" t="s">
        <v>82</v>
      </c>
      <c r="N82" s="6"/>
      <c r="O82" s="138">
        <f t="shared" ca="1" si="92"/>
        <v>94.295000000000002</v>
      </c>
      <c r="P82" s="1">
        <v>2</v>
      </c>
      <c r="Q82" s="138">
        <f ca="1">F68*10000</f>
        <v>542.89718051611362</v>
      </c>
      <c r="R82" s="6"/>
      <c r="S82" s="11"/>
      <c r="U82" s="107">
        <f t="shared" si="89"/>
        <v>660</v>
      </c>
      <c r="V82" s="168">
        <f t="shared" si="90"/>
        <v>5.3786801973493829E-2</v>
      </c>
      <c r="W82" s="11">
        <f t="shared" ca="1" si="91"/>
        <v>-79.819178006345282</v>
      </c>
      <c r="X82" s="123">
        <f ca="1">_xll.HLV5r3.Analytics.Miscellaneous.PVFromCurve(CF_Days,CF,$U$71:$V$96,W54,InterpSpace,ZeroCompFreq,Method)*10^6-X54</f>
        <v>-31.495354340549511</v>
      </c>
      <c r="CJ82" s="1"/>
      <c r="CK82" s="36"/>
      <c r="CL82" s="34"/>
      <c r="CM82" s="33"/>
    </row>
    <row r="83" spans="1:91">
      <c r="A83" s="1">
        <f t="shared" si="93"/>
        <v>19</v>
      </c>
      <c r="B83" s="4">
        <f ca="1">_xll.HLV5r3.Analytics.Miscellaneous.DateRoll($B$48,A83*6,"M","MF",Holidays)</f>
        <v>47114</v>
      </c>
      <c r="C83" s="58">
        <f ca="1">_xll.HLV5r3.Analytics.Miscellaneous.LinearInterp(QZ_Nodes,B83-Calc_Date,1,2)</f>
        <v>5.9135511889465565E-2</v>
      </c>
      <c r="D83" s="59">
        <f ca="1">_xll.HLV5r3.Analytics.Miscellaneous.Zero2DF(C83,4,(B83-Calc_Date)/365)</f>
        <v>0.57194037372062945</v>
      </c>
      <c r="E83" s="59">
        <f t="shared" ca="1" si="94"/>
        <v>0.50410958904109593</v>
      </c>
      <c r="F83" s="58">
        <f ca="1">($D$64-D83)/SUMPRODUCT(D$65:D83,E$65:E83)</f>
        <v>5.9124700961722294E-2</v>
      </c>
      <c r="G83" s="11">
        <f ca="1">SUMPRODUCT(E$65:E83,D$65:D83)*10^6*0.0001</f>
        <v>723.76847339782432</v>
      </c>
      <c r="H83" s="2"/>
      <c r="I83" s="144"/>
      <c r="M83" s="136" t="s">
        <v>83</v>
      </c>
      <c r="N83" s="6"/>
      <c r="O83" s="10">
        <f ca="1">D27/100</f>
        <v>5.5121000000000114E-2</v>
      </c>
      <c r="P83" s="1">
        <v>3</v>
      </c>
      <c r="Q83" s="138">
        <f ca="1">F70*10000</f>
        <v>555.07202942748279</v>
      </c>
      <c r="R83" s="6"/>
      <c r="S83" s="11"/>
      <c r="U83" s="107">
        <f t="shared" si="89"/>
        <v>758</v>
      </c>
      <c r="V83" s="168">
        <f t="shared" si="90"/>
        <v>5.4192591074132733E-2</v>
      </c>
      <c r="W83" s="11">
        <f t="shared" ca="1" si="91"/>
        <v>-83.524682236296513</v>
      </c>
      <c r="X83" s="123">
        <f ca="1">_xll.HLV5r3.Analytics.Miscellaneous.PVFromCurve(CF_Days,CF,$U$71:$V$96,W55,InterpSpace,ZeroCompFreq,Method)*10^6-X55</f>
        <v>-31.128411673852952</v>
      </c>
      <c r="CJ83" s="1"/>
      <c r="CK83" s="36"/>
      <c r="CL83" s="34"/>
      <c r="CM83" s="33"/>
    </row>
    <row r="84" spans="1:91">
      <c r="A84" s="1">
        <f t="shared" si="93"/>
        <v>20</v>
      </c>
      <c r="B84" s="55">
        <f ca="1">_xll.HLV5r3.Analytics.Miscellaneous.DateRoll($B$48,A84*6,"M","MF",Holidays)</f>
        <v>47294</v>
      </c>
      <c r="C84" s="56">
        <f ca="1">_xll.HLV5r3.Analytics.Miscellaneous.LinearInterp(QZ_Nodes,B84-Calc_Date,1,2)</f>
        <v>5.9237278566393159E-2</v>
      </c>
      <c r="D84" s="57">
        <f ca="1">_xll.HLV5r3.Analytics.Miscellaneous.Zero2DF(C84,4,(B84-Calc_Date)/365)</f>
        <v>0.55506296978430902</v>
      </c>
      <c r="E84" s="57">
        <f t="shared" ca="1" si="94"/>
        <v>0.49315068493150682</v>
      </c>
      <c r="F84" s="56">
        <f ca="1">($D$64-D84)/SUMPRODUCT(D$65:D84,E$65:E84)</f>
        <v>5.9216989604437519E-2</v>
      </c>
      <c r="G84" s="73">
        <f ca="1">SUMPRODUCT(E$65:E84,D$65:D84)*10^6*0.0001</f>
        <v>751.14144177074911</v>
      </c>
      <c r="H84" s="11"/>
      <c r="I84" s="144"/>
      <c r="M84" s="134" t="s">
        <v>84</v>
      </c>
      <c r="O84" s="10">
        <f t="shared" ref="O84:O95" ca="1" si="95">D28/100</f>
        <v>5.7191666666666779E-2</v>
      </c>
      <c r="P84" s="1">
        <f>P83+1</f>
        <v>4</v>
      </c>
      <c r="Q84" s="138">
        <f t="shared" ref="Q84:Q95" ca="1" si="96">P28*10000</f>
        <v>563.16666666666777</v>
      </c>
      <c r="S84" s="11"/>
      <c r="T84" s="6"/>
      <c r="U84" s="107">
        <f t="shared" si="89"/>
        <v>1098</v>
      </c>
      <c r="V84" s="168">
        <f t="shared" si="90"/>
        <v>5.5334177227964063E-2</v>
      </c>
      <c r="W84" s="11">
        <f t="shared" ca="1" si="91"/>
        <v>2.7977301922124661E-2</v>
      </c>
      <c r="X84" s="123">
        <f ca="1">_xll.HLV5r3.Analytics.Miscellaneous.PVFromCurve(CF_Days,CF,$U$71:$V$96,W56,InterpSpace,ZeroCompFreq,Method)*10^6-X56</f>
        <v>-275.33884856539402</v>
      </c>
      <c r="CJ84" s="1"/>
      <c r="CK84" s="36"/>
      <c r="CL84" s="34"/>
      <c r="CM84" s="33"/>
    </row>
    <row r="85" spans="1:91">
      <c r="A85" s="1">
        <f t="shared" si="93"/>
        <v>21</v>
      </c>
      <c r="B85" s="4">
        <f ca="1">_xll.HLV5r3.Analytics.Miscellaneous.DateRoll($B$48,A85*6,"M","MF",Holidays)</f>
        <v>47479</v>
      </c>
      <c r="C85" s="58">
        <f ca="1">_xll.HLV5r3.Analytics.Miscellaneous.LinearInterp(QZ_Nodes,B85-Calc_Date,1,2)</f>
        <v>5.9353500228139136E-2</v>
      </c>
      <c r="D85" s="59">
        <f ca="1">_xll.HLV5r3.Analytics.Miscellaneous.Zero2DF(C85,4,(B85-Calc_Date)/365)</f>
        <v>0.53811527366474077</v>
      </c>
      <c r="E85" s="59">
        <f t="shared" ca="1" si="94"/>
        <v>0.50684931506849318</v>
      </c>
      <c r="F85" s="58">
        <f ca="1">($D$64-D85)/SUMPRODUCT(D$65:D85,E$65:E85)</f>
        <v>5.9319332793512973E-2</v>
      </c>
      <c r="G85" s="11">
        <f ca="1">SUMPRODUCT(E$65:E85,D$65:D85)*10^6*0.0001</f>
        <v>778.41577755923606</v>
      </c>
      <c r="H85" s="11"/>
      <c r="I85" s="144"/>
      <c r="M85" s="136" t="s">
        <v>85</v>
      </c>
      <c r="O85" s="10">
        <f t="shared" ca="1" si="95"/>
        <v>5.8033333333333451E-2</v>
      </c>
      <c r="P85" s="1">
        <f t="shared" ref="P85:P90" si="97">P84+1</f>
        <v>5</v>
      </c>
      <c r="Q85" s="138">
        <f t="shared" ca="1" si="96"/>
        <v>571.83333333333451</v>
      </c>
      <c r="S85" s="11"/>
      <c r="T85" s="6"/>
      <c r="U85" s="107">
        <f t="shared" si="89"/>
        <v>1462</v>
      </c>
      <c r="V85" s="168">
        <f t="shared" si="90"/>
        <v>5.6182714797362684E-2</v>
      </c>
      <c r="W85" s="11">
        <f t="shared" ca="1" si="91"/>
        <v>3.0525331213499485E-2</v>
      </c>
      <c r="X85" s="123">
        <f ca="1">_xll.HLV5r3.Analytics.Miscellaneous.PVFromCurve(CF_Days,CF,$U$71:$V$96,W57,InterpSpace,ZeroCompFreq,Method)*10^6-X57</f>
        <v>-358.88012230454626</v>
      </c>
      <c r="CJ85" s="1"/>
      <c r="CK85" s="36"/>
      <c r="CL85" s="34"/>
      <c r="CM85" s="33"/>
    </row>
    <row r="86" spans="1:91">
      <c r="A86" s="1">
        <f t="shared" si="93"/>
        <v>22</v>
      </c>
      <c r="B86" s="4">
        <f ca="1">_xll.HLV5r3.Analytics.Miscellaneous.DateRoll($B$48,A86*6,"M","MF",Holidays)</f>
        <v>47659</v>
      </c>
      <c r="C86" s="58">
        <f ca="1">_xll.HLV5r3.Analytics.Miscellaneous.LinearInterp(QZ_Nodes,B86-Calc_Date,1,2)</f>
        <v>5.9466580763891982E-2</v>
      </c>
      <c r="D86" s="59">
        <f ca="1">_xll.HLV5r3.Analytics.Miscellaneous.Zero2DF(C86,4,(B86-Calc_Date)/365)</f>
        <v>0.52206427649348464</v>
      </c>
      <c r="E86" s="59">
        <f t="shared" ca="1" si="94"/>
        <v>0.49315068493150682</v>
      </c>
      <c r="F86" s="58">
        <f ca="1">($D$64-D86)/SUMPRODUCT(D$65:D86,E$65:E86)</f>
        <v>5.9416186226792157E-2</v>
      </c>
      <c r="G86" s="11">
        <f ca="1">SUMPRODUCT(E$65:E86,D$65:D86)*10^6*0.0001</f>
        <v>804.16141311233946</v>
      </c>
      <c r="H86" s="2"/>
      <c r="I86" s="144"/>
      <c r="M86" s="136" t="s">
        <v>86</v>
      </c>
      <c r="O86" s="10">
        <f t="shared" ca="1" si="95"/>
        <v>5.8712500000000063E-2</v>
      </c>
      <c r="P86" s="1">
        <f t="shared" si="97"/>
        <v>6</v>
      </c>
      <c r="Q86" s="138">
        <f t="shared" ca="1" si="96"/>
        <v>578.83333333333394</v>
      </c>
      <c r="S86" s="11"/>
      <c r="T86" s="6"/>
      <c r="U86" s="107">
        <f t="shared" si="89"/>
        <v>1827</v>
      </c>
      <c r="V86" s="168">
        <f t="shared" si="90"/>
        <v>5.7114618785062236E-2</v>
      </c>
      <c r="W86" s="11">
        <f t="shared" ca="1" si="91"/>
        <v>2.500117237917077E-2</v>
      </c>
      <c r="X86" s="123">
        <f ca="1">_xll.HLV5r3.Analytics.Miscellaneous.PVFromCurve(CF_Days,CF,$U$71:$V$96,W58,InterpSpace,ZeroCompFreq,Method)*10^6-X58</f>
        <v>-435.69058586706501</v>
      </c>
      <c r="CJ86" s="1"/>
      <c r="CK86" s="36"/>
      <c r="CL86" s="34"/>
      <c r="CM86" s="33"/>
    </row>
    <row r="87" spans="1:91">
      <c r="A87" s="1">
        <f t="shared" si="93"/>
        <v>23</v>
      </c>
      <c r="B87" s="4">
        <f ca="1">_xll.HLV5r3.Analytics.Miscellaneous.DateRoll($B$48,A87*6,"M","MF",Holidays)</f>
        <v>47844</v>
      </c>
      <c r="C87" s="58">
        <f ca="1">_xll.HLV5r3.Analytics.Miscellaneous.LinearInterp(QZ_Nodes,B87-Calc_Date,1,2)</f>
        <v>5.958280242563796E-2</v>
      </c>
      <c r="D87" s="59">
        <f ca="1">_xll.HLV5r3.Analytics.Miscellaneous.Zero2DF(C87,4,(B87-Calc_Date)/365)</f>
        <v>0.50600825209607914</v>
      </c>
      <c r="E87" s="59">
        <f t="shared" ca="1" si="94"/>
        <v>0.50684931506849318</v>
      </c>
      <c r="F87" s="58">
        <f ca="1">($D$64-D87)/SUMPRODUCT(D$65:D87,E$65:E87)</f>
        <v>5.9514710044122232E-2</v>
      </c>
      <c r="G87" s="11">
        <f ca="1">SUMPRODUCT(E$65:E87,D$65:D87)*10^6*0.0001</f>
        <v>829.80840671172984</v>
      </c>
      <c r="H87" s="2"/>
      <c r="I87" s="144"/>
      <c r="M87" s="136" t="s">
        <v>87</v>
      </c>
      <c r="O87" s="10">
        <f t="shared" ca="1" si="95"/>
        <v>5.9275000000000064E-2</v>
      </c>
      <c r="P87" s="1">
        <f t="shared" si="97"/>
        <v>7</v>
      </c>
      <c r="Q87" s="138">
        <f t="shared" ca="1" si="96"/>
        <v>584.75000000000057</v>
      </c>
      <c r="S87" s="11"/>
      <c r="T87" s="6"/>
      <c r="U87" s="107">
        <f t="shared" ref="U87:U96" si="98">U30</f>
        <v>2193</v>
      </c>
      <c r="V87" s="168">
        <f t="shared" ref="V87:V96" si="99">V30+0.0001</f>
        <v>5.7878979266705884E-2</v>
      </c>
      <c r="W87" s="11">
        <f t="shared" ref="W87:W96" ca="1" si="100">X59/X87</f>
        <v>1.9886553560147903E-3</v>
      </c>
      <c r="X87" s="123">
        <f ca="1">_xll.HLV5r3.Analytics.Miscellaneous.PVFromCurve(CF_Days,CF,$U$71:$V$96,W59,InterpSpace,ZeroCompFreq,Method)*10^6-X59</f>
        <v>-507.78210280625404</v>
      </c>
      <c r="CJ87" s="1"/>
      <c r="CK87" s="36"/>
      <c r="CL87" s="34"/>
      <c r="CM87" s="33"/>
    </row>
    <row r="88" spans="1:91">
      <c r="A88" s="1">
        <f t="shared" si="93"/>
        <v>24</v>
      </c>
      <c r="B88" s="4">
        <f ca="1">_xll.HLV5r3.Analytics.Miscellaneous.DateRoll($B$48,A88*6,"M","MF",Holidays)</f>
        <v>48024</v>
      </c>
      <c r="C88" s="58">
        <f ca="1">_xll.HLV5r3.Analytics.Miscellaneous.LinearInterp(QZ_Nodes,B88-Calc_Date,1,2)</f>
        <v>5.9695882961390806E-2</v>
      </c>
      <c r="D88" s="59">
        <f ca="1">_xll.HLV5r3.Analytics.Miscellaneous.Zero2DF(C88,4,(B88-Calc_Date)/365)</f>
        <v>0.49080559792160111</v>
      </c>
      <c r="E88" s="59">
        <f t="shared" ca="1" si="94"/>
        <v>0.49315068493150682</v>
      </c>
      <c r="F88" s="58">
        <f ca="1">($D$64-D88)/SUMPRODUCT(D$65:D88,E$65:E88)</f>
        <v>5.960810999707266E-2</v>
      </c>
      <c r="G88" s="11">
        <f ca="1">SUMPRODUCT(E$65:E88,D$65:D88)*10^6*0.0001</f>
        <v>854.01251839005545</v>
      </c>
      <c r="H88" s="2"/>
      <c r="I88" s="144"/>
      <c r="M88" s="136" t="s">
        <v>88</v>
      </c>
      <c r="O88" s="10">
        <f t="shared" ca="1" si="95"/>
        <v>5.9566666666666733E-2</v>
      </c>
      <c r="P88" s="1">
        <f t="shared" si="97"/>
        <v>8</v>
      </c>
      <c r="Q88" s="138">
        <f t="shared" ca="1" si="96"/>
        <v>587.81944444444514</v>
      </c>
      <c r="S88" s="11"/>
      <c r="T88" s="6"/>
      <c r="U88" s="107">
        <f t="shared" si="98"/>
        <v>2558</v>
      </c>
      <c r="V88" s="168">
        <f t="shared" si="99"/>
        <v>5.8537596213526437E-2</v>
      </c>
      <c r="W88" s="11">
        <f t="shared" ca="1" si="100"/>
        <v>2.7148060131266197E-3</v>
      </c>
      <c r="X88" s="123">
        <f ca="1">_xll.HLV5r3.Analytics.Miscellaneous.PVFromCurve(CF_Days,CF,$U$71:$V$96,W60,InterpSpace,ZeroCompFreq,Method)*10^6-X60</f>
        <v>-575.35569429617772</v>
      </c>
      <c r="CJ88" s="1"/>
      <c r="CK88" s="36"/>
      <c r="CL88" s="34"/>
      <c r="CM88" s="33"/>
    </row>
    <row r="89" spans="1:91">
      <c r="A89" s="1">
        <f t="shared" si="93"/>
        <v>25</v>
      </c>
      <c r="B89" s="4">
        <f ca="1">_xll.HLV5r3.Analytics.Miscellaneous.DateRoll($B$48,A89*6,"M","MF",Holidays)</f>
        <v>48211</v>
      </c>
      <c r="C89" s="58">
        <f ca="1">_xll.HLV5r3.Analytics.Miscellaneous.LinearInterp(QZ_Nodes,B89-Calc_Date,1,2)</f>
        <v>5.9761800253170731E-2</v>
      </c>
      <c r="D89" s="59">
        <f ca="1">_xll.HLV5r3.Analytics.Miscellaneous.Zero2DF(C89,4,(B89-Calc_Date)/365)</f>
        <v>0.47574253527646587</v>
      </c>
      <c r="E89" s="59">
        <f t="shared" ca="1" si="94"/>
        <v>0.51232876712328768</v>
      </c>
      <c r="F89" s="58">
        <f ca="1">($D$64-D89)/SUMPRODUCT(D$65:D89,E$65:E89)</f>
        <v>5.9668947177431854E-2</v>
      </c>
      <c r="G89" s="11">
        <f ca="1">SUMPRODUCT(E$65:E89,D$65:D89)*10^6*0.0001</f>
        <v>878.38617704668536</v>
      </c>
      <c r="H89" s="2"/>
      <c r="I89" s="144"/>
      <c r="M89" s="136" t="s">
        <v>89</v>
      </c>
      <c r="O89" s="10">
        <f t="shared" ca="1" si="95"/>
        <v>5.9800000000000055E-2</v>
      </c>
      <c r="P89" s="1">
        <f t="shared" si="97"/>
        <v>9</v>
      </c>
      <c r="Q89" s="138">
        <f t="shared" ca="1" si="96"/>
        <v>590.26388888888937</v>
      </c>
      <c r="S89" s="11"/>
      <c r="T89" s="6"/>
      <c r="U89" s="107">
        <f t="shared" si="98"/>
        <v>2925</v>
      </c>
      <c r="V89" s="168">
        <f t="shared" si="99"/>
        <v>5.8865700724784489E-2</v>
      </c>
      <c r="W89" s="11">
        <f t="shared" ca="1" si="100"/>
        <v>-1.7896378234575443E-2</v>
      </c>
      <c r="X89" s="123">
        <f ca="1">_xll.HLV5r3.Analytics.Miscellaneous.PVFromCurve(CF_Days,CF,$U$71:$V$96,W61,InterpSpace,ZeroCompFreq,Method)*10^6-X61</f>
        <v>-639.19972174618204</v>
      </c>
      <c r="CJ89" s="1"/>
      <c r="CK89" s="36"/>
      <c r="CL89" s="34"/>
      <c r="CM89" s="33"/>
    </row>
    <row r="90" spans="1:91">
      <c r="A90" s="1">
        <f t="shared" si="93"/>
        <v>26</v>
      </c>
      <c r="B90" s="4">
        <f ca="1">_xll.HLV5r3.Analytics.Miscellaneous.DateRoll($B$48,A90*6,"M","MF",Holidays)</f>
        <v>48390</v>
      </c>
      <c r="C90" s="58">
        <f ca="1">_xll.HLV5r3.Analytics.Miscellaneous.LinearInterp(QZ_Nodes,B90-Calc_Date,1,2)</f>
        <v>5.9824897553858468E-2</v>
      </c>
      <c r="D90" s="59">
        <f ca="1">_xll.HLV5r3.Analytics.Miscellaneous.Zero2DF(C90,4,(B90-Calc_Date)/365)</f>
        <v>0.46172834392625345</v>
      </c>
      <c r="E90" s="59">
        <f t="shared" ca="1" si="94"/>
        <v>0.49041095890410957</v>
      </c>
      <c r="F90" s="58">
        <f ca="1">($D$64-D90)/SUMPRODUCT(D$65:D90,E$65:E90)</f>
        <v>5.9724767242671895E-2</v>
      </c>
      <c r="G90" s="11">
        <f ca="1">SUMPRODUCT(E$65:E90,D$65:D90)*10^6*0.0001</f>
        <v>901.02984103649339</v>
      </c>
      <c r="H90" s="2"/>
      <c r="I90" s="144"/>
      <c r="M90" s="136" t="s">
        <v>90</v>
      </c>
      <c r="O90" s="10">
        <f t="shared" ca="1" si="95"/>
        <v>5.9983333333333395E-2</v>
      </c>
      <c r="P90" s="1">
        <f t="shared" si="97"/>
        <v>10</v>
      </c>
      <c r="Q90" s="138">
        <f t="shared" ca="1" si="96"/>
        <v>592.16666666666731</v>
      </c>
      <c r="S90" s="11"/>
      <c r="T90" s="6"/>
      <c r="U90" s="107">
        <f t="shared" si="98"/>
        <v>3289</v>
      </c>
      <c r="V90" s="168">
        <f t="shared" si="99"/>
        <v>5.9130918360401095E-2</v>
      </c>
      <c r="W90" s="11">
        <f t="shared" ca="1" si="100"/>
        <v>1.0521587401993999E-2</v>
      </c>
      <c r="X90" s="123">
        <f ca="1">_xll.HLV5r3.Analytics.Miscellaneous.PVFromCurve(CF_Days,CF,$U$71:$V$96,W62,InterpSpace,ZeroCompFreq,Method)*10^6-X62</f>
        <v>-699.5355594883855</v>
      </c>
      <c r="CJ90" s="1"/>
      <c r="CK90" s="36"/>
      <c r="CL90" s="34"/>
      <c r="CM90" s="33"/>
    </row>
    <row r="91" spans="1:91">
      <c r="A91" s="1">
        <f t="shared" si="93"/>
        <v>27</v>
      </c>
      <c r="B91" s="4">
        <f ca="1">_xll.HLV5r3.Analytics.Miscellaneous.DateRoll($B$48,A91*6,"M","MF",Holidays)</f>
        <v>48577</v>
      </c>
      <c r="C91" s="58">
        <f ca="1">_xll.HLV5r3.Analytics.Miscellaneous.LinearInterp(QZ_Nodes,B91-Calc_Date,1,2)</f>
        <v>5.9890814845638386E-2</v>
      </c>
      <c r="D91" s="59">
        <f ca="1">_xll.HLV5r3.Analytics.Miscellaneous.Zero2DF(C91,4,(B91-Calc_Date)/365)</f>
        <v>0.44749939810788775</v>
      </c>
      <c r="E91" s="59">
        <f t="shared" ca="1" si="94"/>
        <v>0.51232876712328768</v>
      </c>
      <c r="F91" s="58">
        <f ca="1">($D$64-D91)/SUMPRODUCT(D$65:D91,E$65:E91)</f>
        <v>5.9782782814581228E-2</v>
      </c>
      <c r="G91" s="11">
        <f ca="1">SUMPRODUCT(E$65:E91,D$65:D91)*10^6*0.0001</f>
        <v>923.95652252859611</v>
      </c>
      <c r="H91" s="2"/>
      <c r="I91" s="144"/>
      <c r="M91" s="136" t="s">
        <v>91</v>
      </c>
      <c r="O91" s="10">
        <f t="shared" ca="1" si="95"/>
        <v>6.0308333333333401E-2</v>
      </c>
      <c r="P91" s="1">
        <v>12</v>
      </c>
      <c r="Q91" s="138">
        <f t="shared" ca="1" si="96"/>
        <v>596.07777777777846</v>
      </c>
      <c r="S91" s="11"/>
      <c r="T91" s="6"/>
      <c r="U91" s="107">
        <f t="shared" si="98"/>
        <v>3654</v>
      </c>
      <c r="V91" s="168">
        <f t="shared" si="99"/>
        <v>5.9337278566393162E-2</v>
      </c>
      <c r="W91" s="11">
        <f t="shared" ca="1" si="100"/>
        <v>3.2092965781562147E-3</v>
      </c>
      <c r="X91" s="123">
        <f ca="1">_xll.HLV5r3.Analytics.Miscellaneous.PVFromCurve(CF_Days,CF,$U$71:$V$96,W63,InterpSpace,ZeroCompFreq,Method)*10^6-X63</f>
        <v>-755.84146509040568</v>
      </c>
      <c r="CJ91" s="1"/>
      <c r="CK91" s="36"/>
      <c r="CL91" s="34"/>
      <c r="CM91" s="33"/>
    </row>
    <row r="92" spans="1:91">
      <c r="A92" s="1">
        <f t="shared" si="93"/>
        <v>28</v>
      </c>
      <c r="B92" s="4">
        <f ca="1">_xll.HLV5r3.Analytics.Miscellaneous.DateRoll($B$48,A92*6,"M","MF",Holidays)</f>
        <v>48757</v>
      </c>
      <c r="C92" s="58">
        <f ca="1">_xll.HLV5r3.Analytics.Miscellaneous.LinearInterp(QZ_Nodes,B92-Calc_Date,1,2)</f>
        <v>5.9954264645212647E-2</v>
      </c>
      <c r="D92" s="59">
        <f ca="1">_xll.HLV5r3.Analytics.Miscellaneous.Zero2DF(C92,4,(B92-Calc_Date)/365)</f>
        <v>0.43419013593183814</v>
      </c>
      <c r="E92" s="59">
        <f t="shared" ca="1" si="94"/>
        <v>0.49315068493150682</v>
      </c>
      <c r="F92" s="58">
        <f ca="1">($D$64-D92)/SUMPRODUCT(D$65:D92,E$65:E92)</f>
        <v>5.983657169396648E-2</v>
      </c>
      <c r="G92" s="11">
        <f ca="1">SUMPRODUCT(E$65:E92,D$65:D92)*10^6*0.0001</f>
        <v>945.36863882112505</v>
      </c>
      <c r="H92" s="2"/>
      <c r="I92" s="144"/>
      <c r="M92" s="136" t="s">
        <v>92</v>
      </c>
      <c r="O92" s="10">
        <f t="shared" ca="1" si="95"/>
        <v>6.0550000000000062E-2</v>
      </c>
      <c r="P92" s="1">
        <v>15</v>
      </c>
      <c r="Q92" s="138">
        <f t="shared" ca="1" si="96"/>
        <v>599.41666666666731</v>
      </c>
      <c r="S92" s="11"/>
      <c r="T92" s="6"/>
      <c r="U92" s="107">
        <f t="shared" si="98"/>
        <v>4384</v>
      </c>
      <c r="V92" s="168">
        <f t="shared" si="99"/>
        <v>5.9795882961390809E-2</v>
      </c>
      <c r="W92" s="11">
        <f t="shared" ca="1" si="100"/>
        <v>3.3055762904099302E-3</v>
      </c>
      <c r="X92" s="123">
        <f ca="1">_xll.HLV5r3.Analytics.Miscellaneous.PVFromCurve(CF_Days,CF,$U$71:$V$96,W64,InterpSpace,ZeroCompFreq,Method)*10^6-X64</f>
        <v>-858.3055168484949</v>
      </c>
      <c r="CJ92" s="1"/>
      <c r="CK92" s="36"/>
      <c r="CL92" s="34"/>
    </row>
    <row r="93" spans="1:91">
      <c r="A93" s="1">
        <f t="shared" si="93"/>
        <v>29</v>
      </c>
      <c r="B93" s="4">
        <f ca="1">_xll.HLV5r3.Analytics.Miscellaneous.DateRoll($B$48,A93*6,"M","MF",Holidays)</f>
        <v>48941</v>
      </c>
      <c r="C93" s="58">
        <f ca="1">_xll.HLV5r3.Analytics.Miscellaneous.LinearInterp(QZ_Nodes,B93-Calc_Date,1,2)</f>
        <v>6.0019124440332999E-2</v>
      </c>
      <c r="D93" s="59">
        <f ca="1">_xll.HLV5r3.Analytics.Miscellaneous.Zero2DF(C93,4,(B93-Calc_Date)/365)</f>
        <v>0.42096732820838134</v>
      </c>
      <c r="E93" s="59">
        <f t="shared" ca="1" si="94"/>
        <v>0.50410958904109593</v>
      </c>
      <c r="F93" s="58">
        <f ca="1">($D$64-D93)/SUMPRODUCT(D$65:D93,E$65:E93)</f>
        <v>5.9890852147021466E-2</v>
      </c>
      <c r="G93" s="11">
        <f ca="1">SUMPRODUCT(E$65:E93,D$65:D93)*10^6*0.0001</f>
        <v>966.59000550341068</v>
      </c>
      <c r="H93" s="2"/>
      <c r="I93" s="144"/>
      <c r="M93" s="137" t="s">
        <v>93</v>
      </c>
      <c r="O93" s="10">
        <f t="shared" ca="1" si="95"/>
        <v>5.9791666666666729E-2</v>
      </c>
      <c r="P93" s="1">
        <v>20</v>
      </c>
      <c r="Q93" s="138">
        <f t="shared" ca="1" si="96"/>
        <v>592.45833333333394</v>
      </c>
      <c r="S93" s="11"/>
      <c r="T93" s="6"/>
      <c r="U93" s="107">
        <f t="shared" si="98"/>
        <v>5480</v>
      </c>
      <c r="V93" s="168">
        <f t="shared" si="99"/>
        <v>6.0182221741020739E-2</v>
      </c>
      <c r="W93" s="11">
        <f t="shared" ca="1" si="100"/>
        <v>1.0150394489885609E-3</v>
      </c>
      <c r="X93" s="123">
        <f ca="1">_xll.HLV5r3.Analytics.Miscellaneous.PVFromCurve(CF_Days,CF,$U$71:$V$96,W65,InterpSpace,ZeroCompFreq,Method)*10^6-X65</f>
        <v>-990.58289136120027</v>
      </c>
    </row>
    <row r="94" spans="1:91">
      <c r="A94" s="1">
        <f t="shared" si="93"/>
        <v>30</v>
      </c>
      <c r="B94" s="55">
        <f ca="1">_xll.HLV5r3.Analytics.Miscellaneous.DateRoll($B$48,A94*6,"M","MF",Holidays)</f>
        <v>49121</v>
      </c>
      <c r="C94" s="56">
        <f ca="1">_xll.HLV5r3.Analytics.Miscellaneous.LinearInterp(QZ_Nodes,B94-Calc_Date,1,2)</f>
        <v>6.0081514259147782E-2</v>
      </c>
      <c r="D94" s="57">
        <f ca="1">_xll.HLV5r3.Analytics.Miscellaneous.Zero2DF(C94,4,(B94-Calc_Date)/365)</f>
        <v>0.40840266013471166</v>
      </c>
      <c r="E94" s="57">
        <f t="shared" ca="1" si="94"/>
        <v>0.49315068493150682</v>
      </c>
      <c r="F94" s="56">
        <f ca="1">($D$64-D94)/SUMPRODUCT(D$65:D94,E$65:E94)</f>
        <v>5.994176856691235E-2</v>
      </c>
      <c r="G94" s="73">
        <f ca="1">SUMPRODUCT(E$65:E94,D$65:D94)*10^6*0.0001</f>
        <v>986.73041066073893</v>
      </c>
      <c r="H94" s="2"/>
      <c r="I94" s="144"/>
      <c r="M94" s="137" t="s">
        <v>94</v>
      </c>
      <c r="O94" s="10">
        <f t="shared" ca="1" si="95"/>
        <v>5.8641666666666731E-2</v>
      </c>
      <c r="P94" s="1">
        <v>25</v>
      </c>
      <c r="Q94" s="138">
        <f t="shared" ca="1" si="96"/>
        <v>581.62500000000057</v>
      </c>
      <c r="S94" s="11"/>
      <c r="T94" s="6"/>
      <c r="U94" s="107">
        <f t="shared" si="98"/>
        <v>7307</v>
      </c>
      <c r="V94" s="168">
        <f t="shared" si="99"/>
        <v>5.8889652359128464E-2</v>
      </c>
      <c r="W94" s="11">
        <f t="shared" ca="1" si="100"/>
        <v>-1.4350306889164912E-3</v>
      </c>
      <c r="X94" s="123">
        <f ca="1">_xll.HLV5r3.Analytics.Miscellaneous.PVFromCurve(CF_Days,CF,$U$71:$V$96,W66,InterpSpace,ZeroCompFreq,Method)*10^6-X66</f>
        <v>-1176.6151898104856</v>
      </c>
    </row>
    <row r="95" spans="1:91">
      <c r="A95" s="1">
        <f t="shared" ref="A95:A124" si="101">A94+1</f>
        <v>31</v>
      </c>
      <c r="B95" s="4">
        <f ca="1">_xll.HLV5r3.Analytics.Miscellaneous.DateRoll($B$48,A95*6,"M","MF",Holidays)</f>
        <v>49305</v>
      </c>
      <c r="C95" s="58">
        <f ca="1">_xll.HLV5r3.Analytics.Miscellaneous.LinearInterp(QZ_Nodes,B95-Calc_Date,1,2)</f>
        <v>5.9951337594523708E-2</v>
      </c>
      <c r="D95" s="59">
        <f ca="1">_xll.HLV5r3.Analytics.Miscellaneous.Zero2DF(C95,4,(B95-Calc_Date)/365)</f>
        <v>0.3970974405915626</v>
      </c>
      <c r="E95" s="59">
        <f t="shared" ref="E95:E124" ca="1" si="102">(B95-B94)/365</f>
        <v>0.50410958904109593</v>
      </c>
      <c r="F95" s="58">
        <f ca="1">($D$64-D95)/SUMPRODUCT(D$65:D95,E$65:E95)</f>
        <v>5.9872837614891511E-2</v>
      </c>
      <c r="G95" s="11">
        <f ca="1">SUMPRODUCT(E$65:E95,D$65:D95)*10^6*0.0001</f>
        <v>1006.7484734193272</v>
      </c>
      <c r="H95" s="2"/>
      <c r="I95" s="144"/>
      <c r="M95" s="137" t="s">
        <v>95</v>
      </c>
      <c r="O95" s="10">
        <f t="shared" ca="1" si="95"/>
        <v>5.7241666666666732E-2</v>
      </c>
      <c r="P95" s="1">
        <v>30</v>
      </c>
      <c r="Q95" s="138">
        <f t="shared" ca="1" si="96"/>
        <v>567.75000000000068</v>
      </c>
      <c r="S95" s="11"/>
      <c r="T95" s="6"/>
      <c r="U95" s="107">
        <f t="shared" si="98"/>
        <v>9134</v>
      </c>
      <c r="V95" s="168">
        <f t="shared" si="99"/>
        <v>5.6838427297191033E-2</v>
      </c>
      <c r="W95" s="11">
        <f t="shared" ca="1" si="100"/>
        <v>-3.2912980382179356E-3</v>
      </c>
      <c r="X95" s="123">
        <f ca="1">_xll.HLV5r3.Analytics.Miscellaneous.PVFromCurve(CF_Days,CF,$U$71:$V$96,W67,InterpSpace,ZeroCompFreq,Method)*10^6-X67</f>
        <v>-1332.3535289646743</v>
      </c>
    </row>
    <row r="96" spans="1:91" ht="13.5" thickBot="1">
      <c r="A96" s="1">
        <f t="shared" si="101"/>
        <v>32</v>
      </c>
      <c r="B96" s="4">
        <f ca="1">_xll.HLV5r3.Analytics.Miscellaneous.DateRoll($B$48,A96*6,"M","MF",Holidays)</f>
        <v>49485</v>
      </c>
      <c r="C96" s="58">
        <f ca="1">_xll.HLV5r3.Analytics.Miscellaneous.LinearInterp(QZ_Nodes,B96-Calc_Date,1,2)</f>
        <v>5.9823990857391464E-2</v>
      </c>
      <c r="D96" s="59">
        <f ca="1">_xll.HLV5r3.Analytics.Miscellaneous.Zero2DF(C96,4,(B96-Calc_Date)/365)</f>
        <v>0.38638922989275232</v>
      </c>
      <c r="E96" s="59">
        <f t="shared" ca="1" si="102"/>
        <v>0.49315068493150682</v>
      </c>
      <c r="F96" s="58">
        <f ca="1">($D$64-D96)/SUMPRODUCT(D$65:D96,E$65:E96)</f>
        <v>5.9804554976170217E-2</v>
      </c>
      <c r="G96" s="11">
        <f ca="1">SUMPRODUCT(E$65:E96,D$65:D96)*10^6*0.0001</f>
        <v>1025.8032847565041</v>
      </c>
      <c r="H96" s="2"/>
      <c r="I96" s="144"/>
      <c r="S96" s="11"/>
      <c r="T96" s="6"/>
      <c r="U96" s="169">
        <f t="shared" si="98"/>
        <v>10961</v>
      </c>
      <c r="V96" s="170">
        <f t="shared" si="99"/>
        <v>5.4045692471443835E-2</v>
      </c>
      <c r="W96" s="11">
        <f t="shared" ca="1" si="100"/>
        <v>1.7577235402448217E-2</v>
      </c>
      <c r="X96" s="123">
        <f ca="1">_xll.HLV5r3.Analytics.Miscellaneous.PVFromCurve(CF_Days,CF,$U$71:$V$96,W68,InterpSpace,ZeroCompFreq,Method)*10^6-X68</f>
        <v>-1474.3459047641531</v>
      </c>
    </row>
    <row r="97" spans="1:23">
      <c r="A97" s="1">
        <f t="shared" si="101"/>
        <v>33</v>
      </c>
      <c r="B97" s="4">
        <f ca="1">_xll.HLV5r3.Analytics.Miscellaneous.DateRoll($B$48,A97*6,"M","MF",Holidays)</f>
        <v>49670</v>
      </c>
      <c r="C97" s="58">
        <f ca="1">_xll.HLV5r3.Analytics.Miscellaneous.LinearInterp(QZ_Nodes,B97-Calc_Date,1,2)</f>
        <v>5.9693106710894436E-2</v>
      </c>
      <c r="D97" s="59">
        <f ca="1">_xll.HLV5r3.Analytics.Miscellaneous.Zero2DF(C97,4,(B97-Calc_Date)/365)</f>
        <v>0.37573287051321447</v>
      </c>
      <c r="E97" s="59">
        <f t="shared" ca="1" si="102"/>
        <v>0.50684931506849318</v>
      </c>
      <c r="F97" s="58">
        <f ca="1">($D$64-D97)/SUMPRODUCT(D$65:D97,E$65:E97)</f>
        <v>5.9734418700878325E-2</v>
      </c>
      <c r="G97" s="11">
        <f ca="1">SUMPRODUCT(E$65:E97,D$65:D97)*10^6*0.0001</f>
        <v>1044.8472795633381</v>
      </c>
      <c r="H97" s="2"/>
      <c r="I97" s="144"/>
      <c r="N97" s="121"/>
      <c r="S97" s="11"/>
      <c r="W97" s="126"/>
    </row>
    <row r="98" spans="1:23">
      <c r="A98" s="1">
        <f t="shared" si="101"/>
        <v>34</v>
      </c>
      <c r="B98" s="4">
        <f ca="1">_xll.HLV5r3.Analytics.Miscellaneous.DateRoll($B$48,A98*6,"M","MF",Holidays)</f>
        <v>49851</v>
      </c>
      <c r="C98" s="58">
        <f ca="1">_xll.HLV5r3.Analytics.Miscellaneous.LinearInterp(QZ_Nodes,B98-Calc_Date,1,2)</f>
        <v>5.9565052491889238E-2</v>
      </c>
      <c r="D98" s="59">
        <f ca="1">_xll.HLV5r3.Analytics.Miscellaneous.Zero2DF(C98,4,(B98-Calc_Date)/365)</f>
        <v>0.36563768888813986</v>
      </c>
      <c r="E98" s="59">
        <f t="shared" ca="1" si="102"/>
        <v>0.49589041095890413</v>
      </c>
      <c r="F98" s="58">
        <f ca="1">($D$64-D98)/SUMPRODUCT(D$65:D98,E$65:E98)</f>
        <v>5.9665213413398172E-2</v>
      </c>
      <c r="G98" s="11">
        <f ca="1">SUMPRODUCT(E$65:E98,D$65:D98)*10^6*0.0001</f>
        <v>1062.9789019438185</v>
      </c>
      <c r="H98" s="2"/>
      <c r="I98" s="144"/>
      <c r="N98" s="121"/>
      <c r="S98" s="11"/>
      <c r="W98" s="126"/>
    </row>
    <row r="99" spans="1:23">
      <c r="A99" s="1">
        <f t="shared" si="101"/>
        <v>35</v>
      </c>
      <c r="B99" s="4">
        <f ca="1">_xll.HLV5r3.Analytics.Miscellaneous.DateRoll($B$48,A99*6,"M","MF",Holidays)</f>
        <v>50038</v>
      </c>
      <c r="C99" s="58">
        <f ca="1">_xll.HLV5r3.Analytics.Miscellaneous.LinearInterp(QZ_Nodes,B99-Calc_Date,1,2)</f>
        <v>5.9432753381646296E-2</v>
      </c>
      <c r="D99" s="59">
        <f ca="1">_xll.HLV5r3.Analytics.Miscellaneous.Zero2DF(C99,4,(B99-Calc_Date)/365)</f>
        <v>0.35553939883050684</v>
      </c>
      <c r="E99" s="59">
        <f t="shared" ca="1" si="102"/>
        <v>0.51232876712328768</v>
      </c>
      <c r="F99" s="58">
        <f ca="1">($D$64-D99)/SUMPRODUCT(D$65:D99,E$65:E99)</f>
        <v>5.9594004074062901E-2</v>
      </c>
      <c r="G99" s="11">
        <f ca="1">SUMPRODUCT(E$65:E99,D$65:D99)*10^6*0.0001</f>
        <v>1081.1942081304774</v>
      </c>
      <c r="H99" s="2"/>
      <c r="I99" s="144"/>
      <c r="M99" s="121"/>
      <c r="N99" s="121"/>
      <c r="S99" s="73"/>
      <c r="W99" s="126"/>
    </row>
    <row r="100" spans="1:23">
      <c r="A100" s="1">
        <f t="shared" si="101"/>
        <v>36</v>
      </c>
      <c r="B100" s="4">
        <f ca="1">_xll.HLV5r3.Analytics.Miscellaneous.DateRoll($B$48,A100*6,"M","MF",Holidays)</f>
        <v>50216</v>
      </c>
      <c r="C100" s="58">
        <f ca="1">_xll.HLV5r3.Analytics.Miscellaneous.LinearInterp(QZ_Nodes,B100-Calc_Date,1,2)</f>
        <v>5.9306821608259959E-2</v>
      </c>
      <c r="D100" s="59">
        <f ca="1">_xll.HLV5r3.Analytics.Miscellaneous.Zero2DF(C100,4,(B100-Calc_Date)/365)</f>
        <v>0.34622930879978242</v>
      </c>
      <c r="E100" s="59">
        <f t="shared" ca="1" si="102"/>
        <v>0.48767123287671232</v>
      </c>
      <c r="F100" s="58">
        <f ca="1">($D$64-D100)/SUMPRODUCT(D$65:D100,E$65:E100)</f>
        <v>5.9525509575000829E-2</v>
      </c>
      <c r="G100" s="11">
        <f ca="1">SUMPRODUCT(E$65:E100,D$65:D100)*10^6*0.0001</f>
        <v>1098.0788155185217</v>
      </c>
      <c r="H100" s="2"/>
      <c r="I100" s="144"/>
      <c r="S100" s="11"/>
      <c r="W100" s="126"/>
    </row>
    <row r="101" spans="1:23">
      <c r="A101" s="1">
        <f t="shared" si="101"/>
        <v>37</v>
      </c>
      <c r="B101" s="4">
        <f ca="1">_xll.HLV5r3.Analytics.Miscellaneous.DateRoll($B$48,A101*6,"M","MF",Holidays)</f>
        <v>50403</v>
      </c>
      <c r="C101" s="58">
        <f ca="1">_xll.HLV5r3.Analytics.Miscellaneous.LinearInterp(QZ_Nodes,B101-Calc_Date,1,2)</f>
        <v>5.9174522498017017E-2</v>
      </c>
      <c r="D101" s="59">
        <f ca="1">_xll.HLV5r3.Analytics.Miscellaneous.Zero2DF(C101,4,(B101-Calc_Date)/365)</f>
        <v>0.33675488486418337</v>
      </c>
      <c r="E101" s="59">
        <f t="shared" ca="1" si="102"/>
        <v>0.51232876712328768</v>
      </c>
      <c r="F101" s="58">
        <f ca="1">($D$64-D101)/SUMPRODUCT(D$65:D101,E$65:E101)</f>
        <v>5.9454188596984196E-2</v>
      </c>
      <c r="G101" s="11">
        <f ca="1">SUMPRODUCT(E$65:E101,D$65:D101)*10^6*0.0001</f>
        <v>1115.3317370170425</v>
      </c>
      <c r="H101" s="2"/>
      <c r="I101" s="144"/>
      <c r="S101" s="11"/>
      <c r="W101" s="126"/>
    </row>
    <row r="102" spans="1:23">
      <c r="A102" s="1">
        <f t="shared" si="101"/>
        <v>38</v>
      </c>
      <c r="B102" s="4">
        <f ca="1">_xll.HLV5r3.Analytics.Miscellaneous.DateRoll($B$48,A102*6,"M","MF",Holidays)</f>
        <v>50581</v>
      </c>
      <c r="C102" s="58">
        <f ca="1">_xll.HLV5r3.Analytics.Miscellaneous.LinearInterp(QZ_Nodes,B102-Calc_Date,1,2)</f>
        <v>5.9048590724630687E-2</v>
      </c>
      <c r="D102" s="59">
        <f ca="1">_xll.HLV5r3.Analytics.Miscellaneous.Zero2DF(C102,4,(B102-Calc_Date)/365)</f>
        <v>0.32801813001487162</v>
      </c>
      <c r="E102" s="59">
        <f t="shared" ca="1" si="102"/>
        <v>0.48767123287671232</v>
      </c>
      <c r="F102" s="58">
        <f ca="1">($D$64-D102)/SUMPRODUCT(D$65:D102,E$65:E102)</f>
        <v>5.9385788043290283E-2</v>
      </c>
      <c r="G102" s="11">
        <f ca="1">SUMPRODUCT(E$65:E102,D$65:D102)*10^6*0.0001</f>
        <v>1131.3282376040693</v>
      </c>
      <c r="H102" s="2"/>
      <c r="I102" s="144"/>
      <c r="S102" s="11"/>
      <c r="W102" s="126"/>
    </row>
    <row r="103" spans="1:23">
      <c r="A103" s="1">
        <f t="shared" si="101"/>
        <v>39</v>
      </c>
      <c r="B103" s="4">
        <f ca="1">_xll.HLV5r3.Analytics.Miscellaneous.DateRoll($B$48,A103*6,"M","MF",Holidays)</f>
        <v>50768</v>
      </c>
      <c r="C103" s="58">
        <f ca="1">_xll.HLV5r3.Analytics.Miscellaneous.LinearInterp(QZ_Nodes,B103-Calc_Date,1,2)</f>
        <v>5.8916291614387745E-2</v>
      </c>
      <c r="D103" s="59">
        <f ca="1">_xll.HLV5r3.Analytics.Miscellaneous.Zero2DF(C103,4,(B103-Calc_Date)/365)</f>
        <v>0.31912529670532963</v>
      </c>
      <c r="E103" s="59">
        <f t="shared" ca="1" si="102"/>
        <v>0.51232876712328768</v>
      </c>
      <c r="F103" s="58">
        <f ca="1">($D$64-D103)/SUMPRODUCT(D$65:D103,E$65:E103)</f>
        <v>5.9314638377282153E-2</v>
      </c>
      <c r="G103" s="11">
        <f ca="1">SUMPRODUCT(E$65:E103,D$65:D103)*10^6*0.0001</f>
        <v>1147.6779445859588</v>
      </c>
      <c r="H103" s="2"/>
      <c r="I103" s="144"/>
      <c r="M103" s="19"/>
      <c r="S103" s="11"/>
      <c r="W103" s="126"/>
    </row>
    <row r="104" spans="1:23">
      <c r="A104" s="1">
        <f t="shared" si="101"/>
        <v>40</v>
      </c>
      <c r="B104" s="55">
        <f ca="1">_xll.HLV5r3.Analytics.Miscellaneous.DateRoll($B$48,A104*6,"M","MF",Holidays)</f>
        <v>50948</v>
      </c>
      <c r="C104" s="56">
        <f ca="1">_xll.HLV5r3.Analytics.Miscellaneous.LinearInterp(QZ_Nodes,B104-Calc_Date,1,2)</f>
        <v>5.8788529630577867E-2</v>
      </c>
      <c r="D104" s="57">
        <f ca="1">_xll.HLV5r3.Analytics.Miscellaneous.Zero2DF(C104,4,(B104-Calc_Date)/365)</f>
        <v>0.31083494265668243</v>
      </c>
      <c r="E104" s="57">
        <f t="shared" ca="1" si="102"/>
        <v>0.49315068493150682</v>
      </c>
      <c r="F104" s="56">
        <f ca="1">($D$64-D104)/SUMPRODUCT(D$65:D104,E$65:E104)</f>
        <v>5.9245688151128122E-2</v>
      </c>
      <c r="G104" s="73">
        <f ca="1">SUMPRODUCT(E$65:E104,D$65:D104)*10^6*0.0001</f>
        <v>1163.0067910731375</v>
      </c>
      <c r="H104" s="2"/>
      <c r="I104" s="144"/>
      <c r="M104" s="19"/>
      <c r="S104" s="11"/>
      <c r="W104" s="126"/>
    </row>
    <row r="105" spans="1:23">
      <c r="A105" s="1">
        <f t="shared" si="101"/>
        <v>41</v>
      </c>
      <c r="B105" s="4">
        <f ca="1">_xll.HLV5r3.Analytics.Miscellaneous.DateRoll($B$48,A105*6,"M","MF",Holidays)</f>
        <v>51132</v>
      </c>
      <c r="C105" s="58">
        <f ca="1">_xll.HLV5r3.Analytics.Miscellaneous.LinearInterp(QZ_Nodes,B105-Calc_Date,1,2)</f>
        <v>5.8581947577268347E-2</v>
      </c>
      <c r="D105" s="59">
        <f ca="1">_xll.HLV5r3.Analytics.Miscellaneous.Zero2DF(C105,4,(B105-Calc_Date)/365)</f>
        <v>0.30308728907941812</v>
      </c>
      <c r="E105" s="59">
        <f t="shared" ca="1" si="102"/>
        <v>0.50410958904109593</v>
      </c>
      <c r="F105" s="58">
        <f ca="1">($D$64-D105)/SUMPRODUCT(D$65:D105,E$65:E105)</f>
        <v>5.913498085633026E-2</v>
      </c>
      <c r="G105" s="11">
        <f ca="1">SUMPRODUCT(E$65:E105,D$65:D105)*10^6*0.0001</f>
        <v>1178.2857119472781</v>
      </c>
      <c r="H105" s="2"/>
      <c r="I105" s="144"/>
      <c r="S105" s="11"/>
      <c r="U105" s="126"/>
      <c r="W105" s="126"/>
    </row>
    <row r="106" spans="1:23">
      <c r="A106" s="1">
        <f t="shared" si="101"/>
        <v>42</v>
      </c>
      <c r="B106" s="4">
        <f ca="1">_xll.HLV5r3.Analytics.Miscellaneous.DateRoll($B$48,A106*6,"M","MF",Holidays)</f>
        <v>51312</v>
      </c>
      <c r="C106" s="58">
        <f ca="1">_xll.HLV5r3.Analytics.Miscellaneous.LinearInterp(QZ_Nodes,B106-Calc_Date,1,2)</f>
        <v>5.837985643816121E-2</v>
      </c>
      <c r="D106" s="59">
        <f ca="1">_xll.HLV5r3.Analytics.Miscellaneous.Zero2DF(C106,4,(B106-Calc_Date)/365)</f>
        <v>0.29575375788654312</v>
      </c>
      <c r="E106" s="59">
        <f t="shared" ca="1" si="102"/>
        <v>0.49315068493150682</v>
      </c>
      <c r="F106" s="58">
        <f ca="1">($D$64-D106)/SUMPRODUCT(D$65:D106,E$65:E106)</f>
        <v>5.902672312886633E-2</v>
      </c>
      <c r="G106" s="11">
        <f ca="1">SUMPRODUCT(E$65:E106,D$65:D106)*10^6*0.0001</f>
        <v>1192.8708287745596</v>
      </c>
      <c r="H106" s="2"/>
      <c r="I106" s="144"/>
      <c r="S106" s="11"/>
      <c r="U106" s="126"/>
      <c r="W106" s="126"/>
    </row>
    <row r="107" spans="1:23">
      <c r="A107" s="1">
        <f t="shared" si="101"/>
        <v>43</v>
      </c>
      <c r="B107" s="4">
        <f ca="1">_xll.HLV5r3.Analytics.Miscellaneous.DateRoll($B$48,A107*6,"M","MF",Holidays)</f>
        <v>51497</v>
      </c>
      <c r="C107" s="58">
        <f ca="1">_xll.HLV5r3.Analytics.Miscellaneous.LinearInterp(QZ_Nodes,B107-Calc_Date,1,2)</f>
        <v>5.8172151656301102E-2</v>
      </c>
      <c r="D107" s="59">
        <f ca="1">_xll.HLV5r3.Analytics.Miscellaneous.Zero2DF(C107,4,(B107-Calc_Date)/365)</f>
        <v>0.28846049000917207</v>
      </c>
      <c r="E107" s="59">
        <f t="shared" ca="1" si="102"/>
        <v>0.50684931506849318</v>
      </c>
      <c r="F107" s="58">
        <f ca="1">($D$64-D107)/SUMPRODUCT(D$65:D107,E$65:E107)</f>
        <v>5.8916014822559142E-2</v>
      </c>
      <c r="G107" s="11">
        <f ca="1">SUMPRODUCT(E$65:E107,D$65:D107)*10^6*0.0001</f>
        <v>1207.4914289531068</v>
      </c>
      <c r="H107" s="2"/>
      <c r="I107" s="144"/>
      <c r="M107" s="6"/>
      <c r="N107" s="6"/>
      <c r="S107" s="11"/>
      <c r="U107" s="126"/>
      <c r="W107" s="126"/>
    </row>
    <row r="108" spans="1:23">
      <c r="A108" s="1">
        <f t="shared" si="101"/>
        <v>44</v>
      </c>
      <c r="B108" s="4">
        <f ca="1">_xll.HLV5r3.Analytics.Miscellaneous.DateRoll($B$48,A108*6,"M","MF",Holidays)</f>
        <v>51677</v>
      </c>
      <c r="C108" s="58">
        <f ca="1">_xll.HLV5r3.Analytics.Miscellaneous.LinearInterp(QZ_Nodes,B108-Calc_Date,1,2)</f>
        <v>5.7970060517193965E-2</v>
      </c>
      <c r="D108" s="59">
        <f ca="1">_xll.HLV5r3.Analytics.Miscellaneous.Zero2DF(C108,4,(B108-Calc_Date)/365)</f>
        <v>0.28159314904635219</v>
      </c>
      <c r="E108" s="59">
        <f t="shared" ca="1" si="102"/>
        <v>0.49315068493150682</v>
      </c>
      <c r="F108" s="58">
        <f ca="1">($D$64-D108)/SUMPRODUCT(D$65:D108,E$65:E108)</f>
        <v>5.8808415097474441E-2</v>
      </c>
      <c r="G108" s="11">
        <f ca="1">SUMPRODUCT(E$65:E108,D$65:D108)*10^6*0.0001</f>
        <v>1221.3782143855296</v>
      </c>
      <c r="H108" s="2"/>
      <c r="I108" s="144"/>
      <c r="M108" s="6"/>
      <c r="N108" s="6"/>
      <c r="S108" s="11"/>
      <c r="U108" s="126"/>
      <c r="W108" s="126"/>
    </row>
    <row r="109" spans="1:23">
      <c r="A109" s="1">
        <f t="shared" si="101"/>
        <v>45</v>
      </c>
      <c r="B109" s="4">
        <f ca="1">_xll.HLV5r3.Analytics.Miscellaneous.DateRoll($B$48,A109*6,"M","MF",Holidays)</f>
        <v>51862</v>
      </c>
      <c r="C109" s="58">
        <f ca="1">_xll.HLV5r3.Analytics.Miscellaneous.LinearInterp(QZ_Nodes,B109-Calc_Date,1,2)</f>
        <v>5.7762355735333851E-2</v>
      </c>
      <c r="D109" s="59">
        <f ca="1">_xll.HLV5r3.Analytics.Miscellaneous.Zero2DF(C109,4,(B109-Calc_Date)/365)</f>
        <v>0.27476168674063023</v>
      </c>
      <c r="E109" s="59">
        <f t="shared" ca="1" si="102"/>
        <v>0.50684931506849318</v>
      </c>
      <c r="F109" s="58">
        <f ca="1">($D$64-D109)/SUMPRODUCT(D$65:D109,E$65:E109)</f>
        <v>5.8698453492876328E-2</v>
      </c>
      <c r="G109" s="11">
        <f ca="1">SUMPRODUCT(E$65:E109,D$65:D109)*10^6*0.0001</f>
        <v>1235.3044916586848</v>
      </c>
      <c r="H109" s="2"/>
      <c r="I109" s="144"/>
      <c r="S109" s="73"/>
      <c r="U109" s="126"/>
      <c r="W109" s="126"/>
    </row>
    <row r="110" spans="1:23">
      <c r="A110" s="1">
        <f t="shared" si="101"/>
        <v>46</v>
      </c>
      <c r="B110" s="4">
        <f ca="1">_xll.HLV5r3.Analytics.Miscellaneous.DateRoll($B$48,A110*6,"M","MF",Holidays)</f>
        <v>52042</v>
      </c>
      <c r="C110" s="58">
        <f ca="1">_xll.HLV5r3.Analytics.Miscellaneous.LinearInterp(QZ_Nodes,B110-Calc_Date,1,2)</f>
        <v>5.7560264596226714E-2</v>
      </c>
      <c r="D110" s="59">
        <f ca="1">_xll.HLV5r3.Analytics.Miscellaneous.Zero2DF(C110,4,(B110-Calc_Date)/365)</f>
        <v>0.2683274769158433</v>
      </c>
      <c r="E110" s="59">
        <f t="shared" ca="1" si="102"/>
        <v>0.49315068493150682</v>
      </c>
      <c r="F110" s="58">
        <f ca="1">($D$64-D110)/SUMPRODUCT(D$65:D110,E$65:E110)</f>
        <v>5.8591679360733513E-2</v>
      </c>
      <c r="G110" s="11">
        <f ca="1">SUMPRODUCT(E$65:E110,D$65:D110)*10^6*0.0001</f>
        <v>1248.5370795613842</v>
      </c>
      <c r="H110" s="2"/>
      <c r="I110" s="144"/>
      <c r="S110" s="11"/>
      <c r="U110" s="126"/>
      <c r="W110" s="126"/>
    </row>
    <row r="111" spans="1:23">
      <c r="A111" s="1">
        <f t="shared" si="101"/>
        <v>47</v>
      </c>
      <c r="B111" s="4">
        <f ca="1">_xll.HLV5r3.Analytics.Miscellaneous.DateRoll($B$48,A111*6,"M","MF",Holidays)</f>
        <v>52229</v>
      </c>
      <c r="C111" s="58">
        <f ca="1">_xll.HLV5r3.Analytics.Miscellaneous.LinearInterp(QZ_Nodes,B111-Calc_Date,1,2)</f>
        <v>5.7350314357265411E-2</v>
      </c>
      <c r="D111" s="59">
        <f ca="1">_xll.HLV5r3.Analytics.Miscellaneous.Zero2DF(C111,4,(B111-Calc_Date)/365)</f>
        <v>0.26185712661933086</v>
      </c>
      <c r="E111" s="59">
        <f t="shared" ca="1" si="102"/>
        <v>0.51232876712328768</v>
      </c>
      <c r="F111" s="58">
        <f ca="1">($D$64-D111)/SUMPRODUCT(D$65:D111,E$65:E111)</f>
        <v>5.8481522302762337E-2</v>
      </c>
      <c r="G111" s="11">
        <f ca="1">SUMPRODUCT(E$65:E111,D$65:D111)*10^6*0.0001</f>
        <v>1261.952773445717</v>
      </c>
      <c r="H111" s="2"/>
      <c r="I111" s="144"/>
      <c r="S111" s="11"/>
      <c r="U111" s="126"/>
      <c r="W111" s="126"/>
    </row>
    <row r="112" spans="1:23">
      <c r="A112" s="1">
        <f t="shared" si="101"/>
        <v>48</v>
      </c>
      <c r="B112" s="4">
        <f ca="1">_xll.HLV5r3.Analytics.Miscellaneous.DateRoll($B$48,A112*6,"M","MF",Holidays)</f>
        <v>52407</v>
      </c>
      <c r="C112" s="58">
        <f ca="1">_xll.HLV5r3.Analytics.Miscellaneous.LinearInterp(QZ_Nodes,B112-Calc_Date,1,2)</f>
        <v>5.7150468675259469E-2</v>
      </c>
      <c r="D112" s="59">
        <f ca="1">_xll.HLV5r3.Analytics.Miscellaneous.Zero2DF(C112,4,(B112-Calc_Date)/365)</f>
        <v>0.25589365186272689</v>
      </c>
      <c r="E112" s="59">
        <f t="shared" ca="1" si="102"/>
        <v>0.48767123287671232</v>
      </c>
      <c r="F112" s="58">
        <f ca="1">($D$64-D112)/SUMPRODUCT(D$65:D112,E$65:E112)</f>
        <v>5.837680507908205E-2</v>
      </c>
      <c r="G112" s="11">
        <f ca="1">SUMPRODUCT(E$65:E112,D$65:D112)*10^6*0.0001</f>
        <v>1274.431970714639</v>
      </c>
      <c r="H112" s="2"/>
      <c r="I112" s="144"/>
      <c r="M112" s="121"/>
      <c r="S112" s="11"/>
      <c r="U112" s="126"/>
      <c r="W112" s="126"/>
    </row>
    <row r="113" spans="1:23">
      <c r="A113" s="1">
        <f t="shared" si="101"/>
        <v>49</v>
      </c>
      <c r="B113" s="4">
        <f ca="1">_xll.HLV5r3.Analytics.Miscellaneous.DateRoll($B$48,A113*6,"M","MF",Holidays)</f>
        <v>52594</v>
      </c>
      <c r="C113" s="58">
        <f ca="1">_xll.HLV5r3.Analytics.Miscellaneous.LinearInterp(QZ_Nodes,B113-Calc_Date,1,2)</f>
        <v>5.6940518436298167E-2</v>
      </c>
      <c r="D113" s="59">
        <f ca="1">_xll.HLV5r3.Analytics.Miscellaneous.Zero2DF(C113,4,(B113-Calc_Date)/365)</f>
        <v>0.24982665107445579</v>
      </c>
      <c r="E113" s="59">
        <f t="shared" ca="1" si="102"/>
        <v>0.51232876712328768</v>
      </c>
      <c r="F113" s="58">
        <f ca="1">($D$64-D113)/SUMPRODUCT(D$65:D113,E$65:E113)</f>
        <v>5.8267668220304596E-2</v>
      </c>
      <c r="G113" s="11">
        <f ca="1">SUMPRODUCT(E$65:E113,D$65:D113)*10^6*0.0001</f>
        <v>1287.2313087285904</v>
      </c>
      <c r="H113" s="2"/>
      <c r="I113" s="144"/>
      <c r="S113" s="11"/>
      <c r="U113" s="126"/>
      <c r="W113" s="126"/>
    </row>
    <row r="114" spans="1:23">
      <c r="A114" s="1">
        <f t="shared" si="101"/>
        <v>50</v>
      </c>
      <c r="B114" s="55">
        <f ca="1">_xll.HLV5r3.Analytics.Miscellaneous.DateRoll($B$48,A114*6,"M","MF",Holidays)</f>
        <v>52775</v>
      </c>
      <c r="C114" s="56">
        <f ca="1">_xll.HLV5r3.Analytics.Miscellaneous.LinearInterp(QZ_Nodes,B114-Calc_Date,1,2)</f>
        <v>5.6736898706700747E-2</v>
      </c>
      <c r="D114" s="57">
        <f ca="1">_xll.HLV5r3.Analytics.Miscellaneous.Zero2DF(C114,4,(B114-Calc_Date)/365)</f>
        <v>0.24414316223731258</v>
      </c>
      <c r="E114" s="57">
        <f t="shared" ca="1" si="102"/>
        <v>0.49589041095890413</v>
      </c>
      <c r="F114" s="56">
        <f ca="1">($D$64-D114)/SUMPRODUCT(D$65:D114,E$65:E114)</f>
        <v>5.8162162507207273E-2</v>
      </c>
      <c r="G114" s="73">
        <f ca="1">SUMPRODUCT(E$65:E114,D$65:D114)*10^6*0.0001</f>
        <v>1299.3381340340575</v>
      </c>
      <c r="H114" s="2"/>
      <c r="I114" s="144"/>
      <c r="S114" s="11"/>
      <c r="U114" s="126"/>
      <c r="W114" s="126"/>
    </row>
    <row r="115" spans="1:23">
      <c r="A115" s="1">
        <f t="shared" si="101"/>
        <v>51</v>
      </c>
      <c r="B115" s="4">
        <f ca="1">_xll.HLV5r3.Analytics.Miscellaneous.DateRoll($B$48,A115*6,"M","MF",Holidays)</f>
        <v>52959</v>
      </c>
      <c r="C115" s="58">
        <f ca="1">_xll.HLV5r3.Analytics.Miscellaneous.LinearInterp(QZ_Nodes,B115-Calc_Date,1,2)</f>
        <v>5.6455638056488656E-2</v>
      </c>
      <c r="D115" s="59">
        <f ca="1">_xll.HLV5r3.Analytics.Miscellaneous.Zero2DF(C115,4,(B115-Calc_Date)/365)</f>
        <v>0.23899316139941698</v>
      </c>
      <c r="E115" s="59">
        <f t="shared" ca="1" si="102"/>
        <v>0.50410958904109593</v>
      </c>
      <c r="F115" s="58">
        <f ca="1">($D$64-D115)/SUMPRODUCT(D$65:D115,E$65:E115)</f>
        <v>5.8020533462882613E-2</v>
      </c>
      <c r="G115" s="11">
        <f ca="1">SUMPRODUCT(E$65:E115,D$65:D115)*10^6*0.0001</f>
        <v>1311.3860084717264</v>
      </c>
      <c r="H115" s="2"/>
      <c r="I115" s="144"/>
      <c r="S115" s="11"/>
      <c r="U115" s="126"/>
      <c r="W115" s="126"/>
    </row>
    <row r="116" spans="1:23">
      <c r="A116" s="1">
        <f t="shared" si="101"/>
        <v>52</v>
      </c>
      <c r="B116" s="4">
        <f ca="1">_xll.HLV5r3.Analytics.Miscellaneous.DateRoll($B$48,A116*6,"M","MF",Holidays)</f>
        <v>53139</v>
      </c>
      <c r="C116" s="58">
        <f ca="1">_xll.HLV5r3.Analytics.Miscellaneous.LinearInterp(QZ_Nodes,B116-Calc_Date,1,2)</f>
        <v>5.6180491768237702E-2</v>
      </c>
      <c r="D116" s="59">
        <f ca="1">_xll.HLV5r3.Analytics.Miscellaneous.Zero2DF(C116,4,(B116-Calc_Date)/365)</f>
        <v>0.234123701821666</v>
      </c>
      <c r="E116" s="59">
        <f t="shared" ca="1" si="102"/>
        <v>0.49315068493150682</v>
      </c>
      <c r="F116" s="58">
        <f ca="1">($D$64-D116)/SUMPRODUCT(D$65:D116,E$65:E116)</f>
        <v>5.78822428541821E-2</v>
      </c>
      <c r="G116" s="11">
        <f ca="1">SUMPRODUCT(E$65:E116,D$65:D116)*10^6*0.0001</f>
        <v>1322.931834862932</v>
      </c>
      <c r="H116" s="2"/>
      <c r="I116" s="144"/>
      <c r="S116" s="11"/>
      <c r="U116" s="126"/>
      <c r="W116" s="126"/>
    </row>
    <row r="117" spans="1:23">
      <c r="A117" s="1">
        <f t="shared" si="101"/>
        <v>53</v>
      </c>
      <c r="B117" s="4">
        <f ca="1">_xll.HLV5r3.Analytics.Miscellaneous.DateRoll($B$48,A117*6,"M","MF",Holidays)</f>
        <v>53323</v>
      </c>
      <c r="C117" s="58">
        <f ca="1">_xll.HLV5r3.Analytics.Miscellaneous.LinearInterp(QZ_Nodes,B117-Calc_Date,1,2)</f>
        <v>5.5899231118025618E-2</v>
      </c>
      <c r="D117" s="59">
        <f ca="1">_xll.HLV5r3.Analytics.Miscellaneous.Zero2DF(C117,4,(B117-Calc_Date)/365)</f>
        <v>0.22931209651290871</v>
      </c>
      <c r="E117" s="59">
        <f t="shared" ca="1" si="102"/>
        <v>0.50410958904109593</v>
      </c>
      <c r="F117" s="58">
        <f ca="1">($D$64-D117)/SUMPRODUCT(D$65:D117,E$65:E117)</f>
        <v>5.774140339203087E-2</v>
      </c>
      <c r="G117" s="11">
        <f ca="1">SUMPRODUCT(E$65:E117,D$65:D117)*10^6*0.0001</f>
        <v>1334.4916775364595</v>
      </c>
      <c r="H117" s="2"/>
      <c r="I117" s="144"/>
      <c r="S117" s="11"/>
      <c r="U117" s="126"/>
      <c r="W117" s="126"/>
    </row>
    <row r="118" spans="1:23">
      <c r="A118" s="1">
        <f t="shared" si="101"/>
        <v>54</v>
      </c>
      <c r="B118" s="4">
        <f ca="1">_xll.HLV5r3.Analytics.Miscellaneous.DateRoll($B$48,A118*6,"M","MF",Holidays)</f>
        <v>53503</v>
      </c>
      <c r="C118" s="58">
        <f ca="1">_xll.HLV5r3.Analytics.Miscellaneous.LinearInterp(QZ_Nodes,B118-Calc_Date,1,2)</f>
        <v>5.5624084829774663E-2</v>
      </c>
      <c r="D118" s="59">
        <f ca="1">_xll.HLV5r3.Analytics.Miscellaneous.Zero2DF(C118,4,(B118-Calc_Date)/365)</f>
        <v>0.22476171603206715</v>
      </c>
      <c r="E118" s="59">
        <f t="shared" ca="1" si="102"/>
        <v>0.49315068493150682</v>
      </c>
      <c r="F118" s="58">
        <f ca="1">($D$64-D118)/SUMPRODUCT(D$65:D118,E$65:E118)</f>
        <v>5.760393383057448E-2</v>
      </c>
      <c r="G118" s="11">
        <f ca="1">SUMPRODUCT(E$65:E118,D$65:D118)*10^6*0.0001</f>
        <v>1345.5758169572191</v>
      </c>
      <c r="H118" s="2"/>
      <c r="I118" s="144"/>
      <c r="S118" s="11"/>
    </row>
    <row r="119" spans="1:23">
      <c r="A119" s="1">
        <f t="shared" si="101"/>
        <v>55</v>
      </c>
      <c r="B119" s="4">
        <f ca="1">_xll.HLV5r3.Analytics.Miscellaneous.DateRoll($B$48,A119*6,"M","MF",Holidays)</f>
        <v>53688</v>
      </c>
      <c r="C119" s="58">
        <f ca="1">_xll.HLV5r3.Analytics.Miscellaneous.LinearInterp(QZ_Nodes,B119-Calc_Date,1,2)</f>
        <v>5.534129558907229E-2</v>
      </c>
      <c r="D119" s="59">
        <f ca="1">_xll.HLV5r3.Analytics.Miscellaneous.Zero2DF(C119,4,(B119-Calc_Date)/365)</f>
        <v>0.22024054496096487</v>
      </c>
      <c r="E119" s="59">
        <f t="shared" ca="1" si="102"/>
        <v>0.50684931506849318</v>
      </c>
      <c r="F119" s="58">
        <f ca="1">($D$64-D119)/SUMPRODUCT(D$65:D119,E$65:E119)</f>
        <v>5.7463222492310929E-2</v>
      </c>
      <c r="G119" s="11">
        <f ca="1">SUMPRODUCT(E$65:E119,D$65:D119)*10^6*0.0001</f>
        <v>1356.7386938935967</v>
      </c>
      <c r="H119" s="2"/>
      <c r="I119" s="144"/>
      <c r="S119" s="73"/>
    </row>
    <row r="120" spans="1:23">
      <c r="A120" s="1">
        <f t="shared" si="101"/>
        <v>56</v>
      </c>
      <c r="B120" s="4">
        <f ca="1">_xll.HLV5r3.Analytics.Miscellaneous.DateRoll($B$48,A120*6,"M","MF",Holidays)</f>
        <v>53868</v>
      </c>
      <c r="C120" s="58">
        <f ca="1">_xll.HLV5r3.Analytics.Miscellaneous.LinearInterp(QZ_Nodes,B120-Calc_Date,1,2)</f>
        <v>5.5066149300821335E-2</v>
      </c>
      <c r="D120" s="59">
        <f ca="1">_xll.HLV5r3.Analytics.Miscellaneous.Zero2DF(C120,4,(B120-Calc_Date)/365)</f>
        <v>0.21598759516608446</v>
      </c>
      <c r="E120" s="59">
        <f t="shared" ca="1" si="102"/>
        <v>0.49315068493150682</v>
      </c>
      <c r="F120" s="58">
        <f ca="1">($D$64-D120)/SUMPRODUCT(D$65:D120,E$65:E120)</f>
        <v>5.7326632899281652E-2</v>
      </c>
      <c r="G120" s="11">
        <f ca="1">SUMPRODUCT(E$65:E120,D$65:D120)*10^6*0.0001</f>
        <v>1367.3901369428831</v>
      </c>
      <c r="H120" s="2"/>
      <c r="I120" s="144"/>
      <c r="S120" s="11"/>
    </row>
    <row r="121" spans="1:23">
      <c r="A121" s="1">
        <f t="shared" si="101"/>
        <v>57</v>
      </c>
      <c r="B121" s="4">
        <f ca="1">_xll.HLV5r3.Analytics.Miscellaneous.DateRoll($B$48,A121*6,"M","MF",Holidays)</f>
        <v>54053</v>
      </c>
      <c r="C121" s="58">
        <f ca="1">_xll.HLV5r3.Analytics.Miscellaneous.LinearInterp(QZ_Nodes,B121-Calc_Date,1,2)</f>
        <v>5.4783360060118962E-2</v>
      </c>
      <c r="D121" s="59">
        <f ca="1">_xll.HLV5r3.Analytics.Miscellaneous.Zero2DF(C121,4,(B121-Calc_Date)/365)</f>
        <v>0.21176124887522313</v>
      </c>
      <c r="E121" s="59">
        <f t="shared" ca="1" si="102"/>
        <v>0.50684931506849318</v>
      </c>
      <c r="F121" s="58">
        <f ca="1">($D$64-D121)/SUMPRODUCT(D$65:D121,E$65:E121)</f>
        <v>5.7186835455439636E-2</v>
      </c>
      <c r="G121" s="11">
        <f ca="1">SUMPRODUCT(E$65:E121,D$65:D121)*10^6*0.0001</f>
        <v>1378.1232413379287</v>
      </c>
      <c r="H121" s="2"/>
      <c r="I121" s="144"/>
      <c r="S121" s="11"/>
    </row>
    <row r="122" spans="1:23">
      <c r="A122" s="1">
        <f t="shared" si="101"/>
        <v>58</v>
      </c>
      <c r="B122" s="4">
        <f ca="1">_xll.HLV5r3.Analytics.Miscellaneous.DateRoll($B$48,A122*6,"M","MF",Holidays)</f>
        <v>54234</v>
      </c>
      <c r="C122" s="58">
        <f ca="1">_xll.HLV5r3.Analytics.Miscellaneous.LinearInterp(QZ_Nodes,B122-Calc_Date,1,2)</f>
        <v>5.4506685181377725E-2</v>
      </c>
      <c r="D122" s="59">
        <f ca="1">_xll.HLV5r3.Analytics.Miscellaneous.Zero2DF(C122,4,(B122-Calc_Date)/365)</f>
        <v>0.20776329614784278</v>
      </c>
      <c r="E122" s="59">
        <f t="shared" ca="1" si="102"/>
        <v>0.49589041095890413</v>
      </c>
      <c r="F122" s="58">
        <f ca="1">($D$64-D122)/SUMPRODUCT(D$65:D122,E$65:E122)</f>
        <v>5.7050430447870962E-2</v>
      </c>
      <c r="G122" s="11">
        <f ca="1">SUMPRODUCT(E$65:E122,D$65:D122)*10^6*0.0001</f>
        <v>1388.4260239688217</v>
      </c>
      <c r="H122" s="2"/>
      <c r="I122" s="144"/>
      <c r="S122" s="11"/>
    </row>
    <row r="123" spans="1:23">
      <c r="A123" s="1">
        <f t="shared" si="101"/>
        <v>59</v>
      </c>
      <c r="B123" s="4">
        <f ca="1">_xll.HLV5r3.Analytics.Miscellaneous.DateRoll($B$48,A123*6,"M","MF",Holidays)</f>
        <v>54421</v>
      </c>
      <c r="C123" s="58">
        <f ca="1">_xll.HLV5r3.Analytics.Miscellaneous.LinearInterp(QZ_Nodes,B123-Calc_Date,1,2)</f>
        <v>5.4220838759694787E-2</v>
      </c>
      <c r="D123" s="59">
        <f ca="1">_xll.HLV5r3.Analytics.Miscellaneous.Zero2DF(C123,4,(B123-Calc_Date)/365)</f>
        <v>0.20377011576685711</v>
      </c>
      <c r="E123" s="59">
        <f t="shared" ca="1" si="102"/>
        <v>0.51232876712328768</v>
      </c>
      <c r="F123" s="58">
        <f ca="1">($D$64-D123)/SUMPRODUCT(D$65:D123,E$65:E123)</f>
        <v>5.6910121767683078E-2</v>
      </c>
      <c r="G123" s="11">
        <f ca="1">SUMPRODUCT(E$65:E123,D$65:D123)*10^6*0.0001</f>
        <v>1398.8657531875619</v>
      </c>
      <c r="H123" s="2"/>
      <c r="I123" s="144"/>
      <c r="S123" s="11"/>
    </row>
    <row r="124" spans="1:23">
      <c r="A124" s="1">
        <f t="shared" si="101"/>
        <v>60</v>
      </c>
      <c r="B124" s="55">
        <f ca="1">_xll.HLV5r3.Analytics.Miscellaneous.DateRoll($B$48,A124*6,"M","MF",Holidays)</f>
        <v>54599</v>
      </c>
      <c r="C124" s="56">
        <f ca="1">_xll.HLV5r3.Analytics.Miscellaneous.LinearInterp(QZ_Nodes,B124-Calc_Date,1,2)</f>
        <v>5.3948749652424396E-2</v>
      </c>
      <c r="D124" s="57">
        <f ca="1">_xll.HLV5r3.Analytics.Miscellaneous.Zero2DF(C124,4,(B124-Calc_Date)/365)</f>
        <v>0.20009425639846817</v>
      </c>
      <c r="E124" s="57">
        <f t="shared" ca="1" si="102"/>
        <v>0.48767123287671232</v>
      </c>
      <c r="F124" s="56">
        <f ca="1">($D$64-D124)/SUMPRODUCT(D$65:D124,E$65:E124)</f>
        <v>5.677683973361116E-2</v>
      </c>
      <c r="G124" s="73">
        <f ca="1">SUMPRODUCT(E$65:E124,D$65:D124)*10^6*0.0001</f>
        <v>1408.623774458501</v>
      </c>
      <c r="H124" s="2"/>
      <c r="I124" s="144"/>
      <c r="S124" s="11"/>
    </row>
    <row r="125" spans="1:23">
      <c r="A125" s="1"/>
      <c r="B125" s="4"/>
      <c r="C125" s="58"/>
      <c r="D125" s="59"/>
      <c r="E125" s="59"/>
      <c r="F125" s="58"/>
      <c r="G125" s="11"/>
      <c r="S125" s="11"/>
    </row>
    <row r="126" spans="1:23">
      <c r="A126" s="1"/>
      <c r="B126" s="4"/>
      <c r="C126" s="58"/>
      <c r="D126" s="59"/>
      <c r="E126" s="59"/>
      <c r="F126" s="58"/>
      <c r="G126" s="11"/>
      <c r="S126" s="11"/>
    </row>
    <row r="127" spans="1:23">
      <c r="A127" s="1"/>
      <c r="B127" s="4"/>
      <c r="C127" s="58"/>
      <c r="D127" s="59"/>
      <c r="E127" s="59"/>
      <c r="F127" s="58"/>
      <c r="G127" s="2"/>
      <c r="S127" s="11"/>
    </row>
    <row r="128" spans="1:23">
      <c r="A128" s="3" t="s">
        <v>67</v>
      </c>
      <c r="B128" s="119">
        <v>41005</v>
      </c>
      <c r="C128" s="58">
        <f ca="1">_xll.HLV5r3.Analytics.Miscellaneous.LinearInterp(QZ_Nodes,B128-Calc_Date,1,2)</f>
        <v>4.9095581364560832E-2</v>
      </c>
      <c r="D128" s="59">
        <f ca="1">_xll.HLV5r3.Analytics.Miscellaneous.Zero2DF(C128,4,(B128-Calc_Date)/365)</f>
        <v>1.4222957108977756</v>
      </c>
      <c r="G128" s="11"/>
      <c r="S128" s="11"/>
    </row>
    <row r="129" spans="1:19">
      <c r="A129" s="52">
        <v>3</v>
      </c>
      <c r="B129" s="120" t="e">
        <f ca="1">_xll.Orion.ExcelAPI.Miscellaneous.DateRoll(B128,A129,"M","MF",Holidays)</f>
        <v>#NAME?</v>
      </c>
      <c r="C129" s="58">
        <f ca="1">_xll.HLV5r3.Analytics.Miscellaneous.LinearInterp(QZ_Nodes,B129-Calc_Date,1,2)</f>
        <v>4.9095581364560832E-2</v>
      </c>
      <c r="D129" s="59" t="e">
        <f ca="1">_xll.HLV5r3.Analytics.Miscellaneous.Zero2DF(C129,4,(B129-Calc_Date)/365)</f>
        <v>#NUM!</v>
      </c>
      <c r="E129" s="26" t="e">
        <f ca="1">(B129-B128)/365</f>
        <v>#NAME?</v>
      </c>
      <c r="F129" s="2" t="e">
        <f ca="1">(D128/D129-1)/E129</f>
        <v>#NUM!</v>
      </c>
      <c r="G129" s="2"/>
      <c r="S129" s="11"/>
    </row>
    <row r="130" spans="1:19">
      <c r="G130" s="11"/>
      <c r="S130" s="11"/>
    </row>
    <row r="131" spans="1:19">
      <c r="A131" s="3" t="s">
        <v>67</v>
      </c>
      <c r="B131" s="119">
        <v>40935</v>
      </c>
      <c r="C131" s="58">
        <f ca="1">_xll.HLV5r3.Analytics.Miscellaneous.LinearInterp(QZ_Nodes,B131-Calc_Date,1,2)</f>
        <v>4.9095581364560832E-2</v>
      </c>
      <c r="D131" s="59">
        <f ca="1">_xll.HLV5r3.Analytics.Miscellaneous.Zero2DF(C131,4,(B131-Calc_Date)/365)</f>
        <v>1.4356684225426295</v>
      </c>
      <c r="G131" s="11"/>
      <c r="S131" s="11"/>
    </row>
    <row r="132" spans="1:19">
      <c r="A132" s="52">
        <v>3</v>
      </c>
      <c r="B132" s="120" t="e">
        <f ca="1">_xll.Orion.ExcelAPI.Miscellaneous.DateRoll(B131,A132,"M","MF",Holidays)</f>
        <v>#NAME?</v>
      </c>
      <c r="C132" s="58">
        <f ca="1">_xll.HLV5r3.Analytics.Miscellaneous.LinearInterp(QZ_Nodes,B132-Calc_Date,1,2)</f>
        <v>4.9095581364560832E-2</v>
      </c>
      <c r="D132" s="59" t="e">
        <f ca="1">_xll.HLV5r3.Analytics.Miscellaneous.Zero2DF(C132,4,(B132-Calc_Date)/365)</f>
        <v>#NUM!</v>
      </c>
      <c r="E132" s="26" t="e">
        <f ca="1">(B132-B131)/365</f>
        <v>#NAME?</v>
      </c>
      <c r="F132" s="2" t="e">
        <f ca="1">(D131/D132-1)/E132</f>
        <v>#NUM!</v>
      </c>
      <c r="G132" s="2"/>
      <c r="M132" s="118"/>
      <c r="S132" s="11"/>
    </row>
    <row r="133" spans="1:19">
      <c r="B133" s="120"/>
      <c r="C133" s="58"/>
      <c r="D133" s="59"/>
      <c r="E133" s="26"/>
      <c r="F133" s="2"/>
      <c r="G133" s="11"/>
      <c r="S133" s="11"/>
    </row>
    <row r="134" spans="1:19">
      <c r="A134" s="3" t="s">
        <v>67</v>
      </c>
      <c r="B134" s="119">
        <f ca="1">Calc_Date</f>
        <v>43640</v>
      </c>
      <c r="C134" s="58">
        <f ca="1">_xll.HLV5r3.Analytics.Miscellaneous.LinearInterp(QZ_Nodes,B134-Calc_Date,1,2)</f>
        <v>4.9095581364560832E-2</v>
      </c>
      <c r="D134" s="59">
        <f ca="1">_xll.HLV5r3.Analytics.Miscellaneous.Zero2DF(C134,4,(B134-Calc_Date)/365)</f>
        <v>1</v>
      </c>
      <c r="G134" s="11"/>
      <c r="S134" s="11"/>
    </row>
    <row r="135" spans="1:19">
      <c r="A135" s="52">
        <v>6</v>
      </c>
      <c r="B135" s="120">
        <f ca="1">_xll.HLV5r3.Analytics.Miscellaneous.DateRoll(B134,A135,"M","MF",Holidays)</f>
        <v>43823</v>
      </c>
      <c r="C135" s="58">
        <f ca="1">_xll.HLV5r3.Analytics.Miscellaneous.LinearInterp(QZ_Nodes,B135-Calc_Date,1,2)</f>
        <v>5.0663241136054811E-2</v>
      </c>
      <c r="D135" s="59">
        <f ca="1">_xll.HLV5r3.Analytics.Miscellaneous.Zero2DF(C135,4,(B135-Calc_Date)/365)</f>
        <v>0.9750743977305899</v>
      </c>
      <c r="E135" s="26">
        <f ca="1">(B135-B134)/365</f>
        <v>0.50136986301369868</v>
      </c>
      <c r="F135" s="2">
        <f ca="1">(D134/D135-1)/E135</f>
        <v>5.0985852133587119E-2</v>
      </c>
      <c r="G135" s="2"/>
      <c r="S135" s="11"/>
    </row>
    <row r="136" spans="1:19">
      <c r="B136" s="120"/>
      <c r="C136" s="58"/>
      <c r="D136" s="59"/>
      <c r="G136" s="11"/>
      <c r="S136" s="11"/>
    </row>
    <row r="137" spans="1:19">
      <c r="A137" s="3" t="s">
        <v>67</v>
      </c>
      <c r="B137" s="119">
        <f ca="1">Calc_Date</f>
        <v>43640</v>
      </c>
      <c r="C137" s="58">
        <f ca="1">_xll.HLV5r3.Analytics.Miscellaneous.LinearInterp(QZ_Nodes,B137-Calc_Date,1,2)</f>
        <v>4.9095581364560832E-2</v>
      </c>
      <c r="D137" s="59">
        <f ca="1">_xll.HLV5r3.Analytics.Miscellaneous.Zero2DF(C137,4,(B137-Calc_Date)/365)</f>
        <v>1</v>
      </c>
      <c r="G137" s="11"/>
      <c r="S137" s="11"/>
    </row>
    <row r="138" spans="1:19">
      <c r="A138" s="52">
        <v>6</v>
      </c>
      <c r="B138" s="120">
        <f ca="1">_xll.HLV5r3.Analytics.Miscellaneous.DateRoll(B137,A138,"M","MF",Holidays)</f>
        <v>43823</v>
      </c>
      <c r="C138" s="58">
        <f ca="1">_xll.HLV5r3.Analytics.Miscellaneous.LinearInterp(QZ_Nodes,B138-Calc_Date,1,2)</f>
        <v>5.0663241136054811E-2</v>
      </c>
      <c r="D138" s="59">
        <f ca="1">_xll.HLV5r3.Analytics.Miscellaneous.Zero2DF(C138,4,(B138-Calc_Date)/365)</f>
        <v>0.9750743977305899</v>
      </c>
      <c r="E138" s="26">
        <f ca="1">(B138-B137)/365</f>
        <v>0.50136986301369868</v>
      </c>
      <c r="F138" s="2">
        <f ca="1">(D137/D138-1)/E138</f>
        <v>5.0985852133587119E-2</v>
      </c>
      <c r="G138" s="6"/>
      <c r="S138" s="11"/>
    </row>
    <row r="139" spans="1:19">
      <c r="A139" s="1"/>
      <c r="B139" s="4"/>
      <c r="C139" s="58"/>
      <c r="D139" s="59"/>
      <c r="E139" s="59"/>
      <c r="F139" s="58"/>
      <c r="G139" s="11"/>
      <c r="S139" s="11"/>
    </row>
    <row r="140" spans="1:19">
      <c r="A140" s="1"/>
      <c r="B140" s="11"/>
      <c r="C140" s="58"/>
      <c r="D140" s="59"/>
      <c r="E140" s="59"/>
      <c r="F140" s="58"/>
      <c r="G140" s="11"/>
      <c r="H140" s="130"/>
      <c r="S140" s="11"/>
    </row>
    <row r="141" spans="1:19">
      <c r="A141" s="1"/>
      <c r="B141" s="4"/>
      <c r="C141" s="58"/>
      <c r="D141" s="59"/>
      <c r="E141" s="59"/>
      <c r="F141" s="56"/>
      <c r="G141" s="56"/>
      <c r="H141" s="56"/>
      <c r="S141" s="11"/>
    </row>
    <row r="142" spans="1:19">
      <c r="A142" s="1"/>
      <c r="B142" s="4">
        <f>M19</f>
        <v>40704</v>
      </c>
      <c r="C142" s="58">
        <f ca="1">_xll.HLV5r3.Analytics.Miscellaneous.LinearInterp(QZ_Nodes,B142-Calc_Date,1,2)</f>
        <v>4.9095581364560832E-2</v>
      </c>
      <c r="D142" s="59">
        <f ca="1">_xll.HLV5r3.Analytics.Miscellaneous.Zero2DF(C142,4,(B142-Calc_Date)/365)</f>
        <v>1.480696896212355</v>
      </c>
      <c r="E142" s="26"/>
      <c r="F142" s="58"/>
      <c r="G142" s="129"/>
      <c r="H142" s="129"/>
      <c r="S142" s="11"/>
    </row>
    <row r="143" spans="1:19">
      <c r="A143" s="4">
        <f>EDATE(B142,3)</f>
        <v>40796</v>
      </c>
      <c r="B143" s="120" t="e">
        <f ca="1">_xll.Orion.ExcelAPI.Miscellaneous.SFEBillDates(A143, Holidays)</f>
        <v>#NAME?</v>
      </c>
      <c r="C143" s="58">
        <f ca="1">_xll.HLV5r3.Analytics.Miscellaneous.LinearInterp(QZ_Nodes,B143-Calc_Date,1,2)</f>
        <v>4.9095581364560832E-2</v>
      </c>
      <c r="D143" s="59" t="e">
        <f ca="1">_xll.HLV5r3.Analytics.Miscellaneous.Zero2DF(C143,4,(B143-Calc_Date)/365)</f>
        <v>#NUM!</v>
      </c>
      <c r="E143" s="26" t="e">
        <f ca="1">(B143-B142)/365</f>
        <v>#NAME?</v>
      </c>
      <c r="F143" s="58"/>
      <c r="G143" s="11"/>
      <c r="H143" s="11"/>
      <c r="S143" s="11"/>
    </row>
    <row r="144" spans="1:19">
      <c r="A144" s="4">
        <f>EDATE(A143,3)</f>
        <v>40887</v>
      </c>
      <c r="B144" s="120" t="e">
        <f ca="1">_xll.Orion.ExcelAPI.Miscellaneous.SFEBillDates(A144, Holidays)</f>
        <v>#NAME?</v>
      </c>
      <c r="C144" s="58">
        <f ca="1">_xll.HLV5r3.Analytics.Miscellaneous.LinearInterp(QZ_Nodes,B144-Calc_Date,1,2)</f>
        <v>4.9095581364560832E-2</v>
      </c>
      <c r="D144" s="59" t="e">
        <f ca="1">_xll.HLV5r3.Analytics.Miscellaneous.Zero2DF(C144,4,(B144-Calc_Date)/365)</f>
        <v>#NUM!</v>
      </c>
      <c r="E144" s="26" t="e">
        <f t="shared" ref="E144:E150" ca="1" si="103">(B144-B143)/365</f>
        <v>#NAME?</v>
      </c>
      <c r="F144" s="58"/>
      <c r="G144" s="125"/>
      <c r="H144" s="125"/>
    </row>
    <row r="145" spans="1:8">
      <c r="A145" s="4">
        <f t="shared" ref="A145:A150" si="104">EDATE(A144,3)</f>
        <v>40978</v>
      </c>
      <c r="B145" s="120" t="e">
        <f ca="1">_xll.Orion.ExcelAPI.Miscellaneous.SFEBillDates(A145, Holidays)</f>
        <v>#NAME?</v>
      </c>
      <c r="C145" s="58">
        <f ca="1">_xll.HLV5r3.Analytics.Miscellaneous.LinearInterp(QZ_Nodes,B145-Calc_Date,1,2)</f>
        <v>4.9095581364560832E-2</v>
      </c>
      <c r="D145" s="59" t="e">
        <f ca="1">_xll.HLV5r3.Analytics.Miscellaneous.Zero2DF(C145,4,(B145-Calc_Date)/365)</f>
        <v>#NUM!</v>
      </c>
      <c r="E145" s="26" t="e">
        <f t="shared" ca="1" si="103"/>
        <v>#NAME?</v>
      </c>
      <c r="F145" s="58"/>
      <c r="G145" s="125"/>
      <c r="H145" s="125"/>
    </row>
    <row r="146" spans="1:8">
      <c r="A146" s="4">
        <f t="shared" si="104"/>
        <v>41070</v>
      </c>
      <c r="B146" s="120" t="e">
        <f ca="1">_xll.Orion.ExcelAPI.Miscellaneous.SFEBillDates(A146, Holidays)</f>
        <v>#NAME?</v>
      </c>
      <c r="C146" s="58">
        <f ca="1">_xll.HLV5r3.Analytics.Miscellaneous.LinearInterp(QZ_Nodes,B146-Calc_Date,1,2)</f>
        <v>4.9095581364560832E-2</v>
      </c>
      <c r="D146" s="59" t="e">
        <f ca="1">_xll.HLV5r3.Analytics.Miscellaneous.Zero2DF(C146,4,(B146-Calc_Date)/365)</f>
        <v>#NUM!</v>
      </c>
      <c r="E146" s="26" t="e">
        <f t="shared" ca="1" si="103"/>
        <v>#NAME?</v>
      </c>
      <c r="F146" s="58" t="e">
        <f ca="1">(D$142-D146)/SUMPRODUCT(D$143:D146,E$143:E146)</f>
        <v>#NUM!</v>
      </c>
      <c r="G146" s="58"/>
      <c r="H146" s="125"/>
    </row>
    <row r="147" spans="1:8">
      <c r="A147" s="4">
        <f t="shared" si="104"/>
        <v>41162</v>
      </c>
      <c r="B147" s="120" t="e">
        <f ca="1">_xll.Orion.ExcelAPI.Miscellaneous.SFEBillDates(A147, Holidays)</f>
        <v>#NAME?</v>
      </c>
      <c r="C147" s="58">
        <f ca="1">_xll.HLV5r3.Analytics.Miscellaneous.LinearInterp(QZ_Nodes,B147-Calc_Date,1,2)</f>
        <v>4.9095581364560832E-2</v>
      </c>
      <c r="D147" s="59" t="e">
        <f ca="1">_xll.HLV5r3.Analytics.Miscellaneous.Zero2DF(C147,4,(B147-Calc_Date)/365)</f>
        <v>#NUM!</v>
      </c>
      <c r="E147" s="26" t="e">
        <f t="shared" ca="1" si="103"/>
        <v>#NAME?</v>
      </c>
      <c r="F147" s="58"/>
      <c r="G147" s="125"/>
      <c r="H147" s="125"/>
    </row>
    <row r="148" spans="1:8">
      <c r="A148" s="4">
        <f t="shared" si="104"/>
        <v>41253</v>
      </c>
      <c r="B148" s="120" t="e">
        <f ca="1">_xll.Orion.ExcelAPI.Miscellaneous.SFEBillDates(A148, Holidays)</f>
        <v>#NAME?</v>
      </c>
      <c r="C148" s="58">
        <f ca="1">_xll.HLV5r3.Analytics.Miscellaneous.LinearInterp(QZ_Nodes,B148-Calc_Date,1,2)</f>
        <v>4.9095581364560832E-2</v>
      </c>
      <c r="D148" s="59" t="e">
        <f ca="1">_xll.HLV5r3.Analytics.Miscellaneous.Zero2DF(C148,4,(B148-Calc_Date)/365)</f>
        <v>#NUM!</v>
      </c>
      <c r="E148" s="26" t="e">
        <f t="shared" ca="1" si="103"/>
        <v>#NAME?</v>
      </c>
      <c r="G148" s="125"/>
      <c r="H148" s="125"/>
    </row>
    <row r="149" spans="1:8">
      <c r="A149" s="4">
        <f t="shared" si="104"/>
        <v>41343</v>
      </c>
      <c r="B149" s="120" t="e">
        <f ca="1">_xll.Orion.ExcelAPI.Miscellaneous.SFEBillDates(A149, Holidays)</f>
        <v>#NAME?</v>
      </c>
      <c r="C149" s="58">
        <f ca="1">_xll.HLV5r3.Analytics.Miscellaneous.LinearInterp(QZ_Nodes,B149-Calc_Date,1,2)</f>
        <v>4.9095581364560832E-2</v>
      </c>
      <c r="D149" s="59" t="e">
        <f ca="1">_xll.HLV5r3.Analytics.Miscellaneous.Zero2DF(C149,4,(B149-Calc_Date)/365)</f>
        <v>#NUM!</v>
      </c>
      <c r="E149" s="26" t="e">
        <f t="shared" ca="1" si="103"/>
        <v>#NAME?</v>
      </c>
      <c r="G149" s="125"/>
      <c r="H149" s="125"/>
    </row>
    <row r="150" spans="1:8">
      <c r="A150" s="4">
        <f t="shared" si="104"/>
        <v>41435</v>
      </c>
      <c r="B150" s="120" t="e">
        <f ca="1">_xll.Orion.ExcelAPI.Miscellaneous.SFEBillDates(A150, Holidays)</f>
        <v>#NAME?</v>
      </c>
      <c r="C150" s="58">
        <f ca="1">_xll.HLV5r3.Analytics.Miscellaneous.LinearInterp(QZ_Nodes,B150-Calc_Date,1,2)</f>
        <v>4.9095581364560832E-2</v>
      </c>
      <c r="D150" s="59" t="e">
        <f ca="1">_xll.HLV5r3.Analytics.Miscellaneous.Zero2DF(C150,4,(B150-Calc_Date)/365)</f>
        <v>#NUM!</v>
      </c>
      <c r="E150" s="26" t="e">
        <f t="shared" ca="1" si="103"/>
        <v>#NAME?</v>
      </c>
      <c r="F150" s="58" t="e">
        <f ca="1">(D$142-D150)/SUMPRODUCT(D$143:D150,E$143:E150)</f>
        <v>#NUM!</v>
      </c>
      <c r="G150" s="58" t="e">
        <f ca="1">F150-F56</f>
        <v>#NUM!</v>
      </c>
      <c r="H150" s="125"/>
    </row>
    <row r="151" spans="1:8">
      <c r="A151" s="1"/>
      <c r="B151" s="120"/>
      <c r="C151" s="58"/>
      <c r="D151" s="59"/>
      <c r="E151" s="26"/>
      <c r="F151" s="58"/>
      <c r="G151" s="58"/>
      <c r="H151" s="125"/>
    </row>
    <row r="152" spans="1:8">
      <c r="A152" s="1"/>
      <c r="B152" s="120"/>
      <c r="C152" s="58"/>
      <c r="D152" s="59"/>
      <c r="E152" s="26"/>
      <c r="F152" s="58"/>
      <c r="G152" s="125"/>
      <c r="H152" s="125"/>
    </row>
    <row r="153" spans="1:8">
      <c r="A153" s="1"/>
      <c r="B153" s="120"/>
      <c r="C153" s="58"/>
      <c r="D153" s="59"/>
      <c r="E153" s="26"/>
      <c r="F153" s="58"/>
      <c r="G153" s="125"/>
      <c r="H153" s="125"/>
    </row>
    <row r="154" spans="1:8">
      <c r="A154" s="1"/>
      <c r="B154" s="120"/>
      <c r="C154" s="58"/>
      <c r="D154" s="59"/>
      <c r="E154" s="26"/>
      <c r="F154" s="58"/>
      <c r="G154" s="125"/>
      <c r="H154" s="125"/>
    </row>
    <row r="155" spans="1:8">
      <c r="A155" s="1"/>
      <c r="B155" s="120"/>
      <c r="C155" s="58"/>
      <c r="D155" s="59"/>
      <c r="E155" s="26"/>
      <c r="F155" s="125"/>
      <c r="G155" s="125"/>
      <c r="H155" s="125"/>
    </row>
    <row r="156" spans="1:8">
      <c r="A156" s="1"/>
      <c r="B156" s="120"/>
      <c r="C156" s="58"/>
      <c r="D156" s="59"/>
      <c r="E156" s="26"/>
      <c r="F156" s="125"/>
      <c r="G156" s="125"/>
      <c r="H156" s="125"/>
    </row>
    <row r="157" spans="1:8">
      <c r="A157" s="1"/>
      <c r="B157" s="120"/>
      <c r="C157" s="58"/>
      <c r="D157" s="59"/>
      <c r="E157" s="26"/>
      <c r="F157" s="125"/>
      <c r="G157" s="125"/>
      <c r="H157" s="125"/>
    </row>
    <row r="158" spans="1:8">
      <c r="A158" s="1"/>
      <c r="B158" s="120"/>
      <c r="C158" s="58"/>
      <c r="D158" s="59"/>
      <c r="E158" s="26"/>
      <c r="F158" s="125"/>
      <c r="G158" s="125"/>
      <c r="H158" s="125"/>
    </row>
    <row r="159" spans="1:8">
      <c r="A159" s="1"/>
      <c r="B159" s="120"/>
      <c r="C159" s="58"/>
      <c r="D159" s="59"/>
      <c r="E159" s="26"/>
      <c r="F159" s="125"/>
      <c r="G159" s="125"/>
      <c r="H159" s="125"/>
    </row>
    <row r="160" spans="1:8">
      <c r="A160" s="1"/>
      <c r="B160" s="120"/>
      <c r="C160" s="58"/>
      <c r="D160" s="59"/>
      <c r="E160" s="26"/>
      <c r="F160" s="125"/>
      <c r="G160" s="125"/>
      <c r="H160" s="125"/>
    </row>
    <row r="161" spans="1:8">
      <c r="A161" s="1"/>
      <c r="B161" s="120"/>
      <c r="C161" s="58"/>
      <c r="D161" s="59"/>
      <c r="E161" s="26"/>
      <c r="F161" s="125"/>
      <c r="G161" s="125"/>
      <c r="H161" s="125"/>
    </row>
    <row r="162" spans="1:8">
      <c r="A162" s="1"/>
      <c r="B162" s="120"/>
      <c r="C162" s="58"/>
      <c r="D162" s="59"/>
      <c r="E162" s="26"/>
      <c r="F162" s="58"/>
      <c r="G162" s="125"/>
      <c r="H162" s="125"/>
    </row>
    <row r="163" spans="1:8">
      <c r="A163" s="1"/>
      <c r="B163" s="120"/>
      <c r="C163" s="58"/>
      <c r="D163" s="59"/>
      <c r="E163" s="26"/>
      <c r="F163" s="125"/>
      <c r="G163" s="125"/>
      <c r="H163" s="125"/>
    </row>
    <row r="164" spans="1:8">
      <c r="A164" s="1"/>
      <c r="B164" s="120"/>
      <c r="C164" s="58"/>
      <c r="D164" s="59"/>
      <c r="E164" s="26"/>
      <c r="F164" s="125"/>
      <c r="G164" s="125"/>
      <c r="H164" s="125"/>
    </row>
    <row r="165" spans="1:8">
      <c r="A165" s="1"/>
      <c r="B165" s="120"/>
      <c r="C165" s="58"/>
      <c r="D165" s="59"/>
      <c r="E165" s="26"/>
      <c r="F165" s="125"/>
      <c r="G165" s="125"/>
      <c r="H165" s="125"/>
    </row>
    <row r="166" spans="1:8">
      <c r="A166" s="1"/>
      <c r="B166" s="120"/>
      <c r="C166" s="58"/>
      <c r="D166" s="59"/>
      <c r="E166" s="26"/>
      <c r="F166" s="125"/>
      <c r="G166" s="125"/>
      <c r="H166" s="125"/>
    </row>
    <row r="167" spans="1:8">
      <c r="A167" s="1"/>
      <c r="B167" s="120"/>
      <c r="C167" s="58"/>
      <c r="D167" s="59"/>
      <c r="E167" s="26"/>
      <c r="F167" s="125"/>
      <c r="G167" s="125"/>
      <c r="H167" s="125"/>
    </row>
    <row r="168" spans="1:8">
      <c r="A168" s="1"/>
      <c r="B168" s="120"/>
      <c r="C168" s="58"/>
      <c r="D168" s="59"/>
      <c r="E168" s="26"/>
      <c r="F168" s="125"/>
      <c r="G168" s="125"/>
      <c r="H168" s="125"/>
    </row>
    <row r="169" spans="1:8">
      <c r="A169" s="1"/>
      <c r="B169" s="120"/>
      <c r="C169" s="58"/>
      <c r="D169" s="59"/>
      <c r="E169" s="26"/>
      <c r="F169" s="125"/>
      <c r="G169" s="125"/>
      <c r="H169" s="125"/>
    </row>
    <row r="170" spans="1:8">
      <c r="A170" s="1"/>
      <c r="B170" s="120"/>
      <c r="C170" s="58"/>
      <c r="D170" s="59"/>
      <c r="E170" s="26"/>
      <c r="F170" s="58"/>
      <c r="G170" s="125"/>
      <c r="H170" s="125"/>
    </row>
    <row r="171" spans="1:8">
      <c r="A171" s="1"/>
      <c r="B171" s="120"/>
      <c r="C171" s="58"/>
      <c r="D171" s="59"/>
      <c r="E171" s="26"/>
      <c r="F171" s="125"/>
      <c r="G171" s="125"/>
      <c r="H171" s="125"/>
    </row>
    <row r="172" spans="1:8">
      <c r="A172" s="1"/>
      <c r="B172" s="120"/>
      <c r="C172" s="58"/>
      <c r="D172" s="59"/>
      <c r="E172" s="26"/>
      <c r="F172" s="125"/>
      <c r="G172" s="125"/>
      <c r="H172" s="125"/>
    </row>
    <row r="173" spans="1:8">
      <c r="A173" s="1"/>
      <c r="B173" s="120"/>
      <c r="C173" s="58"/>
      <c r="D173" s="59"/>
      <c r="E173" s="26"/>
      <c r="F173" s="125"/>
      <c r="G173" s="125"/>
      <c r="H173" s="125"/>
    </row>
    <row r="174" spans="1:8">
      <c r="A174" s="1"/>
      <c r="B174" s="120"/>
      <c r="C174" s="58"/>
      <c r="D174" s="59"/>
      <c r="E174" s="26"/>
      <c r="F174" s="59"/>
      <c r="G174" s="125"/>
      <c r="H174" s="125"/>
    </row>
    <row r="175" spans="1:8">
      <c r="A175" s="1"/>
      <c r="B175" s="120"/>
      <c r="C175" s="58"/>
      <c r="D175" s="59"/>
      <c r="E175" s="26"/>
      <c r="F175" s="125"/>
      <c r="G175" s="125"/>
      <c r="H175" s="125"/>
    </row>
    <row r="176" spans="1:8">
      <c r="A176" s="1"/>
      <c r="B176" s="120"/>
      <c r="C176" s="58"/>
      <c r="D176" s="59"/>
      <c r="E176" s="26"/>
      <c r="F176" s="125"/>
      <c r="G176" s="125"/>
      <c r="H176" s="125"/>
    </row>
    <row r="177" spans="1:8">
      <c r="A177" s="1"/>
      <c r="B177" s="120"/>
      <c r="C177" s="58"/>
      <c r="D177" s="59"/>
      <c r="E177" s="26"/>
      <c r="F177" s="125"/>
      <c r="G177" s="125"/>
      <c r="H177" s="125"/>
    </row>
    <row r="178" spans="1:8">
      <c r="A178" s="1"/>
      <c r="B178" s="120"/>
      <c r="C178" s="58"/>
      <c r="D178" s="59"/>
      <c r="E178" s="26"/>
      <c r="F178" s="125"/>
      <c r="G178" s="125"/>
      <c r="H178" s="125"/>
    </row>
    <row r="179" spans="1:8">
      <c r="A179" s="1"/>
      <c r="B179" s="120"/>
      <c r="C179" s="58"/>
      <c r="D179" s="59"/>
      <c r="E179" s="26"/>
      <c r="F179" s="125"/>
      <c r="G179" s="125"/>
      <c r="H179" s="125"/>
    </row>
    <row r="180" spans="1:8">
      <c r="A180" s="1"/>
      <c r="B180" s="120"/>
      <c r="C180" s="58"/>
      <c r="D180" s="59"/>
      <c r="E180" s="26"/>
      <c r="F180" s="125"/>
      <c r="G180" s="125"/>
      <c r="H180" s="125"/>
    </row>
    <row r="181" spans="1:8">
      <c r="A181" s="1"/>
      <c r="B181" s="120"/>
      <c r="C181" s="58"/>
      <c r="D181" s="59"/>
      <c r="E181" s="26"/>
      <c r="F181" s="125"/>
      <c r="G181" s="125"/>
      <c r="H181" s="125"/>
    </row>
    <row r="182" spans="1:8">
      <c r="A182" s="1"/>
      <c r="B182" s="120"/>
      <c r="C182" s="58"/>
      <c r="D182" s="59"/>
      <c r="E182" s="26"/>
      <c r="F182" s="125"/>
      <c r="G182" s="125"/>
      <c r="H182" s="125"/>
    </row>
    <row r="183" spans="1:8">
      <c r="A183" s="1"/>
      <c r="B183" s="120"/>
      <c r="C183" s="58"/>
      <c r="D183" s="59"/>
      <c r="E183" s="26"/>
      <c r="F183" s="125"/>
      <c r="G183" s="125"/>
      <c r="H183" s="125"/>
    </row>
    <row r="184" spans="1:8">
      <c r="A184" s="1"/>
      <c r="B184" s="120"/>
      <c r="C184" s="58"/>
      <c r="D184" s="59"/>
      <c r="E184" s="26"/>
      <c r="F184" s="125"/>
      <c r="G184" s="125"/>
      <c r="H184" s="125"/>
    </row>
    <row r="185" spans="1:8">
      <c r="A185" s="1"/>
      <c r="B185" s="120"/>
      <c r="C185" s="58"/>
      <c r="D185" s="59"/>
      <c r="E185" s="26"/>
      <c r="F185" s="125"/>
      <c r="G185" s="125"/>
      <c r="H185" s="125"/>
    </row>
    <row r="186" spans="1:8">
      <c r="A186" s="1"/>
      <c r="B186" s="120"/>
      <c r="C186" s="58"/>
      <c r="D186" s="59"/>
      <c r="E186" s="26"/>
      <c r="F186" s="125"/>
      <c r="G186" s="125"/>
      <c r="H186" s="125"/>
    </row>
    <row r="187" spans="1:8">
      <c r="A187" s="1"/>
      <c r="B187" s="120"/>
      <c r="C187" s="58"/>
      <c r="D187" s="59"/>
      <c r="E187" s="26"/>
      <c r="F187" s="125"/>
      <c r="G187" s="125"/>
      <c r="H187" s="125"/>
    </row>
    <row r="188" spans="1:8">
      <c r="A188" s="1"/>
      <c r="B188" s="120"/>
      <c r="C188" s="58"/>
      <c r="D188" s="59"/>
      <c r="E188" s="26"/>
      <c r="F188" s="125"/>
      <c r="G188" s="125"/>
      <c r="H188" s="125"/>
    </row>
    <row r="189" spans="1:8">
      <c r="A189" s="1"/>
      <c r="B189" s="120"/>
      <c r="C189" s="58"/>
      <c r="D189" s="59"/>
      <c r="E189" s="26"/>
      <c r="F189" s="125"/>
      <c r="G189" s="125"/>
      <c r="H189" s="125"/>
    </row>
    <row r="190" spans="1:8">
      <c r="A190" s="1"/>
      <c r="B190" s="120"/>
      <c r="C190" s="58"/>
      <c r="D190" s="59"/>
      <c r="E190" s="26"/>
      <c r="F190" s="125"/>
      <c r="G190" s="125"/>
      <c r="H190" s="125"/>
    </row>
    <row r="191" spans="1:8">
      <c r="A191" s="1"/>
      <c r="B191" s="120"/>
      <c r="C191" s="58"/>
      <c r="D191" s="59"/>
      <c r="E191" s="26"/>
      <c r="F191" s="125"/>
      <c r="G191" s="125"/>
      <c r="H191" s="125"/>
    </row>
    <row r="192" spans="1:8">
      <c r="A192" s="1"/>
      <c r="B192" s="120"/>
      <c r="C192" s="58"/>
      <c r="D192" s="59"/>
      <c r="E192" s="26"/>
      <c r="F192" s="125"/>
      <c r="G192" s="125"/>
      <c r="H192" s="125"/>
    </row>
    <row r="193" spans="1:8">
      <c r="A193" s="1"/>
      <c r="B193" s="120"/>
      <c r="C193" s="58"/>
      <c r="D193" s="59"/>
      <c r="E193" s="26"/>
      <c r="F193" s="125"/>
      <c r="G193" s="125"/>
      <c r="H193" s="125"/>
    </row>
    <row r="194" spans="1:8">
      <c r="A194" s="1"/>
      <c r="B194" s="120"/>
      <c r="C194" s="58"/>
      <c r="D194" s="59"/>
      <c r="E194" s="26"/>
      <c r="F194" s="125"/>
      <c r="G194" s="125"/>
      <c r="H194" s="125"/>
    </row>
    <row r="195" spans="1:8">
      <c r="A195" s="1"/>
      <c r="B195" s="120"/>
      <c r="C195" s="58"/>
      <c r="D195" s="59"/>
      <c r="E195" s="26"/>
      <c r="F195" s="125"/>
      <c r="G195" s="125"/>
      <c r="H195" s="125"/>
    </row>
    <row r="196" spans="1:8">
      <c r="A196" s="1"/>
      <c r="B196" s="120"/>
      <c r="C196" s="58"/>
      <c r="D196" s="59"/>
      <c r="E196" s="26"/>
      <c r="F196" s="125"/>
      <c r="G196" s="125"/>
      <c r="H196" s="125"/>
    </row>
    <row r="197" spans="1:8">
      <c r="A197" s="1"/>
      <c r="B197" s="120"/>
      <c r="C197" s="58"/>
      <c r="D197" s="59"/>
      <c r="E197" s="26"/>
      <c r="F197" s="125"/>
      <c r="G197" s="125"/>
      <c r="H197" s="125"/>
    </row>
    <row r="198" spans="1:8">
      <c r="A198" s="1"/>
      <c r="B198" s="120"/>
      <c r="C198" s="58"/>
      <c r="D198" s="59"/>
      <c r="E198" s="26"/>
      <c r="F198" s="125"/>
      <c r="G198" s="125"/>
      <c r="H198" s="125"/>
    </row>
    <row r="199" spans="1:8">
      <c r="A199" s="1"/>
      <c r="B199" s="120"/>
      <c r="C199" s="58"/>
      <c r="D199" s="59"/>
      <c r="E199" s="26"/>
      <c r="F199" s="125"/>
      <c r="G199" s="125"/>
      <c r="H199" s="125"/>
    </row>
    <row r="200" spans="1:8">
      <c r="A200" s="1"/>
      <c r="B200" s="120"/>
      <c r="C200" s="58"/>
      <c r="D200" s="59"/>
      <c r="E200" s="26"/>
      <c r="F200" s="125"/>
      <c r="G200" s="125"/>
      <c r="H200" s="125"/>
    </row>
    <row r="201" spans="1:8">
      <c r="A201" s="1"/>
      <c r="B201" s="120"/>
      <c r="C201" s="58"/>
      <c r="D201" s="59"/>
      <c r="E201" s="26"/>
      <c r="F201" s="125"/>
      <c r="G201" s="125"/>
      <c r="H201" s="125"/>
    </row>
    <row r="202" spans="1:8">
      <c r="A202" s="1"/>
      <c r="B202" s="120"/>
      <c r="C202" s="58"/>
      <c r="D202" s="59"/>
      <c r="E202" s="26"/>
      <c r="F202" s="125"/>
      <c r="G202" s="125"/>
      <c r="H202" s="125"/>
    </row>
    <row r="203" spans="1:8">
      <c r="A203" s="1"/>
      <c r="B203" s="120"/>
      <c r="C203" s="58"/>
      <c r="D203" s="59"/>
      <c r="E203" s="26"/>
      <c r="F203" s="125"/>
      <c r="G203" s="125"/>
      <c r="H203" s="125"/>
    </row>
    <row r="204" spans="1:8">
      <c r="A204" s="1"/>
      <c r="B204" s="120"/>
      <c r="C204" s="58"/>
      <c r="D204" s="59"/>
      <c r="E204" s="26"/>
      <c r="F204" s="125"/>
      <c r="G204" s="125"/>
      <c r="H204" s="125"/>
    </row>
    <row r="205" spans="1:8">
      <c r="A205" s="1"/>
      <c r="B205" s="120"/>
      <c r="C205" s="58"/>
      <c r="D205" s="59"/>
      <c r="E205" s="26"/>
      <c r="F205" s="125"/>
      <c r="G205" s="125"/>
      <c r="H205" s="125"/>
    </row>
    <row r="206" spans="1:8">
      <c r="A206" s="1"/>
      <c r="B206" s="120"/>
      <c r="C206" s="58"/>
      <c r="D206" s="59"/>
      <c r="E206" s="26"/>
      <c r="F206" s="125"/>
      <c r="G206" s="125"/>
      <c r="H206" s="125"/>
    </row>
    <row r="207" spans="1:8">
      <c r="A207" s="1"/>
      <c r="B207" s="120"/>
      <c r="C207" s="58"/>
      <c r="D207" s="59"/>
      <c r="E207" s="26"/>
      <c r="F207" s="125"/>
      <c r="G207" s="125"/>
      <c r="H207" s="125"/>
    </row>
    <row r="208" spans="1:8">
      <c r="A208" s="1"/>
      <c r="B208" s="120"/>
      <c r="C208" s="58"/>
      <c r="D208" s="59"/>
      <c r="E208" s="26"/>
      <c r="F208" s="125"/>
      <c r="G208" s="125"/>
      <c r="H208" s="125"/>
    </row>
    <row r="209" spans="1:8">
      <c r="A209" s="1"/>
      <c r="B209" s="120"/>
      <c r="C209" s="58"/>
      <c r="D209" s="59"/>
      <c r="E209" s="26"/>
      <c r="F209" s="125"/>
      <c r="G209" s="125"/>
      <c r="H209" s="125"/>
    </row>
    <row r="210" spans="1:8">
      <c r="A210" s="1"/>
      <c r="B210" s="120"/>
      <c r="C210" s="58"/>
      <c r="D210" s="59"/>
      <c r="E210" s="26"/>
      <c r="F210" s="125"/>
      <c r="G210" s="125"/>
      <c r="H210" s="125"/>
    </row>
    <row r="211" spans="1:8">
      <c r="A211" s="1"/>
      <c r="B211" s="120"/>
      <c r="C211" s="58"/>
      <c r="D211" s="59"/>
      <c r="E211" s="26"/>
      <c r="F211" s="125"/>
      <c r="G211" s="125"/>
      <c r="H211" s="125"/>
    </row>
    <row r="212" spans="1:8">
      <c r="A212" s="1"/>
      <c r="B212" s="120"/>
      <c r="C212" s="58"/>
      <c r="D212" s="59"/>
      <c r="E212" s="26"/>
      <c r="F212" s="125"/>
      <c r="G212" s="125"/>
      <c r="H212" s="125"/>
    </row>
    <row r="213" spans="1:8">
      <c r="A213" s="1"/>
      <c r="B213" s="120"/>
      <c r="C213" s="58"/>
      <c r="D213" s="59"/>
      <c r="E213" s="26"/>
      <c r="F213" s="125"/>
      <c r="G213" s="125"/>
      <c r="H213" s="125"/>
    </row>
    <row r="214" spans="1:8">
      <c r="A214" s="1"/>
      <c r="B214" s="120"/>
      <c r="C214" s="58"/>
      <c r="D214" s="59"/>
      <c r="E214" s="26"/>
      <c r="F214" s="125"/>
      <c r="G214" s="125"/>
      <c r="H214" s="125"/>
    </row>
    <row r="215" spans="1:8">
      <c r="A215" s="1"/>
      <c r="B215" s="120"/>
      <c r="C215" s="58"/>
      <c r="D215" s="59"/>
      <c r="E215" s="26"/>
      <c r="F215" s="125"/>
      <c r="G215" s="125"/>
      <c r="H215" s="125"/>
    </row>
    <row r="216" spans="1:8">
      <c r="A216" s="1"/>
      <c r="B216" s="120"/>
      <c r="C216" s="58"/>
      <c r="D216" s="59"/>
      <c r="E216" s="26"/>
      <c r="F216" s="125"/>
      <c r="G216" s="125"/>
      <c r="H216" s="125"/>
    </row>
    <row r="217" spans="1:8">
      <c r="A217" s="1"/>
      <c r="B217" s="120"/>
      <c r="C217" s="58"/>
      <c r="D217" s="59"/>
      <c r="E217" s="26"/>
      <c r="F217" s="125"/>
      <c r="G217" s="125"/>
      <c r="H217" s="125"/>
    </row>
    <row r="218" spans="1:8">
      <c r="A218" s="1"/>
      <c r="B218" s="120"/>
      <c r="C218" s="58"/>
      <c r="D218" s="59"/>
      <c r="E218" s="26"/>
      <c r="F218" s="125"/>
      <c r="G218" s="125"/>
      <c r="H218" s="125"/>
    </row>
    <row r="219" spans="1:8">
      <c r="A219" s="1"/>
      <c r="B219" s="120"/>
      <c r="C219" s="58"/>
      <c r="D219" s="59"/>
      <c r="E219" s="26"/>
      <c r="F219" s="125"/>
      <c r="G219" s="125"/>
      <c r="H219" s="125"/>
    </row>
    <row r="220" spans="1:8">
      <c r="A220" s="1"/>
      <c r="B220" s="120"/>
      <c r="C220" s="58"/>
      <c r="D220" s="59"/>
      <c r="E220" s="26"/>
      <c r="F220" s="125"/>
      <c r="G220" s="125"/>
      <c r="H220" s="125"/>
    </row>
    <row r="221" spans="1:8">
      <c r="A221" s="1"/>
      <c r="B221" s="120"/>
      <c r="C221" s="58"/>
      <c r="D221" s="59"/>
      <c r="E221" s="26"/>
      <c r="F221" s="125"/>
      <c r="G221" s="125"/>
      <c r="H221" s="125"/>
    </row>
    <row r="222" spans="1:8">
      <c r="A222" s="1"/>
      <c r="B222" s="120"/>
      <c r="C222" s="58"/>
      <c r="D222" s="59"/>
      <c r="E222" s="26"/>
      <c r="F222" s="125"/>
      <c r="G222" s="125"/>
      <c r="H222" s="125"/>
    </row>
    <row r="223" spans="1:8">
      <c r="A223" s="1"/>
      <c r="B223" s="120"/>
      <c r="C223" s="58"/>
      <c r="D223" s="59"/>
      <c r="E223" s="26"/>
      <c r="F223" s="125"/>
      <c r="G223" s="125"/>
      <c r="H223" s="125"/>
    </row>
    <row r="224" spans="1:8">
      <c r="A224" s="1"/>
      <c r="B224" s="120"/>
      <c r="C224" s="58"/>
      <c r="D224" s="59"/>
      <c r="E224" s="26"/>
      <c r="F224" s="125"/>
      <c r="G224" s="125"/>
      <c r="H224" s="125"/>
    </row>
    <row r="225" spans="1:8">
      <c r="A225" s="1"/>
      <c r="B225" s="120"/>
      <c r="C225" s="58"/>
      <c r="D225" s="59"/>
      <c r="E225" s="26"/>
      <c r="F225" s="125"/>
      <c r="G225" s="125"/>
      <c r="H225" s="125"/>
    </row>
    <row r="226" spans="1:8">
      <c r="A226" s="1"/>
      <c r="B226" s="120"/>
      <c r="C226" s="58"/>
      <c r="D226" s="59"/>
      <c r="E226" s="26"/>
      <c r="F226" s="125"/>
      <c r="G226" s="125"/>
      <c r="H226" s="125"/>
    </row>
    <row r="227" spans="1:8">
      <c r="A227" s="1"/>
      <c r="B227" s="120"/>
      <c r="C227" s="58"/>
      <c r="D227" s="59"/>
      <c r="E227" s="26"/>
      <c r="F227" s="125"/>
      <c r="G227" s="125"/>
      <c r="H227" s="125"/>
    </row>
    <row r="228" spans="1:8">
      <c r="A228" s="1"/>
      <c r="B228" s="120"/>
      <c r="C228" s="58"/>
      <c r="D228" s="59"/>
      <c r="E228" s="26"/>
      <c r="F228" s="125"/>
      <c r="G228" s="125"/>
      <c r="H228" s="125"/>
    </row>
    <row r="229" spans="1:8">
      <c r="A229" s="1"/>
      <c r="B229" s="120"/>
      <c r="C229" s="58"/>
      <c r="D229" s="59"/>
      <c r="E229" s="26"/>
      <c r="F229" s="125"/>
      <c r="G229" s="125"/>
      <c r="H229" s="125"/>
    </row>
    <row r="230" spans="1:8">
      <c r="A230" s="1"/>
      <c r="B230" s="120"/>
      <c r="C230" s="58"/>
      <c r="D230" s="59"/>
      <c r="E230" s="26"/>
      <c r="F230" s="125"/>
      <c r="G230" s="125"/>
      <c r="H230" s="125"/>
    </row>
    <row r="231" spans="1:8">
      <c r="A231" s="1"/>
      <c r="B231" s="120"/>
      <c r="C231" s="58"/>
      <c r="D231" s="59"/>
      <c r="E231" s="26"/>
      <c r="F231" s="125"/>
      <c r="G231" s="125"/>
      <c r="H231" s="125"/>
    </row>
    <row r="232" spans="1:8">
      <c r="A232" s="1"/>
      <c r="B232" s="120"/>
      <c r="C232" s="58"/>
      <c r="D232" s="59"/>
      <c r="E232" s="26"/>
      <c r="F232" s="125"/>
      <c r="G232" s="125"/>
      <c r="H232" s="125"/>
    </row>
    <row r="233" spans="1:8">
      <c r="A233" s="1"/>
      <c r="B233" s="120"/>
      <c r="C233" s="58"/>
      <c r="D233" s="59"/>
      <c r="E233" s="26"/>
      <c r="F233" s="125"/>
      <c r="G233" s="125"/>
      <c r="H233" s="125"/>
    </row>
    <row r="234" spans="1:8">
      <c r="A234" s="1"/>
      <c r="B234" s="120"/>
      <c r="C234" s="58"/>
      <c r="D234" s="59"/>
      <c r="E234" s="26"/>
      <c r="F234" s="125"/>
      <c r="G234" s="125"/>
      <c r="H234" s="125"/>
    </row>
    <row r="235" spans="1:8">
      <c r="A235" s="1"/>
      <c r="B235" s="120"/>
      <c r="C235" s="58"/>
      <c r="D235" s="59"/>
      <c r="E235" s="26"/>
      <c r="F235" s="125"/>
      <c r="G235" s="125"/>
      <c r="H235" s="125"/>
    </row>
    <row r="236" spans="1:8">
      <c r="A236" s="1"/>
      <c r="B236" s="120"/>
      <c r="C236" s="58"/>
      <c r="D236" s="59"/>
      <c r="E236" s="26"/>
      <c r="F236" s="125"/>
      <c r="G236" s="125"/>
      <c r="H236" s="125"/>
    </row>
    <row r="237" spans="1:8">
      <c r="A237" s="1"/>
      <c r="B237" s="120"/>
      <c r="C237" s="58"/>
      <c r="D237" s="59"/>
      <c r="E237" s="26"/>
      <c r="F237" s="125"/>
      <c r="G237" s="125"/>
      <c r="H237" s="125"/>
    </row>
    <row r="238" spans="1:8">
      <c r="A238" s="1"/>
      <c r="B238" s="120"/>
      <c r="C238" s="58"/>
      <c r="D238" s="59"/>
      <c r="E238" s="26"/>
      <c r="F238" s="125"/>
      <c r="G238" s="125"/>
      <c r="H238" s="125"/>
    </row>
    <row r="239" spans="1:8">
      <c r="A239" s="1"/>
      <c r="B239" s="120"/>
      <c r="C239" s="58"/>
      <c r="D239" s="59"/>
      <c r="E239" s="26"/>
      <c r="F239" s="125"/>
      <c r="G239" s="125"/>
      <c r="H239" s="125"/>
    </row>
    <row r="240" spans="1:8">
      <c r="A240" s="1"/>
      <c r="B240" s="120"/>
      <c r="C240" s="58"/>
      <c r="D240" s="59"/>
      <c r="E240" s="26"/>
      <c r="F240" s="125"/>
      <c r="G240" s="125"/>
      <c r="H240" s="125"/>
    </row>
    <row r="241" spans="1:8">
      <c r="A241" s="1"/>
      <c r="B241" s="120"/>
      <c r="C241" s="58"/>
      <c r="D241" s="59"/>
      <c r="E241" s="26"/>
      <c r="F241" s="125"/>
      <c r="G241" s="125"/>
      <c r="H241" s="125"/>
    </row>
    <row r="242" spans="1:8">
      <c r="A242" s="1"/>
      <c r="B242" s="120"/>
      <c r="C242" s="58"/>
      <c r="D242" s="59"/>
      <c r="E242" s="26"/>
      <c r="F242" s="125"/>
      <c r="G242" s="125"/>
      <c r="H242" s="125"/>
    </row>
    <row r="243" spans="1:8">
      <c r="A243" s="1"/>
      <c r="B243" s="120"/>
      <c r="C243" s="58"/>
      <c r="D243" s="59"/>
      <c r="E243" s="26"/>
      <c r="F243" s="125"/>
      <c r="G243" s="125"/>
      <c r="H243" s="125"/>
    </row>
    <row r="244" spans="1:8">
      <c r="A244" s="1"/>
      <c r="B244" s="120"/>
      <c r="C244" s="58"/>
      <c r="D244" s="59"/>
      <c r="E244" s="26"/>
      <c r="F244" s="125"/>
      <c r="G244" s="125"/>
      <c r="H244" s="125"/>
    </row>
    <row r="245" spans="1:8">
      <c r="A245" s="1"/>
      <c r="B245" s="120"/>
      <c r="C245" s="58"/>
      <c r="D245" s="59"/>
      <c r="E245" s="26"/>
      <c r="F245" s="125"/>
      <c r="G245" s="125"/>
      <c r="H245" s="125"/>
    </row>
    <row r="246" spans="1:8">
      <c r="A246" s="1"/>
      <c r="B246" s="120"/>
      <c r="C246" s="58"/>
      <c r="D246" s="59"/>
      <c r="E246" s="26"/>
      <c r="F246" s="125"/>
      <c r="G246" s="125"/>
      <c r="H246" s="125"/>
    </row>
    <row r="247" spans="1:8">
      <c r="A247" s="1"/>
      <c r="B247" s="120"/>
      <c r="C247" s="58"/>
      <c r="D247" s="59"/>
      <c r="E247" s="26"/>
      <c r="F247" s="125"/>
      <c r="G247" s="125"/>
      <c r="H247" s="125"/>
    </row>
    <row r="248" spans="1:8">
      <c r="A248" s="1"/>
      <c r="B248" s="120"/>
      <c r="C248" s="58"/>
      <c r="D248" s="59"/>
      <c r="E248" s="26"/>
      <c r="F248" s="125"/>
      <c r="G248" s="125"/>
      <c r="H248" s="125"/>
    </row>
    <row r="249" spans="1:8">
      <c r="A249" s="1"/>
      <c r="B249" s="120"/>
      <c r="C249" s="58"/>
      <c r="D249" s="59"/>
      <c r="E249" s="26"/>
      <c r="F249" s="125"/>
      <c r="G249" s="125"/>
      <c r="H249" s="125"/>
    </row>
    <row r="250" spans="1:8">
      <c r="A250" s="1"/>
      <c r="B250" s="120"/>
      <c r="C250" s="58"/>
      <c r="D250" s="59"/>
      <c r="E250" s="26"/>
      <c r="F250" s="125"/>
      <c r="G250" s="125"/>
      <c r="H250" s="125"/>
    </row>
    <row r="251" spans="1:8">
      <c r="A251" s="1"/>
      <c r="B251" s="120"/>
      <c r="C251" s="58"/>
      <c r="D251" s="59"/>
      <c r="E251" s="26"/>
      <c r="F251" s="125"/>
      <c r="G251" s="125"/>
      <c r="H251" s="125"/>
    </row>
    <row r="252" spans="1:8">
      <c r="A252" s="1"/>
      <c r="B252" s="120"/>
      <c r="C252" s="58"/>
      <c r="D252" s="59"/>
      <c r="E252" s="26"/>
      <c r="F252" s="125"/>
      <c r="G252" s="125"/>
      <c r="H252" s="125"/>
    </row>
    <row r="253" spans="1:8">
      <c r="A253" s="1"/>
      <c r="B253" s="120"/>
      <c r="C253" s="58"/>
      <c r="D253" s="59"/>
      <c r="E253" s="26"/>
      <c r="F253" s="125"/>
      <c r="G253" s="125"/>
      <c r="H253" s="125"/>
    </row>
    <row r="254" spans="1:8">
      <c r="A254" s="1"/>
      <c r="B254" s="120"/>
      <c r="C254" s="58"/>
      <c r="D254" s="59"/>
      <c r="E254" s="26"/>
      <c r="F254" s="125"/>
      <c r="G254" s="125"/>
      <c r="H254" s="125"/>
    </row>
    <row r="255" spans="1:8">
      <c r="A255" s="1"/>
      <c r="B255" s="120"/>
      <c r="C255" s="58"/>
      <c r="D255" s="59"/>
      <c r="E255" s="26"/>
      <c r="F255" s="125"/>
      <c r="G255" s="125"/>
      <c r="H255" s="125"/>
    </row>
    <row r="256" spans="1:8">
      <c r="A256" s="1"/>
      <c r="B256" s="120"/>
      <c r="C256" s="58"/>
      <c r="D256" s="59"/>
      <c r="E256" s="26"/>
      <c r="F256" s="125"/>
      <c r="G256" s="125"/>
      <c r="H256" s="125"/>
    </row>
    <row r="257" spans="1:8">
      <c r="A257" s="1"/>
      <c r="B257" s="120"/>
      <c r="C257" s="58"/>
      <c r="D257" s="59"/>
      <c r="E257" s="26"/>
      <c r="F257" s="125"/>
      <c r="G257" s="125"/>
      <c r="H257" s="125"/>
    </row>
    <row r="258" spans="1:8">
      <c r="A258" s="1"/>
      <c r="B258" s="120"/>
      <c r="C258" s="58"/>
      <c r="D258" s="59"/>
      <c r="E258" s="26"/>
      <c r="F258" s="125"/>
      <c r="G258" s="125"/>
      <c r="H258" s="125"/>
    </row>
    <row r="259" spans="1:8">
      <c r="A259" s="1"/>
      <c r="B259" s="120"/>
      <c r="C259" s="58"/>
      <c r="D259" s="59"/>
      <c r="E259" s="26"/>
      <c r="F259" s="125"/>
      <c r="G259" s="125"/>
      <c r="H259" s="125"/>
    </row>
    <row r="260" spans="1:8">
      <c r="A260" s="1"/>
      <c r="B260" s="120"/>
      <c r="C260" s="58"/>
      <c r="D260" s="59"/>
      <c r="E260" s="26"/>
      <c r="F260" s="125"/>
      <c r="G260" s="125"/>
      <c r="H260" s="125"/>
    </row>
    <row r="261" spans="1:8">
      <c r="A261" s="1"/>
      <c r="B261" s="120"/>
      <c r="C261" s="58"/>
      <c r="D261" s="59"/>
      <c r="E261" s="26"/>
      <c r="F261" s="125"/>
      <c r="G261" s="125"/>
      <c r="H261" s="125"/>
    </row>
    <row r="262" spans="1:8">
      <c r="A262" s="1"/>
      <c r="B262" s="120"/>
      <c r="C262" s="58"/>
      <c r="D262" s="59"/>
      <c r="E262" s="26"/>
      <c r="F262" s="125"/>
      <c r="G262" s="125"/>
      <c r="H262" s="125"/>
    </row>
    <row r="263" spans="1:8">
      <c r="A263" s="1"/>
      <c r="B263" s="120"/>
      <c r="C263" s="58"/>
      <c r="D263" s="59"/>
      <c r="E263" s="26"/>
      <c r="F263" s="125"/>
      <c r="G263" s="125"/>
      <c r="H263" s="125"/>
    </row>
    <row r="264" spans="1:8">
      <c r="A264" s="1"/>
      <c r="B264" s="120"/>
      <c r="C264" s="58"/>
      <c r="D264" s="59"/>
      <c r="E264" s="26"/>
    </row>
    <row r="265" spans="1:8">
      <c r="A265" s="1"/>
      <c r="B265" s="120"/>
      <c r="C265" s="58"/>
      <c r="D265" s="59"/>
      <c r="E265" s="26"/>
    </row>
    <row r="266" spans="1:8">
      <c r="A266" s="1"/>
      <c r="B266" s="120"/>
      <c r="C266" s="58"/>
      <c r="D266" s="59"/>
      <c r="E266" s="26"/>
    </row>
    <row r="267" spans="1:8">
      <c r="A267" s="1"/>
      <c r="B267" s="120"/>
      <c r="C267" s="58"/>
      <c r="D267" s="59"/>
      <c r="E267" s="26"/>
    </row>
    <row r="268" spans="1:8">
      <c r="A268" s="1"/>
      <c r="B268" s="120"/>
      <c r="C268" s="58"/>
      <c r="D268" s="59"/>
      <c r="E268" s="26"/>
    </row>
    <row r="269" spans="1:8">
      <c r="A269" s="1"/>
      <c r="B269" s="120"/>
      <c r="C269" s="58"/>
      <c r="D269" s="59"/>
      <c r="E269" s="26"/>
    </row>
    <row r="270" spans="1:8">
      <c r="A270" s="1"/>
      <c r="B270" s="120"/>
      <c r="C270" s="58"/>
      <c r="D270" s="59"/>
      <c r="E270" s="26"/>
    </row>
    <row r="271" spans="1:8">
      <c r="A271" s="1"/>
      <c r="B271" s="120"/>
      <c r="C271" s="58"/>
      <c r="D271" s="59"/>
      <c r="E271" s="26"/>
    </row>
    <row r="272" spans="1:8">
      <c r="A272" s="1"/>
      <c r="B272" s="120"/>
      <c r="C272" s="58"/>
      <c r="D272" s="59"/>
      <c r="E272" s="26"/>
    </row>
    <row r="273" spans="1:5">
      <c r="A273" s="1"/>
      <c r="B273" s="120"/>
      <c r="C273" s="58"/>
      <c r="D273" s="59"/>
      <c r="E273" s="26"/>
    </row>
    <row r="274" spans="1:5">
      <c r="A274" s="1"/>
      <c r="B274" s="120"/>
      <c r="C274" s="58"/>
      <c r="D274" s="59"/>
      <c r="E274" s="26"/>
    </row>
    <row r="275" spans="1:5">
      <c r="A275" s="1"/>
      <c r="B275" s="120"/>
      <c r="C275" s="58"/>
      <c r="D275" s="59"/>
      <c r="E275" s="26"/>
    </row>
    <row r="276" spans="1:5">
      <c r="A276" s="1"/>
      <c r="B276" s="120"/>
      <c r="C276" s="58"/>
      <c r="D276" s="59"/>
      <c r="E276" s="26"/>
    </row>
    <row r="277" spans="1:5">
      <c r="A277" s="1"/>
      <c r="B277" s="120"/>
      <c r="C277" s="58"/>
      <c r="D277" s="59"/>
      <c r="E277" s="26"/>
    </row>
    <row r="278" spans="1:5">
      <c r="A278" s="1"/>
      <c r="B278" s="120"/>
      <c r="C278" s="58"/>
      <c r="D278" s="59"/>
      <c r="E278" s="26"/>
    </row>
    <row r="279" spans="1:5">
      <c r="A279" s="1"/>
      <c r="B279" s="120"/>
      <c r="C279" s="58"/>
      <c r="D279" s="59"/>
      <c r="E279" s="26"/>
    </row>
    <row r="280" spans="1:5">
      <c r="A280" s="1"/>
      <c r="B280" s="120"/>
      <c r="C280" s="58"/>
      <c r="D280" s="59"/>
      <c r="E280" s="26"/>
    </row>
    <row r="281" spans="1:5">
      <c r="A281" s="1"/>
      <c r="B281" s="120"/>
      <c r="C281" s="58"/>
      <c r="D281" s="59"/>
      <c r="E281" s="26"/>
    </row>
    <row r="282" spans="1:5">
      <c r="A282" s="1"/>
      <c r="B282" s="120"/>
      <c r="C282" s="58"/>
      <c r="D282" s="59"/>
      <c r="E282" s="26"/>
    </row>
    <row r="283" spans="1:5">
      <c r="A283" s="1"/>
      <c r="B283" s="120"/>
      <c r="C283" s="58"/>
      <c r="D283" s="59"/>
      <c r="E283" s="26"/>
    </row>
    <row r="284" spans="1:5">
      <c r="A284" s="1"/>
      <c r="B284" s="120"/>
      <c r="C284" s="58"/>
      <c r="D284" s="59"/>
      <c r="E284" s="26"/>
    </row>
    <row r="285" spans="1:5">
      <c r="A285" s="1"/>
      <c r="B285" s="120"/>
      <c r="C285" s="58"/>
      <c r="D285" s="59"/>
      <c r="E285" s="26"/>
    </row>
    <row r="286" spans="1:5">
      <c r="A286" s="1"/>
      <c r="B286" s="120"/>
      <c r="C286" s="58"/>
      <c r="D286" s="59"/>
      <c r="E286" s="26"/>
    </row>
    <row r="287" spans="1:5">
      <c r="A287" s="1"/>
      <c r="B287" s="120"/>
      <c r="C287" s="58"/>
      <c r="D287" s="59"/>
      <c r="E287" s="26"/>
    </row>
    <row r="288" spans="1:5">
      <c r="A288" s="1"/>
      <c r="B288" s="120"/>
      <c r="C288" s="58"/>
      <c r="D288" s="59"/>
      <c r="E288" s="26"/>
    </row>
    <row r="289" spans="1:5">
      <c r="A289" s="1"/>
      <c r="B289" s="120"/>
      <c r="C289" s="58"/>
      <c r="D289" s="59"/>
      <c r="E289" s="26"/>
    </row>
    <row r="290" spans="1:5">
      <c r="A290" s="1"/>
      <c r="B290" s="120"/>
      <c r="C290" s="58"/>
      <c r="D290" s="59"/>
      <c r="E290" s="26"/>
    </row>
    <row r="291" spans="1:5">
      <c r="A291" s="1"/>
      <c r="B291" s="120"/>
      <c r="C291" s="58"/>
      <c r="D291" s="59"/>
      <c r="E291" s="26"/>
    </row>
    <row r="292" spans="1:5">
      <c r="A292" s="1"/>
      <c r="B292" s="120"/>
      <c r="C292" s="58"/>
      <c r="D292" s="59"/>
      <c r="E292" s="26"/>
    </row>
    <row r="293" spans="1:5">
      <c r="A293" s="1"/>
      <c r="B293" s="120"/>
      <c r="C293" s="58"/>
      <c r="D293" s="59"/>
      <c r="E293" s="26"/>
    </row>
    <row r="294" spans="1:5">
      <c r="A294" s="1"/>
      <c r="B294" s="120"/>
      <c r="C294" s="58"/>
      <c r="D294" s="59"/>
      <c r="E294" s="26"/>
    </row>
    <row r="295" spans="1:5">
      <c r="A295" s="1"/>
      <c r="B295" s="120"/>
      <c r="C295" s="58"/>
      <c r="D295" s="59"/>
      <c r="E295" s="26"/>
    </row>
    <row r="296" spans="1:5">
      <c r="A296" s="1"/>
      <c r="B296" s="120"/>
      <c r="C296" s="58"/>
      <c r="D296" s="59"/>
      <c r="E296" s="26"/>
    </row>
    <row r="297" spans="1:5">
      <c r="A297" s="1"/>
      <c r="B297" s="120"/>
      <c r="C297" s="58"/>
      <c r="D297" s="59"/>
      <c r="E297" s="26"/>
    </row>
    <row r="298" spans="1:5">
      <c r="A298" s="1"/>
      <c r="B298" s="120"/>
      <c r="C298" s="58"/>
      <c r="D298" s="59"/>
      <c r="E298" s="26"/>
    </row>
    <row r="299" spans="1:5">
      <c r="A299" s="1"/>
      <c r="B299" s="120"/>
      <c r="C299" s="58"/>
      <c r="D299" s="59"/>
      <c r="E299" s="26"/>
    </row>
    <row r="300" spans="1:5">
      <c r="A300" s="1"/>
      <c r="B300" s="120"/>
      <c r="C300" s="58"/>
      <c r="D300" s="59"/>
      <c r="E300" s="26"/>
    </row>
    <row r="301" spans="1:5">
      <c r="A301" s="1"/>
      <c r="B301" s="120"/>
      <c r="C301" s="58"/>
      <c r="D301" s="59"/>
      <c r="E301" s="26"/>
    </row>
    <row r="302" spans="1:5">
      <c r="A302" s="1"/>
      <c r="B302" s="120"/>
      <c r="C302" s="58"/>
      <c r="D302" s="59"/>
      <c r="E302" s="26"/>
    </row>
    <row r="303" spans="1:5">
      <c r="A303" s="1"/>
      <c r="B303" s="120"/>
      <c r="C303" s="58"/>
      <c r="D303" s="59"/>
      <c r="E303" s="26"/>
    </row>
    <row r="304" spans="1:5">
      <c r="A304" s="1"/>
      <c r="B304" s="120"/>
      <c r="C304" s="58"/>
      <c r="D304" s="59"/>
      <c r="E304" s="26"/>
    </row>
    <row r="305" spans="1:5">
      <c r="A305" s="1"/>
      <c r="B305" s="120"/>
      <c r="C305" s="58"/>
      <c r="D305" s="59"/>
      <c r="E305" s="26"/>
    </row>
    <row r="306" spans="1:5">
      <c r="A306" s="1"/>
      <c r="B306" s="120"/>
      <c r="C306" s="58"/>
      <c r="D306" s="59"/>
      <c r="E306" s="26"/>
    </row>
    <row r="307" spans="1:5">
      <c r="A307" s="1"/>
      <c r="B307" s="120"/>
      <c r="C307" s="58"/>
      <c r="D307" s="59"/>
      <c r="E307" s="26"/>
    </row>
    <row r="308" spans="1:5">
      <c r="A308" s="1"/>
      <c r="B308" s="120"/>
      <c r="C308" s="58"/>
      <c r="D308" s="59"/>
      <c r="E308" s="26"/>
    </row>
    <row r="309" spans="1:5">
      <c r="A309" s="1"/>
      <c r="B309" s="120"/>
      <c r="C309" s="58"/>
      <c r="D309" s="59"/>
      <c r="E309" s="26"/>
    </row>
    <row r="310" spans="1:5">
      <c r="A310" s="1"/>
      <c r="B310" s="120"/>
      <c r="C310" s="58"/>
      <c r="D310" s="59"/>
      <c r="E310" s="26"/>
    </row>
    <row r="311" spans="1:5">
      <c r="A311" s="1"/>
      <c r="B311" s="120"/>
      <c r="C311" s="58"/>
      <c r="D311" s="59"/>
      <c r="E311" s="26"/>
    </row>
    <row r="312" spans="1:5">
      <c r="A312" s="1"/>
      <c r="B312" s="120"/>
      <c r="C312" s="58"/>
      <c r="D312" s="59"/>
      <c r="E312" s="26"/>
    </row>
    <row r="313" spans="1:5">
      <c r="A313" s="1"/>
      <c r="B313" s="120"/>
      <c r="C313" s="58"/>
      <c r="D313" s="59"/>
      <c r="E313" s="26"/>
    </row>
    <row r="314" spans="1:5">
      <c r="A314" s="1"/>
      <c r="B314" s="120"/>
      <c r="C314" s="58"/>
      <c r="D314" s="59"/>
      <c r="E314" s="26"/>
    </row>
    <row r="315" spans="1:5">
      <c r="A315" s="1"/>
      <c r="B315" s="120"/>
      <c r="C315" s="58"/>
      <c r="D315" s="59"/>
      <c r="E315" s="26"/>
    </row>
    <row r="316" spans="1:5">
      <c r="A316" s="1"/>
      <c r="B316" s="120"/>
      <c r="C316" s="58"/>
      <c r="D316" s="59"/>
      <c r="E316" s="26"/>
    </row>
    <row r="317" spans="1:5">
      <c r="A317" s="1"/>
      <c r="B317" s="120"/>
      <c r="C317" s="58"/>
      <c r="D317" s="59"/>
      <c r="E317" s="26"/>
    </row>
    <row r="318" spans="1:5">
      <c r="A318" s="1"/>
      <c r="B318" s="120"/>
      <c r="C318" s="58"/>
      <c r="D318" s="59"/>
      <c r="E318" s="26"/>
    </row>
    <row r="319" spans="1:5">
      <c r="A319" s="1"/>
      <c r="B319" s="120"/>
      <c r="C319" s="58"/>
      <c r="D319" s="59"/>
      <c r="E319" s="26"/>
    </row>
    <row r="320" spans="1:5">
      <c r="A320" s="1"/>
      <c r="B320" s="120"/>
      <c r="C320" s="58"/>
      <c r="D320" s="59"/>
      <c r="E320" s="26"/>
    </row>
    <row r="321" spans="1:5">
      <c r="A321" s="1"/>
      <c r="B321" s="120"/>
      <c r="C321" s="58"/>
      <c r="D321" s="59"/>
      <c r="E321" s="26"/>
    </row>
    <row r="322" spans="1:5">
      <c r="A322" s="1"/>
      <c r="B322" s="120"/>
      <c r="C322" s="58"/>
      <c r="D322" s="59"/>
      <c r="E322" s="26"/>
    </row>
    <row r="323" spans="1:5">
      <c r="A323" s="1"/>
      <c r="B323" s="120"/>
      <c r="C323" s="58"/>
      <c r="D323" s="59"/>
      <c r="E323" s="26"/>
    </row>
    <row r="324" spans="1:5">
      <c r="A324" s="1"/>
      <c r="B324" s="120"/>
      <c r="C324" s="58"/>
      <c r="D324" s="59"/>
      <c r="E324" s="26"/>
    </row>
    <row r="325" spans="1:5">
      <c r="A325" s="1"/>
      <c r="B325" s="120"/>
      <c r="C325" s="58"/>
      <c r="D325" s="59"/>
      <c r="E325" s="26"/>
    </row>
    <row r="326" spans="1:5">
      <c r="A326" s="1"/>
      <c r="B326" s="120"/>
      <c r="C326" s="58"/>
      <c r="D326" s="59"/>
      <c r="E326" s="26"/>
    </row>
    <row r="327" spans="1:5">
      <c r="A327" s="1"/>
      <c r="B327" s="120"/>
      <c r="C327" s="58"/>
      <c r="D327" s="59"/>
      <c r="E327" s="26"/>
    </row>
    <row r="328" spans="1:5">
      <c r="A328" s="1"/>
      <c r="B328" s="120"/>
      <c r="C328" s="58"/>
      <c r="D328" s="59"/>
      <c r="E328" s="26"/>
    </row>
    <row r="329" spans="1:5">
      <c r="A329" s="1"/>
      <c r="B329" s="120"/>
      <c r="C329" s="58"/>
      <c r="D329" s="59"/>
      <c r="E329" s="26"/>
    </row>
    <row r="330" spans="1:5">
      <c r="A330" s="1"/>
      <c r="B330" s="120"/>
      <c r="C330" s="58"/>
      <c r="D330" s="59"/>
      <c r="E330" s="26"/>
    </row>
    <row r="331" spans="1:5">
      <c r="A331" s="1"/>
      <c r="B331" s="120"/>
      <c r="C331" s="58"/>
      <c r="D331" s="59"/>
      <c r="E331" s="26"/>
    </row>
    <row r="332" spans="1:5">
      <c r="A332" s="1"/>
      <c r="B332" s="120"/>
      <c r="C332" s="58"/>
      <c r="D332" s="59"/>
      <c r="E332" s="26"/>
    </row>
    <row r="333" spans="1:5">
      <c r="A333" s="1"/>
      <c r="B333" s="120"/>
      <c r="C333" s="58"/>
      <c r="D333" s="59"/>
      <c r="E333" s="26"/>
    </row>
    <row r="334" spans="1:5">
      <c r="A334" s="1"/>
      <c r="B334" s="120"/>
      <c r="C334" s="58"/>
      <c r="D334" s="59"/>
      <c r="E334" s="26"/>
    </row>
    <row r="335" spans="1:5">
      <c r="A335" s="1"/>
      <c r="B335" s="120"/>
      <c r="C335" s="58"/>
      <c r="D335" s="59"/>
      <c r="E335" s="26"/>
    </row>
    <row r="336" spans="1:5">
      <c r="A336" s="1"/>
      <c r="B336" s="120"/>
      <c r="C336" s="58"/>
      <c r="D336" s="59"/>
      <c r="E336" s="26"/>
    </row>
    <row r="337" spans="1:5">
      <c r="A337" s="1"/>
      <c r="B337" s="120"/>
      <c r="C337" s="58"/>
      <c r="D337" s="59"/>
      <c r="E337" s="26"/>
    </row>
    <row r="338" spans="1:5">
      <c r="A338" s="1"/>
      <c r="B338" s="120"/>
      <c r="C338" s="58"/>
      <c r="D338" s="59"/>
      <c r="E338" s="26"/>
    </row>
    <row r="339" spans="1:5">
      <c r="A339" s="1"/>
      <c r="B339" s="120"/>
      <c r="C339" s="58"/>
      <c r="D339" s="59"/>
      <c r="E339" s="26"/>
    </row>
    <row r="340" spans="1:5">
      <c r="A340" s="1"/>
      <c r="B340" s="120"/>
      <c r="C340" s="58"/>
      <c r="D340" s="59"/>
      <c r="E340" s="26"/>
    </row>
    <row r="341" spans="1:5">
      <c r="A341" s="1"/>
      <c r="B341" s="120"/>
      <c r="C341" s="58"/>
      <c r="D341" s="59"/>
      <c r="E341" s="26"/>
    </row>
    <row r="342" spans="1:5">
      <c r="A342" s="1"/>
      <c r="B342" s="120"/>
      <c r="C342" s="58"/>
      <c r="D342" s="59"/>
      <c r="E342" s="26"/>
    </row>
    <row r="343" spans="1:5">
      <c r="A343" s="1"/>
      <c r="B343" s="120"/>
      <c r="C343" s="58"/>
      <c r="D343" s="59"/>
      <c r="E343" s="26"/>
    </row>
    <row r="344" spans="1:5">
      <c r="A344" s="1"/>
      <c r="B344" s="120"/>
      <c r="C344" s="58"/>
      <c r="D344" s="59"/>
      <c r="E344" s="26"/>
    </row>
    <row r="345" spans="1:5">
      <c r="A345" s="1"/>
      <c r="B345" s="120"/>
      <c r="C345" s="58"/>
      <c r="D345" s="59"/>
      <c r="E345" s="26"/>
    </row>
    <row r="346" spans="1:5">
      <c r="A346" s="1"/>
      <c r="B346" s="120"/>
      <c r="C346" s="58"/>
      <c r="D346" s="59"/>
      <c r="E346" s="26"/>
    </row>
    <row r="347" spans="1:5">
      <c r="A347" s="1"/>
      <c r="B347" s="120"/>
      <c r="C347" s="58"/>
      <c r="D347" s="59"/>
      <c r="E347" s="26"/>
    </row>
    <row r="348" spans="1:5">
      <c r="A348" s="1"/>
      <c r="B348" s="120"/>
      <c r="C348" s="58"/>
      <c r="D348" s="59"/>
      <c r="E348" s="26"/>
    </row>
    <row r="349" spans="1:5">
      <c r="A349" s="1"/>
      <c r="B349" s="120"/>
      <c r="C349" s="58"/>
      <c r="D349" s="59"/>
      <c r="E349" s="26"/>
    </row>
    <row r="350" spans="1:5">
      <c r="A350" s="1"/>
      <c r="B350" s="120"/>
      <c r="C350" s="58"/>
      <c r="D350" s="59"/>
      <c r="E350" s="26"/>
    </row>
    <row r="351" spans="1:5">
      <c r="A351" s="1"/>
      <c r="B351" s="120"/>
      <c r="C351" s="58"/>
      <c r="D351" s="59"/>
      <c r="E351" s="26"/>
    </row>
    <row r="352" spans="1:5">
      <c r="A352" s="1"/>
      <c r="B352" s="120"/>
      <c r="C352" s="58"/>
      <c r="D352" s="59"/>
      <c r="E352" s="26"/>
    </row>
    <row r="353" spans="1:5">
      <c r="A353" s="1"/>
      <c r="B353" s="120"/>
      <c r="C353" s="58"/>
      <c r="D353" s="59"/>
      <c r="E353" s="26"/>
    </row>
    <row r="354" spans="1:5">
      <c r="A354" s="1"/>
      <c r="B354" s="120"/>
      <c r="C354" s="58"/>
      <c r="D354" s="59"/>
      <c r="E354" s="26"/>
    </row>
    <row r="355" spans="1:5">
      <c r="A355" s="1"/>
      <c r="B355" s="120"/>
      <c r="C355" s="58"/>
      <c r="D355" s="59"/>
      <c r="E355" s="26"/>
    </row>
    <row r="356" spans="1:5">
      <c r="A356" s="1"/>
      <c r="B356" s="120"/>
      <c r="C356" s="58"/>
      <c r="D356" s="59"/>
      <c r="E356" s="26"/>
    </row>
    <row r="357" spans="1:5">
      <c r="A357" s="1"/>
      <c r="B357" s="120"/>
      <c r="C357" s="58"/>
      <c r="D357" s="59"/>
      <c r="E357" s="26"/>
    </row>
    <row r="358" spans="1:5">
      <c r="A358" s="1"/>
      <c r="B358" s="120"/>
      <c r="C358" s="58"/>
      <c r="D358" s="59"/>
      <c r="E358" s="26"/>
    </row>
    <row r="359" spans="1:5">
      <c r="A359" s="1"/>
      <c r="B359" s="120"/>
      <c r="C359" s="58"/>
      <c r="D359" s="59"/>
      <c r="E359" s="26"/>
    </row>
    <row r="360" spans="1:5">
      <c r="A360" s="1"/>
      <c r="B360" s="120"/>
      <c r="C360" s="58"/>
      <c r="D360" s="59"/>
      <c r="E360" s="26"/>
    </row>
    <row r="361" spans="1:5">
      <c r="A361" s="1"/>
      <c r="B361" s="120"/>
      <c r="C361" s="58"/>
      <c r="D361" s="59"/>
      <c r="E361" s="26"/>
    </row>
    <row r="362" spans="1:5">
      <c r="A362" s="1"/>
      <c r="B362" s="120"/>
      <c r="C362" s="58"/>
      <c r="D362" s="59"/>
      <c r="E362" s="26"/>
    </row>
    <row r="363" spans="1:5">
      <c r="A363" s="1"/>
      <c r="B363" s="120"/>
      <c r="C363" s="58"/>
      <c r="D363" s="59"/>
      <c r="E363" s="26"/>
    </row>
    <row r="364" spans="1:5">
      <c r="A364" s="1"/>
      <c r="B364" s="120"/>
      <c r="C364" s="58"/>
      <c r="D364" s="59"/>
      <c r="E364" s="26"/>
    </row>
    <row r="365" spans="1:5">
      <c r="A365" s="1"/>
      <c r="B365" s="120"/>
      <c r="C365" s="58"/>
      <c r="D365" s="59"/>
      <c r="E365" s="26"/>
    </row>
    <row r="366" spans="1:5">
      <c r="A366" s="1"/>
      <c r="B366" s="120"/>
      <c r="C366" s="58"/>
      <c r="D366" s="59"/>
      <c r="E366" s="26"/>
    </row>
    <row r="367" spans="1:5">
      <c r="A367" s="1"/>
      <c r="B367" s="120"/>
      <c r="C367" s="58"/>
      <c r="D367" s="59"/>
      <c r="E367" s="26"/>
    </row>
    <row r="368" spans="1:5">
      <c r="A368" s="1"/>
      <c r="B368" s="120"/>
      <c r="C368" s="58"/>
      <c r="D368" s="59"/>
      <c r="E368" s="26"/>
    </row>
    <row r="369" spans="1:5">
      <c r="A369" s="1"/>
      <c r="B369" s="120"/>
      <c r="C369" s="58"/>
      <c r="D369" s="59"/>
      <c r="E369" s="26"/>
    </row>
    <row r="370" spans="1:5">
      <c r="A370" s="1"/>
      <c r="B370" s="120"/>
      <c r="C370" s="58"/>
      <c r="D370" s="59"/>
      <c r="E370" s="26"/>
    </row>
    <row r="371" spans="1:5">
      <c r="A371" s="1"/>
      <c r="B371" s="120"/>
      <c r="C371" s="58"/>
      <c r="D371" s="59"/>
      <c r="E371" s="26"/>
    </row>
    <row r="372" spans="1:5">
      <c r="A372" s="1"/>
      <c r="B372" s="120"/>
      <c r="C372" s="58"/>
      <c r="D372" s="59"/>
      <c r="E372" s="26"/>
    </row>
    <row r="373" spans="1:5">
      <c r="A373" s="1"/>
      <c r="B373" s="120"/>
      <c r="C373" s="58"/>
      <c r="D373" s="59"/>
      <c r="E373" s="26"/>
    </row>
    <row r="374" spans="1:5">
      <c r="A374" s="1"/>
      <c r="B374" s="120"/>
      <c r="C374" s="58"/>
      <c r="D374" s="59"/>
      <c r="E374" s="26"/>
    </row>
    <row r="375" spans="1:5">
      <c r="A375" s="1"/>
      <c r="B375" s="120"/>
      <c r="C375" s="58"/>
      <c r="D375" s="59"/>
      <c r="E375" s="26"/>
    </row>
    <row r="376" spans="1:5">
      <c r="A376" s="1"/>
      <c r="B376" s="120"/>
      <c r="C376" s="58"/>
      <c r="D376" s="59"/>
      <c r="E376" s="26"/>
    </row>
    <row r="377" spans="1:5">
      <c r="A377" s="1"/>
      <c r="B377" s="120"/>
      <c r="C377" s="58"/>
      <c r="D377" s="59"/>
      <c r="E377" s="26"/>
    </row>
    <row r="378" spans="1:5">
      <c r="A378" s="1"/>
      <c r="B378" s="120"/>
      <c r="C378" s="58"/>
      <c r="D378" s="59"/>
      <c r="E378" s="26"/>
    </row>
    <row r="379" spans="1:5">
      <c r="A379" s="1"/>
      <c r="B379" s="120"/>
      <c r="C379" s="58"/>
      <c r="D379" s="59"/>
      <c r="E379" s="26"/>
    </row>
    <row r="380" spans="1:5">
      <c r="A380" s="1"/>
      <c r="B380" s="120"/>
      <c r="C380" s="58"/>
      <c r="D380" s="59"/>
      <c r="E380" s="26"/>
    </row>
    <row r="381" spans="1:5">
      <c r="A381" s="1"/>
      <c r="B381" s="120"/>
      <c r="C381" s="58"/>
      <c r="D381" s="59"/>
      <c r="E381" s="26"/>
    </row>
    <row r="382" spans="1:5">
      <c r="A382" s="1"/>
      <c r="B382" s="120"/>
      <c r="C382" s="58"/>
      <c r="D382" s="59"/>
      <c r="E382" s="26"/>
    </row>
    <row r="383" spans="1:5">
      <c r="A383" s="1"/>
      <c r="B383" s="120"/>
      <c r="C383" s="58"/>
      <c r="D383" s="59"/>
      <c r="E383" s="26"/>
    </row>
    <row r="384" spans="1:5">
      <c r="A384" s="1"/>
      <c r="B384" s="120"/>
      <c r="C384" s="58"/>
      <c r="D384" s="59"/>
      <c r="E384" s="26"/>
    </row>
    <row r="385" spans="1:5">
      <c r="A385" s="1"/>
      <c r="B385" s="120"/>
      <c r="C385" s="58"/>
      <c r="D385" s="59"/>
      <c r="E385" s="26"/>
    </row>
    <row r="386" spans="1:5">
      <c r="A386" s="1"/>
      <c r="B386" s="120"/>
      <c r="C386" s="58"/>
      <c r="D386" s="59"/>
      <c r="E386" s="26"/>
    </row>
    <row r="387" spans="1:5">
      <c r="A387" s="1"/>
      <c r="B387" s="120"/>
      <c r="C387" s="58"/>
      <c r="D387" s="59"/>
      <c r="E387" s="26"/>
    </row>
  </sheetData>
  <mergeCells count="5">
    <mergeCell ref="A62:F62"/>
    <mergeCell ref="J14:L14"/>
    <mergeCell ref="G14:I14"/>
    <mergeCell ref="A46:F46"/>
    <mergeCell ref="C41:F41"/>
  </mergeCells>
  <phoneticPr fontId="0" type="noConversion"/>
  <dataValidations disablePrompts="1" count="1">
    <dataValidation type="list" allowBlank="1" showInputMessage="1" showErrorMessage="1" sqref="B11" xr:uid="{00000000-0002-0000-0000-000000000000}">
      <formula1>"E,L"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Calc_Zero">
                <anchor moveWithCells="1" sizeWithCells="1">
                  <from>
                    <xdr:col>6</xdr:col>
                    <xdr:colOff>66675</xdr:colOff>
                    <xdr:row>8</xdr:row>
                    <xdr:rowOff>38100</xdr:rowOff>
                  </from>
                  <to>
                    <xdr:col>8</xdr:col>
                    <xdr:colOff>38100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K742"/>
  <sheetViews>
    <sheetView topLeftCell="A2" workbookViewId="0">
      <selection activeCell="F29" sqref="F29"/>
    </sheetView>
  </sheetViews>
  <sheetFormatPr defaultRowHeight="12.75"/>
  <cols>
    <col min="1" max="1" width="10.5703125" customWidth="1"/>
    <col min="2" max="2" width="11.85546875" customWidth="1"/>
    <col min="3" max="3" width="10.7109375" bestFit="1" customWidth="1"/>
    <col min="4" max="4" width="10.7109375" customWidth="1"/>
    <col min="5" max="5" width="10.85546875" bestFit="1" customWidth="1"/>
    <col min="6" max="7" width="12.7109375" bestFit="1" customWidth="1"/>
    <col min="8" max="10" width="14.42578125" customWidth="1"/>
    <col min="12" max="12" width="10.85546875" customWidth="1"/>
    <col min="13" max="13" width="13.85546875" customWidth="1"/>
    <col min="14" max="32" width="12.7109375" bestFit="1" customWidth="1"/>
    <col min="33" max="37" width="11" customWidth="1"/>
  </cols>
  <sheetData>
    <row r="1" spans="1:37" ht="13.5" thickBot="1">
      <c r="J1" s="2"/>
      <c r="L1" s="1">
        <v>2</v>
      </c>
      <c r="M1" s="1">
        <f>L1+1</f>
        <v>3</v>
      </c>
      <c r="N1" s="1">
        <f t="shared" ref="N1:AG1" si="0">M1+1</f>
        <v>4</v>
      </c>
      <c r="O1" s="1">
        <f t="shared" si="0"/>
        <v>5</v>
      </c>
      <c r="P1" s="1">
        <f t="shared" si="0"/>
        <v>6</v>
      </c>
      <c r="Q1" s="1">
        <f t="shared" si="0"/>
        <v>7</v>
      </c>
      <c r="R1" s="1">
        <f t="shared" si="0"/>
        <v>8</v>
      </c>
      <c r="S1" s="1">
        <f t="shared" si="0"/>
        <v>9</v>
      </c>
      <c r="T1" s="1">
        <f t="shared" si="0"/>
        <v>10</v>
      </c>
      <c r="U1" s="1">
        <f t="shared" si="0"/>
        <v>11</v>
      </c>
      <c r="V1" s="1">
        <f t="shared" si="0"/>
        <v>12</v>
      </c>
      <c r="W1" s="1">
        <f t="shared" si="0"/>
        <v>13</v>
      </c>
      <c r="X1" s="1">
        <f t="shared" si="0"/>
        <v>14</v>
      </c>
      <c r="Y1" s="1">
        <f t="shared" si="0"/>
        <v>15</v>
      </c>
      <c r="Z1" s="1">
        <f t="shared" si="0"/>
        <v>16</v>
      </c>
      <c r="AA1" s="1">
        <f t="shared" si="0"/>
        <v>17</v>
      </c>
      <c r="AB1" s="1">
        <f t="shared" si="0"/>
        <v>18</v>
      </c>
      <c r="AC1" s="1">
        <f t="shared" si="0"/>
        <v>19</v>
      </c>
      <c r="AD1" s="1">
        <f t="shared" si="0"/>
        <v>20</v>
      </c>
      <c r="AE1" s="1">
        <f t="shared" si="0"/>
        <v>21</v>
      </c>
      <c r="AF1" s="1">
        <f t="shared" si="0"/>
        <v>22</v>
      </c>
      <c r="AG1" s="1">
        <f t="shared" si="0"/>
        <v>23</v>
      </c>
      <c r="AH1" s="1">
        <f t="shared" ref="AH1" si="1">AG1+1</f>
        <v>24</v>
      </c>
      <c r="AI1" s="1">
        <f t="shared" ref="AI1" si="2">AH1+1</f>
        <v>25</v>
      </c>
      <c r="AJ1" s="1">
        <f t="shared" ref="AJ1" si="3">AI1+1</f>
        <v>26</v>
      </c>
      <c r="AK1" s="1">
        <f t="shared" ref="AK1" si="4">AJ1+1</f>
        <v>27</v>
      </c>
    </row>
    <row r="2" spans="1:37" ht="13.5" thickBot="1">
      <c r="A2" s="239" t="s">
        <v>18</v>
      </c>
      <c r="B2" s="240"/>
      <c r="C2" s="146" t="s">
        <v>51</v>
      </c>
      <c r="D2" s="17"/>
      <c r="H2" s="13" t="s">
        <v>13</v>
      </c>
      <c r="I2" s="15" t="s">
        <v>15</v>
      </c>
      <c r="J2" s="126"/>
      <c r="K2" s="3" t="s">
        <v>14</v>
      </c>
      <c r="L2" s="3" t="s">
        <v>16</v>
      </c>
      <c r="M2" s="3" t="str">
        <f t="array" ref="M2:AK2">TRANSPOSE('Rates &amp; Dates'!B15:B39)</f>
        <v>O/N</v>
      </c>
      <c r="N2" s="3" t="str">
        <v>1M</v>
      </c>
      <c r="O2" s="3" t="str">
        <v>2M</v>
      </c>
      <c r="P2" s="3" t="str">
        <v>3M</v>
      </c>
      <c r="Q2" s="3" t="str">
        <v>Jun-11</v>
      </c>
      <c r="R2" s="3" t="str">
        <v>Sep-11</v>
      </c>
      <c r="S2" s="3" t="str">
        <v>Dec-11</v>
      </c>
      <c r="T2" s="3" t="str">
        <v>Mar-12</v>
      </c>
      <c r="U2" s="3" t="str">
        <v>Jun-12</v>
      </c>
      <c r="V2" s="3" t="str">
        <v>Sep-12</v>
      </c>
      <c r="W2" s="3" t="str">
        <v>Dec-12</v>
      </c>
      <c r="X2" s="3" t="str">
        <v>Mar-13</v>
      </c>
      <c r="Y2" s="3" t="str">
        <v>3Y</v>
      </c>
      <c r="Z2" s="3" t="str">
        <v>4Y</v>
      </c>
      <c r="AA2" s="3" t="str">
        <v>5Y</v>
      </c>
      <c r="AB2" s="3" t="str">
        <v>6Y</v>
      </c>
      <c r="AC2" s="3" t="str">
        <v>7Y</v>
      </c>
      <c r="AD2" s="3" t="str">
        <v>8Y</v>
      </c>
      <c r="AE2" s="3" t="str">
        <v>9Y</v>
      </c>
      <c r="AF2" s="3" t="str">
        <v>10Y</v>
      </c>
      <c r="AG2" s="3" t="str">
        <v>12Y</v>
      </c>
      <c r="AH2" s="3" t="str">
        <v>15Y</v>
      </c>
      <c r="AI2" s="3" t="str">
        <v>20Y</v>
      </c>
      <c r="AJ2" s="3" t="str">
        <v>25Y</v>
      </c>
      <c r="AK2" s="3" t="str">
        <v>30Y</v>
      </c>
    </row>
    <row r="3" spans="1:37">
      <c r="A3" s="27" t="str">
        <f>'Rates &amp; Dates'!B15</f>
        <v>O/N</v>
      </c>
      <c r="B3" s="139">
        <f t="array" aca="1" ref="B3:B27" ca="1">TRANSPOSE(M507:AK507)</f>
        <v>49.606716156005859</v>
      </c>
      <c r="C3" s="180"/>
      <c r="D3" s="109"/>
      <c r="G3" s="6"/>
      <c r="H3" s="20"/>
      <c r="I3" s="21"/>
      <c r="J3" s="6"/>
      <c r="K3" s="6">
        <f ca="1">(H3-Calc_Date)*ISNUMBER(H3)</f>
        <v>0</v>
      </c>
      <c r="L3" s="8">
        <f ca="1">_xll.HLV5r3.Analytics.Miscellaneous.Zero2DF(_xll.HLV5r3.Analytics.Miscellaneous.LinearInterp(Peturbed_QZ,$K3,1,L$1),ZeroCompFreq,'PDH Calc'!$K3/365)</f>
        <v>1</v>
      </c>
      <c r="M3" s="8">
        <f ca="1">_xll.HLV5r3.Analytics.Miscellaneous.Zero2DF(_xll.HLV5r3.Analytics.Miscellaneous.LinearInterp(Peturbed_QZ,$K3,1,M$1),ZeroCompFreq,'PDH Calc'!$K3/365)</f>
        <v>1</v>
      </c>
      <c r="N3" s="8">
        <f ca="1">_xll.HLV5r3.Analytics.Miscellaneous.Zero2DF(_xll.HLV5r3.Analytics.Miscellaneous.LinearInterp(Peturbed_QZ,$K3,1,N$1),ZeroCompFreq,'PDH Calc'!$K3/365)</f>
        <v>1</v>
      </c>
      <c r="O3" s="8">
        <f ca="1">_xll.HLV5r3.Analytics.Miscellaneous.Zero2DF(_xll.HLV5r3.Analytics.Miscellaneous.LinearInterp(Peturbed_QZ,$K3,1,O$1),ZeroCompFreq,'PDH Calc'!$K3/365)</f>
        <v>1</v>
      </c>
      <c r="P3" s="8">
        <f ca="1">_xll.HLV5r3.Analytics.Miscellaneous.Zero2DF(_xll.HLV5r3.Analytics.Miscellaneous.LinearInterp(Peturbed_QZ,$K3,1,P$1),ZeroCompFreq,'PDH Calc'!$K3/365)</f>
        <v>1</v>
      </c>
      <c r="Q3" s="8">
        <f ca="1">_xll.HLV5r3.Analytics.Miscellaneous.Zero2DF(_xll.HLV5r3.Analytics.Miscellaneous.LinearInterp(Peturbed_QZ,$K3,1,Q$1),ZeroCompFreq,'PDH Calc'!$K3/365)</f>
        <v>1</v>
      </c>
      <c r="R3" s="8">
        <f ca="1">_xll.HLV5r3.Analytics.Miscellaneous.Zero2DF(_xll.HLV5r3.Analytics.Miscellaneous.LinearInterp(Peturbed_QZ,$K3,1,R$1),ZeroCompFreq,'PDH Calc'!$K3/365)</f>
        <v>1</v>
      </c>
      <c r="S3" s="8">
        <f ca="1">_xll.HLV5r3.Analytics.Miscellaneous.Zero2DF(_xll.HLV5r3.Analytics.Miscellaneous.LinearInterp(Peturbed_QZ,$K3,1,S$1),ZeroCompFreq,'PDH Calc'!$K3/365)</f>
        <v>1</v>
      </c>
      <c r="T3" s="8">
        <f ca="1">_xll.HLV5r3.Analytics.Miscellaneous.Zero2DF(_xll.HLV5r3.Analytics.Miscellaneous.LinearInterp(Peturbed_QZ,$K3,1,T$1),ZeroCompFreq,'PDH Calc'!$K3/365)</f>
        <v>1</v>
      </c>
      <c r="U3" s="8">
        <f ca="1">_xll.HLV5r3.Analytics.Miscellaneous.Zero2DF(_xll.HLV5r3.Analytics.Miscellaneous.LinearInterp(Peturbed_QZ,$K3,1,U$1),ZeroCompFreq,'PDH Calc'!$K3/365)</f>
        <v>1</v>
      </c>
      <c r="V3" s="8">
        <f ca="1">_xll.HLV5r3.Analytics.Miscellaneous.Zero2DF(_xll.HLV5r3.Analytics.Miscellaneous.LinearInterp(Peturbed_QZ,$K3,1,V$1),ZeroCompFreq,'PDH Calc'!$K3/365)</f>
        <v>1</v>
      </c>
      <c r="W3" s="8">
        <f ca="1">_xll.HLV5r3.Analytics.Miscellaneous.Zero2DF(_xll.HLV5r3.Analytics.Miscellaneous.LinearInterp(Peturbed_QZ,$K3,1,W$1),ZeroCompFreq,'PDH Calc'!$K3/365)</f>
        <v>1</v>
      </c>
      <c r="X3" s="8">
        <f ca="1">_xll.HLV5r3.Analytics.Miscellaneous.Zero2DF(_xll.HLV5r3.Analytics.Miscellaneous.LinearInterp(Peturbed_QZ,$K3,1,X$1),ZeroCompFreq,'PDH Calc'!$K3/365)</f>
        <v>1</v>
      </c>
      <c r="Y3" s="8">
        <f ca="1">_xll.HLV5r3.Analytics.Miscellaneous.Zero2DF(_xll.HLV5r3.Analytics.Miscellaneous.LinearInterp(Peturbed_QZ,$K3,1,Y$1),ZeroCompFreq,'PDH Calc'!$K3/365)</f>
        <v>1</v>
      </c>
      <c r="Z3" s="8">
        <f ca="1">_xll.HLV5r3.Analytics.Miscellaneous.Zero2DF(_xll.HLV5r3.Analytics.Miscellaneous.LinearInterp(Peturbed_QZ,$K3,1,Z$1),ZeroCompFreq,'PDH Calc'!$K3/365)</f>
        <v>1</v>
      </c>
      <c r="AA3" s="8">
        <f ca="1">_xll.HLV5r3.Analytics.Miscellaneous.Zero2DF(_xll.HLV5r3.Analytics.Miscellaneous.LinearInterp(Peturbed_QZ,$K3,1,AA$1),ZeroCompFreq,'PDH Calc'!$K3/365)</f>
        <v>1</v>
      </c>
      <c r="AB3" s="8">
        <f ca="1">_xll.HLV5r3.Analytics.Miscellaneous.Zero2DF(_xll.HLV5r3.Analytics.Miscellaneous.LinearInterp(Peturbed_QZ,$K3,1,AB$1),ZeroCompFreq,'PDH Calc'!$K3/365)</f>
        <v>1</v>
      </c>
      <c r="AC3" s="8">
        <f ca="1">_xll.HLV5r3.Analytics.Miscellaneous.Zero2DF(_xll.HLV5r3.Analytics.Miscellaneous.LinearInterp(Peturbed_QZ,$K3,1,AC$1),ZeroCompFreq,'PDH Calc'!$K3/365)</f>
        <v>1</v>
      </c>
      <c r="AD3" s="8">
        <f ca="1">_xll.HLV5r3.Analytics.Miscellaneous.Zero2DF(_xll.HLV5r3.Analytics.Miscellaneous.LinearInterp(Peturbed_QZ,$K3,1,AD$1),ZeroCompFreq,'PDH Calc'!$K3/365)</f>
        <v>1</v>
      </c>
      <c r="AE3" s="8">
        <f ca="1">_xll.HLV5r3.Analytics.Miscellaneous.Zero2DF(_xll.HLV5r3.Analytics.Miscellaneous.LinearInterp(Peturbed_QZ,$K3,1,AE$1),ZeroCompFreq,'PDH Calc'!$K3/365)</f>
        <v>1</v>
      </c>
      <c r="AF3" s="8">
        <f ca="1">_xll.HLV5r3.Analytics.Miscellaneous.Zero2DF(_xll.HLV5r3.Analytics.Miscellaneous.LinearInterp(Peturbed_QZ,$K3,1,AF$1),ZeroCompFreq,'PDH Calc'!$K3/365)</f>
        <v>1</v>
      </c>
      <c r="AG3" s="8">
        <f ca="1">_xll.HLV5r3.Analytics.Miscellaneous.Zero2DF(_xll.HLV5r3.Analytics.Miscellaneous.LinearInterp(Peturbed_QZ,$K3,1,AG$1),ZeroCompFreq,'PDH Calc'!$K3/365)</f>
        <v>1</v>
      </c>
      <c r="AH3" s="8">
        <f ca="1">_xll.HLV5r3.Analytics.Miscellaneous.Zero2DF(_xll.HLV5r3.Analytics.Miscellaneous.LinearInterp(Peturbed_QZ,$K3,1,AH$1),ZeroCompFreq,'PDH Calc'!$K3/365)</f>
        <v>1</v>
      </c>
      <c r="AI3" s="8">
        <f ca="1">_xll.HLV5r3.Analytics.Miscellaneous.Zero2DF(_xll.HLV5r3.Analytics.Miscellaneous.LinearInterp(Peturbed_QZ,$K3,1,AI$1),ZeroCompFreq,'PDH Calc'!$K3/365)</f>
        <v>1</v>
      </c>
      <c r="AJ3" s="8">
        <f ca="1">_xll.HLV5r3.Analytics.Miscellaneous.Zero2DF(_xll.HLV5r3.Analytics.Miscellaneous.LinearInterp(Peturbed_QZ,$K3,1,AJ$1),ZeroCompFreq,'PDH Calc'!$K3/365)</f>
        <v>1</v>
      </c>
      <c r="AK3" s="8">
        <f ca="1">_xll.HLV5r3.Analytics.Miscellaneous.Zero2DF(_xll.HLV5r3.Analytics.Miscellaneous.LinearInterp(Peturbed_QZ,$K3,1,AK$1),ZeroCompFreq,'PDH Calc'!$K3/365)</f>
        <v>1</v>
      </c>
    </row>
    <row r="4" spans="1:37">
      <c r="A4" s="28" t="str">
        <f>'Rates &amp; Dates'!B16</f>
        <v>1M</v>
      </c>
      <c r="B4" s="111">
        <f ca="1"/>
        <v>-1652.5004710555077</v>
      </c>
      <c r="C4" s="181"/>
      <c r="D4" s="109"/>
      <c r="G4" s="6"/>
      <c r="H4" s="20">
        <f ca="1">EDATE(TODAY()+2,0)</f>
        <v>43642</v>
      </c>
      <c r="I4" s="21">
        <f>-200*10^6</f>
        <v>-200000000</v>
      </c>
      <c r="J4" s="26">
        <f ca="1">_xll.HLV5r3.Analytics.Miscellaneous.LinearInterp(Peturbed_QZ,$K4,1,L$1)</f>
        <v>4.9301204088609774E-2</v>
      </c>
      <c r="K4" s="6">
        <f t="shared" ref="K4:K32" ca="1" si="5">(H4-Calc_Date)*ISNUMBER(H4)</f>
        <v>2</v>
      </c>
      <c r="L4" s="8">
        <f ca="1">_xll.HLV5r3.Analytics.Miscellaneous.Zero2DF(_xll.HLV5r3.Analytics.Miscellaneous.LinearInterp(Peturbed_QZ,$K4,1,L$1),ZeroCompFreq,'PDH Calc'!$K4/365)</f>
        <v>0.99973154370306461</v>
      </c>
      <c r="M4" s="8">
        <f ca="1">_xll.HLV5r3.Analytics.Miscellaneous.Zero2DF(_xll.HLV5r3.Analytics.Miscellaneous.LinearInterp(Peturbed_QZ,$K4,1,M$1),ZeroCompFreq,'PDH Calc'!$K4/365)</f>
        <v>0.99973101372926032</v>
      </c>
      <c r="N4" s="8">
        <f ca="1">_xll.HLV5r3.Analytics.Miscellaneous.Zero2DF(_xll.HLV5r3.Analytics.Miscellaneous.LinearInterp(Peturbed_QZ,$K4,1,N$1),ZeroCompFreq,'PDH Calc'!$K4/365)</f>
        <v>0.99973152607197591</v>
      </c>
      <c r="O4" s="8">
        <f ca="1">_xll.HLV5r3.Analytics.Miscellaneous.Zero2DF(_xll.HLV5r3.Analytics.Miscellaneous.LinearInterp(Peturbed_QZ,$K4,1,O$1),ZeroCompFreq,'PDH Calc'!$K4/365)</f>
        <v>0.99973154370306461</v>
      </c>
      <c r="P4" s="8">
        <f ca="1">_xll.HLV5r3.Analytics.Miscellaneous.Zero2DF(_xll.HLV5r3.Analytics.Miscellaneous.LinearInterp(Peturbed_QZ,$K4,1,P$1),ZeroCompFreq,'PDH Calc'!$K4/365)</f>
        <v>0.99973154370306461</v>
      </c>
      <c r="Q4" s="8">
        <f ca="1">_xll.HLV5r3.Analytics.Miscellaneous.Zero2DF(_xll.HLV5r3.Analytics.Miscellaneous.LinearInterp(Peturbed_QZ,$K4,1,Q$1),ZeroCompFreq,'PDH Calc'!$K4/365)</f>
        <v>0.99973154370306461</v>
      </c>
      <c r="R4" s="8">
        <f ca="1">_xll.HLV5r3.Analytics.Miscellaneous.Zero2DF(_xll.HLV5r3.Analytics.Miscellaneous.LinearInterp(Peturbed_QZ,$K4,1,R$1),ZeroCompFreq,'PDH Calc'!$K4/365)</f>
        <v>0.99973154370306461</v>
      </c>
      <c r="S4" s="8">
        <f ca="1">_xll.HLV5r3.Analytics.Miscellaneous.Zero2DF(_xll.HLV5r3.Analytics.Miscellaneous.LinearInterp(Peturbed_QZ,$K4,1,S$1),ZeroCompFreq,'PDH Calc'!$K4/365)</f>
        <v>0.99973154370306461</v>
      </c>
      <c r="T4" s="8">
        <f ca="1">_xll.HLV5r3.Analytics.Miscellaneous.Zero2DF(_xll.HLV5r3.Analytics.Miscellaneous.LinearInterp(Peturbed_QZ,$K4,1,T$1),ZeroCompFreq,'PDH Calc'!$K4/365)</f>
        <v>0.99973154370306461</v>
      </c>
      <c r="U4" s="8">
        <f ca="1">_xll.HLV5r3.Analytics.Miscellaneous.Zero2DF(_xll.HLV5r3.Analytics.Miscellaneous.LinearInterp(Peturbed_QZ,$K4,1,U$1),ZeroCompFreq,'PDH Calc'!$K4/365)</f>
        <v>0.99973154370306461</v>
      </c>
      <c r="V4" s="8">
        <f ca="1">_xll.HLV5r3.Analytics.Miscellaneous.Zero2DF(_xll.HLV5r3.Analytics.Miscellaneous.LinearInterp(Peturbed_QZ,$K4,1,V$1),ZeroCompFreq,'PDH Calc'!$K4/365)</f>
        <v>0.99973154370306461</v>
      </c>
      <c r="W4" s="8">
        <f ca="1">_xll.HLV5r3.Analytics.Miscellaneous.Zero2DF(_xll.HLV5r3.Analytics.Miscellaneous.LinearInterp(Peturbed_QZ,$K4,1,W$1),ZeroCompFreq,'PDH Calc'!$K4/365)</f>
        <v>0.99973154370306461</v>
      </c>
      <c r="X4" s="8">
        <f ca="1">_xll.HLV5r3.Analytics.Miscellaneous.Zero2DF(_xll.HLV5r3.Analytics.Miscellaneous.LinearInterp(Peturbed_QZ,$K4,1,X$1),ZeroCompFreq,'PDH Calc'!$K4/365)</f>
        <v>0.99973154370306461</v>
      </c>
      <c r="Y4" s="8">
        <f ca="1">_xll.HLV5r3.Analytics.Miscellaneous.Zero2DF(_xll.HLV5r3.Analytics.Miscellaneous.LinearInterp(Peturbed_QZ,$K4,1,Y$1),ZeroCompFreq,'PDH Calc'!$K4/365)</f>
        <v>0.99973154370306461</v>
      </c>
      <c r="Z4" s="8">
        <f ca="1">_xll.HLV5r3.Analytics.Miscellaneous.Zero2DF(_xll.HLV5r3.Analytics.Miscellaneous.LinearInterp(Peturbed_QZ,$K4,1,Z$1),ZeroCompFreq,'PDH Calc'!$K4/365)</f>
        <v>0.99973154370306461</v>
      </c>
      <c r="AA4" s="8">
        <f ca="1">_xll.HLV5r3.Analytics.Miscellaneous.Zero2DF(_xll.HLV5r3.Analytics.Miscellaneous.LinearInterp(Peturbed_QZ,$K4,1,AA$1),ZeroCompFreq,'PDH Calc'!$K4/365)</f>
        <v>0.99973154370306461</v>
      </c>
      <c r="AB4" s="8">
        <f ca="1">_xll.HLV5r3.Analytics.Miscellaneous.Zero2DF(_xll.HLV5r3.Analytics.Miscellaneous.LinearInterp(Peturbed_QZ,$K4,1,AB$1),ZeroCompFreq,'PDH Calc'!$K4/365)</f>
        <v>0.99973154370306461</v>
      </c>
      <c r="AC4" s="8">
        <f ca="1">_xll.HLV5r3.Analytics.Miscellaneous.Zero2DF(_xll.HLV5r3.Analytics.Miscellaneous.LinearInterp(Peturbed_QZ,$K4,1,AC$1),ZeroCompFreq,'PDH Calc'!$K4/365)</f>
        <v>0.99973154370306461</v>
      </c>
      <c r="AD4" s="8">
        <f ca="1">_xll.HLV5r3.Analytics.Miscellaneous.Zero2DF(_xll.HLV5r3.Analytics.Miscellaneous.LinearInterp(Peturbed_QZ,$K4,1,AD$1),ZeroCompFreq,'PDH Calc'!$K4/365)</f>
        <v>0.99973154370306461</v>
      </c>
      <c r="AE4" s="8">
        <f ca="1">_xll.HLV5r3.Analytics.Miscellaneous.Zero2DF(_xll.HLV5r3.Analytics.Miscellaneous.LinearInterp(Peturbed_QZ,$K4,1,AE$1),ZeroCompFreq,'PDH Calc'!$K4/365)</f>
        <v>0.99973154370306461</v>
      </c>
      <c r="AF4" s="8">
        <f ca="1">_xll.HLV5r3.Analytics.Miscellaneous.Zero2DF(_xll.HLV5r3.Analytics.Miscellaneous.LinearInterp(Peturbed_QZ,$K4,1,AF$1),ZeroCompFreq,'PDH Calc'!$K4/365)</f>
        <v>0.99973154370306461</v>
      </c>
      <c r="AG4" s="8">
        <f ca="1">_xll.HLV5r3.Analytics.Miscellaneous.Zero2DF(_xll.HLV5r3.Analytics.Miscellaneous.LinearInterp(Peturbed_QZ,$K4,1,AG$1),ZeroCompFreq,'PDH Calc'!$K4/365)</f>
        <v>0.99973154370306461</v>
      </c>
      <c r="AH4" s="8">
        <f ca="1">_xll.HLV5r3.Analytics.Miscellaneous.Zero2DF(_xll.HLV5r3.Analytics.Miscellaneous.LinearInterp(Peturbed_QZ,$K4,1,AH$1),ZeroCompFreq,'PDH Calc'!$K4/365)</f>
        <v>0.99973154370306461</v>
      </c>
      <c r="AI4" s="8">
        <f ca="1">_xll.HLV5r3.Analytics.Miscellaneous.Zero2DF(_xll.HLV5r3.Analytics.Miscellaneous.LinearInterp(Peturbed_QZ,$K4,1,AI$1),ZeroCompFreq,'PDH Calc'!$K4/365)</f>
        <v>0.99973154370306461</v>
      </c>
      <c r="AJ4" s="8">
        <f ca="1">_xll.HLV5r3.Analytics.Miscellaneous.Zero2DF(_xll.HLV5r3.Analytics.Miscellaneous.LinearInterp(Peturbed_QZ,$K4,1,AJ$1),ZeroCompFreq,'PDH Calc'!$K4/365)</f>
        <v>0.99973154370306461</v>
      </c>
      <c r="AK4" s="8">
        <f ca="1">_xll.HLV5r3.Analytics.Miscellaneous.Zero2DF(_xll.HLV5r3.Analytics.Miscellaneous.LinearInterp(Peturbed_QZ,$K4,1,AK$1),ZeroCompFreq,'PDH Calc'!$K4/365)</f>
        <v>0.99973154370306461</v>
      </c>
    </row>
    <row r="5" spans="1:37">
      <c r="A5" s="28" t="str">
        <f>'Rates &amp; Dates'!B17</f>
        <v>2M</v>
      </c>
      <c r="B5" s="111">
        <f ca="1"/>
        <v>-267.79515421390533</v>
      </c>
      <c r="C5" s="181"/>
      <c r="D5" s="109"/>
      <c r="F5" s="19"/>
      <c r="G5" s="6"/>
      <c r="H5" s="20">
        <f ca="1">EDATE(TODAY()+2,12)</f>
        <v>44008</v>
      </c>
      <c r="I5" s="21">
        <f ca="1">-I4/L5*L4</f>
        <v>210543573.01868814</v>
      </c>
      <c r="J5" s="26"/>
      <c r="K5" s="6">
        <f t="shared" ca="1" si="5"/>
        <v>368</v>
      </c>
      <c r="L5" s="8">
        <f ca="1">_xll.HLV5r3.Analytics.Miscellaneous.Zero2DF(_xll.HLV5r3.Analytics.Miscellaneous.LinearInterp(Peturbed_QZ,$K5,1,L$1),ZeroCompFreq,'PDH Calc'!$K5/365)</f>
        <v>0.9496671205578211</v>
      </c>
      <c r="M5" s="8">
        <f ca="1">_xll.HLV5r3.Analytics.Miscellaneous.Zero2DF(_xll.HLV5r3.Analytics.Miscellaneous.LinearInterp(Peturbed_QZ,$K5,1,M$1),ZeroCompFreq,'PDH Calc'!$K5/365)</f>
        <v>0.94966685273656248</v>
      </c>
      <c r="N5" s="8">
        <f ca="1">_xll.HLV5r3.Analytics.Miscellaneous.Zero2DF(_xll.HLV5r3.Analytics.Miscellaneous.LinearInterp(Peturbed_QZ,$K5,1,N$1),ZeroCompFreq,'PDH Calc'!$K5/365)</f>
        <v>0.9496592550757974</v>
      </c>
      <c r="O5" s="8">
        <f ca="1">_xll.HLV5r3.Analytics.Miscellaneous.Zero2DF(_xll.HLV5r3.Analytics.Miscellaneous.LinearInterp(Peturbed_QZ,$K5,1,O$1),ZeroCompFreq,'PDH Calc'!$K5/365)</f>
        <v>0.9496658486351004</v>
      </c>
      <c r="P5" s="8">
        <f ca="1">_xll.HLV5r3.Analytics.Miscellaneous.Zero2DF(_xll.HLV5r3.Analytics.Miscellaneous.LinearInterp(Peturbed_QZ,$K5,1,P$1),ZeroCompFreq,'PDH Calc'!$K5/365)</f>
        <v>0.9496671205578211</v>
      </c>
      <c r="Q5" s="8">
        <f ca="1">_xll.HLV5r3.Analytics.Miscellaneous.Zero2DF(_xll.HLV5r3.Analytics.Miscellaneous.LinearInterp(Peturbed_QZ,$K5,1,Q$1),ZeroCompFreq,'PDH Calc'!$K5/365)</f>
        <v>0.94964441650575093</v>
      </c>
      <c r="R5" s="8">
        <f ca="1">_xll.HLV5r3.Analytics.Miscellaneous.Zero2DF(_xll.HLV5r3.Analytics.Miscellaneous.LinearInterp(Peturbed_QZ,$K5,1,R$1),ZeroCompFreq,'PDH Calc'!$K5/365)</f>
        <v>0.94964434962676669</v>
      </c>
      <c r="S5" s="8">
        <f ca="1">_xll.HLV5r3.Analytics.Miscellaneous.Zero2DF(_xll.HLV5r3.Analytics.Miscellaneous.LinearInterp(Peturbed_QZ,$K5,1,S$1),ZeroCompFreq,'PDH Calc'!$K5/365)</f>
        <v>0.94964435619813736</v>
      </c>
      <c r="T5" s="8">
        <f ca="1">_xll.HLV5r3.Analytics.Miscellaneous.Zero2DF(_xll.HLV5r3.Analytics.Miscellaneous.LinearInterp(Peturbed_QZ,$K5,1,T$1),ZeroCompFreq,'PDH Calc'!$K5/365)</f>
        <v>0.94965015237165695</v>
      </c>
      <c r="U5" s="8">
        <f ca="1">_xll.HLV5r3.Analytics.Miscellaneous.Zero2DF(_xll.HLV5r3.Analytics.Miscellaneous.LinearInterp(Peturbed_QZ,$K5,1,U$1),ZeroCompFreq,'PDH Calc'!$K5/365)</f>
        <v>0.9496671205578211</v>
      </c>
      <c r="V5" s="8">
        <f ca="1">_xll.HLV5r3.Analytics.Miscellaneous.Zero2DF(_xll.HLV5r3.Analytics.Miscellaneous.LinearInterp(Peturbed_QZ,$K5,1,V$1),ZeroCompFreq,'PDH Calc'!$K5/365)</f>
        <v>0.9496671205578211</v>
      </c>
      <c r="W5" s="8">
        <f ca="1">_xll.HLV5r3.Analytics.Miscellaneous.Zero2DF(_xll.HLV5r3.Analytics.Miscellaneous.LinearInterp(Peturbed_QZ,$K5,1,W$1),ZeroCompFreq,'PDH Calc'!$K5/365)</f>
        <v>0.9496671205578211</v>
      </c>
      <c r="X5" s="8">
        <f ca="1">_xll.HLV5r3.Analytics.Miscellaneous.Zero2DF(_xll.HLV5r3.Analytics.Miscellaneous.LinearInterp(Peturbed_QZ,$K5,1,X$1),ZeroCompFreq,'PDH Calc'!$K5/365)</f>
        <v>0.9496671205578211</v>
      </c>
      <c r="Y5" s="8">
        <f ca="1">_xll.HLV5r3.Analytics.Miscellaneous.Zero2DF(_xll.HLV5r3.Analytics.Miscellaneous.LinearInterp(Peturbed_QZ,$K5,1,Y$1),ZeroCompFreq,'PDH Calc'!$K5/365)</f>
        <v>0.9496671205578211</v>
      </c>
      <c r="Z5" s="8">
        <f ca="1">_xll.HLV5r3.Analytics.Miscellaneous.Zero2DF(_xll.HLV5r3.Analytics.Miscellaneous.LinearInterp(Peturbed_QZ,$K5,1,Z$1),ZeroCompFreq,'PDH Calc'!$K5/365)</f>
        <v>0.9496671205578211</v>
      </c>
      <c r="AA5" s="8">
        <f ca="1">_xll.HLV5r3.Analytics.Miscellaneous.Zero2DF(_xll.HLV5r3.Analytics.Miscellaneous.LinearInterp(Peturbed_QZ,$K5,1,AA$1),ZeroCompFreq,'PDH Calc'!$K5/365)</f>
        <v>0.9496671205578211</v>
      </c>
      <c r="AB5" s="8">
        <f ca="1">_xll.HLV5r3.Analytics.Miscellaneous.Zero2DF(_xll.HLV5r3.Analytics.Miscellaneous.LinearInterp(Peturbed_QZ,$K5,1,AB$1),ZeroCompFreq,'PDH Calc'!$K5/365)</f>
        <v>0.9496671205578211</v>
      </c>
      <c r="AC5" s="8">
        <f ca="1">_xll.HLV5r3.Analytics.Miscellaneous.Zero2DF(_xll.HLV5r3.Analytics.Miscellaneous.LinearInterp(Peturbed_QZ,$K5,1,AC$1),ZeroCompFreq,'PDH Calc'!$K5/365)</f>
        <v>0.9496671205578211</v>
      </c>
      <c r="AD5" s="8">
        <f ca="1">_xll.HLV5r3.Analytics.Miscellaneous.Zero2DF(_xll.HLV5r3.Analytics.Miscellaneous.LinearInterp(Peturbed_QZ,$K5,1,AD$1),ZeroCompFreq,'PDH Calc'!$K5/365)</f>
        <v>0.9496671205578211</v>
      </c>
      <c r="AE5" s="8">
        <f ca="1">_xll.HLV5r3.Analytics.Miscellaneous.Zero2DF(_xll.HLV5r3.Analytics.Miscellaneous.LinearInterp(Peturbed_QZ,$K5,1,AE$1),ZeroCompFreq,'PDH Calc'!$K5/365)</f>
        <v>0.9496671205578211</v>
      </c>
      <c r="AF5" s="8">
        <f ca="1">_xll.HLV5r3.Analytics.Miscellaneous.Zero2DF(_xll.HLV5r3.Analytics.Miscellaneous.LinearInterp(Peturbed_QZ,$K5,1,AF$1),ZeroCompFreq,'PDH Calc'!$K5/365)</f>
        <v>0.9496671205578211</v>
      </c>
      <c r="AG5" s="8">
        <f ca="1">_xll.HLV5r3.Analytics.Miscellaneous.Zero2DF(_xll.HLV5r3.Analytics.Miscellaneous.LinearInterp(Peturbed_QZ,$K5,1,AG$1),ZeroCompFreq,'PDH Calc'!$K5/365)</f>
        <v>0.9496671205578211</v>
      </c>
      <c r="AH5" s="8">
        <f ca="1">_xll.HLV5r3.Analytics.Miscellaneous.Zero2DF(_xll.HLV5r3.Analytics.Miscellaneous.LinearInterp(Peturbed_QZ,$K5,1,AH$1),ZeroCompFreq,'PDH Calc'!$K5/365)</f>
        <v>0.9496671205578211</v>
      </c>
      <c r="AI5" s="8">
        <f ca="1">_xll.HLV5r3.Analytics.Miscellaneous.Zero2DF(_xll.HLV5r3.Analytics.Miscellaneous.LinearInterp(Peturbed_QZ,$K5,1,AI$1),ZeroCompFreq,'PDH Calc'!$K5/365)</f>
        <v>0.9496671205578211</v>
      </c>
      <c r="AJ5" s="8">
        <f ca="1">_xll.HLV5r3.Analytics.Miscellaneous.Zero2DF(_xll.HLV5r3.Analytics.Miscellaneous.LinearInterp(Peturbed_QZ,$K5,1,AJ$1),ZeroCompFreq,'PDH Calc'!$K5/365)</f>
        <v>0.9496671205578211</v>
      </c>
      <c r="AK5" s="8">
        <f ca="1">_xll.HLV5r3.Analytics.Miscellaneous.Zero2DF(_xll.HLV5r3.Analytics.Miscellaneous.LinearInterp(Peturbed_QZ,$K5,1,AK$1),ZeroCompFreq,'PDH Calc'!$K5/365)</f>
        <v>0.9496671205578211</v>
      </c>
    </row>
    <row r="6" spans="1:37">
      <c r="A6" s="28" t="str">
        <f>'Rates &amp; Dates'!B18</f>
        <v>3M</v>
      </c>
      <c r="B6" s="111">
        <f ca="1"/>
        <v>0</v>
      </c>
      <c r="C6" s="181"/>
      <c r="D6" s="109"/>
      <c r="F6" s="133"/>
      <c r="G6" s="6"/>
      <c r="H6" s="20"/>
      <c r="I6" s="21"/>
      <c r="J6" s="6"/>
      <c r="K6" s="6">
        <f t="shared" ca="1" si="5"/>
        <v>0</v>
      </c>
      <c r="L6" s="8">
        <f ca="1">_xll.HLV5r3.Analytics.Miscellaneous.Zero2DF(_xll.HLV5r3.Analytics.Miscellaneous.LinearInterp(Peturbed_QZ,$K6,1,L$1),ZeroCompFreq,'PDH Calc'!$K6/365)</f>
        <v>1</v>
      </c>
      <c r="M6" s="8">
        <f ca="1">_xll.HLV5r3.Analytics.Miscellaneous.Zero2DF(_xll.HLV5r3.Analytics.Miscellaneous.LinearInterp(Peturbed_QZ,$K6,1,M$1),ZeroCompFreq,'PDH Calc'!$K6/365)</f>
        <v>1</v>
      </c>
      <c r="N6" s="8">
        <f ca="1">_xll.HLV5r3.Analytics.Miscellaneous.Zero2DF(_xll.HLV5r3.Analytics.Miscellaneous.LinearInterp(Peturbed_QZ,$K6,1,N$1),ZeroCompFreq,'PDH Calc'!$K6/365)</f>
        <v>1</v>
      </c>
      <c r="O6" s="8">
        <f ca="1">_xll.HLV5r3.Analytics.Miscellaneous.Zero2DF(_xll.HLV5r3.Analytics.Miscellaneous.LinearInterp(Peturbed_QZ,$K6,1,O$1),ZeroCompFreq,'PDH Calc'!$K6/365)</f>
        <v>1</v>
      </c>
      <c r="P6" s="8">
        <f ca="1">_xll.HLV5r3.Analytics.Miscellaneous.Zero2DF(_xll.HLV5r3.Analytics.Miscellaneous.LinearInterp(Peturbed_QZ,$K6,1,P$1),ZeroCompFreq,'PDH Calc'!$K6/365)</f>
        <v>1</v>
      </c>
      <c r="Q6" s="8">
        <f ca="1">_xll.HLV5r3.Analytics.Miscellaneous.Zero2DF(_xll.HLV5r3.Analytics.Miscellaneous.LinearInterp(Peturbed_QZ,$K6,1,Q$1),ZeroCompFreq,'PDH Calc'!$K6/365)</f>
        <v>1</v>
      </c>
      <c r="R6" s="8">
        <f ca="1">_xll.HLV5r3.Analytics.Miscellaneous.Zero2DF(_xll.HLV5r3.Analytics.Miscellaneous.LinearInterp(Peturbed_QZ,$K6,1,R$1),ZeroCompFreq,'PDH Calc'!$K6/365)</f>
        <v>1</v>
      </c>
      <c r="S6" s="8">
        <f ca="1">_xll.HLV5r3.Analytics.Miscellaneous.Zero2DF(_xll.HLV5r3.Analytics.Miscellaneous.LinearInterp(Peturbed_QZ,$K6,1,S$1),ZeroCompFreq,'PDH Calc'!$K6/365)</f>
        <v>1</v>
      </c>
      <c r="T6" s="8">
        <f ca="1">_xll.HLV5r3.Analytics.Miscellaneous.Zero2DF(_xll.HLV5r3.Analytics.Miscellaneous.LinearInterp(Peturbed_QZ,$K6,1,T$1),ZeroCompFreq,'PDH Calc'!$K6/365)</f>
        <v>1</v>
      </c>
      <c r="U6" s="8">
        <f ca="1">_xll.HLV5r3.Analytics.Miscellaneous.Zero2DF(_xll.HLV5r3.Analytics.Miscellaneous.LinearInterp(Peturbed_QZ,$K6,1,U$1),ZeroCompFreq,'PDH Calc'!$K6/365)</f>
        <v>1</v>
      </c>
      <c r="V6" s="8">
        <f ca="1">_xll.HLV5r3.Analytics.Miscellaneous.Zero2DF(_xll.HLV5r3.Analytics.Miscellaneous.LinearInterp(Peturbed_QZ,$K6,1,V$1),ZeroCompFreq,'PDH Calc'!$K6/365)</f>
        <v>1</v>
      </c>
      <c r="W6" s="8">
        <f ca="1">_xll.HLV5r3.Analytics.Miscellaneous.Zero2DF(_xll.HLV5r3.Analytics.Miscellaneous.LinearInterp(Peturbed_QZ,$K6,1,W$1),ZeroCompFreq,'PDH Calc'!$K6/365)</f>
        <v>1</v>
      </c>
      <c r="X6" s="8">
        <f ca="1">_xll.HLV5r3.Analytics.Miscellaneous.Zero2DF(_xll.HLV5r3.Analytics.Miscellaneous.LinearInterp(Peturbed_QZ,$K6,1,X$1),ZeroCompFreq,'PDH Calc'!$K6/365)</f>
        <v>1</v>
      </c>
      <c r="Y6" s="8">
        <f ca="1">_xll.HLV5r3.Analytics.Miscellaneous.Zero2DF(_xll.HLV5r3.Analytics.Miscellaneous.LinearInterp(Peturbed_QZ,$K6,1,Y$1),ZeroCompFreq,'PDH Calc'!$K6/365)</f>
        <v>1</v>
      </c>
      <c r="Z6" s="8">
        <f ca="1">_xll.HLV5r3.Analytics.Miscellaneous.Zero2DF(_xll.HLV5r3.Analytics.Miscellaneous.LinearInterp(Peturbed_QZ,$K6,1,Z$1),ZeroCompFreq,'PDH Calc'!$K6/365)</f>
        <v>1</v>
      </c>
      <c r="AA6" s="8">
        <f ca="1">_xll.HLV5r3.Analytics.Miscellaneous.Zero2DF(_xll.HLV5r3.Analytics.Miscellaneous.LinearInterp(Peturbed_QZ,$K6,1,AA$1),ZeroCompFreq,'PDH Calc'!$K6/365)</f>
        <v>1</v>
      </c>
      <c r="AB6" s="8">
        <f ca="1">_xll.HLV5r3.Analytics.Miscellaneous.Zero2DF(_xll.HLV5r3.Analytics.Miscellaneous.LinearInterp(Peturbed_QZ,$K6,1,AB$1),ZeroCompFreq,'PDH Calc'!$K6/365)</f>
        <v>1</v>
      </c>
      <c r="AC6" s="8">
        <f ca="1">_xll.HLV5r3.Analytics.Miscellaneous.Zero2DF(_xll.HLV5r3.Analytics.Miscellaneous.LinearInterp(Peturbed_QZ,$K6,1,AC$1),ZeroCompFreq,'PDH Calc'!$K6/365)</f>
        <v>1</v>
      </c>
      <c r="AD6" s="8">
        <f ca="1">_xll.HLV5r3.Analytics.Miscellaneous.Zero2DF(_xll.HLV5r3.Analytics.Miscellaneous.LinearInterp(Peturbed_QZ,$K6,1,AD$1),ZeroCompFreq,'PDH Calc'!$K6/365)</f>
        <v>1</v>
      </c>
      <c r="AE6" s="8">
        <f ca="1">_xll.HLV5r3.Analytics.Miscellaneous.Zero2DF(_xll.HLV5r3.Analytics.Miscellaneous.LinearInterp(Peturbed_QZ,$K6,1,AE$1),ZeroCompFreq,'PDH Calc'!$K6/365)</f>
        <v>1</v>
      </c>
      <c r="AF6" s="8">
        <f ca="1">_xll.HLV5r3.Analytics.Miscellaneous.Zero2DF(_xll.HLV5r3.Analytics.Miscellaneous.LinearInterp(Peturbed_QZ,$K6,1,AF$1),ZeroCompFreq,'PDH Calc'!$K6/365)</f>
        <v>1</v>
      </c>
      <c r="AG6" s="8">
        <f ca="1">_xll.HLV5r3.Analytics.Miscellaneous.Zero2DF(_xll.HLV5r3.Analytics.Miscellaneous.LinearInterp(Peturbed_QZ,$K6,1,AG$1),ZeroCompFreq,'PDH Calc'!$K6/365)</f>
        <v>1</v>
      </c>
      <c r="AH6" s="8">
        <f ca="1">_xll.HLV5r3.Analytics.Miscellaneous.Zero2DF(_xll.HLV5r3.Analytics.Miscellaneous.LinearInterp(Peturbed_QZ,$K6,1,AH$1),ZeroCompFreq,'PDH Calc'!$K6/365)</f>
        <v>1</v>
      </c>
      <c r="AI6" s="8">
        <f ca="1">_xll.HLV5r3.Analytics.Miscellaneous.Zero2DF(_xll.HLV5r3.Analytics.Miscellaneous.LinearInterp(Peturbed_QZ,$K6,1,AI$1),ZeroCompFreq,'PDH Calc'!$K6/365)</f>
        <v>1</v>
      </c>
      <c r="AJ6" s="8">
        <f ca="1">_xll.HLV5r3.Analytics.Miscellaneous.Zero2DF(_xll.HLV5r3.Analytics.Miscellaneous.LinearInterp(Peturbed_QZ,$K6,1,AJ$1),ZeroCompFreq,'PDH Calc'!$K6/365)</f>
        <v>1</v>
      </c>
      <c r="AK6" s="8">
        <f ca="1">_xll.HLV5r3.Analytics.Miscellaneous.Zero2DF(_xll.HLV5r3.Analytics.Miscellaneous.LinearInterp(Peturbed_QZ,$K6,1,AK$1),ZeroCompFreq,'PDH Calc'!$K6/365)</f>
        <v>1</v>
      </c>
    </row>
    <row r="7" spans="1:37">
      <c r="A7" s="28" t="str">
        <f>'Rates &amp; Dates'!B19</f>
        <v>Jun-11</v>
      </c>
      <c r="B7" s="111">
        <f ca="1"/>
        <v>-4780.1922448575497</v>
      </c>
      <c r="C7" s="108">
        <f ca="1">B7/'Rates &amp; Dates'!F19</f>
        <v>-198.67798191381743</v>
      </c>
      <c r="D7" s="115"/>
      <c r="E7" s="6"/>
      <c r="F7" s="11"/>
      <c r="G7" s="6"/>
      <c r="H7" s="20"/>
      <c r="I7" s="21"/>
      <c r="J7" s="11"/>
      <c r="K7" s="6">
        <f t="shared" ca="1" si="5"/>
        <v>0</v>
      </c>
      <c r="L7" s="8">
        <f ca="1">_xll.HLV5r3.Analytics.Miscellaneous.Zero2DF(_xll.HLV5r3.Analytics.Miscellaneous.LinearInterp(Peturbed_QZ,$K7,1,L$1),ZeroCompFreq,'PDH Calc'!$K7/365)</f>
        <v>1</v>
      </c>
      <c r="M7" s="8">
        <f ca="1">_xll.HLV5r3.Analytics.Miscellaneous.Zero2DF(_xll.HLV5r3.Analytics.Miscellaneous.LinearInterp(Peturbed_QZ,$K7,1,M$1),ZeroCompFreq,'PDH Calc'!$K7/365)</f>
        <v>1</v>
      </c>
      <c r="N7" s="8">
        <f ca="1">_xll.HLV5r3.Analytics.Miscellaneous.Zero2DF(_xll.HLV5r3.Analytics.Miscellaneous.LinearInterp(Peturbed_QZ,$K7,1,N$1),ZeroCompFreq,'PDH Calc'!$K7/365)</f>
        <v>1</v>
      </c>
      <c r="O7" s="8">
        <f ca="1">_xll.HLV5r3.Analytics.Miscellaneous.Zero2DF(_xll.HLV5r3.Analytics.Miscellaneous.LinearInterp(Peturbed_QZ,$K7,1,O$1),ZeroCompFreq,'PDH Calc'!$K7/365)</f>
        <v>1</v>
      </c>
      <c r="P7" s="8">
        <f ca="1">_xll.HLV5r3.Analytics.Miscellaneous.Zero2DF(_xll.HLV5r3.Analytics.Miscellaneous.LinearInterp(Peturbed_QZ,$K7,1,P$1),ZeroCompFreq,'PDH Calc'!$K7/365)</f>
        <v>1</v>
      </c>
      <c r="Q7" s="8">
        <f ca="1">_xll.HLV5r3.Analytics.Miscellaneous.Zero2DF(_xll.HLV5r3.Analytics.Miscellaneous.LinearInterp(Peturbed_QZ,$K7,1,Q$1),ZeroCompFreq,'PDH Calc'!$K7/365)</f>
        <v>1</v>
      </c>
      <c r="R7" s="8">
        <f ca="1">_xll.HLV5r3.Analytics.Miscellaneous.Zero2DF(_xll.HLV5r3.Analytics.Miscellaneous.LinearInterp(Peturbed_QZ,$K7,1,R$1),ZeroCompFreq,'PDH Calc'!$K7/365)</f>
        <v>1</v>
      </c>
      <c r="S7" s="8">
        <f ca="1">_xll.HLV5r3.Analytics.Miscellaneous.Zero2DF(_xll.HLV5r3.Analytics.Miscellaneous.LinearInterp(Peturbed_QZ,$K7,1,S$1),ZeroCompFreq,'PDH Calc'!$K7/365)</f>
        <v>1</v>
      </c>
      <c r="T7" s="8">
        <f ca="1">_xll.HLV5r3.Analytics.Miscellaneous.Zero2DF(_xll.HLV5r3.Analytics.Miscellaneous.LinearInterp(Peturbed_QZ,$K7,1,T$1),ZeroCompFreq,'PDH Calc'!$K7/365)</f>
        <v>1</v>
      </c>
      <c r="U7" s="8">
        <f ca="1">_xll.HLV5r3.Analytics.Miscellaneous.Zero2DF(_xll.HLV5r3.Analytics.Miscellaneous.LinearInterp(Peturbed_QZ,$K7,1,U$1),ZeroCompFreq,'PDH Calc'!$K7/365)</f>
        <v>1</v>
      </c>
      <c r="V7" s="8">
        <f ca="1">_xll.HLV5r3.Analytics.Miscellaneous.Zero2DF(_xll.HLV5r3.Analytics.Miscellaneous.LinearInterp(Peturbed_QZ,$K7,1,V$1),ZeroCompFreq,'PDH Calc'!$K7/365)</f>
        <v>1</v>
      </c>
      <c r="W7" s="8">
        <f ca="1">_xll.HLV5r3.Analytics.Miscellaneous.Zero2DF(_xll.HLV5r3.Analytics.Miscellaneous.LinearInterp(Peturbed_QZ,$K7,1,W$1),ZeroCompFreq,'PDH Calc'!$K7/365)</f>
        <v>1</v>
      </c>
      <c r="X7" s="8">
        <f ca="1">_xll.HLV5r3.Analytics.Miscellaneous.Zero2DF(_xll.HLV5r3.Analytics.Miscellaneous.LinearInterp(Peturbed_QZ,$K7,1,X$1),ZeroCompFreq,'PDH Calc'!$K7/365)</f>
        <v>1</v>
      </c>
      <c r="Y7" s="8">
        <f ca="1">_xll.HLV5r3.Analytics.Miscellaneous.Zero2DF(_xll.HLV5r3.Analytics.Miscellaneous.LinearInterp(Peturbed_QZ,$K7,1,Y$1),ZeroCompFreq,'PDH Calc'!$K7/365)</f>
        <v>1</v>
      </c>
      <c r="Z7" s="8">
        <f ca="1">_xll.HLV5r3.Analytics.Miscellaneous.Zero2DF(_xll.HLV5r3.Analytics.Miscellaneous.LinearInterp(Peturbed_QZ,$K7,1,Z$1),ZeroCompFreq,'PDH Calc'!$K7/365)</f>
        <v>1</v>
      </c>
      <c r="AA7" s="8">
        <f ca="1">_xll.HLV5r3.Analytics.Miscellaneous.Zero2DF(_xll.HLV5r3.Analytics.Miscellaneous.LinearInterp(Peturbed_QZ,$K7,1,AA$1),ZeroCompFreq,'PDH Calc'!$K7/365)</f>
        <v>1</v>
      </c>
      <c r="AB7" s="8">
        <f ca="1">_xll.HLV5r3.Analytics.Miscellaneous.Zero2DF(_xll.HLV5r3.Analytics.Miscellaneous.LinearInterp(Peturbed_QZ,$K7,1,AB$1),ZeroCompFreq,'PDH Calc'!$K7/365)</f>
        <v>1</v>
      </c>
      <c r="AC7" s="8">
        <f ca="1">_xll.HLV5r3.Analytics.Miscellaneous.Zero2DF(_xll.HLV5r3.Analytics.Miscellaneous.LinearInterp(Peturbed_QZ,$K7,1,AC$1),ZeroCompFreq,'PDH Calc'!$K7/365)</f>
        <v>1</v>
      </c>
      <c r="AD7" s="8">
        <f ca="1">_xll.HLV5r3.Analytics.Miscellaneous.Zero2DF(_xll.HLV5r3.Analytics.Miscellaneous.LinearInterp(Peturbed_QZ,$K7,1,AD$1),ZeroCompFreq,'PDH Calc'!$K7/365)</f>
        <v>1</v>
      </c>
      <c r="AE7" s="8">
        <f ca="1">_xll.HLV5r3.Analytics.Miscellaneous.Zero2DF(_xll.HLV5r3.Analytics.Miscellaneous.LinearInterp(Peturbed_QZ,$K7,1,AE$1),ZeroCompFreq,'PDH Calc'!$K7/365)</f>
        <v>1</v>
      </c>
      <c r="AF7" s="8">
        <f ca="1">_xll.HLV5r3.Analytics.Miscellaneous.Zero2DF(_xll.HLV5r3.Analytics.Miscellaneous.LinearInterp(Peturbed_QZ,$K7,1,AF$1),ZeroCompFreq,'PDH Calc'!$K7/365)</f>
        <v>1</v>
      </c>
      <c r="AG7" s="8">
        <f ca="1">_xll.HLV5r3.Analytics.Miscellaneous.Zero2DF(_xll.HLV5r3.Analytics.Miscellaneous.LinearInterp(Peturbed_QZ,$K7,1,AG$1),ZeroCompFreq,'PDH Calc'!$K7/365)</f>
        <v>1</v>
      </c>
      <c r="AH7" s="8">
        <f ca="1">_xll.HLV5r3.Analytics.Miscellaneous.Zero2DF(_xll.HLV5r3.Analytics.Miscellaneous.LinearInterp(Peturbed_QZ,$K7,1,AH$1),ZeroCompFreq,'PDH Calc'!$K7/365)</f>
        <v>1</v>
      </c>
      <c r="AI7" s="8">
        <f ca="1">_xll.HLV5r3.Analytics.Miscellaneous.Zero2DF(_xll.HLV5r3.Analytics.Miscellaneous.LinearInterp(Peturbed_QZ,$K7,1,AI$1),ZeroCompFreq,'PDH Calc'!$K7/365)</f>
        <v>1</v>
      </c>
      <c r="AJ7" s="8">
        <f ca="1">_xll.HLV5r3.Analytics.Miscellaneous.Zero2DF(_xll.HLV5r3.Analytics.Miscellaneous.LinearInterp(Peturbed_QZ,$K7,1,AJ$1),ZeroCompFreq,'PDH Calc'!$K7/365)</f>
        <v>1</v>
      </c>
      <c r="AK7" s="8">
        <f ca="1">_xll.HLV5r3.Analytics.Miscellaneous.Zero2DF(_xll.HLV5r3.Analytics.Miscellaneous.LinearInterp(Peturbed_QZ,$K7,1,AK$1),ZeroCompFreq,'PDH Calc'!$K7/365)</f>
        <v>1</v>
      </c>
    </row>
    <row r="8" spans="1:37">
      <c r="A8" s="28" t="str">
        <f>'Rates &amp; Dates'!B20</f>
        <v>Sep-11</v>
      </c>
      <c r="B8" s="111">
        <f ca="1"/>
        <v>-4794.2731851637363</v>
      </c>
      <c r="C8" s="108">
        <f ca="1">B8/'Rates &amp; Dates'!F20</f>
        <v>-199.42900104643539</v>
      </c>
      <c r="D8" s="115"/>
      <c r="E8" s="6"/>
      <c r="F8" s="11"/>
      <c r="G8" s="6"/>
      <c r="H8" s="20"/>
      <c r="I8" s="21"/>
      <c r="J8" s="2"/>
      <c r="K8" s="6">
        <f t="shared" ca="1" si="5"/>
        <v>0</v>
      </c>
      <c r="L8" s="8">
        <f ca="1">_xll.HLV5r3.Analytics.Miscellaneous.Zero2DF(_xll.HLV5r3.Analytics.Miscellaneous.LinearInterp(Peturbed_QZ,$K8,1,L$1),ZeroCompFreq,'PDH Calc'!$K8/365)</f>
        <v>1</v>
      </c>
      <c r="M8" s="8">
        <f ca="1">_xll.HLV5r3.Analytics.Miscellaneous.Zero2DF(_xll.HLV5r3.Analytics.Miscellaneous.LinearInterp(Peturbed_QZ,$K8,1,M$1),ZeroCompFreq,'PDH Calc'!$K8/365)</f>
        <v>1</v>
      </c>
      <c r="N8" s="8">
        <f ca="1">_xll.HLV5r3.Analytics.Miscellaneous.Zero2DF(_xll.HLV5r3.Analytics.Miscellaneous.LinearInterp(Peturbed_QZ,$K8,1,N$1),ZeroCompFreq,'PDH Calc'!$K8/365)</f>
        <v>1</v>
      </c>
      <c r="O8" s="8">
        <f ca="1">_xll.HLV5r3.Analytics.Miscellaneous.Zero2DF(_xll.HLV5r3.Analytics.Miscellaneous.LinearInterp(Peturbed_QZ,$K8,1,O$1),ZeroCompFreq,'PDH Calc'!$K8/365)</f>
        <v>1</v>
      </c>
      <c r="P8" s="8">
        <f ca="1">_xll.HLV5r3.Analytics.Miscellaneous.Zero2DF(_xll.HLV5r3.Analytics.Miscellaneous.LinearInterp(Peturbed_QZ,$K8,1,P$1),ZeroCompFreq,'PDH Calc'!$K8/365)</f>
        <v>1</v>
      </c>
      <c r="Q8" s="8">
        <f ca="1">_xll.HLV5r3.Analytics.Miscellaneous.Zero2DF(_xll.HLV5r3.Analytics.Miscellaneous.LinearInterp(Peturbed_QZ,$K8,1,Q$1),ZeroCompFreq,'PDH Calc'!$K8/365)</f>
        <v>1</v>
      </c>
      <c r="R8" s="8">
        <f ca="1">_xll.HLV5r3.Analytics.Miscellaneous.Zero2DF(_xll.HLV5r3.Analytics.Miscellaneous.LinearInterp(Peturbed_QZ,$K8,1,R$1),ZeroCompFreq,'PDH Calc'!$K8/365)</f>
        <v>1</v>
      </c>
      <c r="S8" s="8">
        <f ca="1">_xll.HLV5r3.Analytics.Miscellaneous.Zero2DF(_xll.HLV5r3.Analytics.Miscellaneous.LinearInterp(Peturbed_QZ,$K8,1,S$1),ZeroCompFreq,'PDH Calc'!$K8/365)</f>
        <v>1</v>
      </c>
      <c r="T8" s="8">
        <f ca="1">_xll.HLV5r3.Analytics.Miscellaneous.Zero2DF(_xll.HLV5r3.Analytics.Miscellaneous.LinearInterp(Peturbed_QZ,$K8,1,T$1),ZeroCompFreq,'PDH Calc'!$K8/365)</f>
        <v>1</v>
      </c>
      <c r="U8" s="8">
        <f ca="1">_xll.HLV5r3.Analytics.Miscellaneous.Zero2DF(_xll.HLV5r3.Analytics.Miscellaneous.LinearInterp(Peturbed_QZ,$K8,1,U$1),ZeroCompFreq,'PDH Calc'!$K8/365)</f>
        <v>1</v>
      </c>
      <c r="V8" s="8">
        <f ca="1">_xll.HLV5r3.Analytics.Miscellaneous.Zero2DF(_xll.HLV5r3.Analytics.Miscellaneous.LinearInterp(Peturbed_QZ,$K8,1,V$1),ZeroCompFreq,'PDH Calc'!$K8/365)</f>
        <v>1</v>
      </c>
      <c r="W8" s="8">
        <f ca="1">_xll.HLV5r3.Analytics.Miscellaneous.Zero2DF(_xll.HLV5r3.Analytics.Miscellaneous.LinearInterp(Peturbed_QZ,$K8,1,W$1),ZeroCompFreq,'PDH Calc'!$K8/365)</f>
        <v>1</v>
      </c>
      <c r="X8" s="8">
        <f ca="1">_xll.HLV5r3.Analytics.Miscellaneous.Zero2DF(_xll.HLV5r3.Analytics.Miscellaneous.LinearInterp(Peturbed_QZ,$K8,1,X$1),ZeroCompFreq,'PDH Calc'!$K8/365)</f>
        <v>1</v>
      </c>
      <c r="Y8" s="8">
        <f ca="1">_xll.HLV5r3.Analytics.Miscellaneous.Zero2DF(_xll.HLV5r3.Analytics.Miscellaneous.LinearInterp(Peturbed_QZ,$K8,1,Y$1),ZeroCompFreq,'PDH Calc'!$K8/365)</f>
        <v>1</v>
      </c>
      <c r="Z8" s="8">
        <f ca="1">_xll.HLV5r3.Analytics.Miscellaneous.Zero2DF(_xll.HLV5r3.Analytics.Miscellaneous.LinearInterp(Peturbed_QZ,$K8,1,Z$1),ZeroCompFreq,'PDH Calc'!$K8/365)</f>
        <v>1</v>
      </c>
      <c r="AA8" s="8">
        <f ca="1">_xll.HLV5r3.Analytics.Miscellaneous.Zero2DF(_xll.HLV5r3.Analytics.Miscellaneous.LinearInterp(Peturbed_QZ,$K8,1,AA$1),ZeroCompFreq,'PDH Calc'!$K8/365)</f>
        <v>1</v>
      </c>
      <c r="AB8" s="8">
        <f ca="1">_xll.HLV5r3.Analytics.Miscellaneous.Zero2DF(_xll.HLV5r3.Analytics.Miscellaneous.LinearInterp(Peturbed_QZ,$K8,1,AB$1),ZeroCompFreq,'PDH Calc'!$K8/365)</f>
        <v>1</v>
      </c>
      <c r="AC8" s="8">
        <f ca="1">_xll.HLV5r3.Analytics.Miscellaneous.Zero2DF(_xll.HLV5r3.Analytics.Miscellaneous.LinearInterp(Peturbed_QZ,$K8,1,AC$1),ZeroCompFreq,'PDH Calc'!$K8/365)</f>
        <v>1</v>
      </c>
      <c r="AD8" s="8">
        <f ca="1">_xll.HLV5r3.Analytics.Miscellaneous.Zero2DF(_xll.HLV5r3.Analytics.Miscellaneous.LinearInterp(Peturbed_QZ,$K8,1,AD$1),ZeroCompFreq,'PDH Calc'!$K8/365)</f>
        <v>1</v>
      </c>
      <c r="AE8" s="8">
        <f ca="1">_xll.HLV5r3.Analytics.Miscellaneous.Zero2DF(_xll.HLV5r3.Analytics.Miscellaneous.LinearInterp(Peturbed_QZ,$K8,1,AE$1),ZeroCompFreq,'PDH Calc'!$K8/365)</f>
        <v>1</v>
      </c>
      <c r="AF8" s="8">
        <f ca="1">_xll.HLV5r3.Analytics.Miscellaneous.Zero2DF(_xll.HLV5r3.Analytics.Miscellaneous.LinearInterp(Peturbed_QZ,$K8,1,AF$1),ZeroCompFreq,'PDH Calc'!$K8/365)</f>
        <v>1</v>
      </c>
      <c r="AG8" s="8">
        <f ca="1">_xll.HLV5r3.Analytics.Miscellaneous.Zero2DF(_xll.HLV5r3.Analytics.Miscellaneous.LinearInterp(Peturbed_QZ,$K8,1,AG$1),ZeroCompFreq,'PDH Calc'!$K8/365)</f>
        <v>1</v>
      </c>
      <c r="AH8" s="8">
        <f ca="1">_xll.HLV5r3.Analytics.Miscellaneous.Zero2DF(_xll.HLV5r3.Analytics.Miscellaneous.LinearInterp(Peturbed_QZ,$K8,1,AH$1),ZeroCompFreq,'PDH Calc'!$K8/365)</f>
        <v>1</v>
      </c>
      <c r="AI8" s="8">
        <f ca="1">_xll.HLV5r3.Analytics.Miscellaneous.Zero2DF(_xll.HLV5r3.Analytics.Miscellaneous.LinearInterp(Peturbed_QZ,$K8,1,AI$1),ZeroCompFreq,'PDH Calc'!$K8/365)</f>
        <v>1</v>
      </c>
      <c r="AJ8" s="8">
        <f ca="1">_xll.HLV5r3.Analytics.Miscellaneous.Zero2DF(_xll.HLV5r3.Analytics.Miscellaneous.LinearInterp(Peturbed_QZ,$K8,1,AJ$1),ZeroCompFreq,'PDH Calc'!$K8/365)</f>
        <v>1</v>
      </c>
      <c r="AK8" s="8">
        <f ca="1">_xll.HLV5r3.Analytics.Miscellaneous.Zero2DF(_xll.HLV5r3.Analytics.Miscellaneous.LinearInterp(Peturbed_QZ,$K8,1,AK$1),ZeroCompFreq,'PDH Calc'!$K8/365)</f>
        <v>1</v>
      </c>
    </row>
    <row r="9" spans="1:37">
      <c r="A9" s="28" t="str">
        <f>'Rates &amp; Dates'!B21</f>
        <v>Dec-11</v>
      </c>
      <c r="B9" s="111">
        <f ca="1"/>
        <v>-4792.8896253108978</v>
      </c>
      <c r="C9" s="108">
        <f ca="1">B9/'Rates &amp; Dates'!F21</f>
        <v>-199.53745317681853</v>
      </c>
      <c r="D9" s="115"/>
      <c r="E9" s="6"/>
      <c r="F9" s="11"/>
      <c r="G9" s="6"/>
      <c r="H9" s="20"/>
      <c r="I9" s="21"/>
      <c r="J9" s="6"/>
      <c r="K9" s="6">
        <f t="shared" ca="1" si="5"/>
        <v>0</v>
      </c>
      <c r="L9" s="8">
        <f ca="1">_xll.HLV5r3.Analytics.Miscellaneous.Zero2DF(_xll.HLV5r3.Analytics.Miscellaneous.LinearInterp(Peturbed_QZ,$K9,1,L$1),ZeroCompFreq,'PDH Calc'!$K9/365)</f>
        <v>1</v>
      </c>
      <c r="M9" s="8">
        <f ca="1">_xll.HLV5r3.Analytics.Miscellaneous.Zero2DF(_xll.HLV5r3.Analytics.Miscellaneous.LinearInterp(Peturbed_QZ,$K9,1,M$1),ZeroCompFreq,'PDH Calc'!$K9/365)</f>
        <v>1</v>
      </c>
      <c r="N9" s="8">
        <f ca="1">_xll.HLV5r3.Analytics.Miscellaneous.Zero2DF(_xll.HLV5r3.Analytics.Miscellaneous.LinearInterp(Peturbed_QZ,$K9,1,N$1),ZeroCompFreq,'PDH Calc'!$K9/365)</f>
        <v>1</v>
      </c>
      <c r="O9" s="8">
        <f ca="1">_xll.HLV5r3.Analytics.Miscellaneous.Zero2DF(_xll.HLV5r3.Analytics.Miscellaneous.LinearInterp(Peturbed_QZ,$K9,1,O$1),ZeroCompFreq,'PDH Calc'!$K9/365)</f>
        <v>1</v>
      </c>
      <c r="P9" s="8">
        <f ca="1">_xll.HLV5r3.Analytics.Miscellaneous.Zero2DF(_xll.HLV5r3.Analytics.Miscellaneous.LinearInterp(Peturbed_QZ,$K9,1,P$1),ZeroCompFreq,'PDH Calc'!$K9/365)</f>
        <v>1</v>
      </c>
      <c r="Q9" s="8">
        <f ca="1">_xll.HLV5r3.Analytics.Miscellaneous.Zero2DF(_xll.HLV5r3.Analytics.Miscellaneous.LinearInterp(Peturbed_QZ,$K9,1,Q$1),ZeroCompFreq,'PDH Calc'!$K9/365)</f>
        <v>1</v>
      </c>
      <c r="R9" s="8">
        <f ca="1">_xll.HLV5r3.Analytics.Miscellaneous.Zero2DF(_xll.HLV5r3.Analytics.Miscellaneous.LinearInterp(Peturbed_QZ,$K9,1,R$1),ZeroCompFreq,'PDH Calc'!$K9/365)</f>
        <v>1</v>
      </c>
      <c r="S9" s="8">
        <f ca="1">_xll.HLV5r3.Analytics.Miscellaneous.Zero2DF(_xll.HLV5r3.Analytics.Miscellaneous.LinearInterp(Peturbed_QZ,$K9,1,S$1),ZeroCompFreq,'PDH Calc'!$K9/365)</f>
        <v>1</v>
      </c>
      <c r="T9" s="8">
        <f ca="1">_xll.HLV5r3.Analytics.Miscellaneous.Zero2DF(_xll.HLV5r3.Analytics.Miscellaneous.LinearInterp(Peturbed_QZ,$K9,1,T$1),ZeroCompFreq,'PDH Calc'!$K9/365)</f>
        <v>1</v>
      </c>
      <c r="U9" s="8">
        <f ca="1">_xll.HLV5r3.Analytics.Miscellaneous.Zero2DF(_xll.HLV5r3.Analytics.Miscellaneous.LinearInterp(Peturbed_QZ,$K9,1,U$1),ZeroCompFreq,'PDH Calc'!$K9/365)</f>
        <v>1</v>
      </c>
      <c r="V9" s="8">
        <f ca="1">_xll.HLV5r3.Analytics.Miscellaneous.Zero2DF(_xll.HLV5r3.Analytics.Miscellaneous.LinearInterp(Peturbed_QZ,$K9,1,V$1),ZeroCompFreq,'PDH Calc'!$K9/365)</f>
        <v>1</v>
      </c>
      <c r="W9" s="8">
        <f ca="1">_xll.HLV5r3.Analytics.Miscellaneous.Zero2DF(_xll.HLV5r3.Analytics.Miscellaneous.LinearInterp(Peturbed_QZ,$K9,1,W$1),ZeroCompFreq,'PDH Calc'!$K9/365)</f>
        <v>1</v>
      </c>
      <c r="X9" s="8">
        <f ca="1">_xll.HLV5r3.Analytics.Miscellaneous.Zero2DF(_xll.HLV5r3.Analytics.Miscellaneous.LinearInterp(Peturbed_QZ,$K9,1,X$1),ZeroCompFreq,'PDH Calc'!$K9/365)</f>
        <v>1</v>
      </c>
      <c r="Y9" s="8">
        <f ca="1">_xll.HLV5r3.Analytics.Miscellaneous.Zero2DF(_xll.HLV5r3.Analytics.Miscellaneous.LinearInterp(Peturbed_QZ,$K9,1,Y$1),ZeroCompFreq,'PDH Calc'!$K9/365)</f>
        <v>1</v>
      </c>
      <c r="Z9" s="8">
        <f ca="1">_xll.HLV5r3.Analytics.Miscellaneous.Zero2DF(_xll.HLV5r3.Analytics.Miscellaneous.LinearInterp(Peturbed_QZ,$K9,1,Z$1),ZeroCompFreq,'PDH Calc'!$K9/365)</f>
        <v>1</v>
      </c>
      <c r="AA9" s="8">
        <f ca="1">_xll.HLV5r3.Analytics.Miscellaneous.Zero2DF(_xll.HLV5r3.Analytics.Miscellaneous.LinearInterp(Peturbed_QZ,$K9,1,AA$1),ZeroCompFreq,'PDH Calc'!$K9/365)</f>
        <v>1</v>
      </c>
      <c r="AB9" s="8">
        <f ca="1">_xll.HLV5r3.Analytics.Miscellaneous.Zero2DF(_xll.HLV5r3.Analytics.Miscellaneous.LinearInterp(Peturbed_QZ,$K9,1,AB$1),ZeroCompFreq,'PDH Calc'!$K9/365)</f>
        <v>1</v>
      </c>
      <c r="AC9" s="8">
        <f ca="1">_xll.HLV5r3.Analytics.Miscellaneous.Zero2DF(_xll.HLV5r3.Analytics.Miscellaneous.LinearInterp(Peturbed_QZ,$K9,1,AC$1),ZeroCompFreq,'PDH Calc'!$K9/365)</f>
        <v>1</v>
      </c>
      <c r="AD9" s="8">
        <f ca="1">_xll.HLV5r3.Analytics.Miscellaneous.Zero2DF(_xll.HLV5r3.Analytics.Miscellaneous.LinearInterp(Peturbed_QZ,$K9,1,AD$1),ZeroCompFreq,'PDH Calc'!$K9/365)</f>
        <v>1</v>
      </c>
      <c r="AE9" s="8">
        <f ca="1">_xll.HLV5r3.Analytics.Miscellaneous.Zero2DF(_xll.HLV5r3.Analytics.Miscellaneous.LinearInterp(Peturbed_QZ,$K9,1,AE$1),ZeroCompFreq,'PDH Calc'!$K9/365)</f>
        <v>1</v>
      </c>
      <c r="AF9" s="8">
        <f ca="1">_xll.HLV5r3.Analytics.Miscellaneous.Zero2DF(_xll.HLV5r3.Analytics.Miscellaneous.LinearInterp(Peturbed_QZ,$K9,1,AF$1),ZeroCompFreq,'PDH Calc'!$K9/365)</f>
        <v>1</v>
      </c>
      <c r="AG9" s="8">
        <f ca="1">_xll.HLV5r3.Analytics.Miscellaneous.Zero2DF(_xll.HLV5r3.Analytics.Miscellaneous.LinearInterp(Peturbed_QZ,$K9,1,AG$1),ZeroCompFreq,'PDH Calc'!$K9/365)</f>
        <v>1</v>
      </c>
      <c r="AH9" s="8">
        <f ca="1">_xll.HLV5r3.Analytics.Miscellaneous.Zero2DF(_xll.HLV5r3.Analytics.Miscellaneous.LinearInterp(Peturbed_QZ,$K9,1,AH$1),ZeroCompFreq,'PDH Calc'!$K9/365)</f>
        <v>1</v>
      </c>
      <c r="AI9" s="8">
        <f ca="1">_xll.HLV5r3.Analytics.Miscellaneous.Zero2DF(_xll.HLV5r3.Analytics.Miscellaneous.LinearInterp(Peturbed_QZ,$K9,1,AI$1),ZeroCompFreq,'PDH Calc'!$K9/365)</f>
        <v>1</v>
      </c>
      <c r="AJ9" s="8">
        <f ca="1">_xll.HLV5r3.Analytics.Miscellaneous.Zero2DF(_xll.HLV5r3.Analytics.Miscellaneous.LinearInterp(Peturbed_QZ,$K9,1,AJ$1),ZeroCompFreq,'PDH Calc'!$K9/365)</f>
        <v>1</v>
      </c>
      <c r="AK9" s="8">
        <f ca="1">_xll.HLV5r3.Analytics.Miscellaneous.Zero2DF(_xll.HLV5r3.Analytics.Miscellaneous.LinearInterp(Peturbed_QZ,$K9,1,AK$1),ZeroCompFreq,'PDH Calc'!$K9/365)</f>
        <v>1</v>
      </c>
    </row>
    <row r="10" spans="1:37">
      <c r="A10" s="28" t="str">
        <f>'Rates &amp; Dates'!B22</f>
        <v>Mar-12</v>
      </c>
      <c r="B10" s="111">
        <f ca="1"/>
        <v>-3572.5425426363945</v>
      </c>
      <c r="C10" s="108">
        <f ca="1">B10/'Rates &amp; Dates'!F22</f>
        <v>-148.79394180070841</v>
      </c>
      <c r="D10" s="110"/>
      <c r="E10" s="11"/>
      <c r="F10" s="11"/>
      <c r="G10" s="6"/>
      <c r="H10" s="20"/>
      <c r="I10" s="21"/>
      <c r="J10" s="11"/>
      <c r="K10" s="6">
        <f t="shared" ca="1" si="5"/>
        <v>0</v>
      </c>
      <c r="L10" s="8">
        <f ca="1">_xll.HLV5r3.Analytics.Miscellaneous.Zero2DF(_xll.HLV5r3.Analytics.Miscellaneous.LinearInterp(Peturbed_QZ,$K10,1,L$1),ZeroCompFreq,'PDH Calc'!$K10/365)</f>
        <v>1</v>
      </c>
      <c r="M10" s="8">
        <f ca="1">_xll.HLV5r3.Analytics.Miscellaneous.Zero2DF(_xll.HLV5r3.Analytics.Miscellaneous.LinearInterp(Peturbed_QZ,$K10,1,M$1),ZeroCompFreq,'PDH Calc'!$K10/365)</f>
        <v>1</v>
      </c>
      <c r="N10" s="8">
        <f ca="1">_xll.HLV5r3.Analytics.Miscellaneous.Zero2DF(_xll.HLV5r3.Analytics.Miscellaneous.LinearInterp(Peturbed_QZ,$K10,1,N$1),ZeroCompFreq,'PDH Calc'!$K10/365)</f>
        <v>1</v>
      </c>
      <c r="O10" s="8">
        <f ca="1">_xll.HLV5r3.Analytics.Miscellaneous.Zero2DF(_xll.HLV5r3.Analytics.Miscellaneous.LinearInterp(Peturbed_QZ,$K10,1,O$1),ZeroCompFreq,'PDH Calc'!$K10/365)</f>
        <v>1</v>
      </c>
      <c r="P10" s="8">
        <f ca="1">_xll.HLV5r3.Analytics.Miscellaneous.Zero2DF(_xll.HLV5r3.Analytics.Miscellaneous.LinearInterp(Peturbed_QZ,$K10,1,P$1),ZeroCompFreq,'PDH Calc'!$K10/365)</f>
        <v>1</v>
      </c>
      <c r="Q10" s="8">
        <f ca="1">_xll.HLV5r3.Analytics.Miscellaneous.Zero2DF(_xll.HLV5r3.Analytics.Miscellaneous.LinearInterp(Peturbed_QZ,$K10,1,Q$1),ZeroCompFreq,'PDH Calc'!$K10/365)</f>
        <v>1</v>
      </c>
      <c r="R10" s="8">
        <f ca="1">_xll.HLV5r3.Analytics.Miscellaneous.Zero2DF(_xll.HLV5r3.Analytics.Miscellaneous.LinearInterp(Peturbed_QZ,$K10,1,R$1),ZeroCompFreq,'PDH Calc'!$K10/365)</f>
        <v>1</v>
      </c>
      <c r="S10" s="8">
        <f ca="1">_xll.HLV5r3.Analytics.Miscellaneous.Zero2DF(_xll.HLV5r3.Analytics.Miscellaneous.LinearInterp(Peturbed_QZ,$K10,1,S$1),ZeroCompFreq,'PDH Calc'!$K10/365)</f>
        <v>1</v>
      </c>
      <c r="T10" s="8">
        <f ca="1">_xll.HLV5r3.Analytics.Miscellaneous.Zero2DF(_xll.HLV5r3.Analytics.Miscellaneous.LinearInterp(Peturbed_QZ,$K10,1,T$1),ZeroCompFreq,'PDH Calc'!$K10/365)</f>
        <v>1</v>
      </c>
      <c r="U10" s="8">
        <f ca="1">_xll.HLV5r3.Analytics.Miscellaneous.Zero2DF(_xll.HLV5r3.Analytics.Miscellaneous.LinearInterp(Peturbed_QZ,$K10,1,U$1),ZeroCompFreq,'PDH Calc'!$K10/365)</f>
        <v>1</v>
      </c>
      <c r="V10" s="8">
        <f ca="1">_xll.HLV5r3.Analytics.Miscellaneous.Zero2DF(_xll.HLV5r3.Analytics.Miscellaneous.LinearInterp(Peturbed_QZ,$K10,1,V$1),ZeroCompFreq,'PDH Calc'!$K10/365)</f>
        <v>1</v>
      </c>
      <c r="W10" s="8">
        <f ca="1">_xll.HLV5r3.Analytics.Miscellaneous.Zero2DF(_xll.HLV5r3.Analytics.Miscellaneous.LinearInterp(Peturbed_QZ,$K10,1,W$1),ZeroCompFreq,'PDH Calc'!$K10/365)</f>
        <v>1</v>
      </c>
      <c r="X10" s="8">
        <f ca="1">_xll.HLV5r3.Analytics.Miscellaneous.Zero2DF(_xll.HLV5r3.Analytics.Miscellaneous.LinearInterp(Peturbed_QZ,$K10,1,X$1),ZeroCompFreq,'PDH Calc'!$K10/365)</f>
        <v>1</v>
      </c>
      <c r="Y10" s="8">
        <f ca="1">_xll.HLV5r3.Analytics.Miscellaneous.Zero2DF(_xll.HLV5r3.Analytics.Miscellaneous.LinearInterp(Peturbed_QZ,$K10,1,Y$1),ZeroCompFreq,'PDH Calc'!$K10/365)</f>
        <v>1</v>
      </c>
      <c r="Z10" s="8">
        <f ca="1">_xll.HLV5r3.Analytics.Miscellaneous.Zero2DF(_xll.HLV5r3.Analytics.Miscellaneous.LinearInterp(Peturbed_QZ,$K10,1,Z$1),ZeroCompFreq,'PDH Calc'!$K10/365)</f>
        <v>1</v>
      </c>
      <c r="AA10" s="8">
        <f ca="1">_xll.HLV5r3.Analytics.Miscellaneous.Zero2DF(_xll.HLV5r3.Analytics.Miscellaneous.LinearInterp(Peturbed_QZ,$K10,1,AA$1),ZeroCompFreq,'PDH Calc'!$K10/365)</f>
        <v>1</v>
      </c>
      <c r="AB10" s="8">
        <f ca="1">_xll.HLV5r3.Analytics.Miscellaneous.Zero2DF(_xll.HLV5r3.Analytics.Miscellaneous.LinearInterp(Peturbed_QZ,$K10,1,AB$1),ZeroCompFreq,'PDH Calc'!$K10/365)</f>
        <v>1</v>
      </c>
      <c r="AC10" s="8">
        <f ca="1">_xll.HLV5r3.Analytics.Miscellaneous.Zero2DF(_xll.HLV5r3.Analytics.Miscellaneous.LinearInterp(Peturbed_QZ,$K10,1,AC$1),ZeroCompFreq,'PDH Calc'!$K10/365)</f>
        <v>1</v>
      </c>
      <c r="AD10" s="8">
        <f ca="1">_xll.HLV5r3.Analytics.Miscellaneous.Zero2DF(_xll.HLV5r3.Analytics.Miscellaneous.LinearInterp(Peturbed_QZ,$K10,1,AD$1),ZeroCompFreq,'PDH Calc'!$K10/365)</f>
        <v>1</v>
      </c>
      <c r="AE10" s="8">
        <f ca="1">_xll.HLV5r3.Analytics.Miscellaneous.Zero2DF(_xll.HLV5r3.Analytics.Miscellaneous.LinearInterp(Peturbed_QZ,$K10,1,AE$1),ZeroCompFreq,'PDH Calc'!$K10/365)</f>
        <v>1</v>
      </c>
      <c r="AF10" s="8">
        <f ca="1">_xll.HLV5r3.Analytics.Miscellaneous.Zero2DF(_xll.HLV5r3.Analytics.Miscellaneous.LinearInterp(Peturbed_QZ,$K10,1,AF$1),ZeroCompFreq,'PDH Calc'!$K10/365)</f>
        <v>1</v>
      </c>
      <c r="AG10" s="8">
        <f ca="1">_xll.HLV5r3.Analytics.Miscellaneous.Zero2DF(_xll.HLV5r3.Analytics.Miscellaneous.LinearInterp(Peturbed_QZ,$K10,1,AG$1),ZeroCompFreq,'PDH Calc'!$K10/365)</f>
        <v>1</v>
      </c>
      <c r="AH10" s="8">
        <f ca="1">_xll.HLV5r3.Analytics.Miscellaneous.Zero2DF(_xll.HLV5r3.Analytics.Miscellaneous.LinearInterp(Peturbed_QZ,$K10,1,AH$1),ZeroCompFreq,'PDH Calc'!$K10/365)</f>
        <v>1</v>
      </c>
      <c r="AI10" s="8">
        <f ca="1">_xll.HLV5r3.Analytics.Miscellaneous.Zero2DF(_xll.HLV5r3.Analytics.Miscellaneous.LinearInterp(Peturbed_QZ,$K10,1,AI$1),ZeroCompFreq,'PDH Calc'!$K10/365)</f>
        <v>1</v>
      </c>
      <c r="AJ10" s="8">
        <f ca="1">_xll.HLV5r3.Analytics.Miscellaneous.Zero2DF(_xll.HLV5r3.Analytics.Miscellaneous.LinearInterp(Peturbed_QZ,$K10,1,AJ$1),ZeroCompFreq,'PDH Calc'!$K10/365)</f>
        <v>1</v>
      </c>
      <c r="AK10" s="8">
        <f ca="1">_xll.HLV5r3.Analytics.Miscellaneous.Zero2DF(_xll.HLV5r3.Analytics.Miscellaneous.LinearInterp(Peturbed_QZ,$K10,1,AK$1),ZeroCompFreq,'PDH Calc'!$K10/365)</f>
        <v>1</v>
      </c>
    </row>
    <row r="11" spans="1:37">
      <c r="A11" s="28" t="str">
        <f>'Rates &amp; Dates'!B23</f>
        <v>Jun-12</v>
      </c>
      <c r="B11" s="111">
        <f ca="1"/>
        <v>0</v>
      </c>
      <c r="C11" s="108">
        <f ca="1">B11/'Rates &amp; Dates'!F23</f>
        <v>0</v>
      </c>
      <c r="D11" s="110"/>
      <c r="E11" s="11"/>
      <c r="F11" s="11"/>
      <c r="G11" s="6"/>
      <c r="H11" s="20"/>
      <c r="I11" s="21"/>
      <c r="J11" s="11"/>
      <c r="K11" s="6">
        <f t="shared" ca="1" si="5"/>
        <v>0</v>
      </c>
      <c r="L11" s="8">
        <f ca="1">_xll.HLV5r3.Analytics.Miscellaneous.Zero2DF(_xll.HLV5r3.Analytics.Miscellaneous.LinearInterp(Peturbed_QZ,$K11,1,L$1),ZeroCompFreq,'PDH Calc'!$K11/365)</f>
        <v>1</v>
      </c>
      <c r="M11" s="8">
        <f ca="1">_xll.HLV5r3.Analytics.Miscellaneous.Zero2DF(_xll.HLV5r3.Analytics.Miscellaneous.LinearInterp(Peturbed_QZ,$K11,1,M$1),ZeroCompFreq,'PDH Calc'!$K11/365)</f>
        <v>1</v>
      </c>
      <c r="N11" s="8">
        <f ca="1">_xll.HLV5r3.Analytics.Miscellaneous.Zero2DF(_xll.HLV5r3.Analytics.Miscellaneous.LinearInterp(Peturbed_QZ,$K11,1,N$1),ZeroCompFreq,'PDH Calc'!$K11/365)</f>
        <v>1</v>
      </c>
      <c r="O11" s="8">
        <f ca="1">_xll.HLV5r3.Analytics.Miscellaneous.Zero2DF(_xll.HLV5r3.Analytics.Miscellaneous.LinearInterp(Peturbed_QZ,$K11,1,O$1),ZeroCompFreq,'PDH Calc'!$K11/365)</f>
        <v>1</v>
      </c>
      <c r="P11" s="8">
        <f ca="1">_xll.HLV5r3.Analytics.Miscellaneous.Zero2DF(_xll.HLV5r3.Analytics.Miscellaneous.LinearInterp(Peturbed_QZ,$K11,1,P$1),ZeroCompFreq,'PDH Calc'!$K11/365)</f>
        <v>1</v>
      </c>
      <c r="Q11" s="8">
        <f ca="1">_xll.HLV5r3.Analytics.Miscellaneous.Zero2DF(_xll.HLV5r3.Analytics.Miscellaneous.LinearInterp(Peturbed_QZ,$K11,1,Q$1),ZeroCompFreq,'PDH Calc'!$K11/365)</f>
        <v>1</v>
      </c>
      <c r="R11" s="8">
        <f ca="1">_xll.HLV5r3.Analytics.Miscellaneous.Zero2DF(_xll.HLV5r3.Analytics.Miscellaneous.LinearInterp(Peturbed_QZ,$K11,1,R$1),ZeroCompFreq,'PDH Calc'!$K11/365)</f>
        <v>1</v>
      </c>
      <c r="S11" s="8">
        <f ca="1">_xll.HLV5r3.Analytics.Miscellaneous.Zero2DF(_xll.HLV5r3.Analytics.Miscellaneous.LinearInterp(Peturbed_QZ,$K11,1,S$1),ZeroCompFreq,'PDH Calc'!$K11/365)</f>
        <v>1</v>
      </c>
      <c r="T11" s="8">
        <f ca="1">_xll.HLV5r3.Analytics.Miscellaneous.Zero2DF(_xll.HLV5r3.Analytics.Miscellaneous.LinearInterp(Peturbed_QZ,$K11,1,T$1),ZeroCompFreq,'PDH Calc'!$K11/365)</f>
        <v>1</v>
      </c>
      <c r="U11" s="8">
        <f ca="1">_xll.HLV5r3.Analytics.Miscellaneous.Zero2DF(_xll.HLV5r3.Analytics.Miscellaneous.LinearInterp(Peturbed_QZ,$K11,1,U$1),ZeroCompFreq,'PDH Calc'!$K11/365)</f>
        <v>1</v>
      </c>
      <c r="V11" s="8">
        <f ca="1">_xll.HLV5r3.Analytics.Miscellaneous.Zero2DF(_xll.HLV5r3.Analytics.Miscellaneous.LinearInterp(Peturbed_QZ,$K11,1,V$1),ZeroCompFreq,'PDH Calc'!$K11/365)</f>
        <v>1</v>
      </c>
      <c r="W11" s="8">
        <f ca="1">_xll.HLV5r3.Analytics.Miscellaneous.Zero2DF(_xll.HLV5r3.Analytics.Miscellaneous.LinearInterp(Peturbed_QZ,$K11,1,W$1),ZeroCompFreq,'PDH Calc'!$K11/365)</f>
        <v>1</v>
      </c>
      <c r="X11" s="8">
        <f ca="1">_xll.HLV5r3.Analytics.Miscellaneous.Zero2DF(_xll.HLV5r3.Analytics.Miscellaneous.LinearInterp(Peturbed_QZ,$K11,1,X$1),ZeroCompFreq,'PDH Calc'!$K11/365)</f>
        <v>1</v>
      </c>
      <c r="Y11" s="8">
        <f ca="1">_xll.HLV5r3.Analytics.Miscellaneous.Zero2DF(_xll.HLV5r3.Analytics.Miscellaneous.LinearInterp(Peturbed_QZ,$K11,1,Y$1),ZeroCompFreq,'PDH Calc'!$K11/365)</f>
        <v>1</v>
      </c>
      <c r="Z11" s="8">
        <f ca="1">_xll.HLV5r3.Analytics.Miscellaneous.Zero2DF(_xll.HLV5r3.Analytics.Miscellaneous.LinearInterp(Peturbed_QZ,$K11,1,Z$1),ZeroCompFreq,'PDH Calc'!$K11/365)</f>
        <v>1</v>
      </c>
      <c r="AA11" s="8">
        <f ca="1">_xll.HLV5r3.Analytics.Miscellaneous.Zero2DF(_xll.HLV5r3.Analytics.Miscellaneous.LinearInterp(Peturbed_QZ,$K11,1,AA$1),ZeroCompFreq,'PDH Calc'!$K11/365)</f>
        <v>1</v>
      </c>
      <c r="AB11" s="8">
        <f ca="1">_xll.HLV5r3.Analytics.Miscellaneous.Zero2DF(_xll.HLV5r3.Analytics.Miscellaneous.LinearInterp(Peturbed_QZ,$K11,1,AB$1),ZeroCompFreq,'PDH Calc'!$K11/365)</f>
        <v>1</v>
      </c>
      <c r="AC11" s="8">
        <f ca="1">_xll.HLV5r3.Analytics.Miscellaneous.Zero2DF(_xll.HLV5r3.Analytics.Miscellaneous.LinearInterp(Peturbed_QZ,$K11,1,AC$1),ZeroCompFreq,'PDH Calc'!$K11/365)</f>
        <v>1</v>
      </c>
      <c r="AD11" s="8">
        <f ca="1">_xll.HLV5r3.Analytics.Miscellaneous.Zero2DF(_xll.HLV5r3.Analytics.Miscellaneous.LinearInterp(Peturbed_QZ,$K11,1,AD$1),ZeroCompFreq,'PDH Calc'!$K11/365)</f>
        <v>1</v>
      </c>
      <c r="AE11" s="8">
        <f ca="1">_xll.HLV5r3.Analytics.Miscellaneous.Zero2DF(_xll.HLV5r3.Analytics.Miscellaneous.LinearInterp(Peturbed_QZ,$K11,1,AE$1),ZeroCompFreq,'PDH Calc'!$K11/365)</f>
        <v>1</v>
      </c>
      <c r="AF11" s="8">
        <f ca="1">_xll.HLV5r3.Analytics.Miscellaneous.Zero2DF(_xll.HLV5r3.Analytics.Miscellaneous.LinearInterp(Peturbed_QZ,$K11,1,AF$1),ZeroCompFreq,'PDH Calc'!$K11/365)</f>
        <v>1</v>
      </c>
      <c r="AG11" s="8">
        <f ca="1">_xll.HLV5r3.Analytics.Miscellaneous.Zero2DF(_xll.HLV5r3.Analytics.Miscellaneous.LinearInterp(Peturbed_QZ,$K11,1,AG$1),ZeroCompFreq,'PDH Calc'!$K11/365)</f>
        <v>1</v>
      </c>
      <c r="AH11" s="8">
        <f ca="1">_xll.HLV5r3.Analytics.Miscellaneous.Zero2DF(_xll.HLV5r3.Analytics.Miscellaneous.LinearInterp(Peturbed_QZ,$K11,1,AH$1),ZeroCompFreq,'PDH Calc'!$K11/365)</f>
        <v>1</v>
      </c>
      <c r="AI11" s="8">
        <f ca="1">_xll.HLV5r3.Analytics.Miscellaneous.Zero2DF(_xll.HLV5r3.Analytics.Miscellaneous.LinearInterp(Peturbed_QZ,$K11,1,AI$1),ZeroCompFreq,'PDH Calc'!$K11/365)</f>
        <v>1</v>
      </c>
      <c r="AJ11" s="8">
        <f ca="1">_xll.HLV5r3.Analytics.Miscellaneous.Zero2DF(_xll.HLV5r3.Analytics.Miscellaneous.LinearInterp(Peturbed_QZ,$K11,1,AJ$1),ZeroCompFreq,'PDH Calc'!$K11/365)</f>
        <v>1</v>
      </c>
      <c r="AK11" s="8">
        <f ca="1">_xll.HLV5r3.Analytics.Miscellaneous.Zero2DF(_xll.HLV5r3.Analytics.Miscellaneous.LinearInterp(Peturbed_QZ,$K11,1,AK$1),ZeroCompFreq,'PDH Calc'!$K11/365)</f>
        <v>1</v>
      </c>
    </row>
    <row r="12" spans="1:37">
      <c r="A12" s="28" t="str">
        <f>'Rates &amp; Dates'!B24</f>
        <v>Sep-12</v>
      </c>
      <c r="B12" s="111">
        <f ca="1"/>
        <v>0</v>
      </c>
      <c r="C12" s="108">
        <f ca="1">B12/'Rates &amp; Dates'!F24</f>
        <v>0</v>
      </c>
      <c r="D12" s="110"/>
      <c r="E12" s="11"/>
      <c r="F12" s="11"/>
      <c r="G12" s="6"/>
      <c r="H12" s="20"/>
      <c r="I12" s="21"/>
      <c r="J12" s="6"/>
      <c r="K12" s="6">
        <f t="shared" ca="1" si="5"/>
        <v>0</v>
      </c>
      <c r="L12" s="8">
        <f ca="1">_xll.HLV5r3.Analytics.Miscellaneous.Zero2DF(_xll.HLV5r3.Analytics.Miscellaneous.LinearInterp(Peturbed_QZ,$K12,1,L$1),ZeroCompFreq,'PDH Calc'!$K12/365)</f>
        <v>1</v>
      </c>
      <c r="M12" s="8">
        <f ca="1">_xll.HLV5r3.Analytics.Miscellaneous.Zero2DF(_xll.HLV5r3.Analytics.Miscellaneous.LinearInterp(Peturbed_QZ,$K12,1,M$1),ZeroCompFreq,'PDH Calc'!$K12/365)</f>
        <v>1</v>
      </c>
      <c r="N12" s="8">
        <f ca="1">_xll.HLV5r3.Analytics.Miscellaneous.Zero2DF(_xll.HLV5r3.Analytics.Miscellaneous.LinearInterp(Peturbed_QZ,$K12,1,N$1),ZeroCompFreq,'PDH Calc'!$K12/365)</f>
        <v>1</v>
      </c>
      <c r="O12" s="8">
        <f ca="1">_xll.HLV5r3.Analytics.Miscellaneous.Zero2DF(_xll.HLV5r3.Analytics.Miscellaneous.LinearInterp(Peturbed_QZ,$K12,1,O$1),ZeroCompFreq,'PDH Calc'!$K12/365)</f>
        <v>1</v>
      </c>
      <c r="P12" s="8">
        <f ca="1">_xll.HLV5r3.Analytics.Miscellaneous.Zero2DF(_xll.HLV5r3.Analytics.Miscellaneous.LinearInterp(Peturbed_QZ,$K12,1,P$1),ZeroCompFreq,'PDH Calc'!$K12/365)</f>
        <v>1</v>
      </c>
      <c r="Q12" s="8">
        <f ca="1">_xll.HLV5r3.Analytics.Miscellaneous.Zero2DF(_xll.HLV5r3.Analytics.Miscellaneous.LinearInterp(Peturbed_QZ,$K12,1,Q$1),ZeroCompFreq,'PDH Calc'!$K12/365)</f>
        <v>1</v>
      </c>
      <c r="R12" s="8">
        <f ca="1">_xll.HLV5r3.Analytics.Miscellaneous.Zero2DF(_xll.HLV5r3.Analytics.Miscellaneous.LinearInterp(Peturbed_QZ,$K12,1,R$1),ZeroCompFreq,'PDH Calc'!$K12/365)</f>
        <v>1</v>
      </c>
      <c r="S12" s="8">
        <f ca="1">_xll.HLV5r3.Analytics.Miscellaneous.Zero2DF(_xll.HLV5r3.Analytics.Miscellaneous.LinearInterp(Peturbed_QZ,$K12,1,S$1),ZeroCompFreq,'PDH Calc'!$K12/365)</f>
        <v>1</v>
      </c>
      <c r="T12" s="8">
        <f ca="1">_xll.HLV5r3.Analytics.Miscellaneous.Zero2DF(_xll.HLV5r3.Analytics.Miscellaneous.LinearInterp(Peturbed_QZ,$K12,1,T$1),ZeroCompFreq,'PDH Calc'!$K12/365)</f>
        <v>1</v>
      </c>
      <c r="U12" s="8">
        <f ca="1">_xll.HLV5r3.Analytics.Miscellaneous.Zero2DF(_xll.HLV5r3.Analytics.Miscellaneous.LinearInterp(Peturbed_QZ,$K12,1,U$1),ZeroCompFreq,'PDH Calc'!$K12/365)</f>
        <v>1</v>
      </c>
      <c r="V12" s="8">
        <f ca="1">_xll.HLV5r3.Analytics.Miscellaneous.Zero2DF(_xll.HLV5r3.Analytics.Miscellaneous.LinearInterp(Peturbed_QZ,$K12,1,V$1),ZeroCompFreq,'PDH Calc'!$K12/365)</f>
        <v>1</v>
      </c>
      <c r="W12" s="8">
        <f ca="1">_xll.HLV5r3.Analytics.Miscellaneous.Zero2DF(_xll.HLV5r3.Analytics.Miscellaneous.LinearInterp(Peturbed_QZ,$K12,1,W$1),ZeroCompFreq,'PDH Calc'!$K12/365)</f>
        <v>1</v>
      </c>
      <c r="X12" s="8">
        <f ca="1">_xll.HLV5r3.Analytics.Miscellaneous.Zero2DF(_xll.HLV5r3.Analytics.Miscellaneous.LinearInterp(Peturbed_QZ,$K12,1,X$1),ZeroCompFreq,'PDH Calc'!$K12/365)</f>
        <v>1</v>
      </c>
      <c r="Y12" s="8">
        <f ca="1">_xll.HLV5r3.Analytics.Miscellaneous.Zero2DF(_xll.HLV5r3.Analytics.Miscellaneous.LinearInterp(Peturbed_QZ,$K12,1,Y$1),ZeroCompFreq,'PDH Calc'!$K12/365)</f>
        <v>1</v>
      </c>
      <c r="Z12" s="8">
        <f ca="1">_xll.HLV5r3.Analytics.Miscellaneous.Zero2DF(_xll.HLV5r3.Analytics.Miscellaneous.LinearInterp(Peturbed_QZ,$K12,1,Z$1),ZeroCompFreq,'PDH Calc'!$K12/365)</f>
        <v>1</v>
      </c>
      <c r="AA12" s="8">
        <f ca="1">_xll.HLV5r3.Analytics.Miscellaneous.Zero2DF(_xll.HLV5r3.Analytics.Miscellaneous.LinearInterp(Peturbed_QZ,$K12,1,AA$1),ZeroCompFreq,'PDH Calc'!$K12/365)</f>
        <v>1</v>
      </c>
      <c r="AB12" s="8">
        <f ca="1">_xll.HLV5r3.Analytics.Miscellaneous.Zero2DF(_xll.HLV5r3.Analytics.Miscellaneous.LinearInterp(Peturbed_QZ,$K12,1,AB$1),ZeroCompFreq,'PDH Calc'!$K12/365)</f>
        <v>1</v>
      </c>
      <c r="AC12" s="8">
        <f ca="1">_xll.HLV5r3.Analytics.Miscellaneous.Zero2DF(_xll.HLV5r3.Analytics.Miscellaneous.LinearInterp(Peturbed_QZ,$K12,1,AC$1),ZeroCompFreq,'PDH Calc'!$K12/365)</f>
        <v>1</v>
      </c>
      <c r="AD12" s="8">
        <f ca="1">_xll.HLV5r3.Analytics.Miscellaneous.Zero2DF(_xll.HLV5r3.Analytics.Miscellaneous.LinearInterp(Peturbed_QZ,$K12,1,AD$1),ZeroCompFreq,'PDH Calc'!$K12/365)</f>
        <v>1</v>
      </c>
      <c r="AE12" s="8">
        <f ca="1">_xll.HLV5r3.Analytics.Miscellaneous.Zero2DF(_xll.HLV5r3.Analytics.Miscellaneous.LinearInterp(Peturbed_QZ,$K12,1,AE$1),ZeroCompFreq,'PDH Calc'!$K12/365)</f>
        <v>1</v>
      </c>
      <c r="AF12" s="8">
        <f ca="1">_xll.HLV5r3.Analytics.Miscellaneous.Zero2DF(_xll.HLV5r3.Analytics.Miscellaneous.LinearInterp(Peturbed_QZ,$K12,1,AF$1),ZeroCompFreq,'PDH Calc'!$K12/365)</f>
        <v>1</v>
      </c>
      <c r="AG12" s="8">
        <f ca="1">_xll.HLV5r3.Analytics.Miscellaneous.Zero2DF(_xll.HLV5r3.Analytics.Miscellaneous.LinearInterp(Peturbed_QZ,$K12,1,AG$1),ZeroCompFreq,'PDH Calc'!$K12/365)</f>
        <v>1</v>
      </c>
      <c r="AH12" s="8">
        <f ca="1">_xll.HLV5r3.Analytics.Miscellaneous.Zero2DF(_xll.HLV5r3.Analytics.Miscellaneous.LinearInterp(Peturbed_QZ,$K12,1,AH$1),ZeroCompFreq,'PDH Calc'!$K12/365)</f>
        <v>1</v>
      </c>
      <c r="AI12" s="8">
        <f ca="1">_xll.HLV5r3.Analytics.Miscellaneous.Zero2DF(_xll.HLV5r3.Analytics.Miscellaneous.LinearInterp(Peturbed_QZ,$K12,1,AI$1),ZeroCompFreq,'PDH Calc'!$K12/365)</f>
        <v>1</v>
      </c>
      <c r="AJ12" s="8">
        <f ca="1">_xll.HLV5r3.Analytics.Miscellaneous.Zero2DF(_xll.HLV5r3.Analytics.Miscellaneous.LinearInterp(Peturbed_QZ,$K12,1,AJ$1),ZeroCompFreq,'PDH Calc'!$K12/365)</f>
        <v>1</v>
      </c>
      <c r="AK12" s="8">
        <f ca="1">_xll.HLV5r3.Analytics.Miscellaneous.Zero2DF(_xll.HLV5r3.Analytics.Miscellaneous.LinearInterp(Peturbed_QZ,$K12,1,AK$1),ZeroCompFreq,'PDH Calc'!$K12/365)</f>
        <v>1</v>
      </c>
    </row>
    <row r="13" spans="1:37" ht="13.5" thickBot="1">
      <c r="A13" s="28" t="str">
        <f>'Rates &amp; Dates'!B25</f>
        <v>Dec-12</v>
      </c>
      <c r="B13" s="111">
        <f ca="1"/>
        <v>0</v>
      </c>
      <c r="C13" s="108">
        <f ca="1">B13/'Rates &amp; Dates'!F25</f>
        <v>0</v>
      </c>
      <c r="D13" s="110"/>
      <c r="E13" s="11"/>
      <c r="F13" s="11"/>
      <c r="G13" s="6"/>
      <c r="H13" s="20"/>
      <c r="I13" s="21"/>
      <c r="J13" s="6"/>
      <c r="K13" s="6">
        <f t="shared" ca="1" si="5"/>
        <v>0</v>
      </c>
      <c r="L13" s="8">
        <f ca="1">_xll.HLV5r3.Analytics.Miscellaneous.Zero2DF(_xll.HLV5r3.Analytics.Miscellaneous.LinearInterp(Peturbed_QZ,$K13,1,L$1),ZeroCompFreq,'PDH Calc'!$K13/365)</f>
        <v>1</v>
      </c>
      <c r="M13" s="8">
        <f ca="1">_xll.HLV5r3.Analytics.Miscellaneous.Zero2DF(_xll.HLV5r3.Analytics.Miscellaneous.LinearInterp(Peturbed_QZ,$K13,1,M$1),ZeroCompFreq,'PDH Calc'!$K13/365)</f>
        <v>1</v>
      </c>
      <c r="N13" s="8">
        <f ca="1">_xll.HLV5r3.Analytics.Miscellaneous.Zero2DF(_xll.HLV5r3.Analytics.Miscellaneous.LinearInterp(Peturbed_QZ,$K13,1,N$1),ZeroCompFreq,'PDH Calc'!$K13/365)</f>
        <v>1</v>
      </c>
      <c r="O13" s="8">
        <f ca="1">_xll.HLV5r3.Analytics.Miscellaneous.Zero2DF(_xll.HLV5r3.Analytics.Miscellaneous.LinearInterp(Peturbed_QZ,$K13,1,O$1),ZeroCompFreq,'PDH Calc'!$K13/365)</f>
        <v>1</v>
      </c>
      <c r="P13" s="8">
        <f ca="1">_xll.HLV5r3.Analytics.Miscellaneous.Zero2DF(_xll.HLV5r3.Analytics.Miscellaneous.LinearInterp(Peturbed_QZ,$K13,1,P$1),ZeroCompFreq,'PDH Calc'!$K13/365)</f>
        <v>1</v>
      </c>
      <c r="Q13" s="8">
        <f ca="1">_xll.HLV5r3.Analytics.Miscellaneous.Zero2DF(_xll.HLV5r3.Analytics.Miscellaneous.LinearInterp(Peturbed_QZ,$K13,1,Q$1),ZeroCompFreq,'PDH Calc'!$K13/365)</f>
        <v>1</v>
      </c>
      <c r="R13" s="8">
        <f ca="1">_xll.HLV5r3.Analytics.Miscellaneous.Zero2DF(_xll.HLV5r3.Analytics.Miscellaneous.LinearInterp(Peturbed_QZ,$K13,1,R$1),ZeroCompFreq,'PDH Calc'!$K13/365)</f>
        <v>1</v>
      </c>
      <c r="S13" s="8">
        <f ca="1">_xll.HLV5r3.Analytics.Miscellaneous.Zero2DF(_xll.HLV5r3.Analytics.Miscellaneous.LinearInterp(Peturbed_QZ,$K13,1,S$1),ZeroCompFreq,'PDH Calc'!$K13/365)</f>
        <v>1</v>
      </c>
      <c r="T13" s="8">
        <f ca="1">_xll.HLV5r3.Analytics.Miscellaneous.Zero2DF(_xll.HLV5r3.Analytics.Miscellaneous.LinearInterp(Peturbed_QZ,$K13,1,T$1),ZeroCompFreq,'PDH Calc'!$K13/365)</f>
        <v>1</v>
      </c>
      <c r="U13" s="8">
        <f ca="1">_xll.HLV5r3.Analytics.Miscellaneous.Zero2DF(_xll.HLV5r3.Analytics.Miscellaneous.LinearInterp(Peturbed_QZ,$K13,1,U$1),ZeroCompFreq,'PDH Calc'!$K13/365)</f>
        <v>1</v>
      </c>
      <c r="V13" s="8">
        <f ca="1">_xll.HLV5r3.Analytics.Miscellaneous.Zero2DF(_xll.HLV5r3.Analytics.Miscellaneous.LinearInterp(Peturbed_QZ,$K13,1,V$1),ZeroCompFreq,'PDH Calc'!$K13/365)</f>
        <v>1</v>
      </c>
      <c r="W13" s="8">
        <f ca="1">_xll.HLV5r3.Analytics.Miscellaneous.Zero2DF(_xll.HLV5r3.Analytics.Miscellaneous.LinearInterp(Peturbed_QZ,$K13,1,W$1),ZeroCompFreq,'PDH Calc'!$K13/365)</f>
        <v>1</v>
      </c>
      <c r="X13" s="8">
        <f ca="1">_xll.HLV5r3.Analytics.Miscellaneous.Zero2DF(_xll.HLV5r3.Analytics.Miscellaneous.LinearInterp(Peturbed_QZ,$K13,1,X$1),ZeroCompFreq,'PDH Calc'!$K13/365)</f>
        <v>1</v>
      </c>
      <c r="Y13" s="8">
        <f ca="1">_xll.HLV5r3.Analytics.Miscellaneous.Zero2DF(_xll.HLV5r3.Analytics.Miscellaneous.LinearInterp(Peturbed_QZ,$K13,1,Y$1),ZeroCompFreq,'PDH Calc'!$K13/365)</f>
        <v>1</v>
      </c>
      <c r="Z13" s="8">
        <f ca="1">_xll.HLV5r3.Analytics.Miscellaneous.Zero2DF(_xll.HLV5r3.Analytics.Miscellaneous.LinearInterp(Peturbed_QZ,$K13,1,Z$1),ZeroCompFreq,'PDH Calc'!$K13/365)</f>
        <v>1</v>
      </c>
      <c r="AA13" s="8">
        <f ca="1">_xll.HLV5r3.Analytics.Miscellaneous.Zero2DF(_xll.HLV5r3.Analytics.Miscellaneous.LinearInterp(Peturbed_QZ,$K13,1,AA$1),ZeroCompFreq,'PDH Calc'!$K13/365)</f>
        <v>1</v>
      </c>
      <c r="AB13" s="8">
        <f ca="1">_xll.HLV5r3.Analytics.Miscellaneous.Zero2DF(_xll.HLV5r3.Analytics.Miscellaneous.LinearInterp(Peturbed_QZ,$K13,1,AB$1),ZeroCompFreq,'PDH Calc'!$K13/365)</f>
        <v>1</v>
      </c>
      <c r="AC13" s="8">
        <f ca="1">_xll.HLV5r3.Analytics.Miscellaneous.Zero2DF(_xll.HLV5r3.Analytics.Miscellaneous.LinearInterp(Peturbed_QZ,$K13,1,AC$1),ZeroCompFreq,'PDH Calc'!$K13/365)</f>
        <v>1</v>
      </c>
      <c r="AD13" s="8">
        <f ca="1">_xll.HLV5r3.Analytics.Miscellaneous.Zero2DF(_xll.HLV5r3.Analytics.Miscellaneous.LinearInterp(Peturbed_QZ,$K13,1,AD$1),ZeroCompFreq,'PDH Calc'!$K13/365)</f>
        <v>1</v>
      </c>
      <c r="AE13" s="8">
        <f ca="1">_xll.HLV5r3.Analytics.Miscellaneous.Zero2DF(_xll.HLV5r3.Analytics.Miscellaneous.LinearInterp(Peturbed_QZ,$K13,1,AE$1),ZeroCompFreq,'PDH Calc'!$K13/365)</f>
        <v>1</v>
      </c>
      <c r="AF13" s="8">
        <f ca="1">_xll.HLV5r3.Analytics.Miscellaneous.Zero2DF(_xll.HLV5r3.Analytics.Miscellaneous.LinearInterp(Peturbed_QZ,$K13,1,AF$1),ZeroCompFreq,'PDH Calc'!$K13/365)</f>
        <v>1</v>
      </c>
      <c r="AG13" s="8">
        <f ca="1">_xll.HLV5r3.Analytics.Miscellaneous.Zero2DF(_xll.HLV5r3.Analytics.Miscellaneous.LinearInterp(Peturbed_QZ,$K13,1,AG$1),ZeroCompFreq,'PDH Calc'!$K13/365)</f>
        <v>1</v>
      </c>
      <c r="AH13" s="8">
        <f ca="1">_xll.HLV5r3.Analytics.Miscellaneous.Zero2DF(_xll.HLV5r3.Analytics.Miscellaneous.LinearInterp(Peturbed_QZ,$K13,1,AH$1),ZeroCompFreq,'PDH Calc'!$K13/365)</f>
        <v>1</v>
      </c>
      <c r="AI13" s="8">
        <f ca="1">_xll.HLV5r3.Analytics.Miscellaneous.Zero2DF(_xll.HLV5r3.Analytics.Miscellaneous.LinearInterp(Peturbed_QZ,$K13,1,AI$1),ZeroCompFreq,'PDH Calc'!$K13/365)</f>
        <v>1</v>
      </c>
      <c r="AJ13" s="8">
        <f ca="1">_xll.HLV5r3.Analytics.Miscellaneous.Zero2DF(_xll.HLV5r3.Analytics.Miscellaneous.LinearInterp(Peturbed_QZ,$K13,1,AJ$1),ZeroCompFreq,'PDH Calc'!$K13/365)</f>
        <v>1</v>
      </c>
      <c r="AK13" s="8">
        <f ca="1">_xll.HLV5r3.Analytics.Miscellaneous.Zero2DF(_xll.HLV5r3.Analytics.Miscellaneous.LinearInterp(Peturbed_QZ,$K13,1,AK$1),ZeroCompFreq,'PDH Calc'!$K13/365)</f>
        <v>1</v>
      </c>
    </row>
    <row r="14" spans="1:37" ht="13.5" thickBot="1">
      <c r="A14" s="28" t="str">
        <f>'Rates &amp; Dates'!B26</f>
        <v>Mar-13</v>
      </c>
      <c r="B14" s="111">
        <f ca="1"/>
        <v>0</v>
      </c>
      <c r="C14" s="108">
        <f ca="1">B14/'Rates &amp; Dates'!F26</f>
        <v>0</v>
      </c>
      <c r="D14" s="115"/>
      <c r="E14" s="103" t="s">
        <v>63</v>
      </c>
      <c r="F14" s="104" t="s">
        <v>62</v>
      </c>
      <c r="G14" s="6"/>
      <c r="H14" s="20"/>
      <c r="I14" s="21"/>
      <c r="J14" s="6"/>
      <c r="K14" s="6">
        <f t="shared" ca="1" si="5"/>
        <v>0</v>
      </c>
      <c r="L14" s="8">
        <f ca="1">_xll.HLV5r3.Analytics.Miscellaneous.Zero2DF(_xll.HLV5r3.Analytics.Miscellaneous.LinearInterp(Peturbed_QZ,$K14,1,L$1),ZeroCompFreq,'PDH Calc'!$K14/365)</f>
        <v>1</v>
      </c>
      <c r="M14" s="8">
        <f ca="1">_xll.HLV5r3.Analytics.Miscellaneous.Zero2DF(_xll.HLV5r3.Analytics.Miscellaneous.LinearInterp(Peturbed_QZ,$K14,1,M$1),ZeroCompFreq,'PDH Calc'!$K14/365)</f>
        <v>1</v>
      </c>
      <c r="N14" s="8">
        <f ca="1">_xll.HLV5r3.Analytics.Miscellaneous.Zero2DF(_xll.HLV5r3.Analytics.Miscellaneous.LinearInterp(Peturbed_QZ,$K14,1,N$1),ZeroCompFreq,'PDH Calc'!$K14/365)</f>
        <v>1</v>
      </c>
      <c r="O14" s="8">
        <f ca="1">_xll.HLV5r3.Analytics.Miscellaneous.Zero2DF(_xll.HLV5r3.Analytics.Miscellaneous.LinearInterp(Peturbed_QZ,$K14,1,O$1),ZeroCompFreq,'PDH Calc'!$K14/365)</f>
        <v>1</v>
      </c>
      <c r="P14" s="8">
        <f ca="1">_xll.HLV5r3.Analytics.Miscellaneous.Zero2DF(_xll.HLV5r3.Analytics.Miscellaneous.LinearInterp(Peturbed_QZ,$K14,1,P$1),ZeroCompFreq,'PDH Calc'!$K14/365)</f>
        <v>1</v>
      </c>
      <c r="Q14" s="8">
        <f ca="1">_xll.HLV5r3.Analytics.Miscellaneous.Zero2DF(_xll.HLV5r3.Analytics.Miscellaneous.LinearInterp(Peturbed_QZ,$K14,1,Q$1),ZeroCompFreq,'PDH Calc'!$K14/365)</f>
        <v>1</v>
      </c>
      <c r="R14" s="8">
        <f ca="1">_xll.HLV5r3.Analytics.Miscellaneous.Zero2DF(_xll.HLV5r3.Analytics.Miscellaneous.LinearInterp(Peturbed_QZ,$K14,1,R$1),ZeroCompFreq,'PDH Calc'!$K14/365)</f>
        <v>1</v>
      </c>
      <c r="S14" s="8">
        <f ca="1">_xll.HLV5r3.Analytics.Miscellaneous.Zero2DF(_xll.HLV5r3.Analytics.Miscellaneous.LinearInterp(Peturbed_QZ,$K14,1,S$1),ZeroCompFreq,'PDH Calc'!$K14/365)</f>
        <v>1</v>
      </c>
      <c r="T14" s="8">
        <f ca="1">_xll.HLV5r3.Analytics.Miscellaneous.Zero2DF(_xll.HLV5r3.Analytics.Miscellaneous.LinearInterp(Peturbed_QZ,$K14,1,T$1),ZeroCompFreq,'PDH Calc'!$K14/365)</f>
        <v>1</v>
      </c>
      <c r="U14" s="8">
        <f ca="1">_xll.HLV5r3.Analytics.Miscellaneous.Zero2DF(_xll.HLV5r3.Analytics.Miscellaneous.LinearInterp(Peturbed_QZ,$K14,1,U$1),ZeroCompFreq,'PDH Calc'!$K14/365)</f>
        <v>1</v>
      </c>
      <c r="V14" s="8">
        <f ca="1">_xll.HLV5r3.Analytics.Miscellaneous.Zero2DF(_xll.HLV5r3.Analytics.Miscellaneous.LinearInterp(Peturbed_QZ,$K14,1,V$1),ZeroCompFreq,'PDH Calc'!$K14/365)</f>
        <v>1</v>
      </c>
      <c r="W14" s="8">
        <f ca="1">_xll.HLV5r3.Analytics.Miscellaneous.Zero2DF(_xll.HLV5r3.Analytics.Miscellaneous.LinearInterp(Peturbed_QZ,$K14,1,W$1),ZeroCompFreq,'PDH Calc'!$K14/365)</f>
        <v>1</v>
      </c>
      <c r="X14" s="8">
        <f ca="1">_xll.HLV5r3.Analytics.Miscellaneous.Zero2DF(_xll.HLV5r3.Analytics.Miscellaneous.LinearInterp(Peturbed_QZ,$K14,1,X$1),ZeroCompFreq,'PDH Calc'!$K14/365)</f>
        <v>1</v>
      </c>
      <c r="Y14" s="8">
        <f ca="1">_xll.HLV5r3.Analytics.Miscellaneous.Zero2DF(_xll.HLV5r3.Analytics.Miscellaneous.LinearInterp(Peturbed_QZ,$K14,1,Y$1),ZeroCompFreq,'PDH Calc'!$K14/365)</f>
        <v>1</v>
      </c>
      <c r="Z14" s="8">
        <f ca="1">_xll.HLV5r3.Analytics.Miscellaneous.Zero2DF(_xll.HLV5r3.Analytics.Miscellaneous.LinearInterp(Peturbed_QZ,$K14,1,Z$1),ZeroCompFreq,'PDH Calc'!$K14/365)</f>
        <v>1</v>
      </c>
      <c r="AA14" s="8">
        <f ca="1">_xll.HLV5r3.Analytics.Miscellaneous.Zero2DF(_xll.HLV5r3.Analytics.Miscellaneous.LinearInterp(Peturbed_QZ,$K14,1,AA$1),ZeroCompFreq,'PDH Calc'!$K14/365)</f>
        <v>1</v>
      </c>
      <c r="AB14" s="8">
        <f ca="1">_xll.HLV5r3.Analytics.Miscellaneous.Zero2DF(_xll.HLV5r3.Analytics.Miscellaneous.LinearInterp(Peturbed_QZ,$K14,1,AB$1),ZeroCompFreq,'PDH Calc'!$K14/365)</f>
        <v>1</v>
      </c>
      <c r="AC14" s="8">
        <f ca="1">_xll.HLV5r3.Analytics.Miscellaneous.Zero2DF(_xll.HLV5r3.Analytics.Miscellaneous.LinearInterp(Peturbed_QZ,$K14,1,AC$1),ZeroCompFreq,'PDH Calc'!$K14/365)</f>
        <v>1</v>
      </c>
      <c r="AD14" s="8">
        <f ca="1">_xll.HLV5r3.Analytics.Miscellaneous.Zero2DF(_xll.HLV5r3.Analytics.Miscellaneous.LinearInterp(Peturbed_QZ,$K14,1,AD$1),ZeroCompFreq,'PDH Calc'!$K14/365)</f>
        <v>1</v>
      </c>
      <c r="AE14" s="8">
        <f ca="1">_xll.HLV5r3.Analytics.Miscellaneous.Zero2DF(_xll.HLV5r3.Analytics.Miscellaneous.LinearInterp(Peturbed_QZ,$K14,1,AE$1),ZeroCompFreq,'PDH Calc'!$K14/365)</f>
        <v>1</v>
      </c>
      <c r="AF14" s="8">
        <f ca="1">_xll.HLV5r3.Analytics.Miscellaneous.Zero2DF(_xll.HLV5r3.Analytics.Miscellaneous.LinearInterp(Peturbed_QZ,$K14,1,AF$1),ZeroCompFreq,'PDH Calc'!$K14/365)</f>
        <v>1</v>
      </c>
      <c r="AG14" s="8">
        <f ca="1">_xll.HLV5r3.Analytics.Miscellaneous.Zero2DF(_xll.HLV5r3.Analytics.Miscellaneous.LinearInterp(Peturbed_QZ,$K14,1,AG$1),ZeroCompFreq,'PDH Calc'!$K14/365)</f>
        <v>1</v>
      </c>
      <c r="AH14" s="8">
        <f ca="1">_xll.HLV5r3.Analytics.Miscellaneous.Zero2DF(_xll.HLV5r3.Analytics.Miscellaneous.LinearInterp(Peturbed_QZ,$K14,1,AH$1),ZeroCompFreq,'PDH Calc'!$K14/365)</f>
        <v>1</v>
      </c>
      <c r="AI14" s="8">
        <f ca="1">_xll.HLV5r3.Analytics.Miscellaneous.Zero2DF(_xll.HLV5r3.Analytics.Miscellaneous.LinearInterp(Peturbed_QZ,$K14,1,AI$1),ZeroCompFreq,'PDH Calc'!$K14/365)</f>
        <v>1</v>
      </c>
      <c r="AJ14" s="8">
        <f ca="1">_xll.HLV5r3.Analytics.Miscellaneous.Zero2DF(_xll.HLV5r3.Analytics.Miscellaneous.LinearInterp(Peturbed_QZ,$K14,1,AJ$1),ZeroCompFreq,'PDH Calc'!$K14/365)</f>
        <v>1</v>
      </c>
      <c r="AK14" s="8">
        <f ca="1">_xll.HLV5r3.Analytics.Miscellaneous.Zero2DF(_xll.HLV5r3.Analytics.Miscellaneous.LinearInterp(Peturbed_QZ,$K14,1,AK$1),ZeroCompFreq,'PDH Calc'!$K14/365)</f>
        <v>1</v>
      </c>
    </row>
    <row r="15" spans="1:37">
      <c r="A15" s="28" t="str">
        <f>'Rates &amp; Dates'!B27</f>
        <v>3Y</v>
      </c>
      <c r="B15" s="111">
        <f ca="1"/>
        <v>0</v>
      </c>
      <c r="C15" s="108">
        <f ca="1">B15/'Rates &amp; Dates'!F27</f>
        <v>0</v>
      </c>
      <c r="D15" s="110"/>
      <c r="E15" s="105">
        <f ca="1">B15*7/7</f>
        <v>0</v>
      </c>
      <c r="F15" s="106">
        <f ca="1">B15*0/7</f>
        <v>0</v>
      </c>
      <c r="H15" s="20"/>
      <c r="I15" s="21"/>
      <c r="J15" s="6"/>
      <c r="K15" s="6">
        <f t="shared" ca="1" si="5"/>
        <v>0</v>
      </c>
      <c r="L15" s="8">
        <f ca="1">_xll.HLV5r3.Analytics.Miscellaneous.Zero2DF(_xll.HLV5r3.Analytics.Miscellaneous.LinearInterp(Peturbed_QZ,$K15,1,L$1),ZeroCompFreq,'PDH Calc'!$K15/365)</f>
        <v>1</v>
      </c>
      <c r="M15" s="8">
        <f ca="1">_xll.HLV5r3.Analytics.Miscellaneous.Zero2DF(_xll.HLV5r3.Analytics.Miscellaneous.LinearInterp(Peturbed_QZ,$K15,1,M$1),ZeroCompFreq,'PDH Calc'!$K15/365)</f>
        <v>1</v>
      </c>
      <c r="N15" s="8">
        <f ca="1">_xll.HLV5r3.Analytics.Miscellaneous.Zero2DF(_xll.HLV5r3.Analytics.Miscellaneous.LinearInterp(Peturbed_QZ,$K15,1,N$1),ZeroCompFreq,'PDH Calc'!$K15/365)</f>
        <v>1</v>
      </c>
      <c r="O15" s="8">
        <f ca="1">_xll.HLV5r3.Analytics.Miscellaneous.Zero2DF(_xll.HLV5r3.Analytics.Miscellaneous.LinearInterp(Peturbed_QZ,$K15,1,O$1),ZeroCompFreq,'PDH Calc'!$K15/365)</f>
        <v>1</v>
      </c>
      <c r="P15" s="8">
        <f ca="1">_xll.HLV5r3.Analytics.Miscellaneous.Zero2DF(_xll.HLV5r3.Analytics.Miscellaneous.LinearInterp(Peturbed_QZ,$K15,1,P$1),ZeroCompFreq,'PDH Calc'!$K15/365)</f>
        <v>1</v>
      </c>
      <c r="Q15" s="8">
        <f ca="1">_xll.HLV5r3.Analytics.Miscellaneous.Zero2DF(_xll.HLV5r3.Analytics.Miscellaneous.LinearInterp(Peturbed_QZ,$K15,1,Q$1),ZeroCompFreq,'PDH Calc'!$K15/365)</f>
        <v>1</v>
      </c>
      <c r="R15" s="8">
        <f ca="1">_xll.HLV5r3.Analytics.Miscellaneous.Zero2DF(_xll.HLV5r3.Analytics.Miscellaneous.LinearInterp(Peturbed_QZ,$K15,1,R$1),ZeroCompFreq,'PDH Calc'!$K15/365)</f>
        <v>1</v>
      </c>
      <c r="S15" s="8">
        <f ca="1">_xll.HLV5r3.Analytics.Miscellaneous.Zero2DF(_xll.HLV5r3.Analytics.Miscellaneous.LinearInterp(Peturbed_QZ,$K15,1,S$1),ZeroCompFreq,'PDH Calc'!$K15/365)</f>
        <v>1</v>
      </c>
      <c r="T15" s="8">
        <f ca="1">_xll.HLV5r3.Analytics.Miscellaneous.Zero2DF(_xll.HLV5r3.Analytics.Miscellaneous.LinearInterp(Peturbed_QZ,$K15,1,T$1),ZeroCompFreq,'PDH Calc'!$K15/365)</f>
        <v>1</v>
      </c>
      <c r="U15" s="8">
        <f ca="1">_xll.HLV5r3.Analytics.Miscellaneous.Zero2DF(_xll.HLV5r3.Analytics.Miscellaneous.LinearInterp(Peturbed_QZ,$K15,1,U$1),ZeroCompFreq,'PDH Calc'!$K15/365)</f>
        <v>1</v>
      </c>
      <c r="V15" s="8">
        <f ca="1">_xll.HLV5r3.Analytics.Miscellaneous.Zero2DF(_xll.HLV5r3.Analytics.Miscellaneous.LinearInterp(Peturbed_QZ,$K15,1,V$1),ZeroCompFreq,'PDH Calc'!$K15/365)</f>
        <v>1</v>
      </c>
      <c r="W15" s="8">
        <f ca="1">_xll.HLV5r3.Analytics.Miscellaneous.Zero2DF(_xll.HLV5r3.Analytics.Miscellaneous.LinearInterp(Peturbed_QZ,$K15,1,W$1),ZeroCompFreq,'PDH Calc'!$K15/365)</f>
        <v>1</v>
      </c>
      <c r="X15" s="8">
        <f ca="1">_xll.HLV5r3.Analytics.Miscellaneous.Zero2DF(_xll.HLV5r3.Analytics.Miscellaneous.LinearInterp(Peturbed_QZ,$K15,1,X$1),ZeroCompFreq,'PDH Calc'!$K15/365)</f>
        <v>1</v>
      </c>
      <c r="Y15" s="8">
        <f ca="1">_xll.HLV5r3.Analytics.Miscellaneous.Zero2DF(_xll.HLV5r3.Analytics.Miscellaneous.LinearInterp(Peturbed_QZ,$K15,1,Y$1),ZeroCompFreq,'PDH Calc'!$K15/365)</f>
        <v>1</v>
      </c>
      <c r="Z15" s="8">
        <f ca="1">_xll.HLV5r3.Analytics.Miscellaneous.Zero2DF(_xll.HLV5r3.Analytics.Miscellaneous.LinearInterp(Peturbed_QZ,$K15,1,Z$1),ZeroCompFreq,'PDH Calc'!$K15/365)</f>
        <v>1</v>
      </c>
      <c r="AA15" s="8">
        <f ca="1">_xll.HLV5r3.Analytics.Miscellaneous.Zero2DF(_xll.HLV5r3.Analytics.Miscellaneous.LinearInterp(Peturbed_QZ,$K15,1,AA$1),ZeroCompFreq,'PDH Calc'!$K15/365)</f>
        <v>1</v>
      </c>
      <c r="AB15" s="8">
        <f ca="1">_xll.HLV5r3.Analytics.Miscellaneous.Zero2DF(_xll.HLV5r3.Analytics.Miscellaneous.LinearInterp(Peturbed_QZ,$K15,1,AB$1),ZeroCompFreq,'PDH Calc'!$K15/365)</f>
        <v>1</v>
      </c>
      <c r="AC15" s="8">
        <f ca="1">_xll.HLV5r3.Analytics.Miscellaneous.Zero2DF(_xll.HLV5r3.Analytics.Miscellaneous.LinearInterp(Peturbed_QZ,$K15,1,AC$1),ZeroCompFreq,'PDH Calc'!$K15/365)</f>
        <v>1</v>
      </c>
      <c r="AD15" s="8">
        <f ca="1">_xll.HLV5r3.Analytics.Miscellaneous.Zero2DF(_xll.HLV5r3.Analytics.Miscellaneous.LinearInterp(Peturbed_QZ,$K15,1,AD$1),ZeroCompFreq,'PDH Calc'!$K15/365)</f>
        <v>1</v>
      </c>
      <c r="AE15" s="8">
        <f ca="1">_xll.HLV5r3.Analytics.Miscellaneous.Zero2DF(_xll.HLV5r3.Analytics.Miscellaneous.LinearInterp(Peturbed_QZ,$K15,1,AE$1),ZeroCompFreq,'PDH Calc'!$K15/365)</f>
        <v>1</v>
      </c>
      <c r="AF15" s="8">
        <f ca="1">_xll.HLV5r3.Analytics.Miscellaneous.Zero2DF(_xll.HLV5r3.Analytics.Miscellaneous.LinearInterp(Peturbed_QZ,$K15,1,AF$1),ZeroCompFreq,'PDH Calc'!$K15/365)</f>
        <v>1</v>
      </c>
      <c r="AG15" s="8">
        <f ca="1">_xll.HLV5r3.Analytics.Miscellaneous.Zero2DF(_xll.HLV5r3.Analytics.Miscellaneous.LinearInterp(Peturbed_QZ,$K15,1,AG$1),ZeroCompFreq,'PDH Calc'!$K15/365)</f>
        <v>1</v>
      </c>
      <c r="AH15" s="8">
        <f ca="1">_xll.HLV5r3.Analytics.Miscellaneous.Zero2DF(_xll.HLV5r3.Analytics.Miscellaneous.LinearInterp(Peturbed_QZ,$K15,1,AH$1),ZeroCompFreq,'PDH Calc'!$K15/365)</f>
        <v>1</v>
      </c>
      <c r="AI15" s="8">
        <f ca="1">_xll.HLV5r3.Analytics.Miscellaneous.Zero2DF(_xll.HLV5r3.Analytics.Miscellaneous.LinearInterp(Peturbed_QZ,$K15,1,AI$1),ZeroCompFreq,'PDH Calc'!$K15/365)</f>
        <v>1</v>
      </c>
      <c r="AJ15" s="8">
        <f ca="1">_xll.HLV5r3.Analytics.Miscellaneous.Zero2DF(_xll.HLV5r3.Analytics.Miscellaneous.LinearInterp(Peturbed_QZ,$K15,1,AJ$1),ZeroCompFreq,'PDH Calc'!$K15/365)</f>
        <v>1</v>
      </c>
      <c r="AK15" s="8">
        <f ca="1">_xll.HLV5r3.Analytics.Miscellaneous.Zero2DF(_xll.HLV5r3.Analytics.Miscellaneous.LinearInterp(Peturbed_QZ,$K15,1,AK$1),ZeroCompFreq,'PDH Calc'!$K15/365)</f>
        <v>1</v>
      </c>
    </row>
    <row r="16" spans="1:37">
      <c r="A16" s="28" t="str">
        <f>'Rates &amp; Dates'!B28</f>
        <v>4Y</v>
      </c>
      <c r="B16" s="111">
        <f ca="1"/>
        <v>0</v>
      </c>
      <c r="C16" s="108">
        <f ca="1">B16/'Rates &amp; Dates'!F28</f>
        <v>0</v>
      </c>
      <c r="D16" s="115"/>
      <c r="E16" s="107">
        <f ca="1">B16*6/7</f>
        <v>0</v>
      </c>
      <c r="F16" s="108">
        <f ca="1">B16*1/7</f>
        <v>0</v>
      </c>
      <c r="H16" s="20"/>
      <c r="I16" s="21"/>
      <c r="J16" s="6"/>
      <c r="K16" s="6">
        <f t="shared" ca="1" si="5"/>
        <v>0</v>
      </c>
      <c r="L16" s="8">
        <f ca="1">_xll.HLV5r3.Analytics.Miscellaneous.Zero2DF(_xll.HLV5r3.Analytics.Miscellaneous.LinearInterp(Peturbed_QZ,$K16,1,L$1),ZeroCompFreq,'PDH Calc'!$K16/365)</f>
        <v>1</v>
      </c>
      <c r="M16" s="8">
        <f ca="1">_xll.HLV5r3.Analytics.Miscellaneous.Zero2DF(_xll.HLV5r3.Analytics.Miscellaneous.LinearInterp(Peturbed_QZ,$K16,1,M$1),ZeroCompFreq,'PDH Calc'!$K16/365)</f>
        <v>1</v>
      </c>
      <c r="N16" s="8">
        <f ca="1">_xll.HLV5r3.Analytics.Miscellaneous.Zero2DF(_xll.HLV5r3.Analytics.Miscellaneous.LinearInterp(Peturbed_QZ,$K16,1,N$1),ZeroCompFreq,'PDH Calc'!$K16/365)</f>
        <v>1</v>
      </c>
      <c r="O16" s="8">
        <f ca="1">_xll.HLV5r3.Analytics.Miscellaneous.Zero2DF(_xll.HLV5r3.Analytics.Miscellaneous.LinearInterp(Peturbed_QZ,$K16,1,O$1),ZeroCompFreq,'PDH Calc'!$K16/365)</f>
        <v>1</v>
      </c>
      <c r="P16" s="8">
        <f ca="1">_xll.HLV5r3.Analytics.Miscellaneous.Zero2DF(_xll.HLV5r3.Analytics.Miscellaneous.LinearInterp(Peturbed_QZ,$K16,1,P$1),ZeroCompFreq,'PDH Calc'!$K16/365)</f>
        <v>1</v>
      </c>
      <c r="Q16" s="8">
        <f ca="1">_xll.HLV5r3.Analytics.Miscellaneous.Zero2DF(_xll.HLV5r3.Analytics.Miscellaneous.LinearInterp(Peturbed_QZ,$K16,1,Q$1),ZeroCompFreq,'PDH Calc'!$K16/365)</f>
        <v>1</v>
      </c>
      <c r="R16" s="8">
        <f ca="1">_xll.HLV5r3.Analytics.Miscellaneous.Zero2DF(_xll.HLV5r3.Analytics.Miscellaneous.LinearInterp(Peturbed_QZ,$K16,1,R$1),ZeroCompFreq,'PDH Calc'!$K16/365)</f>
        <v>1</v>
      </c>
      <c r="S16" s="8">
        <f ca="1">_xll.HLV5r3.Analytics.Miscellaneous.Zero2DF(_xll.HLV5r3.Analytics.Miscellaneous.LinearInterp(Peturbed_QZ,$K16,1,S$1),ZeroCompFreq,'PDH Calc'!$K16/365)</f>
        <v>1</v>
      </c>
      <c r="T16" s="8">
        <f ca="1">_xll.HLV5r3.Analytics.Miscellaneous.Zero2DF(_xll.HLV5r3.Analytics.Miscellaneous.LinearInterp(Peturbed_QZ,$K16,1,T$1),ZeroCompFreq,'PDH Calc'!$K16/365)</f>
        <v>1</v>
      </c>
      <c r="U16" s="8">
        <f ca="1">_xll.HLV5r3.Analytics.Miscellaneous.Zero2DF(_xll.HLV5r3.Analytics.Miscellaneous.LinearInterp(Peturbed_QZ,$K16,1,U$1),ZeroCompFreq,'PDH Calc'!$K16/365)</f>
        <v>1</v>
      </c>
      <c r="V16" s="8">
        <f ca="1">_xll.HLV5r3.Analytics.Miscellaneous.Zero2DF(_xll.HLV5r3.Analytics.Miscellaneous.LinearInterp(Peturbed_QZ,$K16,1,V$1),ZeroCompFreq,'PDH Calc'!$K16/365)</f>
        <v>1</v>
      </c>
      <c r="W16" s="8">
        <f ca="1">_xll.HLV5r3.Analytics.Miscellaneous.Zero2DF(_xll.HLV5r3.Analytics.Miscellaneous.LinearInterp(Peturbed_QZ,$K16,1,W$1),ZeroCompFreq,'PDH Calc'!$K16/365)</f>
        <v>1</v>
      </c>
      <c r="X16" s="8">
        <f ca="1">_xll.HLV5r3.Analytics.Miscellaneous.Zero2DF(_xll.HLV5r3.Analytics.Miscellaneous.LinearInterp(Peturbed_QZ,$K16,1,X$1),ZeroCompFreq,'PDH Calc'!$K16/365)</f>
        <v>1</v>
      </c>
      <c r="Y16" s="8">
        <f ca="1">_xll.HLV5r3.Analytics.Miscellaneous.Zero2DF(_xll.HLV5r3.Analytics.Miscellaneous.LinearInterp(Peturbed_QZ,$K16,1,Y$1),ZeroCompFreq,'PDH Calc'!$K16/365)</f>
        <v>1</v>
      </c>
      <c r="Z16" s="8">
        <f ca="1">_xll.HLV5r3.Analytics.Miscellaneous.Zero2DF(_xll.HLV5r3.Analytics.Miscellaneous.LinearInterp(Peturbed_QZ,$K16,1,Z$1),ZeroCompFreq,'PDH Calc'!$K16/365)</f>
        <v>1</v>
      </c>
      <c r="AA16" s="8">
        <f ca="1">_xll.HLV5r3.Analytics.Miscellaneous.Zero2DF(_xll.HLV5r3.Analytics.Miscellaneous.LinearInterp(Peturbed_QZ,$K16,1,AA$1),ZeroCompFreq,'PDH Calc'!$K16/365)</f>
        <v>1</v>
      </c>
      <c r="AB16" s="8">
        <f ca="1">_xll.HLV5r3.Analytics.Miscellaneous.Zero2DF(_xll.HLV5r3.Analytics.Miscellaneous.LinearInterp(Peturbed_QZ,$K16,1,AB$1),ZeroCompFreq,'PDH Calc'!$K16/365)</f>
        <v>1</v>
      </c>
      <c r="AC16" s="8">
        <f ca="1">_xll.HLV5r3.Analytics.Miscellaneous.Zero2DF(_xll.HLV5r3.Analytics.Miscellaneous.LinearInterp(Peturbed_QZ,$K16,1,AC$1),ZeroCompFreq,'PDH Calc'!$K16/365)</f>
        <v>1</v>
      </c>
      <c r="AD16" s="8">
        <f ca="1">_xll.HLV5r3.Analytics.Miscellaneous.Zero2DF(_xll.HLV5r3.Analytics.Miscellaneous.LinearInterp(Peturbed_QZ,$K16,1,AD$1),ZeroCompFreq,'PDH Calc'!$K16/365)</f>
        <v>1</v>
      </c>
      <c r="AE16" s="8">
        <f ca="1">_xll.HLV5r3.Analytics.Miscellaneous.Zero2DF(_xll.HLV5r3.Analytics.Miscellaneous.LinearInterp(Peturbed_QZ,$K16,1,AE$1),ZeroCompFreq,'PDH Calc'!$K16/365)</f>
        <v>1</v>
      </c>
      <c r="AF16" s="8">
        <f ca="1">_xll.HLV5r3.Analytics.Miscellaneous.Zero2DF(_xll.HLV5r3.Analytics.Miscellaneous.LinearInterp(Peturbed_QZ,$K16,1,AF$1),ZeroCompFreq,'PDH Calc'!$K16/365)</f>
        <v>1</v>
      </c>
      <c r="AG16" s="8">
        <f ca="1">_xll.HLV5r3.Analytics.Miscellaneous.Zero2DF(_xll.HLV5r3.Analytics.Miscellaneous.LinearInterp(Peturbed_QZ,$K16,1,AG$1),ZeroCompFreq,'PDH Calc'!$K16/365)</f>
        <v>1</v>
      </c>
      <c r="AH16" s="8">
        <f ca="1">_xll.HLV5r3.Analytics.Miscellaneous.Zero2DF(_xll.HLV5r3.Analytics.Miscellaneous.LinearInterp(Peturbed_QZ,$K16,1,AH$1),ZeroCompFreq,'PDH Calc'!$K16/365)</f>
        <v>1</v>
      </c>
      <c r="AI16" s="8">
        <f ca="1">_xll.HLV5r3.Analytics.Miscellaneous.Zero2DF(_xll.HLV5r3.Analytics.Miscellaneous.LinearInterp(Peturbed_QZ,$K16,1,AI$1),ZeroCompFreq,'PDH Calc'!$K16/365)</f>
        <v>1</v>
      </c>
      <c r="AJ16" s="8">
        <f ca="1">_xll.HLV5r3.Analytics.Miscellaneous.Zero2DF(_xll.HLV5r3.Analytics.Miscellaneous.LinearInterp(Peturbed_QZ,$K16,1,AJ$1),ZeroCompFreq,'PDH Calc'!$K16/365)</f>
        <v>1</v>
      </c>
      <c r="AK16" s="8">
        <f ca="1">_xll.HLV5r3.Analytics.Miscellaneous.Zero2DF(_xll.HLV5r3.Analytics.Miscellaneous.LinearInterp(Peturbed_QZ,$K16,1,AK$1),ZeroCompFreq,'PDH Calc'!$K16/365)</f>
        <v>1</v>
      </c>
    </row>
    <row r="17" spans="1:37">
      <c r="A17" s="28" t="str">
        <f>'Rates &amp; Dates'!B29</f>
        <v>5Y</v>
      </c>
      <c r="B17" s="111">
        <f ca="1"/>
        <v>0</v>
      </c>
      <c r="C17" s="108">
        <f ca="1">B17/'Rates &amp; Dates'!F29</f>
        <v>0</v>
      </c>
      <c r="D17" s="115"/>
      <c r="E17" s="107">
        <f ca="1">B17*5/7</f>
        <v>0</v>
      </c>
      <c r="F17" s="108">
        <f ca="1">B17*2/7</f>
        <v>0</v>
      </c>
      <c r="H17" s="20"/>
      <c r="I17" s="21"/>
      <c r="J17" s="6"/>
      <c r="K17" s="6">
        <f t="shared" ca="1" si="5"/>
        <v>0</v>
      </c>
      <c r="L17" s="8">
        <f ca="1">_xll.HLV5r3.Analytics.Miscellaneous.Zero2DF(_xll.HLV5r3.Analytics.Miscellaneous.LinearInterp(Peturbed_QZ,$K17,1,L$1),ZeroCompFreq,'PDH Calc'!$K17/365)</f>
        <v>1</v>
      </c>
      <c r="M17" s="8">
        <f ca="1">_xll.HLV5r3.Analytics.Miscellaneous.Zero2DF(_xll.HLV5r3.Analytics.Miscellaneous.LinearInterp(Peturbed_QZ,$K17,1,M$1),ZeroCompFreq,'PDH Calc'!$K17/365)</f>
        <v>1</v>
      </c>
      <c r="N17" s="8">
        <f ca="1">_xll.HLV5r3.Analytics.Miscellaneous.Zero2DF(_xll.HLV5r3.Analytics.Miscellaneous.LinearInterp(Peturbed_QZ,$K17,1,N$1),ZeroCompFreq,'PDH Calc'!$K17/365)</f>
        <v>1</v>
      </c>
      <c r="O17" s="8">
        <f ca="1">_xll.HLV5r3.Analytics.Miscellaneous.Zero2DF(_xll.HLV5r3.Analytics.Miscellaneous.LinearInterp(Peturbed_QZ,$K17,1,O$1),ZeroCompFreq,'PDH Calc'!$K17/365)</f>
        <v>1</v>
      </c>
      <c r="P17" s="8">
        <f ca="1">_xll.HLV5r3.Analytics.Miscellaneous.Zero2DF(_xll.HLV5r3.Analytics.Miscellaneous.LinearInterp(Peturbed_QZ,$K17,1,P$1),ZeroCompFreq,'PDH Calc'!$K17/365)</f>
        <v>1</v>
      </c>
      <c r="Q17" s="8">
        <f ca="1">_xll.HLV5r3.Analytics.Miscellaneous.Zero2DF(_xll.HLV5r3.Analytics.Miscellaneous.LinearInterp(Peturbed_QZ,$K17,1,Q$1),ZeroCompFreq,'PDH Calc'!$K17/365)</f>
        <v>1</v>
      </c>
      <c r="R17" s="8">
        <f ca="1">_xll.HLV5r3.Analytics.Miscellaneous.Zero2DF(_xll.HLV5r3.Analytics.Miscellaneous.LinearInterp(Peturbed_QZ,$K17,1,R$1),ZeroCompFreq,'PDH Calc'!$K17/365)</f>
        <v>1</v>
      </c>
      <c r="S17" s="8">
        <f ca="1">_xll.HLV5r3.Analytics.Miscellaneous.Zero2DF(_xll.HLV5r3.Analytics.Miscellaneous.LinearInterp(Peturbed_QZ,$K17,1,S$1),ZeroCompFreq,'PDH Calc'!$K17/365)</f>
        <v>1</v>
      </c>
      <c r="T17" s="8">
        <f ca="1">_xll.HLV5r3.Analytics.Miscellaneous.Zero2DF(_xll.HLV5r3.Analytics.Miscellaneous.LinearInterp(Peturbed_QZ,$K17,1,T$1),ZeroCompFreq,'PDH Calc'!$K17/365)</f>
        <v>1</v>
      </c>
      <c r="U17" s="8">
        <f ca="1">_xll.HLV5r3.Analytics.Miscellaneous.Zero2DF(_xll.HLV5r3.Analytics.Miscellaneous.LinearInterp(Peturbed_QZ,$K17,1,U$1),ZeroCompFreq,'PDH Calc'!$K17/365)</f>
        <v>1</v>
      </c>
      <c r="V17" s="8">
        <f ca="1">_xll.HLV5r3.Analytics.Miscellaneous.Zero2DF(_xll.HLV5r3.Analytics.Miscellaneous.LinearInterp(Peturbed_QZ,$K17,1,V$1),ZeroCompFreq,'PDH Calc'!$K17/365)</f>
        <v>1</v>
      </c>
      <c r="W17" s="8">
        <f ca="1">_xll.HLV5r3.Analytics.Miscellaneous.Zero2DF(_xll.HLV5r3.Analytics.Miscellaneous.LinearInterp(Peturbed_QZ,$K17,1,W$1),ZeroCompFreq,'PDH Calc'!$K17/365)</f>
        <v>1</v>
      </c>
      <c r="X17" s="8">
        <f ca="1">_xll.HLV5r3.Analytics.Miscellaneous.Zero2DF(_xll.HLV5r3.Analytics.Miscellaneous.LinearInterp(Peturbed_QZ,$K17,1,X$1),ZeroCompFreq,'PDH Calc'!$K17/365)</f>
        <v>1</v>
      </c>
      <c r="Y17" s="8">
        <f ca="1">_xll.HLV5r3.Analytics.Miscellaneous.Zero2DF(_xll.HLV5r3.Analytics.Miscellaneous.LinearInterp(Peturbed_QZ,$K17,1,Y$1),ZeroCompFreq,'PDH Calc'!$K17/365)</f>
        <v>1</v>
      </c>
      <c r="Z17" s="8">
        <f ca="1">_xll.HLV5r3.Analytics.Miscellaneous.Zero2DF(_xll.HLV5r3.Analytics.Miscellaneous.LinearInterp(Peturbed_QZ,$K17,1,Z$1),ZeroCompFreq,'PDH Calc'!$K17/365)</f>
        <v>1</v>
      </c>
      <c r="AA17" s="8">
        <f ca="1">_xll.HLV5r3.Analytics.Miscellaneous.Zero2DF(_xll.HLV5r3.Analytics.Miscellaneous.LinearInterp(Peturbed_QZ,$K17,1,AA$1),ZeroCompFreq,'PDH Calc'!$K17/365)</f>
        <v>1</v>
      </c>
      <c r="AB17" s="8">
        <f ca="1">_xll.HLV5r3.Analytics.Miscellaneous.Zero2DF(_xll.HLV5r3.Analytics.Miscellaneous.LinearInterp(Peturbed_QZ,$K17,1,AB$1),ZeroCompFreq,'PDH Calc'!$K17/365)</f>
        <v>1</v>
      </c>
      <c r="AC17" s="8">
        <f ca="1">_xll.HLV5r3.Analytics.Miscellaneous.Zero2DF(_xll.HLV5r3.Analytics.Miscellaneous.LinearInterp(Peturbed_QZ,$K17,1,AC$1),ZeroCompFreq,'PDH Calc'!$K17/365)</f>
        <v>1</v>
      </c>
      <c r="AD17" s="8">
        <f ca="1">_xll.HLV5r3.Analytics.Miscellaneous.Zero2DF(_xll.HLV5r3.Analytics.Miscellaneous.LinearInterp(Peturbed_QZ,$K17,1,AD$1),ZeroCompFreq,'PDH Calc'!$K17/365)</f>
        <v>1</v>
      </c>
      <c r="AE17" s="8">
        <f ca="1">_xll.HLV5r3.Analytics.Miscellaneous.Zero2DF(_xll.HLV5r3.Analytics.Miscellaneous.LinearInterp(Peturbed_QZ,$K17,1,AE$1),ZeroCompFreq,'PDH Calc'!$K17/365)</f>
        <v>1</v>
      </c>
      <c r="AF17" s="8">
        <f ca="1">_xll.HLV5r3.Analytics.Miscellaneous.Zero2DF(_xll.HLV5r3.Analytics.Miscellaneous.LinearInterp(Peturbed_QZ,$K17,1,AF$1),ZeroCompFreq,'PDH Calc'!$K17/365)</f>
        <v>1</v>
      </c>
      <c r="AG17" s="8">
        <f ca="1">_xll.HLV5r3.Analytics.Miscellaneous.Zero2DF(_xll.HLV5r3.Analytics.Miscellaneous.LinearInterp(Peturbed_QZ,$K17,1,AG$1),ZeroCompFreq,'PDH Calc'!$K17/365)</f>
        <v>1</v>
      </c>
      <c r="AH17" s="8">
        <f ca="1">_xll.HLV5r3.Analytics.Miscellaneous.Zero2DF(_xll.HLV5r3.Analytics.Miscellaneous.LinearInterp(Peturbed_QZ,$K17,1,AH$1),ZeroCompFreq,'PDH Calc'!$K17/365)</f>
        <v>1</v>
      </c>
      <c r="AI17" s="8">
        <f ca="1">_xll.HLV5r3.Analytics.Miscellaneous.Zero2DF(_xll.HLV5r3.Analytics.Miscellaneous.LinearInterp(Peturbed_QZ,$K17,1,AI$1),ZeroCompFreq,'PDH Calc'!$K17/365)</f>
        <v>1</v>
      </c>
      <c r="AJ17" s="8">
        <f ca="1">_xll.HLV5r3.Analytics.Miscellaneous.Zero2DF(_xll.HLV5r3.Analytics.Miscellaneous.LinearInterp(Peturbed_QZ,$K17,1,AJ$1),ZeroCompFreq,'PDH Calc'!$K17/365)</f>
        <v>1</v>
      </c>
      <c r="AK17" s="8">
        <f ca="1">_xll.HLV5r3.Analytics.Miscellaneous.Zero2DF(_xll.HLV5r3.Analytics.Miscellaneous.LinearInterp(Peturbed_QZ,$K17,1,AK$1),ZeroCompFreq,'PDH Calc'!$K17/365)</f>
        <v>1</v>
      </c>
    </row>
    <row r="18" spans="1:37">
      <c r="A18" s="28" t="str">
        <f>'Rates &amp; Dates'!B30</f>
        <v>6Y</v>
      </c>
      <c r="B18" s="111">
        <f ca="1"/>
        <v>0</v>
      </c>
      <c r="C18" s="108">
        <f ca="1">B18/'Rates &amp; Dates'!F30</f>
        <v>0</v>
      </c>
      <c r="D18" s="115"/>
      <c r="E18" s="107">
        <f ca="1">B18*4/7</f>
        <v>0</v>
      </c>
      <c r="F18" s="108">
        <f ca="1">B18*3/7</f>
        <v>0</v>
      </c>
      <c r="H18" s="20"/>
      <c r="I18" s="21"/>
      <c r="J18" s="6"/>
      <c r="K18" s="6">
        <f t="shared" ca="1" si="5"/>
        <v>0</v>
      </c>
      <c r="L18" s="8">
        <f ca="1">_xll.HLV5r3.Analytics.Miscellaneous.Zero2DF(_xll.HLV5r3.Analytics.Miscellaneous.LinearInterp(Peturbed_QZ,$K18,1,L$1),ZeroCompFreq,'PDH Calc'!$K18/365)</f>
        <v>1</v>
      </c>
      <c r="M18" s="8">
        <f ca="1">_xll.HLV5r3.Analytics.Miscellaneous.Zero2DF(_xll.HLV5r3.Analytics.Miscellaneous.LinearInterp(Peturbed_QZ,$K18,1,M$1),ZeroCompFreq,'PDH Calc'!$K18/365)</f>
        <v>1</v>
      </c>
      <c r="N18" s="8">
        <f ca="1">_xll.HLV5r3.Analytics.Miscellaneous.Zero2DF(_xll.HLV5r3.Analytics.Miscellaneous.LinearInterp(Peturbed_QZ,$K18,1,N$1),ZeroCompFreq,'PDH Calc'!$K18/365)</f>
        <v>1</v>
      </c>
      <c r="O18" s="8">
        <f ca="1">_xll.HLV5r3.Analytics.Miscellaneous.Zero2DF(_xll.HLV5r3.Analytics.Miscellaneous.LinearInterp(Peturbed_QZ,$K18,1,O$1),ZeroCompFreq,'PDH Calc'!$K18/365)</f>
        <v>1</v>
      </c>
      <c r="P18" s="8">
        <f ca="1">_xll.HLV5r3.Analytics.Miscellaneous.Zero2DF(_xll.HLV5r3.Analytics.Miscellaneous.LinearInterp(Peturbed_QZ,$K18,1,P$1),ZeroCompFreq,'PDH Calc'!$K18/365)</f>
        <v>1</v>
      </c>
      <c r="Q18" s="8">
        <f ca="1">_xll.HLV5r3.Analytics.Miscellaneous.Zero2DF(_xll.HLV5r3.Analytics.Miscellaneous.LinearInterp(Peturbed_QZ,$K18,1,Q$1),ZeroCompFreq,'PDH Calc'!$K18/365)</f>
        <v>1</v>
      </c>
      <c r="R18" s="8">
        <f ca="1">_xll.HLV5r3.Analytics.Miscellaneous.Zero2DF(_xll.HLV5r3.Analytics.Miscellaneous.LinearInterp(Peturbed_QZ,$K18,1,R$1),ZeroCompFreq,'PDH Calc'!$K18/365)</f>
        <v>1</v>
      </c>
      <c r="S18" s="8">
        <f ca="1">_xll.HLV5r3.Analytics.Miscellaneous.Zero2DF(_xll.HLV5r3.Analytics.Miscellaneous.LinearInterp(Peturbed_QZ,$K18,1,S$1),ZeroCompFreq,'PDH Calc'!$K18/365)</f>
        <v>1</v>
      </c>
      <c r="T18" s="8">
        <f ca="1">_xll.HLV5r3.Analytics.Miscellaneous.Zero2DF(_xll.HLV5r3.Analytics.Miscellaneous.LinearInterp(Peturbed_QZ,$K18,1,T$1),ZeroCompFreq,'PDH Calc'!$K18/365)</f>
        <v>1</v>
      </c>
      <c r="U18" s="8">
        <f ca="1">_xll.HLV5r3.Analytics.Miscellaneous.Zero2DF(_xll.HLV5r3.Analytics.Miscellaneous.LinearInterp(Peturbed_QZ,$K18,1,U$1),ZeroCompFreq,'PDH Calc'!$K18/365)</f>
        <v>1</v>
      </c>
      <c r="V18" s="8">
        <f ca="1">_xll.HLV5r3.Analytics.Miscellaneous.Zero2DF(_xll.HLV5r3.Analytics.Miscellaneous.LinearInterp(Peturbed_QZ,$K18,1,V$1),ZeroCompFreq,'PDH Calc'!$K18/365)</f>
        <v>1</v>
      </c>
      <c r="W18" s="8">
        <f ca="1">_xll.HLV5r3.Analytics.Miscellaneous.Zero2DF(_xll.HLV5r3.Analytics.Miscellaneous.LinearInterp(Peturbed_QZ,$K18,1,W$1),ZeroCompFreq,'PDH Calc'!$K18/365)</f>
        <v>1</v>
      </c>
      <c r="X18" s="8">
        <f ca="1">_xll.HLV5r3.Analytics.Miscellaneous.Zero2DF(_xll.HLV5r3.Analytics.Miscellaneous.LinearInterp(Peturbed_QZ,$K18,1,X$1),ZeroCompFreq,'PDH Calc'!$K18/365)</f>
        <v>1</v>
      </c>
      <c r="Y18" s="8">
        <f ca="1">_xll.HLV5r3.Analytics.Miscellaneous.Zero2DF(_xll.HLV5r3.Analytics.Miscellaneous.LinearInterp(Peturbed_QZ,$K18,1,Y$1),ZeroCompFreq,'PDH Calc'!$K18/365)</f>
        <v>1</v>
      </c>
      <c r="Z18" s="8">
        <f ca="1">_xll.HLV5r3.Analytics.Miscellaneous.Zero2DF(_xll.HLV5r3.Analytics.Miscellaneous.LinearInterp(Peturbed_QZ,$K18,1,Z$1),ZeroCompFreq,'PDH Calc'!$K18/365)</f>
        <v>1</v>
      </c>
      <c r="AA18" s="8">
        <f ca="1">_xll.HLV5r3.Analytics.Miscellaneous.Zero2DF(_xll.HLV5r3.Analytics.Miscellaneous.LinearInterp(Peturbed_QZ,$K18,1,AA$1),ZeroCompFreq,'PDH Calc'!$K18/365)</f>
        <v>1</v>
      </c>
      <c r="AB18" s="8">
        <f ca="1">_xll.HLV5r3.Analytics.Miscellaneous.Zero2DF(_xll.HLV5r3.Analytics.Miscellaneous.LinearInterp(Peturbed_QZ,$K18,1,AB$1),ZeroCompFreq,'PDH Calc'!$K18/365)</f>
        <v>1</v>
      </c>
      <c r="AC18" s="8">
        <f ca="1">_xll.HLV5r3.Analytics.Miscellaneous.Zero2DF(_xll.HLV5r3.Analytics.Miscellaneous.LinearInterp(Peturbed_QZ,$K18,1,AC$1),ZeroCompFreq,'PDH Calc'!$K18/365)</f>
        <v>1</v>
      </c>
      <c r="AD18" s="8">
        <f ca="1">_xll.HLV5r3.Analytics.Miscellaneous.Zero2DF(_xll.HLV5r3.Analytics.Miscellaneous.LinearInterp(Peturbed_QZ,$K18,1,AD$1),ZeroCompFreq,'PDH Calc'!$K18/365)</f>
        <v>1</v>
      </c>
      <c r="AE18" s="8">
        <f ca="1">_xll.HLV5r3.Analytics.Miscellaneous.Zero2DF(_xll.HLV5r3.Analytics.Miscellaneous.LinearInterp(Peturbed_QZ,$K18,1,AE$1),ZeroCompFreq,'PDH Calc'!$K18/365)</f>
        <v>1</v>
      </c>
      <c r="AF18" s="8">
        <f ca="1">_xll.HLV5r3.Analytics.Miscellaneous.Zero2DF(_xll.HLV5r3.Analytics.Miscellaneous.LinearInterp(Peturbed_QZ,$K18,1,AF$1),ZeroCompFreq,'PDH Calc'!$K18/365)</f>
        <v>1</v>
      </c>
      <c r="AG18" s="8">
        <f ca="1">_xll.HLV5r3.Analytics.Miscellaneous.Zero2DF(_xll.HLV5r3.Analytics.Miscellaneous.LinearInterp(Peturbed_QZ,$K18,1,AG$1),ZeroCompFreq,'PDH Calc'!$K18/365)</f>
        <v>1</v>
      </c>
      <c r="AH18" s="8">
        <f ca="1">_xll.HLV5r3.Analytics.Miscellaneous.Zero2DF(_xll.HLV5r3.Analytics.Miscellaneous.LinearInterp(Peturbed_QZ,$K18,1,AH$1),ZeroCompFreq,'PDH Calc'!$K18/365)</f>
        <v>1</v>
      </c>
      <c r="AI18" s="8">
        <f ca="1">_xll.HLV5r3.Analytics.Miscellaneous.Zero2DF(_xll.HLV5r3.Analytics.Miscellaneous.LinearInterp(Peturbed_QZ,$K18,1,AI$1),ZeroCompFreq,'PDH Calc'!$K18/365)</f>
        <v>1</v>
      </c>
      <c r="AJ18" s="8">
        <f ca="1">_xll.HLV5r3.Analytics.Miscellaneous.Zero2DF(_xll.HLV5r3.Analytics.Miscellaneous.LinearInterp(Peturbed_QZ,$K18,1,AJ$1),ZeroCompFreq,'PDH Calc'!$K18/365)</f>
        <v>1</v>
      </c>
      <c r="AK18" s="8">
        <f ca="1">_xll.HLV5r3.Analytics.Miscellaneous.Zero2DF(_xll.HLV5r3.Analytics.Miscellaneous.LinearInterp(Peturbed_QZ,$K18,1,AK$1),ZeroCompFreq,'PDH Calc'!$K18/365)</f>
        <v>1</v>
      </c>
    </row>
    <row r="19" spans="1:37">
      <c r="A19" s="28" t="str">
        <f>'Rates &amp; Dates'!B31</f>
        <v>7Y</v>
      </c>
      <c r="B19" s="111">
        <f ca="1"/>
        <v>0</v>
      </c>
      <c r="C19" s="108">
        <f ca="1">B19/'Rates &amp; Dates'!F31</f>
        <v>0</v>
      </c>
      <c r="D19" s="110"/>
      <c r="E19" s="107">
        <f ca="1">B19*3/7</f>
        <v>0</v>
      </c>
      <c r="F19" s="108">
        <f ca="1">B19*4/7</f>
        <v>0</v>
      </c>
      <c r="H19" s="20"/>
      <c r="I19" s="21"/>
      <c r="J19" s="6"/>
      <c r="K19" s="6">
        <f t="shared" ca="1" si="5"/>
        <v>0</v>
      </c>
      <c r="L19" s="8">
        <f ca="1">_xll.HLV5r3.Analytics.Miscellaneous.Zero2DF(_xll.HLV5r3.Analytics.Miscellaneous.LinearInterp(Peturbed_QZ,$K19,1,L$1),ZeroCompFreq,'PDH Calc'!$K19/365)</f>
        <v>1</v>
      </c>
      <c r="M19" s="8">
        <f ca="1">_xll.HLV5r3.Analytics.Miscellaneous.Zero2DF(_xll.HLV5r3.Analytics.Miscellaneous.LinearInterp(Peturbed_QZ,$K19,1,M$1),ZeroCompFreq,'PDH Calc'!$K19/365)</f>
        <v>1</v>
      </c>
      <c r="N19" s="8">
        <f ca="1">_xll.HLV5r3.Analytics.Miscellaneous.Zero2DF(_xll.HLV5r3.Analytics.Miscellaneous.LinearInterp(Peturbed_QZ,$K19,1,N$1),ZeroCompFreq,'PDH Calc'!$K19/365)</f>
        <v>1</v>
      </c>
      <c r="O19" s="8">
        <f ca="1">_xll.HLV5r3.Analytics.Miscellaneous.Zero2DF(_xll.HLV5r3.Analytics.Miscellaneous.LinearInterp(Peturbed_QZ,$K19,1,O$1),ZeroCompFreq,'PDH Calc'!$K19/365)</f>
        <v>1</v>
      </c>
      <c r="P19" s="8">
        <f ca="1">_xll.HLV5r3.Analytics.Miscellaneous.Zero2DF(_xll.HLV5r3.Analytics.Miscellaneous.LinearInterp(Peturbed_QZ,$K19,1,P$1),ZeroCompFreq,'PDH Calc'!$K19/365)</f>
        <v>1</v>
      </c>
      <c r="Q19" s="8">
        <f ca="1">_xll.HLV5r3.Analytics.Miscellaneous.Zero2DF(_xll.HLV5r3.Analytics.Miscellaneous.LinearInterp(Peturbed_QZ,$K19,1,Q$1),ZeroCompFreq,'PDH Calc'!$K19/365)</f>
        <v>1</v>
      </c>
      <c r="R19" s="8">
        <f ca="1">_xll.HLV5r3.Analytics.Miscellaneous.Zero2DF(_xll.HLV5r3.Analytics.Miscellaneous.LinearInterp(Peturbed_QZ,$K19,1,R$1),ZeroCompFreq,'PDH Calc'!$K19/365)</f>
        <v>1</v>
      </c>
      <c r="S19" s="8">
        <f ca="1">_xll.HLV5r3.Analytics.Miscellaneous.Zero2DF(_xll.HLV5r3.Analytics.Miscellaneous.LinearInterp(Peturbed_QZ,$K19,1,S$1),ZeroCompFreq,'PDH Calc'!$K19/365)</f>
        <v>1</v>
      </c>
      <c r="T19" s="8">
        <f ca="1">_xll.HLV5r3.Analytics.Miscellaneous.Zero2DF(_xll.HLV5r3.Analytics.Miscellaneous.LinearInterp(Peturbed_QZ,$K19,1,T$1),ZeroCompFreq,'PDH Calc'!$K19/365)</f>
        <v>1</v>
      </c>
      <c r="U19" s="8">
        <f ca="1">_xll.HLV5r3.Analytics.Miscellaneous.Zero2DF(_xll.HLV5r3.Analytics.Miscellaneous.LinearInterp(Peturbed_QZ,$K19,1,U$1),ZeroCompFreq,'PDH Calc'!$K19/365)</f>
        <v>1</v>
      </c>
      <c r="V19" s="8">
        <f ca="1">_xll.HLV5r3.Analytics.Miscellaneous.Zero2DF(_xll.HLV5r3.Analytics.Miscellaneous.LinearInterp(Peturbed_QZ,$K19,1,V$1),ZeroCompFreq,'PDH Calc'!$K19/365)</f>
        <v>1</v>
      </c>
      <c r="W19" s="8">
        <f ca="1">_xll.HLV5r3.Analytics.Miscellaneous.Zero2DF(_xll.HLV5r3.Analytics.Miscellaneous.LinearInterp(Peturbed_QZ,$K19,1,W$1),ZeroCompFreq,'PDH Calc'!$K19/365)</f>
        <v>1</v>
      </c>
      <c r="X19" s="8">
        <f ca="1">_xll.HLV5r3.Analytics.Miscellaneous.Zero2DF(_xll.HLV5r3.Analytics.Miscellaneous.LinearInterp(Peturbed_QZ,$K19,1,X$1),ZeroCompFreq,'PDH Calc'!$K19/365)</f>
        <v>1</v>
      </c>
      <c r="Y19" s="8">
        <f ca="1">_xll.HLV5r3.Analytics.Miscellaneous.Zero2DF(_xll.HLV5r3.Analytics.Miscellaneous.LinearInterp(Peturbed_QZ,$K19,1,Y$1),ZeroCompFreq,'PDH Calc'!$K19/365)</f>
        <v>1</v>
      </c>
      <c r="Z19" s="8">
        <f ca="1">_xll.HLV5r3.Analytics.Miscellaneous.Zero2DF(_xll.HLV5r3.Analytics.Miscellaneous.LinearInterp(Peturbed_QZ,$K19,1,Z$1),ZeroCompFreq,'PDH Calc'!$K19/365)</f>
        <v>1</v>
      </c>
      <c r="AA19" s="8">
        <f ca="1">_xll.HLV5r3.Analytics.Miscellaneous.Zero2DF(_xll.HLV5r3.Analytics.Miscellaneous.LinearInterp(Peturbed_QZ,$K19,1,AA$1),ZeroCompFreq,'PDH Calc'!$K19/365)</f>
        <v>1</v>
      </c>
      <c r="AB19" s="8">
        <f ca="1">_xll.HLV5r3.Analytics.Miscellaneous.Zero2DF(_xll.HLV5r3.Analytics.Miscellaneous.LinearInterp(Peturbed_QZ,$K19,1,AB$1),ZeroCompFreq,'PDH Calc'!$K19/365)</f>
        <v>1</v>
      </c>
      <c r="AC19" s="8">
        <f ca="1">_xll.HLV5r3.Analytics.Miscellaneous.Zero2DF(_xll.HLV5r3.Analytics.Miscellaneous.LinearInterp(Peturbed_QZ,$K19,1,AC$1),ZeroCompFreq,'PDH Calc'!$K19/365)</f>
        <v>1</v>
      </c>
      <c r="AD19" s="8">
        <f ca="1">_xll.HLV5r3.Analytics.Miscellaneous.Zero2DF(_xll.HLV5r3.Analytics.Miscellaneous.LinearInterp(Peturbed_QZ,$K19,1,AD$1),ZeroCompFreq,'PDH Calc'!$K19/365)</f>
        <v>1</v>
      </c>
      <c r="AE19" s="8">
        <f ca="1">_xll.HLV5r3.Analytics.Miscellaneous.Zero2DF(_xll.HLV5r3.Analytics.Miscellaneous.LinearInterp(Peturbed_QZ,$K19,1,AE$1),ZeroCompFreq,'PDH Calc'!$K19/365)</f>
        <v>1</v>
      </c>
      <c r="AF19" s="8">
        <f ca="1">_xll.HLV5r3.Analytics.Miscellaneous.Zero2DF(_xll.HLV5r3.Analytics.Miscellaneous.LinearInterp(Peturbed_QZ,$K19,1,AF$1),ZeroCompFreq,'PDH Calc'!$K19/365)</f>
        <v>1</v>
      </c>
      <c r="AG19" s="8">
        <f ca="1">_xll.HLV5r3.Analytics.Miscellaneous.Zero2DF(_xll.HLV5r3.Analytics.Miscellaneous.LinearInterp(Peturbed_QZ,$K19,1,AG$1),ZeroCompFreq,'PDH Calc'!$K19/365)</f>
        <v>1</v>
      </c>
      <c r="AH19" s="8">
        <f ca="1">_xll.HLV5r3.Analytics.Miscellaneous.Zero2DF(_xll.HLV5r3.Analytics.Miscellaneous.LinearInterp(Peturbed_QZ,$K19,1,AH$1),ZeroCompFreq,'PDH Calc'!$K19/365)</f>
        <v>1</v>
      </c>
      <c r="AI19" s="8">
        <f ca="1">_xll.HLV5r3.Analytics.Miscellaneous.Zero2DF(_xll.HLV5r3.Analytics.Miscellaneous.LinearInterp(Peturbed_QZ,$K19,1,AI$1),ZeroCompFreq,'PDH Calc'!$K19/365)</f>
        <v>1</v>
      </c>
      <c r="AJ19" s="8">
        <f ca="1">_xll.HLV5r3.Analytics.Miscellaneous.Zero2DF(_xll.HLV5r3.Analytics.Miscellaneous.LinearInterp(Peturbed_QZ,$K19,1,AJ$1),ZeroCompFreq,'PDH Calc'!$K19/365)</f>
        <v>1</v>
      </c>
      <c r="AK19" s="8">
        <f ca="1">_xll.HLV5r3.Analytics.Miscellaneous.Zero2DF(_xll.HLV5r3.Analytics.Miscellaneous.LinearInterp(Peturbed_QZ,$K19,1,AK$1),ZeroCompFreq,'PDH Calc'!$K19/365)</f>
        <v>1</v>
      </c>
    </row>
    <row r="20" spans="1:37">
      <c r="A20" s="28" t="str">
        <f>'Rates &amp; Dates'!B32</f>
        <v>8Y</v>
      </c>
      <c r="B20" s="111">
        <f ca="1"/>
        <v>0</v>
      </c>
      <c r="C20" s="108">
        <f ca="1">B20/'Rates &amp; Dates'!F32</f>
        <v>0</v>
      </c>
      <c r="D20" s="110"/>
      <c r="E20" s="107">
        <f ca="1">B20*2/7</f>
        <v>0</v>
      </c>
      <c r="F20" s="108">
        <f ca="1">B20*5/7</f>
        <v>0</v>
      </c>
      <c r="H20" s="20"/>
      <c r="I20" s="21"/>
      <c r="J20" s="6"/>
      <c r="K20" s="6">
        <f t="shared" ca="1" si="5"/>
        <v>0</v>
      </c>
      <c r="L20" s="8">
        <f ca="1">_xll.HLV5r3.Analytics.Miscellaneous.Zero2DF(_xll.HLV5r3.Analytics.Miscellaneous.LinearInterp(Peturbed_QZ,$K20,1,L$1),ZeroCompFreq,'PDH Calc'!$K20/365)</f>
        <v>1</v>
      </c>
      <c r="M20" s="8">
        <f ca="1">_xll.HLV5r3.Analytics.Miscellaneous.Zero2DF(_xll.HLV5r3.Analytics.Miscellaneous.LinearInterp(Peturbed_QZ,$K20,1,M$1),ZeroCompFreq,'PDH Calc'!$K20/365)</f>
        <v>1</v>
      </c>
      <c r="N20" s="8">
        <f ca="1">_xll.HLV5r3.Analytics.Miscellaneous.Zero2DF(_xll.HLV5r3.Analytics.Miscellaneous.LinearInterp(Peturbed_QZ,$K20,1,N$1),ZeroCompFreq,'PDH Calc'!$K20/365)</f>
        <v>1</v>
      </c>
      <c r="O20" s="8">
        <f ca="1">_xll.HLV5r3.Analytics.Miscellaneous.Zero2DF(_xll.HLV5r3.Analytics.Miscellaneous.LinearInterp(Peturbed_QZ,$K20,1,O$1),ZeroCompFreq,'PDH Calc'!$K20/365)</f>
        <v>1</v>
      </c>
      <c r="P20" s="8">
        <f ca="1">_xll.HLV5r3.Analytics.Miscellaneous.Zero2DF(_xll.HLV5r3.Analytics.Miscellaneous.LinearInterp(Peturbed_QZ,$K20,1,P$1),ZeroCompFreq,'PDH Calc'!$K20/365)</f>
        <v>1</v>
      </c>
      <c r="Q20" s="8">
        <f ca="1">_xll.HLV5r3.Analytics.Miscellaneous.Zero2DF(_xll.HLV5r3.Analytics.Miscellaneous.LinearInterp(Peturbed_QZ,$K20,1,Q$1),ZeroCompFreq,'PDH Calc'!$K20/365)</f>
        <v>1</v>
      </c>
      <c r="R20" s="8">
        <f ca="1">_xll.HLV5r3.Analytics.Miscellaneous.Zero2DF(_xll.HLV5r3.Analytics.Miscellaneous.LinearInterp(Peturbed_QZ,$K20,1,R$1),ZeroCompFreq,'PDH Calc'!$K20/365)</f>
        <v>1</v>
      </c>
      <c r="S20" s="8">
        <f ca="1">_xll.HLV5r3.Analytics.Miscellaneous.Zero2DF(_xll.HLV5r3.Analytics.Miscellaneous.LinearInterp(Peturbed_QZ,$K20,1,S$1),ZeroCompFreq,'PDH Calc'!$K20/365)</f>
        <v>1</v>
      </c>
      <c r="T20" s="8">
        <f ca="1">_xll.HLV5r3.Analytics.Miscellaneous.Zero2DF(_xll.HLV5r3.Analytics.Miscellaneous.LinearInterp(Peturbed_QZ,$K20,1,T$1),ZeroCompFreq,'PDH Calc'!$K20/365)</f>
        <v>1</v>
      </c>
      <c r="U20" s="8">
        <f ca="1">_xll.HLV5r3.Analytics.Miscellaneous.Zero2DF(_xll.HLV5r3.Analytics.Miscellaneous.LinearInterp(Peturbed_QZ,$K20,1,U$1),ZeroCompFreq,'PDH Calc'!$K20/365)</f>
        <v>1</v>
      </c>
      <c r="V20" s="8">
        <f ca="1">_xll.HLV5r3.Analytics.Miscellaneous.Zero2DF(_xll.HLV5r3.Analytics.Miscellaneous.LinearInterp(Peturbed_QZ,$K20,1,V$1),ZeroCompFreq,'PDH Calc'!$K20/365)</f>
        <v>1</v>
      </c>
      <c r="W20" s="8">
        <f ca="1">_xll.HLV5r3.Analytics.Miscellaneous.Zero2DF(_xll.HLV5r3.Analytics.Miscellaneous.LinearInterp(Peturbed_QZ,$K20,1,W$1),ZeroCompFreq,'PDH Calc'!$K20/365)</f>
        <v>1</v>
      </c>
      <c r="X20" s="8">
        <f ca="1">_xll.HLV5r3.Analytics.Miscellaneous.Zero2DF(_xll.HLV5r3.Analytics.Miscellaneous.LinearInterp(Peturbed_QZ,$K20,1,X$1),ZeroCompFreq,'PDH Calc'!$K20/365)</f>
        <v>1</v>
      </c>
      <c r="Y20" s="8">
        <f ca="1">_xll.HLV5r3.Analytics.Miscellaneous.Zero2DF(_xll.HLV5r3.Analytics.Miscellaneous.LinearInterp(Peturbed_QZ,$K20,1,Y$1),ZeroCompFreq,'PDH Calc'!$K20/365)</f>
        <v>1</v>
      </c>
      <c r="Z20" s="8">
        <f ca="1">_xll.HLV5r3.Analytics.Miscellaneous.Zero2DF(_xll.HLV5r3.Analytics.Miscellaneous.LinearInterp(Peturbed_QZ,$K20,1,Z$1),ZeroCompFreq,'PDH Calc'!$K20/365)</f>
        <v>1</v>
      </c>
      <c r="AA20" s="8">
        <f ca="1">_xll.HLV5r3.Analytics.Miscellaneous.Zero2DF(_xll.HLV5r3.Analytics.Miscellaneous.LinearInterp(Peturbed_QZ,$K20,1,AA$1),ZeroCompFreq,'PDH Calc'!$K20/365)</f>
        <v>1</v>
      </c>
      <c r="AB20" s="8">
        <f ca="1">_xll.HLV5r3.Analytics.Miscellaneous.Zero2DF(_xll.HLV5r3.Analytics.Miscellaneous.LinearInterp(Peturbed_QZ,$K20,1,AB$1),ZeroCompFreq,'PDH Calc'!$K20/365)</f>
        <v>1</v>
      </c>
      <c r="AC20" s="8">
        <f ca="1">_xll.HLV5r3.Analytics.Miscellaneous.Zero2DF(_xll.HLV5r3.Analytics.Miscellaneous.LinearInterp(Peturbed_QZ,$K20,1,AC$1),ZeroCompFreq,'PDH Calc'!$K20/365)</f>
        <v>1</v>
      </c>
      <c r="AD20" s="8">
        <f ca="1">_xll.HLV5r3.Analytics.Miscellaneous.Zero2DF(_xll.HLV5r3.Analytics.Miscellaneous.LinearInterp(Peturbed_QZ,$K20,1,AD$1),ZeroCompFreq,'PDH Calc'!$K20/365)</f>
        <v>1</v>
      </c>
      <c r="AE20" s="8">
        <f ca="1">_xll.HLV5r3.Analytics.Miscellaneous.Zero2DF(_xll.HLV5r3.Analytics.Miscellaneous.LinearInterp(Peturbed_QZ,$K20,1,AE$1),ZeroCompFreq,'PDH Calc'!$K20/365)</f>
        <v>1</v>
      </c>
      <c r="AF20" s="8">
        <f ca="1">_xll.HLV5r3.Analytics.Miscellaneous.Zero2DF(_xll.HLV5r3.Analytics.Miscellaneous.LinearInterp(Peturbed_QZ,$K20,1,AF$1),ZeroCompFreq,'PDH Calc'!$K20/365)</f>
        <v>1</v>
      </c>
      <c r="AG20" s="8">
        <f ca="1">_xll.HLV5r3.Analytics.Miscellaneous.Zero2DF(_xll.HLV5r3.Analytics.Miscellaneous.LinearInterp(Peturbed_QZ,$K20,1,AG$1),ZeroCompFreq,'PDH Calc'!$K20/365)</f>
        <v>1</v>
      </c>
      <c r="AH20" s="8">
        <f ca="1">_xll.HLV5r3.Analytics.Miscellaneous.Zero2DF(_xll.HLV5r3.Analytics.Miscellaneous.LinearInterp(Peturbed_QZ,$K20,1,AH$1),ZeroCompFreq,'PDH Calc'!$K20/365)</f>
        <v>1</v>
      </c>
      <c r="AI20" s="8">
        <f ca="1">_xll.HLV5r3.Analytics.Miscellaneous.Zero2DF(_xll.HLV5r3.Analytics.Miscellaneous.LinearInterp(Peturbed_QZ,$K20,1,AI$1),ZeroCompFreq,'PDH Calc'!$K20/365)</f>
        <v>1</v>
      </c>
      <c r="AJ20" s="8">
        <f ca="1">_xll.HLV5r3.Analytics.Miscellaneous.Zero2DF(_xll.HLV5r3.Analytics.Miscellaneous.LinearInterp(Peturbed_QZ,$K20,1,AJ$1),ZeroCompFreq,'PDH Calc'!$K20/365)</f>
        <v>1</v>
      </c>
      <c r="AK20" s="8">
        <f ca="1">_xll.HLV5r3.Analytics.Miscellaneous.Zero2DF(_xll.HLV5r3.Analytics.Miscellaneous.LinearInterp(Peturbed_QZ,$K20,1,AK$1),ZeroCompFreq,'PDH Calc'!$K20/365)</f>
        <v>1</v>
      </c>
    </row>
    <row r="21" spans="1:37">
      <c r="A21" s="28" t="str">
        <f>'Rates &amp; Dates'!B33</f>
        <v>9Y</v>
      </c>
      <c r="B21" s="111">
        <f ca="1"/>
        <v>0</v>
      </c>
      <c r="C21" s="108">
        <f ca="1">B21/'Rates &amp; Dates'!F33</f>
        <v>0</v>
      </c>
      <c r="D21" s="110"/>
      <c r="E21" s="107">
        <f ca="1">B21*1/7</f>
        <v>0</v>
      </c>
      <c r="F21" s="108">
        <f ca="1">B21*6/7</f>
        <v>0</v>
      </c>
      <c r="H21" s="20"/>
      <c r="I21" s="21"/>
      <c r="J21" s="6"/>
      <c r="K21" s="6">
        <f t="shared" ca="1" si="5"/>
        <v>0</v>
      </c>
      <c r="L21" s="8">
        <f ca="1">_xll.HLV5r3.Analytics.Miscellaneous.Zero2DF(_xll.HLV5r3.Analytics.Miscellaneous.LinearInterp(Peturbed_QZ,$K21,1,L$1),ZeroCompFreq,'PDH Calc'!$K21/365)</f>
        <v>1</v>
      </c>
      <c r="M21" s="8">
        <f ca="1">_xll.HLV5r3.Analytics.Miscellaneous.Zero2DF(_xll.HLV5r3.Analytics.Miscellaneous.LinearInterp(Peturbed_QZ,$K21,1,M$1),ZeroCompFreq,'PDH Calc'!$K21/365)</f>
        <v>1</v>
      </c>
      <c r="N21" s="8">
        <f ca="1">_xll.HLV5r3.Analytics.Miscellaneous.Zero2DF(_xll.HLV5r3.Analytics.Miscellaneous.LinearInterp(Peturbed_QZ,$K21,1,N$1),ZeroCompFreq,'PDH Calc'!$K21/365)</f>
        <v>1</v>
      </c>
      <c r="O21" s="8">
        <f ca="1">_xll.HLV5r3.Analytics.Miscellaneous.Zero2DF(_xll.HLV5r3.Analytics.Miscellaneous.LinearInterp(Peturbed_QZ,$K21,1,O$1),ZeroCompFreq,'PDH Calc'!$K21/365)</f>
        <v>1</v>
      </c>
      <c r="P21" s="8">
        <f ca="1">_xll.HLV5r3.Analytics.Miscellaneous.Zero2DF(_xll.HLV5r3.Analytics.Miscellaneous.LinearInterp(Peturbed_QZ,$K21,1,P$1),ZeroCompFreq,'PDH Calc'!$K21/365)</f>
        <v>1</v>
      </c>
      <c r="Q21" s="8">
        <f ca="1">_xll.HLV5r3.Analytics.Miscellaneous.Zero2DF(_xll.HLV5r3.Analytics.Miscellaneous.LinearInterp(Peturbed_QZ,$K21,1,Q$1),ZeroCompFreq,'PDH Calc'!$K21/365)</f>
        <v>1</v>
      </c>
      <c r="R21" s="8">
        <f ca="1">_xll.HLV5r3.Analytics.Miscellaneous.Zero2DF(_xll.HLV5r3.Analytics.Miscellaneous.LinearInterp(Peturbed_QZ,$K21,1,R$1),ZeroCompFreq,'PDH Calc'!$K21/365)</f>
        <v>1</v>
      </c>
      <c r="S21" s="8">
        <f ca="1">_xll.HLV5r3.Analytics.Miscellaneous.Zero2DF(_xll.HLV5r3.Analytics.Miscellaneous.LinearInterp(Peturbed_QZ,$K21,1,S$1),ZeroCompFreq,'PDH Calc'!$K21/365)</f>
        <v>1</v>
      </c>
      <c r="T21" s="8">
        <f ca="1">_xll.HLV5r3.Analytics.Miscellaneous.Zero2DF(_xll.HLV5r3.Analytics.Miscellaneous.LinearInterp(Peturbed_QZ,$K21,1,T$1),ZeroCompFreq,'PDH Calc'!$K21/365)</f>
        <v>1</v>
      </c>
      <c r="U21" s="8">
        <f ca="1">_xll.HLV5r3.Analytics.Miscellaneous.Zero2DF(_xll.HLV5r3.Analytics.Miscellaneous.LinearInterp(Peturbed_QZ,$K21,1,U$1),ZeroCompFreq,'PDH Calc'!$K21/365)</f>
        <v>1</v>
      </c>
      <c r="V21" s="8">
        <f ca="1">_xll.HLV5r3.Analytics.Miscellaneous.Zero2DF(_xll.HLV5r3.Analytics.Miscellaneous.LinearInterp(Peturbed_QZ,$K21,1,V$1),ZeroCompFreq,'PDH Calc'!$K21/365)</f>
        <v>1</v>
      </c>
      <c r="W21" s="8">
        <f ca="1">_xll.HLV5r3.Analytics.Miscellaneous.Zero2DF(_xll.HLV5r3.Analytics.Miscellaneous.LinearInterp(Peturbed_QZ,$K21,1,W$1),ZeroCompFreq,'PDH Calc'!$K21/365)</f>
        <v>1</v>
      </c>
      <c r="X21" s="8">
        <f ca="1">_xll.HLV5r3.Analytics.Miscellaneous.Zero2DF(_xll.HLV5r3.Analytics.Miscellaneous.LinearInterp(Peturbed_QZ,$K21,1,X$1),ZeroCompFreq,'PDH Calc'!$K21/365)</f>
        <v>1</v>
      </c>
      <c r="Y21" s="8">
        <f ca="1">_xll.HLV5r3.Analytics.Miscellaneous.Zero2DF(_xll.HLV5r3.Analytics.Miscellaneous.LinearInterp(Peturbed_QZ,$K21,1,Y$1),ZeroCompFreq,'PDH Calc'!$K21/365)</f>
        <v>1</v>
      </c>
      <c r="Z21" s="8">
        <f ca="1">_xll.HLV5r3.Analytics.Miscellaneous.Zero2DF(_xll.HLV5r3.Analytics.Miscellaneous.LinearInterp(Peturbed_QZ,$K21,1,Z$1),ZeroCompFreq,'PDH Calc'!$K21/365)</f>
        <v>1</v>
      </c>
      <c r="AA21" s="8">
        <f ca="1">_xll.HLV5r3.Analytics.Miscellaneous.Zero2DF(_xll.HLV5r3.Analytics.Miscellaneous.LinearInterp(Peturbed_QZ,$K21,1,AA$1),ZeroCompFreq,'PDH Calc'!$K21/365)</f>
        <v>1</v>
      </c>
      <c r="AB21" s="8">
        <f ca="1">_xll.HLV5r3.Analytics.Miscellaneous.Zero2DF(_xll.HLV5r3.Analytics.Miscellaneous.LinearInterp(Peturbed_QZ,$K21,1,AB$1),ZeroCompFreq,'PDH Calc'!$K21/365)</f>
        <v>1</v>
      </c>
      <c r="AC21" s="8">
        <f ca="1">_xll.HLV5r3.Analytics.Miscellaneous.Zero2DF(_xll.HLV5r3.Analytics.Miscellaneous.LinearInterp(Peturbed_QZ,$K21,1,AC$1),ZeroCompFreq,'PDH Calc'!$K21/365)</f>
        <v>1</v>
      </c>
      <c r="AD21" s="8">
        <f ca="1">_xll.HLV5r3.Analytics.Miscellaneous.Zero2DF(_xll.HLV5r3.Analytics.Miscellaneous.LinearInterp(Peturbed_QZ,$K21,1,AD$1),ZeroCompFreq,'PDH Calc'!$K21/365)</f>
        <v>1</v>
      </c>
      <c r="AE21" s="8">
        <f ca="1">_xll.HLV5r3.Analytics.Miscellaneous.Zero2DF(_xll.HLV5r3.Analytics.Miscellaneous.LinearInterp(Peturbed_QZ,$K21,1,AE$1),ZeroCompFreq,'PDH Calc'!$K21/365)</f>
        <v>1</v>
      </c>
      <c r="AF21" s="8">
        <f ca="1">_xll.HLV5r3.Analytics.Miscellaneous.Zero2DF(_xll.HLV5r3.Analytics.Miscellaneous.LinearInterp(Peturbed_QZ,$K21,1,AF$1),ZeroCompFreq,'PDH Calc'!$K21/365)</f>
        <v>1</v>
      </c>
      <c r="AG21" s="8">
        <f ca="1">_xll.HLV5r3.Analytics.Miscellaneous.Zero2DF(_xll.HLV5r3.Analytics.Miscellaneous.LinearInterp(Peturbed_QZ,$K21,1,AG$1),ZeroCompFreq,'PDH Calc'!$K21/365)</f>
        <v>1</v>
      </c>
      <c r="AH21" s="8">
        <f ca="1">_xll.HLV5r3.Analytics.Miscellaneous.Zero2DF(_xll.HLV5r3.Analytics.Miscellaneous.LinearInterp(Peturbed_QZ,$K21,1,AH$1),ZeroCompFreq,'PDH Calc'!$K21/365)</f>
        <v>1</v>
      </c>
      <c r="AI21" s="8">
        <f ca="1">_xll.HLV5r3.Analytics.Miscellaneous.Zero2DF(_xll.HLV5r3.Analytics.Miscellaneous.LinearInterp(Peturbed_QZ,$K21,1,AI$1),ZeroCompFreq,'PDH Calc'!$K21/365)</f>
        <v>1</v>
      </c>
      <c r="AJ21" s="8">
        <f ca="1">_xll.HLV5r3.Analytics.Miscellaneous.Zero2DF(_xll.HLV5r3.Analytics.Miscellaneous.LinearInterp(Peturbed_QZ,$K21,1,AJ$1),ZeroCompFreq,'PDH Calc'!$K21/365)</f>
        <v>1</v>
      </c>
      <c r="AK21" s="8">
        <f ca="1">_xll.HLV5r3.Analytics.Miscellaneous.Zero2DF(_xll.HLV5r3.Analytics.Miscellaneous.LinearInterp(Peturbed_QZ,$K21,1,AK$1),ZeroCompFreq,'PDH Calc'!$K21/365)</f>
        <v>1</v>
      </c>
    </row>
    <row r="22" spans="1:37">
      <c r="A22" s="28" t="str">
        <f>'Rates &amp; Dates'!B34</f>
        <v>10Y</v>
      </c>
      <c r="B22" s="111">
        <f ca="1"/>
        <v>0</v>
      </c>
      <c r="C22" s="108">
        <f ca="1">B22/'Rates &amp; Dates'!F34</f>
        <v>0</v>
      </c>
      <c r="D22" s="110"/>
      <c r="E22" s="107">
        <f ca="1">B22*0/7</f>
        <v>0</v>
      </c>
      <c r="F22" s="108">
        <f ca="1">B22*7/7</f>
        <v>0</v>
      </c>
      <c r="H22" s="20"/>
      <c r="I22" s="21"/>
      <c r="J22" s="6"/>
      <c r="K22" s="6">
        <f t="shared" ca="1" si="5"/>
        <v>0</v>
      </c>
      <c r="L22" s="8">
        <f ca="1">_xll.HLV5r3.Analytics.Miscellaneous.Zero2DF(_xll.HLV5r3.Analytics.Miscellaneous.LinearInterp(Peturbed_QZ,$K22,1,L$1),ZeroCompFreq,'PDH Calc'!$K22/365)</f>
        <v>1</v>
      </c>
      <c r="M22" s="8">
        <f ca="1">_xll.HLV5r3.Analytics.Miscellaneous.Zero2DF(_xll.HLV5r3.Analytics.Miscellaneous.LinearInterp(Peturbed_QZ,$K22,1,M$1),ZeroCompFreq,'PDH Calc'!$K22/365)</f>
        <v>1</v>
      </c>
      <c r="N22" s="8">
        <f ca="1">_xll.HLV5r3.Analytics.Miscellaneous.Zero2DF(_xll.HLV5r3.Analytics.Miscellaneous.LinearInterp(Peturbed_QZ,$K22,1,N$1),ZeroCompFreq,'PDH Calc'!$K22/365)</f>
        <v>1</v>
      </c>
      <c r="O22" s="8">
        <f ca="1">_xll.HLV5r3.Analytics.Miscellaneous.Zero2DF(_xll.HLV5r3.Analytics.Miscellaneous.LinearInterp(Peturbed_QZ,$K22,1,O$1),ZeroCompFreq,'PDH Calc'!$K22/365)</f>
        <v>1</v>
      </c>
      <c r="P22" s="8">
        <f ca="1">_xll.HLV5r3.Analytics.Miscellaneous.Zero2DF(_xll.HLV5r3.Analytics.Miscellaneous.LinearInterp(Peturbed_QZ,$K22,1,P$1),ZeroCompFreq,'PDH Calc'!$K22/365)</f>
        <v>1</v>
      </c>
      <c r="Q22" s="8">
        <f ca="1">_xll.HLV5r3.Analytics.Miscellaneous.Zero2DF(_xll.HLV5r3.Analytics.Miscellaneous.LinearInterp(Peturbed_QZ,$K22,1,Q$1),ZeroCompFreq,'PDH Calc'!$K22/365)</f>
        <v>1</v>
      </c>
      <c r="R22" s="8">
        <f ca="1">_xll.HLV5r3.Analytics.Miscellaneous.Zero2DF(_xll.HLV5r3.Analytics.Miscellaneous.LinearInterp(Peturbed_QZ,$K22,1,R$1),ZeroCompFreq,'PDH Calc'!$K22/365)</f>
        <v>1</v>
      </c>
      <c r="S22" s="8">
        <f ca="1">_xll.HLV5r3.Analytics.Miscellaneous.Zero2DF(_xll.HLV5r3.Analytics.Miscellaneous.LinearInterp(Peturbed_QZ,$K22,1,S$1),ZeroCompFreq,'PDH Calc'!$K22/365)</f>
        <v>1</v>
      </c>
      <c r="T22" s="8">
        <f ca="1">_xll.HLV5r3.Analytics.Miscellaneous.Zero2DF(_xll.HLV5r3.Analytics.Miscellaneous.LinearInterp(Peturbed_QZ,$K22,1,T$1),ZeroCompFreq,'PDH Calc'!$K22/365)</f>
        <v>1</v>
      </c>
      <c r="U22" s="8">
        <f ca="1">_xll.HLV5r3.Analytics.Miscellaneous.Zero2DF(_xll.HLV5r3.Analytics.Miscellaneous.LinearInterp(Peturbed_QZ,$K22,1,U$1),ZeroCompFreq,'PDH Calc'!$K22/365)</f>
        <v>1</v>
      </c>
      <c r="V22" s="8">
        <f ca="1">_xll.HLV5r3.Analytics.Miscellaneous.Zero2DF(_xll.HLV5r3.Analytics.Miscellaneous.LinearInterp(Peturbed_QZ,$K22,1,V$1),ZeroCompFreq,'PDH Calc'!$K22/365)</f>
        <v>1</v>
      </c>
      <c r="W22" s="8">
        <f ca="1">_xll.HLV5r3.Analytics.Miscellaneous.Zero2DF(_xll.HLV5r3.Analytics.Miscellaneous.LinearInterp(Peturbed_QZ,$K22,1,W$1),ZeroCompFreq,'PDH Calc'!$K22/365)</f>
        <v>1</v>
      </c>
      <c r="X22" s="8">
        <f ca="1">_xll.HLV5r3.Analytics.Miscellaneous.Zero2DF(_xll.HLV5r3.Analytics.Miscellaneous.LinearInterp(Peturbed_QZ,$K22,1,X$1),ZeroCompFreq,'PDH Calc'!$K22/365)</f>
        <v>1</v>
      </c>
      <c r="Y22" s="8">
        <f ca="1">_xll.HLV5r3.Analytics.Miscellaneous.Zero2DF(_xll.HLV5r3.Analytics.Miscellaneous.LinearInterp(Peturbed_QZ,$K22,1,Y$1),ZeroCompFreq,'PDH Calc'!$K22/365)</f>
        <v>1</v>
      </c>
      <c r="Z22" s="8">
        <f ca="1">_xll.HLV5r3.Analytics.Miscellaneous.Zero2DF(_xll.HLV5r3.Analytics.Miscellaneous.LinearInterp(Peturbed_QZ,$K22,1,Z$1),ZeroCompFreq,'PDH Calc'!$K22/365)</f>
        <v>1</v>
      </c>
      <c r="AA22" s="8">
        <f ca="1">_xll.HLV5r3.Analytics.Miscellaneous.Zero2DF(_xll.HLV5r3.Analytics.Miscellaneous.LinearInterp(Peturbed_QZ,$K22,1,AA$1),ZeroCompFreq,'PDH Calc'!$K22/365)</f>
        <v>1</v>
      </c>
      <c r="AB22" s="8">
        <f ca="1">_xll.HLV5r3.Analytics.Miscellaneous.Zero2DF(_xll.HLV5r3.Analytics.Miscellaneous.LinearInterp(Peturbed_QZ,$K22,1,AB$1),ZeroCompFreq,'PDH Calc'!$K22/365)</f>
        <v>1</v>
      </c>
      <c r="AC22" s="8">
        <f ca="1">_xll.HLV5r3.Analytics.Miscellaneous.Zero2DF(_xll.HLV5r3.Analytics.Miscellaneous.LinearInterp(Peturbed_QZ,$K22,1,AC$1),ZeroCompFreq,'PDH Calc'!$K22/365)</f>
        <v>1</v>
      </c>
      <c r="AD22" s="8">
        <f ca="1">_xll.HLV5r3.Analytics.Miscellaneous.Zero2DF(_xll.HLV5r3.Analytics.Miscellaneous.LinearInterp(Peturbed_QZ,$K22,1,AD$1),ZeroCompFreq,'PDH Calc'!$K22/365)</f>
        <v>1</v>
      </c>
      <c r="AE22" s="8">
        <f ca="1">_xll.HLV5r3.Analytics.Miscellaneous.Zero2DF(_xll.HLV5r3.Analytics.Miscellaneous.LinearInterp(Peturbed_QZ,$K22,1,AE$1),ZeroCompFreq,'PDH Calc'!$K22/365)</f>
        <v>1</v>
      </c>
      <c r="AF22" s="8">
        <f ca="1">_xll.HLV5r3.Analytics.Miscellaneous.Zero2DF(_xll.HLV5r3.Analytics.Miscellaneous.LinearInterp(Peturbed_QZ,$K22,1,AF$1),ZeroCompFreq,'PDH Calc'!$K22/365)</f>
        <v>1</v>
      </c>
      <c r="AG22" s="8">
        <f ca="1">_xll.HLV5r3.Analytics.Miscellaneous.Zero2DF(_xll.HLV5r3.Analytics.Miscellaneous.LinearInterp(Peturbed_QZ,$K22,1,AG$1),ZeroCompFreq,'PDH Calc'!$K22/365)</f>
        <v>1</v>
      </c>
      <c r="AH22" s="8">
        <f ca="1">_xll.HLV5r3.Analytics.Miscellaneous.Zero2DF(_xll.HLV5r3.Analytics.Miscellaneous.LinearInterp(Peturbed_QZ,$K22,1,AH$1),ZeroCompFreq,'PDH Calc'!$K22/365)</f>
        <v>1</v>
      </c>
      <c r="AI22" s="8">
        <f ca="1">_xll.HLV5r3.Analytics.Miscellaneous.Zero2DF(_xll.HLV5r3.Analytics.Miscellaneous.LinearInterp(Peturbed_QZ,$K22,1,AI$1),ZeroCompFreq,'PDH Calc'!$K22/365)</f>
        <v>1</v>
      </c>
      <c r="AJ22" s="8">
        <f ca="1">_xll.HLV5r3.Analytics.Miscellaneous.Zero2DF(_xll.HLV5r3.Analytics.Miscellaneous.LinearInterp(Peturbed_QZ,$K22,1,AJ$1),ZeroCompFreq,'PDH Calc'!$K22/365)</f>
        <v>1</v>
      </c>
      <c r="AK22" s="8">
        <f ca="1">_xll.HLV5r3.Analytics.Miscellaneous.Zero2DF(_xll.HLV5r3.Analytics.Miscellaneous.LinearInterp(Peturbed_QZ,$K22,1,AK$1),ZeroCompFreq,'PDH Calc'!$K22/365)</f>
        <v>1</v>
      </c>
    </row>
    <row r="23" spans="1:37">
      <c r="A23" s="28" t="str">
        <f>'Rates &amp; Dates'!B35</f>
        <v>12Y</v>
      </c>
      <c r="B23" s="111">
        <f ca="1"/>
        <v>0</v>
      </c>
      <c r="C23" s="108">
        <f ca="1">B23/'Rates &amp; Dates'!F35</f>
        <v>0</v>
      </c>
      <c r="D23" s="110"/>
      <c r="E23" s="107"/>
      <c r="F23" s="108">
        <f ca="1">B23</f>
        <v>0</v>
      </c>
      <c r="H23" s="20"/>
      <c r="I23" s="21"/>
      <c r="J23" s="6"/>
      <c r="K23" s="6">
        <f t="shared" ca="1" si="5"/>
        <v>0</v>
      </c>
      <c r="L23" s="8">
        <f ca="1">_xll.HLV5r3.Analytics.Miscellaneous.Zero2DF(_xll.HLV5r3.Analytics.Miscellaneous.LinearInterp(Peturbed_QZ,$K23,1,L$1),ZeroCompFreq,'PDH Calc'!$K23/365)</f>
        <v>1</v>
      </c>
      <c r="M23" s="8">
        <f ca="1">_xll.HLV5r3.Analytics.Miscellaneous.Zero2DF(_xll.HLV5r3.Analytics.Miscellaneous.LinearInterp(Peturbed_QZ,$K23,1,M$1),ZeroCompFreq,'PDH Calc'!$K23/365)</f>
        <v>1</v>
      </c>
      <c r="N23" s="8">
        <f ca="1">_xll.HLV5r3.Analytics.Miscellaneous.Zero2DF(_xll.HLV5r3.Analytics.Miscellaneous.LinearInterp(Peturbed_QZ,$K23,1,N$1),ZeroCompFreq,'PDH Calc'!$K23/365)</f>
        <v>1</v>
      </c>
      <c r="O23" s="8">
        <f ca="1">_xll.HLV5r3.Analytics.Miscellaneous.Zero2DF(_xll.HLV5r3.Analytics.Miscellaneous.LinearInterp(Peturbed_QZ,$K23,1,O$1),ZeroCompFreq,'PDH Calc'!$K23/365)</f>
        <v>1</v>
      </c>
      <c r="P23" s="8">
        <f ca="1">_xll.HLV5r3.Analytics.Miscellaneous.Zero2DF(_xll.HLV5r3.Analytics.Miscellaneous.LinearInterp(Peturbed_QZ,$K23,1,P$1),ZeroCompFreq,'PDH Calc'!$K23/365)</f>
        <v>1</v>
      </c>
      <c r="Q23" s="8">
        <f ca="1">_xll.HLV5r3.Analytics.Miscellaneous.Zero2DF(_xll.HLV5r3.Analytics.Miscellaneous.LinearInterp(Peturbed_QZ,$K23,1,Q$1),ZeroCompFreq,'PDH Calc'!$K23/365)</f>
        <v>1</v>
      </c>
      <c r="R23" s="8">
        <f ca="1">_xll.HLV5r3.Analytics.Miscellaneous.Zero2DF(_xll.HLV5r3.Analytics.Miscellaneous.LinearInterp(Peturbed_QZ,$K23,1,R$1),ZeroCompFreq,'PDH Calc'!$K23/365)</f>
        <v>1</v>
      </c>
      <c r="S23" s="8">
        <f ca="1">_xll.HLV5r3.Analytics.Miscellaneous.Zero2DF(_xll.HLV5r3.Analytics.Miscellaneous.LinearInterp(Peturbed_QZ,$K23,1,S$1),ZeroCompFreq,'PDH Calc'!$K23/365)</f>
        <v>1</v>
      </c>
      <c r="T23" s="8">
        <f ca="1">_xll.HLV5r3.Analytics.Miscellaneous.Zero2DF(_xll.HLV5r3.Analytics.Miscellaneous.LinearInterp(Peturbed_QZ,$K23,1,T$1),ZeroCompFreq,'PDH Calc'!$K23/365)</f>
        <v>1</v>
      </c>
      <c r="U23" s="8">
        <f ca="1">_xll.HLV5r3.Analytics.Miscellaneous.Zero2DF(_xll.HLV5r3.Analytics.Miscellaneous.LinearInterp(Peturbed_QZ,$K23,1,U$1),ZeroCompFreq,'PDH Calc'!$K23/365)</f>
        <v>1</v>
      </c>
      <c r="V23" s="8">
        <f ca="1">_xll.HLV5r3.Analytics.Miscellaneous.Zero2DF(_xll.HLV5r3.Analytics.Miscellaneous.LinearInterp(Peturbed_QZ,$K23,1,V$1),ZeroCompFreq,'PDH Calc'!$K23/365)</f>
        <v>1</v>
      </c>
      <c r="W23" s="8">
        <f ca="1">_xll.HLV5r3.Analytics.Miscellaneous.Zero2DF(_xll.HLV5r3.Analytics.Miscellaneous.LinearInterp(Peturbed_QZ,$K23,1,W$1),ZeroCompFreq,'PDH Calc'!$K23/365)</f>
        <v>1</v>
      </c>
      <c r="X23" s="8">
        <f ca="1">_xll.HLV5r3.Analytics.Miscellaneous.Zero2DF(_xll.HLV5r3.Analytics.Miscellaneous.LinearInterp(Peturbed_QZ,$K23,1,X$1),ZeroCompFreq,'PDH Calc'!$K23/365)</f>
        <v>1</v>
      </c>
      <c r="Y23" s="8">
        <f ca="1">_xll.HLV5r3.Analytics.Miscellaneous.Zero2DF(_xll.HLV5r3.Analytics.Miscellaneous.LinearInterp(Peturbed_QZ,$K23,1,Y$1),ZeroCompFreq,'PDH Calc'!$K23/365)</f>
        <v>1</v>
      </c>
      <c r="Z23" s="8">
        <f ca="1">_xll.HLV5r3.Analytics.Miscellaneous.Zero2DF(_xll.HLV5r3.Analytics.Miscellaneous.LinearInterp(Peturbed_QZ,$K23,1,Z$1),ZeroCompFreq,'PDH Calc'!$K23/365)</f>
        <v>1</v>
      </c>
      <c r="AA23" s="8">
        <f ca="1">_xll.HLV5r3.Analytics.Miscellaneous.Zero2DF(_xll.HLV5r3.Analytics.Miscellaneous.LinearInterp(Peturbed_QZ,$K23,1,AA$1),ZeroCompFreq,'PDH Calc'!$K23/365)</f>
        <v>1</v>
      </c>
      <c r="AB23" s="8">
        <f ca="1">_xll.HLV5r3.Analytics.Miscellaneous.Zero2DF(_xll.HLV5r3.Analytics.Miscellaneous.LinearInterp(Peturbed_QZ,$K23,1,AB$1),ZeroCompFreq,'PDH Calc'!$K23/365)</f>
        <v>1</v>
      </c>
      <c r="AC23" s="8">
        <f ca="1">_xll.HLV5r3.Analytics.Miscellaneous.Zero2DF(_xll.HLV5r3.Analytics.Miscellaneous.LinearInterp(Peturbed_QZ,$K23,1,AC$1),ZeroCompFreq,'PDH Calc'!$K23/365)</f>
        <v>1</v>
      </c>
      <c r="AD23" s="8">
        <f ca="1">_xll.HLV5r3.Analytics.Miscellaneous.Zero2DF(_xll.HLV5r3.Analytics.Miscellaneous.LinearInterp(Peturbed_QZ,$K23,1,AD$1),ZeroCompFreq,'PDH Calc'!$K23/365)</f>
        <v>1</v>
      </c>
      <c r="AE23" s="8">
        <f ca="1">_xll.HLV5r3.Analytics.Miscellaneous.Zero2DF(_xll.HLV5r3.Analytics.Miscellaneous.LinearInterp(Peturbed_QZ,$K23,1,AE$1),ZeroCompFreq,'PDH Calc'!$K23/365)</f>
        <v>1</v>
      </c>
      <c r="AF23" s="8">
        <f ca="1">_xll.HLV5r3.Analytics.Miscellaneous.Zero2DF(_xll.HLV5r3.Analytics.Miscellaneous.LinearInterp(Peturbed_QZ,$K23,1,AF$1),ZeroCompFreq,'PDH Calc'!$K23/365)</f>
        <v>1</v>
      </c>
      <c r="AG23" s="8">
        <f ca="1">_xll.HLV5r3.Analytics.Miscellaneous.Zero2DF(_xll.HLV5r3.Analytics.Miscellaneous.LinearInterp(Peturbed_QZ,$K23,1,AG$1),ZeroCompFreq,'PDH Calc'!$K23/365)</f>
        <v>1</v>
      </c>
      <c r="AH23" s="8">
        <f ca="1">_xll.HLV5r3.Analytics.Miscellaneous.Zero2DF(_xll.HLV5r3.Analytics.Miscellaneous.LinearInterp(Peturbed_QZ,$K23,1,AH$1),ZeroCompFreq,'PDH Calc'!$K23/365)</f>
        <v>1</v>
      </c>
      <c r="AI23" s="8">
        <f ca="1">_xll.HLV5r3.Analytics.Miscellaneous.Zero2DF(_xll.HLV5r3.Analytics.Miscellaneous.LinearInterp(Peturbed_QZ,$K23,1,AI$1),ZeroCompFreq,'PDH Calc'!$K23/365)</f>
        <v>1</v>
      </c>
      <c r="AJ23" s="8">
        <f ca="1">_xll.HLV5r3.Analytics.Miscellaneous.Zero2DF(_xll.HLV5r3.Analytics.Miscellaneous.LinearInterp(Peturbed_QZ,$K23,1,AJ$1),ZeroCompFreq,'PDH Calc'!$K23/365)</f>
        <v>1</v>
      </c>
      <c r="AK23" s="8">
        <f ca="1">_xll.HLV5r3.Analytics.Miscellaneous.Zero2DF(_xll.HLV5r3.Analytics.Miscellaneous.LinearInterp(Peturbed_QZ,$K23,1,AK$1),ZeroCompFreq,'PDH Calc'!$K23/365)</f>
        <v>1</v>
      </c>
    </row>
    <row r="24" spans="1:37">
      <c r="A24" s="28" t="str">
        <f>'Rates &amp; Dates'!B36</f>
        <v>15Y</v>
      </c>
      <c r="B24" s="115">
        <f ca="1"/>
        <v>0</v>
      </c>
      <c r="C24" s="108">
        <f ca="1">B24/'Rates &amp; Dates'!F36</f>
        <v>0</v>
      </c>
      <c r="E24" s="183"/>
      <c r="F24" s="108">
        <f t="shared" ref="F24:F27" ca="1" si="6">B24</f>
        <v>0</v>
      </c>
      <c r="G24" s="6"/>
      <c r="H24" s="20"/>
      <c r="I24" s="21"/>
      <c r="J24" s="26"/>
      <c r="K24" s="6">
        <f t="shared" ca="1" si="5"/>
        <v>0</v>
      </c>
      <c r="L24" s="8">
        <f ca="1">_xll.HLV5r3.Analytics.Miscellaneous.Zero2DF(_xll.HLV5r3.Analytics.Miscellaneous.LinearInterp(Peturbed_QZ,$K24,1,L$1),ZeroCompFreq,'PDH Calc'!$K24/365)</f>
        <v>1</v>
      </c>
      <c r="M24" s="8">
        <f ca="1">_xll.HLV5r3.Analytics.Miscellaneous.Zero2DF(_xll.HLV5r3.Analytics.Miscellaneous.LinearInterp(Peturbed_QZ,$K24,1,M$1),ZeroCompFreq,'PDH Calc'!$K24/365)</f>
        <v>1</v>
      </c>
      <c r="N24" s="8">
        <f ca="1">_xll.HLV5r3.Analytics.Miscellaneous.Zero2DF(_xll.HLV5r3.Analytics.Miscellaneous.LinearInterp(Peturbed_QZ,$K24,1,N$1),ZeroCompFreq,'PDH Calc'!$K24/365)</f>
        <v>1</v>
      </c>
      <c r="O24" s="8">
        <f ca="1">_xll.HLV5r3.Analytics.Miscellaneous.Zero2DF(_xll.HLV5r3.Analytics.Miscellaneous.LinearInterp(Peturbed_QZ,$K24,1,O$1),ZeroCompFreq,'PDH Calc'!$K24/365)</f>
        <v>1</v>
      </c>
      <c r="P24" s="8">
        <f ca="1">_xll.HLV5r3.Analytics.Miscellaneous.Zero2DF(_xll.HLV5r3.Analytics.Miscellaneous.LinearInterp(Peturbed_QZ,$K24,1,P$1),ZeroCompFreq,'PDH Calc'!$K24/365)</f>
        <v>1</v>
      </c>
      <c r="Q24" s="8">
        <f ca="1">_xll.HLV5r3.Analytics.Miscellaneous.Zero2DF(_xll.HLV5r3.Analytics.Miscellaneous.LinearInterp(Peturbed_QZ,$K24,1,Q$1),ZeroCompFreq,'PDH Calc'!$K24/365)</f>
        <v>1</v>
      </c>
      <c r="R24" s="8">
        <f ca="1">_xll.HLV5r3.Analytics.Miscellaneous.Zero2DF(_xll.HLV5r3.Analytics.Miscellaneous.LinearInterp(Peturbed_QZ,$K24,1,R$1),ZeroCompFreq,'PDH Calc'!$K24/365)</f>
        <v>1</v>
      </c>
      <c r="S24" s="8">
        <f ca="1">_xll.HLV5r3.Analytics.Miscellaneous.Zero2DF(_xll.HLV5r3.Analytics.Miscellaneous.LinearInterp(Peturbed_QZ,$K24,1,S$1),ZeroCompFreq,'PDH Calc'!$K24/365)</f>
        <v>1</v>
      </c>
      <c r="T24" s="8">
        <f ca="1">_xll.HLV5r3.Analytics.Miscellaneous.Zero2DF(_xll.HLV5r3.Analytics.Miscellaneous.LinearInterp(Peturbed_QZ,$K24,1,T$1),ZeroCompFreq,'PDH Calc'!$K24/365)</f>
        <v>1</v>
      </c>
      <c r="U24" s="8">
        <f ca="1">_xll.HLV5r3.Analytics.Miscellaneous.Zero2DF(_xll.HLV5r3.Analytics.Miscellaneous.LinearInterp(Peturbed_QZ,$K24,1,U$1),ZeroCompFreq,'PDH Calc'!$K24/365)</f>
        <v>1</v>
      </c>
      <c r="V24" s="8">
        <f ca="1">_xll.HLV5r3.Analytics.Miscellaneous.Zero2DF(_xll.HLV5r3.Analytics.Miscellaneous.LinearInterp(Peturbed_QZ,$K24,1,V$1),ZeroCompFreq,'PDH Calc'!$K24/365)</f>
        <v>1</v>
      </c>
      <c r="W24" s="8">
        <f ca="1">_xll.HLV5r3.Analytics.Miscellaneous.Zero2DF(_xll.HLV5r3.Analytics.Miscellaneous.LinearInterp(Peturbed_QZ,$K24,1,W$1),ZeroCompFreq,'PDH Calc'!$K24/365)</f>
        <v>1</v>
      </c>
      <c r="X24" s="8">
        <f ca="1">_xll.HLV5r3.Analytics.Miscellaneous.Zero2DF(_xll.HLV5r3.Analytics.Miscellaneous.LinearInterp(Peturbed_QZ,$K24,1,X$1),ZeroCompFreq,'PDH Calc'!$K24/365)</f>
        <v>1</v>
      </c>
      <c r="Y24" s="8">
        <f ca="1">_xll.HLV5r3.Analytics.Miscellaneous.Zero2DF(_xll.HLV5r3.Analytics.Miscellaneous.LinearInterp(Peturbed_QZ,$K24,1,Y$1),ZeroCompFreq,'PDH Calc'!$K24/365)</f>
        <v>1</v>
      </c>
      <c r="Z24" s="8">
        <f ca="1">_xll.HLV5r3.Analytics.Miscellaneous.Zero2DF(_xll.HLV5r3.Analytics.Miscellaneous.LinearInterp(Peturbed_QZ,$K24,1,Z$1),ZeroCompFreq,'PDH Calc'!$K24/365)</f>
        <v>1</v>
      </c>
      <c r="AA24" s="8">
        <f ca="1">_xll.HLV5r3.Analytics.Miscellaneous.Zero2DF(_xll.HLV5r3.Analytics.Miscellaneous.LinearInterp(Peturbed_QZ,$K24,1,AA$1),ZeroCompFreq,'PDH Calc'!$K24/365)</f>
        <v>1</v>
      </c>
      <c r="AB24" s="8">
        <f ca="1">_xll.HLV5r3.Analytics.Miscellaneous.Zero2DF(_xll.HLV5r3.Analytics.Miscellaneous.LinearInterp(Peturbed_QZ,$K24,1,AB$1),ZeroCompFreq,'PDH Calc'!$K24/365)</f>
        <v>1</v>
      </c>
      <c r="AC24" s="8">
        <f ca="1">_xll.HLV5r3.Analytics.Miscellaneous.Zero2DF(_xll.HLV5r3.Analytics.Miscellaneous.LinearInterp(Peturbed_QZ,$K24,1,AC$1),ZeroCompFreq,'PDH Calc'!$K24/365)</f>
        <v>1</v>
      </c>
      <c r="AD24" s="8">
        <f ca="1">_xll.HLV5r3.Analytics.Miscellaneous.Zero2DF(_xll.HLV5r3.Analytics.Miscellaneous.LinearInterp(Peturbed_QZ,$K24,1,AD$1),ZeroCompFreq,'PDH Calc'!$K24/365)</f>
        <v>1</v>
      </c>
      <c r="AE24" s="8">
        <f ca="1">_xll.HLV5r3.Analytics.Miscellaneous.Zero2DF(_xll.HLV5r3.Analytics.Miscellaneous.LinearInterp(Peturbed_QZ,$K24,1,AE$1),ZeroCompFreq,'PDH Calc'!$K24/365)</f>
        <v>1</v>
      </c>
      <c r="AF24" s="8">
        <f ca="1">_xll.HLV5r3.Analytics.Miscellaneous.Zero2DF(_xll.HLV5r3.Analytics.Miscellaneous.LinearInterp(Peturbed_QZ,$K24,1,AF$1),ZeroCompFreq,'PDH Calc'!$K24/365)</f>
        <v>1</v>
      </c>
      <c r="AG24" s="8">
        <f ca="1">_xll.HLV5r3.Analytics.Miscellaneous.Zero2DF(_xll.HLV5r3.Analytics.Miscellaneous.LinearInterp(Peturbed_QZ,$K24,1,AG$1),ZeroCompFreq,'PDH Calc'!$K24/365)</f>
        <v>1</v>
      </c>
      <c r="AH24" s="8">
        <f ca="1">_xll.HLV5r3.Analytics.Miscellaneous.Zero2DF(_xll.HLV5r3.Analytics.Miscellaneous.LinearInterp(Peturbed_QZ,$K24,1,AH$1),ZeroCompFreq,'PDH Calc'!$K24/365)</f>
        <v>1</v>
      </c>
      <c r="AI24" s="8">
        <f ca="1">_xll.HLV5r3.Analytics.Miscellaneous.Zero2DF(_xll.HLV5r3.Analytics.Miscellaneous.LinearInterp(Peturbed_QZ,$K24,1,AI$1),ZeroCompFreq,'PDH Calc'!$K24/365)</f>
        <v>1</v>
      </c>
      <c r="AJ24" s="8">
        <f ca="1">_xll.HLV5r3.Analytics.Miscellaneous.Zero2DF(_xll.HLV5r3.Analytics.Miscellaneous.LinearInterp(Peturbed_QZ,$K24,1,AJ$1),ZeroCompFreq,'PDH Calc'!$K24/365)</f>
        <v>1</v>
      </c>
      <c r="AK24" s="8">
        <f ca="1">_xll.HLV5r3.Analytics.Miscellaneous.Zero2DF(_xll.HLV5r3.Analytics.Miscellaneous.LinearInterp(Peturbed_QZ,$K24,1,AK$1),ZeroCompFreq,'PDH Calc'!$K24/365)</f>
        <v>1</v>
      </c>
    </row>
    <row r="25" spans="1:37">
      <c r="A25" s="28" t="str">
        <f>'Rates &amp; Dates'!B37</f>
        <v>20Y</v>
      </c>
      <c r="B25" s="115">
        <f ca="1"/>
        <v>0</v>
      </c>
      <c r="C25" s="108">
        <f ca="1">B25/'Rates &amp; Dates'!F37</f>
        <v>0</v>
      </c>
      <c r="E25" s="183"/>
      <c r="F25" s="108">
        <f t="shared" ca="1" si="6"/>
        <v>0</v>
      </c>
      <c r="G25" s="6"/>
      <c r="H25" s="20"/>
      <c r="I25" s="21"/>
      <c r="J25" s="26"/>
      <c r="K25" s="6">
        <f t="shared" ca="1" si="5"/>
        <v>0</v>
      </c>
      <c r="L25" s="8">
        <f ca="1">_xll.HLV5r3.Analytics.Miscellaneous.Zero2DF(_xll.HLV5r3.Analytics.Miscellaneous.LinearInterp(Peturbed_QZ,$K25,1,L$1),ZeroCompFreq,'PDH Calc'!$K25/365)</f>
        <v>1</v>
      </c>
      <c r="M25" s="8">
        <f ca="1">_xll.HLV5r3.Analytics.Miscellaneous.Zero2DF(_xll.HLV5r3.Analytics.Miscellaneous.LinearInterp(Peturbed_QZ,$K25,1,M$1),ZeroCompFreq,'PDH Calc'!$K25/365)</f>
        <v>1</v>
      </c>
      <c r="N25" s="8">
        <f ca="1">_xll.HLV5r3.Analytics.Miscellaneous.Zero2DF(_xll.HLV5r3.Analytics.Miscellaneous.LinearInterp(Peturbed_QZ,$K25,1,N$1),ZeroCompFreq,'PDH Calc'!$K25/365)</f>
        <v>1</v>
      </c>
      <c r="O25" s="8">
        <f ca="1">_xll.HLV5r3.Analytics.Miscellaneous.Zero2DF(_xll.HLV5r3.Analytics.Miscellaneous.LinearInterp(Peturbed_QZ,$K25,1,O$1),ZeroCompFreq,'PDH Calc'!$K25/365)</f>
        <v>1</v>
      </c>
      <c r="P25" s="8">
        <f ca="1">_xll.HLV5r3.Analytics.Miscellaneous.Zero2DF(_xll.HLV5r3.Analytics.Miscellaneous.LinearInterp(Peturbed_QZ,$K25,1,P$1),ZeroCompFreq,'PDH Calc'!$K25/365)</f>
        <v>1</v>
      </c>
      <c r="Q25" s="8">
        <f ca="1">_xll.HLV5r3.Analytics.Miscellaneous.Zero2DF(_xll.HLV5r3.Analytics.Miscellaneous.LinearInterp(Peturbed_QZ,$K25,1,Q$1),ZeroCompFreq,'PDH Calc'!$K25/365)</f>
        <v>1</v>
      </c>
      <c r="R25" s="8">
        <f ca="1">_xll.HLV5r3.Analytics.Miscellaneous.Zero2DF(_xll.HLV5r3.Analytics.Miscellaneous.LinearInterp(Peturbed_QZ,$K25,1,R$1),ZeroCompFreq,'PDH Calc'!$K25/365)</f>
        <v>1</v>
      </c>
      <c r="S25" s="8">
        <f ca="1">_xll.HLV5r3.Analytics.Miscellaneous.Zero2DF(_xll.HLV5r3.Analytics.Miscellaneous.LinearInterp(Peturbed_QZ,$K25,1,S$1),ZeroCompFreq,'PDH Calc'!$K25/365)</f>
        <v>1</v>
      </c>
      <c r="T25" s="8">
        <f ca="1">_xll.HLV5r3.Analytics.Miscellaneous.Zero2DF(_xll.HLV5r3.Analytics.Miscellaneous.LinearInterp(Peturbed_QZ,$K25,1,T$1),ZeroCompFreq,'PDH Calc'!$K25/365)</f>
        <v>1</v>
      </c>
      <c r="U25" s="8">
        <f ca="1">_xll.HLV5r3.Analytics.Miscellaneous.Zero2DF(_xll.HLV5r3.Analytics.Miscellaneous.LinearInterp(Peturbed_QZ,$K25,1,U$1),ZeroCompFreq,'PDH Calc'!$K25/365)</f>
        <v>1</v>
      </c>
      <c r="V25" s="8">
        <f ca="1">_xll.HLV5r3.Analytics.Miscellaneous.Zero2DF(_xll.HLV5r3.Analytics.Miscellaneous.LinearInterp(Peturbed_QZ,$K25,1,V$1),ZeroCompFreq,'PDH Calc'!$K25/365)</f>
        <v>1</v>
      </c>
      <c r="W25" s="8">
        <f ca="1">_xll.HLV5r3.Analytics.Miscellaneous.Zero2DF(_xll.HLV5r3.Analytics.Miscellaneous.LinearInterp(Peturbed_QZ,$K25,1,W$1),ZeroCompFreq,'PDH Calc'!$K25/365)</f>
        <v>1</v>
      </c>
      <c r="X25" s="8">
        <f ca="1">_xll.HLV5r3.Analytics.Miscellaneous.Zero2DF(_xll.HLV5r3.Analytics.Miscellaneous.LinearInterp(Peturbed_QZ,$K25,1,X$1),ZeroCompFreq,'PDH Calc'!$K25/365)</f>
        <v>1</v>
      </c>
      <c r="Y25" s="8">
        <f ca="1">_xll.HLV5r3.Analytics.Miscellaneous.Zero2DF(_xll.HLV5r3.Analytics.Miscellaneous.LinearInterp(Peturbed_QZ,$K25,1,Y$1),ZeroCompFreq,'PDH Calc'!$K25/365)</f>
        <v>1</v>
      </c>
      <c r="Z25" s="8">
        <f ca="1">_xll.HLV5r3.Analytics.Miscellaneous.Zero2DF(_xll.HLV5r3.Analytics.Miscellaneous.LinearInterp(Peturbed_QZ,$K25,1,Z$1),ZeroCompFreq,'PDH Calc'!$K25/365)</f>
        <v>1</v>
      </c>
      <c r="AA25" s="8">
        <f ca="1">_xll.HLV5r3.Analytics.Miscellaneous.Zero2DF(_xll.HLV5r3.Analytics.Miscellaneous.LinearInterp(Peturbed_QZ,$K25,1,AA$1),ZeroCompFreq,'PDH Calc'!$K25/365)</f>
        <v>1</v>
      </c>
      <c r="AB25" s="8">
        <f ca="1">_xll.HLV5r3.Analytics.Miscellaneous.Zero2DF(_xll.HLV5r3.Analytics.Miscellaneous.LinearInterp(Peturbed_QZ,$K25,1,AB$1),ZeroCompFreq,'PDH Calc'!$K25/365)</f>
        <v>1</v>
      </c>
      <c r="AC25" s="8">
        <f ca="1">_xll.HLV5r3.Analytics.Miscellaneous.Zero2DF(_xll.HLV5r3.Analytics.Miscellaneous.LinearInterp(Peturbed_QZ,$K25,1,AC$1),ZeroCompFreq,'PDH Calc'!$K25/365)</f>
        <v>1</v>
      </c>
      <c r="AD25" s="8">
        <f ca="1">_xll.HLV5r3.Analytics.Miscellaneous.Zero2DF(_xll.HLV5r3.Analytics.Miscellaneous.LinearInterp(Peturbed_QZ,$K25,1,AD$1),ZeroCompFreq,'PDH Calc'!$K25/365)</f>
        <v>1</v>
      </c>
      <c r="AE25" s="8">
        <f ca="1">_xll.HLV5r3.Analytics.Miscellaneous.Zero2DF(_xll.HLV5r3.Analytics.Miscellaneous.LinearInterp(Peturbed_QZ,$K25,1,AE$1),ZeroCompFreq,'PDH Calc'!$K25/365)</f>
        <v>1</v>
      </c>
      <c r="AF25" s="8">
        <f ca="1">_xll.HLV5r3.Analytics.Miscellaneous.Zero2DF(_xll.HLV5r3.Analytics.Miscellaneous.LinearInterp(Peturbed_QZ,$K25,1,AF$1),ZeroCompFreq,'PDH Calc'!$K25/365)</f>
        <v>1</v>
      </c>
      <c r="AG25" s="8">
        <f ca="1">_xll.HLV5r3.Analytics.Miscellaneous.Zero2DF(_xll.HLV5r3.Analytics.Miscellaneous.LinearInterp(Peturbed_QZ,$K25,1,AG$1),ZeroCompFreq,'PDH Calc'!$K25/365)</f>
        <v>1</v>
      </c>
      <c r="AH25" s="8">
        <f ca="1">_xll.HLV5r3.Analytics.Miscellaneous.Zero2DF(_xll.HLV5r3.Analytics.Miscellaneous.LinearInterp(Peturbed_QZ,$K25,1,AH$1),ZeroCompFreq,'PDH Calc'!$K25/365)</f>
        <v>1</v>
      </c>
      <c r="AI25" s="8">
        <f ca="1">_xll.HLV5r3.Analytics.Miscellaneous.Zero2DF(_xll.HLV5r3.Analytics.Miscellaneous.LinearInterp(Peturbed_QZ,$K25,1,AI$1),ZeroCompFreq,'PDH Calc'!$K25/365)</f>
        <v>1</v>
      </c>
      <c r="AJ25" s="8">
        <f ca="1">_xll.HLV5r3.Analytics.Miscellaneous.Zero2DF(_xll.HLV5r3.Analytics.Miscellaneous.LinearInterp(Peturbed_QZ,$K25,1,AJ$1),ZeroCompFreq,'PDH Calc'!$K25/365)</f>
        <v>1</v>
      </c>
      <c r="AK25" s="8">
        <f ca="1">_xll.HLV5r3.Analytics.Miscellaneous.Zero2DF(_xll.HLV5r3.Analytics.Miscellaneous.LinearInterp(Peturbed_QZ,$K25,1,AK$1),ZeroCompFreq,'PDH Calc'!$K25/365)</f>
        <v>1</v>
      </c>
    </row>
    <row r="26" spans="1:37">
      <c r="A26" s="28" t="str">
        <f>'Rates &amp; Dates'!B38</f>
        <v>25Y</v>
      </c>
      <c r="B26" s="115">
        <f ca="1"/>
        <v>0</v>
      </c>
      <c r="C26" s="108">
        <f ca="1">B26/'Rates &amp; Dates'!F38</f>
        <v>0</v>
      </c>
      <c r="D26" s="110"/>
      <c r="E26" s="184"/>
      <c r="F26" s="108">
        <f t="shared" ca="1" si="6"/>
        <v>0</v>
      </c>
      <c r="G26" s="6"/>
      <c r="H26" s="20"/>
      <c r="I26" s="21"/>
      <c r="J26" s="6"/>
      <c r="K26" s="6">
        <f t="shared" ca="1" si="5"/>
        <v>0</v>
      </c>
      <c r="L26" s="8">
        <f ca="1">_xll.HLV5r3.Analytics.Miscellaneous.Zero2DF(_xll.HLV5r3.Analytics.Miscellaneous.LinearInterp(Peturbed_QZ,$K26,1,L$1),ZeroCompFreq,'PDH Calc'!$K26/365)</f>
        <v>1</v>
      </c>
      <c r="M26" s="8">
        <f ca="1">_xll.HLV5r3.Analytics.Miscellaneous.Zero2DF(_xll.HLV5r3.Analytics.Miscellaneous.LinearInterp(Peturbed_QZ,$K26,1,M$1),ZeroCompFreq,'PDH Calc'!$K26/365)</f>
        <v>1</v>
      </c>
      <c r="N26" s="8">
        <f ca="1">_xll.HLV5r3.Analytics.Miscellaneous.Zero2DF(_xll.HLV5r3.Analytics.Miscellaneous.LinearInterp(Peturbed_QZ,$K26,1,N$1),ZeroCompFreq,'PDH Calc'!$K26/365)</f>
        <v>1</v>
      </c>
      <c r="O26" s="8">
        <f ca="1">_xll.HLV5r3.Analytics.Miscellaneous.Zero2DF(_xll.HLV5r3.Analytics.Miscellaneous.LinearInterp(Peturbed_QZ,$K26,1,O$1),ZeroCompFreq,'PDH Calc'!$K26/365)</f>
        <v>1</v>
      </c>
      <c r="P26" s="8">
        <f ca="1">_xll.HLV5r3.Analytics.Miscellaneous.Zero2DF(_xll.HLV5r3.Analytics.Miscellaneous.LinearInterp(Peturbed_QZ,$K26,1,P$1),ZeroCompFreq,'PDH Calc'!$K26/365)</f>
        <v>1</v>
      </c>
      <c r="Q26" s="8">
        <f ca="1">_xll.HLV5r3.Analytics.Miscellaneous.Zero2DF(_xll.HLV5r3.Analytics.Miscellaneous.LinearInterp(Peturbed_QZ,$K26,1,Q$1),ZeroCompFreq,'PDH Calc'!$K26/365)</f>
        <v>1</v>
      </c>
      <c r="R26" s="8">
        <f ca="1">_xll.HLV5r3.Analytics.Miscellaneous.Zero2DF(_xll.HLV5r3.Analytics.Miscellaneous.LinearInterp(Peturbed_QZ,$K26,1,R$1),ZeroCompFreq,'PDH Calc'!$K26/365)</f>
        <v>1</v>
      </c>
      <c r="S26" s="8">
        <f ca="1">_xll.HLV5r3.Analytics.Miscellaneous.Zero2DF(_xll.HLV5r3.Analytics.Miscellaneous.LinearInterp(Peturbed_QZ,$K26,1,S$1),ZeroCompFreq,'PDH Calc'!$K26/365)</f>
        <v>1</v>
      </c>
      <c r="T26" s="8">
        <f ca="1">_xll.HLV5r3.Analytics.Miscellaneous.Zero2DF(_xll.HLV5r3.Analytics.Miscellaneous.LinearInterp(Peturbed_QZ,$K26,1,T$1),ZeroCompFreq,'PDH Calc'!$K26/365)</f>
        <v>1</v>
      </c>
      <c r="U26" s="8">
        <f ca="1">_xll.HLV5r3.Analytics.Miscellaneous.Zero2DF(_xll.HLV5r3.Analytics.Miscellaneous.LinearInterp(Peturbed_QZ,$K26,1,U$1),ZeroCompFreq,'PDH Calc'!$K26/365)</f>
        <v>1</v>
      </c>
      <c r="V26" s="8">
        <f ca="1">_xll.HLV5r3.Analytics.Miscellaneous.Zero2DF(_xll.HLV5r3.Analytics.Miscellaneous.LinearInterp(Peturbed_QZ,$K26,1,V$1),ZeroCompFreq,'PDH Calc'!$K26/365)</f>
        <v>1</v>
      </c>
      <c r="W26" s="8">
        <f ca="1">_xll.HLV5r3.Analytics.Miscellaneous.Zero2DF(_xll.HLV5r3.Analytics.Miscellaneous.LinearInterp(Peturbed_QZ,$K26,1,W$1),ZeroCompFreq,'PDH Calc'!$K26/365)</f>
        <v>1</v>
      </c>
      <c r="X26" s="8">
        <f ca="1">_xll.HLV5r3.Analytics.Miscellaneous.Zero2DF(_xll.HLV5r3.Analytics.Miscellaneous.LinearInterp(Peturbed_QZ,$K26,1,X$1),ZeroCompFreq,'PDH Calc'!$K26/365)</f>
        <v>1</v>
      </c>
      <c r="Y26" s="8">
        <f ca="1">_xll.HLV5r3.Analytics.Miscellaneous.Zero2DF(_xll.HLV5r3.Analytics.Miscellaneous.LinearInterp(Peturbed_QZ,$K26,1,Y$1),ZeroCompFreq,'PDH Calc'!$K26/365)</f>
        <v>1</v>
      </c>
      <c r="Z26" s="8">
        <f ca="1">_xll.HLV5r3.Analytics.Miscellaneous.Zero2DF(_xll.HLV5r3.Analytics.Miscellaneous.LinearInterp(Peturbed_QZ,$K26,1,Z$1),ZeroCompFreq,'PDH Calc'!$K26/365)</f>
        <v>1</v>
      </c>
      <c r="AA26" s="8">
        <f ca="1">_xll.HLV5r3.Analytics.Miscellaneous.Zero2DF(_xll.HLV5r3.Analytics.Miscellaneous.LinearInterp(Peturbed_QZ,$K26,1,AA$1),ZeroCompFreq,'PDH Calc'!$K26/365)</f>
        <v>1</v>
      </c>
      <c r="AB26" s="8">
        <f ca="1">_xll.HLV5r3.Analytics.Miscellaneous.Zero2DF(_xll.HLV5r3.Analytics.Miscellaneous.LinearInterp(Peturbed_QZ,$K26,1,AB$1),ZeroCompFreq,'PDH Calc'!$K26/365)</f>
        <v>1</v>
      </c>
      <c r="AC26" s="8">
        <f ca="1">_xll.HLV5r3.Analytics.Miscellaneous.Zero2DF(_xll.HLV5r3.Analytics.Miscellaneous.LinearInterp(Peturbed_QZ,$K26,1,AC$1),ZeroCompFreq,'PDH Calc'!$K26/365)</f>
        <v>1</v>
      </c>
      <c r="AD26" s="8">
        <f ca="1">_xll.HLV5r3.Analytics.Miscellaneous.Zero2DF(_xll.HLV5r3.Analytics.Miscellaneous.LinearInterp(Peturbed_QZ,$K26,1,AD$1),ZeroCompFreq,'PDH Calc'!$K26/365)</f>
        <v>1</v>
      </c>
      <c r="AE26" s="8">
        <f ca="1">_xll.HLV5r3.Analytics.Miscellaneous.Zero2DF(_xll.HLV5r3.Analytics.Miscellaneous.LinearInterp(Peturbed_QZ,$K26,1,AE$1),ZeroCompFreq,'PDH Calc'!$K26/365)</f>
        <v>1</v>
      </c>
      <c r="AF26" s="8">
        <f ca="1">_xll.HLV5r3.Analytics.Miscellaneous.Zero2DF(_xll.HLV5r3.Analytics.Miscellaneous.LinearInterp(Peturbed_QZ,$K26,1,AF$1),ZeroCompFreq,'PDH Calc'!$K26/365)</f>
        <v>1</v>
      </c>
      <c r="AG26" s="8">
        <f ca="1">_xll.HLV5r3.Analytics.Miscellaneous.Zero2DF(_xll.HLV5r3.Analytics.Miscellaneous.LinearInterp(Peturbed_QZ,$K26,1,AG$1),ZeroCompFreq,'PDH Calc'!$K26/365)</f>
        <v>1</v>
      </c>
      <c r="AH26" s="8">
        <f ca="1">_xll.HLV5r3.Analytics.Miscellaneous.Zero2DF(_xll.HLV5r3.Analytics.Miscellaneous.LinearInterp(Peturbed_QZ,$K26,1,AH$1),ZeroCompFreq,'PDH Calc'!$K26/365)</f>
        <v>1</v>
      </c>
      <c r="AI26" s="8">
        <f ca="1">_xll.HLV5r3.Analytics.Miscellaneous.Zero2DF(_xll.HLV5r3.Analytics.Miscellaneous.LinearInterp(Peturbed_QZ,$K26,1,AI$1),ZeroCompFreq,'PDH Calc'!$K26/365)</f>
        <v>1</v>
      </c>
      <c r="AJ26" s="8">
        <f ca="1">_xll.HLV5r3.Analytics.Miscellaneous.Zero2DF(_xll.HLV5r3.Analytics.Miscellaneous.LinearInterp(Peturbed_QZ,$K26,1,AJ$1),ZeroCompFreq,'PDH Calc'!$K26/365)</f>
        <v>1</v>
      </c>
      <c r="AK26" s="8">
        <f ca="1">_xll.HLV5r3.Analytics.Miscellaneous.Zero2DF(_xll.HLV5r3.Analytics.Miscellaneous.LinearInterp(Peturbed_QZ,$K26,1,AK$1),ZeroCompFreq,'PDH Calc'!$K26/365)</f>
        <v>1</v>
      </c>
    </row>
    <row r="27" spans="1:37" ht="13.5" thickBot="1">
      <c r="A27" s="178" t="str">
        <f>'Rates &amp; Dates'!B39</f>
        <v>30Y</v>
      </c>
      <c r="B27" s="179">
        <f ca="1"/>
        <v>0</v>
      </c>
      <c r="C27" s="182">
        <f ca="1">B27/'Rates &amp; Dates'!F39</f>
        <v>0</v>
      </c>
      <c r="D27" s="110"/>
      <c r="E27" s="185"/>
      <c r="F27" s="182">
        <f t="shared" ca="1" si="6"/>
        <v>0</v>
      </c>
      <c r="G27" s="6"/>
      <c r="H27" s="20"/>
      <c r="I27" s="21"/>
      <c r="J27" s="26"/>
      <c r="K27" s="6">
        <f t="shared" ca="1" si="5"/>
        <v>0</v>
      </c>
      <c r="L27" s="8">
        <f ca="1">_xll.HLV5r3.Analytics.Miscellaneous.Zero2DF(_xll.HLV5r3.Analytics.Miscellaneous.LinearInterp(Peturbed_QZ,$K27,1,L$1),ZeroCompFreq,'PDH Calc'!$K27/365)</f>
        <v>1</v>
      </c>
      <c r="M27" s="8">
        <f ca="1">_xll.HLV5r3.Analytics.Miscellaneous.Zero2DF(_xll.HLV5r3.Analytics.Miscellaneous.LinearInterp(Peturbed_QZ,$K27,1,M$1),ZeroCompFreq,'PDH Calc'!$K27/365)</f>
        <v>1</v>
      </c>
      <c r="N27" s="8">
        <f ca="1">_xll.HLV5r3.Analytics.Miscellaneous.Zero2DF(_xll.HLV5r3.Analytics.Miscellaneous.LinearInterp(Peturbed_QZ,$K27,1,N$1),ZeroCompFreq,'PDH Calc'!$K27/365)</f>
        <v>1</v>
      </c>
      <c r="O27" s="8">
        <f ca="1">_xll.HLV5r3.Analytics.Miscellaneous.Zero2DF(_xll.HLV5r3.Analytics.Miscellaneous.LinearInterp(Peturbed_QZ,$K27,1,O$1),ZeroCompFreq,'PDH Calc'!$K27/365)</f>
        <v>1</v>
      </c>
      <c r="P27" s="8">
        <f ca="1">_xll.HLV5r3.Analytics.Miscellaneous.Zero2DF(_xll.HLV5r3.Analytics.Miscellaneous.LinearInterp(Peturbed_QZ,$K27,1,P$1),ZeroCompFreq,'PDH Calc'!$K27/365)</f>
        <v>1</v>
      </c>
      <c r="Q27" s="8">
        <f ca="1">_xll.HLV5r3.Analytics.Miscellaneous.Zero2DF(_xll.HLV5r3.Analytics.Miscellaneous.LinearInterp(Peturbed_QZ,$K27,1,Q$1),ZeroCompFreq,'PDH Calc'!$K27/365)</f>
        <v>1</v>
      </c>
      <c r="R27" s="8">
        <f ca="1">_xll.HLV5r3.Analytics.Miscellaneous.Zero2DF(_xll.HLV5r3.Analytics.Miscellaneous.LinearInterp(Peturbed_QZ,$K27,1,R$1),ZeroCompFreq,'PDH Calc'!$K27/365)</f>
        <v>1</v>
      </c>
      <c r="S27" s="8">
        <f ca="1">_xll.HLV5r3.Analytics.Miscellaneous.Zero2DF(_xll.HLV5r3.Analytics.Miscellaneous.LinearInterp(Peturbed_QZ,$K27,1,S$1),ZeroCompFreq,'PDH Calc'!$K27/365)</f>
        <v>1</v>
      </c>
      <c r="T27" s="8">
        <f ca="1">_xll.HLV5r3.Analytics.Miscellaneous.Zero2DF(_xll.HLV5r3.Analytics.Miscellaneous.LinearInterp(Peturbed_QZ,$K27,1,T$1),ZeroCompFreq,'PDH Calc'!$K27/365)</f>
        <v>1</v>
      </c>
      <c r="U27" s="8">
        <f ca="1">_xll.HLV5r3.Analytics.Miscellaneous.Zero2DF(_xll.HLV5r3.Analytics.Miscellaneous.LinearInterp(Peturbed_QZ,$K27,1,U$1),ZeroCompFreq,'PDH Calc'!$K27/365)</f>
        <v>1</v>
      </c>
      <c r="V27" s="8">
        <f ca="1">_xll.HLV5r3.Analytics.Miscellaneous.Zero2DF(_xll.HLV5r3.Analytics.Miscellaneous.LinearInterp(Peturbed_QZ,$K27,1,V$1),ZeroCompFreq,'PDH Calc'!$K27/365)</f>
        <v>1</v>
      </c>
      <c r="W27" s="8">
        <f ca="1">_xll.HLV5r3.Analytics.Miscellaneous.Zero2DF(_xll.HLV5r3.Analytics.Miscellaneous.LinearInterp(Peturbed_QZ,$K27,1,W$1),ZeroCompFreq,'PDH Calc'!$K27/365)</f>
        <v>1</v>
      </c>
      <c r="X27" s="8">
        <f ca="1">_xll.HLV5r3.Analytics.Miscellaneous.Zero2DF(_xll.HLV5r3.Analytics.Miscellaneous.LinearInterp(Peturbed_QZ,$K27,1,X$1),ZeroCompFreq,'PDH Calc'!$K27/365)</f>
        <v>1</v>
      </c>
      <c r="Y27" s="8">
        <f ca="1">_xll.HLV5r3.Analytics.Miscellaneous.Zero2DF(_xll.HLV5r3.Analytics.Miscellaneous.LinearInterp(Peturbed_QZ,$K27,1,Y$1),ZeroCompFreq,'PDH Calc'!$K27/365)</f>
        <v>1</v>
      </c>
      <c r="Z27" s="8">
        <f ca="1">_xll.HLV5r3.Analytics.Miscellaneous.Zero2DF(_xll.HLV5r3.Analytics.Miscellaneous.LinearInterp(Peturbed_QZ,$K27,1,Z$1),ZeroCompFreq,'PDH Calc'!$K27/365)</f>
        <v>1</v>
      </c>
      <c r="AA27" s="8">
        <f ca="1">_xll.HLV5r3.Analytics.Miscellaneous.Zero2DF(_xll.HLV5r3.Analytics.Miscellaneous.LinearInterp(Peturbed_QZ,$K27,1,AA$1),ZeroCompFreq,'PDH Calc'!$K27/365)</f>
        <v>1</v>
      </c>
      <c r="AB27" s="8">
        <f ca="1">_xll.HLV5r3.Analytics.Miscellaneous.Zero2DF(_xll.HLV5r3.Analytics.Miscellaneous.LinearInterp(Peturbed_QZ,$K27,1,AB$1),ZeroCompFreq,'PDH Calc'!$K27/365)</f>
        <v>1</v>
      </c>
      <c r="AC27" s="8">
        <f ca="1">_xll.HLV5r3.Analytics.Miscellaneous.Zero2DF(_xll.HLV5r3.Analytics.Miscellaneous.LinearInterp(Peturbed_QZ,$K27,1,AC$1),ZeroCompFreq,'PDH Calc'!$K27/365)</f>
        <v>1</v>
      </c>
      <c r="AD27" s="8">
        <f ca="1">_xll.HLV5r3.Analytics.Miscellaneous.Zero2DF(_xll.HLV5r3.Analytics.Miscellaneous.LinearInterp(Peturbed_QZ,$K27,1,AD$1),ZeroCompFreq,'PDH Calc'!$K27/365)</f>
        <v>1</v>
      </c>
      <c r="AE27" s="8">
        <f ca="1">_xll.HLV5r3.Analytics.Miscellaneous.Zero2DF(_xll.HLV5r3.Analytics.Miscellaneous.LinearInterp(Peturbed_QZ,$K27,1,AE$1),ZeroCompFreq,'PDH Calc'!$K27/365)</f>
        <v>1</v>
      </c>
      <c r="AF27" s="8">
        <f ca="1">_xll.HLV5r3.Analytics.Miscellaneous.Zero2DF(_xll.HLV5r3.Analytics.Miscellaneous.LinearInterp(Peturbed_QZ,$K27,1,AF$1),ZeroCompFreq,'PDH Calc'!$K27/365)</f>
        <v>1</v>
      </c>
      <c r="AG27" s="8">
        <f ca="1">_xll.HLV5r3.Analytics.Miscellaneous.Zero2DF(_xll.HLV5r3.Analytics.Miscellaneous.LinearInterp(Peturbed_QZ,$K27,1,AG$1),ZeroCompFreq,'PDH Calc'!$K27/365)</f>
        <v>1</v>
      </c>
      <c r="AH27" s="8">
        <f ca="1">_xll.HLV5r3.Analytics.Miscellaneous.Zero2DF(_xll.HLV5r3.Analytics.Miscellaneous.LinearInterp(Peturbed_QZ,$K27,1,AH$1),ZeroCompFreq,'PDH Calc'!$K27/365)</f>
        <v>1</v>
      </c>
      <c r="AI27" s="8">
        <f ca="1">_xll.HLV5r3.Analytics.Miscellaneous.Zero2DF(_xll.HLV5r3.Analytics.Miscellaneous.LinearInterp(Peturbed_QZ,$K27,1,AI$1),ZeroCompFreq,'PDH Calc'!$K27/365)</f>
        <v>1</v>
      </c>
      <c r="AJ27" s="8">
        <f ca="1">_xll.HLV5r3.Analytics.Miscellaneous.Zero2DF(_xll.HLV5r3.Analytics.Miscellaneous.LinearInterp(Peturbed_QZ,$K27,1,AJ$1),ZeroCompFreq,'PDH Calc'!$K27/365)</f>
        <v>1</v>
      </c>
      <c r="AK27" s="8">
        <f ca="1">_xll.HLV5r3.Analytics.Miscellaneous.Zero2DF(_xll.HLV5r3.Analytics.Miscellaneous.LinearInterp(Peturbed_QZ,$K27,1,AK$1),ZeroCompFreq,'PDH Calc'!$K27/365)</f>
        <v>1</v>
      </c>
    </row>
    <row r="28" spans="1:37" ht="13.5" thickBot="1">
      <c r="A28" s="31" t="s">
        <v>21</v>
      </c>
      <c r="B28" s="140">
        <f ca="1">SUM(B3:B27)</f>
        <v>-19810.586507081985</v>
      </c>
      <c r="C28" s="109"/>
      <c r="D28" s="114" t="s">
        <v>65</v>
      </c>
      <c r="E28" s="112">
        <f ca="1">SUM(E15:E27)</f>
        <v>0</v>
      </c>
      <c r="F28" s="32">
        <f ca="1">SUM(F15:F27)</f>
        <v>0</v>
      </c>
      <c r="G28" s="6"/>
      <c r="H28" s="20"/>
      <c r="I28" s="21"/>
      <c r="J28" s="26"/>
      <c r="K28" s="6">
        <f t="shared" ca="1" si="5"/>
        <v>0</v>
      </c>
      <c r="L28" s="8">
        <f ca="1">_xll.HLV5r3.Analytics.Miscellaneous.Zero2DF(_xll.HLV5r3.Analytics.Miscellaneous.LinearInterp(Peturbed_QZ,$K28,1,L$1),ZeroCompFreq,'PDH Calc'!$K28/365)</f>
        <v>1</v>
      </c>
      <c r="M28" s="8">
        <f ca="1">_xll.HLV5r3.Analytics.Miscellaneous.Zero2DF(_xll.HLV5r3.Analytics.Miscellaneous.LinearInterp(Peturbed_QZ,$K28,1,M$1),ZeroCompFreq,'PDH Calc'!$K28/365)</f>
        <v>1</v>
      </c>
      <c r="N28" s="8">
        <f ca="1">_xll.HLV5r3.Analytics.Miscellaneous.Zero2DF(_xll.HLV5r3.Analytics.Miscellaneous.LinearInterp(Peturbed_QZ,$K28,1,N$1),ZeroCompFreq,'PDH Calc'!$K28/365)</f>
        <v>1</v>
      </c>
      <c r="O28" s="8">
        <f ca="1">_xll.HLV5r3.Analytics.Miscellaneous.Zero2DF(_xll.HLV5r3.Analytics.Miscellaneous.LinearInterp(Peturbed_QZ,$K28,1,O$1),ZeroCompFreq,'PDH Calc'!$K28/365)</f>
        <v>1</v>
      </c>
      <c r="P28" s="8">
        <f ca="1">_xll.HLV5r3.Analytics.Miscellaneous.Zero2DF(_xll.HLV5r3.Analytics.Miscellaneous.LinearInterp(Peturbed_QZ,$K28,1,P$1),ZeroCompFreq,'PDH Calc'!$K28/365)</f>
        <v>1</v>
      </c>
      <c r="Q28" s="8">
        <f ca="1">_xll.HLV5r3.Analytics.Miscellaneous.Zero2DF(_xll.HLV5r3.Analytics.Miscellaneous.LinearInterp(Peturbed_QZ,$K28,1,Q$1),ZeroCompFreq,'PDH Calc'!$K28/365)</f>
        <v>1</v>
      </c>
      <c r="R28" s="8">
        <f ca="1">_xll.HLV5r3.Analytics.Miscellaneous.Zero2DF(_xll.HLV5r3.Analytics.Miscellaneous.LinearInterp(Peturbed_QZ,$K28,1,R$1),ZeroCompFreq,'PDH Calc'!$K28/365)</f>
        <v>1</v>
      </c>
      <c r="S28" s="8">
        <f ca="1">_xll.HLV5r3.Analytics.Miscellaneous.Zero2DF(_xll.HLV5r3.Analytics.Miscellaneous.LinearInterp(Peturbed_QZ,$K28,1,S$1),ZeroCompFreq,'PDH Calc'!$K28/365)</f>
        <v>1</v>
      </c>
      <c r="T28" s="8">
        <f ca="1">_xll.HLV5r3.Analytics.Miscellaneous.Zero2DF(_xll.HLV5r3.Analytics.Miscellaneous.LinearInterp(Peturbed_QZ,$K28,1,T$1),ZeroCompFreq,'PDH Calc'!$K28/365)</f>
        <v>1</v>
      </c>
      <c r="U28" s="8">
        <f ca="1">_xll.HLV5r3.Analytics.Miscellaneous.Zero2DF(_xll.HLV5r3.Analytics.Miscellaneous.LinearInterp(Peturbed_QZ,$K28,1,U$1),ZeroCompFreq,'PDH Calc'!$K28/365)</f>
        <v>1</v>
      </c>
      <c r="V28" s="8">
        <f ca="1">_xll.HLV5r3.Analytics.Miscellaneous.Zero2DF(_xll.HLV5r3.Analytics.Miscellaneous.LinearInterp(Peturbed_QZ,$K28,1,V$1),ZeroCompFreq,'PDH Calc'!$K28/365)</f>
        <v>1</v>
      </c>
      <c r="W28" s="8">
        <f ca="1">_xll.HLV5r3.Analytics.Miscellaneous.Zero2DF(_xll.HLV5r3.Analytics.Miscellaneous.LinearInterp(Peturbed_QZ,$K28,1,W$1),ZeroCompFreq,'PDH Calc'!$K28/365)</f>
        <v>1</v>
      </c>
      <c r="X28" s="8">
        <f ca="1">_xll.HLV5r3.Analytics.Miscellaneous.Zero2DF(_xll.HLV5r3.Analytics.Miscellaneous.LinearInterp(Peturbed_QZ,$K28,1,X$1),ZeroCompFreq,'PDH Calc'!$K28/365)</f>
        <v>1</v>
      </c>
      <c r="Y28" s="8">
        <f ca="1">_xll.HLV5r3.Analytics.Miscellaneous.Zero2DF(_xll.HLV5r3.Analytics.Miscellaneous.LinearInterp(Peturbed_QZ,$K28,1,Y$1),ZeroCompFreq,'PDH Calc'!$K28/365)</f>
        <v>1</v>
      </c>
      <c r="Z28" s="8">
        <f ca="1">_xll.HLV5r3.Analytics.Miscellaneous.Zero2DF(_xll.HLV5r3.Analytics.Miscellaneous.LinearInterp(Peturbed_QZ,$K28,1,Z$1),ZeroCompFreq,'PDH Calc'!$K28/365)</f>
        <v>1</v>
      </c>
      <c r="AA28" s="8">
        <f ca="1">_xll.HLV5r3.Analytics.Miscellaneous.Zero2DF(_xll.HLV5r3.Analytics.Miscellaneous.LinearInterp(Peturbed_QZ,$K28,1,AA$1),ZeroCompFreq,'PDH Calc'!$K28/365)</f>
        <v>1</v>
      </c>
      <c r="AB28" s="8">
        <f ca="1">_xll.HLV5r3.Analytics.Miscellaneous.Zero2DF(_xll.HLV5r3.Analytics.Miscellaneous.LinearInterp(Peturbed_QZ,$K28,1,AB$1),ZeroCompFreq,'PDH Calc'!$K28/365)</f>
        <v>1</v>
      </c>
      <c r="AC28" s="8">
        <f ca="1">_xll.HLV5r3.Analytics.Miscellaneous.Zero2DF(_xll.HLV5r3.Analytics.Miscellaneous.LinearInterp(Peturbed_QZ,$K28,1,AC$1),ZeroCompFreq,'PDH Calc'!$K28/365)</f>
        <v>1</v>
      </c>
      <c r="AD28" s="8">
        <f ca="1">_xll.HLV5r3.Analytics.Miscellaneous.Zero2DF(_xll.HLV5r3.Analytics.Miscellaneous.LinearInterp(Peturbed_QZ,$K28,1,AD$1),ZeroCompFreq,'PDH Calc'!$K28/365)</f>
        <v>1</v>
      </c>
      <c r="AE28" s="8">
        <f ca="1">_xll.HLV5r3.Analytics.Miscellaneous.Zero2DF(_xll.HLV5r3.Analytics.Miscellaneous.LinearInterp(Peturbed_QZ,$K28,1,AE$1),ZeroCompFreq,'PDH Calc'!$K28/365)</f>
        <v>1</v>
      </c>
      <c r="AF28" s="8">
        <f ca="1">_xll.HLV5r3.Analytics.Miscellaneous.Zero2DF(_xll.HLV5r3.Analytics.Miscellaneous.LinearInterp(Peturbed_QZ,$K28,1,AF$1),ZeroCompFreq,'PDH Calc'!$K28/365)</f>
        <v>1</v>
      </c>
      <c r="AG28" s="8">
        <f ca="1">_xll.HLV5r3.Analytics.Miscellaneous.Zero2DF(_xll.HLV5r3.Analytics.Miscellaneous.LinearInterp(Peturbed_QZ,$K28,1,AG$1),ZeroCompFreq,'PDH Calc'!$K28/365)</f>
        <v>1</v>
      </c>
      <c r="AH28" s="8">
        <f ca="1">_xll.HLV5r3.Analytics.Miscellaneous.Zero2DF(_xll.HLV5r3.Analytics.Miscellaneous.LinearInterp(Peturbed_QZ,$K28,1,AH$1),ZeroCompFreq,'PDH Calc'!$K28/365)</f>
        <v>1</v>
      </c>
      <c r="AI28" s="8">
        <f ca="1">_xll.HLV5r3.Analytics.Miscellaneous.Zero2DF(_xll.HLV5r3.Analytics.Miscellaneous.LinearInterp(Peturbed_QZ,$K28,1,AI$1),ZeroCompFreq,'PDH Calc'!$K28/365)</f>
        <v>1</v>
      </c>
      <c r="AJ28" s="8">
        <f ca="1">_xll.HLV5r3.Analytics.Miscellaneous.Zero2DF(_xll.HLV5r3.Analytics.Miscellaneous.LinearInterp(Peturbed_QZ,$K28,1,AJ$1),ZeroCompFreq,'PDH Calc'!$K28/365)</f>
        <v>1</v>
      </c>
      <c r="AK28" s="8">
        <f ca="1">_xll.HLV5r3.Analytics.Miscellaneous.Zero2DF(_xll.HLV5r3.Analytics.Miscellaneous.LinearInterp(Peturbed_QZ,$K28,1,AK$1),ZeroCompFreq,'PDH Calc'!$K28/365)</f>
        <v>1</v>
      </c>
    </row>
    <row r="29" spans="1:37" ht="13.5" thickBot="1">
      <c r="B29" s="187">
        <f ca="1">17/167*B28</f>
        <v>-2016.6465306610403</v>
      </c>
      <c r="D29" s="113" t="s">
        <v>66</v>
      </c>
      <c r="E29" s="112">
        <f ca="1">E28/'Rates &amp; Dates'!F43</f>
        <v>0</v>
      </c>
      <c r="F29" s="32">
        <f ca="1">F28/'Rates &amp; Dates'!F44</f>
        <v>0</v>
      </c>
      <c r="G29" s="6"/>
      <c r="H29" s="20"/>
      <c r="I29" s="21"/>
      <c r="J29" s="26"/>
      <c r="K29" s="6">
        <f t="shared" ca="1" si="5"/>
        <v>0</v>
      </c>
      <c r="L29" s="8">
        <f ca="1">_xll.HLV5r3.Analytics.Miscellaneous.Zero2DF(_xll.HLV5r3.Analytics.Miscellaneous.LinearInterp(Peturbed_QZ,$K29,1,L$1),ZeroCompFreq,'PDH Calc'!$K29/365)</f>
        <v>1</v>
      </c>
      <c r="M29" s="8">
        <f ca="1">_xll.HLV5r3.Analytics.Miscellaneous.Zero2DF(_xll.HLV5r3.Analytics.Miscellaneous.LinearInterp(Peturbed_QZ,$K29,1,M$1),ZeroCompFreq,'PDH Calc'!$K29/365)</f>
        <v>1</v>
      </c>
      <c r="N29" s="8">
        <f ca="1">_xll.HLV5r3.Analytics.Miscellaneous.Zero2DF(_xll.HLV5r3.Analytics.Miscellaneous.LinearInterp(Peturbed_QZ,$K29,1,N$1),ZeroCompFreq,'PDH Calc'!$K29/365)</f>
        <v>1</v>
      </c>
      <c r="O29" s="8">
        <f ca="1">_xll.HLV5r3.Analytics.Miscellaneous.Zero2DF(_xll.HLV5r3.Analytics.Miscellaneous.LinearInterp(Peturbed_QZ,$K29,1,O$1),ZeroCompFreq,'PDH Calc'!$K29/365)</f>
        <v>1</v>
      </c>
      <c r="P29" s="8">
        <f ca="1">_xll.HLV5r3.Analytics.Miscellaneous.Zero2DF(_xll.HLV5r3.Analytics.Miscellaneous.LinearInterp(Peturbed_QZ,$K29,1,P$1),ZeroCompFreq,'PDH Calc'!$K29/365)</f>
        <v>1</v>
      </c>
      <c r="Q29" s="8">
        <f ca="1">_xll.HLV5r3.Analytics.Miscellaneous.Zero2DF(_xll.HLV5r3.Analytics.Miscellaneous.LinearInterp(Peturbed_QZ,$K29,1,Q$1),ZeroCompFreq,'PDH Calc'!$K29/365)</f>
        <v>1</v>
      </c>
      <c r="R29" s="8">
        <f ca="1">_xll.HLV5r3.Analytics.Miscellaneous.Zero2DF(_xll.HLV5r3.Analytics.Miscellaneous.LinearInterp(Peturbed_QZ,$K29,1,R$1),ZeroCompFreq,'PDH Calc'!$K29/365)</f>
        <v>1</v>
      </c>
      <c r="S29" s="8">
        <f ca="1">_xll.HLV5r3.Analytics.Miscellaneous.Zero2DF(_xll.HLV5r3.Analytics.Miscellaneous.LinearInterp(Peturbed_QZ,$K29,1,S$1),ZeroCompFreq,'PDH Calc'!$K29/365)</f>
        <v>1</v>
      </c>
      <c r="T29" s="8">
        <f ca="1">_xll.HLV5r3.Analytics.Miscellaneous.Zero2DF(_xll.HLV5r3.Analytics.Miscellaneous.LinearInterp(Peturbed_QZ,$K29,1,T$1),ZeroCompFreq,'PDH Calc'!$K29/365)</f>
        <v>1</v>
      </c>
      <c r="U29" s="8">
        <f ca="1">_xll.HLV5r3.Analytics.Miscellaneous.Zero2DF(_xll.HLV5r3.Analytics.Miscellaneous.LinearInterp(Peturbed_QZ,$K29,1,U$1),ZeroCompFreq,'PDH Calc'!$K29/365)</f>
        <v>1</v>
      </c>
      <c r="V29" s="8">
        <f ca="1">_xll.HLV5r3.Analytics.Miscellaneous.Zero2DF(_xll.HLV5r3.Analytics.Miscellaneous.LinearInterp(Peturbed_QZ,$K29,1,V$1),ZeroCompFreq,'PDH Calc'!$K29/365)</f>
        <v>1</v>
      </c>
      <c r="W29" s="8">
        <f ca="1">_xll.HLV5r3.Analytics.Miscellaneous.Zero2DF(_xll.HLV5r3.Analytics.Miscellaneous.LinearInterp(Peturbed_QZ,$K29,1,W$1),ZeroCompFreq,'PDH Calc'!$K29/365)</f>
        <v>1</v>
      </c>
      <c r="X29" s="8">
        <f ca="1">_xll.HLV5r3.Analytics.Miscellaneous.Zero2DF(_xll.HLV5r3.Analytics.Miscellaneous.LinearInterp(Peturbed_QZ,$K29,1,X$1),ZeroCompFreq,'PDH Calc'!$K29/365)</f>
        <v>1</v>
      </c>
      <c r="Y29" s="8">
        <f ca="1">_xll.HLV5r3.Analytics.Miscellaneous.Zero2DF(_xll.HLV5r3.Analytics.Miscellaneous.LinearInterp(Peturbed_QZ,$K29,1,Y$1),ZeroCompFreq,'PDH Calc'!$K29/365)</f>
        <v>1</v>
      </c>
      <c r="Z29" s="8">
        <f ca="1">_xll.HLV5r3.Analytics.Miscellaneous.Zero2DF(_xll.HLV5r3.Analytics.Miscellaneous.LinearInterp(Peturbed_QZ,$K29,1,Z$1),ZeroCompFreq,'PDH Calc'!$K29/365)</f>
        <v>1</v>
      </c>
      <c r="AA29" s="8">
        <f ca="1">_xll.HLV5r3.Analytics.Miscellaneous.Zero2DF(_xll.HLV5r3.Analytics.Miscellaneous.LinearInterp(Peturbed_QZ,$K29,1,AA$1),ZeroCompFreq,'PDH Calc'!$K29/365)</f>
        <v>1</v>
      </c>
      <c r="AB29" s="8">
        <f ca="1">_xll.HLV5r3.Analytics.Miscellaneous.Zero2DF(_xll.HLV5r3.Analytics.Miscellaneous.LinearInterp(Peturbed_QZ,$K29,1,AB$1),ZeroCompFreq,'PDH Calc'!$K29/365)</f>
        <v>1</v>
      </c>
      <c r="AC29" s="8">
        <f ca="1">_xll.HLV5r3.Analytics.Miscellaneous.Zero2DF(_xll.HLV5r3.Analytics.Miscellaneous.LinearInterp(Peturbed_QZ,$K29,1,AC$1),ZeroCompFreq,'PDH Calc'!$K29/365)</f>
        <v>1</v>
      </c>
      <c r="AD29" s="8">
        <f ca="1">_xll.HLV5r3.Analytics.Miscellaneous.Zero2DF(_xll.HLV5r3.Analytics.Miscellaneous.LinearInterp(Peturbed_QZ,$K29,1,AD$1),ZeroCompFreq,'PDH Calc'!$K29/365)</f>
        <v>1</v>
      </c>
      <c r="AE29" s="8">
        <f ca="1">_xll.HLV5r3.Analytics.Miscellaneous.Zero2DF(_xll.HLV5r3.Analytics.Miscellaneous.LinearInterp(Peturbed_QZ,$K29,1,AE$1),ZeroCompFreq,'PDH Calc'!$K29/365)</f>
        <v>1</v>
      </c>
      <c r="AF29" s="8">
        <f ca="1">_xll.HLV5r3.Analytics.Miscellaneous.Zero2DF(_xll.HLV5r3.Analytics.Miscellaneous.LinearInterp(Peturbed_QZ,$K29,1,AF$1),ZeroCompFreq,'PDH Calc'!$K29/365)</f>
        <v>1</v>
      </c>
      <c r="AG29" s="8">
        <f ca="1">_xll.HLV5r3.Analytics.Miscellaneous.Zero2DF(_xll.HLV5r3.Analytics.Miscellaneous.LinearInterp(Peturbed_QZ,$K29,1,AG$1),ZeroCompFreq,'PDH Calc'!$K29/365)</f>
        <v>1</v>
      </c>
      <c r="AH29" s="8">
        <f ca="1">_xll.HLV5r3.Analytics.Miscellaneous.Zero2DF(_xll.HLV5r3.Analytics.Miscellaneous.LinearInterp(Peturbed_QZ,$K29,1,AH$1),ZeroCompFreq,'PDH Calc'!$K29/365)</f>
        <v>1</v>
      </c>
      <c r="AI29" s="8">
        <f ca="1">_xll.HLV5r3.Analytics.Miscellaneous.Zero2DF(_xll.HLV5r3.Analytics.Miscellaneous.LinearInterp(Peturbed_QZ,$K29,1,AI$1),ZeroCompFreq,'PDH Calc'!$K29/365)</f>
        <v>1</v>
      </c>
      <c r="AJ29" s="8">
        <f ca="1">_xll.HLV5r3.Analytics.Miscellaneous.Zero2DF(_xll.HLV5r3.Analytics.Miscellaneous.LinearInterp(Peturbed_QZ,$K29,1,AJ$1),ZeroCompFreq,'PDH Calc'!$K29/365)</f>
        <v>1</v>
      </c>
      <c r="AK29" s="8">
        <f ca="1">_xll.HLV5r3.Analytics.Miscellaneous.Zero2DF(_xll.HLV5r3.Analytics.Miscellaneous.LinearInterp(Peturbed_QZ,$K29,1,AK$1),ZeroCompFreq,'PDH Calc'!$K29/365)</f>
        <v>1</v>
      </c>
    </row>
    <row r="30" spans="1:37">
      <c r="A30" s="4"/>
      <c r="B30" s="6"/>
      <c r="F30" s="11"/>
      <c r="G30" s="6"/>
      <c r="H30" s="20"/>
      <c r="I30" s="21"/>
      <c r="J30" s="26"/>
      <c r="K30" s="6">
        <f t="shared" ca="1" si="5"/>
        <v>0</v>
      </c>
      <c r="L30" s="8">
        <f ca="1">_xll.HLV5r3.Analytics.Miscellaneous.Zero2DF(_xll.HLV5r3.Analytics.Miscellaneous.LinearInterp(Peturbed_QZ,$K30,1,L$1),ZeroCompFreq,'PDH Calc'!$K30/365)</f>
        <v>1</v>
      </c>
      <c r="M30" s="8">
        <f ca="1">_xll.HLV5r3.Analytics.Miscellaneous.Zero2DF(_xll.HLV5r3.Analytics.Miscellaneous.LinearInterp(Peturbed_QZ,$K30,1,M$1),ZeroCompFreq,'PDH Calc'!$K30/365)</f>
        <v>1</v>
      </c>
      <c r="N30" s="8">
        <f ca="1">_xll.HLV5r3.Analytics.Miscellaneous.Zero2DF(_xll.HLV5r3.Analytics.Miscellaneous.LinearInterp(Peturbed_QZ,$K30,1,N$1),ZeroCompFreq,'PDH Calc'!$K30/365)</f>
        <v>1</v>
      </c>
      <c r="O30" s="8">
        <f ca="1">_xll.HLV5r3.Analytics.Miscellaneous.Zero2DF(_xll.HLV5r3.Analytics.Miscellaneous.LinearInterp(Peturbed_QZ,$K30,1,O$1),ZeroCompFreq,'PDH Calc'!$K30/365)</f>
        <v>1</v>
      </c>
      <c r="P30" s="8">
        <f ca="1">_xll.HLV5r3.Analytics.Miscellaneous.Zero2DF(_xll.HLV5r3.Analytics.Miscellaneous.LinearInterp(Peturbed_QZ,$K30,1,P$1),ZeroCompFreq,'PDH Calc'!$K30/365)</f>
        <v>1</v>
      </c>
      <c r="Q30" s="8">
        <f ca="1">_xll.HLV5r3.Analytics.Miscellaneous.Zero2DF(_xll.HLV5r3.Analytics.Miscellaneous.LinearInterp(Peturbed_QZ,$K30,1,Q$1),ZeroCompFreq,'PDH Calc'!$K30/365)</f>
        <v>1</v>
      </c>
      <c r="R30" s="8">
        <f ca="1">_xll.HLV5r3.Analytics.Miscellaneous.Zero2DF(_xll.HLV5r3.Analytics.Miscellaneous.LinearInterp(Peturbed_QZ,$K30,1,R$1),ZeroCompFreq,'PDH Calc'!$K30/365)</f>
        <v>1</v>
      </c>
      <c r="S30" s="8">
        <f ca="1">_xll.HLV5r3.Analytics.Miscellaneous.Zero2DF(_xll.HLV5r3.Analytics.Miscellaneous.LinearInterp(Peturbed_QZ,$K30,1,S$1),ZeroCompFreq,'PDH Calc'!$K30/365)</f>
        <v>1</v>
      </c>
      <c r="T30" s="8">
        <f ca="1">_xll.HLV5r3.Analytics.Miscellaneous.Zero2DF(_xll.HLV5r3.Analytics.Miscellaneous.LinearInterp(Peturbed_QZ,$K30,1,T$1),ZeroCompFreq,'PDH Calc'!$K30/365)</f>
        <v>1</v>
      </c>
      <c r="U30" s="8">
        <f ca="1">_xll.HLV5r3.Analytics.Miscellaneous.Zero2DF(_xll.HLV5r3.Analytics.Miscellaneous.LinearInterp(Peturbed_QZ,$K30,1,U$1),ZeroCompFreq,'PDH Calc'!$K30/365)</f>
        <v>1</v>
      </c>
      <c r="V30" s="8">
        <f ca="1">_xll.HLV5r3.Analytics.Miscellaneous.Zero2DF(_xll.HLV5r3.Analytics.Miscellaneous.LinearInterp(Peturbed_QZ,$K30,1,V$1),ZeroCompFreq,'PDH Calc'!$K30/365)</f>
        <v>1</v>
      </c>
      <c r="W30" s="8">
        <f ca="1">_xll.HLV5r3.Analytics.Miscellaneous.Zero2DF(_xll.HLV5r3.Analytics.Miscellaneous.LinearInterp(Peturbed_QZ,$K30,1,W$1),ZeroCompFreq,'PDH Calc'!$K30/365)</f>
        <v>1</v>
      </c>
      <c r="X30" s="8">
        <f ca="1">_xll.HLV5r3.Analytics.Miscellaneous.Zero2DF(_xll.HLV5r3.Analytics.Miscellaneous.LinearInterp(Peturbed_QZ,$K30,1,X$1),ZeroCompFreq,'PDH Calc'!$K30/365)</f>
        <v>1</v>
      </c>
      <c r="Y30" s="8">
        <f ca="1">_xll.HLV5r3.Analytics.Miscellaneous.Zero2DF(_xll.HLV5r3.Analytics.Miscellaneous.LinearInterp(Peturbed_QZ,$K30,1,Y$1),ZeroCompFreq,'PDH Calc'!$K30/365)</f>
        <v>1</v>
      </c>
      <c r="Z30" s="8">
        <f ca="1">_xll.HLV5r3.Analytics.Miscellaneous.Zero2DF(_xll.HLV5r3.Analytics.Miscellaneous.LinearInterp(Peturbed_QZ,$K30,1,Z$1),ZeroCompFreq,'PDH Calc'!$K30/365)</f>
        <v>1</v>
      </c>
      <c r="AA30" s="8">
        <f ca="1">_xll.HLV5r3.Analytics.Miscellaneous.Zero2DF(_xll.HLV5r3.Analytics.Miscellaneous.LinearInterp(Peturbed_QZ,$K30,1,AA$1),ZeroCompFreq,'PDH Calc'!$K30/365)</f>
        <v>1</v>
      </c>
      <c r="AB30" s="8">
        <f ca="1">_xll.HLV5r3.Analytics.Miscellaneous.Zero2DF(_xll.HLV5r3.Analytics.Miscellaneous.LinearInterp(Peturbed_QZ,$K30,1,AB$1),ZeroCompFreq,'PDH Calc'!$K30/365)</f>
        <v>1</v>
      </c>
      <c r="AC30" s="8">
        <f ca="1">_xll.HLV5r3.Analytics.Miscellaneous.Zero2DF(_xll.HLV5r3.Analytics.Miscellaneous.LinearInterp(Peturbed_QZ,$K30,1,AC$1),ZeroCompFreq,'PDH Calc'!$K30/365)</f>
        <v>1</v>
      </c>
      <c r="AD30" s="8">
        <f ca="1">_xll.HLV5r3.Analytics.Miscellaneous.Zero2DF(_xll.HLV5r3.Analytics.Miscellaneous.LinearInterp(Peturbed_QZ,$K30,1,AD$1),ZeroCompFreq,'PDH Calc'!$K30/365)</f>
        <v>1</v>
      </c>
      <c r="AE30" s="8">
        <f ca="1">_xll.HLV5r3.Analytics.Miscellaneous.Zero2DF(_xll.HLV5r3.Analytics.Miscellaneous.LinearInterp(Peturbed_QZ,$K30,1,AE$1),ZeroCompFreq,'PDH Calc'!$K30/365)</f>
        <v>1</v>
      </c>
      <c r="AF30" s="8">
        <f ca="1">_xll.HLV5r3.Analytics.Miscellaneous.Zero2DF(_xll.HLV5r3.Analytics.Miscellaneous.LinearInterp(Peturbed_QZ,$K30,1,AF$1),ZeroCompFreq,'PDH Calc'!$K30/365)</f>
        <v>1</v>
      </c>
      <c r="AG30" s="8">
        <f ca="1">_xll.HLV5r3.Analytics.Miscellaneous.Zero2DF(_xll.HLV5r3.Analytics.Miscellaneous.LinearInterp(Peturbed_QZ,$K30,1,AG$1),ZeroCompFreq,'PDH Calc'!$K30/365)</f>
        <v>1</v>
      </c>
      <c r="AH30" s="8">
        <f ca="1">_xll.HLV5r3.Analytics.Miscellaneous.Zero2DF(_xll.HLV5r3.Analytics.Miscellaneous.LinearInterp(Peturbed_QZ,$K30,1,AH$1),ZeroCompFreq,'PDH Calc'!$K30/365)</f>
        <v>1</v>
      </c>
      <c r="AI30" s="8">
        <f ca="1">_xll.HLV5r3.Analytics.Miscellaneous.Zero2DF(_xll.HLV5r3.Analytics.Miscellaneous.LinearInterp(Peturbed_QZ,$K30,1,AI$1),ZeroCompFreq,'PDH Calc'!$K30/365)</f>
        <v>1</v>
      </c>
      <c r="AJ30" s="8">
        <f ca="1">_xll.HLV5r3.Analytics.Miscellaneous.Zero2DF(_xll.HLV5r3.Analytics.Miscellaneous.LinearInterp(Peturbed_QZ,$K30,1,AJ$1),ZeroCompFreq,'PDH Calc'!$K30/365)</f>
        <v>1</v>
      </c>
      <c r="AK30" s="8">
        <f ca="1">_xll.HLV5r3.Analytics.Miscellaneous.Zero2DF(_xll.HLV5r3.Analytics.Miscellaneous.LinearInterp(Peturbed_QZ,$K30,1,AK$1),ZeroCompFreq,'PDH Calc'!$K30/365)</f>
        <v>1</v>
      </c>
    </row>
    <row r="31" spans="1:37">
      <c r="A31" s="4"/>
      <c r="B31" s="6"/>
      <c r="E31" s="6"/>
      <c r="F31" s="11"/>
      <c r="G31" s="6"/>
      <c r="H31" s="20"/>
      <c r="I31" s="21"/>
      <c r="J31" s="26"/>
      <c r="K31" s="6">
        <f t="shared" ca="1" si="5"/>
        <v>0</v>
      </c>
      <c r="L31" s="8">
        <f ca="1">_xll.HLV5r3.Analytics.Miscellaneous.Zero2DF(_xll.HLV5r3.Analytics.Miscellaneous.LinearInterp(Peturbed_QZ,$K31,1,L$1),ZeroCompFreq,'PDH Calc'!$K31/365)</f>
        <v>1</v>
      </c>
      <c r="M31" s="8">
        <f ca="1">_xll.HLV5r3.Analytics.Miscellaneous.Zero2DF(_xll.HLV5r3.Analytics.Miscellaneous.LinearInterp(Peturbed_QZ,$K31,1,M$1),ZeroCompFreq,'PDH Calc'!$K31/365)</f>
        <v>1</v>
      </c>
      <c r="N31" s="8">
        <f ca="1">_xll.HLV5r3.Analytics.Miscellaneous.Zero2DF(_xll.HLV5r3.Analytics.Miscellaneous.LinearInterp(Peturbed_QZ,$K31,1,N$1),ZeroCompFreq,'PDH Calc'!$K31/365)</f>
        <v>1</v>
      </c>
      <c r="O31" s="8">
        <f ca="1">_xll.HLV5r3.Analytics.Miscellaneous.Zero2DF(_xll.HLV5r3.Analytics.Miscellaneous.LinearInterp(Peturbed_QZ,$K31,1,O$1),ZeroCompFreq,'PDH Calc'!$K31/365)</f>
        <v>1</v>
      </c>
      <c r="P31" s="8">
        <f ca="1">_xll.HLV5r3.Analytics.Miscellaneous.Zero2DF(_xll.HLV5r3.Analytics.Miscellaneous.LinearInterp(Peturbed_QZ,$K31,1,P$1),ZeroCompFreq,'PDH Calc'!$K31/365)</f>
        <v>1</v>
      </c>
      <c r="Q31" s="8">
        <f ca="1">_xll.HLV5r3.Analytics.Miscellaneous.Zero2DF(_xll.HLV5r3.Analytics.Miscellaneous.LinearInterp(Peturbed_QZ,$K31,1,Q$1),ZeroCompFreq,'PDH Calc'!$K31/365)</f>
        <v>1</v>
      </c>
      <c r="R31" s="8">
        <f ca="1">_xll.HLV5r3.Analytics.Miscellaneous.Zero2DF(_xll.HLV5r3.Analytics.Miscellaneous.LinearInterp(Peturbed_QZ,$K31,1,R$1),ZeroCompFreq,'PDH Calc'!$K31/365)</f>
        <v>1</v>
      </c>
      <c r="S31" s="8">
        <f ca="1">_xll.HLV5r3.Analytics.Miscellaneous.Zero2DF(_xll.HLV5r3.Analytics.Miscellaneous.LinearInterp(Peturbed_QZ,$K31,1,S$1),ZeroCompFreq,'PDH Calc'!$K31/365)</f>
        <v>1</v>
      </c>
      <c r="T31" s="8">
        <f ca="1">_xll.HLV5r3.Analytics.Miscellaneous.Zero2DF(_xll.HLV5r3.Analytics.Miscellaneous.LinearInterp(Peturbed_QZ,$K31,1,T$1),ZeroCompFreq,'PDH Calc'!$K31/365)</f>
        <v>1</v>
      </c>
      <c r="U31" s="8">
        <f ca="1">_xll.HLV5r3.Analytics.Miscellaneous.Zero2DF(_xll.HLV5r3.Analytics.Miscellaneous.LinearInterp(Peturbed_QZ,$K31,1,U$1),ZeroCompFreq,'PDH Calc'!$K31/365)</f>
        <v>1</v>
      </c>
      <c r="V31" s="8">
        <f ca="1">_xll.HLV5r3.Analytics.Miscellaneous.Zero2DF(_xll.HLV5r3.Analytics.Miscellaneous.LinearInterp(Peturbed_QZ,$K31,1,V$1),ZeroCompFreq,'PDH Calc'!$K31/365)</f>
        <v>1</v>
      </c>
      <c r="W31" s="8">
        <f ca="1">_xll.HLV5r3.Analytics.Miscellaneous.Zero2DF(_xll.HLV5r3.Analytics.Miscellaneous.LinearInterp(Peturbed_QZ,$K31,1,W$1),ZeroCompFreq,'PDH Calc'!$K31/365)</f>
        <v>1</v>
      </c>
      <c r="X31" s="8">
        <f ca="1">_xll.HLV5r3.Analytics.Miscellaneous.Zero2DF(_xll.HLV5r3.Analytics.Miscellaneous.LinearInterp(Peturbed_QZ,$K31,1,X$1),ZeroCompFreq,'PDH Calc'!$K31/365)</f>
        <v>1</v>
      </c>
      <c r="Y31" s="8">
        <f ca="1">_xll.HLV5r3.Analytics.Miscellaneous.Zero2DF(_xll.HLV5r3.Analytics.Miscellaneous.LinearInterp(Peturbed_QZ,$K31,1,Y$1),ZeroCompFreq,'PDH Calc'!$K31/365)</f>
        <v>1</v>
      </c>
      <c r="Z31" s="8">
        <f ca="1">_xll.HLV5r3.Analytics.Miscellaneous.Zero2DF(_xll.HLV5r3.Analytics.Miscellaneous.LinearInterp(Peturbed_QZ,$K31,1,Z$1),ZeroCompFreq,'PDH Calc'!$K31/365)</f>
        <v>1</v>
      </c>
      <c r="AA31" s="8">
        <f ca="1">_xll.HLV5r3.Analytics.Miscellaneous.Zero2DF(_xll.HLV5r3.Analytics.Miscellaneous.LinearInterp(Peturbed_QZ,$K31,1,AA$1),ZeroCompFreq,'PDH Calc'!$K31/365)</f>
        <v>1</v>
      </c>
      <c r="AB31" s="8">
        <f ca="1">_xll.HLV5r3.Analytics.Miscellaneous.Zero2DF(_xll.HLV5r3.Analytics.Miscellaneous.LinearInterp(Peturbed_QZ,$K31,1,AB$1),ZeroCompFreq,'PDH Calc'!$K31/365)</f>
        <v>1</v>
      </c>
      <c r="AC31" s="8">
        <f ca="1">_xll.HLV5r3.Analytics.Miscellaneous.Zero2DF(_xll.HLV5r3.Analytics.Miscellaneous.LinearInterp(Peturbed_QZ,$K31,1,AC$1),ZeroCompFreq,'PDH Calc'!$K31/365)</f>
        <v>1</v>
      </c>
      <c r="AD31" s="8">
        <f ca="1">_xll.HLV5r3.Analytics.Miscellaneous.Zero2DF(_xll.HLV5r3.Analytics.Miscellaneous.LinearInterp(Peturbed_QZ,$K31,1,AD$1),ZeroCompFreq,'PDH Calc'!$K31/365)</f>
        <v>1</v>
      </c>
      <c r="AE31" s="8">
        <f ca="1">_xll.HLV5r3.Analytics.Miscellaneous.Zero2DF(_xll.HLV5r3.Analytics.Miscellaneous.LinearInterp(Peturbed_QZ,$K31,1,AE$1),ZeroCompFreq,'PDH Calc'!$K31/365)</f>
        <v>1</v>
      </c>
      <c r="AF31" s="8">
        <f ca="1">_xll.HLV5r3.Analytics.Miscellaneous.Zero2DF(_xll.HLV5r3.Analytics.Miscellaneous.LinearInterp(Peturbed_QZ,$K31,1,AF$1),ZeroCompFreq,'PDH Calc'!$K31/365)</f>
        <v>1</v>
      </c>
      <c r="AG31" s="8">
        <f ca="1">_xll.HLV5r3.Analytics.Miscellaneous.Zero2DF(_xll.HLV5r3.Analytics.Miscellaneous.LinearInterp(Peturbed_QZ,$K31,1,AG$1),ZeroCompFreq,'PDH Calc'!$K31/365)</f>
        <v>1</v>
      </c>
      <c r="AH31" s="8">
        <f ca="1">_xll.HLV5r3.Analytics.Miscellaneous.Zero2DF(_xll.HLV5r3.Analytics.Miscellaneous.LinearInterp(Peturbed_QZ,$K31,1,AH$1),ZeroCompFreq,'PDH Calc'!$K31/365)</f>
        <v>1</v>
      </c>
      <c r="AI31" s="8">
        <f ca="1">_xll.HLV5r3.Analytics.Miscellaneous.Zero2DF(_xll.HLV5r3.Analytics.Miscellaneous.LinearInterp(Peturbed_QZ,$K31,1,AI$1),ZeroCompFreq,'PDH Calc'!$K31/365)</f>
        <v>1</v>
      </c>
      <c r="AJ31" s="8">
        <f ca="1">_xll.HLV5r3.Analytics.Miscellaneous.Zero2DF(_xll.HLV5r3.Analytics.Miscellaneous.LinearInterp(Peturbed_QZ,$K31,1,AJ$1),ZeroCompFreq,'PDH Calc'!$K31/365)</f>
        <v>1</v>
      </c>
      <c r="AK31" s="8">
        <f ca="1">_xll.HLV5r3.Analytics.Miscellaneous.Zero2DF(_xll.HLV5r3.Analytics.Miscellaneous.LinearInterp(Peturbed_QZ,$K31,1,AK$1),ZeroCompFreq,'PDH Calc'!$K31/365)</f>
        <v>1</v>
      </c>
    </row>
    <row r="32" spans="1:37">
      <c r="A32" s="4"/>
      <c r="B32" s="6"/>
      <c r="E32" s="6"/>
      <c r="F32" s="11"/>
      <c r="G32" s="6"/>
      <c r="H32" s="20"/>
      <c r="I32" s="21"/>
      <c r="J32" s="26"/>
      <c r="K32" s="6">
        <f t="shared" ca="1" si="5"/>
        <v>0</v>
      </c>
      <c r="L32" s="8">
        <f ca="1">_xll.HLV5r3.Analytics.Miscellaneous.Zero2DF(_xll.HLV5r3.Analytics.Miscellaneous.LinearInterp(Peturbed_QZ,$K32,1,L$1),ZeroCompFreq,'PDH Calc'!$K32/365)</f>
        <v>1</v>
      </c>
      <c r="M32" s="8">
        <f ca="1">_xll.HLV5r3.Analytics.Miscellaneous.Zero2DF(_xll.HLV5r3.Analytics.Miscellaneous.LinearInterp(Peturbed_QZ,$K32,1,M$1),ZeroCompFreq,'PDH Calc'!$K32/365)</f>
        <v>1</v>
      </c>
      <c r="N32" s="8">
        <f ca="1">_xll.HLV5r3.Analytics.Miscellaneous.Zero2DF(_xll.HLV5r3.Analytics.Miscellaneous.LinearInterp(Peturbed_QZ,$K32,1,N$1),ZeroCompFreq,'PDH Calc'!$K32/365)</f>
        <v>1</v>
      </c>
      <c r="O32" s="8">
        <f ca="1">_xll.HLV5r3.Analytics.Miscellaneous.Zero2DF(_xll.HLV5r3.Analytics.Miscellaneous.LinearInterp(Peturbed_QZ,$K32,1,O$1),ZeroCompFreq,'PDH Calc'!$K32/365)</f>
        <v>1</v>
      </c>
      <c r="P32" s="8">
        <f ca="1">_xll.HLV5r3.Analytics.Miscellaneous.Zero2DF(_xll.HLV5r3.Analytics.Miscellaneous.LinearInterp(Peturbed_QZ,$K32,1,P$1),ZeroCompFreq,'PDH Calc'!$K32/365)</f>
        <v>1</v>
      </c>
      <c r="Q32" s="8">
        <f ca="1">_xll.HLV5r3.Analytics.Miscellaneous.Zero2DF(_xll.HLV5r3.Analytics.Miscellaneous.LinearInterp(Peturbed_QZ,$K32,1,Q$1),ZeroCompFreq,'PDH Calc'!$K32/365)</f>
        <v>1</v>
      </c>
      <c r="R32" s="8">
        <f ca="1">_xll.HLV5r3.Analytics.Miscellaneous.Zero2DF(_xll.HLV5r3.Analytics.Miscellaneous.LinearInterp(Peturbed_QZ,$K32,1,R$1),ZeroCompFreq,'PDH Calc'!$K32/365)</f>
        <v>1</v>
      </c>
      <c r="S32" s="8">
        <f ca="1">_xll.HLV5r3.Analytics.Miscellaneous.Zero2DF(_xll.HLV5r3.Analytics.Miscellaneous.LinearInterp(Peturbed_QZ,$K32,1,S$1),ZeroCompFreq,'PDH Calc'!$K32/365)</f>
        <v>1</v>
      </c>
      <c r="T32" s="8">
        <f ca="1">_xll.HLV5r3.Analytics.Miscellaneous.Zero2DF(_xll.HLV5r3.Analytics.Miscellaneous.LinearInterp(Peturbed_QZ,$K32,1,T$1),ZeroCompFreq,'PDH Calc'!$K32/365)</f>
        <v>1</v>
      </c>
      <c r="U32" s="8">
        <f ca="1">_xll.HLV5r3.Analytics.Miscellaneous.Zero2DF(_xll.HLV5r3.Analytics.Miscellaneous.LinearInterp(Peturbed_QZ,$K32,1,U$1),ZeroCompFreq,'PDH Calc'!$K32/365)</f>
        <v>1</v>
      </c>
      <c r="V32" s="8">
        <f ca="1">_xll.HLV5r3.Analytics.Miscellaneous.Zero2DF(_xll.HLV5r3.Analytics.Miscellaneous.LinearInterp(Peturbed_QZ,$K32,1,V$1),ZeroCompFreq,'PDH Calc'!$K32/365)</f>
        <v>1</v>
      </c>
      <c r="W32" s="8">
        <f ca="1">_xll.HLV5r3.Analytics.Miscellaneous.Zero2DF(_xll.HLV5r3.Analytics.Miscellaneous.LinearInterp(Peturbed_QZ,$K32,1,W$1),ZeroCompFreq,'PDH Calc'!$K32/365)</f>
        <v>1</v>
      </c>
      <c r="X32" s="8">
        <f ca="1">_xll.HLV5r3.Analytics.Miscellaneous.Zero2DF(_xll.HLV5r3.Analytics.Miscellaneous.LinearInterp(Peturbed_QZ,$K32,1,X$1),ZeroCompFreq,'PDH Calc'!$K32/365)</f>
        <v>1</v>
      </c>
      <c r="Y32" s="8">
        <f ca="1">_xll.HLV5r3.Analytics.Miscellaneous.Zero2DF(_xll.HLV5r3.Analytics.Miscellaneous.LinearInterp(Peturbed_QZ,$K32,1,Y$1),ZeroCompFreq,'PDH Calc'!$K32/365)</f>
        <v>1</v>
      </c>
      <c r="Z32" s="8">
        <f ca="1">_xll.HLV5r3.Analytics.Miscellaneous.Zero2DF(_xll.HLV5r3.Analytics.Miscellaneous.LinearInterp(Peturbed_QZ,$K32,1,Z$1),ZeroCompFreq,'PDH Calc'!$K32/365)</f>
        <v>1</v>
      </c>
      <c r="AA32" s="8">
        <f ca="1">_xll.HLV5r3.Analytics.Miscellaneous.Zero2DF(_xll.HLV5r3.Analytics.Miscellaneous.LinearInterp(Peturbed_QZ,$K32,1,AA$1),ZeroCompFreq,'PDH Calc'!$K32/365)</f>
        <v>1</v>
      </c>
      <c r="AB32" s="8">
        <f ca="1">_xll.HLV5r3.Analytics.Miscellaneous.Zero2DF(_xll.HLV5r3.Analytics.Miscellaneous.LinearInterp(Peturbed_QZ,$K32,1,AB$1),ZeroCompFreq,'PDH Calc'!$K32/365)</f>
        <v>1</v>
      </c>
      <c r="AC32" s="8">
        <f ca="1">_xll.HLV5r3.Analytics.Miscellaneous.Zero2DF(_xll.HLV5r3.Analytics.Miscellaneous.LinearInterp(Peturbed_QZ,$K32,1,AC$1),ZeroCompFreq,'PDH Calc'!$K32/365)</f>
        <v>1</v>
      </c>
      <c r="AD32" s="8">
        <f ca="1">_xll.HLV5r3.Analytics.Miscellaneous.Zero2DF(_xll.HLV5r3.Analytics.Miscellaneous.LinearInterp(Peturbed_QZ,$K32,1,AD$1),ZeroCompFreq,'PDH Calc'!$K32/365)</f>
        <v>1</v>
      </c>
      <c r="AE32" s="8">
        <f ca="1">_xll.HLV5r3.Analytics.Miscellaneous.Zero2DF(_xll.HLV5r3.Analytics.Miscellaneous.LinearInterp(Peturbed_QZ,$K32,1,AE$1),ZeroCompFreq,'PDH Calc'!$K32/365)</f>
        <v>1</v>
      </c>
      <c r="AF32" s="8">
        <f ca="1">_xll.HLV5r3.Analytics.Miscellaneous.Zero2DF(_xll.HLV5r3.Analytics.Miscellaneous.LinearInterp(Peturbed_QZ,$K32,1,AF$1),ZeroCompFreq,'PDH Calc'!$K32/365)</f>
        <v>1</v>
      </c>
      <c r="AG32" s="8">
        <f ca="1">_xll.HLV5r3.Analytics.Miscellaneous.Zero2DF(_xll.HLV5r3.Analytics.Miscellaneous.LinearInterp(Peturbed_QZ,$K32,1,AG$1),ZeroCompFreq,'PDH Calc'!$K32/365)</f>
        <v>1</v>
      </c>
      <c r="AH32" s="8">
        <f ca="1">_xll.HLV5r3.Analytics.Miscellaneous.Zero2DF(_xll.HLV5r3.Analytics.Miscellaneous.LinearInterp(Peturbed_QZ,$K32,1,AH$1),ZeroCompFreq,'PDH Calc'!$K32/365)</f>
        <v>1</v>
      </c>
      <c r="AI32" s="8">
        <f ca="1">_xll.HLV5r3.Analytics.Miscellaneous.Zero2DF(_xll.HLV5r3.Analytics.Miscellaneous.LinearInterp(Peturbed_QZ,$K32,1,AI$1),ZeroCompFreq,'PDH Calc'!$K32/365)</f>
        <v>1</v>
      </c>
      <c r="AJ32" s="8">
        <f ca="1">_xll.HLV5r3.Analytics.Miscellaneous.Zero2DF(_xll.HLV5r3.Analytics.Miscellaneous.LinearInterp(Peturbed_QZ,$K32,1,AJ$1),ZeroCompFreq,'PDH Calc'!$K32/365)</f>
        <v>1</v>
      </c>
      <c r="AK32" s="8">
        <f ca="1">_xll.HLV5r3.Analytics.Miscellaneous.Zero2DF(_xll.HLV5r3.Analytics.Miscellaneous.LinearInterp(Peturbed_QZ,$K32,1,AK$1),ZeroCompFreq,'PDH Calc'!$K32/365)</f>
        <v>1</v>
      </c>
    </row>
    <row r="33" spans="1:37">
      <c r="A33" s="4"/>
      <c r="B33" s="6"/>
      <c r="E33" s="6"/>
      <c r="F33" s="11"/>
      <c r="G33" s="6"/>
      <c r="H33" s="20"/>
      <c r="I33" s="21"/>
      <c r="J33" s="26"/>
      <c r="K33" s="6">
        <f t="shared" ref="K33:K96" ca="1" si="7">(H33-Calc_Date)*ISNUMBER(H33)</f>
        <v>0</v>
      </c>
      <c r="L33" s="8">
        <f ca="1">_xll.HLV5r3.Analytics.Miscellaneous.Zero2DF(_xll.HLV5r3.Analytics.Miscellaneous.LinearInterp(Peturbed_QZ,$K33,1,L$1),ZeroCompFreq,'PDH Calc'!$K33/365)</f>
        <v>1</v>
      </c>
      <c r="M33" s="8">
        <f ca="1">_xll.HLV5r3.Analytics.Miscellaneous.Zero2DF(_xll.HLV5r3.Analytics.Miscellaneous.LinearInterp(Peturbed_QZ,$K33,1,M$1),ZeroCompFreq,'PDH Calc'!$K33/365)</f>
        <v>1</v>
      </c>
      <c r="N33" s="8">
        <f ca="1">_xll.HLV5r3.Analytics.Miscellaneous.Zero2DF(_xll.HLV5r3.Analytics.Miscellaneous.LinearInterp(Peturbed_QZ,$K33,1,N$1),ZeroCompFreq,'PDH Calc'!$K33/365)</f>
        <v>1</v>
      </c>
      <c r="O33" s="8">
        <f ca="1">_xll.HLV5r3.Analytics.Miscellaneous.Zero2DF(_xll.HLV5r3.Analytics.Miscellaneous.LinearInterp(Peturbed_QZ,$K33,1,O$1),ZeroCompFreq,'PDH Calc'!$K33/365)</f>
        <v>1</v>
      </c>
      <c r="P33" s="8">
        <f ca="1">_xll.HLV5r3.Analytics.Miscellaneous.Zero2DF(_xll.HLV5r3.Analytics.Miscellaneous.LinearInterp(Peturbed_QZ,$K33,1,P$1),ZeroCompFreq,'PDH Calc'!$K33/365)</f>
        <v>1</v>
      </c>
      <c r="Q33" s="8">
        <f ca="1">_xll.HLV5r3.Analytics.Miscellaneous.Zero2DF(_xll.HLV5r3.Analytics.Miscellaneous.LinearInterp(Peturbed_QZ,$K33,1,Q$1),ZeroCompFreq,'PDH Calc'!$K33/365)</f>
        <v>1</v>
      </c>
      <c r="R33" s="8">
        <f ca="1">_xll.HLV5r3.Analytics.Miscellaneous.Zero2DF(_xll.HLV5r3.Analytics.Miscellaneous.LinearInterp(Peturbed_QZ,$K33,1,R$1),ZeroCompFreq,'PDH Calc'!$K33/365)</f>
        <v>1</v>
      </c>
      <c r="S33" s="8">
        <f ca="1">_xll.HLV5r3.Analytics.Miscellaneous.Zero2DF(_xll.HLV5r3.Analytics.Miscellaneous.LinearInterp(Peturbed_QZ,$K33,1,S$1),ZeroCompFreq,'PDH Calc'!$K33/365)</f>
        <v>1</v>
      </c>
      <c r="T33" s="8">
        <f ca="1">_xll.HLV5r3.Analytics.Miscellaneous.Zero2DF(_xll.HLV5r3.Analytics.Miscellaneous.LinearInterp(Peturbed_QZ,$K33,1,T$1),ZeroCompFreq,'PDH Calc'!$K33/365)</f>
        <v>1</v>
      </c>
      <c r="U33" s="8">
        <f ca="1">_xll.HLV5r3.Analytics.Miscellaneous.Zero2DF(_xll.HLV5r3.Analytics.Miscellaneous.LinearInterp(Peturbed_QZ,$K33,1,U$1),ZeroCompFreq,'PDH Calc'!$K33/365)</f>
        <v>1</v>
      </c>
      <c r="V33" s="8">
        <f ca="1">_xll.HLV5r3.Analytics.Miscellaneous.Zero2DF(_xll.HLV5r3.Analytics.Miscellaneous.LinearInterp(Peturbed_QZ,$K33,1,V$1),ZeroCompFreq,'PDH Calc'!$K33/365)</f>
        <v>1</v>
      </c>
      <c r="W33" s="8">
        <f ca="1">_xll.HLV5r3.Analytics.Miscellaneous.Zero2DF(_xll.HLV5r3.Analytics.Miscellaneous.LinearInterp(Peturbed_QZ,$K33,1,W$1),ZeroCompFreq,'PDH Calc'!$K33/365)</f>
        <v>1</v>
      </c>
      <c r="X33" s="8">
        <f ca="1">_xll.HLV5r3.Analytics.Miscellaneous.Zero2DF(_xll.HLV5r3.Analytics.Miscellaneous.LinearInterp(Peturbed_QZ,$K33,1,X$1),ZeroCompFreq,'PDH Calc'!$K33/365)</f>
        <v>1</v>
      </c>
      <c r="Y33" s="8">
        <f ca="1">_xll.HLV5r3.Analytics.Miscellaneous.Zero2DF(_xll.HLV5r3.Analytics.Miscellaneous.LinearInterp(Peturbed_QZ,$K33,1,Y$1),ZeroCompFreq,'PDH Calc'!$K33/365)</f>
        <v>1</v>
      </c>
      <c r="Z33" s="8">
        <f ca="1">_xll.HLV5r3.Analytics.Miscellaneous.Zero2DF(_xll.HLV5r3.Analytics.Miscellaneous.LinearInterp(Peturbed_QZ,$K33,1,Z$1),ZeroCompFreq,'PDH Calc'!$K33/365)</f>
        <v>1</v>
      </c>
      <c r="AA33" s="8">
        <f ca="1">_xll.HLV5r3.Analytics.Miscellaneous.Zero2DF(_xll.HLV5r3.Analytics.Miscellaneous.LinearInterp(Peturbed_QZ,$K33,1,AA$1),ZeroCompFreq,'PDH Calc'!$K33/365)</f>
        <v>1</v>
      </c>
      <c r="AB33" s="8">
        <f ca="1">_xll.HLV5r3.Analytics.Miscellaneous.Zero2DF(_xll.HLV5r3.Analytics.Miscellaneous.LinearInterp(Peturbed_QZ,$K33,1,AB$1),ZeroCompFreq,'PDH Calc'!$K33/365)</f>
        <v>1</v>
      </c>
      <c r="AC33" s="8">
        <f ca="1">_xll.HLV5r3.Analytics.Miscellaneous.Zero2DF(_xll.HLV5r3.Analytics.Miscellaneous.LinearInterp(Peturbed_QZ,$K33,1,AC$1),ZeroCompFreq,'PDH Calc'!$K33/365)</f>
        <v>1</v>
      </c>
      <c r="AD33" s="8">
        <f ca="1">_xll.HLV5r3.Analytics.Miscellaneous.Zero2DF(_xll.HLV5r3.Analytics.Miscellaneous.LinearInterp(Peturbed_QZ,$K33,1,AD$1),ZeroCompFreq,'PDH Calc'!$K33/365)</f>
        <v>1</v>
      </c>
      <c r="AE33" s="8">
        <f ca="1">_xll.HLV5r3.Analytics.Miscellaneous.Zero2DF(_xll.HLV5r3.Analytics.Miscellaneous.LinearInterp(Peturbed_QZ,$K33,1,AE$1),ZeroCompFreq,'PDH Calc'!$K33/365)</f>
        <v>1</v>
      </c>
      <c r="AF33" s="8">
        <f ca="1">_xll.HLV5r3.Analytics.Miscellaneous.Zero2DF(_xll.HLV5r3.Analytics.Miscellaneous.LinearInterp(Peturbed_QZ,$K33,1,AF$1),ZeroCompFreq,'PDH Calc'!$K33/365)</f>
        <v>1</v>
      </c>
      <c r="AG33" s="8">
        <f ca="1">_xll.HLV5r3.Analytics.Miscellaneous.Zero2DF(_xll.HLV5r3.Analytics.Miscellaneous.LinearInterp(Peturbed_QZ,$K33,1,AG$1),ZeroCompFreq,'PDH Calc'!$K33/365)</f>
        <v>1</v>
      </c>
      <c r="AH33" s="8">
        <f ca="1">_xll.HLV5r3.Analytics.Miscellaneous.Zero2DF(_xll.HLV5r3.Analytics.Miscellaneous.LinearInterp(Peturbed_QZ,$K33,1,AH$1),ZeroCompFreq,'PDH Calc'!$K33/365)</f>
        <v>1</v>
      </c>
      <c r="AI33" s="8">
        <f ca="1">_xll.HLV5r3.Analytics.Miscellaneous.Zero2DF(_xll.HLV5r3.Analytics.Miscellaneous.LinearInterp(Peturbed_QZ,$K33,1,AI$1),ZeroCompFreq,'PDH Calc'!$K33/365)</f>
        <v>1</v>
      </c>
      <c r="AJ33" s="8">
        <f ca="1">_xll.HLV5r3.Analytics.Miscellaneous.Zero2DF(_xll.HLV5r3.Analytics.Miscellaneous.LinearInterp(Peturbed_QZ,$K33,1,AJ$1),ZeroCompFreq,'PDH Calc'!$K33/365)</f>
        <v>1</v>
      </c>
      <c r="AK33" s="8">
        <f ca="1">_xll.HLV5r3.Analytics.Miscellaneous.Zero2DF(_xll.HLV5r3.Analytics.Miscellaneous.LinearInterp(Peturbed_QZ,$K33,1,AK$1),ZeroCompFreq,'PDH Calc'!$K33/365)</f>
        <v>1</v>
      </c>
    </row>
    <row r="34" spans="1:37">
      <c r="A34" s="4"/>
      <c r="B34" s="6"/>
      <c r="E34" s="6"/>
      <c r="F34" s="11"/>
      <c r="G34" s="6"/>
      <c r="H34" s="20"/>
      <c r="I34" s="21"/>
      <c r="J34" s="26"/>
      <c r="K34" s="6">
        <f t="shared" ca="1" si="7"/>
        <v>0</v>
      </c>
      <c r="L34" s="8">
        <f ca="1">_xll.HLV5r3.Analytics.Miscellaneous.Zero2DF(_xll.HLV5r3.Analytics.Miscellaneous.LinearInterp(Peturbed_QZ,$K34,1,L$1),ZeroCompFreq,'PDH Calc'!$K34/365)</f>
        <v>1</v>
      </c>
      <c r="M34" s="8">
        <f ca="1">_xll.HLV5r3.Analytics.Miscellaneous.Zero2DF(_xll.HLV5r3.Analytics.Miscellaneous.LinearInterp(Peturbed_QZ,$K34,1,M$1),ZeroCompFreq,'PDH Calc'!$K34/365)</f>
        <v>1</v>
      </c>
      <c r="N34" s="8">
        <f ca="1">_xll.HLV5r3.Analytics.Miscellaneous.Zero2DF(_xll.HLV5r3.Analytics.Miscellaneous.LinearInterp(Peturbed_QZ,$K34,1,N$1),ZeroCompFreq,'PDH Calc'!$K34/365)</f>
        <v>1</v>
      </c>
      <c r="O34" s="8">
        <f ca="1">_xll.HLV5r3.Analytics.Miscellaneous.Zero2DF(_xll.HLV5r3.Analytics.Miscellaneous.LinearInterp(Peturbed_QZ,$K34,1,O$1),ZeroCompFreq,'PDH Calc'!$K34/365)</f>
        <v>1</v>
      </c>
      <c r="P34" s="8">
        <f ca="1">_xll.HLV5r3.Analytics.Miscellaneous.Zero2DF(_xll.HLV5r3.Analytics.Miscellaneous.LinearInterp(Peturbed_QZ,$K34,1,P$1),ZeroCompFreq,'PDH Calc'!$K34/365)</f>
        <v>1</v>
      </c>
      <c r="Q34" s="8">
        <f ca="1">_xll.HLV5r3.Analytics.Miscellaneous.Zero2DF(_xll.HLV5r3.Analytics.Miscellaneous.LinearInterp(Peturbed_QZ,$K34,1,Q$1),ZeroCompFreq,'PDH Calc'!$K34/365)</f>
        <v>1</v>
      </c>
      <c r="R34" s="8">
        <f ca="1">_xll.HLV5r3.Analytics.Miscellaneous.Zero2DF(_xll.HLV5r3.Analytics.Miscellaneous.LinearInterp(Peturbed_QZ,$K34,1,R$1),ZeroCompFreq,'PDH Calc'!$K34/365)</f>
        <v>1</v>
      </c>
      <c r="S34" s="8">
        <f ca="1">_xll.HLV5r3.Analytics.Miscellaneous.Zero2DF(_xll.HLV5r3.Analytics.Miscellaneous.LinearInterp(Peturbed_QZ,$K34,1,S$1),ZeroCompFreq,'PDH Calc'!$K34/365)</f>
        <v>1</v>
      </c>
      <c r="T34" s="8">
        <f ca="1">_xll.HLV5r3.Analytics.Miscellaneous.Zero2DF(_xll.HLV5r3.Analytics.Miscellaneous.LinearInterp(Peturbed_QZ,$K34,1,T$1),ZeroCompFreq,'PDH Calc'!$K34/365)</f>
        <v>1</v>
      </c>
      <c r="U34" s="8">
        <f ca="1">_xll.HLV5r3.Analytics.Miscellaneous.Zero2DF(_xll.HLV5r3.Analytics.Miscellaneous.LinearInterp(Peturbed_QZ,$K34,1,U$1),ZeroCompFreq,'PDH Calc'!$K34/365)</f>
        <v>1</v>
      </c>
      <c r="V34" s="8">
        <f ca="1">_xll.HLV5r3.Analytics.Miscellaneous.Zero2DF(_xll.HLV5r3.Analytics.Miscellaneous.LinearInterp(Peturbed_QZ,$K34,1,V$1),ZeroCompFreq,'PDH Calc'!$K34/365)</f>
        <v>1</v>
      </c>
      <c r="W34" s="8">
        <f ca="1">_xll.HLV5r3.Analytics.Miscellaneous.Zero2DF(_xll.HLV5r3.Analytics.Miscellaneous.LinearInterp(Peturbed_QZ,$K34,1,W$1),ZeroCompFreq,'PDH Calc'!$K34/365)</f>
        <v>1</v>
      </c>
      <c r="X34" s="8">
        <f ca="1">_xll.HLV5r3.Analytics.Miscellaneous.Zero2DF(_xll.HLV5r3.Analytics.Miscellaneous.LinearInterp(Peturbed_QZ,$K34,1,X$1),ZeroCompFreq,'PDH Calc'!$K34/365)</f>
        <v>1</v>
      </c>
      <c r="Y34" s="8">
        <f ca="1">_xll.HLV5r3.Analytics.Miscellaneous.Zero2DF(_xll.HLV5r3.Analytics.Miscellaneous.LinearInterp(Peturbed_QZ,$K34,1,Y$1),ZeroCompFreq,'PDH Calc'!$K34/365)</f>
        <v>1</v>
      </c>
      <c r="Z34" s="8">
        <f ca="1">_xll.HLV5r3.Analytics.Miscellaneous.Zero2DF(_xll.HLV5r3.Analytics.Miscellaneous.LinearInterp(Peturbed_QZ,$K34,1,Z$1),ZeroCompFreq,'PDH Calc'!$K34/365)</f>
        <v>1</v>
      </c>
      <c r="AA34" s="8">
        <f ca="1">_xll.HLV5r3.Analytics.Miscellaneous.Zero2DF(_xll.HLV5r3.Analytics.Miscellaneous.LinearInterp(Peturbed_QZ,$K34,1,AA$1),ZeroCompFreq,'PDH Calc'!$K34/365)</f>
        <v>1</v>
      </c>
      <c r="AB34" s="8">
        <f ca="1">_xll.HLV5r3.Analytics.Miscellaneous.Zero2DF(_xll.HLV5r3.Analytics.Miscellaneous.LinearInterp(Peturbed_QZ,$K34,1,AB$1),ZeroCompFreq,'PDH Calc'!$K34/365)</f>
        <v>1</v>
      </c>
      <c r="AC34" s="8">
        <f ca="1">_xll.HLV5r3.Analytics.Miscellaneous.Zero2DF(_xll.HLV5r3.Analytics.Miscellaneous.LinearInterp(Peturbed_QZ,$K34,1,AC$1),ZeroCompFreq,'PDH Calc'!$K34/365)</f>
        <v>1</v>
      </c>
      <c r="AD34" s="8">
        <f ca="1">_xll.HLV5r3.Analytics.Miscellaneous.Zero2DF(_xll.HLV5r3.Analytics.Miscellaneous.LinearInterp(Peturbed_QZ,$K34,1,AD$1),ZeroCompFreq,'PDH Calc'!$K34/365)</f>
        <v>1</v>
      </c>
      <c r="AE34" s="8">
        <f ca="1">_xll.HLV5r3.Analytics.Miscellaneous.Zero2DF(_xll.HLV5r3.Analytics.Miscellaneous.LinearInterp(Peturbed_QZ,$K34,1,AE$1),ZeroCompFreq,'PDH Calc'!$K34/365)</f>
        <v>1</v>
      </c>
      <c r="AF34" s="8">
        <f ca="1">_xll.HLV5r3.Analytics.Miscellaneous.Zero2DF(_xll.HLV5r3.Analytics.Miscellaneous.LinearInterp(Peturbed_QZ,$K34,1,AF$1),ZeroCompFreq,'PDH Calc'!$K34/365)</f>
        <v>1</v>
      </c>
      <c r="AG34" s="8">
        <f ca="1">_xll.HLV5r3.Analytics.Miscellaneous.Zero2DF(_xll.HLV5r3.Analytics.Miscellaneous.LinearInterp(Peturbed_QZ,$K34,1,AG$1),ZeroCompFreq,'PDH Calc'!$K34/365)</f>
        <v>1</v>
      </c>
      <c r="AH34" s="8">
        <f ca="1">_xll.HLV5r3.Analytics.Miscellaneous.Zero2DF(_xll.HLV5r3.Analytics.Miscellaneous.LinearInterp(Peturbed_QZ,$K34,1,AH$1),ZeroCompFreq,'PDH Calc'!$K34/365)</f>
        <v>1</v>
      </c>
      <c r="AI34" s="8">
        <f ca="1">_xll.HLV5r3.Analytics.Miscellaneous.Zero2DF(_xll.HLV5r3.Analytics.Miscellaneous.LinearInterp(Peturbed_QZ,$K34,1,AI$1),ZeroCompFreq,'PDH Calc'!$K34/365)</f>
        <v>1</v>
      </c>
      <c r="AJ34" s="8">
        <f ca="1">_xll.HLV5r3.Analytics.Miscellaneous.Zero2DF(_xll.HLV5r3.Analytics.Miscellaneous.LinearInterp(Peturbed_QZ,$K34,1,AJ$1),ZeroCompFreq,'PDH Calc'!$K34/365)</f>
        <v>1</v>
      </c>
      <c r="AK34" s="8">
        <f ca="1">_xll.HLV5r3.Analytics.Miscellaneous.Zero2DF(_xll.HLV5r3.Analytics.Miscellaneous.LinearInterp(Peturbed_QZ,$K34,1,AK$1),ZeroCompFreq,'PDH Calc'!$K34/365)</f>
        <v>1</v>
      </c>
    </row>
    <row r="35" spans="1:37">
      <c r="A35" s="4"/>
      <c r="B35" s="6"/>
      <c r="E35" s="6"/>
      <c r="F35" s="11"/>
      <c r="G35" s="6"/>
      <c r="H35" s="20"/>
      <c r="I35" s="21"/>
      <c r="J35" s="26"/>
      <c r="K35" s="6">
        <f t="shared" ca="1" si="7"/>
        <v>0</v>
      </c>
      <c r="L35" s="8">
        <f ca="1">_xll.HLV5r3.Analytics.Miscellaneous.Zero2DF(_xll.HLV5r3.Analytics.Miscellaneous.LinearInterp(Peturbed_QZ,$K35,1,L$1),ZeroCompFreq,'PDH Calc'!$K35/365)</f>
        <v>1</v>
      </c>
      <c r="M35" s="8">
        <f ca="1">_xll.HLV5r3.Analytics.Miscellaneous.Zero2DF(_xll.HLV5r3.Analytics.Miscellaneous.LinearInterp(Peturbed_QZ,$K35,1,M$1),ZeroCompFreq,'PDH Calc'!$K35/365)</f>
        <v>1</v>
      </c>
      <c r="N35" s="8">
        <f ca="1">_xll.HLV5r3.Analytics.Miscellaneous.Zero2DF(_xll.HLV5r3.Analytics.Miscellaneous.LinearInterp(Peturbed_QZ,$K35,1,N$1),ZeroCompFreq,'PDH Calc'!$K35/365)</f>
        <v>1</v>
      </c>
      <c r="O35" s="8">
        <f ca="1">_xll.HLV5r3.Analytics.Miscellaneous.Zero2DF(_xll.HLV5r3.Analytics.Miscellaneous.LinearInterp(Peturbed_QZ,$K35,1,O$1),ZeroCompFreq,'PDH Calc'!$K35/365)</f>
        <v>1</v>
      </c>
      <c r="P35" s="8">
        <f ca="1">_xll.HLV5r3.Analytics.Miscellaneous.Zero2DF(_xll.HLV5r3.Analytics.Miscellaneous.LinearInterp(Peturbed_QZ,$K35,1,P$1),ZeroCompFreq,'PDH Calc'!$K35/365)</f>
        <v>1</v>
      </c>
      <c r="Q35" s="8">
        <f ca="1">_xll.HLV5r3.Analytics.Miscellaneous.Zero2DF(_xll.HLV5r3.Analytics.Miscellaneous.LinearInterp(Peturbed_QZ,$K35,1,Q$1),ZeroCompFreq,'PDH Calc'!$K35/365)</f>
        <v>1</v>
      </c>
      <c r="R35" s="8">
        <f ca="1">_xll.HLV5r3.Analytics.Miscellaneous.Zero2DF(_xll.HLV5r3.Analytics.Miscellaneous.LinearInterp(Peturbed_QZ,$K35,1,R$1),ZeroCompFreq,'PDH Calc'!$K35/365)</f>
        <v>1</v>
      </c>
      <c r="S35" s="8">
        <f ca="1">_xll.HLV5r3.Analytics.Miscellaneous.Zero2DF(_xll.HLV5r3.Analytics.Miscellaneous.LinearInterp(Peturbed_QZ,$K35,1,S$1),ZeroCompFreq,'PDH Calc'!$K35/365)</f>
        <v>1</v>
      </c>
      <c r="T35" s="8">
        <f ca="1">_xll.HLV5r3.Analytics.Miscellaneous.Zero2DF(_xll.HLV5r3.Analytics.Miscellaneous.LinearInterp(Peturbed_QZ,$K35,1,T$1),ZeroCompFreq,'PDH Calc'!$K35/365)</f>
        <v>1</v>
      </c>
      <c r="U35" s="8">
        <f ca="1">_xll.HLV5r3.Analytics.Miscellaneous.Zero2DF(_xll.HLV5r3.Analytics.Miscellaneous.LinearInterp(Peturbed_QZ,$K35,1,U$1),ZeroCompFreq,'PDH Calc'!$K35/365)</f>
        <v>1</v>
      </c>
      <c r="V35" s="8">
        <f ca="1">_xll.HLV5r3.Analytics.Miscellaneous.Zero2DF(_xll.HLV5r3.Analytics.Miscellaneous.LinearInterp(Peturbed_QZ,$K35,1,V$1),ZeroCompFreq,'PDH Calc'!$K35/365)</f>
        <v>1</v>
      </c>
      <c r="W35" s="8">
        <f ca="1">_xll.HLV5r3.Analytics.Miscellaneous.Zero2DF(_xll.HLV5r3.Analytics.Miscellaneous.LinearInterp(Peturbed_QZ,$K35,1,W$1),ZeroCompFreq,'PDH Calc'!$K35/365)</f>
        <v>1</v>
      </c>
      <c r="X35" s="8">
        <f ca="1">_xll.HLV5r3.Analytics.Miscellaneous.Zero2DF(_xll.HLV5r3.Analytics.Miscellaneous.LinearInterp(Peturbed_QZ,$K35,1,X$1),ZeroCompFreq,'PDH Calc'!$K35/365)</f>
        <v>1</v>
      </c>
      <c r="Y35" s="8">
        <f ca="1">_xll.HLV5r3.Analytics.Miscellaneous.Zero2DF(_xll.HLV5r3.Analytics.Miscellaneous.LinearInterp(Peturbed_QZ,$K35,1,Y$1),ZeroCompFreq,'PDH Calc'!$K35/365)</f>
        <v>1</v>
      </c>
      <c r="Z35" s="8">
        <f ca="1">_xll.HLV5r3.Analytics.Miscellaneous.Zero2DF(_xll.HLV5r3.Analytics.Miscellaneous.LinearInterp(Peturbed_QZ,$K35,1,Z$1),ZeroCompFreq,'PDH Calc'!$K35/365)</f>
        <v>1</v>
      </c>
      <c r="AA35" s="8">
        <f ca="1">_xll.HLV5r3.Analytics.Miscellaneous.Zero2DF(_xll.HLV5r3.Analytics.Miscellaneous.LinearInterp(Peturbed_QZ,$K35,1,AA$1),ZeroCompFreq,'PDH Calc'!$K35/365)</f>
        <v>1</v>
      </c>
      <c r="AB35" s="8">
        <f ca="1">_xll.HLV5r3.Analytics.Miscellaneous.Zero2DF(_xll.HLV5r3.Analytics.Miscellaneous.LinearInterp(Peturbed_QZ,$K35,1,AB$1),ZeroCompFreq,'PDH Calc'!$K35/365)</f>
        <v>1</v>
      </c>
      <c r="AC35" s="8">
        <f ca="1">_xll.HLV5r3.Analytics.Miscellaneous.Zero2DF(_xll.HLV5r3.Analytics.Miscellaneous.LinearInterp(Peturbed_QZ,$K35,1,AC$1),ZeroCompFreq,'PDH Calc'!$K35/365)</f>
        <v>1</v>
      </c>
      <c r="AD35" s="8">
        <f ca="1">_xll.HLV5r3.Analytics.Miscellaneous.Zero2DF(_xll.HLV5r3.Analytics.Miscellaneous.LinearInterp(Peturbed_QZ,$K35,1,AD$1),ZeroCompFreq,'PDH Calc'!$K35/365)</f>
        <v>1</v>
      </c>
      <c r="AE35" s="8">
        <f ca="1">_xll.HLV5r3.Analytics.Miscellaneous.Zero2DF(_xll.HLV5r3.Analytics.Miscellaneous.LinearInterp(Peturbed_QZ,$K35,1,AE$1),ZeroCompFreq,'PDH Calc'!$K35/365)</f>
        <v>1</v>
      </c>
      <c r="AF35" s="8">
        <f ca="1">_xll.HLV5r3.Analytics.Miscellaneous.Zero2DF(_xll.HLV5r3.Analytics.Miscellaneous.LinearInterp(Peturbed_QZ,$K35,1,AF$1),ZeroCompFreq,'PDH Calc'!$K35/365)</f>
        <v>1</v>
      </c>
      <c r="AG35" s="8">
        <f ca="1">_xll.HLV5r3.Analytics.Miscellaneous.Zero2DF(_xll.HLV5r3.Analytics.Miscellaneous.LinearInterp(Peturbed_QZ,$K35,1,AG$1),ZeroCompFreq,'PDH Calc'!$K35/365)</f>
        <v>1</v>
      </c>
      <c r="AH35" s="8">
        <f ca="1">_xll.HLV5r3.Analytics.Miscellaneous.Zero2DF(_xll.HLV5r3.Analytics.Miscellaneous.LinearInterp(Peturbed_QZ,$K35,1,AH$1),ZeroCompFreq,'PDH Calc'!$K35/365)</f>
        <v>1</v>
      </c>
      <c r="AI35" s="8">
        <f ca="1">_xll.HLV5r3.Analytics.Miscellaneous.Zero2DF(_xll.HLV5r3.Analytics.Miscellaneous.LinearInterp(Peturbed_QZ,$K35,1,AI$1),ZeroCompFreq,'PDH Calc'!$K35/365)</f>
        <v>1</v>
      </c>
      <c r="AJ35" s="8">
        <f ca="1">_xll.HLV5r3.Analytics.Miscellaneous.Zero2DF(_xll.HLV5r3.Analytics.Miscellaneous.LinearInterp(Peturbed_QZ,$K35,1,AJ$1),ZeroCompFreq,'PDH Calc'!$K35/365)</f>
        <v>1</v>
      </c>
      <c r="AK35" s="8">
        <f ca="1">_xll.HLV5r3.Analytics.Miscellaneous.Zero2DF(_xll.HLV5r3.Analytics.Miscellaneous.LinearInterp(Peturbed_QZ,$K35,1,AK$1),ZeroCompFreq,'PDH Calc'!$K35/365)</f>
        <v>1</v>
      </c>
    </row>
    <row r="36" spans="1:37">
      <c r="A36" s="4"/>
      <c r="B36" s="6"/>
      <c r="F36" s="11"/>
      <c r="G36" s="6"/>
      <c r="H36" s="20"/>
      <c r="I36" s="21"/>
      <c r="J36" s="26"/>
      <c r="K36" s="6">
        <f t="shared" ca="1" si="7"/>
        <v>0</v>
      </c>
      <c r="L36" s="8">
        <f ca="1">_xll.HLV5r3.Analytics.Miscellaneous.Zero2DF(_xll.HLV5r3.Analytics.Miscellaneous.LinearInterp(Peturbed_QZ,$K36,1,L$1),ZeroCompFreq,'PDH Calc'!$K36/365)</f>
        <v>1</v>
      </c>
      <c r="M36" s="8">
        <f ca="1">_xll.HLV5r3.Analytics.Miscellaneous.Zero2DF(_xll.HLV5r3.Analytics.Miscellaneous.LinearInterp(Peturbed_QZ,$K36,1,M$1),ZeroCompFreq,'PDH Calc'!$K36/365)</f>
        <v>1</v>
      </c>
      <c r="N36" s="8">
        <f ca="1">_xll.HLV5r3.Analytics.Miscellaneous.Zero2DF(_xll.HLV5r3.Analytics.Miscellaneous.LinearInterp(Peturbed_QZ,$K36,1,N$1),ZeroCompFreq,'PDH Calc'!$K36/365)</f>
        <v>1</v>
      </c>
      <c r="O36" s="8">
        <f ca="1">_xll.HLV5r3.Analytics.Miscellaneous.Zero2DF(_xll.HLV5r3.Analytics.Miscellaneous.LinearInterp(Peturbed_QZ,$K36,1,O$1),ZeroCompFreq,'PDH Calc'!$K36/365)</f>
        <v>1</v>
      </c>
      <c r="P36" s="8">
        <f ca="1">_xll.HLV5r3.Analytics.Miscellaneous.Zero2DF(_xll.HLV5r3.Analytics.Miscellaneous.LinearInterp(Peturbed_QZ,$K36,1,P$1),ZeroCompFreq,'PDH Calc'!$K36/365)</f>
        <v>1</v>
      </c>
      <c r="Q36" s="8">
        <f ca="1">_xll.HLV5r3.Analytics.Miscellaneous.Zero2DF(_xll.HLV5r3.Analytics.Miscellaneous.LinearInterp(Peturbed_QZ,$K36,1,Q$1),ZeroCompFreq,'PDH Calc'!$K36/365)</f>
        <v>1</v>
      </c>
      <c r="R36" s="8">
        <f ca="1">_xll.HLV5r3.Analytics.Miscellaneous.Zero2DF(_xll.HLV5r3.Analytics.Miscellaneous.LinearInterp(Peturbed_QZ,$K36,1,R$1),ZeroCompFreq,'PDH Calc'!$K36/365)</f>
        <v>1</v>
      </c>
      <c r="S36" s="8">
        <f ca="1">_xll.HLV5r3.Analytics.Miscellaneous.Zero2DF(_xll.HLV5r3.Analytics.Miscellaneous.LinearInterp(Peturbed_QZ,$K36,1,S$1),ZeroCompFreq,'PDH Calc'!$K36/365)</f>
        <v>1</v>
      </c>
      <c r="T36" s="8">
        <f ca="1">_xll.HLV5r3.Analytics.Miscellaneous.Zero2DF(_xll.HLV5r3.Analytics.Miscellaneous.LinearInterp(Peturbed_QZ,$K36,1,T$1),ZeroCompFreq,'PDH Calc'!$K36/365)</f>
        <v>1</v>
      </c>
      <c r="U36" s="8">
        <f ca="1">_xll.HLV5r3.Analytics.Miscellaneous.Zero2DF(_xll.HLV5r3.Analytics.Miscellaneous.LinearInterp(Peturbed_QZ,$K36,1,U$1),ZeroCompFreq,'PDH Calc'!$K36/365)</f>
        <v>1</v>
      </c>
      <c r="V36" s="8">
        <f ca="1">_xll.HLV5r3.Analytics.Miscellaneous.Zero2DF(_xll.HLV5r3.Analytics.Miscellaneous.LinearInterp(Peturbed_QZ,$K36,1,V$1),ZeroCompFreq,'PDH Calc'!$K36/365)</f>
        <v>1</v>
      </c>
      <c r="W36" s="8">
        <f ca="1">_xll.HLV5r3.Analytics.Miscellaneous.Zero2DF(_xll.HLV5r3.Analytics.Miscellaneous.LinearInterp(Peturbed_QZ,$K36,1,W$1),ZeroCompFreq,'PDH Calc'!$K36/365)</f>
        <v>1</v>
      </c>
      <c r="X36" s="8">
        <f ca="1">_xll.HLV5r3.Analytics.Miscellaneous.Zero2DF(_xll.HLV5r3.Analytics.Miscellaneous.LinearInterp(Peturbed_QZ,$K36,1,X$1),ZeroCompFreq,'PDH Calc'!$K36/365)</f>
        <v>1</v>
      </c>
      <c r="Y36" s="8">
        <f ca="1">_xll.HLV5r3.Analytics.Miscellaneous.Zero2DF(_xll.HLV5r3.Analytics.Miscellaneous.LinearInterp(Peturbed_QZ,$K36,1,Y$1),ZeroCompFreq,'PDH Calc'!$K36/365)</f>
        <v>1</v>
      </c>
      <c r="Z36" s="8">
        <f ca="1">_xll.HLV5r3.Analytics.Miscellaneous.Zero2DF(_xll.HLV5r3.Analytics.Miscellaneous.LinearInterp(Peturbed_QZ,$K36,1,Z$1),ZeroCompFreq,'PDH Calc'!$K36/365)</f>
        <v>1</v>
      </c>
      <c r="AA36" s="8">
        <f ca="1">_xll.HLV5r3.Analytics.Miscellaneous.Zero2DF(_xll.HLV5r3.Analytics.Miscellaneous.LinearInterp(Peturbed_QZ,$K36,1,AA$1),ZeroCompFreq,'PDH Calc'!$K36/365)</f>
        <v>1</v>
      </c>
      <c r="AB36" s="8">
        <f ca="1">_xll.HLV5r3.Analytics.Miscellaneous.Zero2DF(_xll.HLV5r3.Analytics.Miscellaneous.LinearInterp(Peturbed_QZ,$K36,1,AB$1),ZeroCompFreq,'PDH Calc'!$K36/365)</f>
        <v>1</v>
      </c>
      <c r="AC36" s="8">
        <f ca="1">_xll.HLV5r3.Analytics.Miscellaneous.Zero2DF(_xll.HLV5r3.Analytics.Miscellaneous.LinearInterp(Peturbed_QZ,$K36,1,AC$1),ZeroCompFreq,'PDH Calc'!$K36/365)</f>
        <v>1</v>
      </c>
      <c r="AD36" s="8">
        <f ca="1">_xll.HLV5r3.Analytics.Miscellaneous.Zero2DF(_xll.HLV5r3.Analytics.Miscellaneous.LinearInterp(Peturbed_QZ,$K36,1,AD$1),ZeroCompFreq,'PDH Calc'!$K36/365)</f>
        <v>1</v>
      </c>
      <c r="AE36" s="8">
        <f ca="1">_xll.HLV5r3.Analytics.Miscellaneous.Zero2DF(_xll.HLV5r3.Analytics.Miscellaneous.LinearInterp(Peturbed_QZ,$K36,1,AE$1),ZeroCompFreq,'PDH Calc'!$K36/365)</f>
        <v>1</v>
      </c>
      <c r="AF36" s="8">
        <f ca="1">_xll.HLV5r3.Analytics.Miscellaneous.Zero2DF(_xll.HLV5r3.Analytics.Miscellaneous.LinearInterp(Peturbed_QZ,$K36,1,AF$1),ZeroCompFreq,'PDH Calc'!$K36/365)</f>
        <v>1</v>
      </c>
      <c r="AG36" s="8">
        <f ca="1">_xll.HLV5r3.Analytics.Miscellaneous.Zero2DF(_xll.HLV5r3.Analytics.Miscellaneous.LinearInterp(Peturbed_QZ,$K36,1,AG$1),ZeroCompFreq,'PDH Calc'!$K36/365)</f>
        <v>1</v>
      </c>
      <c r="AH36" s="8">
        <f ca="1">_xll.HLV5r3.Analytics.Miscellaneous.Zero2DF(_xll.HLV5r3.Analytics.Miscellaneous.LinearInterp(Peturbed_QZ,$K36,1,AH$1),ZeroCompFreq,'PDH Calc'!$K36/365)</f>
        <v>1</v>
      </c>
      <c r="AI36" s="8">
        <f ca="1">_xll.HLV5r3.Analytics.Miscellaneous.Zero2DF(_xll.HLV5r3.Analytics.Miscellaneous.LinearInterp(Peturbed_QZ,$K36,1,AI$1),ZeroCompFreq,'PDH Calc'!$K36/365)</f>
        <v>1</v>
      </c>
      <c r="AJ36" s="8">
        <f ca="1">_xll.HLV5r3.Analytics.Miscellaneous.Zero2DF(_xll.HLV5r3.Analytics.Miscellaneous.LinearInterp(Peturbed_QZ,$K36,1,AJ$1),ZeroCompFreq,'PDH Calc'!$K36/365)</f>
        <v>1</v>
      </c>
      <c r="AK36" s="8">
        <f ca="1">_xll.HLV5r3.Analytics.Miscellaneous.Zero2DF(_xll.HLV5r3.Analytics.Miscellaneous.LinearInterp(Peturbed_QZ,$K36,1,AK$1),ZeroCompFreq,'PDH Calc'!$K36/365)</f>
        <v>1</v>
      </c>
    </row>
    <row r="37" spans="1:37">
      <c r="A37" s="4"/>
      <c r="B37" s="6"/>
      <c r="F37" s="11"/>
      <c r="G37" s="6"/>
      <c r="H37" s="20"/>
      <c r="I37" s="21"/>
      <c r="J37" s="26"/>
      <c r="K37" s="6">
        <f t="shared" ca="1" si="7"/>
        <v>0</v>
      </c>
      <c r="L37" s="8">
        <f ca="1">_xll.HLV5r3.Analytics.Miscellaneous.Zero2DF(_xll.HLV5r3.Analytics.Miscellaneous.LinearInterp(Peturbed_QZ,$K37,1,L$1),ZeroCompFreq,'PDH Calc'!$K37/365)</f>
        <v>1</v>
      </c>
      <c r="M37" s="8">
        <f ca="1">_xll.HLV5r3.Analytics.Miscellaneous.Zero2DF(_xll.HLV5r3.Analytics.Miscellaneous.LinearInterp(Peturbed_QZ,$K37,1,M$1),ZeroCompFreq,'PDH Calc'!$K37/365)</f>
        <v>1</v>
      </c>
      <c r="N37" s="8">
        <f ca="1">_xll.HLV5r3.Analytics.Miscellaneous.Zero2DF(_xll.HLV5r3.Analytics.Miscellaneous.LinearInterp(Peturbed_QZ,$K37,1,N$1),ZeroCompFreq,'PDH Calc'!$K37/365)</f>
        <v>1</v>
      </c>
      <c r="O37" s="8">
        <f ca="1">_xll.HLV5r3.Analytics.Miscellaneous.Zero2DF(_xll.HLV5r3.Analytics.Miscellaneous.LinearInterp(Peturbed_QZ,$K37,1,O$1),ZeroCompFreq,'PDH Calc'!$K37/365)</f>
        <v>1</v>
      </c>
      <c r="P37" s="8">
        <f ca="1">_xll.HLV5r3.Analytics.Miscellaneous.Zero2DF(_xll.HLV5r3.Analytics.Miscellaneous.LinearInterp(Peturbed_QZ,$K37,1,P$1),ZeroCompFreq,'PDH Calc'!$K37/365)</f>
        <v>1</v>
      </c>
      <c r="Q37" s="8">
        <f ca="1">_xll.HLV5r3.Analytics.Miscellaneous.Zero2DF(_xll.HLV5r3.Analytics.Miscellaneous.LinearInterp(Peturbed_QZ,$K37,1,Q$1),ZeroCompFreq,'PDH Calc'!$K37/365)</f>
        <v>1</v>
      </c>
      <c r="R37" s="8">
        <f ca="1">_xll.HLV5r3.Analytics.Miscellaneous.Zero2DF(_xll.HLV5r3.Analytics.Miscellaneous.LinearInterp(Peturbed_QZ,$K37,1,R$1),ZeroCompFreq,'PDH Calc'!$K37/365)</f>
        <v>1</v>
      </c>
      <c r="S37" s="8">
        <f ca="1">_xll.HLV5r3.Analytics.Miscellaneous.Zero2DF(_xll.HLV5r3.Analytics.Miscellaneous.LinearInterp(Peturbed_QZ,$K37,1,S$1),ZeroCompFreq,'PDH Calc'!$K37/365)</f>
        <v>1</v>
      </c>
      <c r="T37" s="8">
        <f ca="1">_xll.HLV5r3.Analytics.Miscellaneous.Zero2DF(_xll.HLV5r3.Analytics.Miscellaneous.LinearInterp(Peturbed_QZ,$K37,1,T$1),ZeroCompFreq,'PDH Calc'!$K37/365)</f>
        <v>1</v>
      </c>
      <c r="U37" s="8">
        <f ca="1">_xll.HLV5r3.Analytics.Miscellaneous.Zero2DF(_xll.HLV5r3.Analytics.Miscellaneous.LinearInterp(Peturbed_QZ,$K37,1,U$1),ZeroCompFreq,'PDH Calc'!$K37/365)</f>
        <v>1</v>
      </c>
      <c r="V37" s="8">
        <f ca="1">_xll.HLV5r3.Analytics.Miscellaneous.Zero2DF(_xll.HLV5r3.Analytics.Miscellaneous.LinearInterp(Peturbed_QZ,$K37,1,V$1),ZeroCompFreq,'PDH Calc'!$K37/365)</f>
        <v>1</v>
      </c>
      <c r="W37" s="8">
        <f ca="1">_xll.HLV5r3.Analytics.Miscellaneous.Zero2DF(_xll.HLV5r3.Analytics.Miscellaneous.LinearInterp(Peturbed_QZ,$K37,1,W$1),ZeroCompFreq,'PDH Calc'!$K37/365)</f>
        <v>1</v>
      </c>
      <c r="X37" s="8">
        <f ca="1">_xll.HLV5r3.Analytics.Miscellaneous.Zero2DF(_xll.HLV5r3.Analytics.Miscellaneous.LinearInterp(Peturbed_QZ,$K37,1,X$1),ZeroCompFreq,'PDH Calc'!$K37/365)</f>
        <v>1</v>
      </c>
      <c r="Y37" s="8">
        <f ca="1">_xll.HLV5r3.Analytics.Miscellaneous.Zero2DF(_xll.HLV5r3.Analytics.Miscellaneous.LinearInterp(Peturbed_QZ,$K37,1,Y$1),ZeroCompFreq,'PDH Calc'!$K37/365)</f>
        <v>1</v>
      </c>
      <c r="Z37" s="8">
        <f ca="1">_xll.HLV5r3.Analytics.Miscellaneous.Zero2DF(_xll.HLV5r3.Analytics.Miscellaneous.LinearInterp(Peturbed_QZ,$K37,1,Z$1),ZeroCompFreq,'PDH Calc'!$K37/365)</f>
        <v>1</v>
      </c>
      <c r="AA37" s="8">
        <f ca="1">_xll.HLV5r3.Analytics.Miscellaneous.Zero2DF(_xll.HLV5r3.Analytics.Miscellaneous.LinearInterp(Peturbed_QZ,$K37,1,AA$1),ZeroCompFreq,'PDH Calc'!$K37/365)</f>
        <v>1</v>
      </c>
      <c r="AB37" s="8">
        <f ca="1">_xll.HLV5r3.Analytics.Miscellaneous.Zero2DF(_xll.HLV5r3.Analytics.Miscellaneous.LinearInterp(Peturbed_QZ,$K37,1,AB$1),ZeroCompFreq,'PDH Calc'!$K37/365)</f>
        <v>1</v>
      </c>
      <c r="AC37" s="8">
        <f ca="1">_xll.HLV5r3.Analytics.Miscellaneous.Zero2DF(_xll.HLV5r3.Analytics.Miscellaneous.LinearInterp(Peturbed_QZ,$K37,1,AC$1),ZeroCompFreq,'PDH Calc'!$K37/365)</f>
        <v>1</v>
      </c>
      <c r="AD37" s="8">
        <f ca="1">_xll.HLV5r3.Analytics.Miscellaneous.Zero2DF(_xll.HLV5r3.Analytics.Miscellaneous.LinearInterp(Peturbed_QZ,$K37,1,AD$1),ZeroCompFreq,'PDH Calc'!$K37/365)</f>
        <v>1</v>
      </c>
      <c r="AE37" s="8">
        <f ca="1">_xll.HLV5r3.Analytics.Miscellaneous.Zero2DF(_xll.HLV5r3.Analytics.Miscellaneous.LinearInterp(Peturbed_QZ,$K37,1,AE$1),ZeroCompFreq,'PDH Calc'!$K37/365)</f>
        <v>1</v>
      </c>
      <c r="AF37" s="8">
        <f ca="1">_xll.HLV5r3.Analytics.Miscellaneous.Zero2DF(_xll.HLV5r3.Analytics.Miscellaneous.LinearInterp(Peturbed_QZ,$K37,1,AF$1),ZeroCompFreq,'PDH Calc'!$K37/365)</f>
        <v>1</v>
      </c>
      <c r="AG37" s="8">
        <f ca="1">_xll.HLV5r3.Analytics.Miscellaneous.Zero2DF(_xll.HLV5r3.Analytics.Miscellaneous.LinearInterp(Peturbed_QZ,$K37,1,AG$1),ZeroCompFreq,'PDH Calc'!$K37/365)</f>
        <v>1</v>
      </c>
      <c r="AH37" s="8">
        <f ca="1">_xll.HLV5r3.Analytics.Miscellaneous.Zero2DF(_xll.HLV5r3.Analytics.Miscellaneous.LinearInterp(Peturbed_QZ,$K37,1,AH$1),ZeroCompFreq,'PDH Calc'!$K37/365)</f>
        <v>1</v>
      </c>
      <c r="AI37" s="8">
        <f ca="1">_xll.HLV5r3.Analytics.Miscellaneous.Zero2DF(_xll.HLV5r3.Analytics.Miscellaneous.LinearInterp(Peturbed_QZ,$K37,1,AI$1),ZeroCompFreq,'PDH Calc'!$K37/365)</f>
        <v>1</v>
      </c>
      <c r="AJ37" s="8">
        <f ca="1">_xll.HLV5r3.Analytics.Miscellaneous.Zero2DF(_xll.HLV5r3.Analytics.Miscellaneous.LinearInterp(Peturbed_QZ,$K37,1,AJ$1),ZeroCompFreq,'PDH Calc'!$K37/365)</f>
        <v>1</v>
      </c>
      <c r="AK37" s="8">
        <f ca="1">_xll.HLV5r3.Analytics.Miscellaneous.Zero2DF(_xll.HLV5r3.Analytics.Miscellaneous.LinearInterp(Peturbed_QZ,$K37,1,AK$1),ZeroCompFreq,'PDH Calc'!$K37/365)</f>
        <v>1</v>
      </c>
    </row>
    <row r="38" spans="1:37">
      <c r="A38" s="4"/>
      <c r="B38" s="6"/>
      <c r="F38" s="11"/>
      <c r="G38" s="6"/>
      <c r="H38" s="20"/>
      <c r="I38" s="21"/>
      <c r="J38" s="26"/>
      <c r="K38" s="6">
        <f t="shared" ca="1" si="7"/>
        <v>0</v>
      </c>
      <c r="L38" s="8">
        <f ca="1">_xll.HLV5r3.Analytics.Miscellaneous.Zero2DF(_xll.HLV5r3.Analytics.Miscellaneous.LinearInterp(Peturbed_QZ,$K38,1,L$1),ZeroCompFreq,'PDH Calc'!$K38/365)</f>
        <v>1</v>
      </c>
      <c r="M38" s="8">
        <f ca="1">_xll.HLV5r3.Analytics.Miscellaneous.Zero2DF(_xll.HLV5r3.Analytics.Miscellaneous.LinearInterp(Peturbed_QZ,$K38,1,M$1),ZeroCompFreq,'PDH Calc'!$K38/365)</f>
        <v>1</v>
      </c>
      <c r="N38" s="8">
        <f ca="1">_xll.HLV5r3.Analytics.Miscellaneous.Zero2DF(_xll.HLV5r3.Analytics.Miscellaneous.LinearInterp(Peturbed_QZ,$K38,1,N$1),ZeroCompFreq,'PDH Calc'!$K38/365)</f>
        <v>1</v>
      </c>
      <c r="O38" s="8">
        <f ca="1">_xll.HLV5r3.Analytics.Miscellaneous.Zero2DF(_xll.HLV5r3.Analytics.Miscellaneous.LinearInterp(Peturbed_QZ,$K38,1,O$1),ZeroCompFreq,'PDH Calc'!$K38/365)</f>
        <v>1</v>
      </c>
      <c r="P38" s="8">
        <f ca="1">_xll.HLV5r3.Analytics.Miscellaneous.Zero2DF(_xll.HLV5r3.Analytics.Miscellaneous.LinearInterp(Peturbed_QZ,$K38,1,P$1),ZeroCompFreq,'PDH Calc'!$K38/365)</f>
        <v>1</v>
      </c>
      <c r="Q38" s="8">
        <f ca="1">_xll.HLV5r3.Analytics.Miscellaneous.Zero2DF(_xll.HLV5r3.Analytics.Miscellaneous.LinearInterp(Peturbed_QZ,$K38,1,Q$1),ZeroCompFreq,'PDH Calc'!$K38/365)</f>
        <v>1</v>
      </c>
      <c r="R38" s="8">
        <f ca="1">_xll.HLV5r3.Analytics.Miscellaneous.Zero2DF(_xll.HLV5r3.Analytics.Miscellaneous.LinearInterp(Peturbed_QZ,$K38,1,R$1),ZeroCompFreq,'PDH Calc'!$K38/365)</f>
        <v>1</v>
      </c>
      <c r="S38" s="8">
        <f ca="1">_xll.HLV5r3.Analytics.Miscellaneous.Zero2DF(_xll.HLV5r3.Analytics.Miscellaneous.LinearInterp(Peturbed_QZ,$K38,1,S$1),ZeroCompFreq,'PDH Calc'!$K38/365)</f>
        <v>1</v>
      </c>
      <c r="T38" s="8">
        <f ca="1">_xll.HLV5r3.Analytics.Miscellaneous.Zero2DF(_xll.HLV5r3.Analytics.Miscellaneous.LinearInterp(Peturbed_QZ,$K38,1,T$1),ZeroCompFreq,'PDH Calc'!$K38/365)</f>
        <v>1</v>
      </c>
      <c r="U38" s="8">
        <f ca="1">_xll.HLV5r3.Analytics.Miscellaneous.Zero2DF(_xll.HLV5r3.Analytics.Miscellaneous.LinearInterp(Peturbed_QZ,$K38,1,U$1),ZeroCompFreq,'PDH Calc'!$K38/365)</f>
        <v>1</v>
      </c>
      <c r="V38" s="8">
        <f ca="1">_xll.HLV5r3.Analytics.Miscellaneous.Zero2DF(_xll.HLV5r3.Analytics.Miscellaneous.LinearInterp(Peturbed_QZ,$K38,1,V$1),ZeroCompFreq,'PDH Calc'!$K38/365)</f>
        <v>1</v>
      </c>
      <c r="W38" s="8">
        <f ca="1">_xll.HLV5r3.Analytics.Miscellaneous.Zero2DF(_xll.HLV5r3.Analytics.Miscellaneous.LinearInterp(Peturbed_QZ,$K38,1,W$1),ZeroCompFreq,'PDH Calc'!$K38/365)</f>
        <v>1</v>
      </c>
      <c r="X38" s="8">
        <f ca="1">_xll.HLV5r3.Analytics.Miscellaneous.Zero2DF(_xll.HLV5r3.Analytics.Miscellaneous.LinearInterp(Peturbed_QZ,$K38,1,X$1),ZeroCompFreq,'PDH Calc'!$K38/365)</f>
        <v>1</v>
      </c>
      <c r="Y38" s="8">
        <f ca="1">_xll.HLV5r3.Analytics.Miscellaneous.Zero2DF(_xll.HLV5r3.Analytics.Miscellaneous.LinearInterp(Peturbed_QZ,$K38,1,Y$1),ZeroCompFreq,'PDH Calc'!$K38/365)</f>
        <v>1</v>
      </c>
      <c r="Z38" s="8">
        <f ca="1">_xll.HLV5r3.Analytics.Miscellaneous.Zero2DF(_xll.HLV5r3.Analytics.Miscellaneous.LinearInterp(Peturbed_QZ,$K38,1,Z$1),ZeroCompFreq,'PDH Calc'!$K38/365)</f>
        <v>1</v>
      </c>
      <c r="AA38" s="8">
        <f ca="1">_xll.HLV5r3.Analytics.Miscellaneous.Zero2DF(_xll.HLV5r3.Analytics.Miscellaneous.LinearInterp(Peturbed_QZ,$K38,1,AA$1),ZeroCompFreq,'PDH Calc'!$K38/365)</f>
        <v>1</v>
      </c>
      <c r="AB38" s="8">
        <f ca="1">_xll.HLV5r3.Analytics.Miscellaneous.Zero2DF(_xll.HLV5r3.Analytics.Miscellaneous.LinearInterp(Peturbed_QZ,$K38,1,AB$1),ZeroCompFreq,'PDH Calc'!$K38/365)</f>
        <v>1</v>
      </c>
      <c r="AC38" s="8">
        <f ca="1">_xll.HLV5r3.Analytics.Miscellaneous.Zero2DF(_xll.HLV5r3.Analytics.Miscellaneous.LinearInterp(Peturbed_QZ,$K38,1,AC$1),ZeroCompFreq,'PDH Calc'!$K38/365)</f>
        <v>1</v>
      </c>
      <c r="AD38" s="8">
        <f ca="1">_xll.HLV5r3.Analytics.Miscellaneous.Zero2DF(_xll.HLV5r3.Analytics.Miscellaneous.LinearInterp(Peturbed_QZ,$K38,1,AD$1),ZeroCompFreq,'PDH Calc'!$K38/365)</f>
        <v>1</v>
      </c>
      <c r="AE38" s="8">
        <f ca="1">_xll.HLV5r3.Analytics.Miscellaneous.Zero2DF(_xll.HLV5r3.Analytics.Miscellaneous.LinearInterp(Peturbed_QZ,$K38,1,AE$1),ZeroCompFreq,'PDH Calc'!$K38/365)</f>
        <v>1</v>
      </c>
      <c r="AF38" s="8">
        <f ca="1">_xll.HLV5r3.Analytics.Miscellaneous.Zero2DF(_xll.HLV5r3.Analytics.Miscellaneous.LinearInterp(Peturbed_QZ,$K38,1,AF$1),ZeroCompFreq,'PDH Calc'!$K38/365)</f>
        <v>1</v>
      </c>
      <c r="AG38" s="8">
        <f ca="1">_xll.HLV5r3.Analytics.Miscellaneous.Zero2DF(_xll.HLV5r3.Analytics.Miscellaneous.LinearInterp(Peturbed_QZ,$K38,1,AG$1),ZeroCompFreq,'PDH Calc'!$K38/365)</f>
        <v>1</v>
      </c>
      <c r="AH38" s="8">
        <f ca="1">_xll.HLV5r3.Analytics.Miscellaneous.Zero2DF(_xll.HLV5r3.Analytics.Miscellaneous.LinearInterp(Peturbed_QZ,$K38,1,AH$1),ZeroCompFreq,'PDH Calc'!$K38/365)</f>
        <v>1</v>
      </c>
      <c r="AI38" s="8">
        <f ca="1">_xll.HLV5r3.Analytics.Miscellaneous.Zero2DF(_xll.HLV5r3.Analytics.Miscellaneous.LinearInterp(Peturbed_QZ,$K38,1,AI$1),ZeroCompFreq,'PDH Calc'!$K38/365)</f>
        <v>1</v>
      </c>
      <c r="AJ38" s="8">
        <f ca="1">_xll.HLV5r3.Analytics.Miscellaneous.Zero2DF(_xll.HLV5r3.Analytics.Miscellaneous.LinearInterp(Peturbed_QZ,$K38,1,AJ$1),ZeroCompFreq,'PDH Calc'!$K38/365)</f>
        <v>1</v>
      </c>
      <c r="AK38" s="8">
        <f ca="1">_xll.HLV5r3.Analytics.Miscellaneous.Zero2DF(_xll.HLV5r3.Analytics.Miscellaneous.LinearInterp(Peturbed_QZ,$K38,1,AK$1),ZeroCompFreq,'PDH Calc'!$K38/365)</f>
        <v>1</v>
      </c>
    </row>
    <row r="39" spans="1:37">
      <c r="A39" s="4"/>
      <c r="B39" s="6"/>
      <c r="F39" s="11"/>
      <c r="G39" s="6"/>
      <c r="H39" s="20"/>
      <c r="I39" s="21"/>
      <c r="J39" s="26"/>
      <c r="K39" s="6">
        <f t="shared" ca="1" si="7"/>
        <v>0</v>
      </c>
      <c r="L39" s="8">
        <f ca="1">_xll.HLV5r3.Analytics.Miscellaneous.Zero2DF(_xll.HLV5r3.Analytics.Miscellaneous.LinearInterp(Peturbed_QZ,$K39,1,L$1),ZeroCompFreq,'PDH Calc'!$K39/365)</f>
        <v>1</v>
      </c>
      <c r="M39" s="8">
        <f ca="1">_xll.HLV5r3.Analytics.Miscellaneous.Zero2DF(_xll.HLV5r3.Analytics.Miscellaneous.LinearInterp(Peturbed_QZ,$K39,1,M$1),ZeroCompFreq,'PDH Calc'!$K39/365)</f>
        <v>1</v>
      </c>
      <c r="N39" s="8">
        <f ca="1">_xll.HLV5r3.Analytics.Miscellaneous.Zero2DF(_xll.HLV5r3.Analytics.Miscellaneous.LinearInterp(Peturbed_QZ,$K39,1,N$1),ZeroCompFreq,'PDH Calc'!$K39/365)</f>
        <v>1</v>
      </c>
      <c r="O39" s="8">
        <f ca="1">_xll.HLV5r3.Analytics.Miscellaneous.Zero2DF(_xll.HLV5r3.Analytics.Miscellaneous.LinearInterp(Peturbed_QZ,$K39,1,O$1),ZeroCompFreq,'PDH Calc'!$K39/365)</f>
        <v>1</v>
      </c>
      <c r="P39" s="8">
        <f ca="1">_xll.HLV5r3.Analytics.Miscellaneous.Zero2DF(_xll.HLV5r3.Analytics.Miscellaneous.LinearInterp(Peturbed_QZ,$K39,1,P$1),ZeroCompFreq,'PDH Calc'!$K39/365)</f>
        <v>1</v>
      </c>
      <c r="Q39" s="8">
        <f ca="1">_xll.HLV5r3.Analytics.Miscellaneous.Zero2DF(_xll.HLV5r3.Analytics.Miscellaneous.LinearInterp(Peturbed_QZ,$K39,1,Q$1),ZeroCompFreq,'PDH Calc'!$K39/365)</f>
        <v>1</v>
      </c>
      <c r="R39" s="8">
        <f ca="1">_xll.HLV5r3.Analytics.Miscellaneous.Zero2DF(_xll.HLV5r3.Analytics.Miscellaneous.LinearInterp(Peturbed_QZ,$K39,1,R$1),ZeroCompFreq,'PDH Calc'!$K39/365)</f>
        <v>1</v>
      </c>
      <c r="S39" s="8">
        <f ca="1">_xll.HLV5r3.Analytics.Miscellaneous.Zero2DF(_xll.HLV5r3.Analytics.Miscellaneous.LinearInterp(Peturbed_QZ,$K39,1,S$1),ZeroCompFreq,'PDH Calc'!$K39/365)</f>
        <v>1</v>
      </c>
      <c r="T39" s="8">
        <f ca="1">_xll.HLV5r3.Analytics.Miscellaneous.Zero2DF(_xll.HLV5r3.Analytics.Miscellaneous.LinearInterp(Peturbed_QZ,$K39,1,T$1),ZeroCompFreq,'PDH Calc'!$K39/365)</f>
        <v>1</v>
      </c>
      <c r="U39" s="8">
        <f ca="1">_xll.HLV5r3.Analytics.Miscellaneous.Zero2DF(_xll.HLV5r3.Analytics.Miscellaneous.LinearInterp(Peturbed_QZ,$K39,1,U$1),ZeroCompFreq,'PDH Calc'!$K39/365)</f>
        <v>1</v>
      </c>
      <c r="V39" s="8">
        <f ca="1">_xll.HLV5r3.Analytics.Miscellaneous.Zero2DF(_xll.HLV5r3.Analytics.Miscellaneous.LinearInterp(Peturbed_QZ,$K39,1,V$1),ZeroCompFreq,'PDH Calc'!$K39/365)</f>
        <v>1</v>
      </c>
      <c r="W39" s="8">
        <f ca="1">_xll.HLV5r3.Analytics.Miscellaneous.Zero2DF(_xll.HLV5r3.Analytics.Miscellaneous.LinearInterp(Peturbed_QZ,$K39,1,W$1),ZeroCompFreq,'PDH Calc'!$K39/365)</f>
        <v>1</v>
      </c>
      <c r="X39" s="8">
        <f ca="1">_xll.HLV5r3.Analytics.Miscellaneous.Zero2DF(_xll.HLV5r3.Analytics.Miscellaneous.LinearInterp(Peturbed_QZ,$K39,1,X$1),ZeroCompFreq,'PDH Calc'!$K39/365)</f>
        <v>1</v>
      </c>
      <c r="Y39" s="8">
        <f ca="1">_xll.HLV5r3.Analytics.Miscellaneous.Zero2DF(_xll.HLV5r3.Analytics.Miscellaneous.LinearInterp(Peturbed_QZ,$K39,1,Y$1),ZeroCompFreq,'PDH Calc'!$K39/365)</f>
        <v>1</v>
      </c>
      <c r="Z39" s="8">
        <f ca="1">_xll.HLV5r3.Analytics.Miscellaneous.Zero2DF(_xll.HLV5r3.Analytics.Miscellaneous.LinearInterp(Peturbed_QZ,$K39,1,Z$1),ZeroCompFreq,'PDH Calc'!$K39/365)</f>
        <v>1</v>
      </c>
      <c r="AA39" s="8">
        <f ca="1">_xll.HLV5r3.Analytics.Miscellaneous.Zero2DF(_xll.HLV5r3.Analytics.Miscellaneous.LinearInterp(Peturbed_QZ,$K39,1,AA$1),ZeroCompFreq,'PDH Calc'!$K39/365)</f>
        <v>1</v>
      </c>
      <c r="AB39" s="8">
        <f ca="1">_xll.HLV5r3.Analytics.Miscellaneous.Zero2DF(_xll.HLV5r3.Analytics.Miscellaneous.LinearInterp(Peturbed_QZ,$K39,1,AB$1),ZeroCompFreq,'PDH Calc'!$K39/365)</f>
        <v>1</v>
      </c>
      <c r="AC39" s="8">
        <f ca="1">_xll.HLV5r3.Analytics.Miscellaneous.Zero2DF(_xll.HLV5r3.Analytics.Miscellaneous.LinearInterp(Peturbed_QZ,$K39,1,AC$1),ZeroCompFreq,'PDH Calc'!$K39/365)</f>
        <v>1</v>
      </c>
      <c r="AD39" s="8">
        <f ca="1">_xll.HLV5r3.Analytics.Miscellaneous.Zero2DF(_xll.HLV5r3.Analytics.Miscellaneous.LinearInterp(Peturbed_QZ,$K39,1,AD$1),ZeroCompFreq,'PDH Calc'!$K39/365)</f>
        <v>1</v>
      </c>
      <c r="AE39" s="8">
        <f ca="1">_xll.HLV5r3.Analytics.Miscellaneous.Zero2DF(_xll.HLV5r3.Analytics.Miscellaneous.LinearInterp(Peturbed_QZ,$K39,1,AE$1),ZeroCompFreq,'PDH Calc'!$K39/365)</f>
        <v>1</v>
      </c>
      <c r="AF39" s="8">
        <f ca="1">_xll.HLV5r3.Analytics.Miscellaneous.Zero2DF(_xll.HLV5r3.Analytics.Miscellaneous.LinearInterp(Peturbed_QZ,$K39,1,AF$1),ZeroCompFreq,'PDH Calc'!$K39/365)</f>
        <v>1</v>
      </c>
      <c r="AG39" s="8">
        <f ca="1">_xll.HLV5r3.Analytics.Miscellaneous.Zero2DF(_xll.HLV5r3.Analytics.Miscellaneous.LinearInterp(Peturbed_QZ,$K39,1,AG$1),ZeroCompFreq,'PDH Calc'!$K39/365)</f>
        <v>1</v>
      </c>
      <c r="AH39" s="8">
        <f ca="1">_xll.HLV5r3.Analytics.Miscellaneous.Zero2DF(_xll.HLV5r3.Analytics.Miscellaneous.LinearInterp(Peturbed_QZ,$K39,1,AH$1),ZeroCompFreq,'PDH Calc'!$K39/365)</f>
        <v>1</v>
      </c>
      <c r="AI39" s="8">
        <f ca="1">_xll.HLV5r3.Analytics.Miscellaneous.Zero2DF(_xll.HLV5r3.Analytics.Miscellaneous.LinearInterp(Peturbed_QZ,$K39,1,AI$1),ZeroCompFreq,'PDH Calc'!$K39/365)</f>
        <v>1</v>
      </c>
      <c r="AJ39" s="8">
        <f ca="1">_xll.HLV5r3.Analytics.Miscellaneous.Zero2DF(_xll.HLV5r3.Analytics.Miscellaneous.LinearInterp(Peturbed_QZ,$K39,1,AJ$1),ZeroCompFreq,'PDH Calc'!$K39/365)</f>
        <v>1</v>
      </c>
      <c r="AK39" s="8">
        <f ca="1">_xll.HLV5r3.Analytics.Miscellaneous.Zero2DF(_xll.HLV5r3.Analytics.Miscellaneous.LinearInterp(Peturbed_QZ,$K39,1,AK$1),ZeroCompFreq,'PDH Calc'!$K39/365)</f>
        <v>1</v>
      </c>
    </row>
    <row r="40" spans="1:37">
      <c r="A40" s="4"/>
      <c r="B40" s="6"/>
      <c r="F40" s="11"/>
      <c r="G40" s="6"/>
      <c r="H40" s="20"/>
      <c r="I40" s="21"/>
      <c r="J40" s="26"/>
      <c r="K40" s="6">
        <f t="shared" ca="1" si="7"/>
        <v>0</v>
      </c>
      <c r="L40" s="8">
        <f ca="1">_xll.HLV5r3.Analytics.Miscellaneous.Zero2DF(_xll.HLV5r3.Analytics.Miscellaneous.LinearInterp(Peturbed_QZ,$K40,1,L$1),ZeroCompFreq,'PDH Calc'!$K40/365)</f>
        <v>1</v>
      </c>
      <c r="M40" s="8">
        <f ca="1">_xll.HLV5r3.Analytics.Miscellaneous.Zero2DF(_xll.HLV5r3.Analytics.Miscellaneous.LinearInterp(Peturbed_QZ,$K40,1,M$1),ZeroCompFreq,'PDH Calc'!$K40/365)</f>
        <v>1</v>
      </c>
      <c r="N40" s="8">
        <f ca="1">_xll.HLV5r3.Analytics.Miscellaneous.Zero2DF(_xll.HLV5r3.Analytics.Miscellaneous.LinearInterp(Peturbed_QZ,$K40,1,N$1),ZeroCompFreq,'PDH Calc'!$K40/365)</f>
        <v>1</v>
      </c>
      <c r="O40" s="8">
        <f ca="1">_xll.HLV5r3.Analytics.Miscellaneous.Zero2DF(_xll.HLV5r3.Analytics.Miscellaneous.LinearInterp(Peturbed_QZ,$K40,1,O$1),ZeroCompFreq,'PDH Calc'!$K40/365)</f>
        <v>1</v>
      </c>
      <c r="P40" s="8">
        <f ca="1">_xll.HLV5r3.Analytics.Miscellaneous.Zero2DF(_xll.HLV5r3.Analytics.Miscellaneous.LinearInterp(Peturbed_QZ,$K40,1,P$1),ZeroCompFreq,'PDH Calc'!$K40/365)</f>
        <v>1</v>
      </c>
      <c r="Q40" s="8">
        <f ca="1">_xll.HLV5r3.Analytics.Miscellaneous.Zero2DF(_xll.HLV5r3.Analytics.Miscellaneous.LinearInterp(Peturbed_QZ,$K40,1,Q$1),ZeroCompFreq,'PDH Calc'!$K40/365)</f>
        <v>1</v>
      </c>
      <c r="R40" s="8">
        <f ca="1">_xll.HLV5r3.Analytics.Miscellaneous.Zero2DF(_xll.HLV5r3.Analytics.Miscellaneous.LinearInterp(Peturbed_QZ,$K40,1,R$1),ZeroCompFreq,'PDH Calc'!$K40/365)</f>
        <v>1</v>
      </c>
      <c r="S40" s="8">
        <f ca="1">_xll.HLV5r3.Analytics.Miscellaneous.Zero2DF(_xll.HLV5r3.Analytics.Miscellaneous.LinearInterp(Peturbed_QZ,$K40,1,S$1),ZeroCompFreq,'PDH Calc'!$K40/365)</f>
        <v>1</v>
      </c>
      <c r="T40" s="8">
        <f ca="1">_xll.HLV5r3.Analytics.Miscellaneous.Zero2DF(_xll.HLV5r3.Analytics.Miscellaneous.LinearInterp(Peturbed_QZ,$K40,1,T$1),ZeroCompFreq,'PDH Calc'!$K40/365)</f>
        <v>1</v>
      </c>
      <c r="U40" s="8">
        <f ca="1">_xll.HLV5r3.Analytics.Miscellaneous.Zero2DF(_xll.HLV5r3.Analytics.Miscellaneous.LinearInterp(Peturbed_QZ,$K40,1,U$1),ZeroCompFreq,'PDH Calc'!$K40/365)</f>
        <v>1</v>
      </c>
      <c r="V40" s="8">
        <f ca="1">_xll.HLV5r3.Analytics.Miscellaneous.Zero2DF(_xll.HLV5r3.Analytics.Miscellaneous.LinearInterp(Peturbed_QZ,$K40,1,V$1),ZeroCompFreq,'PDH Calc'!$K40/365)</f>
        <v>1</v>
      </c>
      <c r="W40" s="8">
        <f ca="1">_xll.HLV5r3.Analytics.Miscellaneous.Zero2DF(_xll.HLV5r3.Analytics.Miscellaneous.LinearInterp(Peturbed_QZ,$K40,1,W$1),ZeroCompFreq,'PDH Calc'!$K40/365)</f>
        <v>1</v>
      </c>
      <c r="X40" s="8">
        <f ca="1">_xll.HLV5r3.Analytics.Miscellaneous.Zero2DF(_xll.HLV5r3.Analytics.Miscellaneous.LinearInterp(Peturbed_QZ,$K40,1,X$1),ZeroCompFreq,'PDH Calc'!$K40/365)</f>
        <v>1</v>
      </c>
      <c r="Y40" s="8">
        <f ca="1">_xll.HLV5r3.Analytics.Miscellaneous.Zero2DF(_xll.HLV5r3.Analytics.Miscellaneous.LinearInterp(Peturbed_QZ,$K40,1,Y$1),ZeroCompFreq,'PDH Calc'!$K40/365)</f>
        <v>1</v>
      </c>
      <c r="Z40" s="8">
        <f ca="1">_xll.HLV5r3.Analytics.Miscellaneous.Zero2DF(_xll.HLV5r3.Analytics.Miscellaneous.LinearInterp(Peturbed_QZ,$K40,1,Z$1),ZeroCompFreq,'PDH Calc'!$K40/365)</f>
        <v>1</v>
      </c>
      <c r="AA40" s="8">
        <f ca="1">_xll.HLV5r3.Analytics.Miscellaneous.Zero2DF(_xll.HLV5r3.Analytics.Miscellaneous.LinearInterp(Peturbed_QZ,$K40,1,AA$1),ZeroCompFreq,'PDH Calc'!$K40/365)</f>
        <v>1</v>
      </c>
      <c r="AB40" s="8">
        <f ca="1">_xll.HLV5r3.Analytics.Miscellaneous.Zero2DF(_xll.HLV5r3.Analytics.Miscellaneous.LinearInterp(Peturbed_QZ,$K40,1,AB$1),ZeroCompFreq,'PDH Calc'!$K40/365)</f>
        <v>1</v>
      </c>
      <c r="AC40" s="8">
        <f ca="1">_xll.HLV5r3.Analytics.Miscellaneous.Zero2DF(_xll.HLV5r3.Analytics.Miscellaneous.LinearInterp(Peturbed_QZ,$K40,1,AC$1),ZeroCompFreq,'PDH Calc'!$K40/365)</f>
        <v>1</v>
      </c>
      <c r="AD40" s="8">
        <f ca="1">_xll.HLV5r3.Analytics.Miscellaneous.Zero2DF(_xll.HLV5r3.Analytics.Miscellaneous.LinearInterp(Peturbed_QZ,$K40,1,AD$1),ZeroCompFreq,'PDH Calc'!$K40/365)</f>
        <v>1</v>
      </c>
      <c r="AE40" s="8">
        <f ca="1">_xll.HLV5r3.Analytics.Miscellaneous.Zero2DF(_xll.HLV5r3.Analytics.Miscellaneous.LinearInterp(Peturbed_QZ,$K40,1,AE$1),ZeroCompFreq,'PDH Calc'!$K40/365)</f>
        <v>1</v>
      </c>
      <c r="AF40" s="8">
        <f ca="1">_xll.HLV5r3.Analytics.Miscellaneous.Zero2DF(_xll.HLV5r3.Analytics.Miscellaneous.LinearInterp(Peturbed_QZ,$K40,1,AF$1),ZeroCompFreq,'PDH Calc'!$K40/365)</f>
        <v>1</v>
      </c>
      <c r="AG40" s="8">
        <f ca="1">_xll.HLV5r3.Analytics.Miscellaneous.Zero2DF(_xll.HLV5r3.Analytics.Miscellaneous.LinearInterp(Peturbed_QZ,$K40,1,AG$1),ZeroCompFreq,'PDH Calc'!$K40/365)</f>
        <v>1</v>
      </c>
      <c r="AH40" s="8">
        <f ca="1">_xll.HLV5r3.Analytics.Miscellaneous.Zero2DF(_xll.HLV5r3.Analytics.Miscellaneous.LinearInterp(Peturbed_QZ,$K40,1,AH$1),ZeroCompFreq,'PDH Calc'!$K40/365)</f>
        <v>1</v>
      </c>
      <c r="AI40" s="8">
        <f ca="1">_xll.HLV5r3.Analytics.Miscellaneous.Zero2DF(_xll.HLV5r3.Analytics.Miscellaneous.LinearInterp(Peturbed_QZ,$K40,1,AI$1),ZeroCompFreq,'PDH Calc'!$K40/365)</f>
        <v>1</v>
      </c>
      <c r="AJ40" s="8">
        <f ca="1">_xll.HLV5r3.Analytics.Miscellaneous.Zero2DF(_xll.HLV5r3.Analytics.Miscellaneous.LinearInterp(Peturbed_QZ,$K40,1,AJ$1),ZeroCompFreq,'PDH Calc'!$K40/365)</f>
        <v>1</v>
      </c>
      <c r="AK40" s="8">
        <f ca="1">_xll.HLV5r3.Analytics.Miscellaneous.Zero2DF(_xll.HLV5r3.Analytics.Miscellaneous.LinearInterp(Peturbed_QZ,$K40,1,AK$1),ZeroCompFreq,'PDH Calc'!$K40/365)</f>
        <v>1</v>
      </c>
    </row>
    <row r="41" spans="1:37">
      <c r="A41" s="4"/>
      <c r="B41" s="6"/>
      <c r="F41" s="11"/>
      <c r="G41" s="6"/>
      <c r="H41" s="20"/>
      <c r="I41" s="21"/>
      <c r="J41" s="26"/>
      <c r="K41" s="6">
        <f t="shared" ca="1" si="7"/>
        <v>0</v>
      </c>
      <c r="L41" s="8">
        <f ca="1">_xll.HLV5r3.Analytics.Miscellaneous.Zero2DF(_xll.HLV5r3.Analytics.Miscellaneous.LinearInterp(Peturbed_QZ,$K41,1,L$1),ZeroCompFreq,'PDH Calc'!$K41/365)</f>
        <v>1</v>
      </c>
      <c r="M41" s="8">
        <f ca="1">_xll.HLV5r3.Analytics.Miscellaneous.Zero2DF(_xll.HLV5r3.Analytics.Miscellaneous.LinearInterp(Peturbed_QZ,$K41,1,M$1),ZeroCompFreq,'PDH Calc'!$K41/365)</f>
        <v>1</v>
      </c>
      <c r="N41" s="8">
        <f ca="1">_xll.HLV5r3.Analytics.Miscellaneous.Zero2DF(_xll.HLV5r3.Analytics.Miscellaneous.LinearInterp(Peturbed_QZ,$K41,1,N$1),ZeroCompFreq,'PDH Calc'!$K41/365)</f>
        <v>1</v>
      </c>
      <c r="O41" s="8">
        <f ca="1">_xll.HLV5r3.Analytics.Miscellaneous.Zero2DF(_xll.HLV5r3.Analytics.Miscellaneous.LinearInterp(Peturbed_QZ,$K41,1,O$1),ZeroCompFreq,'PDH Calc'!$K41/365)</f>
        <v>1</v>
      </c>
      <c r="P41" s="8">
        <f ca="1">_xll.HLV5r3.Analytics.Miscellaneous.Zero2DF(_xll.HLV5r3.Analytics.Miscellaneous.LinearInterp(Peturbed_QZ,$K41,1,P$1),ZeroCompFreq,'PDH Calc'!$K41/365)</f>
        <v>1</v>
      </c>
      <c r="Q41" s="8">
        <f ca="1">_xll.HLV5r3.Analytics.Miscellaneous.Zero2DF(_xll.HLV5r3.Analytics.Miscellaneous.LinearInterp(Peturbed_QZ,$K41,1,Q$1),ZeroCompFreq,'PDH Calc'!$K41/365)</f>
        <v>1</v>
      </c>
      <c r="R41" s="8">
        <f ca="1">_xll.HLV5r3.Analytics.Miscellaneous.Zero2DF(_xll.HLV5r3.Analytics.Miscellaneous.LinearInterp(Peturbed_QZ,$K41,1,R$1),ZeroCompFreq,'PDH Calc'!$K41/365)</f>
        <v>1</v>
      </c>
      <c r="S41" s="8">
        <f ca="1">_xll.HLV5r3.Analytics.Miscellaneous.Zero2DF(_xll.HLV5r3.Analytics.Miscellaneous.LinearInterp(Peturbed_QZ,$K41,1,S$1),ZeroCompFreq,'PDH Calc'!$K41/365)</f>
        <v>1</v>
      </c>
      <c r="T41" s="8">
        <f ca="1">_xll.HLV5r3.Analytics.Miscellaneous.Zero2DF(_xll.HLV5r3.Analytics.Miscellaneous.LinearInterp(Peturbed_QZ,$K41,1,T$1),ZeroCompFreq,'PDH Calc'!$K41/365)</f>
        <v>1</v>
      </c>
      <c r="U41" s="8">
        <f ca="1">_xll.HLV5r3.Analytics.Miscellaneous.Zero2DF(_xll.HLV5r3.Analytics.Miscellaneous.LinearInterp(Peturbed_QZ,$K41,1,U$1),ZeroCompFreq,'PDH Calc'!$K41/365)</f>
        <v>1</v>
      </c>
      <c r="V41" s="8">
        <f ca="1">_xll.HLV5r3.Analytics.Miscellaneous.Zero2DF(_xll.HLV5r3.Analytics.Miscellaneous.LinearInterp(Peturbed_QZ,$K41,1,V$1),ZeroCompFreq,'PDH Calc'!$K41/365)</f>
        <v>1</v>
      </c>
      <c r="W41" s="8">
        <f ca="1">_xll.HLV5r3.Analytics.Miscellaneous.Zero2DF(_xll.HLV5r3.Analytics.Miscellaneous.LinearInterp(Peturbed_QZ,$K41,1,W$1),ZeroCompFreq,'PDH Calc'!$K41/365)</f>
        <v>1</v>
      </c>
      <c r="X41" s="8">
        <f ca="1">_xll.HLV5r3.Analytics.Miscellaneous.Zero2DF(_xll.HLV5r3.Analytics.Miscellaneous.LinearInterp(Peturbed_QZ,$K41,1,X$1),ZeroCompFreq,'PDH Calc'!$K41/365)</f>
        <v>1</v>
      </c>
      <c r="Y41" s="8">
        <f ca="1">_xll.HLV5r3.Analytics.Miscellaneous.Zero2DF(_xll.HLV5r3.Analytics.Miscellaneous.LinearInterp(Peturbed_QZ,$K41,1,Y$1),ZeroCompFreq,'PDH Calc'!$K41/365)</f>
        <v>1</v>
      </c>
      <c r="Z41" s="8">
        <f ca="1">_xll.HLV5r3.Analytics.Miscellaneous.Zero2DF(_xll.HLV5r3.Analytics.Miscellaneous.LinearInterp(Peturbed_QZ,$K41,1,Z$1),ZeroCompFreq,'PDH Calc'!$K41/365)</f>
        <v>1</v>
      </c>
      <c r="AA41" s="8">
        <f ca="1">_xll.HLV5r3.Analytics.Miscellaneous.Zero2DF(_xll.HLV5r3.Analytics.Miscellaneous.LinearInterp(Peturbed_QZ,$K41,1,AA$1),ZeroCompFreq,'PDH Calc'!$K41/365)</f>
        <v>1</v>
      </c>
      <c r="AB41" s="8">
        <f ca="1">_xll.HLV5r3.Analytics.Miscellaneous.Zero2DF(_xll.HLV5r3.Analytics.Miscellaneous.LinearInterp(Peturbed_QZ,$K41,1,AB$1),ZeroCompFreq,'PDH Calc'!$K41/365)</f>
        <v>1</v>
      </c>
      <c r="AC41" s="8">
        <f ca="1">_xll.HLV5r3.Analytics.Miscellaneous.Zero2DF(_xll.HLV5r3.Analytics.Miscellaneous.LinearInterp(Peturbed_QZ,$K41,1,AC$1),ZeroCompFreq,'PDH Calc'!$K41/365)</f>
        <v>1</v>
      </c>
      <c r="AD41" s="8">
        <f ca="1">_xll.HLV5r3.Analytics.Miscellaneous.Zero2DF(_xll.HLV5r3.Analytics.Miscellaneous.LinearInterp(Peturbed_QZ,$K41,1,AD$1),ZeroCompFreq,'PDH Calc'!$K41/365)</f>
        <v>1</v>
      </c>
      <c r="AE41" s="8">
        <f ca="1">_xll.HLV5r3.Analytics.Miscellaneous.Zero2DF(_xll.HLV5r3.Analytics.Miscellaneous.LinearInterp(Peturbed_QZ,$K41,1,AE$1),ZeroCompFreq,'PDH Calc'!$K41/365)</f>
        <v>1</v>
      </c>
      <c r="AF41" s="8">
        <f ca="1">_xll.HLV5r3.Analytics.Miscellaneous.Zero2DF(_xll.HLV5r3.Analytics.Miscellaneous.LinearInterp(Peturbed_QZ,$K41,1,AF$1),ZeroCompFreq,'PDH Calc'!$K41/365)</f>
        <v>1</v>
      </c>
      <c r="AG41" s="8">
        <f ca="1">_xll.HLV5r3.Analytics.Miscellaneous.Zero2DF(_xll.HLV5r3.Analytics.Miscellaneous.LinearInterp(Peturbed_QZ,$K41,1,AG$1),ZeroCompFreq,'PDH Calc'!$K41/365)</f>
        <v>1</v>
      </c>
      <c r="AH41" s="8">
        <f ca="1">_xll.HLV5r3.Analytics.Miscellaneous.Zero2DF(_xll.HLV5r3.Analytics.Miscellaneous.LinearInterp(Peturbed_QZ,$K41,1,AH$1),ZeroCompFreq,'PDH Calc'!$K41/365)</f>
        <v>1</v>
      </c>
      <c r="AI41" s="8">
        <f ca="1">_xll.HLV5r3.Analytics.Miscellaneous.Zero2DF(_xll.HLV5r3.Analytics.Miscellaneous.LinearInterp(Peturbed_QZ,$K41,1,AI$1),ZeroCompFreq,'PDH Calc'!$K41/365)</f>
        <v>1</v>
      </c>
      <c r="AJ41" s="8">
        <f ca="1">_xll.HLV5r3.Analytics.Miscellaneous.Zero2DF(_xll.HLV5r3.Analytics.Miscellaneous.LinearInterp(Peturbed_QZ,$K41,1,AJ$1),ZeroCompFreq,'PDH Calc'!$K41/365)</f>
        <v>1</v>
      </c>
      <c r="AK41" s="8">
        <f ca="1">_xll.HLV5r3.Analytics.Miscellaneous.Zero2DF(_xll.HLV5r3.Analytics.Miscellaneous.LinearInterp(Peturbed_QZ,$K41,1,AK$1),ZeroCompFreq,'PDH Calc'!$K41/365)</f>
        <v>1</v>
      </c>
    </row>
    <row r="42" spans="1:37">
      <c r="A42" s="4"/>
      <c r="B42" s="6"/>
      <c r="F42" s="11"/>
      <c r="G42" s="6"/>
      <c r="H42" s="20"/>
      <c r="I42" s="21"/>
      <c r="J42" s="26"/>
      <c r="K42" s="6">
        <f t="shared" ca="1" si="7"/>
        <v>0</v>
      </c>
      <c r="L42" s="8">
        <f ca="1">_xll.HLV5r3.Analytics.Miscellaneous.Zero2DF(_xll.HLV5r3.Analytics.Miscellaneous.LinearInterp(Peturbed_QZ,$K42,1,L$1),ZeroCompFreq,'PDH Calc'!$K42/365)</f>
        <v>1</v>
      </c>
      <c r="M42" s="8">
        <f ca="1">_xll.HLV5r3.Analytics.Miscellaneous.Zero2DF(_xll.HLV5r3.Analytics.Miscellaneous.LinearInterp(Peturbed_QZ,$K42,1,M$1),ZeroCompFreq,'PDH Calc'!$K42/365)</f>
        <v>1</v>
      </c>
      <c r="N42" s="8">
        <f ca="1">_xll.HLV5r3.Analytics.Miscellaneous.Zero2DF(_xll.HLV5r3.Analytics.Miscellaneous.LinearInterp(Peturbed_QZ,$K42,1,N$1),ZeroCompFreq,'PDH Calc'!$K42/365)</f>
        <v>1</v>
      </c>
      <c r="O42" s="8">
        <f ca="1">_xll.HLV5r3.Analytics.Miscellaneous.Zero2DF(_xll.HLV5r3.Analytics.Miscellaneous.LinearInterp(Peturbed_QZ,$K42,1,O$1),ZeroCompFreq,'PDH Calc'!$K42/365)</f>
        <v>1</v>
      </c>
      <c r="P42" s="8">
        <f ca="1">_xll.HLV5r3.Analytics.Miscellaneous.Zero2DF(_xll.HLV5r3.Analytics.Miscellaneous.LinearInterp(Peturbed_QZ,$K42,1,P$1),ZeroCompFreq,'PDH Calc'!$K42/365)</f>
        <v>1</v>
      </c>
      <c r="Q42" s="8">
        <f ca="1">_xll.HLV5r3.Analytics.Miscellaneous.Zero2DF(_xll.HLV5r3.Analytics.Miscellaneous.LinearInterp(Peturbed_QZ,$K42,1,Q$1),ZeroCompFreq,'PDH Calc'!$K42/365)</f>
        <v>1</v>
      </c>
      <c r="R42" s="8">
        <f ca="1">_xll.HLV5r3.Analytics.Miscellaneous.Zero2DF(_xll.HLV5r3.Analytics.Miscellaneous.LinearInterp(Peturbed_QZ,$K42,1,R$1),ZeroCompFreq,'PDH Calc'!$K42/365)</f>
        <v>1</v>
      </c>
      <c r="S42" s="8">
        <f ca="1">_xll.HLV5r3.Analytics.Miscellaneous.Zero2DF(_xll.HLV5r3.Analytics.Miscellaneous.LinearInterp(Peturbed_QZ,$K42,1,S$1),ZeroCompFreq,'PDH Calc'!$K42/365)</f>
        <v>1</v>
      </c>
      <c r="T42" s="8">
        <f ca="1">_xll.HLV5r3.Analytics.Miscellaneous.Zero2DF(_xll.HLV5r3.Analytics.Miscellaneous.LinearInterp(Peturbed_QZ,$K42,1,T$1),ZeroCompFreq,'PDH Calc'!$K42/365)</f>
        <v>1</v>
      </c>
      <c r="U42" s="8">
        <f ca="1">_xll.HLV5r3.Analytics.Miscellaneous.Zero2DF(_xll.HLV5r3.Analytics.Miscellaneous.LinearInterp(Peturbed_QZ,$K42,1,U$1),ZeroCompFreq,'PDH Calc'!$K42/365)</f>
        <v>1</v>
      </c>
      <c r="V42" s="8">
        <f ca="1">_xll.HLV5r3.Analytics.Miscellaneous.Zero2DF(_xll.HLV5r3.Analytics.Miscellaneous.LinearInterp(Peturbed_QZ,$K42,1,V$1),ZeroCompFreq,'PDH Calc'!$K42/365)</f>
        <v>1</v>
      </c>
      <c r="W42" s="8">
        <f ca="1">_xll.HLV5r3.Analytics.Miscellaneous.Zero2DF(_xll.HLV5r3.Analytics.Miscellaneous.LinearInterp(Peturbed_QZ,$K42,1,W$1),ZeroCompFreq,'PDH Calc'!$K42/365)</f>
        <v>1</v>
      </c>
      <c r="X42" s="8">
        <f ca="1">_xll.HLV5r3.Analytics.Miscellaneous.Zero2DF(_xll.HLV5r3.Analytics.Miscellaneous.LinearInterp(Peturbed_QZ,$K42,1,X$1),ZeroCompFreq,'PDH Calc'!$K42/365)</f>
        <v>1</v>
      </c>
      <c r="Y42" s="8">
        <f ca="1">_xll.HLV5r3.Analytics.Miscellaneous.Zero2DF(_xll.HLV5r3.Analytics.Miscellaneous.LinearInterp(Peturbed_QZ,$K42,1,Y$1),ZeroCompFreq,'PDH Calc'!$K42/365)</f>
        <v>1</v>
      </c>
      <c r="Z42" s="8">
        <f ca="1">_xll.HLV5r3.Analytics.Miscellaneous.Zero2DF(_xll.HLV5r3.Analytics.Miscellaneous.LinearInterp(Peturbed_QZ,$K42,1,Z$1),ZeroCompFreq,'PDH Calc'!$K42/365)</f>
        <v>1</v>
      </c>
      <c r="AA42" s="8">
        <f ca="1">_xll.HLV5r3.Analytics.Miscellaneous.Zero2DF(_xll.HLV5r3.Analytics.Miscellaneous.LinearInterp(Peturbed_QZ,$K42,1,AA$1),ZeroCompFreq,'PDH Calc'!$K42/365)</f>
        <v>1</v>
      </c>
      <c r="AB42" s="8">
        <f ca="1">_xll.HLV5r3.Analytics.Miscellaneous.Zero2DF(_xll.HLV5r3.Analytics.Miscellaneous.LinearInterp(Peturbed_QZ,$K42,1,AB$1),ZeroCompFreq,'PDH Calc'!$K42/365)</f>
        <v>1</v>
      </c>
      <c r="AC42" s="8">
        <f ca="1">_xll.HLV5r3.Analytics.Miscellaneous.Zero2DF(_xll.HLV5r3.Analytics.Miscellaneous.LinearInterp(Peturbed_QZ,$K42,1,AC$1),ZeroCompFreq,'PDH Calc'!$K42/365)</f>
        <v>1</v>
      </c>
      <c r="AD42" s="8">
        <f ca="1">_xll.HLV5r3.Analytics.Miscellaneous.Zero2DF(_xll.HLV5r3.Analytics.Miscellaneous.LinearInterp(Peturbed_QZ,$K42,1,AD$1),ZeroCompFreq,'PDH Calc'!$K42/365)</f>
        <v>1</v>
      </c>
      <c r="AE42" s="8">
        <f ca="1">_xll.HLV5r3.Analytics.Miscellaneous.Zero2DF(_xll.HLV5r3.Analytics.Miscellaneous.LinearInterp(Peturbed_QZ,$K42,1,AE$1),ZeroCompFreq,'PDH Calc'!$K42/365)</f>
        <v>1</v>
      </c>
      <c r="AF42" s="8">
        <f ca="1">_xll.HLV5r3.Analytics.Miscellaneous.Zero2DF(_xll.HLV5r3.Analytics.Miscellaneous.LinearInterp(Peturbed_QZ,$K42,1,AF$1),ZeroCompFreq,'PDH Calc'!$K42/365)</f>
        <v>1</v>
      </c>
      <c r="AG42" s="8">
        <f ca="1">_xll.HLV5r3.Analytics.Miscellaneous.Zero2DF(_xll.HLV5r3.Analytics.Miscellaneous.LinearInterp(Peturbed_QZ,$K42,1,AG$1),ZeroCompFreq,'PDH Calc'!$K42/365)</f>
        <v>1</v>
      </c>
      <c r="AH42" s="8">
        <f ca="1">_xll.HLV5r3.Analytics.Miscellaneous.Zero2DF(_xll.HLV5r3.Analytics.Miscellaneous.LinearInterp(Peturbed_QZ,$K42,1,AH$1),ZeroCompFreq,'PDH Calc'!$K42/365)</f>
        <v>1</v>
      </c>
      <c r="AI42" s="8">
        <f ca="1">_xll.HLV5r3.Analytics.Miscellaneous.Zero2DF(_xll.HLV5r3.Analytics.Miscellaneous.LinearInterp(Peturbed_QZ,$K42,1,AI$1),ZeroCompFreq,'PDH Calc'!$K42/365)</f>
        <v>1</v>
      </c>
      <c r="AJ42" s="8">
        <f ca="1">_xll.HLV5r3.Analytics.Miscellaneous.Zero2DF(_xll.HLV5r3.Analytics.Miscellaneous.LinearInterp(Peturbed_QZ,$K42,1,AJ$1),ZeroCompFreq,'PDH Calc'!$K42/365)</f>
        <v>1</v>
      </c>
      <c r="AK42" s="8">
        <f ca="1">_xll.HLV5r3.Analytics.Miscellaneous.Zero2DF(_xll.HLV5r3.Analytics.Miscellaneous.LinearInterp(Peturbed_QZ,$K42,1,AK$1),ZeroCompFreq,'PDH Calc'!$K42/365)</f>
        <v>1</v>
      </c>
    </row>
    <row r="43" spans="1:37">
      <c r="A43" s="4"/>
      <c r="B43" s="6"/>
      <c r="F43" s="11"/>
      <c r="G43" s="6"/>
      <c r="H43" s="20"/>
      <c r="I43" s="21"/>
      <c r="J43" s="26"/>
      <c r="K43" s="6">
        <f t="shared" ca="1" si="7"/>
        <v>0</v>
      </c>
      <c r="L43" s="8">
        <f ca="1">_xll.HLV5r3.Analytics.Miscellaneous.Zero2DF(_xll.HLV5r3.Analytics.Miscellaneous.LinearInterp(Peturbed_QZ,$K43,1,L$1),ZeroCompFreq,'PDH Calc'!$K43/365)</f>
        <v>1</v>
      </c>
      <c r="M43" s="8">
        <f ca="1">_xll.HLV5r3.Analytics.Miscellaneous.Zero2DF(_xll.HLV5r3.Analytics.Miscellaneous.LinearInterp(Peturbed_QZ,$K43,1,M$1),ZeroCompFreq,'PDH Calc'!$K43/365)</f>
        <v>1</v>
      </c>
      <c r="N43" s="8">
        <f ca="1">_xll.HLV5r3.Analytics.Miscellaneous.Zero2DF(_xll.HLV5r3.Analytics.Miscellaneous.LinearInterp(Peturbed_QZ,$K43,1,N$1),ZeroCompFreq,'PDH Calc'!$K43/365)</f>
        <v>1</v>
      </c>
      <c r="O43" s="8">
        <f ca="1">_xll.HLV5r3.Analytics.Miscellaneous.Zero2DF(_xll.HLV5r3.Analytics.Miscellaneous.LinearInterp(Peturbed_QZ,$K43,1,O$1),ZeroCompFreq,'PDH Calc'!$K43/365)</f>
        <v>1</v>
      </c>
      <c r="P43" s="8">
        <f ca="1">_xll.HLV5r3.Analytics.Miscellaneous.Zero2DF(_xll.HLV5r3.Analytics.Miscellaneous.LinearInterp(Peturbed_QZ,$K43,1,P$1),ZeroCompFreq,'PDH Calc'!$K43/365)</f>
        <v>1</v>
      </c>
      <c r="Q43" s="8">
        <f ca="1">_xll.HLV5r3.Analytics.Miscellaneous.Zero2DF(_xll.HLV5r3.Analytics.Miscellaneous.LinearInterp(Peturbed_QZ,$K43,1,Q$1),ZeroCompFreq,'PDH Calc'!$K43/365)</f>
        <v>1</v>
      </c>
      <c r="R43" s="8">
        <f ca="1">_xll.HLV5r3.Analytics.Miscellaneous.Zero2DF(_xll.HLV5r3.Analytics.Miscellaneous.LinearInterp(Peturbed_QZ,$K43,1,R$1),ZeroCompFreq,'PDH Calc'!$K43/365)</f>
        <v>1</v>
      </c>
      <c r="S43" s="8">
        <f ca="1">_xll.HLV5r3.Analytics.Miscellaneous.Zero2DF(_xll.HLV5r3.Analytics.Miscellaneous.LinearInterp(Peturbed_QZ,$K43,1,S$1),ZeroCompFreq,'PDH Calc'!$K43/365)</f>
        <v>1</v>
      </c>
      <c r="T43" s="8">
        <f ca="1">_xll.HLV5r3.Analytics.Miscellaneous.Zero2DF(_xll.HLV5r3.Analytics.Miscellaneous.LinearInterp(Peturbed_QZ,$K43,1,T$1),ZeroCompFreq,'PDH Calc'!$K43/365)</f>
        <v>1</v>
      </c>
      <c r="U43" s="8">
        <f ca="1">_xll.HLV5r3.Analytics.Miscellaneous.Zero2DF(_xll.HLV5r3.Analytics.Miscellaneous.LinearInterp(Peturbed_QZ,$K43,1,U$1),ZeroCompFreq,'PDH Calc'!$K43/365)</f>
        <v>1</v>
      </c>
      <c r="V43" s="8">
        <f ca="1">_xll.HLV5r3.Analytics.Miscellaneous.Zero2DF(_xll.HLV5r3.Analytics.Miscellaneous.LinearInterp(Peturbed_QZ,$K43,1,V$1),ZeroCompFreq,'PDH Calc'!$K43/365)</f>
        <v>1</v>
      </c>
      <c r="W43" s="8">
        <f ca="1">_xll.HLV5r3.Analytics.Miscellaneous.Zero2DF(_xll.HLV5r3.Analytics.Miscellaneous.LinearInterp(Peturbed_QZ,$K43,1,W$1),ZeroCompFreq,'PDH Calc'!$K43/365)</f>
        <v>1</v>
      </c>
      <c r="X43" s="8">
        <f ca="1">_xll.HLV5r3.Analytics.Miscellaneous.Zero2DF(_xll.HLV5r3.Analytics.Miscellaneous.LinearInterp(Peturbed_QZ,$K43,1,X$1),ZeroCompFreq,'PDH Calc'!$K43/365)</f>
        <v>1</v>
      </c>
      <c r="Y43" s="8">
        <f ca="1">_xll.HLV5r3.Analytics.Miscellaneous.Zero2DF(_xll.HLV5r3.Analytics.Miscellaneous.LinearInterp(Peturbed_QZ,$K43,1,Y$1),ZeroCompFreq,'PDH Calc'!$K43/365)</f>
        <v>1</v>
      </c>
      <c r="Z43" s="8">
        <f ca="1">_xll.HLV5r3.Analytics.Miscellaneous.Zero2DF(_xll.HLV5r3.Analytics.Miscellaneous.LinearInterp(Peturbed_QZ,$K43,1,Z$1),ZeroCompFreq,'PDH Calc'!$K43/365)</f>
        <v>1</v>
      </c>
      <c r="AA43" s="8">
        <f ca="1">_xll.HLV5r3.Analytics.Miscellaneous.Zero2DF(_xll.HLV5r3.Analytics.Miscellaneous.LinearInterp(Peturbed_QZ,$K43,1,AA$1),ZeroCompFreq,'PDH Calc'!$K43/365)</f>
        <v>1</v>
      </c>
      <c r="AB43" s="8">
        <f ca="1">_xll.HLV5r3.Analytics.Miscellaneous.Zero2DF(_xll.HLV5r3.Analytics.Miscellaneous.LinearInterp(Peturbed_QZ,$K43,1,AB$1),ZeroCompFreq,'PDH Calc'!$K43/365)</f>
        <v>1</v>
      </c>
      <c r="AC43" s="8">
        <f ca="1">_xll.HLV5r3.Analytics.Miscellaneous.Zero2DF(_xll.HLV5r3.Analytics.Miscellaneous.LinearInterp(Peturbed_QZ,$K43,1,AC$1),ZeroCompFreq,'PDH Calc'!$K43/365)</f>
        <v>1</v>
      </c>
      <c r="AD43" s="8">
        <f ca="1">_xll.HLV5r3.Analytics.Miscellaneous.Zero2DF(_xll.HLV5r3.Analytics.Miscellaneous.LinearInterp(Peturbed_QZ,$K43,1,AD$1),ZeroCompFreq,'PDH Calc'!$K43/365)</f>
        <v>1</v>
      </c>
      <c r="AE43" s="8">
        <f ca="1">_xll.HLV5r3.Analytics.Miscellaneous.Zero2DF(_xll.HLV5r3.Analytics.Miscellaneous.LinearInterp(Peturbed_QZ,$K43,1,AE$1),ZeroCompFreq,'PDH Calc'!$K43/365)</f>
        <v>1</v>
      </c>
      <c r="AF43" s="8">
        <f ca="1">_xll.HLV5r3.Analytics.Miscellaneous.Zero2DF(_xll.HLV5r3.Analytics.Miscellaneous.LinearInterp(Peturbed_QZ,$K43,1,AF$1),ZeroCompFreq,'PDH Calc'!$K43/365)</f>
        <v>1</v>
      </c>
      <c r="AG43" s="8">
        <f ca="1">_xll.HLV5r3.Analytics.Miscellaneous.Zero2DF(_xll.HLV5r3.Analytics.Miscellaneous.LinearInterp(Peturbed_QZ,$K43,1,AG$1),ZeroCompFreq,'PDH Calc'!$K43/365)</f>
        <v>1</v>
      </c>
      <c r="AH43" s="8">
        <f ca="1">_xll.HLV5r3.Analytics.Miscellaneous.Zero2DF(_xll.HLV5r3.Analytics.Miscellaneous.LinearInterp(Peturbed_QZ,$K43,1,AH$1),ZeroCompFreq,'PDH Calc'!$K43/365)</f>
        <v>1</v>
      </c>
      <c r="AI43" s="8">
        <f ca="1">_xll.HLV5r3.Analytics.Miscellaneous.Zero2DF(_xll.HLV5r3.Analytics.Miscellaneous.LinearInterp(Peturbed_QZ,$K43,1,AI$1),ZeroCompFreq,'PDH Calc'!$K43/365)</f>
        <v>1</v>
      </c>
      <c r="AJ43" s="8">
        <f ca="1">_xll.HLV5r3.Analytics.Miscellaneous.Zero2DF(_xll.HLV5r3.Analytics.Miscellaneous.LinearInterp(Peturbed_QZ,$K43,1,AJ$1),ZeroCompFreq,'PDH Calc'!$K43/365)</f>
        <v>1</v>
      </c>
      <c r="AK43" s="8">
        <f ca="1">_xll.HLV5r3.Analytics.Miscellaneous.Zero2DF(_xll.HLV5r3.Analytics.Miscellaneous.LinearInterp(Peturbed_QZ,$K43,1,AK$1),ZeroCompFreq,'PDH Calc'!$K43/365)</f>
        <v>1</v>
      </c>
    </row>
    <row r="44" spans="1:37">
      <c r="A44" s="4"/>
      <c r="B44" s="6"/>
      <c r="F44" s="11"/>
      <c r="G44" s="6"/>
      <c r="H44" s="20"/>
      <c r="I44" s="21"/>
      <c r="J44" s="26"/>
      <c r="K44" s="6">
        <f t="shared" ca="1" si="7"/>
        <v>0</v>
      </c>
      <c r="L44" s="8">
        <f ca="1">_xll.HLV5r3.Analytics.Miscellaneous.Zero2DF(_xll.HLV5r3.Analytics.Miscellaneous.LinearInterp(Peturbed_QZ,$K44,1,L$1),ZeroCompFreq,'PDH Calc'!$K44/365)</f>
        <v>1</v>
      </c>
      <c r="M44" s="8">
        <f ca="1">_xll.HLV5r3.Analytics.Miscellaneous.Zero2DF(_xll.HLV5r3.Analytics.Miscellaneous.LinearInterp(Peturbed_QZ,$K44,1,M$1),ZeroCompFreq,'PDH Calc'!$K44/365)</f>
        <v>1</v>
      </c>
      <c r="N44" s="8">
        <f ca="1">_xll.HLV5r3.Analytics.Miscellaneous.Zero2DF(_xll.HLV5r3.Analytics.Miscellaneous.LinearInterp(Peturbed_QZ,$K44,1,N$1),ZeroCompFreq,'PDH Calc'!$K44/365)</f>
        <v>1</v>
      </c>
      <c r="O44" s="8">
        <f ca="1">_xll.HLV5r3.Analytics.Miscellaneous.Zero2DF(_xll.HLV5r3.Analytics.Miscellaneous.LinearInterp(Peturbed_QZ,$K44,1,O$1),ZeroCompFreq,'PDH Calc'!$K44/365)</f>
        <v>1</v>
      </c>
      <c r="P44" s="8">
        <f ca="1">_xll.HLV5r3.Analytics.Miscellaneous.Zero2DF(_xll.HLV5r3.Analytics.Miscellaneous.LinearInterp(Peturbed_QZ,$K44,1,P$1),ZeroCompFreq,'PDH Calc'!$K44/365)</f>
        <v>1</v>
      </c>
      <c r="Q44" s="8">
        <f ca="1">_xll.HLV5r3.Analytics.Miscellaneous.Zero2DF(_xll.HLV5r3.Analytics.Miscellaneous.LinearInterp(Peturbed_QZ,$K44,1,Q$1),ZeroCompFreq,'PDH Calc'!$K44/365)</f>
        <v>1</v>
      </c>
      <c r="R44" s="8">
        <f ca="1">_xll.HLV5r3.Analytics.Miscellaneous.Zero2DF(_xll.HLV5r3.Analytics.Miscellaneous.LinearInterp(Peturbed_QZ,$K44,1,R$1),ZeroCompFreq,'PDH Calc'!$K44/365)</f>
        <v>1</v>
      </c>
      <c r="S44" s="8">
        <f ca="1">_xll.HLV5r3.Analytics.Miscellaneous.Zero2DF(_xll.HLV5r3.Analytics.Miscellaneous.LinearInterp(Peturbed_QZ,$K44,1,S$1),ZeroCompFreq,'PDH Calc'!$K44/365)</f>
        <v>1</v>
      </c>
      <c r="T44" s="8">
        <f ca="1">_xll.HLV5r3.Analytics.Miscellaneous.Zero2DF(_xll.HLV5r3.Analytics.Miscellaneous.LinearInterp(Peturbed_QZ,$K44,1,T$1),ZeroCompFreq,'PDH Calc'!$K44/365)</f>
        <v>1</v>
      </c>
      <c r="U44" s="8">
        <f ca="1">_xll.HLV5r3.Analytics.Miscellaneous.Zero2DF(_xll.HLV5r3.Analytics.Miscellaneous.LinearInterp(Peturbed_QZ,$K44,1,U$1),ZeroCompFreq,'PDH Calc'!$K44/365)</f>
        <v>1</v>
      </c>
      <c r="V44" s="8">
        <f ca="1">_xll.HLV5r3.Analytics.Miscellaneous.Zero2DF(_xll.HLV5r3.Analytics.Miscellaneous.LinearInterp(Peturbed_QZ,$K44,1,V$1),ZeroCompFreq,'PDH Calc'!$K44/365)</f>
        <v>1</v>
      </c>
      <c r="W44" s="8">
        <f ca="1">_xll.HLV5r3.Analytics.Miscellaneous.Zero2DF(_xll.HLV5r3.Analytics.Miscellaneous.LinearInterp(Peturbed_QZ,$K44,1,W$1),ZeroCompFreq,'PDH Calc'!$K44/365)</f>
        <v>1</v>
      </c>
      <c r="X44" s="8">
        <f ca="1">_xll.HLV5r3.Analytics.Miscellaneous.Zero2DF(_xll.HLV5r3.Analytics.Miscellaneous.LinearInterp(Peturbed_QZ,$K44,1,X$1),ZeroCompFreq,'PDH Calc'!$K44/365)</f>
        <v>1</v>
      </c>
      <c r="Y44" s="8">
        <f ca="1">_xll.HLV5r3.Analytics.Miscellaneous.Zero2DF(_xll.HLV5r3.Analytics.Miscellaneous.LinearInterp(Peturbed_QZ,$K44,1,Y$1),ZeroCompFreq,'PDH Calc'!$K44/365)</f>
        <v>1</v>
      </c>
      <c r="Z44" s="8">
        <f ca="1">_xll.HLV5r3.Analytics.Miscellaneous.Zero2DF(_xll.HLV5r3.Analytics.Miscellaneous.LinearInterp(Peturbed_QZ,$K44,1,Z$1),ZeroCompFreq,'PDH Calc'!$K44/365)</f>
        <v>1</v>
      </c>
      <c r="AA44" s="8">
        <f ca="1">_xll.HLV5r3.Analytics.Miscellaneous.Zero2DF(_xll.HLV5r3.Analytics.Miscellaneous.LinearInterp(Peturbed_QZ,$K44,1,AA$1),ZeroCompFreq,'PDH Calc'!$K44/365)</f>
        <v>1</v>
      </c>
      <c r="AB44" s="8">
        <f ca="1">_xll.HLV5r3.Analytics.Miscellaneous.Zero2DF(_xll.HLV5r3.Analytics.Miscellaneous.LinearInterp(Peturbed_QZ,$K44,1,AB$1),ZeroCompFreq,'PDH Calc'!$K44/365)</f>
        <v>1</v>
      </c>
      <c r="AC44" s="8">
        <f ca="1">_xll.HLV5r3.Analytics.Miscellaneous.Zero2DF(_xll.HLV5r3.Analytics.Miscellaneous.LinearInterp(Peturbed_QZ,$K44,1,AC$1),ZeroCompFreq,'PDH Calc'!$K44/365)</f>
        <v>1</v>
      </c>
      <c r="AD44" s="8">
        <f ca="1">_xll.HLV5r3.Analytics.Miscellaneous.Zero2DF(_xll.HLV5r3.Analytics.Miscellaneous.LinearInterp(Peturbed_QZ,$K44,1,AD$1),ZeroCompFreq,'PDH Calc'!$K44/365)</f>
        <v>1</v>
      </c>
      <c r="AE44" s="8">
        <f ca="1">_xll.HLV5r3.Analytics.Miscellaneous.Zero2DF(_xll.HLV5r3.Analytics.Miscellaneous.LinearInterp(Peturbed_QZ,$K44,1,AE$1),ZeroCompFreq,'PDH Calc'!$K44/365)</f>
        <v>1</v>
      </c>
      <c r="AF44" s="8">
        <f ca="1">_xll.HLV5r3.Analytics.Miscellaneous.Zero2DF(_xll.HLV5r3.Analytics.Miscellaneous.LinearInterp(Peturbed_QZ,$K44,1,AF$1),ZeroCompFreq,'PDH Calc'!$K44/365)</f>
        <v>1</v>
      </c>
      <c r="AG44" s="8">
        <f ca="1">_xll.HLV5r3.Analytics.Miscellaneous.Zero2DF(_xll.HLV5r3.Analytics.Miscellaneous.LinearInterp(Peturbed_QZ,$K44,1,AG$1),ZeroCompFreq,'PDH Calc'!$K44/365)</f>
        <v>1</v>
      </c>
      <c r="AH44" s="8">
        <f ca="1">_xll.HLV5r3.Analytics.Miscellaneous.Zero2DF(_xll.HLV5r3.Analytics.Miscellaneous.LinearInterp(Peturbed_QZ,$K44,1,AH$1),ZeroCompFreq,'PDH Calc'!$K44/365)</f>
        <v>1</v>
      </c>
      <c r="AI44" s="8">
        <f ca="1">_xll.HLV5r3.Analytics.Miscellaneous.Zero2DF(_xll.HLV5r3.Analytics.Miscellaneous.LinearInterp(Peturbed_QZ,$K44,1,AI$1),ZeroCompFreq,'PDH Calc'!$K44/365)</f>
        <v>1</v>
      </c>
      <c r="AJ44" s="8">
        <f ca="1">_xll.HLV5r3.Analytics.Miscellaneous.Zero2DF(_xll.HLV5r3.Analytics.Miscellaneous.LinearInterp(Peturbed_QZ,$K44,1,AJ$1),ZeroCompFreq,'PDH Calc'!$K44/365)</f>
        <v>1</v>
      </c>
      <c r="AK44" s="8">
        <f ca="1">_xll.HLV5r3.Analytics.Miscellaneous.Zero2DF(_xll.HLV5r3.Analytics.Miscellaneous.LinearInterp(Peturbed_QZ,$K44,1,AK$1),ZeroCompFreq,'PDH Calc'!$K44/365)</f>
        <v>1</v>
      </c>
    </row>
    <row r="45" spans="1:37">
      <c r="A45" s="4"/>
      <c r="B45" s="6"/>
      <c r="F45" s="11"/>
      <c r="G45" s="6"/>
      <c r="H45" s="20"/>
      <c r="I45" s="21"/>
      <c r="J45" s="26"/>
      <c r="K45" s="6">
        <f t="shared" ca="1" si="7"/>
        <v>0</v>
      </c>
      <c r="L45" s="8">
        <f ca="1">_xll.HLV5r3.Analytics.Miscellaneous.Zero2DF(_xll.HLV5r3.Analytics.Miscellaneous.LinearInterp(Peturbed_QZ,$K45,1,L$1),ZeroCompFreq,'PDH Calc'!$K45/365)</f>
        <v>1</v>
      </c>
      <c r="M45" s="8">
        <f ca="1">_xll.HLV5r3.Analytics.Miscellaneous.Zero2DF(_xll.HLV5r3.Analytics.Miscellaneous.LinearInterp(Peturbed_QZ,$K45,1,M$1),ZeroCompFreq,'PDH Calc'!$K45/365)</f>
        <v>1</v>
      </c>
      <c r="N45" s="8">
        <f ca="1">_xll.HLV5r3.Analytics.Miscellaneous.Zero2DF(_xll.HLV5r3.Analytics.Miscellaneous.LinearInterp(Peturbed_QZ,$K45,1,N$1),ZeroCompFreq,'PDH Calc'!$K45/365)</f>
        <v>1</v>
      </c>
      <c r="O45" s="8">
        <f ca="1">_xll.HLV5r3.Analytics.Miscellaneous.Zero2DF(_xll.HLV5r3.Analytics.Miscellaneous.LinearInterp(Peturbed_QZ,$K45,1,O$1),ZeroCompFreq,'PDH Calc'!$K45/365)</f>
        <v>1</v>
      </c>
      <c r="P45" s="8">
        <f ca="1">_xll.HLV5r3.Analytics.Miscellaneous.Zero2DF(_xll.HLV5r3.Analytics.Miscellaneous.LinearInterp(Peturbed_QZ,$K45,1,P$1),ZeroCompFreq,'PDH Calc'!$K45/365)</f>
        <v>1</v>
      </c>
      <c r="Q45" s="8">
        <f ca="1">_xll.HLV5r3.Analytics.Miscellaneous.Zero2DF(_xll.HLV5r3.Analytics.Miscellaneous.LinearInterp(Peturbed_QZ,$K45,1,Q$1),ZeroCompFreq,'PDH Calc'!$K45/365)</f>
        <v>1</v>
      </c>
      <c r="R45" s="8">
        <f ca="1">_xll.HLV5r3.Analytics.Miscellaneous.Zero2DF(_xll.HLV5r3.Analytics.Miscellaneous.LinearInterp(Peturbed_QZ,$K45,1,R$1),ZeroCompFreq,'PDH Calc'!$K45/365)</f>
        <v>1</v>
      </c>
      <c r="S45" s="8">
        <f ca="1">_xll.HLV5r3.Analytics.Miscellaneous.Zero2DF(_xll.HLV5r3.Analytics.Miscellaneous.LinearInterp(Peturbed_QZ,$K45,1,S$1),ZeroCompFreq,'PDH Calc'!$K45/365)</f>
        <v>1</v>
      </c>
      <c r="T45" s="8">
        <f ca="1">_xll.HLV5r3.Analytics.Miscellaneous.Zero2DF(_xll.HLV5r3.Analytics.Miscellaneous.LinearInterp(Peturbed_QZ,$K45,1,T$1),ZeroCompFreq,'PDH Calc'!$K45/365)</f>
        <v>1</v>
      </c>
      <c r="U45" s="8">
        <f ca="1">_xll.HLV5r3.Analytics.Miscellaneous.Zero2DF(_xll.HLV5r3.Analytics.Miscellaneous.LinearInterp(Peturbed_QZ,$K45,1,U$1),ZeroCompFreq,'PDH Calc'!$K45/365)</f>
        <v>1</v>
      </c>
      <c r="V45" s="8">
        <f ca="1">_xll.HLV5r3.Analytics.Miscellaneous.Zero2DF(_xll.HLV5r3.Analytics.Miscellaneous.LinearInterp(Peturbed_QZ,$K45,1,V$1),ZeroCompFreq,'PDH Calc'!$K45/365)</f>
        <v>1</v>
      </c>
      <c r="W45" s="8">
        <f ca="1">_xll.HLV5r3.Analytics.Miscellaneous.Zero2DF(_xll.HLV5r3.Analytics.Miscellaneous.LinearInterp(Peturbed_QZ,$K45,1,W$1),ZeroCompFreq,'PDH Calc'!$K45/365)</f>
        <v>1</v>
      </c>
      <c r="X45" s="8">
        <f ca="1">_xll.HLV5r3.Analytics.Miscellaneous.Zero2DF(_xll.HLV5r3.Analytics.Miscellaneous.LinearInterp(Peturbed_QZ,$K45,1,X$1),ZeroCompFreq,'PDH Calc'!$K45/365)</f>
        <v>1</v>
      </c>
      <c r="Y45" s="8">
        <f ca="1">_xll.HLV5r3.Analytics.Miscellaneous.Zero2DF(_xll.HLV5r3.Analytics.Miscellaneous.LinearInterp(Peturbed_QZ,$K45,1,Y$1),ZeroCompFreq,'PDH Calc'!$K45/365)</f>
        <v>1</v>
      </c>
      <c r="Z45" s="8">
        <f ca="1">_xll.HLV5r3.Analytics.Miscellaneous.Zero2DF(_xll.HLV5r3.Analytics.Miscellaneous.LinearInterp(Peturbed_QZ,$K45,1,Z$1),ZeroCompFreq,'PDH Calc'!$K45/365)</f>
        <v>1</v>
      </c>
      <c r="AA45" s="8">
        <f ca="1">_xll.HLV5r3.Analytics.Miscellaneous.Zero2DF(_xll.HLV5r3.Analytics.Miscellaneous.LinearInterp(Peturbed_QZ,$K45,1,AA$1),ZeroCompFreq,'PDH Calc'!$K45/365)</f>
        <v>1</v>
      </c>
      <c r="AB45" s="8">
        <f ca="1">_xll.HLV5r3.Analytics.Miscellaneous.Zero2DF(_xll.HLV5r3.Analytics.Miscellaneous.LinearInterp(Peturbed_QZ,$K45,1,AB$1),ZeroCompFreq,'PDH Calc'!$K45/365)</f>
        <v>1</v>
      </c>
      <c r="AC45" s="8">
        <f ca="1">_xll.HLV5r3.Analytics.Miscellaneous.Zero2DF(_xll.HLV5r3.Analytics.Miscellaneous.LinearInterp(Peturbed_QZ,$K45,1,AC$1),ZeroCompFreq,'PDH Calc'!$K45/365)</f>
        <v>1</v>
      </c>
      <c r="AD45" s="8">
        <f ca="1">_xll.HLV5r3.Analytics.Miscellaneous.Zero2DF(_xll.HLV5r3.Analytics.Miscellaneous.LinearInterp(Peturbed_QZ,$K45,1,AD$1),ZeroCompFreq,'PDH Calc'!$K45/365)</f>
        <v>1</v>
      </c>
      <c r="AE45" s="8">
        <f ca="1">_xll.HLV5r3.Analytics.Miscellaneous.Zero2DF(_xll.HLV5r3.Analytics.Miscellaneous.LinearInterp(Peturbed_QZ,$K45,1,AE$1),ZeroCompFreq,'PDH Calc'!$K45/365)</f>
        <v>1</v>
      </c>
      <c r="AF45" s="8">
        <f ca="1">_xll.HLV5r3.Analytics.Miscellaneous.Zero2DF(_xll.HLV5r3.Analytics.Miscellaneous.LinearInterp(Peturbed_QZ,$K45,1,AF$1),ZeroCompFreq,'PDH Calc'!$K45/365)</f>
        <v>1</v>
      </c>
      <c r="AG45" s="8">
        <f ca="1">_xll.HLV5r3.Analytics.Miscellaneous.Zero2DF(_xll.HLV5r3.Analytics.Miscellaneous.LinearInterp(Peturbed_QZ,$K45,1,AG$1),ZeroCompFreq,'PDH Calc'!$K45/365)</f>
        <v>1</v>
      </c>
      <c r="AH45" s="8">
        <f ca="1">_xll.HLV5r3.Analytics.Miscellaneous.Zero2DF(_xll.HLV5r3.Analytics.Miscellaneous.LinearInterp(Peturbed_QZ,$K45,1,AH$1),ZeroCompFreq,'PDH Calc'!$K45/365)</f>
        <v>1</v>
      </c>
      <c r="AI45" s="8">
        <f ca="1">_xll.HLV5r3.Analytics.Miscellaneous.Zero2DF(_xll.HLV5r3.Analytics.Miscellaneous.LinearInterp(Peturbed_QZ,$K45,1,AI$1),ZeroCompFreq,'PDH Calc'!$K45/365)</f>
        <v>1</v>
      </c>
      <c r="AJ45" s="8">
        <f ca="1">_xll.HLV5r3.Analytics.Miscellaneous.Zero2DF(_xll.HLV5r3.Analytics.Miscellaneous.LinearInterp(Peturbed_QZ,$K45,1,AJ$1),ZeroCompFreq,'PDH Calc'!$K45/365)</f>
        <v>1</v>
      </c>
      <c r="AK45" s="8">
        <f ca="1">_xll.HLV5r3.Analytics.Miscellaneous.Zero2DF(_xll.HLV5r3.Analytics.Miscellaneous.LinearInterp(Peturbed_QZ,$K45,1,AK$1),ZeroCompFreq,'PDH Calc'!$K45/365)</f>
        <v>1</v>
      </c>
    </row>
    <row r="46" spans="1:37">
      <c r="A46" s="4"/>
      <c r="B46" s="6"/>
      <c r="F46" s="11"/>
      <c r="G46" s="6"/>
      <c r="H46" s="20"/>
      <c r="I46" s="21"/>
      <c r="J46" s="26"/>
      <c r="K46" s="6">
        <f t="shared" ca="1" si="7"/>
        <v>0</v>
      </c>
      <c r="L46" s="8">
        <f ca="1">_xll.HLV5r3.Analytics.Miscellaneous.Zero2DF(_xll.HLV5r3.Analytics.Miscellaneous.LinearInterp(Peturbed_QZ,$K46,1,L$1),ZeroCompFreq,'PDH Calc'!$K46/365)</f>
        <v>1</v>
      </c>
      <c r="M46" s="8">
        <f ca="1">_xll.HLV5r3.Analytics.Miscellaneous.Zero2DF(_xll.HLV5r3.Analytics.Miscellaneous.LinearInterp(Peturbed_QZ,$K46,1,M$1),ZeroCompFreq,'PDH Calc'!$K46/365)</f>
        <v>1</v>
      </c>
      <c r="N46" s="8">
        <f ca="1">_xll.HLV5r3.Analytics.Miscellaneous.Zero2DF(_xll.HLV5r3.Analytics.Miscellaneous.LinearInterp(Peturbed_QZ,$K46,1,N$1),ZeroCompFreq,'PDH Calc'!$K46/365)</f>
        <v>1</v>
      </c>
      <c r="O46" s="8">
        <f ca="1">_xll.HLV5r3.Analytics.Miscellaneous.Zero2DF(_xll.HLV5r3.Analytics.Miscellaneous.LinearInterp(Peturbed_QZ,$K46,1,O$1),ZeroCompFreq,'PDH Calc'!$K46/365)</f>
        <v>1</v>
      </c>
      <c r="P46" s="8">
        <f ca="1">_xll.HLV5r3.Analytics.Miscellaneous.Zero2DF(_xll.HLV5r3.Analytics.Miscellaneous.LinearInterp(Peturbed_QZ,$K46,1,P$1),ZeroCompFreq,'PDH Calc'!$K46/365)</f>
        <v>1</v>
      </c>
      <c r="Q46" s="8">
        <f ca="1">_xll.HLV5r3.Analytics.Miscellaneous.Zero2DF(_xll.HLV5r3.Analytics.Miscellaneous.LinearInterp(Peturbed_QZ,$K46,1,Q$1),ZeroCompFreq,'PDH Calc'!$K46/365)</f>
        <v>1</v>
      </c>
      <c r="R46" s="8">
        <f ca="1">_xll.HLV5r3.Analytics.Miscellaneous.Zero2DF(_xll.HLV5r3.Analytics.Miscellaneous.LinearInterp(Peturbed_QZ,$K46,1,R$1),ZeroCompFreq,'PDH Calc'!$K46/365)</f>
        <v>1</v>
      </c>
      <c r="S46" s="8">
        <f ca="1">_xll.HLV5r3.Analytics.Miscellaneous.Zero2DF(_xll.HLV5r3.Analytics.Miscellaneous.LinearInterp(Peturbed_QZ,$K46,1,S$1),ZeroCompFreq,'PDH Calc'!$K46/365)</f>
        <v>1</v>
      </c>
      <c r="T46" s="8">
        <f ca="1">_xll.HLV5r3.Analytics.Miscellaneous.Zero2DF(_xll.HLV5r3.Analytics.Miscellaneous.LinearInterp(Peturbed_QZ,$K46,1,T$1),ZeroCompFreq,'PDH Calc'!$K46/365)</f>
        <v>1</v>
      </c>
      <c r="U46" s="8">
        <f ca="1">_xll.HLV5r3.Analytics.Miscellaneous.Zero2DF(_xll.HLV5r3.Analytics.Miscellaneous.LinearInterp(Peturbed_QZ,$K46,1,U$1),ZeroCompFreq,'PDH Calc'!$K46/365)</f>
        <v>1</v>
      </c>
      <c r="V46" s="8">
        <f ca="1">_xll.HLV5r3.Analytics.Miscellaneous.Zero2DF(_xll.HLV5r3.Analytics.Miscellaneous.LinearInterp(Peturbed_QZ,$K46,1,V$1),ZeroCompFreq,'PDH Calc'!$K46/365)</f>
        <v>1</v>
      </c>
      <c r="W46" s="8">
        <f ca="1">_xll.HLV5r3.Analytics.Miscellaneous.Zero2DF(_xll.HLV5r3.Analytics.Miscellaneous.LinearInterp(Peturbed_QZ,$K46,1,W$1),ZeroCompFreq,'PDH Calc'!$K46/365)</f>
        <v>1</v>
      </c>
      <c r="X46" s="8">
        <f ca="1">_xll.HLV5r3.Analytics.Miscellaneous.Zero2DF(_xll.HLV5r3.Analytics.Miscellaneous.LinearInterp(Peturbed_QZ,$K46,1,X$1),ZeroCompFreq,'PDH Calc'!$K46/365)</f>
        <v>1</v>
      </c>
      <c r="Y46" s="8">
        <f ca="1">_xll.HLV5r3.Analytics.Miscellaneous.Zero2DF(_xll.HLV5r3.Analytics.Miscellaneous.LinearInterp(Peturbed_QZ,$K46,1,Y$1),ZeroCompFreq,'PDH Calc'!$K46/365)</f>
        <v>1</v>
      </c>
      <c r="Z46" s="8">
        <f ca="1">_xll.HLV5r3.Analytics.Miscellaneous.Zero2DF(_xll.HLV5r3.Analytics.Miscellaneous.LinearInterp(Peturbed_QZ,$K46,1,Z$1),ZeroCompFreq,'PDH Calc'!$K46/365)</f>
        <v>1</v>
      </c>
      <c r="AA46" s="8">
        <f ca="1">_xll.HLV5r3.Analytics.Miscellaneous.Zero2DF(_xll.HLV5r3.Analytics.Miscellaneous.LinearInterp(Peturbed_QZ,$K46,1,AA$1),ZeroCompFreq,'PDH Calc'!$K46/365)</f>
        <v>1</v>
      </c>
      <c r="AB46" s="8">
        <f ca="1">_xll.HLV5r3.Analytics.Miscellaneous.Zero2DF(_xll.HLV5r3.Analytics.Miscellaneous.LinearInterp(Peturbed_QZ,$K46,1,AB$1),ZeroCompFreq,'PDH Calc'!$K46/365)</f>
        <v>1</v>
      </c>
      <c r="AC46" s="8">
        <f ca="1">_xll.HLV5r3.Analytics.Miscellaneous.Zero2DF(_xll.HLV5r3.Analytics.Miscellaneous.LinearInterp(Peturbed_QZ,$K46,1,AC$1),ZeroCompFreq,'PDH Calc'!$K46/365)</f>
        <v>1</v>
      </c>
      <c r="AD46" s="8">
        <f ca="1">_xll.HLV5r3.Analytics.Miscellaneous.Zero2DF(_xll.HLV5r3.Analytics.Miscellaneous.LinearInterp(Peturbed_QZ,$K46,1,AD$1),ZeroCompFreq,'PDH Calc'!$K46/365)</f>
        <v>1</v>
      </c>
      <c r="AE46" s="8">
        <f ca="1">_xll.HLV5r3.Analytics.Miscellaneous.Zero2DF(_xll.HLV5r3.Analytics.Miscellaneous.LinearInterp(Peturbed_QZ,$K46,1,AE$1),ZeroCompFreq,'PDH Calc'!$K46/365)</f>
        <v>1</v>
      </c>
      <c r="AF46" s="8">
        <f ca="1">_xll.HLV5r3.Analytics.Miscellaneous.Zero2DF(_xll.HLV5r3.Analytics.Miscellaneous.LinearInterp(Peturbed_QZ,$K46,1,AF$1),ZeroCompFreq,'PDH Calc'!$K46/365)</f>
        <v>1</v>
      </c>
      <c r="AG46" s="8">
        <f ca="1">_xll.HLV5r3.Analytics.Miscellaneous.Zero2DF(_xll.HLV5r3.Analytics.Miscellaneous.LinearInterp(Peturbed_QZ,$K46,1,AG$1),ZeroCompFreq,'PDH Calc'!$K46/365)</f>
        <v>1</v>
      </c>
      <c r="AH46" s="8">
        <f ca="1">_xll.HLV5r3.Analytics.Miscellaneous.Zero2DF(_xll.HLV5r3.Analytics.Miscellaneous.LinearInterp(Peturbed_QZ,$K46,1,AH$1),ZeroCompFreq,'PDH Calc'!$K46/365)</f>
        <v>1</v>
      </c>
      <c r="AI46" s="8">
        <f ca="1">_xll.HLV5r3.Analytics.Miscellaneous.Zero2DF(_xll.HLV5r3.Analytics.Miscellaneous.LinearInterp(Peturbed_QZ,$K46,1,AI$1),ZeroCompFreq,'PDH Calc'!$K46/365)</f>
        <v>1</v>
      </c>
      <c r="AJ46" s="8">
        <f ca="1">_xll.HLV5r3.Analytics.Miscellaneous.Zero2DF(_xll.HLV5r3.Analytics.Miscellaneous.LinearInterp(Peturbed_QZ,$K46,1,AJ$1),ZeroCompFreq,'PDH Calc'!$K46/365)</f>
        <v>1</v>
      </c>
      <c r="AK46" s="8">
        <f ca="1">_xll.HLV5r3.Analytics.Miscellaneous.Zero2DF(_xll.HLV5r3.Analytics.Miscellaneous.LinearInterp(Peturbed_QZ,$K46,1,AK$1),ZeroCompFreq,'PDH Calc'!$K46/365)</f>
        <v>1</v>
      </c>
    </row>
    <row r="47" spans="1:37">
      <c r="A47" s="4"/>
      <c r="B47" s="6"/>
      <c r="F47" s="11"/>
      <c r="G47" s="6"/>
      <c r="H47" s="20"/>
      <c r="I47" s="21"/>
      <c r="J47" s="26"/>
      <c r="K47" s="6">
        <f t="shared" ca="1" si="7"/>
        <v>0</v>
      </c>
      <c r="L47" s="8">
        <f ca="1">_xll.HLV5r3.Analytics.Miscellaneous.Zero2DF(_xll.HLV5r3.Analytics.Miscellaneous.LinearInterp(Peturbed_QZ,$K47,1,L$1),ZeroCompFreq,'PDH Calc'!$K47/365)</f>
        <v>1</v>
      </c>
      <c r="M47" s="8">
        <f ca="1">_xll.HLV5r3.Analytics.Miscellaneous.Zero2DF(_xll.HLV5r3.Analytics.Miscellaneous.LinearInterp(Peturbed_QZ,$K47,1,M$1),ZeroCompFreq,'PDH Calc'!$K47/365)</f>
        <v>1</v>
      </c>
      <c r="N47" s="8">
        <f ca="1">_xll.HLV5r3.Analytics.Miscellaneous.Zero2DF(_xll.HLV5r3.Analytics.Miscellaneous.LinearInterp(Peturbed_QZ,$K47,1,N$1),ZeroCompFreq,'PDH Calc'!$K47/365)</f>
        <v>1</v>
      </c>
      <c r="O47" s="8">
        <f ca="1">_xll.HLV5r3.Analytics.Miscellaneous.Zero2DF(_xll.HLV5r3.Analytics.Miscellaneous.LinearInterp(Peturbed_QZ,$K47,1,O$1),ZeroCompFreq,'PDH Calc'!$K47/365)</f>
        <v>1</v>
      </c>
      <c r="P47" s="8">
        <f ca="1">_xll.HLV5r3.Analytics.Miscellaneous.Zero2DF(_xll.HLV5r3.Analytics.Miscellaneous.LinearInterp(Peturbed_QZ,$K47,1,P$1),ZeroCompFreq,'PDH Calc'!$K47/365)</f>
        <v>1</v>
      </c>
      <c r="Q47" s="8">
        <f ca="1">_xll.HLV5r3.Analytics.Miscellaneous.Zero2DF(_xll.HLV5r3.Analytics.Miscellaneous.LinearInterp(Peturbed_QZ,$K47,1,Q$1),ZeroCompFreq,'PDH Calc'!$K47/365)</f>
        <v>1</v>
      </c>
      <c r="R47" s="8">
        <f ca="1">_xll.HLV5r3.Analytics.Miscellaneous.Zero2DF(_xll.HLV5r3.Analytics.Miscellaneous.LinearInterp(Peturbed_QZ,$K47,1,R$1),ZeroCompFreq,'PDH Calc'!$K47/365)</f>
        <v>1</v>
      </c>
      <c r="S47" s="8">
        <f ca="1">_xll.HLV5r3.Analytics.Miscellaneous.Zero2DF(_xll.HLV5r3.Analytics.Miscellaneous.LinearInterp(Peturbed_QZ,$K47,1,S$1),ZeroCompFreq,'PDH Calc'!$K47/365)</f>
        <v>1</v>
      </c>
      <c r="T47" s="8">
        <f ca="1">_xll.HLV5r3.Analytics.Miscellaneous.Zero2DF(_xll.HLV5r3.Analytics.Miscellaneous.LinearInterp(Peturbed_QZ,$K47,1,T$1),ZeroCompFreq,'PDH Calc'!$K47/365)</f>
        <v>1</v>
      </c>
      <c r="U47" s="8">
        <f ca="1">_xll.HLV5r3.Analytics.Miscellaneous.Zero2DF(_xll.HLV5r3.Analytics.Miscellaneous.LinearInterp(Peturbed_QZ,$K47,1,U$1),ZeroCompFreq,'PDH Calc'!$K47/365)</f>
        <v>1</v>
      </c>
      <c r="V47" s="8">
        <f ca="1">_xll.HLV5r3.Analytics.Miscellaneous.Zero2DF(_xll.HLV5r3.Analytics.Miscellaneous.LinearInterp(Peturbed_QZ,$K47,1,V$1),ZeroCompFreq,'PDH Calc'!$K47/365)</f>
        <v>1</v>
      </c>
      <c r="W47" s="8">
        <f ca="1">_xll.HLV5r3.Analytics.Miscellaneous.Zero2DF(_xll.HLV5r3.Analytics.Miscellaneous.LinearInterp(Peturbed_QZ,$K47,1,W$1),ZeroCompFreq,'PDH Calc'!$K47/365)</f>
        <v>1</v>
      </c>
      <c r="X47" s="8">
        <f ca="1">_xll.HLV5r3.Analytics.Miscellaneous.Zero2DF(_xll.HLV5r3.Analytics.Miscellaneous.LinearInterp(Peturbed_QZ,$K47,1,X$1),ZeroCompFreq,'PDH Calc'!$K47/365)</f>
        <v>1</v>
      </c>
      <c r="Y47" s="8">
        <f ca="1">_xll.HLV5r3.Analytics.Miscellaneous.Zero2DF(_xll.HLV5r3.Analytics.Miscellaneous.LinearInterp(Peturbed_QZ,$K47,1,Y$1),ZeroCompFreq,'PDH Calc'!$K47/365)</f>
        <v>1</v>
      </c>
      <c r="Z47" s="8">
        <f ca="1">_xll.HLV5r3.Analytics.Miscellaneous.Zero2DF(_xll.HLV5r3.Analytics.Miscellaneous.LinearInterp(Peturbed_QZ,$K47,1,Z$1),ZeroCompFreq,'PDH Calc'!$K47/365)</f>
        <v>1</v>
      </c>
      <c r="AA47" s="8">
        <f ca="1">_xll.HLV5r3.Analytics.Miscellaneous.Zero2DF(_xll.HLV5r3.Analytics.Miscellaneous.LinearInterp(Peturbed_QZ,$K47,1,AA$1),ZeroCompFreq,'PDH Calc'!$K47/365)</f>
        <v>1</v>
      </c>
      <c r="AB47" s="8">
        <f ca="1">_xll.HLV5r3.Analytics.Miscellaneous.Zero2DF(_xll.HLV5r3.Analytics.Miscellaneous.LinearInterp(Peturbed_QZ,$K47,1,AB$1),ZeroCompFreq,'PDH Calc'!$K47/365)</f>
        <v>1</v>
      </c>
      <c r="AC47" s="8">
        <f ca="1">_xll.HLV5r3.Analytics.Miscellaneous.Zero2DF(_xll.HLV5r3.Analytics.Miscellaneous.LinearInterp(Peturbed_QZ,$K47,1,AC$1),ZeroCompFreq,'PDH Calc'!$K47/365)</f>
        <v>1</v>
      </c>
      <c r="AD47" s="8">
        <f ca="1">_xll.HLV5r3.Analytics.Miscellaneous.Zero2DF(_xll.HLV5r3.Analytics.Miscellaneous.LinearInterp(Peturbed_QZ,$K47,1,AD$1),ZeroCompFreq,'PDH Calc'!$K47/365)</f>
        <v>1</v>
      </c>
      <c r="AE47" s="8">
        <f ca="1">_xll.HLV5r3.Analytics.Miscellaneous.Zero2DF(_xll.HLV5r3.Analytics.Miscellaneous.LinearInterp(Peturbed_QZ,$K47,1,AE$1),ZeroCompFreq,'PDH Calc'!$K47/365)</f>
        <v>1</v>
      </c>
      <c r="AF47" s="8">
        <f ca="1">_xll.HLV5r3.Analytics.Miscellaneous.Zero2DF(_xll.HLV5r3.Analytics.Miscellaneous.LinearInterp(Peturbed_QZ,$K47,1,AF$1),ZeroCompFreq,'PDH Calc'!$K47/365)</f>
        <v>1</v>
      </c>
      <c r="AG47" s="8">
        <f ca="1">_xll.HLV5r3.Analytics.Miscellaneous.Zero2DF(_xll.HLV5r3.Analytics.Miscellaneous.LinearInterp(Peturbed_QZ,$K47,1,AG$1),ZeroCompFreq,'PDH Calc'!$K47/365)</f>
        <v>1</v>
      </c>
      <c r="AH47" s="8">
        <f ca="1">_xll.HLV5r3.Analytics.Miscellaneous.Zero2DF(_xll.HLV5r3.Analytics.Miscellaneous.LinearInterp(Peturbed_QZ,$K47,1,AH$1),ZeroCompFreq,'PDH Calc'!$K47/365)</f>
        <v>1</v>
      </c>
      <c r="AI47" s="8">
        <f ca="1">_xll.HLV5r3.Analytics.Miscellaneous.Zero2DF(_xll.HLV5r3.Analytics.Miscellaneous.LinearInterp(Peturbed_QZ,$K47,1,AI$1),ZeroCompFreq,'PDH Calc'!$K47/365)</f>
        <v>1</v>
      </c>
      <c r="AJ47" s="8">
        <f ca="1">_xll.HLV5r3.Analytics.Miscellaneous.Zero2DF(_xll.HLV5r3.Analytics.Miscellaneous.LinearInterp(Peturbed_QZ,$K47,1,AJ$1),ZeroCompFreq,'PDH Calc'!$K47/365)</f>
        <v>1</v>
      </c>
      <c r="AK47" s="8">
        <f ca="1">_xll.HLV5r3.Analytics.Miscellaneous.Zero2DF(_xll.HLV5r3.Analytics.Miscellaneous.LinearInterp(Peturbed_QZ,$K47,1,AK$1),ZeroCompFreq,'PDH Calc'!$K47/365)</f>
        <v>1</v>
      </c>
    </row>
    <row r="48" spans="1:37">
      <c r="A48" s="4"/>
      <c r="B48" s="6"/>
      <c r="F48" s="11"/>
      <c r="G48" s="6"/>
      <c r="H48" s="20"/>
      <c r="I48" s="21"/>
      <c r="J48" s="26"/>
      <c r="K48" s="6">
        <f t="shared" ca="1" si="7"/>
        <v>0</v>
      </c>
      <c r="L48" s="8">
        <f ca="1">_xll.HLV5r3.Analytics.Miscellaneous.Zero2DF(_xll.HLV5r3.Analytics.Miscellaneous.LinearInterp(Peturbed_QZ,$K48,1,L$1),ZeroCompFreq,'PDH Calc'!$K48/365)</f>
        <v>1</v>
      </c>
      <c r="M48" s="8">
        <f ca="1">_xll.HLV5r3.Analytics.Miscellaneous.Zero2DF(_xll.HLV5r3.Analytics.Miscellaneous.LinearInterp(Peturbed_QZ,$K48,1,M$1),ZeroCompFreq,'PDH Calc'!$K48/365)</f>
        <v>1</v>
      </c>
      <c r="N48" s="8">
        <f ca="1">_xll.HLV5r3.Analytics.Miscellaneous.Zero2DF(_xll.HLV5r3.Analytics.Miscellaneous.LinearInterp(Peturbed_QZ,$K48,1,N$1),ZeroCompFreq,'PDH Calc'!$K48/365)</f>
        <v>1</v>
      </c>
      <c r="O48" s="8">
        <f ca="1">_xll.HLV5r3.Analytics.Miscellaneous.Zero2DF(_xll.HLV5r3.Analytics.Miscellaneous.LinearInterp(Peturbed_QZ,$K48,1,O$1),ZeroCompFreq,'PDH Calc'!$K48/365)</f>
        <v>1</v>
      </c>
      <c r="P48" s="8">
        <f ca="1">_xll.HLV5r3.Analytics.Miscellaneous.Zero2DF(_xll.HLV5r3.Analytics.Miscellaneous.LinearInterp(Peturbed_QZ,$K48,1,P$1),ZeroCompFreq,'PDH Calc'!$K48/365)</f>
        <v>1</v>
      </c>
      <c r="Q48" s="8">
        <f ca="1">_xll.HLV5r3.Analytics.Miscellaneous.Zero2DF(_xll.HLV5r3.Analytics.Miscellaneous.LinearInterp(Peturbed_QZ,$K48,1,Q$1),ZeroCompFreq,'PDH Calc'!$K48/365)</f>
        <v>1</v>
      </c>
      <c r="R48" s="8">
        <f ca="1">_xll.HLV5r3.Analytics.Miscellaneous.Zero2DF(_xll.HLV5r3.Analytics.Miscellaneous.LinearInterp(Peturbed_QZ,$K48,1,R$1),ZeroCompFreq,'PDH Calc'!$K48/365)</f>
        <v>1</v>
      </c>
      <c r="S48" s="8">
        <f ca="1">_xll.HLV5r3.Analytics.Miscellaneous.Zero2DF(_xll.HLV5r3.Analytics.Miscellaneous.LinearInterp(Peturbed_QZ,$K48,1,S$1),ZeroCompFreq,'PDH Calc'!$K48/365)</f>
        <v>1</v>
      </c>
      <c r="T48" s="8">
        <f ca="1">_xll.HLV5r3.Analytics.Miscellaneous.Zero2DF(_xll.HLV5r3.Analytics.Miscellaneous.LinearInterp(Peturbed_QZ,$K48,1,T$1),ZeroCompFreq,'PDH Calc'!$K48/365)</f>
        <v>1</v>
      </c>
      <c r="U48" s="8">
        <f ca="1">_xll.HLV5r3.Analytics.Miscellaneous.Zero2DF(_xll.HLV5r3.Analytics.Miscellaneous.LinearInterp(Peturbed_QZ,$K48,1,U$1),ZeroCompFreq,'PDH Calc'!$K48/365)</f>
        <v>1</v>
      </c>
      <c r="V48" s="8">
        <f ca="1">_xll.HLV5r3.Analytics.Miscellaneous.Zero2DF(_xll.HLV5r3.Analytics.Miscellaneous.LinearInterp(Peturbed_QZ,$K48,1,V$1),ZeroCompFreq,'PDH Calc'!$K48/365)</f>
        <v>1</v>
      </c>
      <c r="W48" s="8">
        <f ca="1">_xll.HLV5r3.Analytics.Miscellaneous.Zero2DF(_xll.HLV5r3.Analytics.Miscellaneous.LinearInterp(Peturbed_QZ,$K48,1,W$1),ZeroCompFreq,'PDH Calc'!$K48/365)</f>
        <v>1</v>
      </c>
      <c r="X48" s="8">
        <f ca="1">_xll.HLV5r3.Analytics.Miscellaneous.Zero2DF(_xll.HLV5r3.Analytics.Miscellaneous.LinearInterp(Peturbed_QZ,$K48,1,X$1),ZeroCompFreq,'PDH Calc'!$K48/365)</f>
        <v>1</v>
      </c>
      <c r="Y48" s="8">
        <f ca="1">_xll.HLV5r3.Analytics.Miscellaneous.Zero2DF(_xll.HLV5r3.Analytics.Miscellaneous.LinearInterp(Peturbed_QZ,$K48,1,Y$1),ZeroCompFreq,'PDH Calc'!$K48/365)</f>
        <v>1</v>
      </c>
      <c r="Z48" s="8">
        <f ca="1">_xll.HLV5r3.Analytics.Miscellaneous.Zero2DF(_xll.HLV5r3.Analytics.Miscellaneous.LinearInterp(Peturbed_QZ,$K48,1,Z$1),ZeroCompFreq,'PDH Calc'!$K48/365)</f>
        <v>1</v>
      </c>
      <c r="AA48" s="8">
        <f ca="1">_xll.HLV5r3.Analytics.Miscellaneous.Zero2DF(_xll.HLV5r3.Analytics.Miscellaneous.LinearInterp(Peturbed_QZ,$K48,1,AA$1),ZeroCompFreq,'PDH Calc'!$K48/365)</f>
        <v>1</v>
      </c>
      <c r="AB48" s="8">
        <f ca="1">_xll.HLV5r3.Analytics.Miscellaneous.Zero2DF(_xll.HLV5r3.Analytics.Miscellaneous.LinearInterp(Peturbed_QZ,$K48,1,AB$1),ZeroCompFreq,'PDH Calc'!$K48/365)</f>
        <v>1</v>
      </c>
      <c r="AC48" s="8">
        <f ca="1">_xll.HLV5r3.Analytics.Miscellaneous.Zero2DF(_xll.HLV5r3.Analytics.Miscellaneous.LinearInterp(Peturbed_QZ,$K48,1,AC$1),ZeroCompFreq,'PDH Calc'!$K48/365)</f>
        <v>1</v>
      </c>
      <c r="AD48" s="8">
        <f ca="1">_xll.HLV5r3.Analytics.Miscellaneous.Zero2DF(_xll.HLV5r3.Analytics.Miscellaneous.LinearInterp(Peturbed_QZ,$K48,1,AD$1),ZeroCompFreq,'PDH Calc'!$K48/365)</f>
        <v>1</v>
      </c>
      <c r="AE48" s="8">
        <f ca="1">_xll.HLV5r3.Analytics.Miscellaneous.Zero2DF(_xll.HLV5r3.Analytics.Miscellaneous.LinearInterp(Peturbed_QZ,$K48,1,AE$1),ZeroCompFreq,'PDH Calc'!$K48/365)</f>
        <v>1</v>
      </c>
      <c r="AF48" s="8">
        <f ca="1">_xll.HLV5r3.Analytics.Miscellaneous.Zero2DF(_xll.HLV5r3.Analytics.Miscellaneous.LinearInterp(Peturbed_QZ,$K48,1,AF$1),ZeroCompFreq,'PDH Calc'!$K48/365)</f>
        <v>1</v>
      </c>
      <c r="AG48" s="8">
        <f ca="1">_xll.HLV5r3.Analytics.Miscellaneous.Zero2DF(_xll.HLV5r3.Analytics.Miscellaneous.LinearInterp(Peturbed_QZ,$K48,1,AG$1),ZeroCompFreq,'PDH Calc'!$K48/365)</f>
        <v>1</v>
      </c>
      <c r="AH48" s="8">
        <f ca="1">_xll.HLV5r3.Analytics.Miscellaneous.Zero2DF(_xll.HLV5r3.Analytics.Miscellaneous.LinearInterp(Peturbed_QZ,$K48,1,AH$1),ZeroCompFreq,'PDH Calc'!$K48/365)</f>
        <v>1</v>
      </c>
      <c r="AI48" s="8">
        <f ca="1">_xll.HLV5r3.Analytics.Miscellaneous.Zero2DF(_xll.HLV5r3.Analytics.Miscellaneous.LinearInterp(Peturbed_QZ,$K48,1,AI$1),ZeroCompFreq,'PDH Calc'!$K48/365)</f>
        <v>1</v>
      </c>
      <c r="AJ48" s="8">
        <f ca="1">_xll.HLV5r3.Analytics.Miscellaneous.Zero2DF(_xll.HLV5r3.Analytics.Miscellaneous.LinearInterp(Peturbed_QZ,$K48,1,AJ$1),ZeroCompFreq,'PDH Calc'!$K48/365)</f>
        <v>1</v>
      </c>
      <c r="AK48" s="8">
        <f ca="1">_xll.HLV5r3.Analytics.Miscellaneous.Zero2DF(_xll.HLV5r3.Analytics.Miscellaneous.LinearInterp(Peturbed_QZ,$K48,1,AK$1),ZeroCompFreq,'PDH Calc'!$K48/365)</f>
        <v>1</v>
      </c>
    </row>
    <row r="49" spans="1:37">
      <c r="A49" s="4"/>
      <c r="B49" s="6"/>
      <c r="F49" s="11"/>
      <c r="G49" s="6"/>
      <c r="H49" s="20"/>
      <c r="I49" s="21"/>
      <c r="J49" s="26"/>
      <c r="K49" s="6">
        <f t="shared" ca="1" si="7"/>
        <v>0</v>
      </c>
      <c r="L49" s="8">
        <f ca="1">_xll.HLV5r3.Analytics.Miscellaneous.Zero2DF(_xll.HLV5r3.Analytics.Miscellaneous.LinearInterp(Peturbed_QZ,$K49,1,L$1),ZeroCompFreq,'PDH Calc'!$K49/365)</f>
        <v>1</v>
      </c>
      <c r="M49" s="8">
        <f ca="1">_xll.HLV5r3.Analytics.Miscellaneous.Zero2DF(_xll.HLV5r3.Analytics.Miscellaneous.LinearInterp(Peturbed_QZ,$K49,1,M$1),ZeroCompFreq,'PDH Calc'!$K49/365)</f>
        <v>1</v>
      </c>
      <c r="N49" s="8">
        <f ca="1">_xll.HLV5r3.Analytics.Miscellaneous.Zero2DF(_xll.HLV5r3.Analytics.Miscellaneous.LinearInterp(Peturbed_QZ,$K49,1,N$1),ZeroCompFreq,'PDH Calc'!$K49/365)</f>
        <v>1</v>
      </c>
      <c r="O49" s="8">
        <f ca="1">_xll.HLV5r3.Analytics.Miscellaneous.Zero2DF(_xll.HLV5r3.Analytics.Miscellaneous.LinearInterp(Peturbed_QZ,$K49,1,O$1),ZeroCompFreq,'PDH Calc'!$K49/365)</f>
        <v>1</v>
      </c>
      <c r="P49" s="8">
        <f ca="1">_xll.HLV5r3.Analytics.Miscellaneous.Zero2DF(_xll.HLV5r3.Analytics.Miscellaneous.LinearInterp(Peturbed_QZ,$K49,1,P$1),ZeroCompFreq,'PDH Calc'!$K49/365)</f>
        <v>1</v>
      </c>
      <c r="Q49" s="8">
        <f ca="1">_xll.HLV5r3.Analytics.Miscellaneous.Zero2DF(_xll.HLV5r3.Analytics.Miscellaneous.LinearInterp(Peturbed_QZ,$K49,1,Q$1),ZeroCompFreq,'PDH Calc'!$K49/365)</f>
        <v>1</v>
      </c>
      <c r="R49" s="8">
        <f ca="1">_xll.HLV5r3.Analytics.Miscellaneous.Zero2DF(_xll.HLV5r3.Analytics.Miscellaneous.LinearInterp(Peturbed_QZ,$K49,1,R$1),ZeroCompFreq,'PDH Calc'!$K49/365)</f>
        <v>1</v>
      </c>
      <c r="S49" s="8">
        <f ca="1">_xll.HLV5r3.Analytics.Miscellaneous.Zero2DF(_xll.HLV5r3.Analytics.Miscellaneous.LinearInterp(Peturbed_QZ,$K49,1,S$1),ZeroCompFreq,'PDH Calc'!$K49/365)</f>
        <v>1</v>
      </c>
      <c r="T49" s="8">
        <f ca="1">_xll.HLV5r3.Analytics.Miscellaneous.Zero2DF(_xll.HLV5r3.Analytics.Miscellaneous.LinearInterp(Peturbed_QZ,$K49,1,T$1),ZeroCompFreq,'PDH Calc'!$K49/365)</f>
        <v>1</v>
      </c>
      <c r="U49" s="8">
        <f ca="1">_xll.HLV5r3.Analytics.Miscellaneous.Zero2DF(_xll.HLV5r3.Analytics.Miscellaneous.LinearInterp(Peturbed_QZ,$K49,1,U$1),ZeroCompFreq,'PDH Calc'!$K49/365)</f>
        <v>1</v>
      </c>
      <c r="V49" s="8">
        <f ca="1">_xll.HLV5r3.Analytics.Miscellaneous.Zero2DF(_xll.HLV5r3.Analytics.Miscellaneous.LinearInterp(Peturbed_QZ,$K49,1,V$1),ZeroCompFreq,'PDH Calc'!$K49/365)</f>
        <v>1</v>
      </c>
      <c r="W49" s="8">
        <f ca="1">_xll.HLV5r3.Analytics.Miscellaneous.Zero2DF(_xll.HLV5r3.Analytics.Miscellaneous.LinearInterp(Peturbed_QZ,$K49,1,W$1),ZeroCompFreq,'PDH Calc'!$K49/365)</f>
        <v>1</v>
      </c>
      <c r="X49" s="8">
        <f ca="1">_xll.HLV5r3.Analytics.Miscellaneous.Zero2DF(_xll.HLV5r3.Analytics.Miscellaneous.LinearInterp(Peturbed_QZ,$K49,1,X$1),ZeroCompFreq,'PDH Calc'!$K49/365)</f>
        <v>1</v>
      </c>
      <c r="Y49" s="8">
        <f ca="1">_xll.HLV5r3.Analytics.Miscellaneous.Zero2DF(_xll.HLV5r3.Analytics.Miscellaneous.LinearInterp(Peturbed_QZ,$K49,1,Y$1),ZeroCompFreq,'PDH Calc'!$K49/365)</f>
        <v>1</v>
      </c>
      <c r="Z49" s="8">
        <f ca="1">_xll.HLV5r3.Analytics.Miscellaneous.Zero2DF(_xll.HLV5r3.Analytics.Miscellaneous.LinearInterp(Peturbed_QZ,$K49,1,Z$1),ZeroCompFreq,'PDH Calc'!$K49/365)</f>
        <v>1</v>
      </c>
      <c r="AA49" s="8">
        <f ca="1">_xll.HLV5r3.Analytics.Miscellaneous.Zero2DF(_xll.HLV5r3.Analytics.Miscellaneous.LinearInterp(Peturbed_QZ,$K49,1,AA$1),ZeroCompFreq,'PDH Calc'!$K49/365)</f>
        <v>1</v>
      </c>
      <c r="AB49" s="8">
        <f ca="1">_xll.HLV5r3.Analytics.Miscellaneous.Zero2DF(_xll.HLV5r3.Analytics.Miscellaneous.LinearInterp(Peturbed_QZ,$K49,1,AB$1),ZeroCompFreq,'PDH Calc'!$K49/365)</f>
        <v>1</v>
      </c>
      <c r="AC49" s="8">
        <f ca="1">_xll.HLV5r3.Analytics.Miscellaneous.Zero2DF(_xll.HLV5r3.Analytics.Miscellaneous.LinearInterp(Peturbed_QZ,$K49,1,AC$1),ZeroCompFreq,'PDH Calc'!$K49/365)</f>
        <v>1</v>
      </c>
      <c r="AD49" s="8">
        <f ca="1">_xll.HLV5r3.Analytics.Miscellaneous.Zero2DF(_xll.HLV5r3.Analytics.Miscellaneous.LinearInterp(Peturbed_QZ,$K49,1,AD$1),ZeroCompFreq,'PDH Calc'!$K49/365)</f>
        <v>1</v>
      </c>
      <c r="AE49" s="8">
        <f ca="1">_xll.HLV5r3.Analytics.Miscellaneous.Zero2DF(_xll.HLV5r3.Analytics.Miscellaneous.LinearInterp(Peturbed_QZ,$K49,1,AE$1),ZeroCompFreq,'PDH Calc'!$K49/365)</f>
        <v>1</v>
      </c>
      <c r="AF49" s="8">
        <f ca="1">_xll.HLV5r3.Analytics.Miscellaneous.Zero2DF(_xll.HLV5r3.Analytics.Miscellaneous.LinearInterp(Peturbed_QZ,$K49,1,AF$1),ZeroCompFreq,'PDH Calc'!$K49/365)</f>
        <v>1</v>
      </c>
      <c r="AG49" s="8">
        <f ca="1">_xll.HLV5r3.Analytics.Miscellaneous.Zero2DF(_xll.HLV5r3.Analytics.Miscellaneous.LinearInterp(Peturbed_QZ,$K49,1,AG$1),ZeroCompFreq,'PDH Calc'!$K49/365)</f>
        <v>1</v>
      </c>
      <c r="AH49" s="8">
        <f ca="1">_xll.HLV5r3.Analytics.Miscellaneous.Zero2DF(_xll.HLV5r3.Analytics.Miscellaneous.LinearInterp(Peturbed_QZ,$K49,1,AH$1),ZeroCompFreq,'PDH Calc'!$K49/365)</f>
        <v>1</v>
      </c>
      <c r="AI49" s="8">
        <f ca="1">_xll.HLV5r3.Analytics.Miscellaneous.Zero2DF(_xll.HLV5r3.Analytics.Miscellaneous.LinearInterp(Peturbed_QZ,$K49,1,AI$1),ZeroCompFreq,'PDH Calc'!$K49/365)</f>
        <v>1</v>
      </c>
      <c r="AJ49" s="8">
        <f ca="1">_xll.HLV5r3.Analytics.Miscellaneous.Zero2DF(_xll.HLV5r3.Analytics.Miscellaneous.LinearInterp(Peturbed_QZ,$K49,1,AJ$1),ZeroCompFreq,'PDH Calc'!$K49/365)</f>
        <v>1</v>
      </c>
      <c r="AK49" s="8">
        <f ca="1">_xll.HLV5r3.Analytics.Miscellaneous.Zero2DF(_xll.HLV5r3.Analytics.Miscellaneous.LinearInterp(Peturbed_QZ,$K49,1,AK$1),ZeroCompFreq,'PDH Calc'!$K49/365)</f>
        <v>1</v>
      </c>
    </row>
    <row r="50" spans="1:37">
      <c r="A50" s="4"/>
      <c r="B50" s="6"/>
      <c r="F50" s="11"/>
      <c r="G50" s="6"/>
      <c r="H50" s="20"/>
      <c r="I50" s="21"/>
      <c r="J50" s="26"/>
      <c r="K50" s="6">
        <f t="shared" ca="1" si="7"/>
        <v>0</v>
      </c>
      <c r="L50" s="8">
        <f ca="1">_xll.HLV5r3.Analytics.Miscellaneous.Zero2DF(_xll.HLV5r3.Analytics.Miscellaneous.LinearInterp(Peturbed_QZ,$K50,1,L$1),ZeroCompFreq,'PDH Calc'!$K50/365)</f>
        <v>1</v>
      </c>
      <c r="M50" s="8">
        <f ca="1">_xll.HLV5r3.Analytics.Miscellaneous.Zero2DF(_xll.HLV5r3.Analytics.Miscellaneous.LinearInterp(Peturbed_QZ,$K50,1,M$1),ZeroCompFreq,'PDH Calc'!$K50/365)</f>
        <v>1</v>
      </c>
      <c r="N50" s="8">
        <f ca="1">_xll.HLV5r3.Analytics.Miscellaneous.Zero2DF(_xll.HLV5r3.Analytics.Miscellaneous.LinearInterp(Peturbed_QZ,$K50,1,N$1),ZeroCompFreq,'PDH Calc'!$K50/365)</f>
        <v>1</v>
      </c>
      <c r="O50" s="8">
        <f ca="1">_xll.HLV5r3.Analytics.Miscellaneous.Zero2DF(_xll.HLV5r3.Analytics.Miscellaneous.LinearInterp(Peturbed_QZ,$K50,1,O$1),ZeroCompFreq,'PDH Calc'!$K50/365)</f>
        <v>1</v>
      </c>
      <c r="P50" s="8">
        <f ca="1">_xll.HLV5r3.Analytics.Miscellaneous.Zero2DF(_xll.HLV5r3.Analytics.Miscellaneous.LinearInterp(Peturbed_QZ,$K50,1,P$1),ZeroCompFreq,'PDH Calc'!$K50/365)</f>
        <v>1</v>
      </c>
      <c r="Q50" s="8">
        <f ca="1">_xll.HLV5r3.Analytics.Miscellaneous.Zero2DF(_xll.HLV5r3.Analytics.Miscellaneous.LinearInterp(Peturbed_QZ,$K50,1,Q$1),ZeroCompFreq,'PDH Calc'!$K50/365)</f>
        <v>1</v>
      </c>
      <c r="R50" s="8">
        <f ca="1">_xll.HLV5r3.Analytics.Miscellaneous.Zero2DF(_xll.HLV5r3.Analytics.Miscellaneous.LinearInterp(Peturbed_QZ,$K50,1,R$1),ZeroCompFreq,'PDH Calc'!$K50/365)</f>
        <v>1</v>
      </c>
      <c r="S50" s="8">
        <f ca="1">_xll.HLV5r3.Analytics.Miscellaneous.Zero2DF(_xll.HLV5r3.Analytics.Miscellaneous.LinearInterp(Peturbed_QZ,$K50,1,S$1),ZeroCompFreq,'PDH Calc'!$K50/365)</f>
        <v>1</v>
      </c>
      <c r="T50" s="8">
        <f ca="1">_xll.HLV5r3.Analytics.Miscellaneous.Zero2DF(_xll.HLV5r3.Analytics.Miscellaneous.LinearInterp(Peturbed_QZ,$K50,1,T$1),ZeroCompFreq,'PDH Calc'!$K50/365)</f>
        <v>1</v>
      </c>
      <c r="U50" s="8">
        <f ca="1">_xll.HLV5r3.Analytics.Miscellaneous.Zero2DF(_xll.HLV5r3.Analytics.Miscellaneous.LinearInterp(Peturbed_QZ,$K50,1,U$1),ZeroCompFreq,'PDH Calc'!$K50/365)</f>
        <v>1</v>
      </c>
      <c r="V50" s="8">
        <f ca="1">_xll.HLV5r3.Analytics.Miscellaneous.Zero2DF(_xll.HLV5r3.Analytics.Miscellaneous.LinearInterp(Peturbed_QZ,$K50,1,V$1),ZeroCompFreq,'PDH Calc'!$K50/365)</f>
        <v>1</v>
      </c>
      <c r="W50" s="8">
        <f ca="1">_xll.HLV5r3.Analytics.Miscellaneous.Zero2DF(_xll.HLV5r3.Analytics.Miscellaneous.LinearInterp(Peturbed_QZ,$K50,1,W$1),ZeroCompFreq,'PDH Calc'!$K50/365)</f>
        <v>1</v>
      </c>
      <c r="X50" s="8">
        <f ca="1">_xll.HLV5r3.Analytics.Miscellaneous.Zero2DF(_xll.HLV5r3.Analytics.Miscellaneous.LinearInterp(Peturbed_QZ,$K50,1,X$1),ZeroCompFreq,'PDH Calc'!$K50/365)</f>
        <v>1</v>
      </c>
      <c r="Y50" s="8">
        <f ca="1">_xll.HLV5r3.Analytics.Miscellaneous.Zero2DF(_xll.HLV5r3.Analytics.Miscellaneous.LinearInterp(Peturbed_QZ,$K50,1,Y$1),ZeroCompFreq,'PDH Calc'!$K50/365)</f>
        <v>1</v>
      </c>
      <c r="Z50" s="8">
        <f ca="1">_xll.HLV5r3.Analytics.Miscellaneous.Zero2DF(_xll.HLV5r3.Analytics.Miscellaneous.LinearInterp(Peturbed_QZ,$K50,1,Z$1),ZeroCompFreq,'PDH Calc'!$K50/365)</f>
        <v>1</v>
      </c>
      <c r="AA50" s="8">
        <f ca="1">_xll.HLV5r3.Analytics.Miscellaneous.Zero2DF(_xll.HLV5r3.Analytics.Miscellaneous.LinearInterp(Peturbed_QZ,$K50,1,AA$1),ZeroCompFreq,'PDH Calc'!$K50/365)</f>
        <v>1</v>
      </c>
      <c r="AB50" s="8">
        <f ca="1">_xll.HLV5r3.Analytics.Miscellaneous.Zero2DF(_xll.HLV5r3.Analytics.Miscellaneous.LinearInterp(Peturbed_QZ,$K50,1,AB$1),ZeroCompFreq,'PDH Calc'!$K50/365)</f>
        <v>1</v>
      </c>
      <c r="AC50" s="8">
        <f ca="1">_xll.HLV5r3.Analytics.Miscellaneous.Zero2DF(_xll.HLV5r3.Analytics.Miscellaneous.LinearInterp(Peturbed_QZ,$K50,1,AC$1),ZeroCompFreq,'PDH Calc'!$K50/365)</f>
        <v>1</v>
      </c>
      <c r="AD50" s="8">
        <f ca="1">_xll.HLV5r3.Analytics.Miscellaneous.Zero2DF(_xll.HLV5r3.Analytics.Miscellaneous.LinearInterp(Peturbed_QZ,$K50,1,AD$1),ZeroCompFreq,'PDH Calc'!$K50/365)</f>
        <v>1</v>
      </c>
      <c r="AE50" s="8">
        <f ca="1">_xll.HLV5r3.Analytics.Miscellaneous.Zero2DF(_xll.HLV5r3.Analytics.Miscellaneous.LinearInterp(Peturbed_QZ,$K50,1,AE$1),ZeroCompFreq,'PDH Calc'!$K50/365)</f>
        <v>1</v>
      </c>
      <c r="AF50" s="8">
        <f ca="1">_xll.HLV5r3.Analytics.Miscellaneous.Zero2DF(_xll.HLV5r3.Analytics.Miscellaneous.LinearInterp(Peturbed_QZ,$K50,1,AF$1),ZeroCompFreq,'PDH Calc'!$K50/365)</f>
        <v>1</v>
      </c>
      <c r="AG50" s="8">
        <f ca="1">_xll.HLV5r3.Analytics.Miscellaneous.Zero2DF(_xll.HLV5r3.Analytics.Miscellaneous.LinearInterp(Peturbed_QZ,$K50,1,AG$1),ZeroCompFreq,'PDH Calc'!$K50/365)</f>
        <v>1</v>
      </c>
      <c r="AH50" s="8">
        <f ca="1">_xll.HLV5r3.Analytics.Miscellaneous.Zero2DF(_xll.HLV5r3.Analytics.Miscellaneous.LinearInterp(Peturbed_QZ,$K50,1,AH$1),ZeroCompFreq,'PDH Calc'!$K50/365)</f>
        <v>1</v>
      </c>
      <c r="AI50" s="8">
        <f ca="1">_xll.HLV5r3.Analytics.Miscellaneous.Zero2DF(_xll.HLV5r3.Analytics.Miscellaneous.LinearInterp(Peturbed_QZ,$K50,1,AI$1),ZeroCompFreq,'PDH Calc'!$K50/365)</f>
        <v>1</v>
      </c>
      <c r="AJ50" s="8">
        <f ca="1">_xll.HLV5r3.Analytics.Miscellaneous.Zero2DF(_xll.HLV5r3.Analytics.Miscellaneous.LinearInterp(Peturbed_QZ,$K50,1,AJ$1),ZeroCompFreq,'PDH Calc'!$K50/365)</f>
        <v>1</v>
      </c>
      <c r="AK50" s="8">
        <f ca="1">_xll.HLV5r3.Analytics.Miscellaneous.Zero2DF(_xll.HLV5r3.Analytics.Miscellaneous.LinearInterp(Peturbed_QZ,$K50,1,AK$1),ZeroCompFreq,'PDH Calc'!$K50/365)</f>
        <v>1</v>
      </c>
    </row>
    <row r="51" spans="1:37">
      <c r="A51" s="4"/>
      <c r="B51" s="6"/>
      <c r="F51" s="11"/>
      <c r="G51" s="6"/>
      <c r="H51" s="20"/>
      <c r="I51" s="21"/>
      <c r="J51" s="26"/>
      <c r="K51" s="6">
        <f t="shared" ca="1" si="7"/>
        <v>0</v>
      </c>
      <c r="L51" s="8">
        <f ca="1">_xll.HLV5r3.Analytics.Miscellaneous.Zero2DF(_xll.HLV5r3.Analytics.Miscellaneous.LinearInterp(Peturbed_QZ,$K51,1,L$1),ZeroCompFreq,'PDH Calc'!$K51/365)</f>
        <v>1</v>
      </c>
      <c r="M51" s="8">
        <f ca="1">_xll.HLV5r3.Analytics.Miscellaneous.Zero2DF(_xll.HLV5r3.Analytics.Miscellaneous.LinearInterp(Peturbed_QZ,$K51,1,M$1),ZeroCompFreq,'PDH Calc'!$K51/365)</f>
        <v>1</v>
      </c>
      <c r="N51" s="8">
        <f ca="1">_xll.HLV5r3.Analytics.Miscellaneous.Zero2DF(_xll.HLV5r3.Analytics.Miscellaneous.LinearInterp(Peturbed_QZ,$K51,1,N$1),ZeroCompFreq,'PDH Calc'!$K51/365)</f>
        <v>1</v>
      </c>
      <c r="O51" s="8">
        <f ca="1">_xll.HLV5r3.Analytics.Miscellaneous.Zero2DF(_xll.HLV5r3.Analytics.Miscellaneous.LinearInterp(Peturbed_QZ,$K51,1,O$1),ZeroCompFreq,'PDH Calc'!$K51/365)</f>
        <v>1</v>
      </c>
      <c r="P51" s="8">
        <f ca="1">_xll.HLV5r3.Analytics.Miscellaneous.Zero2DF(_xll.HLV5r3.Analytics.Miscellaneous.LinearInterp(Peturbed_QZ,$K51,1,P$1),ZeroCompFreq,'PDH Calc'!$K51/365)</f>
        <v>1</v>
      </c>
      <c r="Q51" s="8">
        <f ca="1">_xll.HLV5r3.Analytics.Miscellaneous.Zero2DF(_xll.HLV5r3.Analytics.Miscellaneous.LinearInterp(Peturbed_QZ,$K51,1,Q$1),ZeroCompFreq,'PDH Calc'!$K51/365)</f>
        <v>1</v>
      </c>
      <c r="R51" s="8">
        <f ca="1">_xll.HLV5r3.Analytics.Miscellaneous.Zero2DF(_xll.HLV5r3.Analytics.Miscellaneous.LinearInterp(Peturbed_QZ,$K51,1,R$1),ZeroCompFreq,'PDH Calc'!$K51/365)</f>
        <v>1</v>
      </c>
      <c r="S51" s="8">
        <f ca="1">_xll.HLV5r3.Analytics.Miscellaneous.Zero2DF(_xll.HLV5r3.Analytics.Miscellaneous.LinearInterp(Peturbed_QZ,$K51,1,S$1),ZeroCompFreq,'PDH Calc'!$K51/365)</f>
        <v>1</v>
      </c>
      <c r="T51" s="8">
        <f ca="1">_xll.HLV5r3.Analytics.Miscellaneous.Zero2DF(_xll.HLV5r3.Analytics.Miscellaneous.LinearInterp(Peturbed_QZ,$K51,1,T$1),ZeroCompFreq,'PDH Calc'!$K51/365)</f>
        <v>1</v>
      </c>
      <c r="U51" s="8">
        <f ca="1">_xll.HLV5r3.Analytics.Miscellaneous.Zero2DF(_xll.HLV5r3.Analytics.Miscellaneous.LinearInterp(Peturbed_QZ,$K51,1,U$1),ZeroCompFreq,'PDH Calc'!$K51/365)</f>
        <v>1</v>
      </c>
      <c r="V51" s="8">
        <f ca="1">_xll.HLV5r3.Analytics.Miscellaneous.Zero2DF(_xll.HLV5r3.Analytics.Miscellaneous.LinearInterp(Peturbed_QZ,$K51,1,V$1),ZeroCompFreq,'PDH Calc'!$K51/365)</f>
        <v>1</v>
      </c>
      <c r="W51" s="8">
        <f ca="1">_xll.HLV5r3.Analytics.Miscellaneous.Zero2DF(_xll.HLV5r3.Analytics.Miscellaneous.LinearInterp(Peturbed_QZ,$K51,1,W$1),ZeroCompFreq,'PDH Calc'!$K51/365)</f>
        <v>1</v>
      </c>
      <c r="X51" s="8">
        <f ca="1">_xll.HLV5r3.Analytics.Miscellaneous.Zero2DF(_xll.HLV5r3.Analytics.Miscellaneous.LinearInterp(Peturbed_QZ,$K51,1,X$1),ZeroCompFreq,'PDH Calc'!$K51/365)</f>
        <v>1</v>
      </c>
      <c r="Y51" s="8">
        <f ca="1">_xll.HLV5r3.Analytics.Miscellaneous.Zero2DF(_xll.HLV5r3.Analytics.Miscellaneous.LinearInterp(Peturbed_QZ,$K51,1,Y$1),ZeroCompFreq,'PDH Calc'!$K51/365)</f>
        <v>1</v>
      </c>
      <c r="Z51" s="8">
        <f ca="1">_xll.HLV5r3.Analytics.Miscellaneous.Zero2DF(_xll.HLV5r3.Analytics.Miscellaneous.LinearInterp(Peturbed_QZ,$K51,1,Z$1),ZeroCompFreq,'PDH Calc'!$K51/365)</f>
        <v>1</v>
      </c>
      <c r="AA51" s="8">
        <f ca="1">_xll.HLV5r3.Analytics.Miscellaneous.Zero2DF(_xll.HLV5r3.Analytics.Miscellaneous.LinearInterp(Peturbed_QZ,$K51,1,AA$1),ZeroCompFreq,'PDH Calc'!$K51/365)</f>
        <v>1</v>
      </c>
      <c r="AB51" s="8">
        <f ca="1">_xll.HLV5r3.Analytics.Miscellaneous.Zero2DF(_xll.HLV5r3.Analytics.Miscellaneous.LinearInterp(Peturbed_QZ,$K51,1,AB$1),ZeroCompFreq,'PDH Calc'!$K51/365)</f>
        <v>1</v>
      </c>
      <c r="AC51" s="8">
        <f ca="1">_xll.HLV5r3.Analytics.Miscellaneous.Zero2DF(_xll.HLV5r3.Analytics.Miscellaneous.LinearInterp(Peturbed_QZ,$K51,1,AC$1),ZeroCompFreq,'PDH Calc'!$K51/365)</f>
        <v>1</v>
      </c>
      <c r="AD51" s="8">
        <f ca="1">_xll.HLV5r3.Analytics.Miscellaneous.Zero2DF(_xll.HLV5r3.Analytics.Miscellaneous.LinearInterp(Peturbed_QZ,$K51,1,AD$1),ZeroCompFreq,'PDH Calc'!$K51/365)</f>
        <v>1</v>
      </c>
      <c r="AE51" s="8">
        <f ca="1">_xll.HLV5r3.Analytics.Miscellaneous.Zero2DF(_xll.HLV5r3.Analytics.Miscellaneous.LinearInterp(Peturbed_QZ,$K51,1,AE$1),ZeroCompFreq,'PDH Calc'!$K51/365)</f>
        <v>1</v>
      </c>
      <c r="AF51" s="8">
        <f ca="1">_xll.HLV5r3.Analytics.Miscellaneous.Zero2DF(_xll.HLV5r3.Analytics.Miscellaneous.LinearInterp(Peturbed_QZ,$K51,1,AF$1),ZeroCompFreq,'PDH Calc'!$K51/365)</f>
        <v>1</v>
      </c>
      <c r="AG51" s="8">
        <f ca="1">_xll.HLV5r3.Analytics.Miscellaneous.Zero2DF(_xll.HLV5r3.Analytics.Miscellaneous.LinearInterp(Peturbed_QZ,$K51,1,AG$1),ZeroCompFreq,'PDH Calc'!$K51/365)</f>
        <v>1</v>
      </c>
      <c r="AH51" s="8">
        <f ca="1">_xll.HLV5r3.Analytics.Miscellaneous.Zero2DF(_xll.HLV5r3.Analytics.Miscellaneous.LinearInterp(Peturbed_QZ,$K51,1,AH$1),ZeroCompFreq,'PDH Calc'!$K51/365)</f>
        <v>1</v>
      </c>
      <c r="AI51" s="8">
        <f ca="1">_xll.HLV5r3.Analytics.Miscellaneous.Zero2DF(_xll.HLV5r3.Analytics.Miscellaneous.LinearInterp(Peturbed_QZ,$K51,1,AI$1),ZeroCompFreq,'PDH Calc'!$K51/365)</f>
        <v>1</v>
      </c>
      <c r="AJ51" s="8">
        <f ca="1">_xll.HLV5r3.Analytics.Miscellaneous.Zero2DF(_xll.HLV5r3.Analytics.Miscellaneous.LinearInterp(Peturbed_QZ,$K51,1,AJ$1),ZeroCompFreq,'PDH Calc'!$K51/365)</f>
        <v>1</v>
      </c>
      <c r="AK51" s="8">
        <f ca="1">_xll.HLV5r3.Analytics.Miscellaneous.Zero2DF(_xll.HLV5r3.Analytics.Miscellaneous.LinearInterp(Peturbed_QZ,$K51,1,AK$1),ZeroCompFreq,'PDH Calc'!$K51/365)</f>
        <v>1</v>
      </c>
    </row>
    <row r="52" spans="1:37">
      <c r="A52" s="4"/>
      <c r="B52" s="6"/>
      <c r="F52" s="11"/>
      <c r="G52" s="6"/>
      <c r="H52" s="20"/>
      <c r="I52" s="21"/>
      <c r="J52" s="26"/>
      <c r="K52" s="6">
        <f t="shared" ca="1" si="7"/>
        <v>0</v>
      </c>
      <c r="L52" s="8">
        <f ca="1">_xll.HLV5r3.Analytics.Miscellaneous.Zero2DF(_xll.HLV5r3.Analytics.Miscellaneous.LinearInterp(Peturbed_QZ,$K52,1,L$1),ZeroCompFreq,'PDH Calc'!$K52/365)</f>
        <v>1</v>
      </c>
      <c r="M52" s="8">
        <f ca="1">_xll.HLV5r3.Analytics.Miscellaneous.Zero2DF(_xll.HLV5r3.Analytics.Miscellaneous.LinearInterp(Peturbed_QZ,$K52,1,M$1),ZeroCompFreq,'PDH Calc'!$K52/365)</f>
        <v>1</v>
      </c>
      <c r="N52" s="8">
        <f ca="1">_xll.HLV5r3.Analytics.Miscellaneous.Zero2DF(_xll.HLV5r3.Analytics.Miscellaneous.LinearInterp(Peturbed_QZ,$K52,1,N$1),ZeroCompFreq,'PDH Calc'!$K52/365)</f>
        <v>1</v>
      </c>
      <c r="O52" s="8">
        <f ca="1">_xll.HLV5r3.Analytics.Miscellaneous.Zero2DF(_xll.HLV5r3.Analytics.Miscellaneous.LinearInterp(Peturbed_QZ,$K52,1,O$1),ZeroCompFreq,'PDH Calc'!$K52/365)</f>
        <v>1</v>
      </c>
      <c r="P52" s="8">
        <f ca="1">_xll.HLV5r3.Analytics.Miscellaneous.Zero2DF(_xll.HLV5r3.Analytics.Miscellaneous.LinearInterp(Peturbed_QZ,$K52,1,P$1),ZeroCompFreq,'PDH Calc'!$K52/365)</f>
        <v>1</v>
      </c>
      <c r="Q52" s="8">
        <f ca="1">_xll.HLV5r3.Analytics.Miscellaneous.Zero2DF(_xll.HLV5r3.Analytics.Miscellaneous.LinearInterp(Peturbed_QZ,$K52,1,Q$1),ZeroCompFreq,'PDH Calc'!$K52/365)</f>
        <v>1</v>
      </c>
      <c r="R52" s="8">
        <f ca="1">_xll.HLV5r3.Analytics.Miscellaneous.Zero2DF(_xll.HLV5r3.Analytics.Miscellaneous.LinearInterp(Peturbed_QZ,$K52,1,R$1),ZeroCompFreq,'PDH Calc'!$K52/365)</f>
        <v>1</v>
      </c>
      <c r="S52" s="8">
        <f ca="1">_xll.HLV5r3.Analytics.Miscellaneous.Zero2DF(_xll.HLV5r3.Analytics.Miscellaneous.LinearInterp(Peturbed_QZ,$K52,1,S$1),ZeroCompFreq,'PDH Calc'!$K52/365)</f>
        <v>1</v>
      </c>
      <c r="T52" s="8">
        <f ca="1">_xll.HLV5r3.Analytics.Miscellaneous.Zero2DF(_xll.HLV5r3.Analytics.Miscellaneous.LinearInterp(Peturbed_QZ,$K52,1,T$1),ZeroCompFreq,'PDH Calc'!$K52/365)</f>
        <v>1</v>
      </c>
      <c r="U52" s="8">
        <f ca="1">_xll.HLV5r3.Analytics.Miscellaneous.Zero2DF(_xll.HLV5r3.Analytics.Miscellaneous.LinearInterp(Peturbed_QZ,$K52,1,U$1),ZeroCompFreq,'PDH Calc'!$K52/365)</f>
        <v>1</v>
      </c>
      <c r="V52" s="8">
        <f ca="1">_xll.HLV5r3.Analytics.Miscellaneous.Zero2DF(_xll.HLV5r3.Analytics.Miscellaneous.LinearInterp(Peturbed_QZ,$K52,1,V$1),ZeroCompFreq,'PDH Calc'!$K52/365)</f>
        <v>1</v>
      </c>
      <c r="W52" s="8">
        <f ca="1">_xll.HLV5r3.Analytics.Miscellaneous.Zero2DF(_xll.HLV5r3.Analytics.Miscellaneous.LinearInterp(Peturbed_QZ,$K52,1,W$1),ZeroCompFreq,'PDH Calc'!$K52/365)</f>
        <v>1</v>
      </c>
      <c r="X52" s="8">
        <f ca="1">_xll.HLV5r3.Analytics.Miscellaneous.Zero2DF(_xll.HLV5r3.Analytics.Miscellaneous.LinearInterp(Peturbed_QZ,$K52,1,X$1),ZeroCompFreq,'PDH Calc'!$K52/365)</f>
        <v>1</v>
      </c>
      <c r="Y52" s="8">
        <f ca="1">_xll.HLV5r3.Analytics.Miscellaneous.Zero2DF(_xll.HLV5r3.Analytics.Miscellaneous.LinearInterp(Peturbed_QZ,$K52,1,Y$1),ZeroCompFreq,'PDH Calc'!$K52/365)</f>
        <v>1</v>
      </c>
      <c r="Z52" s="8">
        <f ca="1">_xll.HLV5r3.Analytics.Miscellaneous.Zero2DF(_xll.HLV5r3.Analytics.Miscellaneous.LinearInterp(Peturbed_QZ,$K52,1,Z$1),ZeroCompFreq,'PDH Calc'!$K52/365)</f>
        <v>1</v>
      </c>
      <c r="AA52" s="8">
        <f ca="1">_xll.HLV5r3.Analytics.Miscellaneous.Zero2DF(_xll.HLV5r3.Analytics.Miscellaneous.LinearInterp(Peturbed_QZ,$K52,1,AA$1),ZeroCompFreq,'PDH Calc'!$K52/365)</f>
        <v>1</v>
      </c>
      <c r="AB52" s="8">
        <f ca="1">_xll.HLV5r3.Analytics.Miscellaneous.Zero2DF(_xll.HLV5r3.Analytics.Miscellaneous.LinearInterp(Peturbed_QZ,$K52,1,AB$1),ZeroCompFreq,'PDH Calc'!$K52/365)</f>
        <v>1</v>
      </c>
      <c r="AC52" s="8">
        <f ca="1">_xll.HLV5r3.Analytics.Miscellaneous.Zero2DF(_xll.HLV5r3.Analytics.Miscellaneous.LinearInterp(Peturbed_QZ,$K52,1,AC$1),ZeroCompFreq,'PDH Calc'!$K52/365)</f>
        <v>1</v>
      </c>
      <c r="AD52" s="8">
        <f ca="1">_xll.HLV5r3.Analytics.Miscellaneous.Zero2DF(_xll.HLV5r3.Analytics.Miscellaneous.LinearInterp(Peturbed_QZ,$K52,1,AD$1),ZeroCompFreq,'PDH Calc'!$K52/365)</f>
        <v>1</v>
      </c>
      <c r="AE52" s="8">
        <f ca="1">_xll.HLV5r3.Analytics.Miscellaneous.Zero2DF(_xll.HLV5r3.Analytics.Miscellaneous.LinearInterp(Peturbed_QZ,$K52,1,AE$1),ZeroCompFreq,'PDH Calc'!$K52/365)</f>
        <v>1</v>
      </c>
      <c r="AF52" s="8">
        <f ca="1">_xll.HLV5r3.Analytics.Miscellaneous.Zero2DF(_xll.HLV5r3.Analytics.Miscellaneous.LinearInterp(Peturbed_QZ,$K52,1,AF$1),ZeroCompFreq,'PDH Calc'!$K52/365)</f>
        <v>1</v>
      </c>
      <c r="AG52" s="8">
        <f ca="1">_xll.HLV5r3.Analytics.Miscellaneous.Zero2DF(_xll.HLV5r3.Analytics.Miscellaneous.LinearInterp(Peturbed_QZ,$K52,1,AG$1),ZeroCompFreq,'PDH Calc'!$K52/365)</f>
        <v>1</v>
      </c>
      <c r="AH52" s="8">
        <f ca="1">_xll.HLV5r3.Analytics.Miscellaneous.Zero2DF(_xll.HLV5r3.Analytics.Miscellaneous.LinearInterp(Peturbed_QZ,$K52,1,AH$1),ZeroCompFreq,'PDH Calc'!$K52/365)</f>
        <v>1</v>
      </c>
      <c r="AI52" s="8">
        <f ca="1">_xll.HLV5r3.Analytics.Miscellaneous.Zero2DF(_xll.HLV5r3.Analytics.Miscellaneous.LinearInterp(Peturbed_QZ,$K52,1,AI$1),ZeroCompFreq,'PDH Calc'!$K52/365)</f>
        <v>1</v>
      </c>
      <c r="AJ52" s="8">
        <f ca="1">_xll.HLV5r3.Analytics.Miscellaneous.Zero2DF(_xll.HLV5r3.Analytics.Miscellaneous.LinearInterp(Peturbed_QZ,$K52,1,AJ$1),ZeroCompFreq,'PDH Calc'!$K52/365)</f>
        <v>1</v>
      </c>
      <c r="AK52" s="8">
        <f ca="1">_xll.HLV5r3.Analytics.Miscellaneous.Zero2DF(_xll.HLV5r3.Analytics.Miscellaneous.LinearInterp(Peturbed_QZ,$K52,1,AK$1),ZeroCompFreq,'PDH Calc'!$K52/365)</f>
        <v>1</v>
      </c>
    </row>
    <row r="53" spans="1:37">
      <c r="A53" s="4"/>
      <c r="B53" s="6"/>
      <c r="F53" s="11"/>
      <c r="G53" s="6"/>
      <c r="H53" s="20"/>
      <c r="I53" s="21"/>
      <c r="J53" s="26"/>
      <c r="K53" s="6">
        <f t="shared" ca="1" si="7"/>
        <v>0</v>
      </c>
      <c r="L53" s="8">
        <f ca="1">_xll.HLV5r3.Analytics.Miscellaneous.Zero2DF(_xll.HLV5r3.Analytics.Miscellaneous.LinearInterp(Peturbed_QZ,$K53,1,L$1),ZeroCompFreq,'PDH Calc'!$K53/365)</f>
        <v>1</v>
      </c>
      <c r="M53" s="8">
        <f ca="1">_xll.HLV5r3.Analytics.Miscellaneous.Zero2DF(_xll.HLV5r3.Analytics.Miscellaneous.LinearInterp(Peturbed_QZ,$K53,1,M$1),ZeroCompFreq,'PDH Calc'!$K53/365)</f>
        <v>1</v>
      </c>
      <c r="N53" s="8">
        <f ca="1">_xll.HLV5r3.Analytics.Miscellaneous.Zero2DF(_xll.HLV5r3.Analytics.Miscellaneous.LinearInterp(Peturbed_QZ,$K53,1,N$1),ZeroCompFreq,'PDH Calc'!$K53/365)</f>
        <v>1</v>
      </c>
      <c r="O53" s="8">
        <f ca="1">_xll.HLV5r3.Analytics.Miscellaneous.Zero2DF(_xll.HLV5r3.Analytics.Miscellaneous.LinearInterp(Peturbed_QZ,$K53,1,O$1),ZeroCompFreq,'PDH Calc'!$K53/365)</f>
        <v>1</v>
      </c>
      <c r="P53" s="8">
        <f ca="1">_xll.HLV5r3.Analytics.Miscellaneous.Zero2DF(_xll.HLV5r3.Analytics.Miscellaneous.LinearInterp(Peturbed_QZ,$K53,1,P$1),ZeroCompFreq,'PDH Calc'!$K53/365)</f>
        <v>1</v>
      </c>
      <c r="Q53" s="8">
        <f ca="1">_xll.HLV5r3.Analytics.Miscellaneous.Zero2DF(_xll.HLV5r3.Analytics.Miscellaneous.LinearInterp(Peturbed_QZ,$K53,1,Q$1),ZeroCompFreq,'PDH Calc'!$K53/365)</f>
        <v>1</v>
      </c>
      <c r="R53" s="8">
        <f ca="1">_xll.HLV5r3.Analytics.Miscellaneous.Zero2DF(_xll.HLV5r3.Analytics.Miscellaneous.LinearInterp(Peturbed_QZ,$K53,1,R$1),ZeroCompFreq,'PDH Calc'!$K53/365)</f>
        <v>1</v>
      </c>
      <c r="S53" s="8">
        <f ca="1">_xll.HLV5r3.Analytics.Miscellaneous.Zero2DF(_xll.HLV5r3.Analytics.Miscellaneous.LinearInterp(Peturbed_QZ,$K53,1,S$1),ZeroCompFreq,'PDH Calc'!$K53/365)</f>
        <v>1</v>
      </c>
      <c r="T53" s="8">
        <f ca="1">_xll.HLV5r3.Analytics.Miscellaneous.Zero2DF(_xll.HLV5r3.Analytics.Miscellaneous.LinearInterp(Peturbed_QZ,$K53,1,T$1),ZeroCompFreq,'PDH Calc'!$K53/365)</f>
        <v>1</v>
      </c>
      <c r="U53" s="8">
        <f ca="1">_xll.HLV5r3.Analytics.Miscellaneous.Zero2DF(_xll.HLV5r3.Analytics.Miscellaneous.LinearInterp(Peturbed_QZ,$K53,1,U$1),ZeroCompFreq,'PDH Calc'!$K53/365)</f>
        <v>1</v>
      </c>
      <c r="V53" s="8">
        <f ca="1">_xll.HLV5r3.Analytics.Miscellaneous.Zero2DF(_xll.HLV5r3.Analytics.Miscellaneous.LinearInterp(Peturbed_QZ,$K53,1,V$1),ZeroCompFreq,'PDH Calc'!$K53/365)</f>
        <v>1</v>
      </c>
      <c r="W53" s="8">
        <f ca="1">_xll.HLV5r3.Analytics.Miscellaneous.Zero2DF(_xll.HLV5r3.Analytics.Miscellaneous.LinearInterp(Peturbed_QZ,$K53,1,W$1),ZeroCompFreq,'PDH Calc'!$K53/365)</f>
        <v>1</v>
      </c>
      <c r="X53" s="8">
        <f ca="1">_xll.HLV5r3.Analytics.Miscellaneous.Zero2DF(_xll.HLV5r3.Analytics.Miscellaneous.LinearInterp(Peturbed_QZ,$K53,1,X$1),ZeroCompFreq,'PDH Calc'!$K53/365)</f>
        <v>1</v>
      </c>
      <c r="Y53" s="8">
        <f ca="1">_xll.HLV5r3.Analytics.Miscellaneous.Zero2DF(_xll.HLV5r3.Analytics.Miscellaneous.LinearInterp(Peturbed_QZ,$K53,1,Y$1),ZeroCompFreq,'PDH Calc'!$K53/365)</f>
        <v>1</v>
      </c>
      <c r="Z53" s="8">
        <f ca="1">_xll.HLV5r3.Analytics.Miscellaneous.Zero2DF(_xll.HLV5r3.Analytics.Miscellaneous.LinearInterp(Peturbed_QZ,$K53,1,Z$1),ZeroCompFreq,'PDH Calc'!$K53/365)</f>
        <v>1</v>
      </c>
      <c r="AA53" s="8">
        <f ca="1">_xll.HLV5r3.Analytics.Miscellaneous.Zero2DF(_xll.HLV5r3.Analytics.Miscellaneous.LinearInterp(Peturbed_QZ,$K53,1,AA$1),ZeroCompFreq,'PDH Calc'!$K53/365)</f>
        <v>1</v>
      </c>
      <c r="AB53" s="8">
        <f ca="1">_xll.HLV5r3.Analytics.Miscellaneous.Zero2DF(_xll.HLV5r3.Analytics.Miscellaneous.LinearInterp(Peturbed_QZ,$K53,1,AB$1),ZeroCompFreq,'PDH Calc'!$K53/365)</f>
        <v>1</v>
      </c>
      <c r="AC53" s="8">
        <f ca="1">_xll.HLV5r3.Analytics.Miscellaneous.Zero2DF(_xll.HLV5r3.Analytics.Miscellaneous.LinearInterp(Peturbed_QZ,$K53,1,AC$1),ZeroCompFreq,'PDH Calc'!$K53/365)</f>
        <v>1</v>
      </c>
      <c r="AD53" s="8">
        <f ca="1">_xll.HLV5r3.Analytics.Miscellaneous.Zero2DF(_xll.HLV5r3.Analytics.Miscellaneous.LinearInterp(Peturbed_QZ,$K53,1,AD$1),ZeroCompFreq,'PDH Calc'!$K53/365)</f>
        <v>1</v>
      </c>
      <c r="AE53" s="8">
        <f ca="1">_xll.HLV5r3.Analytics.Miscellaneous.Zero2DF(_xll.HLV5r3.Analytics.Miscellaneous.LinearInterp(Peturbed_QZ,$K53,1,AE$1),ZeroCompFreq,'PDH Calc'!$K53/365)</f>
        <v>1</v>
      </c>
      <c r="AF53" s="8">
        <f ca="1">_xll.HLV5r3.Analytics.Miscellaneous.Zero2DF(_xll.HLV5r3.Analytics.Miscellaneous.LinearInterp(Peturbed_QZ,$K53,1,AF$1),ZeroCompFreq,'PDH Calc'!$K53/365)</f>
        <v>1</v>
      </c>
      <c r="AG53" s="8">
        <f ca="1">_xll.HLV5r3.Analytics.Miscellaneous.Zero2DF(_xll.HLV5r3.Analytics.Miscellaneous.LinearInterp(Peturbed_QZ,$K53,1,AG$1),ZeroCompFreq,'PDH Calc'!$K53/365)</f>
        <v>1</v>
      </c>
      <c r="AH53" s="8">
        <f ca="1">_xll.HLV5r3.Analytics.Miscellaneous.Zero2DF(_xll.HLV5r3.Analytics.Miscellaneous.LinearInterp(Peturbed_QZ,$K53,1,AH$1),ZeroCompFreq,'PDH Calc'!$K53/365)</f>
        <v>1</v>
      </c>
      <c r="AI53" s="8">
        <f ca="1">_xll.HLV5r3.Analytics.Miscellaneous.Zero2DF(_xll.HLV5r3.Analytics.Miscellaneous.LinearInterp(Peturbed_QZ,$K53,1,AI$1),ZeroCompFreq,'PDH Calc'!$K53/365)</f>
        <v>1</v>
      </c>
      <c r="AJ53" s="8">
        <f ca="1">_xll.HLV5r3.Analytics.Miscellaneous.Zero2DF(_xll.HLV5r3.Analytics.Miscellaneous.LinearInterp(Peturbed_QZ,$K53,1,AJ$1),ZeroCompFreq,'PDH Calc'!$K53/365)</f>
        <v>1</v>
      </c>
      <c r="AK53" s="8">
        <f ca="1">_xll.HLV5r3.Analytics.Miscellaneous.Zero2DF(_xll.HLV5r3.Analytics.Miscellaneous.LinearInterp(Peturbed_QZ,$K53,1,AK$1),ZeroCompFreq,'PDH Calc'!$K53/365)</f>
        <v>1</v>
      </c>
    </row>
    <row r="54" spans="1:37">
      <c r="A54" s="4"/>
      <c r="B54" s="6"/>
      <c r="F54" s="11"/>
      <c r="G54" s="6"/>
      <c r="H54" s="20"/>
      <c r="I54" s="21"/>
      <c r="J54" s="26"/>
      <c r="K54" s="6">
        <f t="shared" ca="1" si="7"/>
        <v>0</v>
      </c>
      <c r="L54" s="8">
        <f ca="1">_xll.HLV5r3.Analytics.Miscellaneous.Zero2DF(_xll.HLV5r3.Analytics.Miscellaneous.LinearInterp(Peturbed_QZ,$K54,1,L$1),ZeroCompFreq,'PDH Calc'!$K54/365)</f>
        <v>1</v>
      </c>
      <c r="M54" s="8">
        <f ca="1">_xll.HLV5r3.Analytics.Miscellaneous.Zero2DF(_xll.HLV5r3.Analytics.Miscellaneous.LinearInterp(Peturbed_QZ,$K54,1,M$1),ZeroCompFreq,'PDH Calc'!$K54/365)</f>
        <v>1</v>
      </c>
      <c r="N54" s="8">
        <f ca="1">_xll.HLV5r3.Analytics.Miscellaneous.Zero2DF(_xll.HLV5r3.Analytics.Miscellaneous.LinearInterp(Peturbed_QZ,$K54,1,N$1),ZeroCompFreq,'PDH Calc'!$K54/365)</f>
        <v>1</v>
      </c>
      <c r="O54" s="8">
        <f ca="1">_xll.HLV5r3.Analytics.Miscellaneous.Zero2DF(_xll.HLV5r3.Analytics.Miscellaneous.LinearInterp(Peturbed_QZ,$K54,1,O$1),ZeroCompFreq,'PDH Calc'!$K54/365)</f>
        <v>1</v>
      </c>
      <c r="P54" s="8">
        <f ca="1">_xll.HLV5r3.Analytics.Miscellaneous.Zero2DF(_xll.HLV5r3.Analytics.Miscellaneous.LinearInterp(Peturbed_QZ,$K54,1,P$1),ZeroCompFreq,'PDH Calc'!$K54/365)</f>
        <v>1</v>
      </c>
      <c r="Q54" s="8">
        <f ca="1">_xll.HLV5r3.Analytics.Miscellaneous.Zero2DF(_xll.HLV5r3.Analytics.Miscellaneous.LinearInterp(Peturbed_QZ,$K54,1,Q$1),ZeroCompFreq,'PDH Calc'!$K54/365)</f>
        <v>1</v>
      </c>
      <c r="R54" s="8">
        <f ca="1">_xll.HLV5r3.Analytics.Miscellaneous.Zero2DF(_xll.HLV5r3.Analytics.Miscellaneous.LinearInterp(Peturbed_QZ,$K54,1,R$1),ZeroCompFreq,'PDH Calc'!$K54/365)</f>
        <v>1</v>
      </c>
      <c r="S54" s="8">
        <f ca="1">_xll.HLV5r3.Analytics.Miscellaneous.Zero2DF(_xll.HLV5r3.Analytics.Miscellaneous.LinearInterp(Peturbed_QZ,$K54,1,S$1),ZeroCompFreq,'PDH Calc'!$K54/365)</f>
        <v>1</v>
      </c>
      <c r="T54" s="8">
        <f ca="1">_xll.HLV5r3.Analytics.Miscellaneous.Zero2DF(_xll.HLV5r3.Analytics.Miscellaneous.LinearInterp(Peturbed_QZ,$K54,1,T$1),ZeroCompFreq,'PDH Calc'!$K54/365)</f>
        <v>1</v>
      </c>
      <c r="U54" s="8">
        <f ca="1">_xll.HLV5r3.Analytics.Miscellaneous.Zero2DF(_xll.HLV5r3.Analytics.Miscellaneous.LinearInterp(Peturbed_QZ,$K54,1,U$1),ZeroCompFreq,'PDH Calc'!$K54/365)</f>
        <v>1</v>
      </c>
      <c r="V54" s="8">
        <f ca="1">_xll.HLV5r3.Analytics.Miscellaneous.Zero2DF(_xll.HLV5r3.Analytics.Miscellaneous.LinearInterp(Peturbed_QZ,$K54,1,V$1),ZeroCompFreq,'PDH Calc'!$K54/365)</f>
        <v>1</v>
      </c>
      <c r="W54" s="8">
        <f ca="1">_xll.HLV5r3.Analytics.Miscellaneous.Zero2DF(_xll.HLV5r3.Analytics.Miscellaneous.LinearInterp(Peturbed_QZ,$K54,1,W$1),ZeroCompFreq,'PDH Calc'!$K54/365)</f>
        <v>1</v>
      </c>
      <c r="X54" s="8">
        <f ca="1">_xll.HLV5r3.Analytics.Miscellaneous.Zero2DF(_xll.HLV5r3.Analytics.Miscellaneous.LinearInterp(Peturbed_QZ,$K54,1,X$1),ZeroCompFreq,'PDH Calc'!$K54/365)</f>
        <v>1</v>
      </c>
      <c r="Y54" s="8">
        <f ca="1">_xll.HLV5r3.Analytics.Miscellaneous.Zero2DF(_xll.HLV5r3.Analytics.Miscellaneous.LinearInterp(Peturbed_QZ,$K54,1,Y$1),ZeroCompFreq,'PDH Calc'!$K54/365)</f>
        <v>1</v>
      </c>
      <c r="Z54" s="8">
        <f ca="1">_xll.HLV5r3.Analytics.Miscellaneous.Zero2DF(_xll.HLV5r3.Analytics.Miscellaneous.LinearInterp(Peturbed_QZ,$K54,1,Z$1),ZeroCompFreq,'PDH Calc'!$K54/365)</f>
        <v>1</v>
      </c>
      <c r="AA54" s="8">
        <f ca="1">_xll.HLV5r3.Analytics.Miscellaneous.Zero2DF(_xll.HLV5r3.Analytics.Miscellaneous.LinearInterp(Peturbed_QZ,$K54,1,AA$1),ZeroCompFreq,'PDH Calc'!$K54/365)</f>
        <v>1</v>
      </c>
      <c r="AB54" s="8">
        <f ca="1">_xll.HLV5r3.Analytics.Miscellaneous.Zero2DF(_xll.HLV5r3.Analytics.Miscellaneous.LinearInterp(Peturbed_QZ,$K54,1,AB$1),ZeroCompFreq,'PDH Calc'!$K54/365)</f>
        <v>1</v>
      </c>
      <c r="AC54" s="8">
        <f ca="1">_xll.HLV5r3.Analytics.Miscellaneous.Zero2DF(_xll.HLV5r3.Analytics.Miscellaneous.LinearInterp(Peturbed_QZ,$K54,1,AC$1),ZeroCompFreq,'PDH Calc'!$K54/365)</f>
        <v>1</v>
      </c>
      <c r="AD54" s="8">
        <f ca="1">_xll.HLV5r3.Analytics.Miscellaneous.Zero2DF(_xll.HLV5r3.Analytics.Miscellaneous.LinearInterp(Peturbed_QZ,$K54,1,AD$1),ZeroCompFreq,'PDH Calc'!$K54/365)</f>
        <v>1</v>
      </c>
      <c r="AE54" s="8">
        <f ca="1">_xll.HLV5r3.Analytics.Miscellaneous.Zero2DF(_xll.HLV5r3.Analytics.Miscellaneous.LinearInterp(Peturbed_QZ,$K54,1,AE$1),ZeroCompFreq,'PDH Calc'!$K54/365)</f>
        <v>1</v>
      </c>
      <c r="AF54" s="8">
        <f ca="1">_xll.HLV5r3.Analytics.Miscellaneous.Zero2DF(_xll.HLV5r3.Analytics.Miscellaneous.LinearInterp(Peturbed_QZ,$K54,1,AF$1),ZeroCompFreq,'PDH Calc'!$K54/365)</f>
        <v>1</v>
      </c>
      <c r="AG54" s="8">
        <f ca="1">_xll.HLV5r3.Analytics.Miscellaneous.Zero2DF(_xll.HLV5r3.Analytics.Miscellaneous.LinearInterp(Peturbed_QZ,$K54,1,AG$1),ZeroCompFreq,'PDH Calc'!$K54/365)</f>
        <v>1</v>
      </c>
      <c r="AH54" s="8">
        <f ca="1">_xll.HLV5r3.Analytics.Miscellaneous.Zero2DF(_xll.HLV5r3.Analytics.Miscellaneous.LinearInterp(Peturbed_QZ,$K54,1,AH$1),ZeroCompFreq,'PDH Calc'!$K54/365)</f>
        <v>1</v>
      </c>
      <c r="AI54" s="8">
        <f ca="1">_xll.HLV5r3.Analytics.Miscellaneous.Zero2DF(_xll.HLV5r3.Analytics.Miscellaneous.LinearInterp(Peturbed_QZ,$K54,1,AI$1),ZeroCompFreq,'PDH Calc'!$K54/365)</f>
        <v>1</v>
      </c>
      <c r="AJ54" s="8">
        <f ca="1">_xll.HLV5r3.Analytics.Miscellaneous.Zero2DF(_xll.HLV5r3.Analytics.Miscellaneous.LinearInterp(Peturbed_QZ,$K54,1,AJ$1),ZeroCompFreq,'PDH Calc'!$K54/365)</f>
        <v>1</v>
      </c>
      <c r="AK54" s="8">
        <f ca="1">_xll.HLV5r3.Analytics.Miscellaneous.Zero2DF(_xll.HLV5r3.Analytics.Miscellaneous.LinearInterp(Peturbed_QZ,$K54,1,AK$1),ZeroCompFreq,'PDH Calc'!$K54/365)</f>
        <v>1</v>
      </c>
    </row>
    <row r="55" spans="1:37">
      <c r="A55" s="4"/>
      <c r="B55" s="6"/>
      <c r="F55" s="11"/>
      <c r="G55" s="6"/>
      <c r="H55" s="20"/>
      <c r="I55" s="21"/>
      <c r="J55" s="26"/>
      <c r="K55" s="6">
        <f t="shared" ca="1" si="7"/>
        <v>0</v>
      </c>
      <c r="L55" s="8">
        <f ca="1">_xll.HLV5r3.Analytics.Miscellaneous.Zero2DF(_xll.HLV5r3.Analytics.Miscellaneous.LinearInterp(Peturbed_QZ,$K55,1,L$1),ZeroCompFreq,'PDH Calc'!$K55/365)</f>
        <v>1</v>
      </c>
      <c r="M55" s="8">
        <f ca="1">_xll.HLV5r3.Analytics.Miscellaneous.Zero2DF(_xll.HLV5r3.Analytics.Miscellaneous.LinearInterp(Peturbed_QZ,$K55,1,M$1),ZeroCompFreq,'PDH Calc'!$K55/365)</f>
        <v>1</v>
      </c>
      <c r="N55" s="8">
        <f ca="1">_xll.HLV5r3.Analytics.Miscellaneous.Zero2DF(_xll.HLV5r3.Analytics.Miscellaneous.LinearInterp(Peturbed_QZ,$K55,1,N$1),ZeroCompFreq,'PDH Calc'!$K55/365)</f>
        <v>1</v>
      </c>
      <c r="O55" s="8">
        <f ca="1">_xll.HLV5r3.Analytics.Miscellaneous.Zero2DF(_xll.HLV5r3.Analytics.Miscellaneous.LinearInterp(Peturbed_QZ,$K55,1,O$1),ZeroCompFreq,'PDH Calc'!$K55/365)</f>
        <v>1</v>
      </c>
      <c r="P55" s="8">
        <f ca="1">_xll.HLV5r3.Analytics.Miscellaneous.Zero2DF(_xll.HLV5r3.Analytics.Miscellaneous.LinearInterp(Peturbed_QZ,$K55,1,P$1),ZeroCompFreq,'PDH Calc'!$K55/365)</f>
        <v>1</v>
      </c>
      <c r="Q55" s="8">
        <f ca="1">_xll.HLV5r3.Analytics.Miscellaneous.Zero2DF(_xll.HLV5r3.Analytics.Miscellaneous.LinearInterp(Peturbed_QZ,$K55,1,Q$1),ZeroCompFreq,'PDH Calc'!$K55/365)</f>
        <v>1</v>
      </c>
      <c r="R55" s="8">
        <f ca="1">_xll.HLV5r3.Analytics.Miscellaneous.Zero2DF(_xll.HLV5r3.Analytics.Miscellaneous.LinearInterp(Peturbed_QZ,$K55,1,R$1),ZeroCompFreq,'PDH Calc'!$K55/365)</f>
        <v>1</v>
      </c>
      <c r="S55" s="8">
        <f ca="1">_xll.HLV5r3.Analytics.Miscellaneous.Zero2DF(_xll.HLV5r3.Analytics.Miscellaneous.LinearInterp(Peturbed_QZ,$K55,1,S$1),ZeroCompFreq,'PDH Calc'!$K55/365)</f>
        <v>1</v>
      </c>
      <c r="T55" s="8">
        <f ca="1">_xll.HLV5r3.Analytics.Miscellaneous.Zero2DF(_xll.HLV5r3.Analytics.Miscellaneous.LinearInterp(Peturbed_QZ,$K55,1,T$1),ZeroCompFreq,'PDH Calc'!$K55/365)</f>
        <v>1</v>
      </c>
      <c r="U55" s="8">
        <f ca="1">_xll.HLV5r3.Analytics.Miscellaneous.Zero2DF(_xll.HLV5r3.Analytics.Miscellaneous.LinearInterp(Peturbed_QZ,$K55,1,U$1),ZeroCompFreq,'PDH Calc'!$K55/365)</f>
        <v>1</v>
      </c>
      <c r="V55" s="8">
        <f ca="1">_xll.HLV5r3.Analytics.Miscellaneous.Zero2DF(_xll.HLV5r3.Analytics.Miscellaneous.LinearInterp(Peturbed_QZ,$K55,1,V$1),ZeroCompFreq,'PDH Calc'!$K55/365)</f>
        <v>1</v>
      </c>
      <c r="W55" s="8">
        <f ca="1">_xll.HLV5r3.Analytics.Miscellaneous.Zero2DF(_xll.HLV5r3.Analytics.Miscellaneous.LinearInterp(Peturbed_QZ,$K55,1,W$1),ZeroCompFreq,'PDH Calc'!$K55/365)</f>
        <v>1</v>
      </c>
      <c r="X55" s="8">
        <f ca="1">_xll.HLV5r3.Analytics.Miscellaneous.Zero2DF(_xll.HLV5r3.Analytics.Miscellaneous.LinearInterp(Peturbed_QZ,$K55,1,X$1),ZeroCompFreq,'PDH Calc'!$K55/365)</f>
        <v>1</v>
      </c>
      <c r="Y55" s="8">
        <f ca="1">_xll.HLV5r3.Analytics.Miscellaneous.Zero2DF(_xll.HLV5r3.Analytics.Miscellaneous.LinearInterp(Peturbed_QZ,$K55,1,Y$1),ZeroCompFreq,'PDH Calc'!$K55/365)</f>
        <v>1</v>
      </c>
      <c r="Z55" s="8">
        <f ca="1">_xll.HLV5r3.Analytics.Miscellaneous.Zero2DF(_xll.HLV5r3.Analytics.Miscellaneous.LinearInterp(Peturbed_QZ,$K55,1,Z$1),ZeroCompFreq,'PDH Calc'!$K55/365)</f>
        <v>1</v>
      </c>
      <c r="AA55" s="8">
        <f ca="1">_xll.HLV5r3.Analytics.Miscellaneous.Zero2DF(_xll.HLV5r3.Analytics.Miscellaneous.LinearInterp(Peturbed_QZ,$K55,1,AA$1),ZeroCompFreq,'PDH Calc'!$K55/365)</f>
        <v>1</v>
      </c>
      <c r="AB55" s="8">
        <f ca="1">_xll.HLV5r3.Analytics.Miscellaneous.Zero2DF(_xll.HLV5r3.Analytics.Miscellaneous.LinearInterp(Peturbed_QZ,$K55,1,AB$1),ZeroCompFreq,'PDH Calc'!$K55/365)</f>
        <v>1</v>
      </c>
      <c r="AC55" s="8">
        <f ca="1">_xll.HLV5r3.Analytics.Miscellaneous.Zero2DF(_xll.HLV5r3.Analytics.Miscellaneous.LinearInterp(Peturbed_QZ,$K55,1,AC$1),ZeroCompFreq,'PDH Calc'!$K55/365)</f>
        <v>1</v>
      </c>
      <c r="AD55" s="8">
        <f ca="1">_xll.HLV5r3.Analytics.Miscellaneous.Zero2DF(_xll.HLV5r3.Analytics.Miscellaneous.LinearInterp(Peturbed_QZ,$K55,1,AD$1),ZeroCompFreq,'PDH Calc'!$K55/365)</f>
        <v>1</v>
      </c>
      <c r="AE55" s="8">
        <f ca="1">_xll.HLV5r3.Analytics.Miscellaneous.Zero2DF(_xll.HLV5r3.Analytics.Miscellaneous.LinearInterp(Peturbed_QZ,$K55,1,AE$1),ZeroCompFreq,'PDH Calc'!$K55/365)</f>
        <v>1</v>
      </c>
      <c r="AF55" s="8">
        <f ca="1">_xll.HLV5r3.Analytics.Miscellaneous.Zero2DF(_xll.HLV5r3.Analytics.Miscellaneous.LinearInterp(Peturbed_QZ,$K55,1,AF$1),ZeroCompFreq,'PDH Calc'!$K55/365)</f>
        <v>1</v>
      </c>
      <c r="AG55" s="8">
        <f ca="1">_xll.HLV5r3.Analytics.Miscellaneous.Zero2DF(_xll.HLV5r3.Analytics.Miscellaneous.LinearInterp(Peturbed_QZ,$K55,1,AG$1),ZeroCompFreq,'PDH Calc'!$K55/365)</f>
        <v>1</v>
      </c>
      <c r="AH55" s="8">
        <f ca="1">_xll.HLV5r3.Analytics.Miscellaneous.Zero2DF(_xll.HLV5r3.Analytics.Miscellaneous.LinearInterp(Peturbed_QZ,$K55,1,AH$1),ZeroCompFreq,'PDH Calc'!$K55/365)</f>
        <v>1</v>
      </c>
      <c r="AI55" s="8">
        <f ca="1">_xll.HLV5r3.Analytics.Miscellaneous.Zero2DF(_xll.HLV5r3.Analytics.Miscellaneous.LinearInterp(Peturbed_QZ,$K55,1,AI$1),ZeroCompFreq,'PDH Calc'!$K55/365)</f>
        <v>1</v>
      </c>
      <c r="AJ55" s="8">
        <f ca="1">_xll.HLV5r3.Analytics.Miscellaneous.Zero2DF(_xll.HLV5r3.Analytics.Miscellaneous.LinearInterp(Peturbed_QZ,$K55,1,AJ$1),ZeroCompFreq,'PDH Calc'!$K55/365)</f>
        <v>1</v>
      </c>
      <c r="AK55" s="8">
        <f ca="1">_xll.HLV5r3.Analytics.Miscellaneous.Zero2DF(_xll.HLV5r3.Analytics.Miscellaneous.LinearInterp(Peturbed_QZ,$K55,1,AK$1),ZeroCompFreq,'PDH Calc'!$K55/365)</f>
        <v>1</v>
      </c>
    </row>
    <row r="56" spans="1:37">
      <c r="A56" s="4"/>
      <c r="B56" s="6"/>
      <c r="F56" s="11"/>
      <c r="G56" s="6"/>
      <c r="H56" s="20"/>
      <c r="I56" s="21"/>
      <c r="J56" s="26"/>
      <c r="K56" s="6">
        <f t="shared" ca="1" si="7"/>
        <v>0</v>
      </c>
      <c r="L56" s="8">
        <f ca="1">_xll.HLV5r3.Analytics.Miscellaneous.Zero2DF(_xll.HLV5r3.Analytics.Miscellaneous.LinearInterp(Peturbed_QZ,$K56,1,L$1),ZeroCompFreq,'PDH Calc'!$K56/365)</f>
        <v>1</v>
      </c>
      <c r="M56" s="8">
        <f ca="1">_xll.HLV5r3.Analytics.Miscellaneous.Zero2DF(_xll.HLV5r3.Analytics.Miscellaneous.LinearInterp(Peturbed_QZ,$K56,1,M$1),ZeroCompFreq,'PDH Calc'!$K56/365)</f>
        <v>1</v>
      </c>
      <c r="N56" s="8">
        <f ca="1">_xll.HLV5r3.Analytics.Miscellaneous.Zero2DF(_xll.HLV5r3.Analytics.Miscellaneous.LinearInterp(Peturbed_QZ,$K56,1,N$1),ZeroCompFreq,'PDH Calc'!$K56/365)</f>
        <v>1</v>
      </c>
      <c r="O56" s="8">
        <f ca="1">_xll.HLV5r3.Analytics.Miscellaneous.Zero2DF(_xll.HLV5r3.Analytics.Miscellaneous.LinearInterp(Peturbed_QZ,$K56,1,O$1),ZeroCompFreq,'PDH Calc'!$K56/365)</f>
        <v>1</v>
      </c>
      <c r="P56" s="8">
        <f ca="1">_xll.HLV5r3.Analytics.Miscellaneous.Zero2DF(_xll.HLV5r3.Analytics.Miscellaneous.LinearInterp(Peturbed_QZ,$K56,1,P$1),ZeroCompFreq,'PDH Calc'!$K56/365)</f>
        <v>1</v>
      </c>
      <c r="Q56" s="8">
        <f ca="1">_xll.HLV5r3.Analytics.Miscellaneous.Zero2DF(_xll.HLV5r3.Analytics.Miscellaneous.LinearInterp(Peturbed_QZ,$K56,1,Q$1),ZeroCompFreq,'PDH Calc'!$K56/365)</f>
        <v>1</v>
      </c>
      <c r="R56" s="8">
        <f ca="1">_xll.HLV5r3.Analytics.Miscellaneous.Zero2DF(_xll.HLV5r3.Analytics.Miscellaneous.LinearInterp(Peturbed_QZ,$K56,1,R$1),ZeroCompFreq,'PDH Calc'!$K56/365)</f>
        <v>1</v>
      </c>
      <c r="S56" s="8">
        <f ca="1">_xll.HLV5r3.Analytics.Miscellaneous.Zero2DF(_xll.HLV5r3.Analytics.Miscellaneous.LinearInterp(Peturbed_QZ,$K56,1,S$1),ZeroCompFreq,'PDH Calc'!$K56/365)</f>
        <v>1</v>
      </c>
      <c r="T56" s="8">
        <f ca="1">_xll.HLV5r3.Analytics.Miscellaneous.Zero2DF(_xll.HLV5r3.Analytics.Miscellaneous.LinearInterp(Peturbed_QZ,$K56,1,T$1),ZeroCompFreq,'PDH Calc'!$K56/365)</f>
        <v>1</v>
      </c>
      <c r="U56" s="8">
        <f ca="1">_xll.HLV5r3.Analytics.Miscellaneous.Zero2DF(_xll.HLV5r3.Analytics.Miscellaneous.LinearInterp(Peturbed_QZ,$K56,1,U$1),ZeroCompFreq,'PDH Calc'!$K56/365)</f>
        <v>1</v>
      </c>
      <c r="V56" s="8">
        <f ca="1">_xll.HLV5r3.Analytics.Miscellaneous.Zero2DF(_xll.HLV5r3.Analytics.Miscellaneous.LinearInterp(Peturbed_QZ,$K56,1,V$1),ZeroCompFreq,'PDH Calc'!$K56/365)</f>
        <v>1</v>
      </c>
      <c r="W56" s="8">
        <f ca="1">_xll.HLV5r3.Analytics.Miscellaneous.Zero2DF(_xll.HLV5r3.Analytics.Miscellaneous.LinearInterp(Peturbed_QZ,$K56,1,W$1),ZeroCompFreq,'PDH Calc'!$K56/365)</f>
        <v>1</v>
      </c>
      <c r="X56" s="8">
        <f ca="1">_xll.HLV5r3.Analytics.Miscellaneous.Zero2DF(_xll.HLV5r3.Analytics.Miscellaneous.LinearInterp(Peturbed_QZ,$K56,1,X$1),ZeroCompFreq,'PDH Calc'!$K56/365)</f>
        <v>1</v>
      </c>
      <c r="Y56" s="8">
        <f ca="1">_xll.HLV5r3.Analytics.Miscellaneous.Zero2DF(_xll.HLV5r3.Analytics.Miscellaneous.LinearInterp(Peturbed_QZ,$K56,1,Y$1),ZeroCompFreq,'PDH Calc'!$K56/365)</f>
        <v>1</v>
      </c>
      <c r="Z56" s="8">
        <f ca="1">_xll.HLV5r3.Analytics.Miscellaneous.Zero2DF(_xll.HLV5r3.Analytics.Miscellaneous.LinearInterp(Peturbed_QZ,$K56,1,Z$1),ZeroCompFreq,'PDH Calc'!$K56/365)</f>
        <v>1</v>
      </c>
      <c r="AA56" s="8">
        <f ca="1">_xll.HLV5r3.Analytics.Miscellaneous.Zero2DF(_xll.HLV5r3.Analytics.Miscellaneous.LinearInterp(Peturbed_QZ,$K56,1,AA$1),ZeroCompFreq,'PDH Calc'!$K56/365)</f>
        <v>1</v>
      </c>
      <c r="AB56" s="8">
        <f ca="1">_xll.HLV5r3.Analytics.Miscellaneous.Zero2DF(_xll.HLV5r3.Analytics.Miscellaneous.LinearInterp(Peturbed_QZ,$K56,1,AB$1),ZeroCompFreq,'PDH Calc'!$K56/365)</f>
        <v>1</v>
      </c>
      <c r="AC56" s="8">
        <f ca="1">_xll.HLV5r3.Analytics.Miscellaneous.Zero2DF(_xll.HLV5r3.Analytics.Miscellaneous.LinearInterp(Peturbed_QZ,$K56,1,AC$1),ZeroCompFreq,'PDH Calc'!$K56/365)</f>
        <v>1</v>
      </c>
      <c r="AD56" s="8">
        <f ca="1">_xll.HLV5r3.Analytics.Miscellaneous.Zero2DF(_xll.HLV5r3.Analytics.Miscellaneous.LinearInterp(Peturbed_QZ,$K56,1,AD$1),ZeroCompFreq,'PDH Calc'!$K56/365)</f>
        <v>1</v>
      </c>
      <c r="AE56" s="8">
        <f ca="1">_xll.HLV5r3.Analytics.Miscellaneous.Zero2DF(_xll.HLV5r3.Analytics.Miscellaneous.LinearInterp(Peturbed_QZ,$K56,1,AE$1),ZeroCompFreq,'PDH Calc'!$K56/365)</f>
        <v>1</v>
      </c>
      <c r="AF56" s="8">
        <f ca="1">_xll.HLV5r3.Analytics.Miscellaneous.Zero2DF(_xll.HLV5r3.Analytics.Miscellaneous.LinearInterp(Peturbed_QZ,$K56,1,AF$1),ZeroCompFreq,'PDH Calc'!$K56/365)</f>
        <v>1</v>
      </c>
      <c r="AG56" s="8">
        <f ca="1">_xll.HLV5r3.Analytics.Miscellaneous.Zero2DF(_xll.HLV5r3.Analytics.Miscellaneous.LinearInterp(Peturbed_QZ,$K56,1,AG$1),ZeroCompFreq,'PDH Calc'!$K56/365)</f>
        <v>1</v>
      </c>
      <c r="AH56" s="8">
        <f ca="1">_xll.HLV5r3.Analytics.Miscellaneous.Zero2DF(_xll.HLV5r3.Analytics.Miscellaneous.LinearInterp(Peturbed_QZ,$K56,1,AH$1),ZeroCompFreq,'PDH Calc'!$K56/365)</f>
        <v>1</v>
      </c>
      <c r="AI56" s="8">
        <f ca="1">_xll.HLV5r3.Analytics.Miscellaneous.Zero2DF(_xll.HLV5r3.Analytics.Miscellaneous.LinearInterp(Peturbed_QZ,$K56,1,AI$1),ZeroCompFreq,'PDH Calc'!$K56/365)</f>
        <v>1</v>
      </c>
      <c r="AJ56" s="8">
        <f ca="1">_xll.HLV5r3.Analytics.Miscellaneous.Zero2DF(_xll.HLV5r3.Analytics.Miscellaneous.LinearInterp(Peturbed_QZ,$K56,1,AJ$1),ZeroCompFreq,'PDH Calc'!$K56/365)</f>
        <v>1</v>
      </c>
      <c r="AK56" s="8">
        <f ca="1">_xll.HLV5r3.Analytics.Miscellaneous.Zero2DF(_xll.HLV5r3.Analytics.Miscellaneous.LinearInterp(Peturbed_QZ,$K56,1,AK$1),ZeroCompFreq,'PDH Calc'!$K56/365)</f>
        <v>1</v>
      </c>
    </row>
    <row r="57" spans="1:37">
      <c r="A57" s="4"/>
      <c r="B57" s="6"/>
      <c r="F57" s="11"/>
      <c r="G57" s="6"/>
      <c r="H57" s="20"/>
      <c r="I57" s="21"/>
      <c r="J57" s="26"/>
      <c r="K57" s="6">
        <f t="shared" ca="1" si="7"/>
        <v>0</v>
      </c>
      <c r="L57" s="8">
        <f ca="1">_xll.HLV5r3.Analytics.Miscellaneous.Zero2DF(_xll.HLV5r3.Analytics.Miscellaneous.LinearInterp(Peturbed_QZ,$K57,1,L$1),ZeroCompFreq,'PDH Calc'!$K57/365)</f>
        <v>1</v>
      </c>
      <c r="M57" s="8">
        <f ca="1">_xll.HLV5r3.Analytics.Miscellaneous.Zero2DF(_xll.HLV5r3.Analytics.Miscellaneous.LinearInterp(Peturbed_QZ,$K57,1,M$1),ZeroCompFreq,'PDH Calc'!$K57/365)</f>
        <v>1</v>
      </c>
      <c r="N57" s="8">
        <f ca="1">_xll.HLV5r3.Analytics.Miscellaneous.Zero2DF(_xll.HLV5r3.Analytics.Miscellaneous.LinearInterp(Peturbed_QZ,$K57,1,N$1),ZeroCompFreq,'PDH Calc'!$K57/365)</f>
        <v>1</v>
      </c>
      <c r="O57" s="8">
        <f ca="1">_xll.HLV5r3.Analytics.Miscellaneous.Zero2DF(_xll.HLV5r3.Analytics.Miscellaneous.LinearInterp(Peturbed_QZ,$K57,1,O$1),ZeroCompFreq,'PDH Calc'!$K57/365)</f>
        <v>1</v>
      </c>
      <c r="P57" s="8">
        <f ca="1">_xll.HLV5r3.Analytics.Miscellaneous.Zero2DF(_xll.HLV5r3.Analytics.Miscellaneous.LinearInterp(Peturbed_QZ,$K57,1,P$1),ZeroCompFreq,'PDH Calc'!$K57/365)</f>
        <v>1</v>
      </c>
      <c r="Q57" s="8">
        <f ca="1">_xll.HLV5r3.Analytics.Miscellaneous.Zero2DF(_xll.HLV5r3.Analytics.Miscellaneous.LinearInterp(Peturbed_QZ,$K57,1,Q$1),ZeroCompFreq,'PDH Calc'!$K57/365)</f>
        <v>1</v>
      </c>
      <c r="R57" s="8">
        <f ca="1">_xll.HLV5r3.Analytics.Miscellaneous.Zero2DF(_xll.HLV5r3.Analytics.Miscellaneous.LinearInterp(Peturbed_QZ,$K57,1,R$1),ZeroCompFreq,'PDH Calc'!$K57/365)</f>
        <v>1</v>
      </c>
      <c r="S57" s="8">
        <f ca="1">_xll.HLV5r3.Analytics.Miscellaneous.Zero2DF(_xll.HLV5r3.Analytics.Miscellaneous.LinearInterp(Peturbed_QZ,$K57,1,S$1),ZeroCompFreq,'PDH Calc'!$K57/365)</f>
        <v>1</v>
      </c>
      <c r="T57" s="8">
        <f ca="1">_xll.HLV5r3.Analytics.Miscellaneous.Zero2DF(_xll.HLV5r3.Analytics.Miscellaneous.LinearInterp(Peturbed_QZ,$K57,1,T$1),ZeroCompFreq,'PDH Calc'!$K57/365)</f>
        <v>1</v>
      </c>
      <c r="U57" s="8">
        <f ca="1">_xll.HLV5r3.Analytics.Miscellaneous.Zero2DF(_xll.HLV5r3.Analytics.Miscellaneous.LinearInterp(Peturbed_QZ,$K57,1,U$1),ZeroCompFreq,'PDH Calc'!$K57/365)</f>
        <v>1</v>
      </c>
      <c r="V57" s="8">
        <f ca="1">_xll.HLV5r3.Analytics.Miscellaneous.Zero2DF(_xll.HLV5r3.Analytics.Miscellaneous.LinearInterp(Peturbed_QZ,$K57,1,V$1),ZeroCompFreq,'PDH Calc'!$K57/365)</f>
        <v>1</v>
      </c>
      <c r="W57" s="8">
        <f ca="1">_xll.HLV5r3.Analytics.Miscellaneous.Zero2DF(_xll.HLV5r3.Analytics.Miscellaneous.LinearInterp(Peturbed_QZ,$K57,1,W$1),ZeroCompFreq,'PDH Calc'!$K57/365)</f>
        <v>1</v>
      </c>
      <c r="X57" s="8">
        <f ca="1">_xll.HLV5r3.Analytics.Miscellaneous.Zero2DF(_xll.HLV5r3.Analytics.Miscellaneous.LinearInterp(Peturbed_QZ,$K57,1,X$1),ZeroCompFreq,'PDH Calc'!$K57/365)</f>
        <v>1</v>
      </c>
      <c r="Y57" s="8">
        <f ca="1">_xll.HLV5r3.Analytics.Miscellaneous.Zero2DF(_xll.HLV5r3.Analytics.Miscellaneous.LinearInterp(Peturbed_QZ,$K57,1,Y$1),ZeroCompFreq,'PDH Calc'!$K57/365)</f>
        <v>1</v>
      </c>
      <c r="Z57" s="8">
        <f ca="1">_xll.HLV5r3.Analytics.Miscellaneous.Zero2DF(_xll.HLV5r3.Analytics.Miscellaneous.LinearInterp(Peturbed_QZ,$K57,1,Z$1),ZeroCompFreq,'PDH Calc'!$K57/365)</f>
        <v>1</v>
      </c>
      <c r="AA57" s="8">
        <f ca="1">_xll.HLV5r3.Analytics.Miscellaneous.Zero2DF(_xll.HLV5r3.Analytics.Miscellaneous.LinearInterp(Peturbed_QZ,$K57,1,AA$1),ZeroCompFreq,'PDH Calc'!$K57/365)</f>
        <v>1</v>
      </c>
      <c r="AB57" s="8">
        <f ca="1">_xll.HLV5r3.Analytics.Miscellaneous.Zero2DF(_xll.HLV5r3.Analytics.Miscellaneous.LinearInterp(Peturbed_QZ,$K57,1,AB$1),ZeroCompFreq,'PDH Calc'!$K57/365)</f>
        <v>1</v>
      </c>
      <c r="AC57" s="8">
        <f ca="1">_xll.HLV5r3.Analytics.Miscellaneous.Zero2DF(_xll.HLV5r3.Analytics.Miscellaneous.LinearInterp(Peturbed_QZ,$K57,1,AC$1),ZeroCompFreq,'PDH Calc'!$K57/365)</f>
        <v>1</v>
      </c>
      <c r="AD57" s="8">
        <f ca="1">_xll.HLV5r3.Analytics.Miscellaneous.Zero2DF(_xll.HLV5r3.Analytics.Miscellaneous.LinearInterp(Peturbed_QZ,$K57,1,AD$1),ZeroCompFreq,'PDH Calc'!$K57/365)</f>
        <v>1</v>
      </c>
      <c r="AE57" s="8">
        <f ca="1">_xll.HLV5r3.Analytics.Miscellaneous.Zero2DF(_xll.HLV5r3.Analytics.Miscellaneous.LinearInterp(Peturbed_QZ,$K57,1,AE$1),ZeroCompFreq,'PDH Calc'!$K57/365)</f>
        <v>1</v>
      </c>
      <c r="AF57" s="8">
        <f ca="1">_xll.HLV5r3.Analytics.Miscellaneous.Zero2DF(_xll.HLV5r3.Analytics.Miscellaneous.LinearInterp(Peturbed_QZ,$K57,1,AF$1),ZeroCompFreq,'PDH Calc'!$K57/365)</f>
        <v>1</v>
      </c>
      <c r="AG57" s="8">
        <f ca="1">_xll.HLV5r3.Analytics.Miscellaneous.Zero2DF(_xll.HLV5r3.Analytics.Miscellaneous.LinearInterp(Peturbed_QZ,$K57,1,AG$1),ZeroCompFreq,'PDH Calc'!$K57/365)</f>
        <v>1</v>
      </c>
      <c r="AH57" s="8">
        <f ca="1">_xll.HLV5r3.Analytics.Miscellaneous.Zero2DF(_xll.HLV5r3.Analytics.Miscellaneous.LinearInterp(Peturbed_QZ,$K57,1,AH$1),ZeroCompFreq,'PDH Calc'!$K57/365)</f>
        <v>1</v>
      </c>
      <c r="AI57" s="8">
        <f ca="1">_xll.HLV5r3.Analytics.Miscellaneous.Zero2DF(_xll.HLV5r3.Analytics.Miscellaneous.LinearInterp(Peturbed_QZ,$K57,1,AI$1),ZeroCompFreq,'PDH Calc'!$K57/365)</f>
        <v>1</v>
      </c>
      <c r="AJ57" s="8">
        <f ca="1">_xll.HLV5r3.Analytics.Miscellaneous.Zero2DF(_xll.HLV5r3.Analytics.Miscellaneous.LinearInterp(Peturbed_QZ,$K57,1,AJ$1),ZeroCompFreq,'PDH Calc'!$K57/365)</f>
        <v>1</v>
      </c>
      <c r="AK57" s="8">
        <f ca="1">_xll.HLV5r3.Analytics.Miscellaneous.Zero2DF(_xll.HLV5r3.Analytics.Miscellaneous.LinearInterp(Peturbed_QZ,$K57,1,AK$1),ZeroCompFreq,'PDH Calc'!$K57/365)</f>
        <v>1</v>
      </c>
    </row>
    <row r="58" spans="1:37">
      <c r="A58" s="4"/>
      <c r="B58" s="6"/>
      <c r="F58" s="11"/>
      <c r="G58" s="6"/>
      <c r="H58" s="20"/>
      <c r="I58" s="21"/>
      <c r="J58" s="26"/>
      <c r="K58" s="6">
        <f t="shared" ca="1" si="7"/>
        <v>0</v>
      </c>
      <c r="L58" s="8">
        <f ca="1">_xll.HLV5r3.Analytics.Miscellaneous.Zero2DF(_xll.HLV5r3.Analytics.Miscellaneous.LinearInterp(Peturbed_QZ,$K58,1,L$1),ZeroCompFreq,'PDH Calc'!$K58/365)</f>
        <v>1</v>
      </c>
      <c r="M58" s="8">
        <f ca="1">_xll.HLV5r3.Analytics.Miscellaneous.Zero2DF(_xll.HLV5r3.Analytics.Miscellaneous.LinearInterp(Peturbed_QZ,$K58,1,M$1),ZeroCompFreq,'PDH Calc'!$K58/365)</f>
        <v>1</v>
      </c>
      <c r="N58" s="8">
        <f ca="1">_xll.HLV5r3.Analytics.Miscellaneous.Zero2DF(_xll.HLV5r3.Analytics.Miscellaneous.LinearInterp(Peturbed_QZ,$K58,1,N$1),ZeroCompFreq,'PDH Calc'!$K58/365)</f>
        <v>1</v>
      </c>
      <c r="O58" s="8">
        <f ca="1">_xll.HLV5r3.Analytics.Miscellaneous.Zero2DF(_xll.HLV5r3.Analytics.Miscellaneous.LinearInterp(Peturbed_QZ,$K58,1,O$1),ZeroCompFreq,'PDH Calc'!$K58/365)</f>
        <v>1</v>
      </c>
      <c r="P58" s="8">
        <f ca="1">_xll.HLV5r3.Analytics.Miscellaneous.Zero2DF(_xll.HLV5r3.Analytics.Miscellaneous.LinearInterp(Peturbed_QZ,$K58,1,P$1),ZeroCompFreq,'PDH Calc'!$K58/365)</f>
        <v>1</v>
      </c>
      <c r="Q58" s="8">
        <f ca="1">_xll.HLV5r3.Analytics.Miscellaneous.Zero2DF(_xll.HLV5r3.Analytics.Miscellaneous.LinearInterp(Peturbed_QZ,$K58,1,Q$1),ZeroCompFreq,'PDH Calc'!$K58/365)</f>
        <v>1</v>
      </c>
      <c r="R58" s="8">
        <f ca="1">_xll.HLV5r3.Analytics.Miscellaneous.Zero2DF(_xll.HLV5r3.Analytics.Miscellaneous.LinearInterp(Peturbed_QZ,$K58,1,R$1),ZeroCompFreq,'PDH Calc'!$K58/365)</f>
        <v>1</v>
      </c>
      <c r="S58" s="8">
        <f ca="1">_xll.HLV5r3.Analytics.Miscellaneous.Zero2DF(_xll.HLV5r3.Analytics.Miscellaneous.LinearInterp(Peturbed_QZ,$K58,1,S$1),ZeroCompFreq,'PDH Calc'!$K58/365)</f>
        <v>1</v>
      </c>
      <c r="T58" s="8">
        <f ca="1">_xll.HLV5r3.Analytics.Miscellaneous.Zero2DF(_xll.HLV5r3.Analytics.Miscellaneous.LinearInterp(Peturbed_QZ,$K58,1,T$1),ZeroCompFreq,'PDH Calc'!$K58/365)</f>
        <v>1</v>
      </c>
      <c r="U58" s="8">
        <f ca="1">_xll.HLV5r3.Analytics.Miscellaneous.Zero2DF(_xll.HLV5r3.Analytics.Miscellaneous.LinearInterp(Peturbed_QZ,$K58,1,U$1),ZeroCompFreq,'PDH Calc'!$K58/365)</f>
        <v>1</v>
      </c>
      <c r="V58" s="8">
        <f ca="1">_xll.HLV5r3.Analytics.Miscellaneous.Zero2DF(_xll.HLV5r3.Analytics.Miscellaneous.LinearInterp(Peturbed_QZ,$K58,1,V$1),ZeroCompFreq,'PDH Calc'!$K58/365)</f>
        <v>1</v>
      </c>
      <c r="W58" s="8">
        <f ca="1">_xll.HLV5r3.Analytics.Miscellaneous.Zero2DF(_xll.HLV5r3.Analytics.Miscellaneous.LinearInterp(Peturbed_QZ,$K58,1,W$1),ZeroCompFreq,'PDH Calc'!$K58/365)</f>
        <v>1</v>
      </c>
      <c r="X58" s="8">
        <f ca="1">_xll.HLV5r3.Analytics.Miscellaneous.Zero2DF(_xll.HLV5r3.Analytics.Miscellaneous.LinearInterp(Peturbed_QZ,$K58,1,X$1),ZeroCompFreq,'PDH Calc'!$K58/365)</f>
        <v>1</v>
      </c>
      <c r="Y58" s="8">
        <f ca="1">_xll.HLV5r3.Analytics.Miscellaneous.Zero2DF(_xll.HLV5r3.Analytics.Miscellaneous.LinearInterp(Peturbed_QZ,$K58,1,Y$1),ZeroCompFreq,'PDH Calc'!$K58/365)</f>
        <v>1</v>
      </c>
      <c r="Z58" s="8">
        <f ca="1">_xll.HLV5r3.Analytics.Miscellaneous.Zero2DF(_xll.HLV5r3.Analytics.Miscellaneous.LinearInterp(Peturbed_QZ,$K58,1,Z$1),ZeroCompFreq,'PDH Calc'!$K58/365)</f>
        <v>1</v>
      </c>
      <c r="AA58" s="8">
        <f ca="1">_xll.HLV5r3.Analytics.Miscellaneous.Zero2DF(_xll.HLV5r3.Analytics.Miscellaneous.LinearInterp(Peturbed_QZ,$K58,1,AA$1),ZeroCompFreq,'PDH Calc'!$K58/365)</f>
        <v>1</v>
      </c>
      <c r="AB58" s="8">
        <f ca="1">_xll.HLV5r3.Analytics.Miscellaneous.Zero2DF(_xll.HLV5r3.Analytics.Miscellaneous.LinearInterp(Peturbed_QZ,$K58,1,AB$1),ZeroCompFreq,'PDH Calc'!$K58/365)</f>
        <v>1</v>
      </c>
      <c r="AC58" s="8">
        <f ca="1">_xll.HLV5r3.Analytics.Miscellaneous.Zero2DF(_xll.HLV5r3.Analytics.Miscellaneous.LinearInterp(Peturbed_QZ,$K58,1,AC$1),ZeroCompFreq,'PDH Calc'!$K58/365)</f>
        <v>1</v>
      </c>
      <c r="AD58" s="8">
        <f ca="1">_xll.HLV5r3.Analytics.Miscellaneous.Zero2DF(_xll.HLV5r3.Analytics.Miscellaneous.LinearInterp(Peturbed_QZ,$K58,1,AD$1),ZeroCompFreq,'PDH Calc'!$K58/365)</f>
        <v>1</v>
      </c>
      <c r="AE58" s="8">
        <f ca="1">_xll.HLV5r3.Analytics.Miscellaneous.Zero2DF(_xll.HLV5r3.Analytics.Miscellaneous.LinearInterp(Peturbed_QZ,$K58,1,AE$1),ZeroCompFreq,'PDH Calc'!$K58/365)</f>
        <v>1</v>
      </c>
      <c r="AF58" s="8">
        <f ca="1">_xll.HLV5r3.Analytics.Miscellaneous.Zero2DF(_xll.HLV5r3.Analytics.Miscellaneous.LinearInterp(Peturbed_QZ,$K58,1,AF$1),ZeroCompFreq,'PDH Calc'!$K58/365)</f>
        <v>1</v>
      </c>
      <c r="AG58" s="8">
        <f ca="1">_xll.HLV5r3.Analytics.Miscellaneous.Zero2DF(_xll.HLV5r3.Analytics.Miscellaneous.LinearInterp(Peturbed_QZ,$K58,1,AG$1),ZeroCompFreq,'PDH Calc'!$K58/365)</f>
        <v>1</v>
      </c>
      <c r="AH58" s="8">
        <f ca="1">_xll.HLV5r3.Analytics.Miscellaneous.Zero2DF(_xll.HLV5r3.Analytics.Miscellaneous.LinearInterp(Peturbed_QZ,$K58,1,AH$1),ZeroCompFreq,'PDH Calc'!$K58/365)</f>
        <v>1</v>
      </c>
      <c r="AI58" s="8">
        <f ca="1">_xll.HLV5r3.Analytics.Miscellaneous.Zero2DF(_xll.HLV5r3.Analytics.Miscellaneous.LinearInterp(Peturbed_QZ,$K58,1,AI$1),ZeroCompFreq,'PDH Calc'!$K58/365)</f>
        <v>1</v>
      </c>
      <c r="AJ58" s="8">
        <f ca="1">_xll.HLV5r3.Analytics.Miscellaneous.Zero2DF(_xll.HLV5r3.Analytics.Miscellaneous.LinearInterp(Peturbed_QZ,$K58,1,AJ$1),ZeroCompFreq,'PDH Calc'!$K58/365)</f>
        <v>1</v>
      </c>
      <c r="AK58" s="8">
        <f ca="1">_xll.HLV5r3.Analytics.Miscellaneous.Zero2DF(_xll.HLV5r3.Analytics.Miscellaneous.LinearInterp(Peturbed_QZ,$K58,1,AK$1),ZeroCompFreq,'PDH Calc'!$K58/365)</f>
        <v>1</v>
      </c>
    </row>
    <row r="59" spans="1:37">
      <c r="A59" s="4"/>
      <c r="B59" s="6"/>
      <c r="F59" s="11"/>
      <c r="G59" s="6"/>
      <c r="H59" s="20"/>
      <c r="I59" s="21"/>
      <c r="J59" s="26"/>
      <c r="K59" s="6">
        <f t="shared" ca="1" si="7"/>
        <v>0</v>
      </c>
      <c r="L59" s="8">
        <f ca="1">_xll.HLV5r3.Analytics.Miscellaneous.Zero2DF(_xll.HLV5r3.Analytics.Miscellaneous.LinearInterp(Peturbed_QZ,$K59,1,L$1),ZeroCompFreq,'PDH Calc'!$K59/365)</f>
        <v>1</v>
      </c>
      <c r="M59" s="8">
        <f ca="1">_xll.HLV5r3.Analytics.Miscellaneous.Zero2DF(_xll.HLV5r3.Analytics.Miscellaneous.LinearInterp(Peturbed_QZ,$K59,1,M$1),ZeroCompFreq,'PDH Calc'!$K59/365)</f>
        <v>1</v>
      </c>
      <c r="N59" s="8">
        <f ca="1">_xll.HLV5r3.Analytics.Miscellaneous.Zero2DF(_xll.HLV5r3.Analytics.Miscellaneous.LinearInterp(Peturbed_QZ,$K59,1,N$1),ZeroCompFreq,'PDH Calc'!$K59/365)</f>
        <v>1</v>
      </c>
      <c r="O59" s="8">
        <f ca="1">_xll.HLV5r3.Analytics.Miscellaneous.Zero2DF(_xll.HLV5r3.Analytics.Miscellaneous.LinearInterp(Peturbed_QZ,$K59,1,O$1),ZeroCompFreq,'PDH Calc'!$K59/365)</f>
        <v>1</v>
      </c>
      <c r="P59" s="8">
        <f ca="1">_xll.HLV5r3.Analytics.Miscellaneous.Zero2DF(_xll.HLV5r3.Analytics.Miscellaneous.LinearInterp(Peturbed_QZ,$K59,1,P$1),ZeroCompFreq,'PDH Calc'!$K59/365)</f>
        <v>1</v>
      </c>
      <c r="Q59" s="8">
        <f ca="1">_xll.HLV5r3.Analytics.Miscellaneous.Zero2DF(_xll.HLV5r3.Analytics.Miscellaneous.LinearInterp(Peturbed_QZ,$K59,1,Q$1),ZeroCompFreq,'PDH Calc'!$K59/365)</f>
        <v>1</v>
      </c>
      <c r="R59" s="8">
        <f ca="1">_xll.HLV5r3.Analytics.Miscellaneous.Zero2DF(_xll.HLV5r3.Analytics.Miscellaneous.LinearInterp(Peturbed_QZ,$K59,1,R$1),ZeroCompFreq,'PDH Calc'!$K59/365)</f>
        <v>1</v>
      </c>
      <c r="S59" s="8">
        <f ca="1">_xll.HLV5r3.Analytics.Miscellaneous.Zero2DF(_xll.HLV5r3.Analytics.Miscellaneous.LinearInterp(Peturbed_QZ,$K59,1,S$1),ZeroCompFreq,'PDH Calc'!$K59/365)</f>
        <v>1</v>
      </c>
      <c r="T59" s="8">
        <f ca="1">_xll.HLV5r3.Analytics.Miscellaneous.Zero2DF(_xll.HLV5r3.Analytics.Miscellaneous.LinearInterp(Peturbed_QZ,$K59,1,T$1),ZeroCompFreq,'PDH Calc'!$K59/365)</f>
        <v>1</v>
      </c>
      <c r="U59" s="8">
        <f ca="1">_xll.HLV5r3.Analytics.Miscellaneous.Zero2DF(_xll.HLV5r3.Analytics.Miscellaneous.LinearInterp(Peturbed_QZ,$K59,1,U$1),ZeroCompFreq,'PDH Calc'!$K59/365)</f>
        <v>1</v>
      </c>
      <c r="V59" s="8">
        <f ca="1">_xll.HLV5r3.Analytics.Miscellaneous.Zero2DF(_xll.HLV5r3.Analytics.Miscellaneous.LinearInterp(Peturbed_QZ,$K59,1,V$1),ZeroCompFreq,'PDH Calc'!$K59/365)</f>
        <v>1</v>
      </c>
      <c r="W59" s="8">
        <f ca="1">_xll.HLV5r3.Analytics.Miscellaneous.Zero2DF(_xll.HLV5r3.Analytics.Miscellaneous.LinearInterp(Peturbed_QZ,$K59,1,W$1),ZeroCompFreq,'PDH Calc'!$K59/365)</f>
        <v>1</v>
      </c>
      <c r="X59" s="8">
        <f ca="1">_xll.HLV5r3.Analytics.Miscellaneous.Zero2DF(_xll.HLV5r3.Analytics.Miscellaneous.LinearInterp(Peturbed_QZ,$K59,1,X$1),ZeroCompFreq,'PDH Calc'!$K59/365)</f>
        <v>1</v>
      </c>
      <c r="Y59" s="8">
        <f ca="1">_xll.HLV5r3.Analytics.Miscellaneous.Zero2DF(_xll.HLV5r3.Analytics.Miscellaneous.LinearInterp(Peturbed_QZ,$K59,1,Y$1),ZeroCompFreq,'PDH Calc'!$K59/365)</f>
        <v>1</v>
      </c>
      <c r="Z59" s="8">
        <f ca="1">_xll.HLV5r3.Analytics.Miscellaneous.Zero2DF(_xll.HLV5r3.Analytics.Miscellaneous.LinearInterp(Peturbed_QZ,$K59,1,Z$1),ZeroCompFreq,'PDH Calc'!$K59/365)</f>
        <v>1</v>
      </c>
      <c r="AA59" s="8">
        <f ca="1">_xll.HLV5r3.Analytics.Miscellaneous.Zero2DF(_xll.HLV5r3.Analytics.Miscellaneous.LinearInterp(Peturbed_QZ,$K59,1,AA$1),ZeroCompFreq,'PDH Calc'!$K59/365)</f>
        <v>1</v>
      </c>
      <c r="AB59" s="8">
        <f ca="1">_xll.HLV5r3.Analytics.Miscellaneous.Zero2DF(_xll.HLV5r3.Analytics.Miscellaneous.LinearInterp(Peturbed_QZ,$K59,1,AB$1),ZeroCompFreq,'PDH Calc'!$K59/365)</f>
        <v>1</v>
      </c>
      <c r="AC59" s="8">
        <f ca="1">_xll.HLV5r3.Analytics.Miscellaneous.Zero2DF(_xll.HLV5r3.Analytics.Miscellaneous.LinearInterp(Peturbed_QZ,$K59,1,AC$1),ZeroCompFreq,'PDH Calc'!$K59/365)</f>
        <v>1</v>
      </c>
      <c r="AD59" s="8">
        <f ca="1">_xll.HLV5r3.Analytics.Miscellaneous.Zero2DF(_xll.HLV5r3.Analytics.Miscellaneous.LinearInterp(Peturbed_QZ,$K59,1,AD$1),ZeroCompFreq,'PDH Calc'!$K59/365)</f>
        <v>1</v>
      </c>
      <c r="AE59" s="8">
        <f ca="1">_xll.HLV5r3.Analytics.Miscellaneous.Zero2DF(_xll.HLV5r3.Analytics.Miscellaneous.LinearInterp(Peturbed_QZ,$K59,1,AE$1),ZeroCompFreq,'PDH Calc'!$K59/365)</f>
        <v>1</v>
      </c>
      <c r="AF59" s="8">
        <f ca="1">_xll.HLV5r3.Analytics.Miscellaneous.Zero2DF(_xll.HLV5r3.Analytics.Miscellaneous.LinearInterp(Peturbed_QZ,$K59,1,AF$1),ZeroCompFreq,'PDH Calc'!$K59/365)</f>
        <v>1</v>
      </c>
      <c r="AG59" s="8">
        <f ca="1">_xll.HLV5r3.Analytics.Miscellaneous.Zero2DF(_xll.HLV5r3.Analytics.Miscellaneous.LinearInterp(Peturbed_QZ,$K59,1,AG$1),ZeroCompFreq,'PDH Calc'!$K59/365)</f>
        <v>1</v>
      </c>
      <c r="AH59" s="8">
        <f ca="1">_xll.HLV5r3.Analytics.Miscellaneous.Zero2DF(_xll.HLV5r3.Analytics.Miscellaneous.LinearInterp(Peturbed_QZ,$K59,1,AH$1),ZeroCompFreq,'PDH Calc'!$K59/365)</f>
        <v>1</v>
      </c>
      <c r="AI59" s="8">
        <f ca="1">_xll.HLV5r3.Analytics.Miscellaneous.Zero2DF(_xll.HLV5r3.Analytics.Miscellaneous.LinearInterp(Peturbed_QZ,$K59,1,AI$1),ZeroCompFreq,'PDH Calc'!$K59/365)</f>
        <v>1</v>
      </c>
      <c r="AJ59" s="8">
        <f ca="1">_xll.HLV5r3.Analytics.Miscellaneous.Zero2DF(_xll.HLV5r3.Analytics.Miscellaneous.LinearInterp(Peturbed_QZ,$K59,1,AJ$1),ZeroCompFreq,'PDH Calc'!$K59/365)</f>
        <v>1</v>
      </c>
      <c r="AK59" s="8">
        <f ca="1">_xll.HLV5r3.Analytics.Miscellaneous.Zero2DF(_xll.HLV5r3.Analytics.Miscellaneous.LinearInterp(Peturbed_QZ,$K59,1,AK$1),ZeroCompFreq,'PDH Calc'!$K59/365)</f>
        <v>1</v>
      </c>
    </row>
    <row r="60" spans="1:37">
      <c r="A60" s="4"/>
      <c r="B60" s="6"/>
      <c r="F60" s="11"/>
      <c r="G60" s="6"/>
      <c r="H60" s="20"/>
      <c r="I60" s="21"/>
      <c r="J60" s="26"/>
      <c r="K60" s="6">
        <f t="shared" ca="1" si="7"/>
        <v>0</v>
      </c>
      <c r="L60" s="8">
        <f ca="1">_xll.HLV5r3.Analytics.Miscellaneous.Zero2DF(_xll.HLV5r3.Analytics.Miscellaneous.LinearInterp(Peturbed_QZ,$K60,1,L$1),ZeroCompFreq,'PDH Calc'!$K60/365)</f>
        <v>1</v>
      </c>
      <c r="M60" s="8">
        <f ca="1">_xll.HLV5r3.Analytics.Miscellaneous.Zero2DF(_xll.HLV5r3.Analytics.Miscellaneous.LinearInterp(Peturbed_QZ,$K60,1,M$1),ZeroCompFreq,'PDH Calc'!$K60/365)</f>
        <v>1</v>
      </c>
      <c r="N60" s="8">
        <f ca="1">_xll.HLV5r3.Analytics.Miscellaneous.Zero2DF(_xll.HLV5r3.Analytics.Miscellaneous.LinearInterp(Peturbed_QZ,$K60,1,N$1),ZeroCompFreq,'PDH Calc'!$K60/365)</f>
        <v>1</v>
      </c>
      <c r="O60" s="8">
        <f ca="1">_xll.HLV5r3.Analytics.Miscellaneous.Zero2DF(_xll.HLV5r3.Analytics.Miscellaneous.LinearInterp(Peturbed_QZ,$K60,1,O$1),ZeroCompFreq,'PDH Calc'!$K60/365)</f>
        <v>1</v>
      </c>
      <c r="P60" s="8">
        <f ca="1">_xll.HLV5r3.Analytics.Miscellaneous.Zero2DF(_xll.HLV5r3.Analytics.Miscellaneous.LinearInterp(Peturbed_QZ,$K60,1,P$1),ZeroCompFreq,'PDH Calc'!$K60/365)</f>
        <v>1</v>
      </c>
      <c r="Q60" s="8">
        <f ca="1">_xll.HLV5r3.Analytics.Miscellaneous.Zero2DF(_xll.HLV5r3.Analytics.Miscellaneous.LinearInterp(Peturbed_QZ,$K60,1,Q$1),ZeroCompFreq,'PDH Calc'!$K60/365)</f>
        <v>1</v>
      </c>
      <c r="R60" s="8">
        <f ca="1">_xll.HLV5r3.Analytics.Miscellaneous.Zero2DF(_xll.HLV5r3.Analytics.Miscellaneous.LinearInterp(Peturbed_QZ,$K60,1,R$1),ZeroCompFreq,'PDH Calc'!$K60/365)</f>
        <v>1</v>
      </c>
      <c r="S60" s="8">
        <f ca="1">_xll.HLV5r3.Analytics.Miscellaneous.Zero2DF(_xll.HLV5r3.Analytics.Miscellaneous.LinearInterp(Peturbed_QZ,$K60,1,S$1),ZeroCompFreq,'PDH Calc'!$K60/365)</f>
        <v>1</v>
      </c>
      <c r="T60" s="8">
        <f ca="1">_xll.HLV5r3.Analytics.Miscellaneous.Zero2DF(_xll.HLV5r3.Analytics.Miscellaneous.LinearInterp(Peturbed_QZ,$K60,1,T$1),ZeroCompFreq,'PDH Calc'!$K60/365)</f>
        <v>1</v>
      </c>
      <c r="U60" s="8">
        <f ca="1">_xll.HLV5r3.Analytics.Miscellaneous.Zero2DF(_xll.HLV5r3.Analytics.Miscellaneous.LinearInterp(Peturbed_QZ,$K60,1,U$1),ZeroCompFreq,'PDH Calc'!$K60/365)</f>
        <v>1</v>
      </c>
      <c r="V60" s="8">
        <f ca="1">_xll.HLV5r3.Analytics.Miscellaneous.Zero2DF(_xll.HLV5r3.Analytics.Miscellaneous.LinearInterp(Peturbed_QZ,$K60,1,V$1),ZeroCompFreq,'PDH Calc'!$K60/365)</f>
        <v>1</v>
      </c>
      <c r="W60" s="8">
        <f ca="1">_xll.HLV5r3.Analytics.Miscellaneous.Zero2DF(_xll.HLV5r3.Analytics.Miscellaneous.LinearInterp(Peturbed_QZ,$K60,1,W$1),ZeroCompFreq,'PDH Calc'!$K60/365)</f>
        <v>1</v>
      </c>
      <c r="X60" s="8">
        <f ca="1">_xll.HLV5r3.Analytics.Miscellaneous.Zero2DF(_xll.HLV5r3.Analytics.Miscellaneous.LinearInterp(Peturbed_QZ,$K60,1,X$1),ZeroCompFreq,'PDH Calc'!$K60/365)</f>
        <v>1</v>
      </c>
      <c r="Y60" s="8">
        <f ca="1">_xll.HLV5r3.Analytics.Miscellaneous.Zero2DF(_xll.HLV5r3.Analytics.Miscellaneous.LinearInterp(Peturbed_QZ,$K60,1,Y$1),ZeroCompFreq,'PDH Calc'!$K60/365)</f>
        <v>1</v>
      </c>
      <c r="Z60" s="8">
        <f ca="1">_xll.HLV5r3.Analytics.Miscellaneous.Zero2DF(_xll.HLV5r3.Analytics.Miscellaneous.LinearInterp(Peturbed_QZ,$K60,1,Z$1),ZeroCompFreq,'PDH Calc'!$K60/365)</f>
        <v>1</v>
      </c>
      <c r="AA60" s="8">
        <f ca="1">_xll.HLV5r3.Analytics.Miscellaneous.Zero2DF(_xll.HLV5r3.Analytics.Miscellaneous.LinearInterp(Peturbed_QZ,$K60,1,AA$1),ZeroCompFreq,'PDH Calc'!$K60/365)</f>
        <v>1</v>
      </c>
      <c r="AB60" s="8">
        <f ca="1">_xll.HLV5r3.Analytics.Miscellaneous.Zero2DF(_xll.HLV5r3.Analytics.Miscellaneous.LinearInterp(Peturbed_QZ,$K60,1,AB$1),ZeroCompFreq,'PDH Calc'!$K60/365)</f>
        <v>1</v>
      </c>
      <c r="AC60" s="8">
        <f ca="1">_xll.HLV5r3.Analytics.Miscellaneous.Zero2DF(_xll.HLV5r3.Analytics.Miscellaneous.LinearInterp(Peturbed_QZ,$K60,1,AC$1),ZeroCompFreq,'PDH Calc'!$K60/365)</f>
        <v>1</v>
      </c>
      <c r="AD60" s="8">
        <f ca="1">_xll.HLV5r3.Analytics.Miscellaneous.Zero2DF(_xll.HLV5r3.Analytics.Miscellaneous.LinearInterp(Peturbed_QZ,$K60,1,AD$1),ZeroCompFreq,'PDH Calc'!$K60/365)</f>
        <v>1</v>
      </c>
      <c r="AE60" s="8">
        <f ca="1">_xll.HLV5r3.Analytics.Miscellaneous.Zero2DF(_xll.HLV5r3.Analytics.Miscellaneous.LinearInterp(Peturbed_QZ,$K60,1,AE$1),ZeroCompFreq,'PDH Calc'!$K60/365)</f>
        <v>1</v>
      </c>
      <c r="AF60" s="8">
        <f ca="1">_xll.HLV5r3.Analytics.Miscellaneous.Zero2DF(_xll.HLV5r3.Analytics.Miscellaneous.LinearInterp(Peturbed_QZ,$K60,1,AF$1),ZeroCompFreq,'PDH Calc'!$K60/365)</f>
        <v>1</v>
      </c>
      <c r="AG60" s="8">
        <f ca="1">_xll.HLV5r3.Analytics.Miscellaneous.Zero2DF(_xll.HLV5r3.Analytics.Miscellaneous.LinearInterp(Peturbed_QZ,$K60,1,AG$1),ZeroCompFreq,'PDH Calc'!$K60/365)</f>
        <v>1</v>
      </c>
      <c r="AH60" s="8">
        <f ca="1">_xll.HLV5r3.Analytics.Miscellaneous.Zero2DF(_xll.HLV5r3.Analytics.Miscellaneous.LinearInterp(Peturbed_QZ,$K60,1,AH$1),ZeroCompFreq,'PDH Calc'!$K60/365)</f>
        <v>1</v>
      </c>
      <c r="AI60" s="8">
        <f ca="1">_xll.HLV5r3.Analytics.Miscellaneous.Zero2DF(_xll.HLV5r3.Analytics.Miscellaneous.LinearInterp(Peturbed_QZ,$K60,1,AI$1),ZeroCompFreq,'PDH Calc'!$K60/365)</f>
        <v>1</v>
      </c>
      <c r="AJ60" s="8">
        <f ca="1">_xll.HLV5r3.Analytics.Miscellaneous.Zero2DF(_xll.HLV5r3.Analytics.Miscellaneous.LinearInterp(Peturbed_QZ,$K60,1,AJ$1),ZeroCompFreq,'PDH Calc'!$K60/365)</f>
        <v>1</v>
      </c>
      <c r="AK60" s="8">
        <f ca="1">_xll.HLV5r3.Analytics.Miscellaneous.Zero2DF(_xll.HLV5r3.Analytics.Miscellaneous.LinearInterp(Peturbed_QZ,$K60,1,AK$1),ZeroCompFreq,'PDH Calc'!$K60/365)</f>
        <v>1</v>
      </c>
    </row>
    <row r="61" spans="1:37">
      <c r="A61" s="4"/>
      <c r="B61" s="6"/>
      <c r="F61" s="11"/>
      <c r="G61" s="6"/>
      <c r="H61" s="20"/>
      <c r="I61" s="21"/>
      <c r="J61" s="26"/>
      <c r="K61" s="6">
        <f t="shared" ca="1" si="7"/>
        <v>0</v>
      </c>
      <c r="L61" s="8">
        <f ca="1">_xll.HLV5r3.Analytics.Miscellaneous.Zero2DF(_xll.HLV5r3.Analytics.Miscellaneous.LinearInterp(Peturbed_QZ,$K61,1,L$1),ZeroCompFreq,'PDH Calc'!$K61/365)</f>
        <v>1</v>
      </c>
      <c r="M61" s="8">
        <f ca="1">_xll.HLV5r3.Analytics.Miscellaneous.Zero2DF(_xll.HLV5r3.Analytics.Miscellaneous.LinearInterp(Peturbed_QZ,$K61,1,M$1),ZeroCompFreq,'PDH Calc'!$K61/365)</f>
        <v>1</v>
      </c>
      <c r="N61" s="8">
        <f ca="1">_xll.HLV5r3.Analytics.Miscellaneous.Zero2DF(_xll.HLV5r3.Analytics.Miscellaneous.LinearInterp(Peturbed_QZ,$K61,1,N$1),ZeroCompFreq,'PDH Calc'!$K61/365)</f>
        <v>1</v>
      </c>
      <c r="O61" s="8">
        <f ca="1">_xll.HLV5r3.Analytics.Miscellaneous.Zero2DF(_xll.HLV5r3.Analytics.Miscellaneous.LinearInterp(Peturbed_QZ,$K61,1,O$1),ZeroCompFreq,'PDH Calc'!$K61/365)</f>
        <v>1</v>
      </c>
      <c r="P61" s="8">
        <f ca="1">_xll.HLV5r3.Analytics.Miscellaneous.Zero2DF(_xll.HLV5r3.Analytics.Miscellaneous.LinearInterp(Peturbed_QZ,$K61,1,P$1),ZeroCompFreq,'PDH Calc'!$K61/365)</f>
        <v>1</v>
      </c>
      <c r="Q61" s="8">
        <f ca="1">_xll.HLV5r3.Analytics.Miscellaneous.Zero2DF(_xll.HLV5r3.Analytics.Miscellaneous.LinearInterp(Peturbed_QZ,$K61,1,Q$1),ZeroCompFreq,'PDH Calc'!$K61/365)</f>
        <v>1</v>
      </c>
      <c r="R61" s="8">
        <f ca="1">_xll.HLV5r3.Analytics.Miscellaneous.Zero2DF(_xll.HLV5r3.Analytics.Miscellaneous.LinearInterp(Peturbed_QZ,$K61,1,R$1),ZeroCompFreq,'PDH Calc'!$K61/365)</f>
        <v>1</v>
      </c>
      <c r="S61" s="8">
        <f ca="1">_xll.HLV5r3.Analytics.Miscellaneous.Zero2DF(_xll.HLV5r3.Analytics.Miscellaneous.LinearInterp(Peturbed_QZ,$K61,1,S$1),ZeroCompFreq,'PDH Calc'!$K61/365)</f>
        <v>1</v>
      </c>
      <c r="T61" s="8">
        <f ca="1">_xll.HLV5r3.Analytics.Miscellaneous.Zero2DF(_xll.HLV5r3.Analytics.Miscellaneous.LinearInterp(Peturbed_QZ,$K61,1,T$1),ZeroCompFreq,'PDH Calc'!$K61/365)</f>
        <v>1</v>
      </c>
      <c r="U61" s="8">
        <f ca="1">_xll.HLV5r3.Analytics.Miscellaneous.Zero2DF(_xll.HLV5r3.Analytics.Miscellaneous.LinearInterp(Peturbed_QZ,$K61,1,U$1),ZeroCompFreq,'PDH Calc'!$K61/365)</f>
        <v>1</v>
      </c>
      <c r="V61" s="8">
        <f ca="1">_xll.HLV5r3.Analytics.Miscellaneous.Zero2DF(_xll.HLV5r3.Analytics.Miscellaneous.LinearInterp(Peturbed_QZ,$K61,1,V$1),ZeroCompFreq,'PDH Calc'!$K61/365)</f>
        <v>1</v>
      </c>
      <c r="W61" s="8">
        <f ca="1">_xll.HLV5r3.Analytics.Miscellaneous.Zero2DF(_xll.HLV5r3.Analytics.Miscellaneous.LinearInterp(Peturbed_QZ,$K61,1,W$1),ZeroCompFreq,'PDH Calc'!$K61/365)</f>
        <v>1</v>
      </c>
      <c r="X61" s="8">
        <f ca="1">_xll.HLV5r3.Analytics.Miscellaneous.Zero2DF(_xll.HLV5r3.Analytics.Miscellaneous.LinearInterp(Peturbed_QZ,$K61,1,X$1),ZeroCompFreq,'PDH Calc'!$K61/365)</f>
        <v>1</v>
      </c>
      <c r="Y61" s="8">
        <f ca="1">_xll.HLV5r3.Analytics.Miscellaneous.Zero2DF(_xll.HLV5r3.Analytics.Miscellaneous.LinearInterp(Peturbed_QZ,$K61,1,Y$1),ZeroCompFreq,'PDH Calc'!$K61/365)</f>
        <v>1</v>
      </c>
      <c r="Z61" s="8">
        <f ca="1">_xll.HLV5r3.Analytics.Miscellaneous.Zero2DF(_xll.HLV5r3.Analytics.Miscellaneous.LinearInterp(Peturbed_QZ,$K61,1,Z$1),ZeroCompFreq,'PDH Calc'!$K61/365)</f>
        <v>1</v>
      </c>
      <c r="AA61" s="8">
        <f ca="1">_xll.HLV5r3.Analytics.Miscellaneous.Zero2DF(_xll.HLV5r3.Analytics.Miscellaneous.LinearInterp(Peturbed_QZ,$K61,1,AA$1),ZeroCompFreq,'PDH Calc'!$K61/365)</f>
        <v>1</v>
      </c>
      <c r="AB61" s="8">
        <f ca="1">_xll.HLV5r3.Analytics.Miscellaneous.Zero2DF(_xll.HLV5r3.Analytics.Miscellaneous.LinearInterp(Peturbed_QZ,$K61,1,AB$1),ZeroCompFreq,'PDH Calc'!$K61/365)</f>
        <v>1</v>
      </c>
      <c r="AC61" s="8">
        <f ca="1">_xll.HLV5r3.Analytics.Miscellaneous.Zero2DF(_xll.HLV5r3.Analytics.Miscellaneous.LinearInterp(Peturbed_QZ,$K61,1,AC$1),ZeroCompFreq,'PDH Calc'!$K61/365)</f>
        <v>1</v>
      </c>
      <c r="AD61" s="8">
        <f ca="1">_xll.HLV5r3.Analytics.Miscellaneous.Zero2DF(_xll.HLV5r3.Analytics.Miscellaneous.LinearInterp(Peturbed_QZ,$K61,1,AD$1),ZeroCompFreq,'PDH Calc'!$K61/365)</f>
        <v>1</v>
      </c>
      <c r="AE61" s="8">
        <f ca="1">_xll.HLV5r3.Analytics.Miscellaneous.Zero2DF(_xll.HLV5r3.Analytics.Miscellaneous.LinearInterp(Peturbed_QZ,$K61,1,AE$1),ZeroCompFreq,'PDH Calc'!$K61/365)</f>
        <v>1</v>
      </c>
      <c r="AF61" s="8">
        <f ca="1">_xll.HLV5r3.Analytics.Miscellaneous.Zero2DF(_xll.HLV5r3.Analytics.Miscellaneous.LinearInterp(Peturbed_QZ,$K61,1,AF$1),ZeroCompFreq,'PDH Calc'!$K61/365)</f>
        <v>1</v>
      </c>
      <c r="AG61" s="8">
        <f ca="1">_xll.HLV5r3.Analytics.Miscellaneous.Zero2DF(_xll.HLV5r3.Analytics.Miscellaneous.LinearInterp(Peturbed_QZ,$K61,1,AG$1),ZeroCompFreq,'PDH Calc'!$K61/365)</f>
        <v>1</v>
      </c>
      <c r="AH61" s="8">
        <f ca="1">_xll.HLV5r3.Analytics.Miscellaneous.Zero2DF(_xll.HLV5r3.Analytics.Miscellaneous.LinearInterp(Peturbed_QZ,$K61,1,AH$1),ZeroCompFreq,'PDH Calc'!$K61/365)</f>
        <v>1</v>
      </c>
      <c r="AI61" s="8">
        <f ca="1">_xll.HLV5r3.Analytics.Miscellaneous.Zero2DF(_xll.HLV5r3.Analytics.Miscellaneous.LinearInterp(Peturbed_QZ,$K61,1,AI$1),ZeroCompFreq,'PDH Calc'!$K61/365)</f>
        <v>1</v>
      </c>
      <c r="AJ61" s="8">
        <f ca="1">_xll.HLV5r3.Analytics.Miscellaneous.Zero2DF(_xll.HLV5r3.Analytics.Miscellaneous.LinearInterp(Peturbed_QZ,$K61,1,AJ$1),ZeroCompFreq,'PDH Calc'!$K61/365)</f>
        <v>1</v>
      </c>
      <c r="AK61" s="8">
        <f ca="1">_xll.HLV5r3.Analytics.Miscellaneous.Zero2DF(_xll.HLV5r3.Analytics.Miscellaneous.LinearInterp(Peturbed_QZ,$K61,1,AK$1),ZeroCompFreq,'PDH Calc'!$K61/365)</f>
        <v>1</v>
      </c>
    </row>
    <row r="62" spans="1:37">
      <c r="A62" s="4"/>
      <c r="B62" s="6"/>
      <c r="F62" s="11"/>
      <c r="G62" s="6"/>
      <c r="H62" s="20"/>
      <c r="I62" s="21"/>
      <c r="J62" s="26"/>
      <c r="K62" s="6">
        <f t="shared" ca="1" si="7"/>
        <v>0</v>
      </c>
      <c r="L62" s="8">
        <f ca="1">_xll.HLV5r3.Analytics.Miscellaneous.Zero2DF(_xll.HLV5r3.Analytics.Miscellaneous.LinearInterp(Peturbed_QZ,$K62,1,L$1),ZeroCompFreq,'PDH Calc'!$K62/365)</f>
        <v>1</v>
      </c>
      <c r="M62" s="8">
        <f ca="1">_xll.HLV5r3.Analytics.Miscellaneous.Zero2DF(_xll.HLV5r3.Analytics.Miscellaneous.LinearInterp(Peturbed_QZ,$K62,1,M$1),ZeroCompFreq,'PDH Calc'!$K62/365)</f>
        <v>1</v>
      </c>
      <c r="N62" s="8">
        <f ca="1">_xll.HLV5r3.Analytics.Miscellaneous.Zero2DF(_xll.HLV5r3.Analytics.Miscellaneous.LinearInterp(Peturbed_QZ,$K62,1,N$1),ZeroCompFreq,'PDH Calc'!$K62/365)</f>
        <v>1</v>
      </c>
      <c r="O62" s="8">
        <f ca="1">_xll.HLV5r3.Analytics.Miscellaneous.Zero2DF(_xll.HLV5r3.Analytics.Miscellaneous.LinearInterp(Peturbed_QZ,$K62,1,O$1),ZeroCompFreq,'PDH Calc'!$K62/365)</f>
        <v>1</v>
      </c>
      <c r="P62" s="8">
        <f ca="1">_xll.HLV5r3.Analytics.Miscellaneous.Zero2DF(_xll.HLV5r3.Analytics.Miscellaneous.LinearInterp(Peturbed_QZ,$K62,1,P$1),ZeroCompFreq,'PDH Calc'!$K62/365)</f>
        <v>1</v>
      </c>
      <c r="Q62" s="8">
        <f ca="1">_xll.HLV5r3.Analytics.Miscellaneous.Zero2DF(_xll.HLV5r3.Analytics.Miscellaneous.LinearInterp(Peturbed_QZ,$K62,1,Q$1),ZeroCompFreq,'PDH Calc'!$K62/365)</f>
        <v>1</v>
      </c>
      <c r="R62" s="8">
        <f ca="1">_xll.HLV5r3.Analytics.Miscellaneous.Zero2DF(_xll.HLV5r3.Analytics.Miscellaneous.LinearInterp(Peturbed_QZ,$K62,1,R$1),ZeroCompFreq,'PDH Calc'!$K62/365)</f>
        <v>1</v>
      </c>
      <c r="S62" s="8">
        <f ca="1">_xll.HLV5r3.Analytics.Miscellaneous.Zero2DF(_xll.HLV5r3.Analytics.Miscellaneous.LinearInterp(Peturbed_QZ,$K62,1,S$1),ZeroCompFreq,'PDH Calc'!$K62/365)</f>
        <v>1</v>
      </c>
      <c r="T62" s="8">
        <f ca="1">_xll.HLV5r3.Analytics.Miscellaneous.Zero2DF(_xll.HLV5r3.Analytics.Miscellaneous.LinearInterp(Peturbed_QZ,$K62,1,T$1),ZeroCompFreq,'PDH Calc'!$K62/365)</f>
        <v>1</v>
      </c>
      <c r="U62" s="8">
        <f ca="1">_xll.HLV5r3.Analytics.Miscellaneous.Zero2DF(_xll.HLV5r3.Analytics.Miscellaneous.LinearInterp(Peturbed_QZ,$K62,1,U$1),ZeroCompFreq,'PDH Calc'!$K62/365)</f>
        <v>1</v>
      </c>
      <c r="V62" s="8">
        <f ca="1">_xll.HLV5r3.Analytics.Miscellaneous.Zero2DF(_xll.HLV5r3.Analytics.Miscellaneous.LinearInterp(Peturbed_QZ,$K62,1,V$1),ZeroCompFreq,'PDH Calc'!$K62/365)</f>
        <v>1</v>
      </c>
      <c r="W62" s="8">
        <f ca="1">_xll.HLV5r3.Analytics.Miscellaneous.Zero2DF(_xll.HLV5r3.Analytics.Miscellaneous.LinearInterp(Peturbed_QZ,$K62,1,W$1),ZeroCompFreq,'PDH Calc'!$K62/365)</f>
        <v>1</v>
      </c>
      <c r="X62" s="8">
        <f ca="1">_xll.HLV5r3.Analytics.Miscellaneous.Zero2DF(_xll.HLV5r3.Analytics.Miscellaneous.LinearInterp(Peturbed_QZ,$K62,1,X$1),ZeroCompFreq,'PDH Calc'!$K62/365)</f>
        <v>1</v>
      </c>
      <c r="Y62" s="8">
        <f ca="1">_xll.HLV5r3.Analytics.Miscellaneous.Zero2DF(_xll.HLV5r3.Analytics.Miscellaneous.LinearInterp(Peturbed_QZ,$K62,1,Y$1),ZeroCompFreq,'PDH Calc'!$K62/365)</f>
        <v>1</v>
      </c>
      <c r="Z62" s="8">
        <f ca="1">_xll.HLV5r3.Analytics.Miscellaneous.Zero2DF(_xll.HLV5r3.Analytics.Miscellaneous.LinearInterp(Peturbed_QZ,$K62,1,Z$1),ZeroCompFreq,'PDH Calc'!$K62/365)</f>
        <v>1</v>
      </c>
      <c r="AA62" s="8">
        <f ca="1">_xll.HLV5r3.Analytics.Miscellaneous.Zero2DF(_xll.HLV5r3.Analytics.Miscellaneous.LinearInterp(Peturbed_QZ,$K62,1,AA$1),ZeroCompFreq,'PDH Calc'!$K62/365)</f>
        <v>1</v>
      </c>
      <c r="AB62" s="8">
        <f ca="1">_xll.HLV5r3.Analytics.Miscellaneous.Zero2DF(_xll.HLV5r3.Analytics.Miscellaneous.LinearInterp(Peturbed_QZ,$K62,1,AB$1),ZeroCompFreq,'PDH Calc'!$K62/365)</f>
        <v>1</v>
      </c>
      <c r="AC62" s="8">
        <f ca="1">_xll.HLV5r3.Analytics.Miscellaneous.Zero2DF(_xll.HLV5r3.Analytics.Miscellaneous.LinearInterp(Peturbed_QZ,$K62,1,AC$1),ZeroCompFreq,'PDH Calc'!$K62/365)</f>
        <v>1</v>
      </c>
      <c r="AD62" s="8">
        <f ca="1">_xll.HLV5r3.Analytics.Miscellaneous.Zero2DF(_xll.HLV5r3.Analytics.Miscellaneous.LinearInterp(Peturbed_QZ,$K62,1,AD$1),ZeroCompFreq,'PDH Calc'!$K62/365)</f>
        <v>1</v>
      </c>
      <c r="AE62" s="8">
        <f ca="1">_xll.HLV5r3.Analytics.Miscellaneous.Zero2DF(_xll.HLV5r3.Analytics.Miscellaneous.LinearInterp(Peturbed_QZ,$K62,1,AE$1),ZeroCompFreq,'PDH Calc'!$K62/365)</f>
        <v>1</v>
      </c>
      <c r="AF62" s="8">
        <f ca="1">_xll.HLV5r3.Analytics.Miscellaneous.Zero2DF(_xll.HLV5r3.Analytics.Miscellaneous.LinearInterp(Peturbed_QZ,$K62,1,AF$1),ZeroCompFreq,'PDH Calc'!$K62/365)</f>
        <v>1</v>
      </c>
      <c r="AG62" s="8">
        <f ca="1">_xll.HLV5r3.Analytics.Miscellaneous.Zero2DF(_xll.HLV5r3.Analytics.Miscellaneous.LinearInterp(Peturbed_QZ,$K62,1,AG$1),ZeroCompFreq,'PDH Calc'!$K62/365)</f>
        <v>1</v>
      </c>
      <c r="AH62" s="8">
        <f ca="1">_xll.HLV5r3.Analytics.Miscellaneous.Zero2DF(_xll.HLV5r3.Analytics.Miscellaneous.LinearInterp(Peturbed_QZ,$K62,1,AH$1),ZeroCompFreq,'PDH Calc'!$K62/365)</f>
        <v>1</v>
      </c>
      <c r="AI62" s="8">
        <f ca="1">_xll.HLV5r3.Analytics.Miscellaneous.Zero2DF(_xll.HLV5r3.Analytics.Miscellaneous.LinearInterp(Peturbed_QZ,$K62,1,AI$1),ZeroCompFreq,'PDH Calc'!$K62/365)</f>
        <v>1</v>
      </c>
      <c r="AJ62" s="8">
        <f ca="1">_xll.HLV5r3.Analytics.Miscellaneous.Zero2DF(_xll.HLV5r3.Analytics.Miscellaneous.LinearInterp(Peturbed_QZ,$K62,1,AJ$1),ZeroCompFreq,'PDH Calc'!$K62/365)</f>
        <v>1</v>
      </c>
      <c r="AK62" s="8">
        <f ca="1">_xll.HLV5r3.Analytics.Miscellaneous.Zero2DF(_xll.HLV5r3.Analytics.Miscellaneous.LinearInterp(Peturbed_QZ,$K62,1,AK$1),ZeroCompFreq,'PDH Calc'!$K62/365)</f>
        <v>1</v>
      </c>
    </row>
    <row r="63" spans="1:37">
      <c r="A63" s="4"/>
      <c r="B63" s="6"/>
      <c r="F63" s="11"/>
      <c r="G63" s="6"/>
      <c r="H63" s="20"/>
      <c r="I63" s="21"/>
      <c r="J63" s="26"/>
      <c r="K63" s="6">
        <f t="shared" ca="1" si="7"/>
        <v>0</v>
      </c>
      <c r="L63" s="8">
        <f ca="1">_xll.HLV5r3.Analytics.Miscellaneous.Zero2DF(_xll.HLV5r3.Analytics.Miscellaneous.LinearInterp(Peturbed_QZ,$K63,1,L$1),ZeroCompFreq,'PDH Calc'!$K63/365)</f>
        <v>1</v>
      </c>
      <c r="M63" s="8">
        <f ca="1">_xll.HLV5r3.Analytics.Miscellaneous.Zero2DF(_xll.HLV5r3.Analytics.Miscellaneous.LinearInterp(Peturbed_QZ,$K63,1,M$1),ZeroCompFreq,'PDH Calc'!$K63/365)</f>
        <v>1</v>
      </c>
      <c r="N63" s="8">
        <f ca="1">_xll.HLV5r3.Analytics.Miscellaneous.Zero2DF(_xll.HLV5r3.Analytics.Miscellaneous.LinearInterp(Peturbed_QZ,$K63,1,N$1),ZeroCompFreq,'PDH Calc'!$K63/365)</f>
        <v>1</v>
      </c>
      <c r="O63" s="8">
        <f ca="1">_xll.HLV5r3.Analytics.Miscellaneous.Zero2DF(_xll.HLV5r3.Analytics.Miscellaneous.LinearInterp(Peturbed_QZ,$K63,1,O$1),ZeroCompFreq,'PDH Calc'!$K63/365)</f>
        <v>1</v>
      </c>
      <c r="P63" s="8">
        <f ca="1">_xll.HLV5r3.Analytics.Miscellaneous.Zero2DF(_xll.HLV5r3.Analytics.Miscellaneous.LinearInterp(Peturbed_QZ,$K63,1,P$1),ZeroCompFreq,'PDH Calc'!$K63/365)</f>
        <v>1</v>
      </c>
      <c r="Q63" s="8">
        <f ca="1">_xll.HLV5r3.Analytics.Miscellaneous.Zero2DF(_xll.HLV5r3.Analytics.Miscellaneous.LinearInterp(Peturbed_QZ,$K63,1,Q$1),ZeroCompFreq,'PDH Calc'!$K63/365)</f>
        <v>1</v>
      </c>
      <c r="R63" s="8">
        <f ca="1">_xll.HLV5r3.Analytics.Miscellaneous.Zero2DF(_xll.HLV5r3.Analytics.Miscellaneous.LinearInterp(Peturbed_QZ,$K63,1,R$1),ZeroCompFreq,'PDH Calc'!$K63/365)</f>
        <v>1</v>
      </c>
      <c r="S63" s="8">
        <f ca="1">_xll.HLV5r3.Analytics.Miscellaneous.Zero2DF(_xll.HLV5r3.Analytics.Miscellaneous.LinearInterp(Peturbed_QZ,$K63,1,S$1),ZeroCompFreq,'PDH Calc'!$K63/365)</f>
        <v>1</v>
      </c>
      <c r="T63" s="8">
        <f ca="1">_xll.HLV5r3.Analytics.Miscellaneous.Zero2DF(_xll.HLV5r3.Analytics.Miscellaneous.LinearInterp(Peturbed_QZ,$K63,1,T$1),ZeroCompFreq,'PDH Calc'!$K63/365)</f>
        <v>1</v>
      </c>
      <c r="U63" s="8">
        <f ca="1">_xll.HLV5r3.Analytics.Miscellaneous.Zero2DF(_xll.HLV5r3.Analytics.Miscellaneous.LinearInterp(Peturbed_QZ,$K63,1,U$1),ZeroCompFreq,'PDH Calc'!$K63/365)</f>
        <v>1</v>
      </c>
      <c r="V63" s="8">
        <f ca="1">_xll.HLV5r3.Analytics.Miscellaneous.Zero2DF(_xll.HLV5r3.Analytics.Miscellaneous.LinearInterp(Peturbed_QZ,$K63,1,V$1),ZeroCompFreq,'PDH Calc'!$K63/365)</f>
        <v>1</v>
      </c>
      <c r="W63" s="8">
        <f ca="1">_xll.HLV5r3.Analytics.Miscellaneous.Zero2DF(_xll.HLV5r3.Analytics.Miscellaneous.LinearInterp(Peturbed_QZ,$K63,1,W$1),ZeroCompFreq,'PDH Calc'!$K63/365)</f>
        <v>1</v>
      </c>
      <c r="X63" s="8">
        <f ca="1">_xll.HLV5r3.Analytics.Miscellaneous.Zero2DF(_xll.HLV5r3.Analytics.Miscellaneous.LinearInterp(Peturbed_QZ,$K63,1,X$1),ZeroCompFreq,'PDH Calc'!$K63/365)</f>
        <v>1</v>
      </c>
      <c r="Y63" s="8">
        <f ca="1">_xll.HLV5r3.Analytics.Miscellaneous.Zero2DF(_xll.HLV5r3.Analytics.Miscellaneous.LinearInterp(Peturbed_QZ,$K63,1,Y$1),ZeroCompFreq,'PDH Calc'!$K63/365)</f>
        <v>1</v>
      </c>
      <c r="Z63" s="8">
        <f ca="1">_xll.HLV5r3.Analytics.Miscellaneous.Zero2DF(_xll.HLV5r3.Analytics.Miscellaneous.LinearInterp(Peturbed_QZ,$K63,1,Z$1),ZeroCompFreq,'PDH Calc'!$K63/365)</f>
        <v>1</v>
      </c>
      <c r="AA63" s="8">
        <f ca="1">_xll.HLV5r3.Analytics.Miscellaneous.Zero2DF(_xll.HLV5r3.Analytics.Miscellaneous.LinearInterp(Peturbed_QZ,$K63,1,AA$1),ZeroCompFreq,'PDH Calc'!$K63/365)</f>
        <v>1</v>
      </c>
      <c r="AB63" s="8">
        <f ca="1">_xll.HLV5r3.Analytics.Miscellaneous.Zero2DF(_xll.HLV5r3.Analytics.Miscellaneous.LinearInterp(Peturbed_QZ,$K63,1,AB$1),ZeroCompFreq,'PDH Calc'!$K63/365)</f>
        <v>1</v>
      </c>
      <c r="AC63" s="8">
        <f ca="1">_xll.HLV5r3.Analytics.Miscellaneous.Zero2DF(_xll.HLV5r3.Analytics.Miscellaneous.LinearInterp(Peturbed_QZ,$K63,1,AC$1),ZeroCompFreq,'PDH Calc'!$K63/365)</f>
        <v>1</v>
      </c>
      <c r="AD63" s="8">
        <f ca="1">_xll.HLV5r3.Analytics.Miscellaneous.Zero2DF(_xll.HLV5r3.Analytics.Miscellaneous.LinearInterp(Peturbed_QZ,$K63,1,AD$1),ZeroCompFreq,'PDH Calc'!$K63/365)</f>
        <v>1</v>
      </c>
      <c r="AE63" s="8">
        <f ca="1">_xll.HLV5r3.Analytics.Miscellaneous.Zero2DF(_xll.HLV5r3.Analytics.Miscellaneous.LinearInterp(Peturbed_QZ,$K63,1,AE$1),ZeroCompFreq,'PDH Calc'!$K63/365)</f>
        <v>1</v>
      </c>
      <c r="AF63" s="8">
        <f ca="1">_xll.HLV5r3.Analytics.Miscellaneous.Zero2DF(_xll.HLV5r3.Analytics.Miscellaneous.LinearInterp(Peturbed_QZ,$K63,1,AF$1),ZeroCompFreq,'PDH Calc'!$K63/365)</f>
        <v>1</v>
      </c>
      <c r="AG63" s="8">
        <f ca="1">_xll.HLV5r3.Analytics.Miscellaneous.Zero2DF(_xll.HLV5r3.Analytics.Miscellaneous.LinearInterp(Peturbed_QZ,$K63,1,AG$1),ZeroCompFreq,'PDH Calc'!$K63/365)</f>
        <v>1</v>
      </c>
      <c r="AH63" s="8">
        <f ca="1">_xll.HLV5r3.Analytics.Miscellaneous.Zero2DF(_xll.HLV5r3.Analytics.Miscellaneous.LinearInterp(Peturbed_QZ,$K63,1,AH$1),ZeroCompFreq,'PDH Calc'!$K63/365)</f>
        <v>1</v>
      </c>
      <c r="AI63" s="8">
        <f ca="1">_xll.HLV5r3.Analytics.Miscellaneous.Zero2DF(_xll.HLV5r3.Analytics.Miscellaneous.LinearInterp(Peturbed_QZ,$K63,1,AI$1),ZeroCompFreq,'PDH Calc'!$K63/365)</f>
        <v>1</v>
      </c>
      <c r="AJ63" s="8">
        <f ca="1">_xll.HLV5r3.Analytics.Miscellaneous.Zero2DF(_xll.HLV5r3.Analytics.Miscellaneous.LinearInterp(Peturbed_QZ,$K63,1,AJ$1),ZeroCompFreq,'PDH Calc'!$K63/365)</f>
        <v>1</v>
      </c>
      <c r="AK63" s="8">
        <f ca="1">_xll.HLV5r3.Analytics.Miscellaneous.Zero2DF(_xll.HLV5r3.Analytics.Miscellaneous.LinearInterp(Peturbed_QZ,$K63,1,AK$1),ZeroCompFreq,'PDH Calc'!$K63/365)</f>
        <v>1</v>
      </c>
    </row>
    <row r="64" spans="1:37">
      <c r="A64" s="4"/>
      <c r="B64" s="6"/>
      <c r="F64" s="11"/>
      <c r="G64" s="6"/>
      <c r="H64" s="20"/>
      <c r="I64" s="21"/>
      <c r="J64" s="26"/>
      <c r="K64" s="6">
        <f t="shared" ca="1" si="7"/>
        <v>0</v>
      </c>
      <c r="L64" s="8">
        <f ca="1">_xll.HLV5r3.Analytics.Miscellaneous.Zero2DF(_xll.HLV5r3.Analytics.Miscellaneous.LinearInterp(Peturbed_QZ,$K64,1,L$1),ZeroCompFreq,'PDH Calc'!$K64/365)</f>
        <v>1</v>
      </c>
      <c r="M64" s="8">
        <f ca="1">_xll.HLV5r3.Analytics.Miscellaneous.Zero2DF(_xll.HLV5r3.Analytics.Miscellaneous.LinearInterp(Peturbed_QZ,$K64,1,M$1),ZeroCompFreq,'PDH Calc'!$K64/365)</f>
        <v>1</v>
      </c>
      <c r="N64" s="8">
        <f ca="1">_xll.HLV5r3.Analytics.Miscellaneous.Zero2DF(_xll.HLV5r3.Analytics.Miscellaneous.LinearInterp(Peturbed_QZ,$K64,1,N$1),ZeroCompFreq,'PDH Calc'!$K64/365)</f>
        <v>1</v>
      </c>
      <c r="O64" s="8">
        <f ca="1">_xll.HLV5r3.Analytics.Miscellaneous.Zero2DF(_xll.HLV5r3.Analytics.Miscellaneous.LinearInterp(Peturbed_QZ,$K64,1,O$1),ZeroCompFreq,'PDH Calc'!$K64/365)</f>
        <v>1</v>
      </c>
      <c r="P64" s="8">
        <f ca="1">_xll.HLV5r3.Analytics.Miscellaneous.Zero2DF(_xll.HLV5r3.Analytics.Miscellaneous.LinearInterp(Peturbed_QZ,$K64,1,P$1),ZeroCompFreq,'PDH Calc'!$K64/365)</f>
        <v>1</v>
      </c>
      <c r="Q64" s="8">
        <f ca="1">_xll.HLV5r3.Analytics.Miscellaneous.Zero2DF(_xll.HLV5r3.Analytics.Miscellaneous.LinearInterp(Peturbed_QZ,$K64,1,Q$1),ZeroCompFreq,'PDH Calc'!$K64/365)</f>
        <v>1</v>
      </c>
      <c r="R64" s="8">
        <f ca="1">_xll.HLV5r3.Analytics.Miscellaneous.Zero2DF(_xll.HLV5r3.Analytics.Miscellaneous.LinearInterp(Peturbed_QZ,$K64,1,R$1),ZeroCompFreq,'PDH Calc'!$K64/365)</f>
        <v>1</v>
      </c>
      <c r="S64" s="8">
        <f ca="1">_xll.HLV5r3.Analytics.Miscellaneous.Zero2DF(_xll.HLV5r3.Analytics.Miscellaneous.LinearInterp(Peturbed_QZ,$K64,1,S$1),ZeroCompFreq,'PDH Calc'!$K64/365)</f>
        <v>1</v>
      </c>
      <c r="T64" s="8">
        <f ca="1">_xll.HLV5r3.Analytics.Miscellaneous.Zero2DF(_xll.HLV5r3.Analytics.Miscellaneous.LinearInterp(Peturbed_QZ,$K64,1,T$1),ZeroCompFreq,'PDH Calc'!$K64/365)</f>
        <v>1</v>
      </c>
      <c r="U64" s="8">
        <f ca="1">_xll.HLV5r3.Analytics.Miscellaneous.Zero2DF(_xll.HLV5r3.Analytics.Miscellaneous.LinearInterp(Peturbed_QZ,$K64,1,U$1),ZeroCompFreq,'PDH Calc'!$K64/365)</f>
        <v>1</v>
      </c>
      <c r="V64" s="8">
        <f ca="1">_xll.HLV5r3.Analytics.Miscellaneous.Zero2DF(_xll.HLV5r3.Analytics.Miscellaneous.LinearInterp(Peturbed_QZ,$K64,1,V$1),ZeroCompFreq,'PDH Calc'!$K64/365)</f>
        <v>1</v>
      </c>
      <c r="W64" s="8">
        <f ca="1">_xll.HLV5r3.Analytics.Miscellaneous.Zero2DF(_xll.HLV5r3.Analytics.Miscellaneous.LinearInterp(Peturbed_QZ,$K64,1,W$1),ZeroCompFreq,'PDH Calc'!$K64/365)</f>
        <v>1</v>
      </c>
      <c r="X64" s="8">
        <f ca="1">_xll.HLV5r3.Analytics.Miscellaneous.Zero2DF(_xll.HLV5r3.Analytics.Miscellaneous.LinearInterp(Peturbed_QZ,$K64,1,X$1),ZeroCompFreq,'PDH Calc'!$K64/365)</f>
        <v>1</v>
      </c>
      <c r="Y64" s="8">
        <f ca="1">_xll.HLV5r3.Analytics.Miscellaneous.Zero2DF(_xll.HLV5r3.Analytics.Miscellaneous.LinearInterp(Peturbed_QZ,$K64,1,Y$1),ZeroCompFreq,'PDH Calc'!$K64/365)</f>
        <v>1</v>
      </c>
      <c r="Z64" s="8">
        <f ca="1">_xll.HLV5r3.Analytics.Miscellaneous.Zero2DF(_xll.HLV5r3.Analytics.Miscellaneous.LinearInterp(Peturbed_QZ,$K64,1,Z$1),ZeroCompFreq,'PDH Calc'!$K64/365)</f>
        <v>1</v>
      </c>
      <c r="AA64" s="8">
        <f ca="1">_xll.HLV5r3.Analytics.Miscellaneous.Zero2DF(_xll.HLV5r3.Analytics.Miscellaneous.LinearInterp(Peturbed_QZ,$K64,1,AA$1),ZeroCompFreq,'PDH Calc'!$K64/365)</f>
        <v>1</v>
      </c>
      <c r="AB64" s="8">
        <f ca="1">_xll.HLV5r3.Analytics.Miscellaneous.Zero2DF(_xll.HLV5r3.Analytics.Miscellaneous.LinearInterp(Peturbed_QZ,$K64,1,AB$1),ZeroCompFreq,'PDH Calc'!$K64/365)</f>
        <v>1</v>
      </c>
      <c r="AC64" s="8">
        <f ca="1">_xll.HLV5r3.Analytics.Miscellaneous.Zero2DF(_xll.HLV5r3.Analytics.Miscellaneous.LinearInterp(Peturbed_QZ,$K64,1,AC$1),ZeroCompFreq,'PDH Calc'!$K64/365)</f>
        <v>1</v>
      </c>
      <c r="AD64" s="8">
        <f ca="1">_xll.HLV5r3.Analytics.Miscellaneous.Zero2DF(_xll.HLV5r3.Analytics.Miscellaneous.LinearInterp(Peturbed_QZ,$K64,1,AD$1),ZeroCompFreq,'PDH Calc'!$K64/365)</f>
        <v>1</v>
      </c>
      <c r="AE64" s="8">
        <f ca="1">_xll.HLV5r3.Analytics.Miscellaneous.Zero2DF(_xll.HLV5r3.Analytics.Miscellaneous.LinearInterp(Peturbed_QZ,$K64,1,AE$1),ZeroCompFreq,'PDH Calc'!$K64/365)</f>
        <v>1</v>
      </c>
      <c r="AF64" s="8">
        <f ca="1">_xll.HLV5r3.Analytics.Miscellaneous.Zero2DF(_xll.HLV5r3.Analytics.Miscellaneous.LinearInterp(Peturbed_QZ,$K64,1,AF$1),ZeroCompFreq,'PDH Calc'!$K64/365)</f>
        <v>1</v>
      </c>
      <c r="AG64" s="8">
        <f ca="1">_xll.HLV5r3.Analytics.Miscellaneous.Zero2DF(_xll.HLV5r3.Analytics.Miscellaneous.LinearInterp(Peturbed_QZ,$K64,1,AG$1),ZeroCompFreq,'PDH Calc'!$K64/365)</f>
        <v>1</v>
      </c>
      <c r="AH64" s="8">
        <f ca="1">_xll.HLV5r3.Analytics.Miscellaneous.Zero2DF(_xll.HLV5r3.Analytics.Miscellaneous.LinearInterp(Peturbed_QZ,$K64,1,AH$1),ZeroCompFreq,'PDH Calc'!$K64/365)</f>
        <v>1</v>
      </c>
      <c r="AI64" s="8">
        <f ca="1">_xll.HLV5r3.Analytics.Miscellaneous.Zero2DF(_xll.HLV5r3.Analytics.Miscellaneous.LinearInterp(Peturbed_QZ,$K64,1,AI$1),ZeroCompFreq,'PDH Calc'!$K64/365)</f>
        <v>1</v>
      </c>
      <c r="AJ64" s="8">
        <f ca="1">_xll.HLV5r3.Analytics.Miscellaneous.Zero2DF(_xll.HLV5r3.Analytics.Miscellaneous.LinearInterp(Peturbed_QZ,$K64,1,AJ$1),ZeroCompFreq,'PDH Calc'!$K64/365)</f>
        <v>1</v>
      </c>
      <c r="AK64" s="8">
        <f ca="1">_xll.HLV5r3.Analytics.Miscellaneous.Zero2DF(_xll.HLV5r3.Analytics.Miscellaneous.LinearInterp(Peturbed_QZ,$K64,1,AK$1),ZeroCompFreq,'PDH Calc'!$K64/365)</f>
        <v>1</v>
      </c>
    </row>
    <row r="65" spans="1:37">
      <c r="A65" s="4"/>
      <c r="B65" s="6"/>
      <c r="F65" s="11"/>
      <c r="G65" s="6"/>
      <c r="H65" s="20"/>
      <c r="I65" s="21"/>
      <c r="J65" s="26"/>
      <c r="K65" s="6">
        <f t="shared" ca="1" si="7"/>
        <v>0</v>
      </c>
      <c r="L65" s="8">
        <f ca="1">_xll.HLV5r3.Analytics.Miscellaneous.Zero2DF(_xll.HLV5r3.Analytics.Miscellaneous.LinearInterp(Peturbed_QZ,$K65,1,L$1),ZeroCompFreq,'PDH Calc'!$K65/365)</f>
        <v>1</v>
      </c>
      <c r="M65" s="8">
        <f ca="1">_xll.HLV5r3.Analytics.Miscellaneous.Zero2DF(_xll.HLV5r3.Analytics.Miscellaneous.LinearInterp(Peturbed_QZ,$K65,1,M$1),ZeroCompFreq,'PDH Calc'!$K65/365)</f>
        <v>1</v>
      </c>
      <c r="N65" s="8">
        <f ca="1">_xll.HLV5r3.Analytics.Miscellaneous.Zero2DF(_xll.HLV5r3.Analytics.Miscellaneous.LinearInterp(Peturbed_QZ,$K65,1,N$1),ZeroCompFreq,'PDH Calc'!$K65/365)</f>
        <v>1</v>
      </c>
      <c r="O65" s="8">
        <f ca="1">_xll.HLV5r3.Analytics.Miscellaneous.Zero2DF(_xll.HLV5r3.Analytics.Miscellaneous.LinearInterp(Peturbed_QZ,$K65,1,O$1),ZeroCompFreq,'PDH Calc'!$K65/365)</f>
        <v>1</v>
      </c>
      <c r="P65" s="8">
        <f ca="1">_xll.HLV5r3.Analytics.Miscellaneous.Zero2DF(_xll.HLV5r3.Analytics.Miscellaneous.LinearInterp(Peturbed_QZ,$K65,1,P$1),ZeroCompFreq,'PDH Calc'!$K65/365)</f>
        <v>1</v>
      </c>
      <c r="Q65" s="8">
        <f ca="1">_xll.HLV5r3.Analytics.Miscellaneous.Zero2DF(_xll.HLV5r3.Analytics.Miscellaneous.LinearInterp(Peturbed_QZ,$K65,1,Q$1),ZeroCompFreq,'PDH Calc'!$K65/365)</f>
        <v>1</v>
      </c>
      <c r="R65" s="8">
        <f ca="1">_xll.HLV5r3.Analytics.Miscellaneous.Zero2DF(_xll.HLV5r3.Analytics.Miscellaneous.LinearInterp(Peturbed_QZ,$K65,1,R$1),ZeroCompFreq,'PDH Calc'!$K65/365)</f>
        <v>1</v>
      </c>
      <c r="S65" s="8">
        <f ca="1">_xll.HLV5r3.Analytics.Miscellaneous.Zero2DF(_xll.HLV5r3.Analytics.Miscellaneous.LinearInterp(Peturbed_QZ,$K65,1,S$1),ZeroCompFreq,'PDH Calc'!$K65/365)</f>
        <v>1</v>
      </c>
      <c r="T65" s="8">
        <f ca="1">_xll.HLV5r3.Analytics.Miscellaneous.Zero2DF(_xll.HLV5r3.Analytics.Miscellaneous.LinearInterp(Peturbed_QZ,$K65,1,T$1),ZeroCompFreq,'PDH Calc'!$K65/365)</f>
        <v>1</v>
      </c>
      <c r="U65" s="8">
        <f ca="1">_xll.HLV5r3.Analytics.Miscellaneous.Zero2DF(_xll.HLV5r3.Analytics.Miscellaneous.LinearInterp(Peturbed_QZ,$K65,1,U$1),ZeroCompFreq,'PDH Calc'!$K65/365)</f>
        <v>1</v>
      </c>
      <c r="V65" s="8">
        <f ca="1">_xll.HLV5r3.Analytics.Miscellaneous.Zero2DF(_xll.HLV5r3.Analytics.Miscellaneous.LinearInterp(Peturbed_QZ,$K65,1,V$1),ZeroCompFreq,'PDH Calc'!$K65/365)</f>
        <v>1</v>
      </c>
      <c r="W65" s="8">
        <f ca="1">_xll.HLV5r3.Analytics.Miscellaneous.Zero2DF(_xll.HLV5r3.Analytics.Miscellaneous.LinearInterp(Peturbed_QZ,$K65,1,W$1),ZeroCompFreq,'PDH Calc'!$K65/365)</f>
        <v>1</v>
      </c>
      <c r="X65" s="8">
        <f ca="1">_xll.HLV5r3.Analytics.Miscellaneous.Zero2DF(_xll.HLV5r3.Analytics.Miscellaneous.LinearInterp(Peturbed_QZ,$K65,1,X$1),ZeroCompFreq,'PDH Calc'!$K65/365)</f>
        <v>1</v>
      </c>
      <c r="Y65" s="8">
        <f ca="1">_xll.HLV5r3.Analytics.Miscellaneous.Zero2DF(_xll.HLV5r3.Analytics.Miscellaneous.LinearInterp(Peturbed_QZ,$K65,1,Y$1),ZeroCompFreq,'PDH Calc'!$K65/365)</f>
        <v>1</v>
      </c>
      <c r="Z65" s="8">
        <f ca="1">_xll.HLV5r3.Analytics.Miscellaneous.Zero2DF(_xll.HLV5r3.Analytics.Miscellaneous.LinearInterp(Peturbed_QZ,$K65,1,Z$1),ZeroCompFreq,'PDH Calc'!$K65/365)</f>
        <v>1</v>
      </c>
      <c r="AA65" s="8">
        <f ca="1">_xll.HLV5r3.Analytics.Miscellaneous.Zero2DF(_xll.HLV5r3.Analytics.Miscellaneous.LinearInterp(Peturbed_QZ,$K65,1,AA$1),ZeroCompFreq,'PDH Calc'!$K65/365)</f>
        <v>1</v>
      </c>
      <c r="AB65" s="8">
        <f ca="1">_xll.HLV5r3.Analytics.Miscellaneous.Zero2DF(_xll.HLV5r3.Analytics.Miscellaneous.LinearInterp(Peturbed_QZ,$K65,1,AB$1),ZeroCompFreq,'PDH Calc'!$K65/365)</f>
        <v>1</v>
      </c>
      <c r="AC65" s="8">
        <f ca="1">_xll.HLV5r3.Analytics.Miscellaneous.Zero2DF(_xll.HLV5r3.Analytics.Miscellaneous.LinearInterp(Peturbed_QZ,$K65,1,AC$1),ZeroCompFreq,'PDH Calc'!$K65/365)</f>
        <v>1</v>
      </c>
      <c r="AD65" s="8">
        <f ca="1">_xll.HLV5r3.Analytics.Miscellaneous.Zero2DF(_xll.HLV5r3.Analytics.Miscellaneous.LinearInterp(Peturbed_QZ,$K65,1,AD$1),ZeroCompFreq,'PDH Calc'!$K65/365)</f>
        <v>1</v>
      </c>
      <c r="AE65" s="8">
        <f ca="1">_xll.HLV5r3.Analytics.Miscellaneous.Zero2DF(_xll.HLV5r3.Analytics.Miscellaneous.LinearInterp(Peturbed_QZ,$K65,1,AE$1),ZeroCompFreq,'PDH Calc'!$K65/365)</f>
        <v>1</v>
      </c>
      <c r="AF65" s="8">
        <f ca="1">_xll.HLV5r3.Analytics.Miscellaneous.Zero2DF(_xll.HLV5r3.Analytics.Miscellaneous.LinearInterp(Peturbed_QZ,$K65,1,AF$1),ZeroCompFreq,'PDH Calc'!$K65/365)</f>
        <v>1</v>
      </c>
      <c r="AG65" s="8">
        <f ca="1">_xll.HLV5r3.Analytics.Miscellaneous.Zero2DF(_xll.HLV5r3.Analytics.Miscellaneous.LinearInterp(Peturbed_QZ,$K65,1,AG$1),ZeroCompFreq,'PDH Calc'!$K65/365)</f>
        <v>1</v>
      </c>
      <c r="AH65" s="8">
        <f ca="1">_xll.HLV5r3.Analytics.Miscellaneous.Zero2DF(_xll.HLV5r3.Analytics.Miscellaneous.LinearInterp(Peturbed_QZ,$K65,1,AH$1),ZeroCompFreq,'PDH Calc'!$K65/365)</f>
        <v>1</v>
      </c>
      <c r="AI65" s="8">
        <f ca="1">_xll.HLV5r3.Analytics.Miscellaneous.Zero2DF(_xll.HLV5r3.Analytics.Miscellaneous.LinearInterp(Peturbed_QZ,$K65,1,AI$1),ZeroCompFreq,'PDH Calc'!$K65/365)</f>
        <v>1</v>
      </c>
      <c r="AJ65" s="8">
        <f ca="1">_xll.HLV5r3.Analytics.Miscellaneous.Zero2DF(_xll.HLV5r3.Analytics.Miscellaneous.LinearInterp(Peturbed_QZ,$K65,1,AJ$1),ZeroCompFreq,'PDH Calc'!$K65/365)</f>
        <v>1</v>
      </c>
      <c r="AK65" s="8">
        <f ca="1">_xll.HLV5r3.Analytics.Miscellaneous.Zero2DF(_xll.HLV5r3.Analytics.Miscellaneous.LinearInterp(Peturbed_QZ,$K65,1,AK$1),ZeroCompFreq,'PDH Calc'!$K65/365)</f>
        <v>1</v>
      </c>
    </row>
    <row r="66" spans="1:37">
      <c r="A66" s="4"/>
      <c r="B66" s="6"/>
      <c r="F66" s="11"/>
      <c r="G66" s="6"/>
      <c r="H66" s="20"/>
      <c r="I66" s="21"/>
      <c r="J66" s="26"/>
      <c r="K66" s="6">
        <f t="shared" ca="1" si="7"/>
        <v>0</v>
      </c>
      <c r="L66" s="8">
        <f ca="1">_xll.HLV5r3.Analytics.Miscellaneous.Zero2DF(_xll.HLV5r3.Analytics.Miscellaneous.LinearInterp(Peturbed_QZ,$K66,1,L$1),ZeroCompFreq,'PDH Calc'!$K66/365)</f>
        <v>1</v>
      </c>
      <c r="M66" s="8">
        <f ca="1">_xll.HLV5r3.Analytics.Miscellaneous.Zero2DF(_xll.HLV5r3.Analytics.Miscellaneous.LinearInterp(Peturbed_QZ,$K66,1,M$1),ZeroCompFreq,'PDH Calc'!$K66/365)</f>
        <v>1</v>
      </c>
      <c r="N66" s="8">
        <f ca="1">_xll.HLV5r3.Analytics.Miscellaneous.Zero2DF(_xll.HLV5r3.Analytics.Miscellaneous.LinearInterp(Peturbed_QZ,$K66,1,N$1),ZeroCompFreq,'PDH Calc'!$K66/365)</f>
        <v>1</v>
      </c>
      <c r="O66" s="8">
        <f ca="1">_xll.HLV5r3.Analytics.Miscellaneous.Zero2DF(_xll.HLV5r3.Analytics.Miscellaneous.LinearInterp(Peturbed_QZ,$K66,1,O$1),ZeroCompFreq,'PDH Calc'!$K66/365)</f>
        <v>1</v>
      </c>
      <c r="P66" s="8">
        <f ca="1">_xll.HLV5r3.Analytics.Miscellaneous.Zero2DF(_xll.HLV5r3.Analytics.Miscellaneous.LinearInterp(Peturbed_QZ,$K66,1,P$1),ZeroCompFreq,'PDH Calc'!$K66/365)</f>
        <v>1</v>
      </c>
      <c r="Q66" s="8">
        <f ca="1">_xll.HLV5r3.Analytics.Miscellaneous.Zero2DF(_xll.HLV5r3.Analytics.Miscellaneous.LinearInterp(Peturbed_QZ,$K66,1,Q$1),ZeroCompFreq,'PDH Calc'!$K66/365)</f>
        <v>1</v>
      </c>
      <c r="R66" s="8">
        <f ca="1">_xll.HLV5r3.Analytics.Miscellaneous.Zero2DF(_xll.HLV5r3.Analytics.Miscellaneous.LinearInterp(Peturbed_QZ,$K66,1,R$1),ZeroCompFreq,'PDH Calc'!$K66/365)</f>
        <v>1</v>
      </c>
      <c r="S66" s="8">
        <f ca="1">_xll.HLV5r3.Analytics.Miscellaneous.Zero2DF(_xll.HLV5r3.Analytics.Miscellaneous.LinearInterp(Peturbed_QZ,$K66,1,S$1),ZeroCompFreq,'PDH Calc'!$K66/365)</f>
        <v>1</v>
      </c>
      <c r="T66" s="8">
        <f ca="1">_xll.HLV5r3.Analytics.Miscellaneous.Zero2DF(_xll.HLV5r3.Analytics.Miscellaneous.LinearInterp(Peturbed_QZ,$K66,1,T$1),ZeroCompFreq,'PDH Calc'!$K66/365)</f>
        <v>1</v>
      </c>
      <c r="U66" s="8">
        <f ca="1">_xll.HLV5r3.Analytics.Miscellaneous.Zero2DF(_xll.HLV5r3.Analytics.Miscellaneous.LinearInterp(Peturbed_QZ,$K66,1,U$1),ZeroCompFreq,'PDH Calc'!$K66/365)</f>
        <v>1</v>
      </c>
      <c r="V66" s="8">
        <f ca="1">_xll.HLV5r3.Analytics.Miscellaneous.Zero2DF(_xll.HLV5r3.Analytics.Miscellaneous.LinearInterp(Peturbed_QZ,$K66,1,V$1),ZeroCompFreq,'PDH Calc'!$K66/365)</f>
        <v>1</v>
      </c>
      <c r="W66" s="8">
        <f ca="1">_xll.HLV5r3.Analytics.Miscellaneous.Zero2DF(_xll.HLV5r3.Analytics.Miscellaneous.LinearInterp(Peturbed_QZ,$K66,1,W$1),ZeroCompFreq,'PDH Calc'!$K66/365)</f>
        <v>1</v>
      </c>
      <c r="X66" s="8">
        <f ca="1">_xll.HLV5r3.Analytics.Miscellaneous.Zero2DF(_xll.HLV5r3.Analytics.Miscellaneous.LinearInterp(Peturbed_QZ,$K66,1,X$1),ZeroCompFreq,'PDH Calc'!$K66/365)</f>
        <v>1</v>
      </c>
      <c r="Y66" s="8">
        <f ca="1">_xll.HLV5r3.Analytics.Miscellaneous.Zero2DF(_xll.HLV5r3.Analytics.Miscellaneous.LinearInterp(Peturbed_QZ,$K66,1,Y$1),ZeroCompFreq,'PDH Calc'!$K66/365)</f>
        <v>1</v>
      </c>
      <c r="Z66" s="8">
        <f ca="1">_xll.HLV5r3.Analytics.Miscellaneous.Zero2DF(_xll.HLV5r3.Analytics.Miscellaneous.LinearInterp(Peturbed_QZ,$K66,1,Z$1),ZeroCompFreq,'PDH Calc'!$K66/365)</f>
        <v>1</v>
      </c>
      <c r="AA66" s="8">
        <f ca="1">_xll.HLV5r3.Analytics.Miscellaneous.Zero2DF(_xll.HLV5r3.Analytics.Miscellaneous.LinearInterp(Peturbed_QZ,$K66,1,AA$1),ZeroCompFreq,'PDH Calc'!$K66/365)</f>
        <v>1</v>
      </c>
      <c r="AB66" s="8">
        <f ca="1">_xll.HLV5r3.Analytics.Miscellaneous.Zero2DF(_xll.HLV5r3.Analytics.Miscellaneous.LinearInterp(Peturbed_QZ,$K66,1,AB$1),ZeroCompFreq,'PDH Calc'!$K66/365)</f>
        <v>1</v>
      </c>
      <c r="AC66" s="8">
        <f ca="1">_xll.HLV5r3.Analytics.Miscellaneous.Zero2DF(_xll.HLV5r3.Analytics.Miscellaneous.LinearInterp(Peturbed_QZ,$K66,1,AC$1),ZeroCompFreq,'PDH Calc'!$K66/365)</f>
        <v>1</v>
      </c>
      <c r="AD66" s="8">
        <f ca="1">_xll.HLV5r3.Analytics.Miscellaneous.Zero2DF(_xll.HLV5r3.Analytics.Miscellaneous.LinearInterp(Peturbed_QZ,$K66,1,AD$1),ZeroCompFreq,'PDH Calc'!$K66/365)</f>
        <v>1</v>
      </c>
      <c r="AE66" s="8">
        <f ca="1">_xll.HLV5r3.Analytics.Miscellaneous.Zero2DF(_xll.HLV5r3.Analytics.Miscellaneous.LinearInterp(Peturbed_QZ,$K66,1,AE$1),ZeroCompFreq,'PDH Calc'!$K66/365)</f>
        <v>1</v>
      </c>
      <c r="AF66" s="8">
        <f ca="1">_xll.HLV5r3.Analytics.Miscellaneous.Zero2DF(_xll.HLV5r3.Analytics.Miscellaneous.LinearInterp(Peturbed_QZ,$K66,1,AF$1),ZeroCompFreq,'PDH Calc'!$K66/365)</f>
        <v>1</v>
      </c>
      <c r="AG66" s="8">
        <f ca="1">_xll.HLV5r3.Analytics.Miscellaneous.Zero2DF(_xll.HLV5r3.Analytics.Miscellaneous.LinearInterp(Peturbed_QZ,$K66,1,AG$1),ZeroCompFreq,'PDH Calc'!$K66/365)</f>
        <v>1</v>
      </c>
      <c r="AH66" s="8">
        <f ca="1">_xll.HLV5r3.Analytics.Miscellaneous.Zero2DF(_xll.HLV5r3.Analytics.Miscellaneous.LinearInterp(Peturbed_QZ,$K66,1,AH$1),ZeroCompFreq,'PDH Calc'!$K66/365)</f>
        <v>1</v>
      </c>
      <c r="AI66" s="8">
        <f ca="1">_xll.HLV5r3.Analytics.Miscellaneous.Zero2DF(_xll.HLV5r3.Analytics.Miscellaneous.LinearInterp(Peturbed_QZ,$K66,1,AI$1),ZeroCompFreq,'PDH Calc'!$K66/365)</f>
        <v>1</v>
      </c>
      <c r="AJ66" s="8">
        <f ca="1">_xll.HLV5r3.Analytics.Miscellaneous.Zero2DF(_xll.HLV5r3.Analytics.Miscellaneous.LinearInterp(Peturbed_QZ,$K66,1,AJ$1),ZeroCompFreq,'PDH Calc'!$K66/365)</f>
        <v>1</v>
      </c>
      <c r="AK66" s="8">
        <f ca="1">_xll.HLV5r3.Analytics.Miscellaneous.Zero2DF(_xll.HLV5r3.Analytics.Miscellaneous.LinearInterp(Peturbed_QZ,$K66,1,AK$1),ZeroCompFreq,'PDH Calc'!$K66/365)</f>
        <v>1</v>
      </c>
    </row>
    <row r="67" spans="1:37">
      <c r="A67" s="4"/>
      <c r="B67" s="6"/>
      <c r="F67" s="11"/>
      <c r="G67" s="6"/>
      <c r="H67" s="20"/>
      <c r="I67" s="21"/>
      <c r="J67" s="26"/>
      <c r="K67" s="6">
        <f t="shared" ca="1" si="7"/>
        <v>0</v>
      </c>
      <c r="L67" s="8">
        <f ca="1">_xll.HLV5r3.Analytics.Miscellaneous.Zero2DF(_xll.HLV5r3.Analytics.Miscellaneous.LinearInterp(Peturbed_QZ,$K67,1,L$1),ZeroCompFreq,'PDH Calc'!$K67/365)</f>
        <v>1</v>
      </c>
      <c r="M67" s="8">
        <f ca="1">_xll.HLV5r3.Analytics.Miscellaneous.Zero2DF(_xll.HLV5r3.Analytics.Miscellaneous.LinearInterp(Peturbed_QZ,$K67,1,M$1),ZeroCompFreq,'PDH Calc'!$K67/365)</f>
        <v>1</v>
      </c>
      <c r="N67" s="8">
        <f ca="1">_xll.HLV5r3.Analytics.Miscellaneous.Zero2DF(_xll.HLV5r3.Analytics.Miscellaneous.LinearInterp(Peturbed_QZ,$K67,1,N$1),ZeroCompFreq,'PDH Calc'!$K67/365)</f>
        <v>1</v>
      </c>
      <c r="O67" s="8">
        <f ca="1">_xll.HLV5r3.Analytics.Miscellaneous.Zero2DF(_xll.HLV5r3.Analytics.Miscellaneous.LinearInterp(Peturbed_QZ,$K67,1,O$1),ZeroCompFreq,'PDH Calc'!$K67/365)</f>
        <v>1</v>
      </c>
      <c r="P67" s="8">
        <f ca="1">_xll.HLV5r3.Analytics.Miscellaneous.Zero2DF(_xll.HLV5r3.Analytics.Miscellaneous.LinearInterp(Peturbed_QZ,$K67,1,P$1),ZeroCompFreq,'PDH Calc'!$K67/365)</f>
        <v>1</v>
      </c>
      <c r="Q67" s="8">
        <f ca="1">_xll.HLV5r3.Analytics.Miscellaneous.Zero2DF(_xll.HLV5r3.Analytics.Miscellaneous.LinearInterp(Peturbed_QZ,$K67,1,Q$1),ZeroCompFreq,'PDH Calc'!$K67/365)</f>
        <v>1</v>
      </c>
      <c r="R67" s="8">
        <f ca="1">_xll.HLV5r3.Analytics.Miscellaneous.Zero2DF(_xll.HLV5r3.Analytics.Miscellaneous.LinearInterp(Peturbed_QZ,$K67,1,R$1),ZeroCompFreq,'PDH Calc'!$K67/365)</f>
        <v>1</v>
      </c>
      <c r="S67" s="8">
        <f ca="1">_xll.HLV5r3.Analytics.Miscellaneous.Zero2DF(_xll.HLV5r3.Analytics.Miscellaneous.LinearInterp(Peturbed_QZ,$K67,1,S$1),ZeroCompFreq,'PDH Calc'!$K67/365)</f>
        <v>1</v>
      </c>
      <c r="T67" s="8">
        <f ca="1">_xll.HLV5r3.Analytics.Miscellaneous.Zero2DF(_xll.HLV5r3.Analytics.Miscellaneous.LinearInterp(Peturbed_QZ,$K67,1,T$1),ZeroCompFreq,'PDH Calc'!$K67/365)</f>
        <v>1</v>
      </c>
      <c r="U67" s="8">
        <f ca="1">_xll.HLV5r3.Analytics.Miscellaneous.Zero2DF(_xll.HLV5r3.Analytics.Miscellaneous.LinearInterp(Peturbed_QZ,$K67,1,U$1),ZeroCompFreq,'PDH Calc'!$K67/365)</f>
        <v>1</v>
      </c>
      <c r="V67" s="8">
        <f ca="1">_xll.HLV5r3.Analytics.Miscellaneous.Zero2DF(_xll.HLV5r3.Analytics.Miscellaneous.LinearInterp(Peturbed_QZ,$K67,1,V$1),ZeroCompFreq,'PDH Calc'!$K67/365)</f>
        <v>1</v>
      </c>
      <c r="W67" s="8">
        <f ca="1">_xll.HLV5r3.Analytics.Miscellaneous.Zero2DF(_xll.HLV5r3.Analytics.Miscellaneous.LinearInterp(Peturbed_QZ,$K67,1,W$1),ZeroCompFreq,'PDH Calc'!$K67/365)</f>
        <v>1</v>
      </c>
      <c r="X67" s="8">
        <f ca="1">_xll.HLV5r3.Analytics.Miscellaneous.Zero2DF(_xll.HLV5r3.Analytics.Miscellaneous.LinearInterp(Peturbed_QZ,$K67,1,X$1),ZeroCompFreq,'PDH Calc'!$K67/365)</f>
        <v>1</v>
      </c>
      <c r="Y67" s="8">
        <f ca="1">_xll.HLV5r3.Analytics.Miscellaneous.Zero2DF(_xll.HLV5r3.Analytics.Miscellaneous.LinearInterp(Peturbed_QZ,$K67,1,Y$1),ZeroCompFreq,'PDH Calc'!$K67/365)</f>
        <v>1</v>
      </c>
      <c r="Z67" s="8">
        <f ca="1">_xll.HLV5r3.Analytics.Miscellaneous.Zero2DF(_xll.HLV5r3.Analytics.Miscellaneous.LinearInterp(Peturbed_QZ,$K67,1,Z$1),ZeroCompFreq,'PDH Calc'!$K67/365)</f>
        <v>1</v>
      </c>
      <c r="AA67" s="8">
        <f ca="1">_xll.HLV5r3.Analytics.Miscellaneous.Zero2DF(_xll.HLV5r3.Analytics.Miscellaneous.LinearInterp(Peturbed_QZ,$K67,1,AA$1),ZeroCompFreq,'PDH Calc'!$K67/365)</f>
        <v>1</v>
      </c>
      <c r="AB67" s="8">
        <f ca="1">_xll.HLV5r3.Analytics.Miscellaneous.Zero2DF(_xll.HLV5r3.Analytics.Miscellaneous.LinearInterp(Peturbed_QZ,$K67,1,AB$1),ZeroCompFreq,'PDH Calc'!$K67/365)</f>
        <v>1</v>
      </c>
      <c r="AC67" s="8">
        <f ca="1">_xll.HLV5r3.Analytics.Miscellaneous.Zero2DF(_xll.HLV5r3.Analytics.Miscellaneous.LinearInterp(Peturbed_QZ,$K67,1,AC$1),ZeroCompFreq,'PDH Calc'!$K67/365)</f>
        <v>1</v>
      </c>
      <c r="AD67" s="8">
        <f ca="1">_xll.HLV5r3.Analytics.Miscellaneous.Zero2DF(_xll.HLV5r3.Analytics.Miscellaneous.LinearInterp(Peturbed_QZ,$K67,1,AD$1),ZeroCompFreq,'PDH Calc'!$K67/365)</f>
        <v>1</v>
      </c>
      <c r="AE67" s="8">
        <f ca="1">_xll.HLV5r3.Analytics.Miscellaneous.Zero2DF(_xll.HLV5r3.Analytics.Miscellaneous.LinearInterp(Peturbed_QZ,$K67,1,AE$1),ZeroCompFreq,'PDH Calc'!$K67/365)</f>
        <v>1</v>
      </c>
      <c r="AF67" s="8">
        <f ca="1">_xll.HLV5r3.Analytics.Miscellaneous.Zero2DF(_xll.HLV5r3.Analytics.Miscellaneous.LinearInterp(Peturbed_QZ,$K67,1,AF$1),ZeroCompFreq,'PDH Calc'!$K67/365)</f>
        <v>1</v>
      </c>
      <c r="AG67" s="8">
        <f ca="1">_xll.HLV5r3.Analytics.Miscellaneous.Zero2DF(_xll.HLV5r3.Analytics.Miscellaneous.LinearInterp(Peturbed_QZ,$K67,1,AG$1),ZeroCompFreq,'PDH Calc'!$K67/365)</f>
        <v>1</v>
      </c>
      <c r="AH67" s="8">
        <f ca="1">_xll.HLV5r3.Analytics.Miscellaneous.Zero2DF(_xll.HLV5r3.Analytics.Miscellaneous.LinearInterp(Peturbed_QZ,$K67,1,AH$1),ZeroCompFreq,'PDH Calc'!$K67/365)</f>
        <v>1</v>
      </c>
      <c r="AI67" s="8">
        <f ca="1">_xll.HLV5r3.Analytics.Miscellaneous.Zero2DF(_xll.HLV5r3.Analytics.Miscellaneous.LinearInterp(Peturbed_QZ,$K67,1,AI$1),ZeroCompFreq,'PDH Calc'!$K67/365)</f>
        <v>1</v>
      </c>
      <c r="AJ67" s="8">
        <f ca="1">_xll.HLV5r3.Analytics.Miscellaneous.Zero2DF(_xll.HLV5r3.Analytics.Miscellaneous.LinearInterp(Peturbed_QZ,$K67,1,AJ$1),ZeroCompFreq,'PDH Calc'!$K67/365)</f>
        <v>1</v>
      </c>
      <c r="AK67" s="8">
        <f ca="1">_xll.HLV5r3.Analytics.Miscellaneous.Zero2DF(_xll.HLV5r3.Analytics.Miscellaneous.LinearInterp(Peturbed_QZ,$K67,1,AK$1),ZeroCompFreq,'PDH Calc'!$K67/365)</f>
        <v>1</v>
      </c>
    </row>
    <row r="68" spans="1:37">
      <c r="A68" s="4"/>
      <c r="B68" s="6"/>
      <c r="F68" s="11"/>
      <c r="G68" s="6"/>
      <c r="H68" s="20"/>
      <c r="I68" s="21"/>
      <c r="J68" s="26"/>
      <c r="K68" s="6">
        <f t="shared" ca="1" si="7"/>
        <v>0</v>
      </c>
      <c r="L68" s="8">
        <f ca="1">_xll.HLV5r3.Analytics.Miscellaneous.Zero2DF(_xll.HLV5r3.Analytics.Miscellaneous.LinearInterp(Peturbed_QZ,$K68,1,L$1),ZeroCompFreq,'PDH Calc'!$K68/365)</f>
        <v>1</v>
      </c>
      <c r="M68" s="8">
        <f ca="1">_xll.HLV5r3.Analytics.Miscellaneous.Zero2DF(_xll.HLV5r3.Analytics.Miscellaneous.LinearInterp(Peturbed_QZ,$K68,1,M$1),ZeroCompFreq,'PDH Calc'!$K68/365)</f>
        <v>1</v>
      </c>
      <c r="N68" s="8">
        <f ca="1">_xll.HLV5r3.Analytics.Miscellaneous.Zero2DF(_xll.HLV5r3.Analytics.Miscellaneous.LinearInterp(Peturbed_QZ,$K68,1,N$1),ZeroCompFreq,'PDH Calc'!$K68/365)</f>
        <v>1</v>
      </c>
      <c r="O68" s="8">
        <f ca="1">_xll.HLV5r3.Analytics.Miscellaneous.Zero2DF(_xll.HLV5r3.Analytics.Miscellaneous.LinearInterp(Peturbed_QZ,$K68,1,O$1),ZeroCompFreq,'PDH Calc'!$K68/365)</f>
        <v>1</v>
      </c>
      <c r="P68" s="8">
        <f ca="1">_xll.HLV5r3.Analytics.Miscellaneous.Zero2DF(_xll.HLV5r3.Analytics.Miscellaneous.LinearInterp(Peturbed_QZ,$K68,1,P$1),ZeroCompFreq,'PDH Calc'!$K68/365)</f>
        <v>1</v>
      </c>
      <c r="Q68" s="8">
        <f ca="1">_xll.HLV5r3.Analytics.Miscellaneous.Zero2DF(_xll.HLV5r3.Analytics.Miscellaneous.LinearInterp(Peturbed_QZ,$K68,1,Q$1),ZeroCompFreq,'PDH Calc'!$K68/365)</f>
        <v>1</v>
      </c>
      <c r="R68" s="8">
        <f ca="1">_xll.HLV5r3.Analytics.Miscellaneous.Zero2DF(_xll.HLV5r3.Analytics.Miscellaneous.LinearInterp(Peturbed_QZ,$K68,1,R$1),ZeroCompFreq,'PDH Calc'!$K68/365)</f>
        <v>1</v>
      </c>
      <c r="S68" s="8">
        <f ca="1">_xll.HLV5r3.Analytics.Miscellaneous.Zero2DF(_xll.HLV5r3.Analytics.Miscellaneous.LinearInterp(Peturbed_QZ,$K68,1,S$1),ZeroCompFreq,'PDH Calc'!$K68/365)</f>
        <v>1</v>
      </c>
      <c r="T68" s="8">
        <f ca="1">_xll.HLV5r3.Analytics.Miscellaneous.Zero2DF(_xll.HLV5r3.Analytics.Miscellaneous.LinearInterp(Peturbed_QZ,$K68,1,T$1),ZeroCompFreq,'PDH Calc'!$K68/365)</f>
        <v>1</v>
      </c>
      <c r="U68" s="8">
        <f ca="1">_xll.HLV5r3.Analytics.Miscellaneous.Zero2DF(_xll.HLV5r3.Analytics.Miscellaneous.LinearInterp(Peturbed_QZ,$K68,1,U$1),ZeroCompFreq,'PDH Calc'!$K68/365)</f>
        <v>1</v>
      </c>
      <c r="V68" s="8">
        <f ca="1">_xll.HLV5r3.Analytics.Miscellaneous.Zero2DF(_xll.HLV5r3.Analytics.Miscellaneous.LinearInterp(Peturbed_QZ,$K68,1,V$1),ZeroCompFreq,'PDH Calc'!$K68/365)</f>
        <v>1</v>
      </c>
      <c r="W68" s="8">
        <f ca="1">_xll.HLV5r3.Analytics.Miscellaneous.Zero2DF(_xll.HLV5r3.Analytics.Miscellaneous.LinearInterp(Peturbed_QZ,$K68,1,W$1),ZeroCompFreq,'PDH Calc'!$K68/365)</f>
        <v>1</v>
      </c>
      <c r="X68" s="8">
        <f ca="1">_xll.HLV5r3.Analytics.Miscellaneous.Zero2DF(_xll.HLV5r3.Analytics.Miscellaneous.LinearInterp(Peturbed_QZ,$K68,1,X$1),ZeroCompFreq,'PDH Calc'!$K68/365)</f>
        <v>1</v>
      </c>
      <c r="Y68" s="8">
        <f ca="1">_xll.HLV5r3.Analytics.Miscellaneous.Zero2DF(_xll.HLV5r3.Analytics.Miscellaneous.LinearInterp(Peturbed_QZ,$K68,1,Y$1),ZeroCompFreq,'PDH Calc'!$K68/365)</f>
        <v>1</v>
      </c>
      <c r="Z68" s="8">
        <f ca="1">_xll.HLV5r3.Analytics.Miscellaneous.Zero2DF(_xll.HLV5r3.Analytics.Miscellaneous.LinearInterp(Peturbed_QZ,$K68,1,Z$1),ZeroCompFreq,'PDH Calc'!$K68/365)</f>
        <v>1</v>
      </c>
      <c r="AA68" s="8">
        <f ca="1">_xll.HLV5r3.Analytics.Miscellaneous.Zero2DF(_xll.HLV5r3.Analytics.Miscellaneous.LinearInterp(Peturbed_QZ,$K68,1,AA$1),ZeroCompFreq,'PDH Calc'!$K68/365)</f>
        <v>1</v>
      </c>
      <c r="AB68" s="8">
        <f ca="1">_xll.HLV5r3.Analytics.Miscellaneous.Zero2DF(_xll.HLV5r3.Analytics.Miscellaneous.LinearInterp(Peturbed_QZ,$K68,1,AB$1),ZeroCompFreq,'PDH Calc'!$K68/365)</f>
        <v>1</v>
      </c>
      <c r="AC68" s="8">
        <f ca="1">_xll.HLV5r3.Analytics.Miscellaneous.Zero2DF(_xll.HLV5r3.Analytics.Miscellaneous.LinearInterp(Peturbed_QZ,$K68,1,AC$1),ZeroCompFreq,'PDH Calc'!$K68/365)</f>
        <v>1</v>
      </c>
      <c r="AD68" s="8">
        <f ca="1">_xll.HLV5r3.Analytics.Miscellaneous.Zero2DF(_xll.HLV5r3.Analytics.Miscellaneous.LinearInterp(Peturbed_QZ,$K68,1,AD$1),ZeroCompFreq,'PDH Calc'!$K68/365)</f>
        <v>1</v>
      </c>
      <c r="AE68" s="8">
        <f ca="1">_xll.HLV5r3.Analytics.Miscellaneous.Zero2DF(_xll.HLV5r3.Analytics.Miscellaneous.LinearInterp(Peturbed_QZ,$K68,1,AE$1),ZeroCompFreq,'PDH Calc'!$K68/365)</f>
        <v>1</v>
      </c>
      <c r="AF68" s="8">
        <f ca="1">_xll.HLV5r3.Analytics.Miscellaneous.Zero2DF(_xll.HLV5r3.Analytics.Miscellaneous.LinearInterp(Peturbed_QZ,$K68,1,AF$1),ZeroCompFreq,'PDH Calc'!$K68/365)</f>
        <v>1</v>
      </c>
      <c r="AG68" s="8">
        <f ca="1">_xll.HLV5r3.Analytics.Miscellaneous.Zero2DF(_xll.HLV5r3.Analytics.Miscellaneous.LinearInterp(Peturbed_QZ,$K68,1,AG$1),ZeroCompFreq,'PDH Calc'!$K68/365)</f>
        <v>1</v>
      </c>
      <c r="AH68" s="8">
        <f ca="1">_xll.HLV5r3.Analytics.Miscellaneous.Zero2DF(_xll.HLV5r3.Analytics.Miscellaneous.LinearInterp(Peturbed_QZ,$K68,1,AH$1),ZeroCompFreq,'PDH Calc'!$K68/365)</f>
        <v>1</v>
      </c>
      <c r="AI68" s="8">
        <f ca="1">_xll.HLV5r3.Analytics.Miscellaneous.Zero2DF(_xll.HLV5r3.Analytics.Miscellaneous.LinearInterp(Peturbed_QZ,$K68,1,AI$1),ZeroCompFreq,'PDH Calc'!$K68/365)</f>
        <v>1</v>
      </c>
      <c r="AJ68" s="8">
        <f ca="1">_xll.HLV5r3.Analytics.Miscellaneous.Zero2DF(_xll.HLV5r3.Analytics.Miscellaneous.LinearInterp(Peturbed_QZ,$K68,1,AJ$1),ZeroCompFreq,'PDH Calc'!$K68/365)</f>
        <v>1</v>
      </c>
      <c r="AK68" s="8">
        <f ca="1">_xll.HLV5r3.Analytics.Miscellaneous.Zero2DF(_xll.HLV5r3.Analytics.Miscellaneous.LinearInterp(Peturbed_QZ,$K68,1,AK$1),ZeroCompFreq,'PDH Calc'!$K68/365)</f>
        <v>1</v>
      </c>
    </row>
    <row r="69" spans="1:37">
      <c r="A69" s="4"/>
      <c r="B69" s="6"/>
      <c r="F69" s="11"/>
      <c r="G69" s="6"/>
      <c r="H69" s="20"/>
      <c r="I69" s="21"/>
      <c r="J69" s="26"/>
      <c r="K69" s="6">
        <f t="shared" ca="1" si="7"/>
        <v>0</v>
      </c>
      <c r="L69" s="8">
        <f ca="1">_xll.HLV5r3.Analytics.Miscellaneous.Zero2DF(_xll.HLV5r3.Analytics.Miscellaneous.LinearInterp(Peturbed_QZ,$K69,1,L$1),ZeroCompFreq,'PDH Calc'!$K69/365)</f>
        <v>1</v>
      </c>
      <c r="M69" s="8">
        <f ca="1">_xll.HLV5r3.Analytics.Miscellaneous.Zero2DF(_xll.HLV5r3.Analytics.Miscellaneous.LinearInterp(Peturbed_QZ,$K69,1,M$1),ZeroCompFreq,'PDH Calc'!$K69/365)</f>
        <v>1</v>
      </c>
      <c r="N69" s="8">
        <f ca="1">_xll.HLV5r3.Analytics.Miscellaneous.Zero2DF(_xll.HLV5r3.Analytics.Miscellaneous.LinearInterp(Peturbed_QZ,$K69,1,N$1),ZeroCompFreq,'PDH Calc'!$K69/365)</f>
        <v>1</v>
      </c>
      <c r="O69" s="8">
        <f ca="1">_xll.HLV5r3.Analytics.Miscellaneous.Zero2DF(_xll.HLV5r3.Analytics.Miscellaneous.LinearInterp(Peturbed_QZ,$K69,1,O$1),ZeroCompFreq,'PDH Calc'!$K69/365)</f>
        <v>1</v>
      </c>
      <c r="P69" s="8">
        <f ca="1">_xll.HLV5r3.Analytics.Miscellaneous.Zero2DF(_xll.HLV5r3.Analytics.Miscellaneous.LinearInterp(Peturbed_QZ,$K69,1,P$1),ZeroCompFreq,'PDH Calc'!$K69/365)</f>
        <v>1</v>
      </c>
      <c r="Q69" s="8">
        <f ca="1">_xll.HLV5r3.Analytics.Miscellaneous.Zero2DF(_xll.HLV5r3.Analytics.Miscellaneous.LinearInterp(Peturbed_QZ,$K69,1,Q$1),ZeroCompFreq,'PDH Calc'!$K69/365)</f>
        <v>1</v>
      </c>
      <c r="R69" s="8">
        <f ca="1">_xll.HLV5r3.Analytics.Miscellaneous.Zero2DF(_xll.HLV5r3.Analytics.Miscellaneous.LinearInterp(Peturbed_QZ,$K69,1,R$1),ZeroCompFreq,'PDH Calc'!$K69/365)</f>
        <v>1</v>
      </c>
      <c r="S69" s="8">
        <f ca="1">_xll.HLV5r3.Analytics.Miscellaneous.Zero2DF(_xll.HLV5r3.Analytics.Miscellaneous.LinearInterp(Peturbed_QZ,$K69,1,S$1),ZeroCompFreq,'PDH Calc'!$K69/365)</f>
        <v>1</v>
      </c>
      <c r="T69" s="8">
        <f ca="1">_xll.HLV5r3.Analytics.Miscellaneous.Zero2DF(_xll.HLV5r3.Analytics.Miscellaneous.LinearInterp(Peturbed_QZ,$K69,1,T$1),ZeroCompFreq,'PDH Calc'!$K69/365)</f>
        <v>1</v>
      </c>
      <c r="U69" s="8">
        <f ca="1">_xll.HLV5r3.Analytics.Miscellaneous.Zero2DF(_xll.HLV5r3.Analytics.Miscellaneous.LinearInterp(Peturbed_QZ,$K69,1,U$1),ZeroCompFreq,'PDH Calc'!$K69/365)</f>
        <v>1</v>
      </c>
      <c r="V69" s="8">
        <f ca="1">_xll.HLV5r3.Analytics.Miscellaneous.Zero2DF(_xll.HLV5r3.Analytics.Miscellaneous.LinearInterp(Peturbed_QZ,$K69,1,V$1),ZeroCompFreq,'PDH Calc'!$K69/365)</f>
        <v>1</v>
      </c>
      <c r="W69" s="8">
        <f ca="1">_xll.HLV5r3.Analytics.Miscellaneous.Zero2DF(_xll.HLV5r3.Analytics.Miscellaneous.LinearInterp(Peturbed_QZ,$K69,1,W$1),ZeroCompFreq,'PDH Calc'!$K69/365)</f>
        <v>1</v>
      </c>
      <c r="X69" s="8">
        <f ca="1">_xll.HLV5r3.Analytics.Miscellaneous.Zero2DF(_xll.HLV5r3.Analytics.Miscellaneous.LinearInterp(Peturbed_QZ,$K69,1,X$1),ZeroCompFreq,'PDH Calc'!$K69/365)</f>
        <v>1</v>
      </c>
      <c r="Y69" s="8">
        <f ca="1">_xll.HLV5r3.Analytics.Miscellaneous.Zero2DF(_xll.HLV5r3.Analytics.Miscellaneous.LinearInterp(Peturbed_QZ,$K69,1,Y$1),ZeroCompFreq,'PDH Calc'!$K69/365)</f>
        <v>1</v>
      </c>
      <c r="Z69" s="8">
        <f ca="1">_xll.HLV5r3.Analytics.Miscellaneous.Zero2DF(_xll.HLV5r3.Analytics.Miscellaneous.LinearInterp(Peturbed_QZ,$K69,1,Z$1),ZeroCompFreq,'PDH Calc'!$K69/365)</f>
        <v>1</v>
      </c>
      <c r="AA69" s="8">
        <f ca="1">_xll.HLV5r3.Analytics.Miscellaneous.Zero2DF(_xll.HLV5r3.Analytics.Miscellaneous.LinearInterp(Peturbed_QZ,$K69,1,AA$1),ZeroCompFreq,'PDH Calc'!$K69/365)</f>
        <v>1</v>
      </c>
      <c r="AB69" s="8">
        <f ca="1">_xll.HLV5r3.Analytics.Miscellaneous.Zero2DF(_xll.HLV5r3.Analytics.Miscellaneous.LinearInterp(Peturbed_QZ,$K69,1,AB$1),ZeroCompFreq,'PDH Calc'!$K69/365)</f>
        <v>1</v>
      </c>
      <c r="AC69" s="8">
        <f ca="1">_xll.HLV5r3.Analytics.Miscellaneous.Zero2DF(_xll.HLV5r3.Analytics.Miscellaneous.LinearInterp(Peturbed_QZ,$K69,1,AC$1),ZeroCompFreq,'PDH Calc'!$K69/365)</f>
        <v>1</v>
      </c>
      <c r="AD69" s="8">
        <f ca="1">_xll.HLV5r3.Analytics.Miscellaneous.Zero2DF(_xll.HLV5r3.Analytics.Miscellaneous.LinearInterp(Peturbed_QZ,$K69,1,AD$1),ZeroCompFreq,'PDH Calc'!$K69/365)</f>
        <v>1</v>
      </c>
      <c r="AE69" s="8">
        <f ca="1">_xll.HLV5r3.Analytics.Miscellaneous.Zero2DF(_xll.HLV5r3.Analytics.Miscellaneous.LinearInterp(Peturbed_QZ,$K69,1,AE$1),ZeroCompFreq,'PDH Calc'!$K69/365)</f>
        <v>1</v>
      </c>
      <c r="AF69" s="8">
        <f ca="1">_xll.HLV5r3.Analytics.Miscellaneous.Zero2DF(_xll.HLV5r3.Analytics.Miscellaneous.LinearInterp(Peturbed_QZ,$K69,1,AF$1),ZeroCompFreq,'PDH Calc'!$K69/365)</f>
        <v>1</v>
      </c>
      <c r="AG69" s="8">
        <f ca="1">_xll.HLV5r3.Analytics.Miscellaneous.Zero2DF(_xll.HLV5r3.Analytics.Miscellaneous.LinearInterp(Peturbed_QZ,$K69,1,AG$1),ZeroCompFreq,'PDH Calc'!$K69/365)</f>
        <v>1</v>
      </c>
      <c r="AH69" s="8">
        <f ca="1">_xll.HLV5r3.Analytics.Miscellaneous.Zero2DF(_xll.HLV5r3.Analytics.Miscellaneous.LinearInterp(Peturbed_QZ,$K69,1,AH$1),ZeroCompFreq,'PDH Calc'!$K69/365)</f>
        <v>1</v>
      </c>
      <c r="AI69" s="8">
        <f ca="1">_xll.HLV5r3.Analytics.Miscellaneous.Zero2DF(_xll.HLV5r3.Analytics.Miscellaneous.LinearInterp(Peturbed_QZ,$K69,1,AI$1),ZeroCompFreq,'PDH Calc'!$K69/365)</f>
        <v>1</v>
      </c>
      <c r="AJ69" s="8">
        <f ca="1">_xll.HLV5r3.Analytics.Miscellaneous.Zero2DF(_xll.HLV5r3.Analytics.Miscellaneous.LinearInterp(Peturbed_QZ,$K69,1,AJ$1),ZeroCompFreq,'PDH Calc'!$K69/365)</f>
        <v>1</v>
      </c>
      <c r="AK69" s="8">
        <f ca="1">_xll.HLV5r3.Analytics.Miscellaneous.Zero2DF(_xll.HLV5r3.Analytics.Miscellaneous.LinearInterp(Peturbed_QZ,$K69,1,AK$1),ZeroCompFreq,'PDH Calc'!$K69/365)</f>
        <v>1</v>
      </c>
    </row>
    <row r="70" spans="1:37">
      <c r="A70" s="4"/>
      <c r="B70" s="6"/>
      <c r="F70" s="11"/>
      <c r="G70" s="6"/>
      <c r="H70" s="20"/>
      <c r="I70" s="21"/>
      <c r="J70" s="26"/>
      <c r="K70" s="6">
        <f t="shared" ca="1" si="7"/>
        <v>0</v>
      </c>
      <c r="L70" s="8">
        <f ca="1">_xll.HLV5r3.Analytics.Miscellaneous.Zero2DF(_xll.HLV5r3.Analytics.Miscellaneous.LinearInterp(Peturbed_QZ,$K70,1,L$1),ZeroCompFreq,'PDH Calc'!$K70/365)</f>
        <v>1</v>
      </c>
      <c r="M70" s="8">
        <f ca="1">_xll.HLV5r3.Analytics.Miscellaneous.Zero2DF(_xll.HLV5r3.Analytics.Miscellaneous.LinearInterp(Peturbed_QZ,$K70,1,M$1),ZeroCompFreq,'PDH Calc'!$K70/365)</f>
        <v>1</v>
      </c>
      <c r="N70" s="8">
        <f ca="1">_xll.HLV5r3.Analytics.Miscellaneous.Zero2DF(_xll.HLV5r3.Analytics.Miscellaneous.LinearInterp(Peturbed_QZ,$K70,1,N$1),ZeroCompFreq,'PDH Calc'!$K70/365)</f>
        <v>1</v>
      </c>
      <c r="O70" s="8">
        <f ca="1">_xll.HLV5r3.Analytics.Miscellaneous.Zero2DF(_xll.HLV5r3.Analytics.Miscellaneous.LinearInterp(Peturbed_QZ,$K70,1,O$1),ZeroCompFreq,'PDH Calc'!$K70/365)</f>
        <v>1</v>
      </c>
      <c r="P70" s="8">
        <f ca="1">_xll.HLV5r3.Analytics.Miscellaneous.Zero2DF(_xll.HLV5r3.Analytics.Miscellaneous.LinearInterp(Peturbed_QZ,$K70,1,P$1),ZeroCompFreq,'PDH Calc'!$K70/365)</f>
        <v>1</v>
      </c>
      <c r="Q70" s="8">
        <f ca="1">_xll.HLV5r3.Analytics.Miscellaneous.Zero2DF(_xll.HLV5r3.Analytics.Miscellaneous.LinearInterp(Peturbed_QZ,$K70,1,Q$1),ZeroCompFreq,'PDH Calc'!$K70/365)</f>
        <v>1</v>
      </c>
      <c r="R70" s="8">
        <f ca="1">_xll.HLV5r3.Analytics.Miscellaneous.Zero2DF(_xll.HLV5r3.Analytics.Miscellaneous.LinearInterp(Peturbed_QZ,$K70,1,R$1),ZeroCompFreq,'PDH Calc'!$K70/365)</f>
        <v>1</v>
      </c>
      <c r="S70" s="8">
        <f ca="1">_xll.HLV5r3.Analytics.Miscellaneous.Zero2DF(_xll.HLV5r3.Analytics.Miscellaneous.LinearInterp(Peturbed_QZ,$K70,1,S$1),ZeroCompFreq,'PDH Calc'!$K70/365)</f>
        <v>1</v>
      </c>
      <c r="T70" s="8">
        <f ca="1">_xll.HLV5r3.Analytics.Miscellaneous.Zero2DF(_xll.HLV5r3.Analytics.Miscellaneous.LinearInterp(Peturbed_QZ,$K70,1,T$1),ZeroCompFreq,'PDH Calc'!$K70/365)</f>
        <v>1</v>
      </c>
      <c r="U70" s="8">
        <f ca="1">_xll.HLV5r3.Analytics.Miscellaneous.Zero2DF(_xll.HLV5r3.Analytics.Miscellaneous.LinearInterp(Peturbed_QZ,$K70,1,U$1),ZeroCompFreq,'PDH Calc'!$K70/365)</f>
        <v>1</v>
      </c>
      <c r="V70" s="8">
        <f ca="1">_xll.HLV5r3.Analytics.Miscellaneous.Zero2DF(_xll.HLV5r3.Analytics.Miscellaneous.LinearInterp(Peturbed_QZ,$K70,1,V$1),ZeroCompFreq,'PDH Calc'!$K70/365)</f>
        <v>1</v>
      </c>
      <c r="W70" s="8">
        <f ca="1">_xll.HLV5r3.Analytics.Miscellaneous.Zero2DF(_xll.HLV5r3.Analytics.Miscellaneous.LinearInterp(Peturbed_QZ,$K70,1,W$1),ZeroCompFreq,'PDH Calc'!$K70/365)</f>
        <v>1</v>
      </c>
      <c r="X70" s="8">
        <f ca="1">_xll.HLV5r3.Analytics.Miscellaneous.Zero2DF(_xll.HLV5r3.Analytics.Miscellaneous.LinearInterp(Peturbed_QZ,$K70,1,X$1),ZeroCompFreq,'PDH Calc'!$K70/365)</f>
        <v>1</v>
      </c>
      <c r="Y70" s="8">
        <f ca="1">_xll.HLV5r3.Analytics.Miscellaneous.Zero2DF(_xll.HLV5r3.Analytics.Miscellaneous.LinearInterp(Peturbed_QZ,$K70,1,Y$1),ZeroCompFreq,'PDH Calc'!$K70/365)</f>
        <v>1</v>
      </c>
      <c r="Z70" s="8">
        <f ca="1">_xll.HLV5r3.Analytics.Miscellaneous.Zero2DF(_xll.HLV5r3.Analytics.Miscellaneous.LinearInterp(Peturbed_QZ,$K70,1,Z$1),ZeroCompFreq,'PDH Calc'!$K70/365)</f>
        <v>1</v>
      </c>
      <c r="AA70" s="8">
        <f ca="1">_xll.HLV5r3.Analytics.Miscellaneous.Zero2DF(_xll.HLV5r3.Analytics.Miscellaneous.LinearInterp(Peturbed_QZ,$K70,1,AA$1),ZeroCompFreq,'PDH Calc'!$K70/365)</f>
        <v>1</v>
      </c>
      <c r="AB70" s="8">
        <f ca="1">_xll.HLV5r3.Analytics.Miscellaneous.Zero2DF(_xll.HLV5r3.Analytics.Miscellaneous.LinearInterp(Peturbed_QZ,$K70,1,AB$1),ZeroCompFreq,'PDH Calc'!$K70/365)</f>
        <v>1</v>
      </c>
      <c r="AC70" s="8">
        <f ca="1">_xll.HLV5r3.Analytics.Miscellaneous.Zero2DF(_xll.HLV5r3.Analytics.Miscellaneous.LinearInterp(Peturbed_QZ,$K70,1,AC$1),ZeroCompFreq,'PDH Calc'!$K70/365)</f>
        <v>1</v>
      </c>
      <c r="AD70" s="8">
        <f ca="1">_xll.HLV5r3.Analytics.Miscellaneous.Zero2DF(_xll.HLV5r3.Analytics.Miscellaneous.LinearInterp(Peturbed_QZ,$K70,1,AD$1),ZeroCompFreq,'PDH Calc'!$K70/365)</f>
        <v>1</v>
      </c>
      <c r="AE70" s="8">
        <f ca="1">_xll.HLV5r3.Analytics.Miscellaneous.Zero2DF(_xll.HLV5r3.Analytics.Miscellaneous.LinearInterp(Peturbed_QZ,$K70,1,AE$1),ZeroCompFreq,'PDH Calc'!$K70/365)</f>
        <v>1</v>
      </c>
      <c r="AF70" s="8">
        <f ca="1">_xll.HLV5r3.Analytics.Miscellaneous.Zero2DF(_xll.HLV5r3.Analytics.Miscellaneous.LinearInterp(Peturbed_QZ,$K70,1,AF$1),ZeroCompFreq,'PDH Calc'!$K70/365)</f>
        <v>1</v>
      </c>
      <c r="AG70" s="8">
        <f ca="1">_xll.HLV5r3.Analytics.Miscellaneous.Zero2DF(_xll.HLV5r3.Analytics.Miscellaneous.LinearInterp(Peturbed_QZ,$K70,1,AG$1),ZeroCompFreq,'PDH Calc'!$K70/365)</f>
        <v>1</v>
      </c>
      <c r="AH70" s="8">
        <f ca="1">_xll.HLV5r3.Analytics.Miscellaneous.Zero2DF(_xll.HLV5r3.Analytics.Miscellaneous.LinearInterp(Peturbed_QZ,$K70,1,AH$1),ZeroCompFreq,'PDH Calc'!$K70/365)</f>
        <v>1</v>
      </c>
      <c r="AI70" s="8">
        <f ca="1">_xll.HLV5r3.Analytics.Miscellaneous.Zero2DF(_xll.HLV5r3.Analytics.Miscellaneous.LinearInterp(Peturbed_QZ,$K70,1,AI$1),ZeroCompFreq,'PDH Calc'!$K70/365)</f>
        <v>1</v>
      </c>
      <c r="AJ70" s="8">
        <f ca="1">_xll.HLV5r3.Analytics.Miscellaneous.Zero2DF(_xll.HLV5r3.Analytics.Miscellaneous.LinearInterp(Peturbed_QZ,$K70,1,AJ$1),ZeroCompFreq,'PDH Calc'!$K70/365)</f>
        <v>1</v>
      </c>
      <c r="AK70" s="8">
        <f ca="1">_xll.HLV5r3.Analytics.Miscellaneous.Zero2DF(_xll.HLV5r3.Analytics.Miscellaneous.LinearInterp(Peturbed_QZ,$K70,1,AK$1),ZeroCompFreq,'PDH Calc'!$K70/365)</f>
        <v>1</v>
      </c>
    </row>
    <row r="71" spans="1:37">
      <c r="A71" s="4"/>
      <c r="B71" s="6"/>
      <c r="F71" s="11"/>
      <c r="G71" s="6"/>
      <c r="H71" s="20"/>
      <c r="I71" s="21"/>
      <c r="J71" s="26"/>
      <c r="K71" s="6">
        <f t="shared" ca="1" si="7"/>
        <v>0</v>
      </c>
      <c r="L71" s="8">
        <f ca="1">_xll.HLV5r3.Analytics.Miscellaneous.Zero2DF(_xll.HLV5r3.Analytics.Miscellaneous.LinearInterp(Peturbed_QZ,$K71,1,L$1),ZeroCompFreq,'PDH Calc'!$K71/365)</f>
        <v>1</v>
      </c>
      <c r="M71" s="8">
        <f ca="1">_xll.HLV5r3.Analytics.Miscellaneous.Zero2DF(_xll.HLV5r3.Analytics.Miscellaneous.LinearInterp(Peturbed_QZ,$K71,1,M$1),ZeroCompFreq,'PDH Calc'!$K71/365)</f>
        <v>1</v>
      </c>
      <c r="N71" s="8">
        <f ca="1">_xll.HLV5r3.Analytics.Miscellaneous.Zero2DF(_xll.HLV5r3.Analytics.Miscellaneous.LinearInterp(Peturbed_QZ,$K71,1,N$1),ZeroCompFreq,'PDH Calc'!$K71/365)</f>
        <v>1</v>
      </c>
      <c r="O71" s="8">
        <f ca="1">_xll.HLV5r3.Analytics.Miscellaneous.Zero2DF(_xll.HLV5r3.Analytics.Miscellaneous.LinearInterp(Peturbed_QZ,$K71,1,O$1),ZeroCompFreq,'PDH Calc'!$K71/365)</f>
        <v>1</v>
      </c>
      <c r="P71" s="8">
        <f ca="1">_xll.HLV5r3.Analytics.Miscellaneous.Zero2DF(_xll.HLV5r3.Analytics.Miscellaneous.LinearInterp(Peturbed_QZ,$K71,1,P$1),ZeroCompFreq,'PDH Calc'!$K71/365)</f>
        <v>1</v>
      </c>
      <c r="Q71" s="8">
        <f ca="1">_xll.HLV5r3.Analytics.Miscellaneous.Zero2DF(_xll.HLV5r3.Analytics.Miscellaneous.LinearInterp(Peturbed_QZ,$K71,1,Q$1),ZeroCompFreq,'PDH Calc'!$K71/365)</f>
        <v>1</v>
      </c>
      <c r="R71" s="8">
        <f ca="1">_xll.HLV5r3.Analytics.Miscellaneous.Zero2DF(_xll.HLV5r3.Analytics.Miscellaneous.LinearInterp(Peturbed_QZ,$K71,1,R$1),ZeroCompFreq,'PDH Calc'!$K71/365)</f>
        <v>1</v>
      </c>
      <c r="S71" s="8">
        <f ca="1">_xll.HLV5r3.Analytics.Miscellaneous.Zero2DF(_xll.HLV5r3.Analytics.Miscellaneous.LinearInterp(Peturbed_QZ,$K71,1,S$1),ZeroCompFreq,'PDH Calc'!$K71/365)</f>
        <v>1</v>
      </c>
      <c r="T71" s="8">
        <f ca="1">_xll.HLV5r3.Analytics.Miscellaneous.Zero2DF(_xll.HLV5r3.Analytics.Miscellaneous.LinearInterp(Peturbed_QZ,$K71,1,T$1),ZeroCompFreq,'PDH Calc'!$K71/365)</f>
        <v>1</v>
      </c>
      <c r="U71" s="8">
        <f ca="1">_xll.HLV5r3.Analytics.Miscellaneous.Zero2DF(_xll.HLV5r3.Analytics.Miscellaneous.LinearInterp(Peturbed_QZ,$K71,1,U$1),ZeroCompFreq,'PDH Calc'!$K71/365)</f>
        <v>1</v>
      </c>
      <c r="V71" s="8">
        <f ca="1">_xll.HLV5r3.Analytics.Miscellaneous.Zero2DF(_xll.HLV5r3.Analytics.Miscellaneous.LinearInterp(Peturbed_QZ,$K71,1,V$1),ZeroCompFreq,'PDH Calc'!$K71/365)</f>
        <v>1</v>
      </c>
      <c r="W71" s="8">
        <f ca="1">_xll.HLV5r3.Analytics.Miscellaneous.Zero2DF(_xll.HLV5r3.Analytics.Miscellaneous.LinearInterp(Peturbed_QZ,$K71,1,W$1),ZeroCompFreq,'PDH Calc'!$K71/365)</f>
        <v>1</v>
      </c>
      <c r="X71" s="8">
        <f ca="1">_xll.HLV5r3.Analytics.Miscellaneous.Zero2DF(_xll.HLV5r3.Analytics.Miscellaneous.LinearInterp(Peturbed_QZ,$K71,1,X$1),ZeroCompFreq,'PDH Calc'!$K71/365)</f>
        <v>1</v>
      </c>
      <c r="Y71" s="8">
        <f ca="1">_xll.HLV5r3.Analytics.Miscellaneous.Zero2DF(_xll.HLV5r3.Analytics.Miscellaneous.LinearInterp(Peturbed_QZ,$K71,1,Y$1),ZeroCompFreq,'PDH Calc'!$K71/365)</f>
        <v>1</v>
      </c>
      <c r="Z71" s="8">
        <f ca="1">_xll.HLV5r3.Analytics.Miscellaneous.Zero2DF(_xll.HLV5r3.Analytics.Miscellaneous.LinearInterp(Peturbed_QZ,$K71,1,Z$1),ZeroCompFreq,'PDH Calc'!$K71/365)</f>
        <v>1</v>
      </c>
      <c r="AA71" s="8">
        <f ca="1">_xll.HLV5r3.Analytics.Miscellaneous.Zero2DF(_xll.HLV5r3.Analytics.Miscellaneous.LinearInterp(Peturbed_QZ,$K71,1,AA$1),ZeroCompFreq,'PDH Calc'!$K71/365)</f>
        <v>1</v>
      </c>
      <c r="AB71" s="8">
        <f ca="1">_xll.HLV5r3.Analytics.Miscellaneous.Zero2DF(_xll.HLV5r3.Analytics.Miscellaneous.LinearInterp(Peturbed_QZ,$K71,1,AB$1),ZeroCompFreq,'PDH Calc'!$K71/365)</f>
        <v>1</v>
      </c>
      <c r="AC71" s="8">
        <f ca="1">_xll.HLV5r3.Analytics.Miscellaneous.Zero2DF(_xll.HLV5r3.Analytics.Miscellaneous.LinearInterp(Peturbed_QZ,$K71,1,AC$1),ZeroCompFreq,'PDH Calc'!$K71/365)</f>
        <v>1</v>
      </c>
      <c r="AD71" s="8">
        <f ca="1">_xll.HLV5r3.Analytics.Miscellaneous.Zero2DF(_xll.HLV5r3.Analytics.Miscellaneous.LinearInterp(Peturbed_QZ,$K71,1,AD$1),ZeroCompFreq,'PDH Calc'!$K71/365)</f>
        <v>1</v>
      </c>
      <c r="AE71" s="8">
        <f ca="1">_xll.HLV5r3.Analytics.Miscellaneous.Zero2DF(_xll.HLV5r3.Analytics.Miscellaneous.LinearInterp(Peturbed_QZ,$K71,1,AE$1),ZeroCompFreq,'PDH Calc'!$K71/365)</f>
        <v>1</v>
      </c>
      <c r="AF71" s="8">
        <f ca="1">_xll.HLV5r3.Analytics.Miscellaneous.Zero2DF(_xll.HLV5r3.Analytics.Miscellaneous.LinearInterp(Peturbed_QZ,$K71,1,AF$1),ZeroCompFreq,'PDH Calc'!$K71/365)</f>
        <v>1</v>
      </c>
      <c r="AG71" s="8">
        <f ca="1">_xll.HLV5r3.Analytics.Miscellaneous.Zero2DF(_xll.HLV5r3.Analytics.Miscellaneous.LinearInterp(Peturbed_QZ,$K71,1,AG$1),ZeroCompFreq,'PDH Calc'!$K71/365)</f>
        <v>1</v>
      </c>
      <c r="AH71" s="8">
        <f ca="1">_xll.HLV5r3.Analytics.Miscellaneous.Zero2DF(_xll.HLV5r3.Analytics.Miscellaneous.LinearInterp(Peturbed_QZ,$K71,1,AH$1),ZeroCompFreq,'PDH Calc'!$K71/365)</f>
        <v>1</v>
      </c>
      <c r="AI71" s="8">
        <f ca="1">_xll.HLV5r3.Analytics.Miscellaneous.Zero2DF(_xll.HLV5r3.Analytics.Miscellaneous.LinearInterp(Peturbed_QZ,$K71,1,AI$1),ZeroCompFreq,'PDH Calc'!$K71/365)</f>
        <v>1</v>
      </c>
      <c r="AJ71" s="8">
        <f ca="1">_xll.HLV5r3.Analytics.Miscellaneous.Zero2DF(_xll.HLV5r3.Analytics.Miscellaneous.LinearInterp(Peturbed_QZ,$K71,1,AJ$1),ZeroCompFreq,'PDH Calc'!$K71/365)</f>
        <v>1</v>
      </c>
      <c r="AK71" s="8">
        <f ca="1">_xll.HLV5r3.Analytics.Miscellaneous.Zero2DF(_xll.HLV5r3.Analytics.Miscellaneous.LinearInterp(Peturbed_QZ,$K71,1,AK$1),ZeroCompFreq,'PDH Calc'!$K71/365)</f>
        <v>1</v>
      </c>
    </row>
    <row r="72" spans="1:37">
      <c r="A72" s="4"/>
      <c r="B72" s="6"/>
      <c r="F72" s="11"/>
      <c r="G72" s="6"/>
      <c r="H72" s="20"/>
      <c r="I72" s="21"/>
      <c r="J72" s="26"/>
      <c r="K72" s="6">
        <f t="shared" ca="1" si="7"/>
        <v>0</v>
      </c>
      <c r="L72" s="8">
        <f ca="1">_xll.HLV5r3.Analytics.Miscellaneous.Zero2DF(_xll.HLV5r3.Analytics.Miscellaneous.LinearInterp(Peturbed_QZ,$K72,1,L$1),ZeroCompFreq,'PDH Calc'!$K72/365)</f>
        <v>1</v>
      </c>
      <c r="M72" s="8">
        <f ca="1">_xll.HLV5r3.Analytics.Miscellaneous.Zero2DF(_xll.HLV5r3.Analytics.Miscellaneous.LinearInterp(Peturbed_QZ,$K72,1,M$1),ZeroCompFreq,'PDH Calc'!$K72/365)</f>
        <v>1</v>
      </c>
      <c r="N72" s="8">
        <f ca="1">_xll.HLV5r3.Analytics.Miscellaneous.Zero2DF(_xll.HLV5r3.Analytics.Miscellaneous.LinearInterp(Peturbed_QZ,$K72,1,N$1),ZeroCompFreq,'PDH Calc'!$K72/365)</f>
        <v>1</v>
      </c>
      <c r="O72" s="8">
        <f ca="1">_xll.HLV5r3.Analytics.Miscellaneous.Zero2DF(_xll.HLV5r3.Analytics.Miscellaneous.LinearInterp(Peturbed_QZ,$K72,1,O$1),ZeroCompFreq,'PDH Calc'!$K72/365)</f>
        <v>1</v>
      </c>
      <c r="P72" s="8">
        <f ca="1">_xll.HLV5r3.Analytics.Miscellaneous.Zero2DF(_xll.HLV5r3.Analytics.Miscellaneous.LinearInterp(Peturbed_QZ,$K72,1,P$1),ZeroCompFreq,'PDH Calc'!$K72/365)</f>
        <v>1</v>
      </c>
      <c r="Q72" s="8">
        <f ca="1">_xll.HLV5r3.Analytics.Miscellaneous.Zero2DF(_xll.HLV5r3.Analytics.Miscellaneous.LinearInterp(Peturbed_QZ,$K72,1,Q$1),ZeroCompFreq,'PDH Calc'!$K72/365)</f>
        <v>1</v>
      </c>
      <c r="R72" s="8">
        <f ca="1">_xll.HLV5r3.Analytics.Miscellaneous.Zero2DF(_xll.HLV5r3.Analytics.Miscellaneous.LinearInterp(Peturbed_QZ,$K72,1,R$1),ZeroCompFreq,'PDH Calc'!$K72/365)</f>
        <v>1</v>
      </c>
      <c r="S72" s="8">
        <f ca="1">_xll.HLV5r3.Analytics.Miscellaneous.Zero2DF(_xll.HLV5r3.Analytics.Miscellaneous.LinearInterp(Peturbed_QZ,$K72,1,S$1),ZeroCompFreq,'PDH Calc'!$K72/365)</f>
        <v>1</v>
      </c>
      <c r="T72" s="8">
        <f ca="1">_xll.HLV5r3.Analytics.Miscellaneous.Zero2DF(_xll.HLV5r3.Analytics.Miscellaneous.LinearInterp(Peturbed_QZ,$K72,1,T$1),ZeroCompFreq,'PDH Calc'!$K72/365)</f>
        <v>1</v>
      </c>
      <c r="U72" s="8">
        <f ca="1">_xll.HLV5r3.Analytics.Miscellaneous.Zero2DF(_xll.HLV5r3.Analytics.Miscellaneous.LinearInterp(Peturbed_QZ,$K72,1,U$1),ZeroCompFreq,'PDH Calc'!$K72/365)</f>
        <v>1</v>
      </c>
      <c r="V72" s="8">
        <f ca="1">_xll.HLV5r3.Analytics.Miscellaneous.Zero2DF(_xll.HLV5r3.Analytics.Miscellaneous.LinearInterp(Peturbed_QZ,$K72,1,V$1),ZeroCompFreq,'PDH Calc'!$K72/365)</f>
        <v>1</v>
      </c>
      <c r="W72" s="8">
        <f ca="1">_xll.HLV5r3.Analytics.Miscellaneous.Zero2DF(_xll.HLV5r3.Analytics.Miscellaneous.LinearInterp(Peturbed_QZ,$K72,1,W$1),ZeroCompFreq,'PDH Calc'!$K72/365)</f>
        <v>1</v>
      </c>
      <c r="X72" s="8">
        <f ca="1">_xll.HLV5r3.Analytics.Miscellaneous.Zero2DF(_xll.HLV5r3.Analytics.Miscellaneous.LinearInterp(Peturbed_QZ,$K72,1,X$1),ZeroCompFreq,'PDH Calc'!$K72/365)</f>
        <v>1</v>
      </c>
      <c r="Y72" s="8">
        <f ca="1">_xll.HLV5r3.Analytics.Miscellaneous.Zero2DF(_xll.HLV5r3.Analytics.Miscellaneous.LinearInterp(Peturbed_QZ,$K72,1,Y$1),ZeroCompFreq,'PDH Calc'!$K72/365)</f>
        <v>1</v>
      </c>
      <c r="Z72" s="8">
        <f ca="1">_xll.HLV5r3.Analytics.Miscellaneous.Zero2DF(_xll.HLV5r3.Analytics.Miscellaneous.LinearInterp(Peturbed_QZ,$K72,1,Z$1),ZeroCompFreq,'PDH Calc'!$K72/365)</f>
        <v>1</v>
      </c>
      <c r="AA72" s="8">
        <f ca="1">_xll.HLV5r3.Analytics.Miscellaneous.Zero2DF(_xll.HLV5r3.Analytics.Miscellaneous.LinearInterp(Peturbed_QZ,$K72,1,AA$1),ZeroCompFreq,'PDH Calc'!$K72/365)</f>
        <v>1</v>
      </c>
      <c r="AB72" s="8">
        <f ca="1">_xll.HLV5r3.Analytics.Miscellaneous.Zero2DF(_xll.HLV5r3.Analytics.Miscellaneous.LinearInterp(Peturbed_QZ,$K72,1,AB$1),ZeroCompFreq,'PDH Calc'!$K72/365)</f>
        <v>1</v>
      </c>
      <c r="AC72" s="8">
        <f ca="1">_xll.HLV5r3.Analytics.Miscellaneous.Zero2DF(_xll.HLV5r3.Analytics.Miscellaneous.LinearInterp(Peturbed_QZ,$K72,1,AC$1),ZeroCompFreq,'PDH Calc'!$K72/365)</f>
        <v>1</v>
      </c>
      <c r="AD72" s="8">
        <f ca="1">_xll.HLV5r3.Analytics.Miscellaneous.Zero2DF(_xll.HLV5r3.Analytics.Miscellaneous.LinearInterp(Peturbed_QZ,$K72,1,AD$1),ZeroCompFreq,'PDH Calc'!$K72/365)</f>
        <v>1</v>
      </c>
      <c r="AE72" s="8">
        <f ca="1">_xll.HLV5r3.Analytics.Miscellaneous.Zero2DF(_xll.HLV5r3.Analytics.Miscellaneous.LinearInterp(Peturbed_QZ,$K72,1,AE$1),ZeroCompFreq,'PDH Calc'!$K72/365)</f>
        <v>1</v>
      </c>
      <c r="AF72" s="8">
        <f ca="1">_xll.HLV5r3.Analytics.Miscellaneous.Zero2DF(_xll.HLV5r3.Analytics.Miscellaneous.LinearInterp(Peturbed_QZ,$K72,1,AF$1),ZeroCompFreq,'PDH Calc'!$K72/365)</f>
        <v>1</v>
      </c>
      <c r="AG72" s="8">
        <f ca="1">_xll.HLV5r3.Analytics.Miscellaneous.Zero2DF(_xll.HLV5r3.Analytics.Miscellaneous.LinearInterp(Peturbed_QZ,$K72,1,AG$1),ZeroCompFreq,'PDH Calc'!$K72/365)</f>
        <v>1</v>
      </c>
      <c r="AH72" s="8">
        <f ca="1">_xll.HLV5r3.Analytics.Miscellaneous.Zero2DF(_xll.HLV5r3.Analytics.Miscellaneous.LinearInterp(Peturbed_QZ,$K72,1,AH$1),ZeroCompFreq,'PDH Calc'!$K72/365)</f>
        <v>1</v>
      </c>
      <c r="AI72" s="8">
        <f ca="1">_xll.HLV5r3.Analytics.Miscellaneous.Zero2DF(_xll.HLV5r3.Analytics.Miscellaneous.LinearInterp(Peturbed_QZ,$K72,1,AI$1),ZeroCompFreq,'PDH Calc'!$K72/365)</f>
        <v>1</v>
      </c>
      <c r="AJ72" s="8">
        <f ca="1">_xll.HLV5r3.Analytics.Miscellaneous.Zero2DF(_xll.HLV5r3.Analytics.Miscellaneous.LinearInterp(Peturbed_QZ,$K72,1,AJ$1),ZeroCompFreq,'PDH Calc'!$K72/365)</f>
        <v>1</v>
      </c>
      <c r="AK72" s="8">
        <f ca="1">_xll.HLV5r3.Analytics.Miscellaneous.Zero2DF(_xll.HLV5r3.Analytics.Miscellaneous.LinearInterp(Peturbed_QZ,$K72,1,AK$1),ZeroCompFreq,'PDH Calc'!$K72/365)</f>
        <v>1</v>
      </c>
    </row>
    <row r="73" spans="1:37">
      <c r="A73" s="4"/>
      <c r="B73" s="6"/>
      <c r="F73" s="11"/>
      <c r="G73" s="6"/>
      <c r="H73" s="20"/>
      <c r="I73" s="21"/>
      <c r="J73" s="26"/>
      <c r="K73" s="6">
        <f t="shared" ca="1" si="7"/>
        <v>0</v>
      </c>
      <c r="L73" s="8">
        <f ca="1">_xll.HLV5r3.Analytics.Miscellaneous.Zero2DF(_xll.HLV5r3.Analytics.Miscellaneous.LinearInterp(Peturbed_QZ,$K73,1,L$1),ZeroCompFreq,'PDH Calc'!$K73/365)</f>
        <v>1</v>
      </c>
      <c r="M73" s="8">
        <f ca="1">_xll.HLV5r3.Analytics.Miscellaneous.Zero2DF(_xll.HLV5r3.Analytics.Miscellaneous.LinearInterp(Peturbed_QZ,$K73,1,M$1),ZeroCompFreq,'PDH Calc'!$K73/365)</f>
        <v>1</v>
      </c>
      <c r="N73" s="8">
        <f ca="1">_xll.HLV5r3.Analytics.Miscellaneous.Zero2DF(_xll.HLV5r3.Analytics.Miscellaneous.LinearInterp(Peturbed_QZ,$K73,1,N$1),ZeroCompFreq,'PDH Calc'!$K73/365)</f>
        <v>1</v>
      </c>
      <c r="O73" s="8">
        <f ca="1">_xll.HLV5r3.Analytics.Miscellaneous.Zero2DF(_xll.HLV5r3.Analytics.Miscellaneous.LinearInterp(Peturbed_QZ,$K73,1,O$1),ZeroCompFreq,'PDH Calc'!$K73/365)</f>
        <v>1</v>
      </c>
      <c r="P73" s="8">
        <f ca="1">_xll.HLV5r3.Analytics.Miscellaneous.Zero2DF(_xll.HLV5r3.Analytics.Miscellaneous.LinearInterp(Peturbed_QZ,$K73,1,P$1),ZeroCompFreq,'PDH Calc'!$K73/365)</f>
        <v>1</v>
      </c>
      <c r="Q73" s="8">
        <f ca="1">_xll.HLV5r3.Analytics.Miscellaneous.Zero2DF(_xll.HLV5r3.Analytics.Miscellaneous.LinearInterp(Peturbed_QZ,$K73,1,Q$1),ZeroCompFreq,'PDH Calc'!$K73/365)</f>
        <v>1</v>
      </c>
      <c r="R73" s="8">
        <f ca="1">_xll.HLV5r3.Analytics.Miscellaneous.Zero2DF(_xll.HLV5r3.Analytics.Miscellaneous.LinearInterp(Peturbed_QZ,$K73,1,R$1),ZeroCompFreq,'PDH Calc'!$K73/365)</f>
        <v>1</v>
      </c>
      <c r="S73" s="8">
        <f ca="1">_xll.HLV5r3.Analytics.Miscellaneous.Zero2DF(_xll.HLV5r3.Analytics.Miscellaneous.LinearInterp(Peturbed_QZ,$K73,1,S$1),ZeroCompFreq,'PDH Calc'!$K73/365)</f>
        <v>1</v>
      </c>
      <c r="T73" s="8">
        <f ca="1">_xll.HLV5r3.Analytics.Miscellaneous.Zero2DF(_xll.HLV5r3.Analytics.Miscellaneous.LinearInterp(Peturbed_QZ,$K73,1,T$1),ZeroCompFreq,'PDH Calc'!$K73/365)</f>
        <v>1</v>
      </c>
      <c r="U73" s="8">
        <f ca="1">_xll.HLV5r3.Analytics.Miscellaneous.Zero2DF(_xll.HLV5r3.Analytics.Miscellaneous.LinearInterp(Peturbed_QZ,$K73,1,U$1),ZeroCompFreq,'PDH Calc'!$K73/365)</f>
        <v>1</v>
      </c>
      <c r="V73" s="8">
        <f ca="1">_xll.HLV5r3.Analytics.Miscellaneous.Zero2DF(_xll.HLV5r3.Analytics.Miscellaneous.LinearInterp(Peturbed_QZ,$K73,1,V$1),ZeroCompFreq,'PDH Calc'!$K73/365)</f>
        <v>1</v>
      </c>
      <c r="W73" s="8">
        <f ca="1">_xll.HLV5r3.Analytics.Miscellaneous.Zero2DF(_xll.HLV5r3.Analytics.Miscellaneous.LinearInterp(Peturbed_QZ,$K73,1,W$1),ZeroCompFreq,'PDH Calc'!$K73/365)</f>
        <v>1</v>
      </c>
      <c r="X73" s="8">
        <f ca="1">_xll.HLV5r3.Analytics.Miscellaneous.Zero2DF(_xll.HLV5r3.Analytics.Miscellaneous.LinearInterp(Peturbed_QZ,$K73,1,X$1),ZeroCompFreq,'PDH Calc'!$K73/365)</f>
        <v>1</v>
      </c>
      <c r="Y73" s="8">
        <f ca="1">_xll.HLV5r3.Analytics.Miscellaneous.Zero2DF(_xll.HLV5r3.Analytics.Miscellaneous.LinearInterp(Peturbed_QZ,$K73,1,Y$1),ZeroCompFreq,'PDH Calc'!$K73/365)</f>
        <v>1</v>
      </c>
      <c r="Z73" s="8">
        <f ca="1">_xll.HLV5r3.Analytics.Miscellaneous.Zero2DF(_xll.HLV5r3.Analytics.Miscellaneous.LinearInterp(Peturbed_QZ,$K73,1,Z$1),ZeroCompFreq,'PDH Calc'!$K73/365)</f>
        <v>1</v>
      </c>
      <c r="AA73" s="8">
        <f ca="1">_xll.HLV5r3.Analytics.Miscellaneous.Zero2DF(_xll.HLV5r3.Analytics.Miscellaneous.LinearInterp(Peturbed_QZ,$K73,1,AA$1),ZeroCompFreq,'PDH Calc'!$K73/365)</f>
        <v>1</v>
      </c>
      <c r="AB73" s="8">
        <f ca="1">_xll.HLV5r3.Analytics.Miscellaneous.Zero2DF(_xll.HLV5r3.Analytics.Miscellaneous.LinearInterp(Peturbed_QZ,$K73,1,AB$1),ZeroCompFreq,'PDH Calc'!$K73/365)</f>
        <v>1</v>
      </c>
      <c r="AC73" s="8">
        <f ca="1">_xll.HLV5r3.Analytics.Miscellaneous.Zero2DF(_xll.HLV5r3.Analytics.Miscellaneous.LinearInterp(Peturbed_QZ,$K73,1,AC$1),ZeroCompFreq,'PDH Calc'!$K73/365)</f>
        <v>1</v>
      </c>
      <c r="AD73" s="8">
        <f ca="1">_xll.HLV5r3.Analytics.Miscellaneous.Zero2DF(_xll.HLV5r3.Analytics.Miscellaneous.LinearInterp(Peturbed_QZ,$K73,1,AD$1),ZeroCompFreq,'PDH Calc'!$K73/365)</f>
        <v>1</v>
      </c>
      <c r="AE73" s="8">
        <f ca="1">_xll.HLV5r3.Analytics.Miscellaneous.Zero2DF(_xll.HLV5r3.Analytics.Miscellaneous.LinearInterp(Peturbed_QZ,$K73,1,AE$1),ZeroCompFreq,'PDH Calc'!$K73/365)</f>
        <v>1</v>
      </c>
      <c r="AF73" s="8">
        <f ca="1">_xll.HLV5r3.Analytics.Miscellaneous.Zero2DF(_xll.HLV5r3.Analytics.Miscellaneous.LinearInterp(Peturbed_QZ,$K73,1,AF$1),ZeroCompFreq,'PDH Calc'!$K73/365)</f>
        <v>1</v>
      </c>
      <c r="AG73" s="8">
        <f ca="1">_xll.HLV5r3.Analytics.Miscellaneous.Zero2DF(_xll.HLV5r3.Analytics.Miscellaneous.LinearInterp(Peturbed_QZ,$K73,1,AG$1),ZeroCompFreq,'PDH Calc'!$K73/365)</f>
        <v>1</v>
      </c>
      <c r="AH73" s="8">
        <f ca="1">_xll.HLV5r3.Analytics.Miscellaneous.Zero2DF(_xll.HLV5r3.Analytics.Miscellaneous.LinearInterp(Peturbed_QZ,$K73,1,AH$1),ZeroCompFreq,'PDH Calc'!$K73/365)</f>
        <v>1</v>
      </c>
      <c r="AI73" s="8">
        <f ca="1">_xll.HLV5r3.Analytics.Miscellaneous.Zero2DF(_xll.HLV5r3.Analytics.Miscellaneous.LinearInterp(Peturbed_QZ,$K73,1,AI$1),ZeroCompFreq,'PDH Calc'!$K73/365)</f>
        <v>1</v>
      </c>
      <c r="AJ73" s="8">
        <f ca="1">_xll.HLV5r3.Analytics.Miscellaneous.Zero2DF(_xll.HLV5r3.Analytics.Miscellaneous.LinearInterp(Peturbed_QZ,$K73,1,AJ$1),ZeroCompFreq,'PDH Calc'!$K73/365)</f>
        <v>1</v>
      </c>
      <c r="AK73" s="8">
        <f ca="1">_xll.HLV5r3.Analytics.Miscellaneous.Zero2DF(_xll.HLV5r3.Analytics.Miscellaneous.LinearInterp(Peturbed_QZ,$K73,1,AK$1),ZeroCompFreq,'PDH Calc'!$K73/365)</f>
        <v>1</v>
      </c>
    </row>
    <row r="74" spans="1:37">
      <c r="A74" s="4"/>
      <c r="B74" s="6"/>
      <c r="F74" s="11"/>
      <c r="G74" s="6"/>
      <c r="H74" s="20"/>
      <c r="I74" s="21"/>
      <c r="J74" s="26"/>
      <c r="K74" s="6">
        <f t="shared" ca="1" si="7"/>
        <v>0</v>
      </c>
      <c r="L74" s="8">
        <f ca="1">_xll.HLV5r3.Analytics.Miscellaneous.Zero2DF(_xll.HLV5r3.Analytics.Miscellaneous.LinearInterp(Peturbed_QZ,$K74,1,L$1),ZeroCompFreq,'PDH Calc'!$K74/365)</f>
        <v>1</v>
      </c>
      <c r="M74" s="8">
        <f ca="1">_xll.HLV5r3.Analytics.Miscellaneous.Zero2DF(_xll.HLV5r3.Analytics.Miscellaneous.LinearInterp(Peturbed_QZ,$K74,1,M$1),ZeroCompFreq,'PDH Calc'!$K74/365)</f>
        <v>1</v>
      </c>
      <c r="N74" s="8">
        <f ca="1">_xll.HLV5r3.Analytics.Miscellaneous.Zero2DF(_xll.HLV5r3.Analytics.Miscellaneous.LinearInterp(Peturbed_QZ,$K74,1,N$1),ZeroCompFreq,'PDH Calc'!$K74/365)</f>
        <v>1</v>
      </c>
      <c r="O74" s="8">
        <f ca="1">_xll.HLV5r3.Analytics.Miscellaneous.Zero2DF(_xll.HLV5r3.Analytics.Miscellaneous.LinearInterp(Peturbed_QZ,$K74,1,O$1),ZeroCompFreq,'PDH Calc'!$K74/365)</f>
        <v>1</v>
      </c>
      <c r="P74" s="8">
        <f ca="1">_xll.HLV5r3.Analytics.Miscellaneous.Zero2DF(_xll.HLV5r3.Analytics.Miscellaneous.LinearInterp(Peturbed_QZ,$K74,1,P$1),ZeroCompFreq,'PDH Calc'!$K74/365)</f>
        <v>1</v>
      </c>
      <c r="Q74" s="8">
        <f ca="1">_xll.HLV5r3.Analytics.Miscellaneous.Zero2DF(_xll.HLV5r3.Analytics.Miscellaneous.LinearInterp(Peturbed_QZ,$K74,1,Q$1),ZeroCompFreq,'PDH Calc'!$K74/365)</f>
        <v>1</v>
      </c>
      <c r="R74" s="8">
        <f ca="1">_xll.HLV5r3.Analytics.Miscellaneous.Zero2DF(_xll.HLV5r3.Analytics.Miscellaneous.LinearInterp(Peturbed_QZ,$K74,1,R$1),ZeroCompFreq,'PDH Calc'!$K74/365)</f>
        <v>1</v>
      </c>
      <c r="S74" s="8">
        <f ca="1">_xll.HLV5r3.Analytics.Miscellaneous.Zero2DF(_xll.HLV5r3.Analytics.Miscellaneous.LinearInterp(Peturbed_QZ,$K74,1,S$1),ZeroCompFreq,'PDH Calc'!$K74/365)</f>
        <v>1</v>
      </c>
      <c r="T74" s="8">
        <f ca="1">_xll.HLV5r3.Analytics.Miscellaneous.Zero2DF(_xll.HLV5r3.Analytics.Miscellaneous.LinearInterp(Peturbed_QZ,$K74,1,T$1),ZeroCompFreq,'PDH Calc'!$K74/365)</f>
        <v>1</v>
      </c>
      <c r="U74" s="8">
        <f ca="1">_xll.HLV5r3.Analytics.Miscellaneous.Zero2DF(_xll.HLV5r3.Analytics.Miscellaneous.LinearInterp(Peturbed_QZ,$K74,1,U$1),ZeroCompFreq,'PDH Calc'!$K74/365)</f>
        <v>1</v>
      </c>
      <c r="V74" s="8">
        <f ca="1">_xll.HLV5r3.Analytics.Miscellaneous.Zero2DF(_xll.HLV5r3.Analytics.Miscellaneous.LinearInterp(Peturbed_QZ,$K74,1,V$1),ZeroCompFreq,'PDH Calc'!$K74/365)</f>
        <v>1</v>
      </c>
      <c r="W74" s="8">
        <f ca="1">_xll.HLV5r3.Analytics.Miscellaneous.Zero2DF(_xll.HLV5r3.Analytics.Miscellaneous.LinearInterp(Peturbed_QZ,$K74,1,W$1),ZeroCompFreq,'PDH Calc'!$K74/365)</f>
        <v>1</v>
      </c>
      <c r="X74" s="8">
        <f ca="1">_xll.HLV5r3.Analytics.Miscellaneous.Zero2DF(_xll.HLV5r3.Analytics.Miscellaneous.LinearInterp(Peturbed_QZ,$K74,1,X$1),ZeroCompFreq,'PDH Calc'!$K74/365)</f>
        <v>1</v>
      </c>
      <c r="Y74" s="8">
        <f ca="1">_xll.HLV5r3.Analytics.Miscellaneous.Zero2DF(_xll.HLV5r3.Analytics.Miscellaneous.LinearInterp(Peturbed_QZ,$K74,1,Y$1),ZeroCompFreq,'PDH Calc'!$K74/365)</f>
        <v>1</v>
      </c>
      <c r="Z74" s="8">
        <f ca="1">_xll.HLV5r3.Analytics.Miscellaneous.Zero2DF(_xll.HLV5r3.Analytics.Miscellaneous.LinearInterp(Peturbed_QZ,$K74,1,Z$1),ZeroCompFreq,'PDH Calc'!$K74/365)</f>
        <v>1</v>
      </c>
      <c r="AA74" s="8">
        <f ca="1">_xll.HLV5r3.Analytics.Miscellaneous.Zero2DF(_xll.HLV5r3.Analytics.Miscellaneous.LinearInterp(Peturbed_QZ,$K74,1,AA$1),ZeroCompFreq,'PDH Calc'!$K74/365)</f>
        <v>1</v>
      </c>
      <c r="AB74" s="8">
        <f ca="1">_xll.HLV5r3.Analytics.Miscellaneous.Zero2DF(_xll.HLV5r3.Analytics.Miscellaneous.LinearInterp(Peturbed_QZ,$K74,1,AB$1),ZeroCompFreq,'PDH Calc'!$K74/365)</f>
        <v>1</v>
      </c>
      <c r="AC74" s="8">
        <f ca="1">_xll.HLV5r3.Analytics.Miscellaneous.Zero2DF(_xll.HLV5r3.Analytics.Miscellaneous.LinearInterp(Peturbed_QZ,$K74,1,AC$1),ZeroCompFreq,'PDH Calc'!$K74/365)</f>
        <v>1</v>
      </c>
      <c r="AD74" s="8">
        <f ca="1">_xll.HLV5r3.Analytics.Miscellaneous.Zero2DF(_xll.HLV5r3.Analytics.Miscellaneous.LinearInterp(Peturbed_QZ,$K74,1,AD$1),ZeroCompFreq,'PDH Calc'!$K74/365)</f>
        <v>1</v>
      </c>
      <c r="AE74" s="8">
        <f ca="1">_xll.HLV5r3.Analytics.Miscellaneous.Zero2DF(_xll.HLV5r3.Analytics.Miscellaneous.LinearInterp(Peturbed_QZ,$K74,1,AE$1),ZeroCompFreq,'PDH Calc'!$K74/365)</f>
        <v>1</v>
      </c>
      <c r="AF74" s="8">
        <f ca="1">_xll.HLV5r3.Analytics.Miscellaneous.Zero2DF(_xll.HLV5r3.Analytics.Miscellaneous.LinearInterp(Peturbed_QZ,$K74,1,AF$1),ZeroCompFreq,'PDH Calc'!$K74/365)</f>
        <v>1</v>
      </c>
      <c r="AG74" s="8">
        <f ca="1">_xll.HLV5r3.Analytics.Miscellaneous.Zero2DF(_xll.HLV5r3.Analytics.Miscellaneous.LinearInterp(Peturbed_QZ,$K74,1,AG$1),ZeroCompFreq,'PDH Calc'!$K74/365)</f>
        <v>1</v>
      </c>
      <c r="AH74" s="8">
        <f ca="1">_xll.HLV5r3.Analytics.Miscellaneous.Zero2DF(_xll.HLV5r3.Analytics.Miscellaneous.LinearInterp(Peturbed_QZ,$K74,1,AH$1),ZeroCompFreq,'PDH Calc'!$K74/365)</f>
        <v>1</v>
      </c>
      <c r="AI74" s="8">
        <f ca="1">_xll.HLV5r3.Analytics.Miscellaneous.Zero2DF(_xll.HLV5r3.Analytics.Miscellaneous.LinearInterp(Peturbed_QZ,$K74,1,AI$1),ZeroCompFreq,'PDH Calc'!$K74/365)</f>
        <v>1</v>
      </c>
      <c r="AJ74" s="8">
        <f ca="1">_xll.HLV5r3.Analytics.Miscellaneous.Zero2DF(_xll.HLV5r3.Analytics.Miscellaneous.LinearInterp(Peturbed_QZ,$K74,1,AJ$1),ZeroCompFreq,'PDH Calc'!$K74/365)</f>
        <v>1</v>
      </c>
      <c r="AK74" s="8">
        <f ca="1">_xll.HLV5r3.Analytics.Miscellaneous.Zero2DF(_xll.HLV5r3.Analytics.Miscellaneous.LinearInterp(Peturbed_QZ,$K74,1,AK$1),ZeroCompFreq,'PDH Calc'!$K74/365)</f>
        <v>1</v>
      </c>
    </row>
    <row r="75" spans="1:37">
      <c r="A75" s="4"/>
      <c r="B75" s="6"/>
      <c r="F75" s="11"/>
      <c r="G75" s="6"/>
      <c r="H75" s="20"/>
      <c r="I75" s="21"/>
      <c r="J75" s="26"/>
      <c r="K75" s="6">
        <f t="shared" ca="1" si="7"/>
        <v>0</v>
      </c>
      <c r="L75" s="8">
        <f ca="1">_xll.HLV5r3.Analytics.Miscellaneous.Zero2DF(_xll.HLV5r3.Analytics.Miscellaneous.LinearInterp(Peturbed_QZ,$K75,1,L$1),ZeroCompFreq,'PDH Calc'!$K75/365)</f>
        <v>1</v>
      </c>
      <c r="M75" s="8">
        <f ca="1">_xll.HLV5r3.Analytics.Miscellaneous.Zero2DF(_xll.HLV5r3.Analytics.Miscellaneous.LinearInterp(Peturbed_QZ,$K75,1,M$1),ZeroCompFreq,'PDH Calc'!$K75/365)</f>
        <v>1</v>
      </c>
      <c r="N75" s="8">
        <f ca="1">_xll.HLV5r3.Analytics.Miscellaneous.Zero2DF(_xll.HLV5r3.Analytics.Miscellaneous.LinearInterp(Peturbed_QZ,$K75,1,N$1),ZeroCompFreq,'PDH Calc'!$K75/365)</f>
        <v>1</v>
      </c>
      <c r="O75" s="8">
        <f ca="1">_xll.HLV5r3.Analytics.Miscellaneous.Zero2DF(_xll.HLV5r3.Analytics.Miscellaneous.LinearInterp(Peturbed_QZ,$K75,1,O$1),ZeroCompFreq,'PDH Calc'!$K75/365)</f>
        <v>1</v>
      </c>
      <c r="P75" s="8">
        <f ca="1">_xll.HLV5r3.Analytics.Miscellaneous.Zero2DF(_xll.HLV5r3.Analytics.Miscellaneous.LinearInterp(Peturbed_QZ,$K75,1,P$1),ZeroCompFreq,'PDH Calc'!$K75/365)</f>
        <v>1</v>
      </c>
      <c r="Q75" s="8">
        <f ca="1">_xll.HLV5r3.Analytics.Miscellaneous.Zero2DF(_xll.HLV5r3.Analytics.Miscellaneous.LinearInterp(Peturbed_QZ,$K75,1,Q$1),ZeroCompFreq,'PDH Calc'!$K75/365)</f>
        <v>1</v>
      </c>
      <c r="R75" s="8">
        <f ca="1">_xll.HLV5r3.Analytics.Miscellaneous.Zero2DF(_xll.HLV5r3.Analytics.Miscellaneous.LinearInterp(Peturbed_QZ,$K75,1,R$1),ZeroCompFreq,'PDH Calc'!$K75/365)</f>
        <v>1</v>
      </c>
      <c r="S75" s="8">
        <f ca="1">_xll.HLV5r3.Analytics.Miscellaneous.Zero2DF(_xll.HLV5r3.Analytics.Miscellaneous.LinearInterp(Peturbed_QZ,$K75,1,S$1),ZeroCompFreq,'PDH Calc'!$K75/365)</f>
        <v>1</v>
      </c>
      <c r="T75" s="8">
        <f ca="1">_xll.HLV5r3.Analytics.Miscellaneous.Zero2DF(_xll.HLV5r3.Analytics.Miscellaneous.LinearInterp(Peturbed_QZ,$K75,1,T$1),ZeroCompFreq,'PDH Calc'!$K75/365)</f>
        <v>1</v>
      </c>
      <c r="U75" s="8">
        <f ca="1">_xll.HLV5r3.Analytics.Miscellaneous.Zero2DF(_xll.HLV5r3.Analytics.Miscellaneous.LinearInterp(Peturbed_QZ,$K75,1,U$1),ZeroCompFreq,'PDH Calc'!$K75/365)</f>
        <v>1</v>
      </c>
      <c r="V75" s="8">
        <f ca="1">_xll.HLV5r3.Analytics.Miscellaneous.Zero2DF(_xll.HLV5r3.Analytics.Miscellaneous.LinearInterp(Peturbed_QZ,$K75,1,V$1),ZeroCompFreq,'PDH Calc'!$K75/365)</f>
        <v>1</v>
      </c>
      <c r="W75" s="8">
        <f ca="1">_xll.HLV5r3.Analytics.Miscellaneous.Zero2DF(_xll.HLV5r3.Analytics.Miscellaneous.LinearInterp(Peturbed_QZ,$K75,1,W$1),ZeroCompFreq,'PDH Calc'!$K75/365)</f>
        <v>1</v>
      </c>
      <c r="X75" s="8">
        <f ca="1">_xll.HLV5r3.Analytics.Miscellaneous.Zero2DF(_xll.HLV5r3.Analytics.Miscellaneous.LinearInterp(Peturbed_QZ,$K75,1,X$1),ZeroCompFreq,'PDH Calc'!$K75/365)</f>
        <v>1</v>
      </c>
      <c r="Y75" s="8">
        <f ca="1">_xll.HLV5r3.Analytics.Miscellaneous.Zero2DF(_xll.HLV5r3.Analytics.Miscellaneous.LinearInterp(Peturbed_QZ,$K75,1,Y$1),ZeroCompFreq,'PDH Calc'!$K75/365)</f>
        <v>1</v>
      </c>
      <c r="Z75" s="8">
        <f ca="1">_xll.HLV5r3.Analytics.Miscellaneous.Zero2DF(_xll.HLV5r3.Analytics.Miscellaneous.LinearInterp(Peturbed_QZ,$K75,1,Z$1),ZeroCompFreq,'PDH Calc'!$K75/365)</f>
        <v>1</v>
      </c>
      <c r="AA75" s="8">
        <f ca="1">_xll.HLV5r3.Analytics.Miscellaneous.Zero2DF(_xll.HLV5r3.Analytics.Miscellaneous.LinearInterp(Peturbed_QZ,$K75,1,AA$1),ZeroCompFreq,'PDH Calc'!$K75/365)</f>
        <v>1</v>
      </c>
      <c r="AB75" s="8">
        <f ca="1">_xll.HLV5r3.Analytics.Miscellaneous.Zero2DF(_xll.HLV5r3.Analytics.Miscellaneous.LinearInterp(Peturbed_QZ,$K75,1,AB$1),ZeroCompFreq,'PDH Calc'!$K75/365)</f>
        <v>1</v>
      </c>
      <c r="AC75" s="8">
        <f ca="1">_xll.HLV5r3.Analytics.Miscellaneous.Zero2DF(_xll.HLV5r3.Analytics.Miscellaneous.LinearInterp(Peturbed_QZ,$K75,1,AC$1),ZeroCompFreq,'PDH Calc'!$K75/365)</f>
        <v>1</v>
      </c>
      <c r="AD75" s="8">
        <f ca="1">_xll.HLV5r3.Analytics.Miscellaneous.Zero2DF(_xll.HLV5r3.Analytics.Miscellaneous.LinearInterp(Peturbed_QZ,$K75,1,AD$1),ZeroCompFreq,'PDH Calc'!$K75/365)</f>
        <v>1</v>
      </c>
      <c r="AE75" s="8">
        <f ca="1">_xll.HLV5r3.Analytics.Miscellaneous.Zero2DF(_xll.HLV5r3.Analytics.Miscellaneous.LinearInterp(Peturbed_QZ,$K75,1,AE$1),ZeroCompFreq,'PDH Calc'!$K75/365)</f>
        <v>1</v>
      </c>
      <c r="AF75" s="8">
        <f ca="1">_xll.HLV5r3.Analytics.Miscellaneous.Zero2DF(_xll.HLV5r3.Analytics.Miscellaneous.LinearInterp(Peturbed_QZ,$K75,1,AF$1),ZeroCompFreq,'PDH Calc'!$K75/365)</f>
        <v>1</v>
      </c>
      <c r="AG75" s="8">
        <f ca="1">_xll.HLV5r3.Analytics.Miscellaneous.Zero2DF(_xll.HLV5r3.Analytics.Miscellaneous.LinearInterp(Peturbed_QZ,$K75,1,AG$1),ZeroCompFreq,'PDH Calc'!$K75/365)</f>
        <v>1</v>
      </c>
      <c r="AH75" s="8">
        <f ca="1">_xll.HLV5r3.Analytics.Miscellaneous.Zero2DF(_xll.HLV5r3.Analytics.Miscellaneous.LinearInterp(Peturbed_QZ,$K75,1,AH$1),ZeroCompFreq,'PDH Calc'!$K75/365)</f>
        <v>1</v>
      </c>
      <c r="AI75" s="8">
        <f ca="1">_xll.HLV5r3.Analytics.Miscellaneous.Zero2DF(_xll.HLV5r3.Analytics.Miscellaneous.LinearInterp(Peturbed_QZ,$K75,1,AI$1),ZeroCompFreq,'PDH Calc'!$K75/365)</f>
        <v>1</v>
      </c>
      <c r="AJ75" s="8">
        <f ca="1">_xll.HLV5r3.Analytics.Miscellaneous.Zero2DF(_xll.HLV5r3.Analytics.Miscellaneous.LinearInterp(Peturbed_QZ,$K75,1,AJ$1),ZeroCompFreq,'PDH Calc'!$K75/365)</f>
        <v>1</v>
      </c>
      <c r="AK75" s="8">
        <f ca="1">_xll.HLV5r3.Analytics.Miscellaneous.Zero2DF(_xll.HLV5r3.Analytics.Miscellaneous.LinearInterp(Peturbed_QZ,$K75,1,AK$1),ZeroCompFreq,'PDH Calc'!$K75/365)</f>
        <v>1</v>
      </c>
    </row>
    <row r="76" spans="1:37">
      <c r="A76" s="4"/>
      <c r="B76" s="6"/>
      <c r="F76" s="11"/>
      <c r="G76" s="6"/>
      <c r="H76" s="20"/>
      <c r="I76" s="21"/>
      <c r="J76" s="26"/>
      <c r="K76" s="6">
        <f t="shared" ca="1" si="7"/>
        <v>0</v>
      </c>
      <c r="L76" s="8">
        <f ca="1">_xll.HLV5r3.Analytics.Miscellaneous.Zero2DF(_xll.HLV5r3.Analytics.Miscellaneous.LinearInterp(Peturbed_QZ,$K76,1,L$1),ZeroCompFreq,'PDH Calc'!$K76/365)</f>
        <v>1</v>
      </c>
      <c r="M76" s="8">
        <f ca="1">_xll.HLV5r3.Analytics.Miscellaneous.Zero2DF(_xll.HLV5r3.Analytics.Miscellaneous.LinearInterp(Peturbed_QZ,$K76,1,M$1),ZeroCompFreq,'PDH Calc'!$K76/365)</f>
        <v>1</v>
      </c>
      <c r="N76" s="8">
        <f ca="1">_xll.HLV5r3.Analytics.Miscellaneous.Zero2DF(_xll.HLV5r3.Analytics.Miscellaneous.LinearInterp(Peturbed_QZ,$K76,1,N$1),ZeroCompFreq,'PDH Calc'!$K76/365)</f>
        <v>1</v>
      </c>
      <c r="O76" s="8">
        <f ca="1">_xll.HLV5r3.Analytics.Miscellaneous.Zero2DF(_xll.HLV5r3.Analytics.Miscellaneous.LinearInterp(Peturbed_QZ,$K76,1,O$1),ZeroCompFreq,'PDH Calc'!$K76/365)</f>
        <v>1</v>
      </c>
      <c r="P76" s="8">
        <f ca="1">_xll.HLV5r3.Analytics.Miscellaneous.Zero2DF(_xll.HLV5r3.Analytics.Miscellaneous.LinearInterp(Peturbed_QZ,$K76,1,P$1),ZeroCompFreq,'PDH Calc'!$K76/365)</f>
        <v>1</v>
      </c>
      <c r="Q76" s="8">
        <f ca="1">_xll.HLV5r3.Analytics.Miscellaneous.Zero2DF(_xll.HLV5r3.Analytics.Miscellaneous.LinearInterp(Peturbed_QZ,$K76,1,Q$1),ZeroCompFreq,'PDH Calc'!$K76/365)</f>
        <v>1</v>
      </c>
      <c r="R76" s="8">
        <f ca="1">_xll.HLV5r3.Analytics.Miscellaneous.Zero2DF(_xll.HLV5r3.Analytics.Miscellaneous.LinearInterp(Peturbed_QZ,$K76,1,R$1),ZeroCompFreq,'PDH Calc'!$K76/365)</f>
        <v>1</v>
      </c>
      <c r="S76" s="8">
        <f ca="1">_xll.HLV5r3.Analytics.Miscellaneous.Zero2DF(_xll.HLV5r3.Analytics.Miscellaneous.LinearInterp(Peturbed_QZ,$K76,1,S$1),ZeroCompFreq,'PDH Calc'!$K76/365)</f>
        <v>1</v>
      </c>
      <c r="T76" s="8">
        <f ca="1">_xll.HLV5r3.Analytics.Miscellaneous.Zero2DF(_xll.HLV5r3.Analytics.Miscellaneous.LinearInterp(Peturbed_QZ,$K76,1,T$1),ZeroCompFreq,'PDH Calc'!$K76/365)</f>
        <v>1</v>
      </c>
      <c r="U76" s="8">
        <f ca="1">_xll.HLV5r3.Analytics.Miscellaneous.Zero2DF(_xll.HLV5r3.Analytics.Miscellaneous.LinearInterp(Peturbed_QZ,$K76,1,U$1),ZeroCompFreq,'PDH Calc'!$K76/365)</f>
        <v>1</v>
      </c>
      <c r="V76" s="8">
        <f ca="1">_xll.HLV5r3.Analytics.Miscellaneous.Zero2DF(_xll.HLV5r3.Analytics.Miscellaneous.LinearInterp(Peturbed_QZ,$K76,1,V$1),ZeroCompFreq,'PDH Calc'!$K76/365)</f>
        <v>1</v>
      </c>
      <c r="W76" s="8">
        <f ca="1">_xll.HLV5r3.Analytics.Miscellaneous.Zero2DF(_xll.HLV5r3.Analytics.Miscellaneous.LinearInterp(Peturbed_QZ,$K76,1,W$1),ZeroCompFreq,'PDH Calc'!$K76/365)</f>
        <v>1</v>
      </c>
      <c r="X76" s="8">
        <f ca="1">_xll.HLV5r3.Analytics.Miscellaneous.Zero2DF(_xll.HLV5r3.Analytics.Miscellaneous.LinearInterp(Peturbed_QZ,$K76,1,X$1),ZeroCompFreq,'PDH Calc'!$K76/365)</f>
        <v>1</v>
      </c>
      <c r="Y76" s="8">
        <f ca="1">_xll.HLV5r3.Analytics.Miscellaneous.Zero2DF(_xll.HLV5r3.Analytics.Miscellaneous.LinearInterp(Peturbed_QZ,$K76,1,Y$1),ZeroCompFreq,'PDH Calc'!$K76/365)</f>
        <v>1</v>
      </c>
      <c r="Z76" s="8">
        <f ca="1">_xll.HLV5r3.Analytics.Miscellaneous.Zero2DF(_xll.HLV5r3.Analytics.Miscellaneous.LinearInterp(Peturbed_QZ,$K76,1,Z$1),ZeroCompFreq,'PDH Calc'!$K76/365)</f>
        <v>1</v>
      </c>
      <c r="AA76" s="8">
        <f ca="1">_xll.HLV5r3.Analytics.Miscellaneous.Zero2DF(_xll.HLV5r3.Analytics.Miscellaneous.LinearInterp(Peturbed_QZ,$K76,1,AA$1),ZeroCompFreq,'PDH Calc'!$K76/365)</f>
        <v>1</v>
      </c>
      <c r="AB76" s="8">
        <f ca="1">_xll.HLV5r3.Analytics.Miscellaneous.Zero2DF(_xll.HLV5r3.Analytics.Miscellaneous.LinearInterp(Peturbed_QZ,$K76,1,AB$1),ZeroCompFreq,'PDH Calc'!$K76/365)</f>
        <v>1</v>
      </c>
      <c r="AC76" s="8">
        <f ca="1">_xll.HLV5r3.Analytics.Miscellaneous.Zero2DF(_xll.HLV5r3.Analytics.Miscellaneous.LinearInterp(Peturbed_QZ,$K76,1,AC$1),ZeroCompFreq,'PDH Calc'!$K76/365)</f>
        <v>1</v>
      </c>
      <c r="AD76" s="8">
        <f ca="1">_xll.HLV5r3.Analytics.Miscellaneous.Zero2DF(_xll.HLV5r3.Analytics.Miscellaneous.LinearInterp(Peturbed_QZ,$K76,1,AD$1),ZeroCompFreq,'PDH Calc'!$K76/365)</f>
        <v>1</v>
      </c>
      <c r="AE76" s="8">
        <f ca="1">_xll.HLV5r3.Analytics.Miscellaneous.Zero2DF(_xll.HLV5r3.Analytics.Miscellaneous.LinearInterp(Peturbed_QZ,$K76,1,AE$1),ZeroCompFreq,'PDH Calc'!$K76/365)</f>
        <v>1</v>
      </c>
      <c r="AF76" s="8">
        <f ca="1">_xll.HLV5r3.Analytics.Miscellaneous.Zero2DF(_xll.HLV5r3.Analytics.Miscellaneous.LinearInterp(Peturbed_QZ,$K76,1,AF$1),ZeroCompFreq,'PDH Calc'!$K76/365)</f>
        <v>1</v>
      </c>
      <c r="AG76" s="8">
        <f ca="1">_xll.HLV5r3.Analytics.Miscellaneous.Zero2DF(_xll.HLV5r3.Analytics.Miscellaneous.LinearInterp(Peturbed_QZ,$K76,1,AG$1),ZeroCompFreq,'PDH Calc'!$K76/365)</f>
        <v>1</v>
      </c>
      <c r="AH76" s="8">
        <f ca="1">_xll.HLV5r3.Analytics.Miscellaneous.Zero2DF(_xll.HLV5r3.Analytics.Miscellaneous.LinearInterp(Peturbed_QZ,$K76,1,AH$1),ZeroCompFreq,'PDH Calc'!$K76/365)</f>
        <v>1</v>
      </c>
      <c r="AI76" s="8">
        <f ca="1">_xll.HLV5r3.Analytics.Miscellaneous.Zero2DF(_xll.HLV5r3.Analytics.Miscellaneous.LinearInterp(Peturbed_QZ,$K76,1,AI$1),ZeroCompFreq,'PDH Calc'!$K76/365)</f>
        <v>1</v>
      </c>
      <c r="AJ76" s="8">
        <f ca="1">_xll.HLV5r3.Analytics.Miscellaneous.Zero2DF(_xll.HLV5r3.Analytics.Miscellaneous.LinearInterp(Peturbed_QZ,$K76,1,AJ$1),ZeroCompFreq,'PDH Calc'!$K76/365)</f>
        <v>1</v>
      </c>
      <c r="AK76" s="8">
        <f ca="1">_xll.HLV5r3.Analytics.Miscellaneous.Zero2DF(_xll.HLV5r3.Analytics.Miscellaneous.LinearInterp(Peturbed_QZ,$K76,1,AK$1),ZeroCompFreq,'PDH Calc'!$K76/365)</f>
        <v>1</v>
      </c>
    </row>
    <row r="77" spans="1:37">
      <c r="A77" s="4"/>
      <c r="B77" s="6"/>
      <c r="F77" s="11"/>
      <c r="G77" s="6"/>
      <c r="H77" s="20"/>
      <c r="I77" s="21"/>
      <c r="J77" s="26"/>
      <c r="K77" s="6">
        <f t="shared" ca="1" si="7"/>
        <v>0</v>
      </c>
      <c r="L77" s="8">
        <f ca="1">_xll.HLV5r3.Analytics.Miscellaneous.Zero2DF(_xll.HLV5r3.Analytics.Miscellaneous.LinearInterp(Peturbed_QZ,$K77,1,L$1),ZeroCompFreq,'PDH Calc'!$K77/365)</f>
        <v>1</v>
      </c>
      <c r="M77" s="8">
        <f ca="1">_xll.HLV5r3.Analytics.Miscellaneous.Zero2DF(_xll.HLV5r3.Analytics.Miscellaneous.LinearInterp(Peturbed_QZ,$K77,1,M$1),ZeroCompFreq,'PDH Calc'!$K77/365)</f>
        <v>1</v>
      </c>
      <c r="N77" s="8">
        <f ca="1">_xll.HLV5r3.Analytics.Miscellaneous.Zero2DF(_xll.HLV5r3.Analytics.Miscellaneous.LinearInterp(Peturbed_QZ,$K77,1,N$1),ZeroCompFreq,'PDH Calc'!$K77/365)</f>
        <v>1</v>
      </c>
      <c r="O77" s="8">
        <f ca="1">_xll.HLV5r3.Analytics.Miscellaneous.Zero2DF(_xll.HLV5r3.Analytics.Miscellaneous.LinearInterp(Peturbed_QZ,$K77,1,O$1),ZeroCompFreq,'PDH Calc'!$K77/365)</f>
        <v>1</v>
      </c>
      <c r="P77" s="8">
        <f ca="1">_xll.HLV5r3.Analytics.Miscellaneous.Zero2DF(_xll.HLV5r3.Analytics.Miscellaneous.LinearInterp(Peturbed_QZ,$K77,1,P$1),ZeroCompFreq,'PDH Calc'!$K77/365)</f>
        <v>1</v>
      </c>
      <c r="Q77" s="8">
        <f ca="1">_xll.HLV5r3.Analytics.Miscellaneous.Zero2DF(_xll.HLV5r3.Analytics.Miscellaneous.LinearInterp(Peturbed_QZ,$K77,1,Q$1),ZeroCompFreq,'PDH Calc'!$K77/365)</f>
        <v>1</v>
      </c>
      <c r="R77" s="8">
        <f ca="1">_xll.HLV5r3.Analytics.Miscellaneous.Zero2DF(_xll.HLV5r3.Analytics.Miscellaneous.LinearInterp(Peturbed_QZ,$K77,1,R$1),ZeroCompFreq,'PDH Calc'!$K77/365)</f>
        <v>1</v>
      </c>
      <c r="S77" s="8">
        <f ca="1">_xll.HLV5r3.Analytics.Miscellaneous.Zero2DF(_xll.HLV5r3.Analytics.Miscellaneous.LinearInterp(Peturbed_QZ,$K77,1,S$1),ZeroCompFreq,'PDH Calc'!$K77/365)</f>
        <v>1</v>
      </c>
      <c r="T77" s="8">
        <f ca="1">_xll.HLV5r3.Analytics.Miscellaneous.Zero2DF(_xll.HLV5r3.Analytics.Miscellaneous.LinearInterp(Peturbed_QZ,$K77,1,T$1),ZeroCompFreq,'PDH Calc'!$K77/365)</f>
        <v>1</v>
      </c>
      <c r="U77" s="8">
        <f ca="1">_xll.HLV5r3.Analytics.Miscellaneous.Zero2DF(_xll.HLV5r3.Analytics.Miscellaneous.LinearInterp(Peturbed_QZ,$K77,1,U$1),ZeroCompFreq,'PDH Calc'!$K77/365)</f>
        <v>1</v>
      </c>
      <c r="V77" s="8">
        <f ca="1">_xll.HLV5r3.Analytics.Miscellaneous.Zero2DF(_xll.HLV5r3.Analytics.Miscellaneous.LinearInterp(Peturbed_QZ,$K77,1,V$1),ZeroCompFreq,'PDH Calc'!$K77/365)</f>
        <v>1</v>
      </c>
      <c r="W77" s="8">
        <f ca="1">_xll.HLV5r3.Analytics.Miscellaneous.Zero2DF(_xll.HLV5r3.Analytics.Miscellaneous.LinearInterp(Peturbed_QZ,$K77,1,W$1),ZeroCompFreq,'PDH Calc'!$K77/365)</f>
        <v>1</v>
      </c>
      <c r="X77" s="8">
        <f ca="1">_xll.HLV5r3.Analytics.Miscellaneous.Zero2DF(_xll.HLV5r3.Analytics.Miscellaneous.LinearInterp(Peturbed_QZ,$K77,1,X$1),ZeroCompFreq,'PDH Calc'!$K77/365)</f>
        <v>1</v>
      </c>
      <c r="Y77" s="8">
        <f ca="1">_xll.HLV5r3.Analytics.Miscellaneous.Zero2DF(_xll.HLV5r3.Analytics.Miscellaneous.LinearInterp(Peturbed_QZ,$K77,1,Y$1),ZeroCompFreq,'PDH Calc'!$K77/365)</f>
        <v>1</v>
      </c>
      <c r="Z77" s="8">
        <f ca="1">_xll.HLV5r3.Analytics.Miscellaneous.Zero2DF(_xll.HLV5r3.Analytics.Miscellaneous.LinearInterp(Peturbed_QZ,$K77,1,Z$1),ZeroCompFreq,'PDH Calc'!$K77/365)</f>
        <v>1</v>
      </c>
      <c r="AA77" s="8">
        <f ca="1">_xll.HLV5r3.Analytics.Miscellaneous.Zero2DF(_xll.HLV5r3.Analytics.Miscellaneous.LinearInterp(Peturbed_QZ,$K77,1,AA$1),ZeroCompFreq,'PDH Calc'!$K77/365)</f>
        <v>1</v>
      </c>
      <c r="AB77" s="8">
        <f ca="1">_xll.HLV5r3.Analytics.Miscellaneous.Zero2DF(_xll.HLV5r3.Analytics.Miscellaneous.LinearInterp(Peturbed_QZ,$K77,1,AB$1),ZeroCompFreq,'PDH Calc'!$K77/365)</f>
        <v>1</v>
      </c>
      <c r="AC77" s="8">
        <f ca="1">_xll.HLV5r3.Analytics.Miscellaneous.Zero2DF(_xll.HLV5r3.Analytics.Miscellaneous.LinearInterp(Peturbed_QZ,$K77,1,AC$1),ZeroCompFreq,'PDH Calc'!$K77/365)</f>
        <v>1</v>
      </c>
      <c r="AD77" s="8">
        <f ca="1">_xll.HLV5r3.Analytics.Miscellaneous.Zero2DF(_xll.HLV5r3.Analytics.Miscellaneous.LinearInterp(Peturbed_QZ,$K77,1,AD$1),ZeroCompFreq,'PDH Calc'!$K77/365)</f>
        <v>1</v>
      </c>
      <c r="AE77" s="8">
        <f ca="1">_xll.HLV5r3.Analytics.Miscellaneous.Zero2DF(_xll.HLV5r3.Analytics.Miscellaneous.LinearInterp(Peturbed_QZ,$K77,1,AE$1),ZeroCompFreq,'PDH Calc'!$K77/365)</f>
        <v>1</v>
      </c>
      <c r="AF77" s="8">
        <f ca="1">_xll.HLV5r3.Analytics.Miscellaneous.Zero2DF(_xll.HLV5r3.Analytics.Miscellaneous.LinearInterp(Peturbed_QZ,$K77,1,AF$1),ZeroCompFreq,'PDH Calc'!$K77/365)</f>
        <v>1</v>
      </c>
      <c r="AG77" s="8">
        <f ca="1">_xll.HLV5r3.Analytics.Miscellaneous.Zero2DF(_xll.HLV5r3.Analytics.Miscellaneous.LinearInterp(Peturbed_QZ,$K77,1,AG$1),ZeroCompFreq,'PDH Calc'!$K77/365)</f>
        <v>1</v>
      </c>
      <c r="AH77" s="8">
        <f ca="1">_xll.HLV5r3.Analytics.Miscellaneous.Zero2DF(_xll.HLV5r3.Analytics.Miscellaneous.LinearInterp(Peturbed_QZ,$K77,1,AH$1),ZeroCompFreq,'PDH Calc'!$K77/365)</f>
        <v>1</v>
      </c>
      <c r="AI77" s="8">
        <f ca="1">_xll.HLV5r3.Analytics.Miscellaneous.Zero2DF(_xll.HLV5r3.Analytics.Miscellaneous.LinearInterp(Peturbed_QZ,$K77,1,AI$1),ZeroCompFreq,'PDH Calc'!$K77/365)</f>
        <v>1</v>
      </c>
      <c r="AJ77" s="8">
        <f ca="1">_xll.HLV5r3.Analytics.Miscellaneous.Zero2DF(_xll.HLV5r3.Analytics.Miscellaneous.LinearInterp(Peturbed_QZ,$K77,1,AJ$1),ZeroCompFreq,'PDH Calc'!$K77/365)</f>
        <v>1</v>
      </c>
      <c r="AK77" s="8">
        <f ca="1">_xll.HLV5r3.Analytics.Miscellaneous.Zero2DF(_xll.HLV5r3.Analytics.Miscellaneous.LinearInterp(Peturbed_QZ,$K77,1,AK$1),ZeroCompFreq,'PDH Calc'!$K77/365)</f>
        <v>1</v>
      </c>
    </row>
    <row r="78" spans="1:37">
      <c r="A78" s="4"/>
      <c r="B78" s="6"/>
      <c r="F78" s="11"/>
      <c r="G78" s="6"/>
      <c r="H78" s="20"/>
      <c r="I78" s="21"/>
      <c r="J78" s="26"/>
      <c r="K78" s="6">
        <f t="shared" ca="1" si="7"/>
        <v>0</v>
      </c>
      <c r="L78" s="8">
        <f ca="1">_xll.HLV5r3.Analytics.Miscellaneous.Zero2DF(_xll.HLV5r3.Analytics.Miscellaneous.LinearInterp(Peturbed_QZ,$K78,1,L$1),ZeroCompFreq,'PDH Calc'!$K78/365)</f>
        <v>1</v>
      </c>
      <c r="M78" s="8">
        <f ca="1">_xll.HLV5r3.Analytics.Miscellaneous.Zero2DF(_xll.HLV5r3.Analytics.Miscellaneous.LinearInterp(Peturbed_QZ,$K78,1,M$1),ZeroCompFreq,'PDH Calc'!$K78/365)</f>
        <v>1</v>
      </c>
      <c r="N78" s="8">
        <f ca="1">_xll.HLV5r3.Analytics.Miscellaneous.Zero2DF(_xll.HLV5r3.Analytics.Miscellaneous.LinearInterp(Peturbed_QZ,$K78,1,N$1),ZeroCompFreq,'PDH Calc'!$K78/365)</f>
        <v>1</v>
      </c>
      <c r="O78" s="8">
        <f ca="1">_xll.HLV5r3.Analytics.Miscellaneous.Zero2DF(_xll.HLV5r3.Analytics.Miscellaneous.LinearInterp(Peturbed_QZ,$K78,1,O$1),ZeroCompFreq,'PDH Calc'!$K78/365)</f>
        <v>1</v>
      </c>
      <c r="P78" s="8">
        <f ca="1">_xll.HLV5r3.Analytics.Miscellaneous.Zero2DF(_xll.HLV5r3.Analytics.Miscellaneous.LinearInterp(Peturbed_QZ,$K78,1,P$1),ZeroCompFreq,'PDH Calc'!$K78/365)</f>
        <v>1</v>
      </c>
      <c r="Q78" s="8">
        <f ca="1">_xll.HLV5r3.Analytics.Miscellaneous.Zero2DF(_xll.HLV5r3.Analytics.Miscellaneous.LinearInterp(Peturbed_QZ,$K78,1,Q$1),ZeroCompFreq,'PDH Calc'!$K78/365)</f>
        <v>1</v>
      </c>
      <c r="R78" s="8">
        <f ca="1">_xll.HLV5r3.Analytics.Miscellaneous.Zero2DF(_xll.HLV5r3.Analytics.Miscellaneous.LinearInterp(Peturbed_QZ,$K78,1,R$1),ZeroCompFreq,'PDH Calc'!$K78/365)</f>
        <v>1</v>
      </c>
      <c r="S78" s="8">
        <f ca="1">_xll.HLV5r3.Analytics.Miscellaneous.Zero2DF(_xll.HLV5r3.Analytics.Miscellaneous.LinearInterp(Peturbed_QZ,$K78,1,S$1),ZeroCompFreq,'PDH Calc'!$K78/365)</f>
        <v>1</v>
      </c>
      <c r="T78" s="8">
        <f ca="1">_xll.HLV5r3.Analytics.Miscellaneous.Zero2DF(_xll.HLV5r3.Analytics.Miscellaneous.LinearInterp(Peturbed_QZ,$K78,1,T$1),ZeroCompFreq,'PDH Calc'!$K78/365)</f>
        <v>1</v>
      </c>
      <c r="U78" s="8">
        <f ca="1">_xll.HLV5r3.Analytics.Miscellaneous.Zero2DF(_xll.HLV5r3.Analytics.Miscellaneous.LinearInterp(Peturbed_QZ,$K78,1,U$1),ZeroCompFreq,'PDH Calc'!$K78/365)</f>
        <v>1</v>
      </c>
      <c r="V78" s="8">
        <f ca="1">_xll.HLV5r3.Analytics.Miscellaneous.Zero2DF(_xll.HLV5r3.Analytics.Miscellaneous.LinearInterp(Peturbed_QZ,$K78,1,V$1),ZeroCompFreq,'PDH Calc'!$K78/365)</f>
        <v>1</v>
      </c>
      <c r="W78" s="8">
        <f ca="1">_xll.HLV5r3.Analytics.Miscellaneous.Zero2DF(_xll.HLV5r3.Analytics.Miscellaneous.LinearInterp(Peturbed_QZ,$K78,1,W$1),ZeroCompFreq,'PDH Calc'!$K78/365)</f>
        <v>1</v>
      </c>
      <c r="X78" s="8">
        <f ca="1">_xll.HLV5r3.Analytics.Miscellaneous.Zero2DF(_xll.HLV5r3.Analytics.Miscellaneous.LinearInterp(Peturbed_QZ,$K78,1,X$1),ZeroCompFreq,'PDH Calc'!$K78/365)</f>
        <v>1</v>
      </c>
      <c r="Y78" s="8">
        <f ca="1">_xll.HLV5r3.Analytics.Miscellaneous.Zero2DF(_xll.HLV5r3.Analytics.Miscellaneous.LinearInterp(Peturbed_QZ,$K78,1,Y$1),ZeroCompFreq,'PDH Calc'!$K78/365)</f>
        <v>1</v>
      </c>
      <c r="Z78" s="8">
        <f ca="1">_xll.HLV5r3.Analytics.Miscellaneous.Zero2DF(_xll.HLV5r3.Analytics.Miscellaneous.LinearInterp(Peturbed_QZ,$K78,1,Z$1),ZeroCompFreq,'PDH Calc'!$K78/365)</f>
        <v>1</v>
      </c>
      <c r="AA78" s="8">
        <f ca="1">_xll.HLV5r3.Analytics.Miscellaneous.Zero2DF(_xll.HLV5r3.Analytics.Miscellaneous.LinearInterp(Peturbed_QZ,$K78,1,AA$1),ZeroCompFreq,'PDH Calc'!$K78/365)</f>
        <v>1</v>
      </c>
      <c r="AB78" s="8">
        <f ca="1">_xll.HLV5r3.Analytics.Miscellaneous.Zero2DF(_xll.HLV5r3.Analytics.Miscellaneous.LinearInterp(Peturbed_QZ,$K78,1,AB$1),ZeroCompFreq,'PDH Calc'!$K78/365)</f>
        <v>1</v>
      </c>
      <c r="AC78" s="8">
        <f ca="1">_xll.HLV5r3.Analytics.Miscellaneous.Zero2DF(_xll.HLV5r3.Analytics.Miscellaneous.LinearInterp(Peturbed_QZ,$K78,1,AC$1),ZeroCompFreq,'PDH Calc'!$K78/365)</f>
        <v>1</v>
      </c>
      <c r="AD78" s="8">
        <f ca="1">_xll.HLV5r3.Analytics.Miscellaneous.Zero2DF(_xll.HLV5r3.Analytics.Miscellaneous.LinearInterp(Peturbed_QZ,$K78,1,AD$1),ZeroCompFreq,'PDH Calc'!$K78/365)</f>
        <v>1</v>
      </c>
      <c r="AE78" s="8">
        <f ca="1">_xll.HLV5r3.Analytics.Miscellaneous.Zero2DF(_xll.HLV5r3.Analytics.Miscellaneous.LinearInterp(Peturbed_QZ,$K78,1,AE$1),ZeroCompFreq,'PDH Calc'!$K78/365)</f>
        <v>1</v>
      </c>
      <c r="AF78" s="8">
        <f ca="1">_xll.HLV5r3.Analytics.Miscellaneous.Zero2DF(_xll.HLV5r3.Analytics.Miscellaneous.LinearInterp(Peturbed_QZ,$K78,1,AF$1),ZeroCompFreq,'PDH Calc'!$K78/365)</f>
        <v>1</v>
      </c>
      <c r="AG78" s="8">
        <f ca="1">_xll.HLV5r3.Analytics.Miscellaneous.Zero2DF(_xll.HLV5r3.Analytics.Miscellaneous.LinearInterp(Peturbed_QZ,$K78,1,AG$1),ZeroCompFreq,'PDH Calc'!$K78/365)</f>
        <v>1</v>
      </c>
      <c r="AH78" s="8">
        <f ca="1">_xll.HLV5r3.Analytics.Miscellaneous.Zero2DF(_xll.HLV5r3.Analytics.Miscellaneous.LinearInterp(Peturbed_QZ,$K78,1,AH$1),ZeroCompFreq,'PDH Calc'!$K78/365)</f>
        <v>1</v>
      </c>
      <c r="AI78" s="8">
        <f ca="1">_xll.HLV5r3.Analytics.Miscellaneous.Zero2DF(_xll.HLV5r3.Analytics.Miscellaneous.LinearInterp(Peturbed_QZ,$K78,1,AI$1),ZeroCompFreq,'PDH Calc'!$K78/365)</f>
        <v>1</v>
      </c>
      <c r="AJ78" s="8">
        <f ca="1">_xll.HLV5r3.Analytics.Miscellaneous.Zero2DF(_xll.HLV5r3.Analytics.Miscellaneous.LinearInterp(Peturbed_QZ,$K78,1,AJ$1),ZeroCompFreq,'PDH Calc'!$K78/365)</f>
        <v>1</v>
      </c>
      <c r="AK78" s="8">
        <f ca="1">_xll.HLV5r3.Analytics.Miscellaneous.Zero2DF(_xll.HLV5r3.Analytics.Miscellaneous.LinearInterp(Peturbed_QZ,$K78,1,AK$1),ZeroCompFreq,'PDH Calc'!$K78/365)</f>
        <v>1</v>
      </c>
    </row>
    <row r="79" spans="1:37">
      <c r="A79" s="4"/>
      <c r="B79" s="6"/>
      <c r="F79" s="11"/>
      <c r="G79" s="6"/>
      <c r="H79" s="20"/>
      <c r="I79" s="21"/>
      <c r="J79" s="26"/>
      <c r="K79" s="6">
        <f t="shared" ca="1" si="7"/>
        <v>0</v>
      </c>
      <c r="L79" s="8">
        <f ca="1">_xll.HLV5r3.Analytics.Miscellaneous.Zero2DF(_xll.HLV5r3.Analytics.Miscellaneous.LinearInterp(Peturbed_QZ,$K79,1,L$1),ZeroCompFreq,'PDH Calc'!$K79/365)</f>
        <v>1</v>
      </c>
      <c r="M79" s="8">
        <f ca="1">_xll.HLV5r3.Analytics.Miscellaneous.Zero2DF(_xll.HLV5r3.Analytics.Miscellaneous.LinearInterp(Peturbed_QZ,$K79,1,M$1),ZeroCompFreq,'PDH Calc'!$K79/365)</f>
        <v>1</v>
      </c>
      <c r="N79" s="8">
        <f ca="1">_xll.HLV5r3.Analytics.Miscellaneous.Zero2DF(_xll.HLV5r3.Analytics.Miscellaneous.LinearInterp(Peturbed_QZ,$K79,1,N$1),ZeroCompFreq,'PDH Calc'!$K79/365)</f>
        <v>1</v>
      </c>
      <c r="O79" s="8">
        <f ca="1">_xll.HLV5r3.Analytics.Miscellaneous.Zero2DF(_xll.HLV5r3.Analytics.Miscellaneous.LinearInterp(Peturbed_QZ,$K79,1,O$1),ZeroCompFreq,'PDH Calc'!$K79/365)</f>
        <v>1</v>
      </c>
      <c r="P79" s="8">
        <f ca="1">_xll.HLV5r3.Analytics.Miscellaneous.Zero2DF(_xll.HLV5r3.Analytics.Miscellaneous.LinearInterp(Peturbed_QZ,$K79,1,P$1),ZeroCompFreq,'PDH Calc'!$K79/365)</f>
        <v>1</v>
      </c>
      <c r="Q79" s="8">
        <f ca="1">_xll.HLV5r3.Analytics.Miscellaneous.Zero2DF(_xll.HLV5r3.Analytics.Miscellaneous.LinearInterp(Peturbed_QZ,$K79,1,Q$1),ZeroCompFreq,'PDH Calc'!$K79/365)</f>
        <v>1</v>
      </c>
      <c r="R79" s="8">
        <f ca="1">_xll.HLV5r3.Analytics.Miscellaneous.Zero2DF(_xll.HLV5r3.Analytics.Miscellaneous.LinearInterp(Peturbed_QZ,$K79,1,R$1),ZeroCompFreq,'PDH Calc'!$K79/365)</f>
        <v>1</v>
      </c>
      <c r="S79" s="8">
        <f ca="1">_xll.HLV5r3.Analytics.Miscellaneous.Zero2DF(_xll.HLV5r3.Analytics.Miscellaneous.LinearInterp(Peturbed_QZ,$K79,1,S$1),ZeroCompFreq,'PDH Calc'!$K79/365)</f>
        <v>1</v>
      </c>
      <c r="T79" s="8">
        <f ca="1">_xll.HLV5r3.Analytics.Miscellaneous.Zero2DF(_xll.HLV5r3.Analytics.Miscellaneous.LinearInterp(Peturbed_QZ,$K79,1,T$1),ZeroCompFreq,'PDH Calc'!$K79/365)</f>
        <v>1</v>
      </c>
      <c r="U79" s="8">
        <f ca="1">_xll.HLV5r3.Analytics.Miscellaneous.Zero2DF(_xll.HLV5r3.Analytics.Miscellaneous.LinearInterp(Peturbed_QZ,$K79,1,U$1),ZeroCompFreq,'PDH Calc'!$K79/365)</f>
        <v>1</v>
      </c>
      <c r="V79" s="8">
        <f ca="1">_xll.HLV5r3.Analytics.Miscellaneous.Zero2DF(_xll.HLV5r3.Analytics.Miscellaneous.LinearInterp(Peturbed_QZ,$K79,1,V$1),ZeroCompFreq,'PDH Calc'!$K79/365)</f>
        <v>1</v>
      </c>
      <c r="W79" s="8">
        <f ca="1">_xll.HLV5r3.Analytics.Miscellaneous.Zero2DF(_xll.HLV5r3.Analytics.Miscellaneous.LinearInterp(Peturbed_QZ,$K79,1,W$1),ZeroCompFreq,'PDH Calc'!$K79/365)</f>
        <v>1</v>
      </c>
      <c r="X79" s="8">
        <f ca="1">_xll.HLV5r3.Analytics.Miscellaneous.Zero2DF(_xll.HLV5r3.Analytics.Miscellaneous.LinearInterp(Peturbed_QZ,$K79,1,X$1),ZeroCompFreq,'PDH Calc'!$K79/365)</f>
        <v>1</v>
      </c>
      <c r="Y79" s="8">
        <f ca="1">_xll.HLV5r3.Analytics.Miscellaneous.Zero2DF(_xll.HLV5r3.Analytics.Miscellaneous.LinearInterp(Peturbed_QZ,$K79,1,Y$1),ZeroCompFreq,'PDH Calc'!$K79/365)</f>
        <v>1</v>
      </c>
      <c r="Z79" s="8">
        <f ca="1">_xll.HLV5r3.Analytics.Miscellaneous.Zero2DF(_xll.HLV5r3.Analytics.Miscellaneous.LinearInterp(Peturbed_QZ,$K79,1,Z$1),ZeroCompFreq,'PDH Calc'!$K79/365)</f>
        <v>1</v>
      </c>
      <c r="AA79" s="8">
        <f ca="1">_xll.HLV5r3.Analytics.Miscellaneous.Zero2DF(_xll.HLV5r3.Analytics.Miscellaneous.LinearInterp(Peturbed_QZ,$K79,1,AA$1),ZeroCompFreq,'PDH Calc'!$K79/365)</f>
        <v>1</v>
      </c>
      <c r="AB79" s="8">
        <f ca="1">_xll.HLV5r3.Analytics.Miscellaneous.Zero2DF(_xll.HLV5r3.Analytics.Miscellaneous.LinearInterp(Peturbed_QZ,$K79,1,AB$1),ZeroCompFreq,'PDH Calc'!$K79/365)</f>
        <v>1</v>
      </c>
      <c r="AC79" s="8">
        <f ca="1">_xll.HLV5r3.Analytics.Miscellaneous.Zero2DF(_xll.HLV5r3.Analytics.Miscellaneous.LinearInterp(Peturbed_QZ,$K79,1,AC$1),ZeroCompFreq,'PDH Calc'!$K79/365)</f>
        <v>1</v>
      </c>
      <c r="AD79" s="8">
        <f ca="1">_xll.HLV5r3.Analytics.Miscellaneous.Zero2DF(_xll.HLV5r3.Analytics.Miscellaneous.LinearInterp(Peturbed_QZ,$K79,1,AD$1),ZeroCompFreq,'PDH Calc'!$K79/365)</f>
        <v>1</v>
      </c>
      <c r="AE79" s="8">
        <f ca="1">_xll.HLV5r3.Analytics.Miscellaneous.Zero2DF(_xll.HLV5r3.Analytics.Miscellaneous.LinearInterp(Peturbed_QZ,$K79,1,AE$1),ZeroCompFreq,'PDH Calc'!$K79/365)</f>
        <v>1</v>
      </c>
      <c r="AF79" s="8">
        <f ca="1">_xll.HLV5r3.Analytics.Miscellaneous.Zero2DF(_xll.HLV5r3.Analytics.Miscellaneous.LinearInterp(Peturbed_QZ,$K79,1,AF$1),ZeroCompFreq,'PDH Calc'!$K79/365)</f>
        <v>1</v>
      </c>
      <c r="AG79" s="8">
        <f ca="1">_xll.HLV5r3.Analytics.Miscellaneous.Zero2DF(_xll.HLV5r3.Analytics.Miscellaneous.LinearInterp(Peturbed_QZ,$K79,1,AG$1),ZeroCompFreq,'PDH Calc'!$K79/365)</f>
        <v>1</v>
      </c>
      <c r="AH79" s="8">
        <f ca="1">_xll.HLV5r3.Analytics.Miscellaneous.Zero2DF(_xll.HLV5r3.Analytics.Miscellaneous.LinearInterp(Peturbed_QZ,$K79,1,AH$1),ZeroCompFreq,'PDH Calc'!$K79/365)</f>
        <v>1</v>
      </c>
      <c r="AI79" s="8">
        <f ca="1">_xll.HLV5r3.Analytics.Miscellaneous.Zero2DF(_xll.HLV5r3.Analytics.Miscellaneous.LinearInterp(Peturbed_QZ,$K79,1,AI$1),ZeroCompFreq,'PDH Calc'!$K79/365)</f>
        <v>1</v>
      </c>
      <c r="AJ79" s="8">
        <f ca="1">_xll.HLV5r3.Analytics.Miscellaneous.Zero2DF(_xll.HLV5r3.Analytics.Miscellaneous.LinearInterp(Peturbed_QZ,$K79,1,AJ$1),ZeroCompFreq,'PDH Calc'!$K79/365)</f>
        <v>1</v>
      </c>
      <c r="AK79" s="8">
        <f ca="1">_xll.HLV5r3.Analytics.Miscellaneous.Zero2DF(_xll.HLV5r3.Analytics.Miscellaneous.LinearInterp(Peturbed_QZ,$K79,1,AK$1),ZeroCompFreq,'PDH Calc'!$K79/365)</f>
        <v>1</v>
      </c>
    </row>
    <row r="80" spans="1:37">
      <c r="A80" s="4"/>
      <c r="B80" s="6"/>
      <c r="F80" s="11"/>
      <c r="G80" s="6"/>
      <c r="H80" s="20"/>
      <c r="I80" s="21"/>
      <c r="J80" s="26"/>
      <c r="K80" s="6">
        <f t="shared" ca="1" si="7"/>
        <v>0</v>
      </c>
      <c r="L80" s="8">
        <f ca="1">_xll.HLV5r3.Analytics.Miscellaneous.Zero2DF(_xll.HLV5r3.Analytics.Miscellaneous.LinearInterp(Peturbed_QZ,$K80,1,L$1),ZeroCompFreq,'PDH Calc'!$K80/365)</f>
        <v>1</v>
      </c>
      <c r="M80" s="8">
        <f ca="1">_xll.HLV5r3.Analytics.Miscellaneous.Zero2DF(_xll.HLV5r3.Analytics.Miscellaneous.LinearInterp(Peturbed_QZ,$K80,1,M$1),ZeroCompFreq,'PDH Calc'!$K80/365)</f>
        <v>1</v>
      </c>
      <c r="N80" s="8">
        <f ca="1">_xll.HLV5r3.Analytics.Miscellaneous.Zero2DF(_xll.HLV5r3.Analytics.Miscellaneous.LinearInterp(Peturbed_QZ,$K80,1,N$1),ZeroCompFreq,'PDH Calc'!$K80/365)</f>
        <v>1</v>
      </c>
      <c r="O80" s="8">
        <f ca="1">_xll.HLV5r3.Analytics.Miscellaneous.Zero2DF(_xll.HLV5r3.Analytics.Miscellaneous.LinearInterp(Peturbed_QZ,$K80,1,O$1),ZeroCompFreq,'PDH Calc'!$K80/365)</f>
        <v>1</v>
      </c>
      <c r="P80" s="8">
        <f ca="1">_xll.HLV5r3.Analytics.Miscellaneous.Zero2DF(_xll.HLV5r3.Analytics.Miscellaneous.LinearInterp(Peturbed_QZ,$K80,1,P$1),ZeroCompFreq,'PDH Calc'!$K80/365)</f>
        <v>1</v>
      </c>
      <c r="Q80" s="8">
        <f ca="1">_xll.HLV5r3.Analytics.Miscellaneous.Zero2DF(_xll.HLV5r3.Analytics.Miscellaneous.LinearInterp(Peturbed_QZ,$K80,1,Q$1),ZeroCompFreq,'PDH Calc'!$K80/365)</f>
        <v>1</v>
      </c>
      <c r="R80" s="8">
        <f ca="1">_xll.HLV5r3.Analytics.Miscellaneous.Zero2DF(_xll.HLV5r3.Analytics.Miscellaneous.LinearInterp(Peturbed_QZ,$K80,1,R$1),ZeroCompFreq,'PDH Calc'!$K80/365)</f>
        <v>1</v>
      </c>
      <c r="S80" s="8">
        <f ca="1">_xll.HLV5r3.Analytics.Miscellaneous.Zero2DF(_xll.HLV5r3.Analytics.Miscellaneous.LinearInterp(Peturbed_QZ,$K80,1,S$1),ZeroCompFreq,'PDH Calc'!$K80/365)</f>
        <v>1</v>
      </c>
      <c r="T80" s="8">
        <f ca="1">_xll.HLV5r3.Analytics.Miscellaneous.Zero2DF(_xll.HLV5r3.Analytics.Miscellaneous.LinearInterp(Peturbed_QZ,$K80,1,T$1),ZeroCompFreq,'PDH Calc'!$K80/365)</f>
        <v>1</v>
      </c>
      <c r="U80" s="8">
        <f ca="1">_xll.HLV5r3.Analytics.Miscellaneous.Zero2DF(_xll.HLV5r3.Analytics.Miscellaneous.LinearInterp(Peturbed_QZ,$K80,1,U$1),ZeroCompFreq,'PDH Calc'!$K80/365)</f>
        <v>1</v>
      </c>
      <c r="V80" s="8">
        <f ca="1">_xll.HLV5r3.Analytics.Miscellaneous.Zero2DF(_xll.HLV5r3.Analytics.Miscellaneous.LinearInterp(Peturbed_QZ,$K80,1,V$1),ZeroCompFreq,'PDH Calc'!$K80/365)</f>
        <v>1</v>
      </c>
      <c r="W80" s="8">
        <f ca="1">_xll.HLV5r3.Analytics.Miscellaneous.Zero2DF(_xll.HLV5r3.Analytics.Miscellaneous.LinearInterp(Peturbed_QZ,$K80,1,W$1),ZeroCompFreq,'PDH Calc'!$K80/365)</f>
        <v>1</v>
      </c>
      <c r="X80" s="8">
        <f ca="1">_xll.HLV5r3.Analytics.Miscellaneous.Zero2DF(_xll.HLV5r3.Analytics.Miscellaneous.LinearInterp(Peturbed_QZ,$K80,1,X$1),ZeroCompFreq,'PDH Calc'!$K80/365)</f>
        <v>1</v>
      </c>
      <c r="Y80" s="8">
        <f ca="1">_xll.HLV5r3.Analytics.Miscellaneous.Zero2DF(_xll.HLV5r3.Analytics.Miscellaneous.LinearInterp(Peturbed_QZ,$K80,1,Y$1),ZeroCompFreq,'PDH Calc'!$K80/365)</f>
        <v>1</v>
      </c>
      <c r="Z80" s="8">
        <f ca="1">_xll.HLV5r3.Analytics.Miscellaneous.Zero2DF(_xll.HLV5r3.Analytics.Miscellaneous.LinearInterp(Peturbed_QZ,$K80,1,Z$1),ZeroCompFreq,'PDH Calc'!$K80/365)</f>
        <v>1</v>
      </c>
      <c r="AA80" s="8">
        <f ca="1">_xll.HLV5r3.Analytics.Miscellaneous.Zero2DF(_xll.HLV5r3.Analytics.Miscellaneous.LinearInterp(Peturbed_QZ,$K80,1,AA$1),ZeroCompFreq,'PDH Calc'!$K80/365)</f>
        <v>1</v>
      </c>
      <c r="AB80" s="8">
        <f ca="1">_xll.HLV5r3.Analytics.Miscellaneous.Zero2DF(_xll.HLV5r3.Analytics.Miscellaneous.LinearInterp(Peturbed_QZ,$K80,1,AB$1),ZeroCompFreq,'PDH Calc'!$K80/365)</f>
        <v>1</v>
      </c>
      <c r="AC80" s="8">
        <f ca="1">_xll.HLV5r3.Analytics.Miscellaneous.Zero2DF(_xll.HLV5r3.Analytics.Miscellaneous.LinearInterp(Peturbed_QZ,$K80,1,AC$1),ZeroCompFreq,'PDH Calc'!$K80/365)</f>
        <v>1</v>
      </c>
      <c r="AD80" s="8">
        <f ca="1">_xll.HLV5r3.Analytics.Miscellaneous.Zero2DF(_xll.HLV5r3.Analytics.Miscellaneous.LinearInterp(Peturbed_QZ,$K80,1,AD$1),ZeroCompFreq,'PDH Calc'!$K80/365)</f>
        <v>1</v>
      </c>
      <c r="AE80" s="8">
        <f ca="1">_xll.HLV5r3.Analytics.Miscellaneous.Zero2DF(_xll.HLV5r3.Analytics.Miscellaneous.LinearInterp(Peturbed_QZ,$K80,1,AE$1),ZeroCompFreq,'PDH Calc'!$K80/365)</f>
        <v>1</v>
      </c>
      <c r="AF80" s="8">
        <f ca="1">_xll.HLV5r3.Analytics.Miscellaneous.Zero2DF(_xll.HLV5r3.Analytics.Miscellaneous.LinearInterp(Peturbed_QZ,$K80,1,AF$1),ZeroCompFreq,'PDH Calc'!$K80/365)</f>
        <v>1</v>
      </c>
      <c r="AG80" s="8">
        <f ca="1">_xll.HLV5r3.Analytics.Miscellaneous.Zero2DF(_xll.HLV5r3.Analytics.Miscellaneous.LinearInterp(Peturbed_QZ,$K80,1,AG$1),ZeroCompFreq,'PDH Calc'!$K80/365)</f>
        <v>1</v>
      </c>
      <c r="AH80" s="8">
        <f ca="1">_xll.HLV5r3.Analytics.Miscellaneous.Zero2DF(_xll.HLV5r3.Analytics.Miscellaneous.LinearInterp(Peturbed_QZ,$K80,1,AH$1),ZeroCompFreq,'PDH Calc'!$K80/365)</f>
        <v>1</v>
      </c>
      <c r="AI80" s="8">
        <f ca="1">_xll.HLV5r3.Analytics.Miscellaneous.Zero2DF(_xll.HLV5r3.Analytics.Miscellaneous.LinearInterp(Peturbed_QZ,$K80,1,AI$1),ZeroCompFreq,'PDH Calc'!$K80/365)</f>
        <v>1</v>
      </c>
      <c r="AJ80" s="8">
        <f ca="1">_xll.HLV5r3.Analytics.Miscellaneous.Zero2DF(_xll.HLV5r3.Analytics.Miscellaneous.LinearInterp(Peturbed_QZ,$K80,1,AJ$1),ZeroCompFreq,'PDH Calc'!$K80/365)</f>
        <v>1</v>
      </c>
      <c r="AK80" s="8">
        <f ca="1">_xll.HLV5r3.Analytics.Miscellaneous.Zero2DF(_xll.HLV5r3.Analytics.Miscellaneous.LinearInterp(Peturbed_QZ,$K80,1,AK$1),ZeroCompFreq,'PDH Calc'!$K80/365)</f>
        <v>1</v>
      </c>
    </row>
    <row r="81" spans="1:37">
      <c r="A81" s="4"/>
      <c r="B81" s="6"/>
      <c r="F81" s="11"/>
      <c r="G81" s="6"/>
      <c r="H81" s="20"/>
      <c r="I81" s="21"/>
      <c r="J81" s="26"/>
      <c r="K81" s="6">
        <f t="shared" ca="1" si="7"/>
        <v>0</v>
      </c>
      <c r="L81" s="8">
        <f ca="1">_xll.HLV5r3.Analytics.Miscellaneous.Zero2DF(_xll.HLV5r3.Analytics.Miscellaneous.LinearInterp(Peturbed_QZ,$K81,1,L$1),ZeroCompFreq,'PDH Calc'!$K81/365)</f>
        <v>1</v>
      </c>
      <c r="M81" s="8">
        <f ca="1">_xll.HLV5r3.Analytics.Miscellaneous.Zero2DF(_xll.HLV5r3.Analytics.Miscellaneous.LinearInterp(Peturbed_QZ,$K81,1,M$1),ZeroCompFreq,'PDH Calc'!$K81/365)</f>
        <v>1</v>
      </c>
      <c r="N81" s="8">
        <f ca="1">_xll.HLV5r3.Analytics.Miscellaneous.Zero2DF(_xll.HLV5r3.Analytics.Miscellaneous.LinearInterp(Peturbed_QZ,$K81,1,N$1),ZeroCompFreq,'PDH Calc'!$K81/365)</f>
        <v>1</v>
      </c>
      <c r="O81" s="8">
        <f ca="1">_xll.HLV5r3.Analytics.Miscellaneous.Zero2DF(_xll.HLV5r3.Analytics.Miscellaneous.LinearInterp(Peturbed_QZ,$K81,1,O$1),ZeroCompFreq,'PDH Calc'!$K81/365)</f>
        <v>1</v>
      </c>
      <c r="P81" s="8">
        <f ca="1">_xll.HLV5r3.Analytics.Miscellaneous.Zero2DF(_xll.HLV5r3.Analytics.Miscellaneous.LinearInterp(Peturbed_QZ,$K81,1,P$1),ZeroCompFreq,'PDH Calc'!$K81/365)</f>
        <v>1</v>
      </c>
      <c r="Q81" s="8">
        <f ca="1">_xll.HLV5r3.Analytics.Miscellaneous.Zero2DF(_xll.HLV5r3.Analytics.Miscellaneous.LinearInterp(Peturbed_QZ,$K81,1,Q$1),ZeroCompFreq,'PDH Calc'!$K81/365)</f>
        <v>1</v>
      </c>
      <c r="R81" s="8">
        <f ca="1">_xll.HLV5r3.Analytics.Miscellaneous.Zero2DF(_xll.HLV5r3.Analytics.Miscellaneous.LinearInterp(Peturbed_QZ,$K81,1,R$1),ZeroCompFreq,'PDH Calc'!$K81/365)</f>
        <v>1</v>
      </c>
      <c r="S81" s="8">
        <f ca="1">_xll.HLV5r3.Analytics.Miscellaneous.Zero2DF(_xll.HLV5r3.Analytics.Miscellaneous.LinearInterp(Peturbed_QZ,$K81,1,S$1),ZeroCompFreq,'PDH Calc'!$K81/365)</f>
        <v>1</v>
      </c>
      <c r="T81" s="8">
        <f ca="1">_xll.HLV5r3.Analytics.Miscellaneous.Zero2DF(_xll.HLV5r3.Analytics.Miscellaneous.LinearInterp(Peturbed_QZ,$K81,1,T$1),ZeroCompFreq,'PDH Calc'!$K81/365)</f>
        <v>1</v>
      </c>
      <c r="U81" s="8">
        <f ca="1">_xll.HLV5r3.Analytics.Miscellaneous.Zero2DF(_xll.HLV5r3.Analytics.Miscellaneous.LinearInterp(Peturbed_QZ,$K81,1,U$1),ZeroCompFreq,'PDH Calc'!$K81/365)</f>
        <v>1</v>
      </c>
      <c r="V81" s="8">
        <f ca="1">_xll.HLV5r3.Analytics.Miscellaneous.Zero2DF(_xll.HLV5r3.Analytics.Miscellaneous.LinearInterp(Peturbed_QZ,$K81,1,V$1),ZeroCompFreq,'PDH Calc'!$K81/365)</f>
        <v>1</v>
      </c>
      <c r="W81" s="8">
        <f ca="1">_xll.HLV5r3.Analytics.Miscellaneous.Zero2DF(_xll.HLV5r3.Analytics.Miscellaneous.LinearInterp(Peturbed_QZ,$K81,1,W$1),ZeroCompFreq,'PDH Calc'!$K81/365)</f>
        <v>1</v>
      </c>
      <c r="X81" s="8">
        <f ca="1">_xll.HLV5r3.Analytics.Miscellaneous.Zero2DF(_xll.HLV5r3.Analytics.Miscellaneous.LinearInterp(Peturbed_QZ,$K81,1,X$1),ZeroCompFreq,'PDH Calc'!$K81/365)</f>
        <v>1</v>
      </c>
      <c r="Y81" s="8">
        <f ca="1">_xll.HLV5r3.Analytics.Miscellaneous.Zero2DF(_xll.HLV5r3.Analytics.Miscellaneous.LinearInterp(Peturbed_QZ,$K81,1,Y$1),ZeroCompFreq,'PDH Calc'!$K81/365)</f>
        <v>1</v>
      </c>
      <c r="Z81" s="8">
        <f ca="1">_xll.HLV5r3.Analytics.Miscellaneous.Zero2DF(_xll.HLV5r3.Analytics.Miscellaneous.LinearInterp(Peturbed_QZ,$K81,1,Z$1),ZeroCompFreq,'PDH Calc'!$K81/365)</f>
        <v>1</v>
      </c>
      <c r="AA81" s="8">
        <f ca="1">_xll.HLV5r3.Analytics.Miscellaneous.Zero2DF(_xll.HLV5r3.Analytics.Miscellaneous.LinearInterp(Peturbed_QZ,$K81,1,AA$1),ZeroCompFreq,'PDH Calc'!$K81/365)</f>
        <v>1</v>
      </c>
      <c r="AB81" s="8">
        <f ca="1">_xll.HLV5r3.Analytics.Miscellaneous.Zero2DF(_xll.HLV5r3.Analytics.Miscellaneous.LinearInterp(Peturbed_QZ,$K81,1,AB$1),ZeroCompFreq,'PDH Calc'!$K81/365)</f>
        <v>1</v>
      </c>
      <c r="AC81" s="8">
        <f ca="1">_xll.HLV5r3.Analytics.Miscellaneous.Zero2DF(_xll.HLV5r3.Analytics.Miscellaneous.LinearInterp(Peturbed_QZ,$K81,1,AC$1),ZeroCompFreq,'PDH Calc'!$K81/365)</f>
        <v>1</v>
      </c>
      <c r="AD81" s="8">
        <f ca="1">_xll.HLV5r3.Analytics.Miscellaneous.Zero2DF(_xll.HLV5r3.Analytics.Miscellaneous.LinearInterp(Peturbed_QZ,$K81,1,AD$1),ZeroCompFreq,'PDH Calc'!$K81/365)</f>
        <v>1</v>
      </c>
      <c r="AE81" s="8">
        <f ca="1">_xll.HLV5r3.Analytics.Miscellaneous.Zero2DF(_xll.HLV5r3.Analytics.Miscellaneous.LinearInterp(Peturbed_QZ,$K81,1,AE$1),ZeroCompFreq,'PDH Calc'!$K81/365)</f>
        <v>1</v>
      </c>
      <c r="AF81" s="8">
        <f ca="1">_xll.HLV5r3.Analytics.Miscellaneous.Zero2DF(_xll.HLV5r3.Analytics.Miscellaneous.LinearInterp(Peturbed_QZ,$K81,1,AF$1),ZeroCompFreq,'PDH Calc'!$K81/365)</f>
        <v>1</v>
      </c>
      <c r="AG81" s="8">
        <f ca="1">_xll.HLV5r3.Analytics.Miscellaneous.Zero2DF(_xll.HLV5r3.Analytics.Miscellaneous.LinearInterp(Peturbed_QZ,$K81,1,AG$1),ZeroCompFreq,'PDH Calc'!$K81/365)</f>
        <v>1</v>
      </c>
      <c r="AH81" s="8">
        <f ca="1">_xll.HLV5r3.Analytics.Miscellaneous.Zero2DF(_xll.HLV5r3.Analytics.Miscellaneous.LinearInterp(Peturbed_QZ,$K81,1,AH$1),ZeroCompFreq,'PDH Calc'!$K81/365)</f>
        <v>1</v>
      </c>
      <c r="AI81" s="8">
        <f ca="1">_xll.HLV5r3.Analytics.Miscellaneous.Zero2DF(_xll.HLV5r3.Analytics.Miscellaneous.LinearInterp(Peturbed_QZ,$K81,1,AI$1),ZeroCompFreq,'PDH Calc'!$K81/365)</f>
        <v>1</v>
      </c>
      <c r="AJ81" s="8">
        <f ca="1">_xll.HLV5r3.Analytics.Miscellaneous.Zero2DF(_xll.HLV5r3.Analytics.Miscellaneous.LinearInterp(Peturbed_QZ,$K81,1,AJ$1),ZeroCompFreq,'PDH Calc'!$K81/365)</f>
        <v>1</v>
      </c>
      <c r="AK81" s="8">
        <f ca="1">_xll.HLV5r3.Analytics.Miscellaneous.Zero2DF(_xll.HLV5r3.Analytics.Miscellaneous.LinearInterp(Peturbed_QZ,$K81,1,AK$1),ZeroCompFreq,'PDH Calc'!$K81/365)</f>
        <v>1</v>
      </c>
    </row>
    <row r="82" spans="1:37">
      <c r="A82" s="4"/>
      <c r="B82" s="6"/>
      <c r="F82" s="11"/>
      <c r="G82" s="6"/>
      <c r="H82" s="20"/>
      <c r="I82" s="21"/>
      <c r="J82" s="26"/>
      <c r="K82" s="6">
        <f t="shared" ca="1" si="7"/>
        <v>0</v>
      </c>
      <c r="L82" s="8">
        <f ca="1">_xll.HLV5r3.Analytics.Miscellaneous.Zero2DF(_xll.HLV5r3.Analytics.Miscellaneous.LinearInterp(Peturbed_QZ,$K82,1,L$1),ZeroCompFreq,'PDH Calc'!$K82/365)</f>
        <v>1</v>
      </c>
      <c r="M82" s="8">
        <f ca="1">_xll.HLV5r3.Analytics.Miscellaneous.Zero2DF(_xll.HLV5r3.Analytics.Miscellaneous.LinearInterp(Peturbed_QZ,$K82,1,M$1),ZeroCompFreq,'PDH Calc'!$K82/365)</f>
        <v>1</v>
      </c>
      <c r="N82" s="8">
        <f ca="1">_xll.HLV5r3.Analytics.Miscellaneous.Zero2DF(_xll.HLV5r3.Analytics.Miscellaneous.LinearInterp(Peturbed_QZ,$K82,1,N$1),ZeroCompFreq,'PDH Calc'!$K82/365)</f>
        <v>1</v>
      </c>
      <c r="O82" s="8">
        <f ca="1">_xll.HLV5r3.Analytics.Miscellaneous.Zero2DF(_xll.HLV5r3.Analytics.Miscellaneous.LinearInterp(Peturbed_QZ,$K82,1,O$1),ZeroCompFreq,'PDH Calc'!$K82/365)</f>
        <v>1</v>
      </c>
      <c r="P82" s="8">
        <f ca="1">_xll.HLV5r3.Analytics.Miscellaneous.Zero2DF(_xll.HLV5r3.Analytics.Miscellaneous.LinearInterp(Peturbed_QZ,$K82,1,P$1),ZeroCompFreq,'PDH Calc'!$K82/365)</f>
        <v>1</v>
      </c>
      <c r="Q82" s="8">
        <f ca="1">_xll.HLV5r3.Analytics.Miscellaneous.Zero2DF(_xll.HLV5r3.Analytics.Miscellaneous.LinearInterp(Peturbed_QZ,$K82,1,Q$1),ZeroCompFreq,'PDH Calc'!$K82/365)</f>
        <v>1</v>
      </c>
      <c r="R82" s="8">
        <f ca="1">_xll.HLV5r3.Analytics.Miscellaneous.Zero2DF(_xll.HLV5r3.Analytics.Miscellaneous.LinearInterp(Peturbed_QZ,$K82,1,R$1),ZeroCompFreq,'PDH Calc'!$K82/365)</f>
        <v>1</v>
      </c>
      <c r="S82" s="8">
        <f ca="1">_xll.HLV5r3.Analytics.Miscellaneous.Zero2DF(_xll.HLV5r3.Analytics.Miscellaneous.LinearInterp(Peturbed_QZ,$K82,1,S$1),ZeroCompFreq,'PDH Calc'!$K82/365)</f>
        <v>1</v>
      </c>
      <c r="T82" s="8">
        <f ca="1">_xll.HLV5r3.Analytics.Miscellaneous.Zero2DF(_xll.HLV5r3.Analytics.Miscellaneous.LinearInterp(Peturbed_QZ,$K82,1,T$1),ZeroCompFreq,'PDH Calc'!$K82/365)</f>
        <v>1</v>
      </c>
      <c r="U82" s="8">
        <f ca="1">_xll.HLV5r3.Analytics.Miscellaneous.Zero2DF(_xll.HLV5r3.Analytics.Miscellaneous.LinearInterp(Peturbed_QZ,$K82,1,U$1),ZeroCompFreq,'PDH Calc'!$K82/365)</f>
        <v>1</v>
      </c>
      <c r="V82" s="8">
        <f ca="1">_xll.HLV5r3.Analytics.Miscellaneous.Zero2DF(_xll.HLV5r3.Analytics.Miscellaneous.LinearInterp(Peturbed_QZ,$K82,1,V$1),ZeroCompFreq,'PDH Calc'!$K82/365)</f>
        <v>1</v>
      </c>
      <c r="W82" s="8">
        <f ca="1">_xll.HLV5r3.Analytics.Miscellaneous.Zero2DF(_xll.HLV5r3.Analytics.Miscellaneous.LinearInterp(Peturbed_QZ,$K82,1,W$1),ZeroCompFreq,'PDH Calc'!$K82/365)</f>
        <v>1</v>
      </c>
      <c r="X82" s="8">
        <f ca="1">_xll.HLV5r3.Analytics.Miscellaneous.Zero2DF(_xll.HLV5r3.Analytics.Miscellaneous.LinearInterp(Peturbed_QZ,$K82,1,X$1),ZeroCompFreq,'PDH Calc'!$K82/365)</f>
        <v>1</v>
      </c>
      <c r="Y82" s="8">
        <f ca="1">_xll.HLV5r3.Analytics.Miscellaneous.Zero2DF(_xll.HLV5r3.Analytics.Miscellaneous.LinearInterp(Peturbed_QZ,$K82,1,Y$1),ZeroCompFreq,'PDH Calc'!$K82/365)</f>
        <v>1</v>
      </c>
      <c r="Z82" s="8">
        <f ca="1">_xll.HLV5r3.Analytics.Miscellaneous.Zero2DF(_xll.HLV5r3.Analytics.Miscellaneous.LinearInterp(Peturbed_QZ,$K82,1,Z$1),ZeroCompFreq,'PDH Calc'!$K82/365)</f>
        <v>1</v>
      </c>
      <c r="AA82" s="8">
        <f ca="1">_xll.HLV5r3.Analytics.Miscellaneous.Zero2DF(_xll.HLV5r3.Analytics.Miscellaneous.LinearInterp(Peturbed_QZ,$K82,1,AA$1),ZeroCompFreq,'PDH Calc'!$K82/365)</f>
        <v>1</v>
      </c>
      <c r="AB82" s="8">
        <f ca="1">_xll.HLV5r3.Analytics.Miscellaneous.Zero2DF(_xll.HLV5r3.Analytics.Miscellaneous.LinearInterp(Peturbed_QZ,$K82,1,AB$1),ZeroCompFreq,'PDH Calc'!$K82/365)</f>
        <v>1</v>
      </c>
      <c r="AC82" s="8">
        <f ca="1">_xll.HLV5r3.Analytics.Miscellaneous.Zero2DF(_xll.HLV5r3.Analytics.Miscellaneous.LinearInterp(Peturbed_QZ,$K82,1,AC$1),ZeroCompFreq,'PDH Calc'!$K82/365)</f>
        <v>1</v>
      </c>
      <c r="AD82" s="8">
        <f ca="1">_xll.HLV5r3.Analytics.Miscellaneous.Zero2DF(_xll.HLV5r3.Analytics.Miscellaneous.LinearInterp(Peturbed_QZ,$K82,1,AD$1),ZeroCompFreq,'PDH Calc'!$K82/365)</f>
        <v>1</v>
      </c>
      <c r="AE82" s="8">
        <f ca="1">_xll.HLV5r3.Analytics.Miscellaneous.Zero2DF(_xll.HLV5r3.Analytics.Miscellaneous.LinearInterp(Peturbed_QZ,$K82,1,AE$1),ZeroCompFreq,'PDH Calc'!$K82/365)</f>
        <v>1</v>
      </c>
      <c r="AF82" s="8">
        <f ca="1">_xll.HLV5r3.Analytics.Miscellaneous.Zero2DF(_xll.HLV5r3.Analytics.Miscellaneous.LinearInterp(Peturbed_QZ,$K82,1,AF$1),ZeroCompFreq,'PDH Calc'!$K82/365)</f>
        <v>1</v>
      </c>
      <c r="AG82" s="8">
        <f ca="1">_xll.HLV5r3.Analytics.Miscellaneous.Zero2DF(_xll.HLV5r3.Analytics.Miscellaneous.LinearInterp(Peturbed_QZ,$K82,1,AG$1),ZeroCompFreq,'PDH Calc'!$K82/365)</f>
        <v>1</v>
      </c>
      <c r="AH82" s="8">
        <f ca="1">_xll.HLV5r3.Analytics.Miscellaneous.Zero2DF(_xll.HLV5r3.Analytics.Miscellaneous.LinearInterp(Peturbed_QZ,$K82,1,AH$1),ZeroCompFreq,'PDH Calc'!$K82/365)</f>
        <v>1</v>
      </c>
      <c r="AI82" s="8">
        <f ca="1">_xll.HLV5r3.Analytics.Miscellaneous.Zero2DF(_xll.HLV5r3.Analytics.Miscellaneous.LinearInterp(Peturbed_QZ,$K82,1,AI$1),ZeroCompFreq,'PDH Calc'!$K82/365)</f>
        <v>1</v>
      </c>
      <c r="AJ82" s="8">
        <f ca="1">_xll.HLV5r3.Analytics.Miscellaneous.Zero2DF(_xll.HLV5r3.Analytics.Miscellaneous.LinearInterp(Peturbed_QZ,$K82,1,AJ$1),ZeroCompFreq,'PDH Calc'!$K82/365)</f>
        <v>1</v>
      </c>
      <c r="AK82" s="8">
        <f ca="1">_xll.HLV5r3.Analytics.Miscellaneous.Zero2DF(_xll.HLV5r3.Analytics.Miscellaneous.LinearInterp(Peturbed_QZ,$K82,1,AK$1),ZeroCompFreq,'PDH Calc'!$K82/365)</f>
        <v>1</v>
      </c>
    </row>
    <row r="83" spans="1:37">
      <c r="A83" s="4"/>
      <c r="B83" s="6"/>
      <c r="F83" s="11"/>
      <c r="G83" s="6"/>
      <c r="H83" s="20"/>
      <c r="I83" s="21"/>
      <c r="J83" s="26"/>
      <c r="K83" s="6">
        <f t="shared" ca="1" si="7"/>
        <v>0</v>
      </c>
      <c r="L83" s="8">
        <f ca="1">_xll.HLV5r3.Analytics.Miscellaneous.Zero2DF(_xll.HLV5r3.Analytics.Miscellaneous.LinearInterp(Peturbed_QZ,$K83,1,L$1),ZeroCompFreq,'PDH Calc'!$K83/365)</f>
        <v>1</v>
      </c>
      <c r="M83" s="8">
        <f ca="1">_xll.HLV5r3.Analytics.Miscellaneous.Zero2DF(_xll.HLV5r3.Analytics.Miscellaneous.LinearInterp(Peturbed_QZ,$K83,1,M$1),ZeroCompFreq,'PDH Calc'!$K83/365)</f>
        <v>1</v>
      </c>
      <c r="N83" s="8">
        <f ca="1">_xll.HLV5r3.Analytics.Miscellaneous.Zero2DF(_xll.HLV5r3.Analytics.Miscellaneous.LinearInterp(Peturbed_QZ,$K83,1,N$1),ZeroCompFreq,'PDH Calc'!$K83/365)</f>
        <v>1</v>
      </c>
      <c r="O83" s="8">
        <f ca="1">_xll.HLV5r3.Analytics.Miscellaneous.Zero2DF(_xll.HLV5r3.Analytics.Miscellaneous.LinearInterp(Peturbed_QZ,$K83,1,O$1),ZeroCompFreq,'PDH Calc'!$K83/365)</f>
        <v>1</v>
      </c>
      <c r="P83" s="8">
        <f ca="1">_xll.HLV5r3.Analytics.Miscellaneous.Zero2DF(_xll.HLV5r3.Analytics.Miscellaneous.LinearInterp(Peturbed_QZ,$K83,1,P$1),ZeroCompFreq,'PDH Calc'!$K83/365)</f>
        <v>1</v>
      </c>
      <c r="Q83" s="8">
        <f ca="1">_xll.HLV5r3.Analytics.Miscellaneous.Zero2DF(_xll.HLV5r3.Analytics.Miscellaneous.LinearInterp(Peturbed_QZ,$K83,1,Q$1),ZeroCompFreq,'PDH Calc'!$K83/365)</f>
        <v>1</v>
      </c>
      <c r="R83" s="8">
        <f ca="1">_xll.HLV5r3.Analytics.Miscellaneous.Zero2DF(_xll.HLV5r3.Analytics.Miscellaneous.LinearInterp(Peturbed_QZ,$K83,1,R$1),ZeroCompFreq,'PDH Calc'!$K83/365)</f>
        <v>1</v>
      </c>
      <c r="S83" s="8">
        <f ca="1">_xll.HLV5r3.Analytics.Miscellaneous.Zero2DF(_xll.HLV5r3.Analytics.Miscellaneous.LinearInterp(Peturbed_QZ,$K83,1,S$1),ZeroCompFreq,'PDH Calc'!$K83/365)</f>
        <v>1</v>
      </c>
      <c r="T83" s="8">
        <f ca="1">_xll.HLV5r3.Analytics.Miscellaneous.Zero2DF(_xll.HLV5r3.Analytics.Miscellaneous.LinearInterp(Peturbed_QZ,$K83,1,T$1),ZeroCompFreq,'PDH Calc'!$K83/365)</f>
        <v>1</v>
      </c>
      <c r="U83" s="8">
        <f ca="1">_xll.HLV5r3.Analytics.Miscellaneous.Zero2DF(_xll.HLV5r3.Analytics.Miscellaneous.LinearInterp(Peturbed_QZ,$K83,1,U$1),ZeroCompFreq,'PDH Calc'!$K83/365)</f>
        <v>1</v>
      </c>
      <c r="V83" s="8">
        <f ca="1">_xll.HLV5r3.Analytics.Miscellaneous.Zero2DF(_xll.HLV5r3.Analytics.Miscellaneous.LinearInterp(Peturbed_QZ,$K83,1,V$1),ZeroCompFreq,'PDH Calc'!$K83/365)</f>
        <v>1</v>
      </c>
      <c r="W83" s="8">
        <f ca="1">_xll.HLV5r3.Analytics.Miscellaneous.Zero2DF(_xll.HLV5r3.Analytics.Miscellaneous.LinearInterp(Peturbed_QZ,$K83,1,W$1),ZeroCompFreq,'PDH Calc'!$K83/365)</f>
        <v>1</v>
      </c>
      <c r="X83" s="8">
        <f ca="1">_xll.HLV5r3.Analytics.Miscellaneous.Zero2DF(_xll.HLV5r3.Analytics.Miscellaneous.LinearInterp(Peturbed_QZ,$K83,1,X$1),ZeroCompFreq,'PDH Calc'!$K83/365)</f>
        <v>1</v>
      </c>
      <c r="Y83" s="8">
        <f ca="1">_xll.HLV5r3.Analytics.Miscellaneous.Zero2DF(_xll.HLV5r3.Analytics.Miscellaneous.LinearInterp(Peturbed_QZ,$K83,1,Y$1),ZeroCompFreq,'PDH Calc'!$K83/365)</f>
        <v>1</v>
      </c>
      <c r="Z83" s="8">
        <f ca="1">_xll.HLV5r3.Analytics.Miscellaneous.Zero2DF(_xll.HLV5r3.Analytics.Miscellaneous.LinearInterp(Peturbed_QZ,$K83,1,Z$1),ZeroCompFreq,'PDH Calc'!$K83/365)</f>
        <v>1</v>
      </c>
      <c r="AA83" s="8">
        <f ca="1">_xll.HLV5r3.Analytics.Miscellaneous.Zero2DF(_xll.HLV5r3.Analytics.Miscellaneous.LinearInterp(Peturbed_QZ,$K83,1,AA$1),ZeroCompFreq,'PDH Calc'!$K83/365)</f>
        <v>1</v>
      </c>
      <c r="AB83" s="8">
        <f ca="1">_xll.HLV5r3.Analytics.Miscellaneous.Zero2DF(_xll.HLV5r3.Analytics.Miscellaneous.LinearInterp(Peturbed_QZ,$K83,1,AB$1),ZeroCompFreq,'PDH Calc'!$K83/365)</f>
        <v>1</v>
      </c>
      <c r="AC83" s="8">
        <f ca="1">_xll.HLV5r3.Analytics.Miscellaneous.Zero2DF(_xll.HLV5r3.Analytics.Miscellaneous.LinearInterp(Peturbed_QZ,$K83,1,AC$1),ZeroCompFreq,'PDH Calc'!$K83/365)</f>
        <v>1</v>
      </c>
      <c r="AD83" s="8">
        <f ca="1">_xll.HLV5r3.Analytics.Miscellaneous.Zero2DF(_xll.HLV5r3.Analytics.Miscellaneous.LinearInterp(Peturbed_QZ,$K83,1,AD$1),ZeroCompFreq,'PDH Calc'!$K83/365)</f>
        <v>1</v>
      </c>
      <c r="AE83" s="8">
        <f ca="1">_xll.HLV5r3.Analytics.Miscellaneous.Zero2DF(_xll.HLV5r3.Analytics.Miscellaneous.LinearInterp(Peturbed_QZ,$K83,1,AE$1),ZeroCompFreq,'PDH Calc'!$K83/365)</f>
        <v>1</v>
      </c>
      <c r="AF83" s="8">
        <f ca="1">_xll.HLV5r3.Analytics.Miscellaneous.Zero2DF(_xll.HLV5r3.Analytics.Miscellaneous.LinearInterp(Peturbed_QZ,$K83,1,AF$1),ZeroCompFreq,'PDH Calc'!$K83/365)</f>
        <v>1</v>
      </c>
      <c r="AG83" s="8">
        <f ca="1">_xll.HLV5r3.Analytics.Miscellaneous.Zero2DF(_xll.HLV5r3.Analytics.Miscellaneous.LinearInterp(Peturbed_QZ,$K83,1,AG$1),ZeroCompFreq,'PDH Calc'!$K83/365)</f>
        <v>1</v>
      </c>
      <c r="AH83" s="8">
        <f ca="1">_xll.HLV5r3.Analytics.Miscellaneous.Zero2DF(_xll.HLV5r3.Analytics.Miscellaneous.LinearInterp(Peturbed_QZ,$K83,1,AH$1),ZeroCompFreq,'PDH Calc'!$K83/365)</f>
        <v>1</v>
      </c>
      <c r="AI83" s="8">
        <f ca="1">_xll.HLV5r3.Analytics.Miscellaneous.Zero2DF(_xll.HLV5r3.Analytics.Miscellaneous.LinearInterp(Peturbed_QZ,$K83,1,AI$1),ZeroCompFreq,'PDH Calc'!$K83/365)</f>
        <v>1</v>
      </c>
      <c r="AJ83" s="8">
        <f ca="1">_xll.HLV5r3.Analytics.Miscellaneous.Zero2DF(_xll.HLV5r3.Analytics.Miscellaneous.LinearInterp(Peturbed_QZ,$K83,1,AJ$1),ZeroCompFreq,'PDH Calc'!$K83/365)</f>
        <v>1</v>
      </c>
      <c r="AK83" s="8">
        <f ca="1">_xll.HLV5r3.Analytics.Miscellaneous.Zero2DF(_xll.HLV5r3.Analytics.Miscellaneous.LinearInterp(Peturbed_QZ,$K83,1,AK$1),ZeroCompFreq,'PDH Calc'!$K83/365)</f>
        <v>1</v>
      </c>
    </row>
    <row r="84" spans="1:37">
      <c r="A84" s="4"/>
      <c r="B84" s="6"/>
      <c r="F84" s="11"/>
      <c r="G84" s="6"/>
      <c r="H84" s="20"/>
      <c r="I84" s="21"/>
      <c r="J84" s="26"/>
      <c r="K84" s="6">
        <f t="shared" ca="1" si="7"/>
        <v>0</v>
      </c>
      <c r="L84" s="8">
        <f ca="1">_xll.HLV5r3.Analytics.Miscellaneous.Zero2DF(_xll.HLV5r3.Analytics.Miscellaneous.LinearInterp(Peturbed_QZ,$K84,1,L$1),ZeroCompFreq,'PDH Calc'!$K84/365)</f>
        <v>1</v>
      </c>
      <c r="M84" s="8">
        <f ca="1">_xll.HLV5r3.Analytics.Miscellaneous.Zero2DF(_xll.HLV5r3.Analytics.Miscellaneous.LinearInterp(Peturbed_QZ,$K84,1,M$1),ZeroCompFreq,'PDH Calc'!$K84/365)</f>
        <v>1</v>
      </c>
      <c r="N84" s="8">
        <f ca="1">_xll.HLV5r3.Analytics.Miscellaneous.Zero2DF(_xll.HLV5r3.Analytics.Miscellaneous.LinearInterp(Peturbed_QZ,$K84,1,N$1),ZeroCompFreq,'PDH Calc'!$K84/365)</f>
        <v>1</v>
      </c>
      <c r="O84" s="8">
        <f ca="1">_xll.HLV5r3.Analytics.Miscellaneous.Zero2DF(_xll.HLV5r3.Analytics.Miscellaneous.LinearInterp(Peturbed_QZ,$K84,1,O$1),ZeroCompFreq,'PDH Calc'!$K84/365)</f>
        <v>1</v>
      </c>
      <c r="P84" s="8">
        <f ca="1">_xll.HLV5r3.Analytics.Miscellaneous.Zero2DF(_xll.HLV5r3.Analytics.Miscellaneous.LinearInterp(Peturbed_QZ,$K84,1,P$1),ZeroCompFreq,'PDH Calc'!$K84/365)</f>
        <v>1</v>
      </c>
      <c r="Q84" s="8">
        <f ca="1">_xll.HLV5r3.Analytics.Miscellaneous.Zero2DF(_xll.HLV5r3.Analytics.Miscellaneous.LinearInterp(Peturbed_QZ,$K84,1,Q$1),ZeroCompFreq,'PDH Calc'!$K84/365)</f>
        <v>1</v>
      </c>
      <c r="R84" s="8">
        <f ca="1">_xll.HLV5r3.Analytics.Miscellaneous.Zero2DF(_xll.HLV5r3.Analytics.Miscellaneous.LinearInterp(Peturbed_QZ,$K84,1,R$1),ZeroCompFreq,'PDH Calc'!$K84/365)</f>
        <v>1</v>
      </c>
      <c r="S84" s="8">
        <f ca="1">_xll.HLV5r3.Analytics.Miscellaneous.Zero2DF(_xll.HLV5r3.Analytics.Miscellaneous.LinearInterp(Peturbed_QZ,$K84,1,S$1),ZeroCompFreq,'PDH Calc'!$K84/365)</f>
        <v>1</v>
      </c>
      <c r="T84" s="8">
        <f ca="1">_xll.HLV5r3.Analytics.Miscellaneous.Zero2DF(_xll.HLV5r3.Analytics.Miscellaneous.LinearInterp(Peturbed_QZ,$K84,1,T$1),ZeroCompFreq,'PDH Calc'!$K84/365)</f>
        <v>1</v>
      </c>
      <c r="U84" s="8">
        <f ca="1">_xll.HLV5r3.Analytics.Miscellaneous.Zero2DF(_xll.HLV5r3.Analytics.Miscellaneous.LinearInterp(Peturbed_QZ,$K84,1,U$1),ZeroCompFreq,'PDH Calc'!$K84/365)</f>
        <v>1</v>
      </c>
      <c r="V84" s="8">
        <f ca="1">_xll.HLV5r3.Analytics.Miscellaneous.Zero2DF(_xll.HLV5r3.Analytics.Miscellaneous.LinearInterp(Peturbed_QZ,$K84,1,V$1),ZeroCompFreq,'PDH Calc'!$K84/365)</f>
        <v>1</v>
      </c>
      <c r="W84" s="8">
        <f ca="1">_xll.HLV5r3.Analytics.Miscellaneous.Zero2DF(_xll.HLV5r3.Analytics.Miscellaneous.LinearInterp(Peturbed_QZ,$K84,1,W$1),ZeroCompFreq,'PDH Calc'!$K84/365)</f>
        <v>1</v>
      </c>
      <c r="X84" s="8">
        <f ca="1">_xll.HLV5r3.Analytics.Miscellaneous.Zero2DF(_xll.HLV5r3.Analytics.Miscellaneous.LinearInterp(Peturbed_QZ,$K84,1,X$1),ZeroCompFreq,'PDH Calc'!$K84/365)</f>
        <v>1</v>
      </c>
      <c r="Y84" s="8">
        <f ca="1">_xll.HLV5r3.Analytics.Miscellaneous.Zero2DF(_xll.HLV5r3.Analytics.Miscellaneous.LinearInterp(Peturbed_QZ,$K84,1,Y$1),ZeroCompFreq,'PDH Calc'!$K84/365)</f>
        <v>1</v>
      </c>
      <c r="Z84" s="8">
        <f ca="1">_xll.HLV5r3.Analytics.Miscellaneous.Zero2DF(_xll.HLV5r3.Analytics.Miscellaneous.LinearInterp(Peturbed_QZ,$K84,1,Z$1),ZeroCompFreq,'PDH Calc'!$K84/365)</f>
        <v>1</v>
      </c>
      <c r="AA84" s="8">
        <f ca="1">_xll.HLV5r3.Analytics.Miscellaneous.Zero2DF(_xll.HLV5r3.Analytics.Miscellaneous.LinearInterp(Peturbed_QZ,$K84,1,AA$1),ZeroCompFreq,'PDH Calc'!$K84/365)</f>
        <v>1</v>
      </c>
      <c r="AB84" s="8">
        <f ca="1">_xll.HLV5r3.Analytics.Miscellaneous.Zero2DF(_xll.HLV5r3.Analytics.Miscellaneous.LinearInterp(Peturbed_QZ,$K84,1,AB$1),ZeroCompFreq,'PDH Calc'!$K84/365)</f>
        <v>1</v>
      </c>
      <c r="AC84" s="8">
        <f ca="1">_xll.HLV5r3.Analytics.Miscellaneous.Zero2DF(_xll.HLV5r3.Analytics.Miscellaneous.LinearInterp(Peturbed_QZ,$K84,1,AC$1),ZeroCompFreq,'PDH Calc'!$K84/365)</f>
        <v>1</v>
      </c>
      <c r="AD84" s="8">
        <f ca="1">_xll.HLV5r3.Analytics.Miscellaneous.Zero2DF(_xll.HLV5r3.Analytics.Miscellaneous.LinearInterp(Peturbed_QZ,$K84,1,AD$1),ZeroCompFreq,'PDH Calc'!$K84/365)</f>
        <v>1</v>
      </c>
      <c r="AE84" s="8">
        <f ca="1">_xll.HLV5r3.Analytics.Miscellaneous.Zero2DF(_xll.HLV5r3.Analytics.Miscellaneous.LinearInterp(Peturbed_QZ,$K84,1,AE$1),ZeroCompFreq,'PDH Calc'!$K84/365)</f>
        <v>1</v>
      </c>
      <c r="AF84" s="8">
        <f ca="1">_xll.HLV5r3.Analytics.Miscellaneous.Zero2DF(_xll.HLV5r3.Analytics.Miscellaneous.LinearInterp(Peturbed_QZ,$K84,1,AF$1),ZeroCompFreq,'PDH Calc'!$K84/365)</f>
        <v>1</v>
      </c>
      <c r="AG84" s="8">
        <f ca="1">_xll.HLV5r3.Analytics.Miscellaneous.Zero2DF(_xll.HLV5r3.Analytics.Miscellaneous.LinearInterp(Peturbed_QZ,$K84,1,AG$1),ZeroCompFreq,'PDH Calc'!$K84/365)</f>
        <v>1</v>
      </c>
      <c r="AH84" s="8">
        <f ca="1">_xll.HLV5r3.Analytics.Miscellaneous.Zero2DF(_xll.HLV5r3.Analytics.Miscellaneous.LinearInterp(Peturbed_QZ,$K84,1,AH$1),ZeroCompFreq,'PDH Calc'!$K84/365)</f>
        <v>1</v>
      </c>
      <c r="AI84" s="8">
        <f ca="1">_xll.HLV5r3.Analytics.Miscellaneous.Zero2DF(_xll.HLV5r3.Analytics.Miscellaneous.LinearInterp(Peturbed_QZ,$K84,1,AI$1),ZeroCompFreq,'PDH Calc'!$K84/365)</f>
        <v>1</v>
      </c>
      <c r="AJ84" s="8">
        <f ca="1">_xll.HLV5r3.Analytics.Miscellaneous.Zero2DF(_xll.HLV5r3.Analytics.Miscellaneous.LinearInterp(Peturbed_QZ,$K84,1,AJ$1),ZeroCompFreq,'PDH Calc'!$K84/365)</f>
        <v>1</v>
      </c>
      <c r="AK84" s="8">
        <f ca="1">_xll.HLV5r3.Analytics.Miscellaneous.Zero2DF(_xll.HLV5r3.Analytics.Miscellaneous.LinearInterp(Peturbed_QZ,$K84,1,AK$1),ZeroCompFreq,'PDH Calc'!$K84/365)</f>
        <v>1</v>
      </c>
    </row>
    <row r="85" spans="1:37">
      <c r="A85" s="4"/>
      <c r="B85" s="6"/>
      <c r="F85" s="11"/>
      <c r="G85" s="6"/>
      <c r="H85" s="20"/>
      <c r="I85" s="21"/>
      <c r="J85" s="26"/>
      <c r="K85" s="6">
        <f t="shared" ca="1" si="7"/>
        <v>0</v>
      </c>
      <c r="L85" s="8">
        <f ca="1">_xll.HLV5r3.Analytics.Miscellaneous.Zero2DF(_xll.HLV5r3.Analytics.Miscellaneous.LinearInterp(Peturbed_QZ,$K85,1,L$1),ZeroCompFreq,'PDH Calc'!$K85/365)</f>
        <v>1</v>
      </c>
      <c r="M85" s="8">
        <f ca="1">_xll.HLV5r3.Analytics.Miscellaneous.Zero2DF(_xll.HLV5r3.Analytics.Miscellaneous.LinearInterp(Peturbed_QZ,$K85,1,M$1),ZeroCompFreq,'PDH Calc'!$K85/365)</f>
        <v>1</v>
      </c>
      <c r="N85" s="8">
        <f ca="1">_xll.HLV5r3.Analytics.Miscellaneous.Zero2DF(_xll.HLV5r3.Analytics.Miscellaneous.LinearInterp(Peturbed_QZ,$K85,1,N$1),ZeroCompFreq,'PDH Calc'!$K85/365)</f>
        <v>1</v>
      </c>
      <c r="O85" s="8">
        <f ca="1">_xll.HLV5r3.Analytics.Miscellaneous.Zero2DF(_xll.HLV5r3.Analytics.Miscellaneous.LinearInterp(Peturbed_QZ,$K85,1,O$1),ZeroCompFreq,'PDH Calc'!$K85/365)</f>
        <v>1</v>
      </c>
      <c r="P85" s="8">
        <f ca="1">_xll.HLV5r3.Analytics.Miscellaneous.Zero2DF(_xll.HLV5r3.Analytics.Miscellaneous.LinearInterp(Peturbed_QZ,$K85,1,P$1),ZeroCompFreq,'PDH Calc'!$K85/365)</f>
        <v>1</v>
      </c>
      <c r="Q85" s="8">
        <f ca="1">_xll.HLV5r3.Analytics.Miscellaneous.Zero2DF(_xll.HLV5r3.Analytics.Miscellaneous.LinearInterp(Peturbed_QZ,$K85,1,Q$1),ZeroCompFreq,'PDH Calc'!$K85/365)</f>
        <v>1</v>
      </c>
      <c r="R85" s="8">
        <f ca="1">_xll.HLV5r3.Analytics.Miscellaneous.Zero2DF(_xll.HLV5r3.Analytics.Miscellaneous.LinearInterp(Peturbed_QZ,$K85,1,R$1),ZeroCompFreq,'PDH Calc'!$K85/365)</f>
        <v>1</v>
      </c>
      <c r="S85" s="8">
        <f ca="1">_xll.HLV5r3.Analytics.Miscellaneous.Zero2DF(_xll.HLV5r3.Analytics.Miscellaneous.LinearInterp(Peturbed_QZ,$K85,1,S$1),ZeroCompFreq,'PDH Calc'!$K85/365)</f>
        <v>1</v>
      </c>
      <c r="T85" s="8">
        <f ca="1">_xll.HLV5r3.Analytics.Miscellaneous.Zero2DF(_xll.HLV5r3.Analytics.Miscellaneous.LinearInterp(Peturbed_QZ,$K85,1,T$1),ZeroCompFreq,'PDH Calc'!$K85/365)</f>
        <v>1</v>
      </c>
      <c r="U85" s="8">
        <f ca="1">_xll.HLV5r3.Analytics.Miscellaneous.Zero2DF(_xll.HLV5r3.Analytics.Miscellaneous.LinearInterp(Peturbed_QZ,$K85,1,U$1),ZeroCompFreq,'PDH Calc'!$K85/365)</f>
        <v>1</v>
      </c>
      <c r="V85" s="8">
        <f ca="1">_xll.HLV5r3.Analytics.Miscellaneous.Zero2DF(_xll.HLV5r3.Analytics.Miscellaneous.LinearInterp(Peturbed_QZ,$K85,1,V$1),ZeroCompFreq,'PDH Calc'!$K85/365)</f>
        <v>1</v>
      </c>
      <c r="W85" s="8">
        <f ca="1">_xll.HLV5r3.Analytics.Miscellaneous.Zero2DF(_xll.HLV5r3.Analytics.Miscellaneous.LinearInterp(Peturbed_QZ,$K85,1,W$1),ZeroCompFreq,'PDH Calc'!$K85/365)</f>
        <v>1</v>
      </c>
      <c r="X85" s="8">
        <f ca="1">_xll.HLV5r3.Analytics.Miscellaneous.Zero2DF(_xll.HLV5r3.Analytics.Miscellaneous.LinearInterp(Peturbed_QZ,$K85,1,X$1),ZeroCompFreq,'PDH Calc'!$K85/365)</f>
        <v>1</v>
      </c>
      <c r="Y85" s="8">
        <f ca="1">_xll.HLV5r3.Analytics.Miscellaneous.Zero2DF(_xll.HLV5r3.Analytics.Miscellaneous.LinearInterp(Peturbed_QZ,$K85,1,Y$1),ZeroCompFreq,'PDH Calc'!$K85/365)</f>
        <v>1</v>
      </c>
      <c r="Z85" s="8">
        <f ca="1">_xll.HLV5r3.Analytics.Miscellaneous.Zero2DF(_xll.HLV5r3.Analytics.Miscellaneous.LinearInterp(Peturbed_QZ,$K85,1,Z$1),ZeroCompFreq,'PDH Calc'!$K85/365)</f>
        <v>1</v>
      </c>
      <c r="AA85" s="8">
        <f ca="1">_xll.HLV5r3.Analytics.Miscellaneous.Zero2DF(_xll.HLV5r3.Analytics.Miscellaneous.LinearInterp(Peturbed_QZ,$K85,1,AA$1),ZeroCompFreq,'PDH Calc'!$K85/365)</f>
        <v>1</v>
      </c>
      <c r="AB85" s="8">
        <f ca="1">_xll.HLV5r3.Analytics.Miscellaneous.Zero2DF(_xll.HLV5r3.Analytics.Miscellaneous.LinearInterp(Peturbed_QZ,$K85,1,AB$1),ZeroCompFreq,'PDH Calc'!$K85/365)</f>
        <v>1</v>
      </c>
      <c r="AC85" s="8">
        <f ca="1">_xll.HLV5r3.Analytics.Miscellaneous.Zero2DF(_xll.HLV5r3.Analytics.Miscellaneous.LinearInterp(Peturbed_QZ,$K85,1,AC$1),ZeroCompFreq,'PDH Calc'!$K85/365)</f>
        <v>1</v>
      </c>
      <c r="AD85" s="8">
        <f ca="1">_xll.HLV5r3.Analytics.Miscellaneous.Zero2DF(_xll.HLV5r3.Analytics.Miscellaneous.LinearInterp(Peturbed_QZ,$K85,1,AD$1),ZeroCompFreq,'PDH Calc'!$K85/365)</f>
        <v>1</v>
      </c>
      <c r="AE85" s="8">
        <f ca="1">_xll.HLV5r3.Analytics.Miscellaneous.Zero2DF(_xll.HLV5r3.Analytics.Miscellaneous.LinearInterp(Peturbed_QZ,$K85,1,AE$1),ZeroCompFreq,'PDH Calc'!$K85/365)</f>
        <v>1</v>
      </c>
      <c r="AF85" s="8">
        <f ca="1">_xll.HLV5r3.Analytics.Miscellaneous.Zero2DF(_xll.HLV5r3.Analytics.Miscellaneous.LinearInterp(Peturbed_QZ,$K85,1,AF$1),ZeroCompFreq,'PDH Calc'!$K85/365)</f>
        <v>1</v>
      </c>
      <c r="AG85" s="8">
        <f ca="1">_xll.HLV5r3.Analytics.Miscellaneous.Zero2DF(_xll.HLV5r3.Analytics.Miscellaneous.LinearInterp(Peturbed_QZ,$K85,1,AG$1),ZeroCompFreq,'PDH Calc'!$K85/365)</f>
        <v>1</v>
      </c>
      <c r="AH85" s="8">
        <f ca="1">_xll.HLV5r3.Analytics.Miscellaneous.Zero2DF(_xll.HLV5r3.Analytics.Miscellaneous.LinearInterp(Peturbed_QZ,$K85,1,AH$1),ZeroCompFreq,'PDH Calc'!$K85/365)</f>
        <v>1</v>
      </c>
      <c r="AI85" s="8">
        <f ca="1">_xll.HLV5r3.Analytics.Miscellaneous.Zero2DF(_xll.HLV5r3.Analytics.Miscellaneous.LinearInterp(Peturbed_QZ,$K85,1,AI$1),ZeroCompFreq,'PDH Calc'!$K85/365)</f>
        <v>1</v>
      </c>
      <c r="AJ85" s="8">
        <f ca="1">_xll.HLV5r3.Analytics.Miscellaneous.Zero2DF(_xll.HLV5r3.Analytics.Miscellaneous.LinearInterp(Peturbed_QZ,$K85,1,AJ$1),ZeroCompFreq,'PDH Calc'!$K85/365)</f>
        <v>1</v>
      </c>
      <c r="AK85" s="8">
        <f ca="1">_xll.HLV5r3.Analytics.Miscellaneous.Zero2DF(_xll.HLV5r3.Analytics.Miscellaneous.LinearInterp(Peturbed_QZ,$K85,1,AK$1),ZeroCompFreq,'PDH Calc'!$K85/365)</f>
        <v>1</v>
      </c>
    </row>
    <row r="86" spans="1:37">
      <c r="A86" s="4"/>
      <c r="B86" s="6"/>
      <c r="F86" s="11"/>
      <c r="G86" s="6"/>
      <c r="H86" s="20"/>
      <c r="I86" s="21"/>
      <c r="J86" s="26"/>
      <c r="K86" s="6">
        <f t="shared" ca="1" si="7"/>
        <v>0</v>
      </c>
      <c r="L86" s="8">
        <f ca="1">_xll.HLV5r3.Analytics.Miscellaneous.Zero2DF(_xll.HLV5r3.Analytics.Miscellaneous.LinearInterp(Peturbed_QZ,$K86,1,L$1),ZeroCompFreq,'PDH Calc'!$K86/365)</f>
        <v>1</v>
      </c>
      <c r="M86" s="8">
        <f ca="1">_xll.HLV5r3.Analytics.Miscellaneous.Zero2DF(_xll.HLV5r3.Analytics.Miscellaneous.LinearInterp(Peturbed_QZ,$K86,1,M$1),ZeroCompFreq,'PDH Calc'!$K86/365)</f>
        <v>1</v>
      </c>
      <c r="N86" s="8">
        <f ca="1">_xll.HLV5r3.Analytics.Miscellaneous.Zero2DF(_xll.HLV5r3.Analytics.Miscellaneous.LinearInterp(Peturbed_QZ,$K86,1,N$1),ZeroCompFreq,'PDH Calc'!$K86/365)</f>
        <v>1</v>
      </c>
      <c r="O86" s="8">
        <f ca="1">_xll.HLV5r3.Analytics.Miscellaneous.Zero2DF(_xll.HLV5r3.Analytics.Miscellaneous.LinearInterp(Peturbed_QZ,$K86,1,O$1),ZeroCompFreq,'PDH Calc'!$K86/365)</f>
        <v>1</v>
      </c>
      <c r="P86" s="8">
        <f ca="1">_xll.HLV5r3.Analytics.Miscellaneous.Zero2DF(_xll.HLV5r3.Analytics.Miscellaneous.LinearInterp(Peturbed_QZ,$K86,1,P$1),ZeroCompFreq,'PDH Calc'!$K86/365)</f>
        <v>1</v>
      </c>
      <c r="Q86" s="8">
        <f ca="1">_xll.HLV5r3.Analytics.Miscellaneous.Zero2DF(_xll.HLV5r3.Analytics.Miscellaneous.LinearInterp(Peturbed_QZ,$K86,1,Q$1),ZeroCompFreq,'PDH Calc'!$K86/365)</f>
        <v>1</v>
      </c>
      <c r="R86" s="8">
        <f ca="1">_xll.HLV5r3.Analytics.Miscellaneous.Zero2DF(_xll.HLV5r3.Analytics.Miscellaneous.LinearInterp(Peturbed_QZ,$K86,1,R$1),ZeroCompFreq,'PDH Calc'!$K86/365)</f>
        <v>1</v>
      </c>
      <c r="S86" s="8">
        <f ca="1">_xll.HLV5r3.Analytics.Miscellaneous.Zero2DF(_xll.HLV5r3.Analytics.Miscellaneous.LinearInterp(Peturbed_QZ,$K86,1,S$1),ZeroCompFreq,'PDH Calc'!$K86/365)</f>
        <v>1</v>
      </c>
      <c r="T86" s="8">
        <f ca="1">_xll.HLV5r3.Analytics.Miscellaneous.Zero2DF(_xll.HLV5r3.Analytics.Miscellaneous.LinearInterp(Peturbed_QZ,$K86,1,T$1),ZeroCompFreq,'PDH Calc'!$K86/365)</f>
        <v>1</v>
      </c>
      <c r="U86" s="8">
        <f ca="1">_xll.HLV5r3.Analytics.Miscellaneous.Zero2DF(_xll.HLV5r3.Analytics.Miscellaneous.LinearInterp(Peturbed_QZ,$K86,1,U$1),ZeroCompFreq,'PDH Calc'!$K86/365)</f>
        <v>1</v>
      </c>
      <c r="V86" s="8">
        <f ca="1">_xll.HLV5r3.Analytics.Miscellaneous.Zero2DF(_xll.HLV5r3.Analytics.Miscellaneous.LinearInterp(Peturbed_QZ,$K86,1,V$1),ZeroCompFreq,'PDH Calc'!$K86/365)</f>
        <v>1</v>
      </c>
      <c r="W86" s="8">
        <f ca="1">_xll.HLV5r3.Analytics.Miscellaneous.Zero2DF(_xll.HLV5r3.Analytics.Miscellaneous.LinearInterp(Peturbed_QZ,$K86,1,W$1),ZeroCompFreq,'PDH Calc'!$K86/365)</f>
        <v>1</v>
      </c>
      <c r="X86" s="8">
        <f ca="1">_xll.HLV5r3.Analytics.Miscellaneous.Zero2DF(_xll.HLV5r3.Analytics.Miscellaneous.LinearInterp(Peturbed_QZ,$K86,1,X$1),ZeroCompFreq,'PDH Calc'!$K86/365)</f>
        <v>1</v>
      </c>
      <c r="Y86" s="8">
        <f ca="1">_xll.HLV5r3.Analytics.Miscellaneous.Zero2DF(_xll.HLV5r3.Analytics.Miscellaneous.LinearInterp(Peturbed_QZ,$K86,1,Y$1),ZeroCompFreq,'PDH Calc'!$K86/365)</f>
        <v>1</v>
      </c>
      <c r="Z86" s="8">
        <f ca="1">_xll.HLV5r3.Analytics.Miscellaneous.Zero2DF(_xll.HLV5r3.Analytics.Miscellaneous.LinearInterp(Peturbed_QZ,$K86,1,Z$1),ZeroCompFreq,'PDH Calc'!$K86/365)</f>
        <v>1</v>
      </c>
      <c r="AA86" s="8">
        <f ca="1">_xll.HLV5r3.Analytics.Miscellaneous.Zero2DF(_xll.HLV5r3.Analytics.Miscellaneous.LinearInterp(Peturbed_QZ,$K86,1,AA$1),ZeroCompFreq,'PDH Calc'!$K86/365)</f>
        <v>1</v>
      </c>
      <c r="AB86" s="8">
        <f ca="1">_xll.HLV5r3.Analytics.Miscellaneous.Zero2DF(_xll.HLV5r3.Analytics.Miscellaneous.LinearInterp(Peturbed_QZ,$K86,1,AB$1),ZeroCompFreq,'PDH Calc'!$K86/365)</f>
        <v>1</v>
      </c>
      <c r="AC86" s="8">
        <f ca="1">_xll.HLV5r3.Analytics.Miscellaneous.Zero2DF(_xll.HLV5r3.Analytics.Miscellaneous.LinearInterp(Peturbed_QZ,$K86,1,AC$1),ZeroCompFreq,'PDH Calc'!$K86/365)</f>
        <v>1</v>
      </c>
      <c r="AD86" s="8">
        <f ca="1">_xll.HLV5r3.Analytics.Miscellaneous.Zero2DF(_xll.HLV5r3.Analytics.Miscellaneous.LinearInterp(Peturbed_QZ,$K86,1,AD$1),ZeroCompFreq,'PDH Calc'!$K86/365)</f>
        <v>1</v>
      </c>
      <c r="AE86" s="8">
        <f ca="1">_xll.HLV5r3.Analytics.Miscellaneous.Zero2DF(_xll.HLV5r3.Analytics.Miscellaneous.LinearInterp(Peturbed_QZ,$K86,1,AE$1),ZeroCompFreq,'PDH Calc'!$K86/365)</f>
        <v>1</v>
      </c>
      <c r="AF86" s="8">
        <f ca="1">_xll.HLV5r3.Analytics.Miscellaneous.Zero2DF(_xll.HLV5r3.Analytics.Miscellaneous.LinearInterp(Peturbed_QZ,$K86,1,AF$1),ZeroCompFreq,'PDH Calc'!$K86/365)</f>
        <v>1</v>
      </c>
      <c r="AG86" s="8">
        <f ca="1">_xll.HLV5r3.Analytics.Miscellaneous.Zero2DF(_xll.HLV5r3.Analytics.Miscellaneous.LinearInterp(Peturbed_QZ,$K86,1,AG$1),ZeroCompFreq,'PDH Calc'!$K86/365)</f>
        <v>1</v>
      </c>
      <c r="AH86" s="8">
        <f ca="1">_xll.HLV5r3.Analytics.Miscellaneous.Zero2DF(_xll.HLV5r3.Analytics.Miscellaneous.LinearInterp(Peturbed_QZ,$K86,1,AH$1),ZeroCompFreq,'PDH Calc'!$K86/365)</f>
        <v>1</v>
      </c>
      <c r="AI86" s="8">
        <f ca="1">_xll.HLV5r3.Analytics.Miscellaneous.Zero2DF(_xll.HLV5r3.Analytics.Miscellaneous.LinearInterp(Peturbed_QZ,$K86,1,AI$1),ZeroCompFreq,'PDH Calc'!$K86/365)</f>
        <v>1</v>
      </c>
      <c r="AJ86" s="8">
        <f ca="1">_xll.HLV5r3.Analytics.Miscellaneous.Zero2DF(_xll.HLV5r3.Analytics.Miscellaneous.LinearInterp(Peturbed_QZ,$K86,1,AJ$1),ZeroCompFreq,'PDH Calc'!$K86/365)</f>
        <v>1</v>
      </c>
      <c r="AK86" s="8">
        <f ca="1">_xll.HLV5r3.Analytics.Miscellaneous.Zero2DF(_xll.HLV5r3.Analytics.Miscellaneous.LinearInterp(Peturbed_QZ,$K86,1,AK$1),ZeroCompFreq,'PDH Calc'!$K86/365)</f>
        <v>1</v>
      </c>
    </row>
    <row r="87" spans="1:37">
      <c r="A87" s="4"/>
      <c r="B87" s="6"/>
      <c r="F87" s="11"/>
      <c r="G87" s="6"/>
      <c r="H87" s="20"/>
      <c r="I87" s="21"/>
      <c r="J87" s="26"/>
      <c r="K87" s="6">
        <f t="shared" ca="1" si="7"/>
        <v>0</v>
      </c>
      <c r="L87" s="8">
        <f ca="1">_xll.HLV5r3.Analytics.Miscellaneous.Zero2DF(_xll.HLV5r3.Analytics.Miscellaneous.LinearInterp(Peturbed_QZ,$K87,1,L$1),ZeroCompFreq,'PDH Calc'!$K87/365)</f>
        <v>1</v>
      </c>
      <c r="M87" s="8">
        <f ca="1">_xll.HLV5r3.Analytics.Miscellaneous.Zero2DF(_xll.HLV5r3.Analytics.Miscellaneous.LinearInterp(Peturbed_QZ,$K87,1,M$1),ZeroCompFreq,'PDH Calc'!$K87/365)</f>
        <v>1</v>
      </c>
      <c r="N87" s="8">
        <f ca="1">_xll.HLV5r3.Analytics.Miscellaneous.Zero2DF(_xll.HLV5r3.Analytics.Miscellaneous.LinearInterp(Peturbed_QZ,$K87,1,N$1),ZeroCompFreq,'PDH Calc'!$K87/365)</f>
        <v>1</v>
      </c>
      <c r="O87" s="8">
        <f ca="1">_xll.HLV5r3.Analytics.Miscellaneous.Zero2DF(_xll.HLV5r3.Analytics.Miscellaneous.LinearInterp(Peturbed_QZ,$K87,1,O$1),ZeroCompFreq,'PDH Calc'!$K87/365)</f>
        <v>1</v>
      </c>
      <c r="P87" s="8">
        <f ca="1">_xll.HLV5r3.Analytics.Miscellaneous.Zero2DF(_xll.HLV5r3.Analytics.Miscellaneous.LinearInterp(Peturbed_QZ,$K87,1,P$1),ZeroCompFreq,'PDH Calc'!$K87/365)</f>
        <v>1</v>
      </c>
      <c r="Q87" s="8">
        <f ca="1">_xll.HLV5r3.Analytics.Miscellaneous.Zero2DF(_xll.HLV5r3.Analytics.Miscellaneous.LinearInterp(Peturbed_QZ,$K87,1,Q$1),ZeroCompFreq,'PDH Calc'!$K87/365)</f>
        <v>1</v>
      </c>
      <c r="R87" s="8">
        <f ca="1">_xll.HLV5r3.Analytics.Miscellaneous.Zero2DF(_xll.HLV5r3.Analytics.Miscellaneous.LinearInterp(Peturbed_QZ,$K87,1,R$1),ZeroCompFreq,'PDH Calc'!$K87/365)</f>
        <v>1</v>
      </c>
      <c r="S87" s="8">
        <f ca="1">_xll.HLV5r3.Analytics.Miscellaneous.Zero2DF(_xll.HLV5r3.Analytics.Miscellaneous.LinearInterp(Peturbed_QZ,$K87,1,S$1),ZeroCompFreq,'PDH Calc'!$K87/365)</f>
        <v>1</v>
      </c>
      <c r="T87" s="8">
        <f ca="1">_xll.HLV5r3.Analytics.Miscellaneous.Zero2DF(_xll.HLV5r3.Analytics.Miscellaneous.LinearInterp(Peturbed_QZ,$K87,1,T$1),ZeroCompFreq,'PDH Calc'!$K87/365)</f>
        <v>1</v>
      </c>
      <c r="U87" s="8">
        <f ca="1">_xll.HLV5r3.Analytics.Miscellaneous.Zero2DF(_xll.HLV5r3.Analytics.Miscellaneous.LinearInterp(Peturbed_QZ,$K87,1,U$1),ZeroCompFreq,'PDH Calc'!$K87/365)</f>
        <v>1</v>
      </c>
      <c r="V87" s="8">
        <f ca="1">_xll.HLV5r3.Analytics.Miscellaneous.Zero2DF(_xll.HLV5r3.Analytics.Miscellaneous.LinearInterp(Peturbed_QZ,$K87,1,V$1),ZeroCompFreq,'PDH Calc'!$K87/365)</f>
        <v>1</v>
      </c>
      <c r="W87" s="8">
        <f ca="1">_xll.HLV5r3.Analytics.Miscellaneous.Zero2DF(_xll.HLV5r3.Analytics.Miscellaneous.LinearInterp(Peturbed_QZ,$K87,1,W$1),ZeroCompFreq,'PDH Calc'!$K87/365)</f>
        <v>1</v>
      </c>
      <c r="X87" s="8">
        <f ca="1">_xll.HLV5r3.Analytics.Miscellaneous.Zero2DF(_xll.HLV5r3.Analytics.Miscellaneous.LinearInterp(Peturbed_QZ,$K87,1,X$1),ZeroCompFreq,'PDH Calc'!$K87/365)</f>
        <v>1</v>
      </c>
      <c r="Y87" s="8">
        <f ca="1">_xll.HLV5r3.Analytics.Miscellaneous.Zero2DF(_xll.HLV5r3.Analytics.Miscellaneous.LinearInterp(Peturbed_QZ,$K87,1,Y$1),ZeroCompFreq,'PDH Calc'!$K87/365)</f>
        <v>1</v>
      </c>
      <c r="Z87" s="8">
        <f ca="1">_xll.HLV5r3.Analytics.Miscellaneous.Zero2DF(_xll.HLV5r3.Analytics.Miscellaneous.LinearInterp(Peturbed_QZ,$K87,1,Z$1),ZeroCompFreq,'PDH Calc'!$K87/365)</f>
        <v>1</v>
      </c>
      <c r="AA87" s="8">
        <f ca="1">_xll.HLV5r3.Analytics.Miscellaneous.Zero2DF(_xll.HLV5r3.Analytics.Miscellaneous.LinearInterp(Peturbed_QZ,$K87,1,AA$1),ZeroCompFreq,'PDH Calc'!$K87/365)</f>
        <v>1</v>
      </c>
      <c r="AB87" s="8">
        <f ca="1">_xll.HLV5r3.Analytics.Miscellaneous.Zero2DF(_xll.HLV5r3.Analytics.Miscellaneous.LinearInterp(Peturbed_QZ,$K87,1,AB$1),ZeroCompFreq,'PDH Calc'!$K87/365)</f>
        <v>1</v>
      </c>
      <c r="AC87" s="8">
        <f ca="1">_xll.HLV5r3.Analytics.Miscellaneous.Zero2DF(_xll.HLV5r3.Analytics.Miscellaneous.LinearInterp(Peturbed_QZ,$K87,1,AC$1),ZeroCompFreq,'PDH Calc'!$K87/365)</f>
        <v>1</v>
      </c>
      <c r="AD87" s="8">
        <f ca="1">_xll.HLV5r3.Analytics.Miscellaneous.Zero2DF(_xll.HLV5r3.Analytics.Miscellaneous.LinearInterp(Peturbed_QZ,$K87,1,AD$1),ZeroCompFreq,'PDH Calc'!$K87/365)</f>
        <v>1</v>
      </c>
      <c r="AE87" s="8">
        <f ca="1">_xll.HLV5r3.Analytics.Miscellaneous.Zero2DF(_xll.HLV5r3.Analytics.Miscellaneous.LinearInterp(Peturbed_QZ,$K87,1,AE$1),ZeroCompFreq,'PDH Calc'!$K87/365)</f>
        <v>1</v>
      </c>
      <c r="AF87" s="8">
        <f ca="1">_xll.HLV5r3.Analytics.Miscellaneous.Zero2DF(_xll.HLV5r3.Analytics.Miscellaneous.LinearInterp(Peturbed_QZ,$K87,1,AF$1),ZeroCompFreq,'PDH Calc'!$K87/365)</f>
        <v>1</v>
      </c>
      <c r="AG87" s="8">
        <f ca="1">_xll.HLV5r3.Analytics.Miscellaneous.Zero2DF(_xll.HLV5r3.Analytics.Miscellaneous.LinearInterp(Peturbed_QZ,$K87,1,AG$1),ZeroCompFreq,'PDH Calc'!$K87/365)</f>
        <v>1</v>
      </c>
      <c r="AH87" s="8">
        <f ca="1">_xll.HLV5r3.Analytics.Miscellaneous.Zero2DF(_xll.HLV5r3.Analytics.Miscellaneous.LinearInterp(Peturbed_QZ,$K87,1,AH$1),ZeroCompFreq,'PDH Calc'!$K87/365)</f>
        <v>1</v>
      </c>
      <c r="AI87" s="8">
        <f ca="1">_xll.HLV5r3.Analytics.Miscellaneous.Zero2DF(_xll.HLV5r3.Analytics.Miscellaneous.LinearInterp(Peturbed_QZ,$K87,1,AI$1),ZeroCompFreq,'PDH Calc'!$K87/365)</f>
        <v>1</v>
      </c>
      <c r="AJ87" s="8">
        <f ca="1">_xll.HLV5r3.Analytics.Miscellaneous.Zero2DF(_xll.HLV5r3.Analytics.Miscellaneous.LinearInterp(Peturbed_QZ,$K87,1,AJ$1),ZeroCompFreq,'PDH Calc'!$K87/365)</f>
        <v>1</v>
      </c>
      <c r="AK87" s="8">
        <f ca="1">_xll.HLV5r3.Analytics.Miscellaneous.Zero2DF(_xll.HLV5r3.Analytics.Miscellaneous.LinearInterp(Peturbed_QZ,$K87,1,AK$1),ZeroCompFreq,'PDH Calc'!$K87/365)</f>
        <v>1</v>
      </c>
    </row>
    <row r="88" spans="1:37">
      <c r="A88" s="4"/>
      <c r="B88" s="6"/>
      <c r="F88" s="11"/>
      <c r="G88" s="6"/>
      <c r="H88" s="20"/>
      <c r="I88" s="21"/>
      <c r="J88" s="26"/>
      <c r="K88" s="6">
        <f t="shared" ca="1" si="7"/>
        <v>0</v>
      </c>
      <c r="L88" s="8">
        <f ca="1">_xll.HLV5r3.Analytics.Miscellaneous.Zero2DF(_xll.HLV5r3.Analytics.Miscellaneous.LinearInterp(Peturbed_QZ,$K88,1,L$1),ZeroCompFreq,'PDH Calc'!$K88/365)</f>
        <v>1</v>
      </c>
      <c r="M88" s="8">
        <f ca="1">_xll.HLV5r3.Analytics.Miscellaneous.Zero2DF(_xll.HLV5r3.Analytics.Miscellaneous.LinearInterp(Peturbed_QZ,$K88,1,M$1),ZeroCompFreq,'PDH Calc'!$K88/365)</f>
        <v>1</v>
      </c>
      <c r="N88" s="8">
        <f ca="1">_xll.HLV5r3.Analytics.Miscellaneous.Zero2DF(_xll.HLV5r3.Analytics.Miscellaneous.LinearInterp(Peturbed_QZ,$K88,1,N$1),ZeroCompFreq,'PDH Calc'!$K88/365)</f>
        <v>1</v>
      </c>
      <c r="O88" s="8">
        <f ca="1">_xll.HLV5r3.Analytics.Miscellaneous.Zero2DF(_xll.HLV5r3.Analytics.Miscellaneous.LinearInterp(Peturbed_QZ,$K88,1,O$1),ZeroCompFreq,'PDH Calc'!$K88/365)</f>
        <v>1</v>
      </c>
      <c r="P88" s="8">
        <f ca="1">_xll.HLV5r3.Analytics.Miscellaneous.Zero2DF(_xll.HLV5r3.Analytics.Miscellaneous.LinearInterp(Peturbed_QZ,$K88,1,P$1),ZeroCompFreq,'PDH Calc'!$K88/365)</f>
        <v>1</v>
      </c>
      <c r="Q88" s="8">
        <f ca="1">_xll.HLV5r3.Analytics.Miscellaneous.Zero2DF(_xll.HLV5r3.Analytics.Miscellaneous.LinearInterp(Peturbed_QZ,$K88,1,Q$1),ZeroCompFreq,'PDH Calc'!$K88/365)</f>
        <v>1</v>
      </c>
      <c r="R88" s="8">
        <f ca="1">_xll.HLV5r3.Analytics.Miscellaneous.Zero2DF(_xll.HLV5r3.Analytics.Miscellaneous.LinearInterp(Peturbed_QZ,$K88,1,R$1),ZeroCompFreq,'PDH Calc'!$K88/365)</f>
        <v>1</v>
      </c>
      <c r="S88" s="8">
        <f ca="1">_xll.HLV5r3.Analytics.Miscellaneous.Zero2DF(_xll.HLV5r3.Analytics.Miscellaneous.LinearInterp(Peturbed_QZ,$K88,1,S$1),ZeroCompFreq,'PDH Calc'!$K88/365)</f>
        <v>1</v>
      </c>
      <c r="T88" s="8">
        <f ca="1">_xll.HLV5r3.Analytics.Miscellaneous.Zero2DF(_xll.HLV5r3.Analytics.Miscellaneous.LinearInterp(Peturbed_QZ,$K88,1,T$1),ZeroCompFreq,'PDH Calc'!$K88/365)</f>
        <v>1</v>
      </c>
      <c r="U88" s="8">
        <f ca="1">_xll.HLV5r3.Analytics.Miscellaneous.Zero2DF(_xll.HLV5r3.Analytics.Miscellaneous.LinearInterp(Peturbed_QZ,$K88,1,U$1),ZeroCompFreq,'PDH Calc'!$K88/365)</f>
        <v>1</v>
      </c>
      <c r="V88" s="8">
        <f ca="1">_xll.HLV5r3.Analytics.Miscellaneous.Zero2DF(_xll.HLV5r3.Analytics.Miscellaneous.LinearInterp(Peturbed_QZ,$K88,1,V$1),ZeroCompFreq,'PDH Calc'!$K88/365)</f>
        <v>1</v>
      </c>
      <c r="W88" s="8">
        <f ca="1">_xll.HLV5r3.Analytics.Miscellaneous.Zero2DF(_xll.HLV5r3.Analytics.Miscellaneous.LinearInterp(Peturbed_QZ,$K88,1,W$1),ZeroCompFreq,'PDH Calc'!$K88/365)</f>
        <v>1</v>
      </c>
      <c r="X88" s="8">
        <f ca="1">_xll.HLV5r3.Analytics.Miscellaneous.Zero2DF(_xll.HLV5r3.Analytics.Miscellaneous.LinearInterp(Peturbed_QZ,$K88,1,X$1),ZeroCompFreq,'PDH Calc'!$K88/365)</f>
        <v>1</v>
      </c>
      <c r="Y88" s="8">
        <f ca="1">_xll.HLV5r3.Analytics.Miscellaneous.Zero2DF(_xll.HLV5r3.Analytics.Miscellaneous.LinearInterp(Peturbed_QZ,$K88,1,Y$1),ZeroCompFreq,'PDH Calc'!$K88/365)</f>
        <v>1</v>
      </c>
      <c r="Z88" s="8">
        <f ca="1">_xll.HLV5r3.Analytics.Miscellaneous.Zero2DF(_xll.HLV5r3.Analytics.Miscellaneous.LinearInterp(Peturbed_QZ,$K88,1,Z$1),ZeroCompFreq,'PDH Calc'!$K88/365)</f>
        <v>1</v>
      </c>
      <c r="AA88" s="8">
        <f ca="1">_xll.HLV5r3.Analytics.Miscellaneous.Zero2DF(_xll.HLV5r3.Analytics.Miscellaneous.LinearInterp(Peturbed_QZ,$K88,1,AA$1),ZeroCompFreq,'PDH Calc'!$K88/365)</f>
        <v>1</v>
      </c>
      <c r="AB88" s="8">
        <f ca="1">_xll.HLV5r3.Analytics.Miscellaneous.Zero2DF(_xll.HLV5r3.Analytics.Miscellaneous.LinearInterp(Peturbed_QZ,$K88,1,AB$1),ZeroCompFreq,'PDH Calc'!$K88/365)</f>
        <v>1</v>
      </c>
      <c r="AC88" s="8">
        <f ca="1">_xll.HLV5r3.Analytics.Miscellaneous.Zero2DF(_xll.HLV5r3.Analytics.Miscellaneous.LinearInterp(Peturbed_QZ,$K88,1,AC$1),ZeroCompFreq,'PDH Calc'!$K88/365)</f>
        <v>1</v>
      </c>
      <c r="AD88" s="8">
        <f ca="1">_xll.HLV5r3.Analytics.Miscellaneous.Zero2DF(_xll.HLV5r3.Analytics.Miscellaneous.LinearInterp(Peturbed_QZ,$K88,1,AD$1),ZeroCompFreq,'PDH Calc'!$K88/365)</f>
        <v>1</v>
      </c>
      <c r="AE88" s="8">
        <f ca="1">_xll.HLV5r3.Analytics.Miscellaneous.Zero2DF(_xll.HLV5r3.Analytics.Miscellaneous.LinearInterp(Peturbed_QZ,$K88,1,AE$1),ZeroCompFreq,'PDH Calc'!$K88/365)</f>
        <v>1</v>
      </c>
      <c r="AF88" s="8">
        <f ca="1">_xll.HLV5r3.Analytics.Miscellaneous.Zero2DF(_xll.HLV5r3.Analytics.Miscellaneous.LinearInterp(Peturbed_QZ,$K88,1,AF$1),ZeroCompFreq,'PDH Calc'!$K88/365)</f>
        <v>1</v>
      </c>
      <c r="AG88" s="8">
        <f ca="1">_xll.HLV5r3.Analytics.Miscellaneous.Zero2DF(_xll.HLV5r3.Analytics.Miscellaneous.LinearInterp(Peturbed_QZ,$K88,1,AG$1),ZeroCompFreq,'PDH Calc'!$K88/365)</f>
        <v>1</v>
      </c>
      <c r="AH88" s="8">
        <f ca="1">_xll.HLV5r3.Analytics.Miscellaneous.Zero2DF(_xll.HLV5r3.Analytics.Miscellaneous.LinearInterp(Peturbed_QZ,$K88,1,AH$1),ZeroCompFreq,'PDH Calc'!$K88/365)</f>
        <v>1</v>
      </c>
      <c r="AI88" s="8">
        <f ca="1">_xll.HLV5r3.Analytics.Miscellaneous.Zero2DF(_xll.HLV5r3.Analytics.Miscellaneous.LinearInterp(Peturbed_QZ,$K88,1,AI$1),ZeroCompFreq,'PDH Calc'!$K88/365)</f>
        <v>1</v>
      </c>
      <c r="AJ88" s="8">
        <f ca="1">_xll.HLV5r3.Analytics.Miscellaneous.Zero2DF(_xll.HLV5r3.Analytics.Miscellaneous.LinearInterp(Peturbed_QZ,$K88,1,AJ$1),ZeroCompFreq,'PDH Calc'!$K88/365)</f>
        <v>1</v>
      </c>
      <c r="AK88" s="8">
        <f ca="1">_xll.HLV5r3.Analytics.Miscellaneous.Zero2DF(_xll.HLV5r3.Analytics.Miscellaneous.LinearInterp(Peturbed_QZ,$K88,1,AK$1),ZeroCompFreq,'PDH Calc'!$K88/365)</f>
        <v>1</v>
      </c>
    </row>
    <row r="89" spans="1:37">
      <c r="A89" s="4"/>
      <c r="B89" s="6"/>
      <c r="F89" s="11"/>
      <c r="G89" s="6"/>
      <c r="H89" s="20"/>
      <c r="I89" s="21"/>
      <c r="J89" s="26"/>
      <c r="K89" s="6">
        <f t="shared" ca="1" si="7"/>
        <v>0</v>
      </c>
      <c r="L89" s="8">
        <f ca="1">_xll.HLV5r3.Analytics.Miscellaneous.Zero2DF(_xll.HLV5r3.Analytics.Miscellaneous.LinearInterp(Peturbed_QZ,$K89,1,L$1),ZeroCompFreq,'PDH Calc'!$K89/365)</f>
        <v>1</v>
      </c>
      <c r="M89" s="8">
        <f ca="1">_xll.HLV5r3.Analytics.Miscellaneous.Zero2DF(_xll.HLV5r3.Analytics.Miscellaneous.LinearInterp(Peturbed_QZ,$K89,1,M$1),ZeroCompFreq,'PDH Calc'!$K89/365)</f>
        <v>1</v>
      </c>
      <c r="N89" s="8">
        <f ca="1">_xll.HLV5r3.Analytics.Miscellaneous.Zero2DF(_xll.HLV5r3.Analytics.Miscellaneous.LinearInterp(Peturbed_QZ,$K89,1,N$1),ZeroCompFreq,'PDH Calc'!$K89/365)</f>
        <v>1</v>
      </c>
      <c r="O89" s="8">
        <f ca="1">_xll.HLV5r3.Analytics.Miscellaneous.Zero2DF(_xll.HLV5r3.Analytics.Miscellaneous.LinearInterp(Peturbed_QZ,$K89,1,O$1),ZeroCompFreq,'PDH Calc'!$K89/365)</f>
        <v>1</v>
      </c>
      <c r="P89" s="8">
        <f ca="1">_xll.HLV5r3.Analytics.Miscellaneous.Zero2DF(_xll.HLV5r3.Analytics.Miscellaneous.LinearInterp(Peturbed_QZ,$K89,1,P$1),ZeroCompFreq,'PDH Calc'!$K89/365)</f>
        <v>1</v>
      </c>
      <c r="Q89" s="8">
        <f ca="1">_xll.HLV5r3.Analytics.Miscellaneous.Zero2DF(_xll.HLV5r3.Analytics.Miscellaneous.LinearInterp(Peturbed_QZ,$K89,1,Q$1),ZeroCompFreq,'PDH Calc'!$K89/365)</f>
        <v>1</v>
      </c>
      <c r="R89" s="8">
        <f ca="1">_xll.HLV5r3.Analytics.Miscellaneous.Zero2DF(_xll.HLV5r3.Analytics.Miscellaneous.LinearInterp(Peturbed_QZ,$K89,1,R$1),ZeroCompFreq,'PDH Calc'!$K89/365)</f>
        <v>1</v>
      </c>
      <c r="S89" s="8">
        <f ca="1">_xll.HLV5r3.Analytics.Miscellaneous.Zero2DF(_xll.HLV5r3.Analytics.Miscellaneous.LinearInterp(Peturbed_QZ,$K89,1,S$1),ZeroCompFreq,'PDH Calc'!$K89/365)</f>
        <v>1</v>
      </c>
      <c r="T89" s="8">
        <f ca="1">_xll.HLV5r3.Analytics.Miscellaneous.Zero2DF(_xll.HLV5r3.Analytics.Miscellaneous.LinearInterp(Peturbed_QZ,$K89,1,T$1),ZeroCompFreq,'PDH Calc'!$K89/365)</f>
        <v>1</v>
      </c>
      <c r="U89" s="8">
        <f ca="1">_xll.HLV5r3.Analytics.Miscellaneous.Zero2DF(_xll.HLV5r3.Analytics.Miscellaneous.LinearInterp(Peturbed_QZ,$K89,1,U$1),ZeroCompFreq,'PDH Calc'!$K89/365)</f>
        <v>1</v>
      </c>
      <c r="V89" s="8">
        <f ca="1">_xll.HLV5r3.Analytics.Miscellaneous.Zero2DF(_xll.HLV5r3.Analytics.Miscellaneous.LinearInterp(Peturbed_QZ,$K89,1,V$1),ZeroCompFreq,'PDH Calc'!$K89/365)</f>
        <v>1</v>
      </c>
      <c r="W89" s="8">
        <f ca="1">_xll.HLV5r3.Analytics.Miscellaneous.Zero2DF(_xll.HLV5r3.Analytics.Miscellaneous.LinearInterp(Peturbed_QZ,$K89,1,W$1),ZeroCompFreq,'PDH Calc'!$K89/365)</f>
        <v>1</v>
      </c>
      <c r="X89" s="8">
        <f ca="1">_xll.HLV5r3.Analytics.Miscellaneous.Zero2DF(_xll.HLV5r3.Analytics.Miscellaneous.LinearInterp(Peturbed_QZ,$K89,1,X$1),ZeroCompFreq,'PDH Calc'!$K89/365)</f>
        <v>1</v>
      </c>
      <c r="Y89" s="8">
        <f ca="1">_xll.HLV5r3.Analytics.Miscellaneous.Zero2DF(_xll.HLV5r3.Analytics.Miscellaneous.LinearInterp(Peturbed_QZ,$K89,1,Y$1),ZeroCompFreq,'PDH Calc'!$K89/365)</f>
        <v>1</v>
      </c>
      <c r="Z89" s="8">
        <f ca="1">_xll.HLV5r3.Analytics.Miscellaneous.Zero2DF(_xll.HLV5r3.Analytics.Miscellaneous.LinearInterp(Peturbed_QZ,$K89,1,Z$1),ZeroCompFreq,'PDH Calc'!$K89/365)</f>
        <v>1</v>
      </c>
      <c r="AA89" s="8">
        <f ca="1">_xll.HLV5r3.Analytics.Miscellaneous.Zero2DF(_xll.HLV5r3.Analytics.Miscellaneous.LinearInterp(Peturbed_QZ,$K89,1,AA$1),ZeroCompFreq,'PDH Calc'!$K89/365)</f>
        <v>1</v>
      </c>
      <c r="AB89" s="8">
        <f ca="1">_xll.HLV5r3.Analytics.Miscellaneous.Zero2DF(_xll.HLV5r3.Analytics.Miscellaneous.LinearInterp(Peturbed_QZ,$K89,1,AB$1),ZeroCompFreq,'PDH Calc'!$K89/365)</f>
        <v>1</v>
      </c>
      <c r="AC89" s="8">
        <f ca="1">_xll.HLV5r3.Analytics.Miscellaneous.Zero2DF(_xll.HLV5r3.Analytics.Miscellaneous.LinearInterp(Peturbed_QZ,$K89,1,AC$1),ZeroCompFreq,'PDH Calc'!$K89/365)</f>
        <v>1</v>
      </c>
      <c r="AD89" s="8">
        <f ca="1">_xll.HLV5r3.Analytics.Miscellaneous.Zero2DF(_xll.HLV5r3.Analytics.Miscellaneous.LinearInterp(Peturbed_QZ,$K89,1,AD$1),ZeroCompFreq,'PDH Calc'!$K89/365)</f>
        <v>1</v>
      </c>
      <c r="AE89" s="8">
        <f ca="1">_xll.HLV5r3.Analytics.Miscellaneous.Zero2DF(_xll.HLV5r3.Analytics.Miscellaneous.LinearInterp(Peturbed_QZ,$K89,1,AE$1),ZeroCompFreq,'PDH Calc'!$K89/365)</f>
        <v>1</v>
      </c>
      <c r="AF89" s="8">
        <f ca="1">_xll.HLV5r3.Analytics.Miscellaneous.Zero2DF(_xll.HLV5r3.Analytics.Miscellaneous.LinearInterp(Peturbed_QZ,$K89,1,AF$1),ZeroCompFreq,'PDH Calc'!$K89/365)</f>
        <v>1</v>
      </c>
      <c r="AG89" s="8">
        <f ca="1">_xll.HLV5r3.Analytics.Miscellaneous.Zero2DF(_xll.HLV5r3.Analytics.Miscellaneous.LinearInterp(Peturbed_QZ,$K89,1,AG$1),ZeroCompFreq,'PDH Calc'!$K89/365)</f>
        <v>1</v>
      </c>
      <c r="AH89" s="8">
        <f ca="1">_xll.HLV5r3.Analytics.Miscellaneous.Zero2DF(_xll.HLV5r3.Analytics.Miscellaneous.LinearInterp(Peturbed_QZ,$K89,1,AH$1),ZeroCompFreq,'PDH Calc'!$K89/365)</f>
        <v>1</v>
      </c>
      <c r="AI89" s="8">
        <f ca="1">_xll.HLV5r3.Analytics.Miscellaneous.Zero2DF(_xll.HLV5r3.Analytics.Miscellaneous.LinearInterp(Peturbed_QZ,$K89,1,AI$1),ZeroCompFreq,'PDH Calc'!$K89/365)</f>
        <v>1</v>
      </c>
      <c r="AJ89" s="8">
        <f ca="1">_xll.HLV5r3.Analytics.Miscellaneous.Zero2DF(_xll.HLV5r3.Analytics.Miscellaneous.LinearInterp(Peturbed_QZ,$K89,1,AJ$1),ZeroCompFreq,'PDH Calc'!$K89/365)</f>
        <v>1</v>
      </c>
      <c r="AK89" s="8">
        <f ca="1">_xll.HLV5r3.Analytics.Miscellaneous.Zero2DF(_xll.HLV5r3.Analytics.Miscellaneous.LinearInterp(Peturbed_QZ,$K89,1,AK$1),ZeroCompFreq,'PDH Calc'!$K89/365)</f>
        <v>1</v>
      </c>
    </row>
    <row r="90" spans="1:37">
      <c r="A90" s="4"/>
      <c r="B90" s="6"/>
      <c r="F90" s="11"/>
      <c r="G90" s="6"/>
      <c r="H90" s="20"/>
      <c r="I90" s="21"/>
      <c r="J90" s="26"/>
      <c r="K90" s="6">
        <f t="shared" ca="1" si="7"/>
        <v>0</v>
      </c>
      <c r="L90" s="8">
        <f ca="1">_xll.HLV5r3.Analytics.Miscellaneous.Zero2DF(_xll.HLV5r3.Analytics.Miscellaneous.LinearInterp(Peturbed_QZ,$K90,1,L$1),ZeroCompFreq,'PDH Calc'!$K90/365)</f>
        <v>1</v>
      </c>
      <c r="M90" s="8">
        <f ca="1">_xll.HLV5r3.Analytics.Miscellaneous.Zero2DF(_xll.HLV5r3.Analytics.Miscellaneous.LinearInterp(Peturbed_QZ,$K90,1,M$1),ZeroCompFreq,'PDH Calc'!$K90/365)</f>
        <v>1</v>
      </c>
      <c r="N90" s="8">
        <f ca="1">_xll.HLV5r3.Analytics.Miscellaneous.Zero2DF(_xll.HLV5r3.Analytics.Miscellaneous.LinearInterp(Peturbed_QZ,$K90,1,N$1),ZeroCompFreq,'PDH Calc'!$K90/365)</f>
        <v>1</v>
      </c>
      <c r="O90" s="8">
        <f ca="1">_xll.HLV5r3.Analytics.Miscellaneous.Zero2DF(_xll.HLV5r3.Analytics.Miscellaneous.LinearInterp(Peturbed_QZ,$K90,1,O$1),ZeroCompFreq,'PDH Calc'!$K90/365)</f>
        <v>1</v>
      </c>
      <c r="P90" s="8">
        <f ca="1">_xll.HLV5r3.Analytics.Miscellaneous.Zero2DF(_xll.HLV5r3.Analytics.Miscellaneous.LinearInterp(Peturbed_QZ,$K90,1,P$1),ZeroCompFreq,'PDH Calc'!$K90/365)</f>
        <v>1</v>
      </c>
      <c r="Q90" s="8">
        <f ca="1">_xll.HLV5r3.Analytics.Miscellaneous.Zero2DF(_xll.HLV5r3.Analytics.Miscellaneous.LinearInterp(Peturbed_QZ,$K90,1,Q$1),ZeroCompFreq,'PDH Calc'!$K90/365)</f>
        <v>1</v>
      </c>
      <c r="R90" s="8">
        <f ca="1">_xll.HLV5r3.Analytics.Miscellaneous.Zero2DF(_xll.HLV5r3.Analytics.Miscellaneous.LinearInterp(Peturbed_QZ,$K90,1,R$1),ZeroCompFreq,'PDH Calc'!$K90/365)</f>
        <v>1</v>
      </c>
      <c r="S90" s="8">
        <f ca="1">_xll.HLV5r3.Analytics.Miscellaneous.Zero2DF(_xll.HLV5r3.Analytics.Miscellaneous.LinearInterp(Peturbed_QZ,$K90,1,S$1),ZeroCompFreq,'PDH Calc'!$K90/365)</f>
        <v>1</v>
      </c>
      <c r="T90" s="8">
        <f ca="1">_xll.HLV5r3.Analytics.Miscellaneous.Zero2DF(_xll.HLV5r3.Analytics.Miscellaneous.LinearInterp(Peturbed_QZ,$K90,1,T$1),ZeroCompFreq,'PDH Calc'!$K90/365)</f>
        <v>1</v>
      </c>
      <c r="U90" s="8">
        <f ca="1">_xll.HLV5r3.Analytics.Miscellaneous.Zero2DF(_xll.HLV5r3.Analytics.Miscellaneous.LinearInterp(Peturbed_QZ,$K90,1,U$1),ZeroCompFreq,'PDH Calc'!$K90/365)</f>
        <v>1</v>
      </c>
      <c r="V90" s="8">
        <f ca="1">_xll.HLV5r3.Analytics.Miscellaneous.Zero2DF(_xll.HLV5r3.Analytics.Miscellaneous.LinearInterp(Peturbed_QZ,$K90,1,V$1),ZeroCompFreq,'PDH Calc'!$K90/365)</f>
        <v>1</v>
      </c>
      <c r="W90" s="8">
        <f ca="1">_xll.HLV5r3.Analytics.Miscellaneous.Zero2DF(_xll.HLV5r3.Analytics.Miscellaneous.LinearInterp(Peturbed_QZ,$K90,1,W$1),ZeroCompFreq,'PDH Calc'!$K90/365)</f>
        <v>1</v>
      </c>
      <c r="X90" s="8">
        <f ca="1">_xll.HLV5r3.Analytics.Miscellaneous.Zero2DF(_xll.HLV5r3.Analytics.Miscellaneous.LinearInterp(Peturbed_QZ,$K90,1,X$1),ZeroCompFreq,'PDH Calc'!$K90/365)</f>
        <v>1</v>
      </c>
      <c r="Y90" s="8">
        <f ca="1">_xll.HLV5r3.Analytics.Miscellaneous.Zero2DF(_xll.HLV5r3.Analytics.Miscellaneous.LinearInterp(Peturbed_QZ,$K90,1,Y$1),ZeroCompFreq,'PDH Calc'!$K90/365)</f>
        <v>1</v>
      </c>
      <c r="Z90" s="8">
        <f ca="1">_xll.HLV5r3.Analytics.Miscellaneous.Zero2DF(_xll.HLV5r3.Analytics.Miscellaneous.LinearInterp(Peturbed_QZ,$K90,1,Z$1),ZeroCompFreq,'PDH Calc'!$K90/365)</f>
        <v>1</v>
      </c>
      <c r="AA90" s="8">
        <f ca="1">_xll.HLV5r3.Analytics.Miscellaneous.Zero2DF(_xll.HLV5r3.Analytics.Miscellaneous.LinearInterp(Peturbed_QZ,$K90,1,AA$1),ZeroCompFreq,'PDH Calc'!$K90/365)</f>
        <v>1</v>
      </c>
      <c r="AB90" s="8">
        <f ca="1">_xll.HLV5r3.Analytics.Miscellaneous.Zero2DF(_xll.HLV5r3.Analytics.Miscellaneous.LinearInterp(Peturbed_QZ,$K90,1,AB$1),ZeroCompFreq,'PDH Calc'!$K90/365)</f>
        <v>1</v>
      </c>
      <c r="AC90" s="8">
        <f ca="1">_xll.HLV5r3.Analytics.Miscellaneous.Zero2DF(_xll.HLV5r3.Analytics.Miscellaneous.LinearInterp(Peturbed_QZ,$K90,1,AC$1),ZeroCompFreq,'PDH Calc'!$K90/365)</f>
        <v>1</v>
      </c>
      <c r="AD90" s="8">
        <f ca="1">_xll.HLV5r3.Analytics.Miscellaneous.Zero2DF(_xll.HLV5r3.Analytics.Miscellaneous.LinearInterp(Peturbed_QZ,$K90,1,AD$1),ZeroCompFreq,'PDH Calc'!$K90/365)</f>
        <v>1</v>
      </c>
      <c r="AE90" s="8">
        <f ca="1">_xll.HLV5r3.Analytics.Miscellaneous.Zero2DF(_xll.HLV5r3.Analytics.Miscellaneous.LinearInterp(Peturbed_QZ,$K90,1,AE$1),ZeroCompFreq,'PDH Calc'!$K90/365)</f>
        <v>1</v>
      </c>
      <c r="AF90" s="8">
        <f ca="1">_xll.HLV5r3.Analytics.Miscellaneous.Zero2DF(_xll.HLV5r3.Analytics.Miscellaneous.LinearInterp(Peturbed_QZ,$K90,1,AF$1),ZeroCompFreq,'PDH Calc'!$K90/365)</f>
        <v>1</v>
      </c>
      <c r="AG90" s="8">
        <f ca="1">_xll.HLV5r3.Analytics.Miscellaneous.Zero2DF(_xll.HLV5r3.Analytics.Miscellaneous.LinearInterp(Peturbed_QZ,$K90,1,AG$1),ZeroCompFreq,'PDH Calc'!$K90/365)</f>
        <v>1</v>
      </c>
      <c r="AH90" s="8">
        <f ca="1">_xll.HLV5r3.Analytics.Miscellaneous.Zero2DF(_xll.HLV5r3.Analytics.Miscellaneous.LinearInterp(Peturbed_QZ,$K90,1,AH$1),ZeroCompFreq,'PDH Calc'!$K90/365)</f>
        <v>1</v>
      </c>
      <c r="AI90" s="8">
        <f ca="1">_xll.HLV5r3.Analytics.Miscellaneous.Zero2DF(_xll.HLV5r3.Analytics.Miscellaneous.LinearInterp(Peturbed_QZ,$K90,1,AI$1),ZeroCompFreq,'PDH Calc'!$K90/365)</f>
        <v>1</v>
      </c>
      <c r="AJ90" s="8">
        <f ca="1">_xll.HLV5r3.Analytics.Miscellaneous.Zero2DF(_xll.HLV5r3.Analytics.Miscellaneous.LinearInterp(Peturbed_QZ,$K90,1,AJ$1),ZeroCompFreq,'PDH Calc'!$K90/365)</f>
        <v>1</v>
      </c>
      <c r="AK90" s="8">
        <f ca="1">_xll.HLV5r3.Analytics.Miscellaneous.Zero2DF(_xll.HLV5r3.Analytics.Miscellaneous.LinearInterp(Peturbed_QZ,$K90,1,AK$1),ZeroCompFreq,'PDH Calc'!$K90/365)</f>
        <v>1</v>
      </c>
    </row>
    <row r="91" spans="1:37">
      <c r="A91" s="4"/>
      <c r="B91" s="6"/>
      <c r="F91" s="11"/>
      <c r="G91" s="6"/>
      <c r="H91" s="20"/>
      <c r="I91" s="21"/>
      <c r="J91" s="26"/>
      <c r="K91" s="6">
        <f t="shared" ca="1" si="7"/>
        <v>0</v>
      </c>
      <c r="L91" s="8">
        <f ca="1">_xll.HLV5r3.Analytics.Miscellaneous.Zero2DF(_xll.HLV5r3.Analytics.Miscellaneous.LinearInterp(Peturbed_QZ,$K91,1,L$1),ZeroCompFreq,'PDH Calc'!$K91/365)</f>
        <v>1</v>
      </c>
      <c r="M91" s="8">
        <f ca="1">_xll.HLV5r3.Analytics.Miscellaneous.Zero2DF(_xll.HLV5r3.Analytics.Miscellaneous.LinearInterp(Peturbed_QZ,$K91,1,M$1),ZeroCompFreq,'PDH Calc'!$K91/365)</f>
        <v>1</v>
      </c>
      <c r="N91" s="8">
        <f ca="1">_xll.HLV5r3.Analytics.Miscellaneous.Zero2DF(_xll.HLV5r3.Analytics.Miscellaneous.LinearInterp(Peturbed_QZ,$K91,1,N$1),ZeroCompFreq,'PDH Calc'!$K91/365)</f>
        <v>1</v>
      </c>
      <c r="O91" s="8">
        <f ca="1">_xll.HLV5r3.Analytics.Miscellaneous.Zero2DF(_xll.HLV5r3.Analytics.Miscellaneous.LinearInterp(Peturbed_QZ,$K91,1,O$1),ZeroCompFreq,'PDH Calc'!$K91/365)</f>
        <v>1</v>
      </c>
      <c r="P91" s="8">
        <f ca="1">_xll.HLV5r3.Analytics.Miscellaneous.Zero2DF(_xll.HLV5r3.Analytics.Miscellaneous.LinearInterp(Peturbed_QZ,$K91,1,P$1),ZeroCompFreq,'PDH Calc'!$K91/365)</f>
        <v>1</v>
      </c>
      <c r="Q91" s="8">
        <f ca="1">_xll.HLV5r3.Analytics.Miscellaneous.Zero2DF(_xll.HLV5r3.Analytics.Miscellaneous.LinearInterp(Peturbed_QZ,$K91,1,Q$1),ZeroCompFreq,'PDH Calc'!$K91/365)</f>
        <v>1</v>
      </c>
      <c r="R91" s="8">
        <f ca="1">_xll.HLV5r3.Analytics.Miscellaneous.Zero2DF(_xll.HLV5r3.Analytics.Miscellaneous.LinearInterp(Peturbed_QZ,$K91,1,R$1),ZeroCompFreq,'PDH Calc'!$K91/365)</f>
        <v>1</v>
      </c>
      <c r="S91" s="8">
        <f ca="1">_xll.HLV5r3.Analytics.Miscellaneous.Zero2DF(_xll.HLV5r3.Analytics.Miscellaneous.LinearInterp(Peturbed_QZ,$K91,1,S$1),ZeroCompFreq,'PDH Calc'!$K91/365)</f>
        <v>1</v>
      </c>
      <c r="T91" s="8">
        <f ca="1">_xll.HLV5r3.Analytics.Miscellaneous.Zero2DF(_xll.HLV5r3.Analytics.Miscellaneous.LinearInterp(Peturbed_QZ,$K91,1,T$1),ZeroCompFreq,'PDH Calc'!$K91/365)</f>
        <v>1</v>
      </c>
      <c r="U91" s="8">
        <f ca="1">_xll.HLV5r3.Analytics.Miscellaneous.Zero2DF(_xll.HLV5r3.Analytics.Miscellaneous.LinearInterp(Peturbed_QZ,$K91,1,U$1),ZeroCompFreq,'PDH Calc'!$K91/365)</f>
        <v>1</v>
      </c>
      <c r="V91" s="8">
        <f ca="1">_xll.HLV5r3.Analytics.Miscellaneous.Zero2DF(_xll.HLV5r3.Analytics.Miscellaneous.LinearInterp(Peturbed_QZ,$K91,1,V$1),ZeroCompFreq,'PDH Calc'!$K91/365)</f>
        <v>1</v>
      </c>
      <c r="W91" s="8">
        <f ca="1">_xll.HLV5r3.Analytics.Miscellaneous.Zero2DF(_xll.HLV5r3.Analytics.Miscellaneous.LinearInterp(Peturbed_QZ,$K91,1,W$1),ZeroCompFreq,'PDH Calc'!$K91/365)</f>
        <v>1</v>
      </c>
      <c r="X91" s="8">
        <f ca="1">_xll.HLV5r3.Analytics.Miscellaneous.Zero2DF(_xll.HLV5r3.Analytics.Miscellaneous.LinearInterp(Peturbed_QZ,$K91,1,X$1),ZeroCompFreq,'PDH Calc'!$K91/365)</f>
        <v>1</v>
      </c>
      <c r="Y91" s="8">
        <f ca="1">_xll.HLV5r3.Analytics.Miscellaneous.Zero2DF(_xll.HLV5r3.Analytics.Miscellaneous.LinearInterp(Peturbed_QZ,$K91,1,Y$1),ZeroCompFreq,'PDH Calc'!$K91/365)</f>
        <v>1</v>
      </c>
      <c r="Z91" s="8">
        <f ca="1">_xll.HLV5r3.Analytics.Miscellaneous.Zero2DF(_xll.HLV5r3.Analytics.Miscellaneous.LinearInterp(Peturbed_QZ,$K91,1,Z$1),ZeroCompFreq,'PDH Calc'!$K91/365)</f>
        <v>1</v>
      </c>
      <c r="AA91" s="8">
        <f ca="1">_xll.HLV5r3.Analytics.Miscellaneous.Zero2DF(_xll.HLV5r3.Analytics.Miscellaneous.LinearInterp(Peturbed_QZ,$K91,1,AA$1),ZeroCompFreq,'PDH Calc'!$K91/365)</f>
        <v>1</v>
      </c>
      <c r="AB91" s="8">
        <f ca="1">_xll.HLV5r3.Analytics.Miscellaneous.Zero2DF(_xll.HLV5r3.Analytics.Miscellaneous.LinearInterp(Peturbed_QZ,$K91,1,AB$1),ZeroCompFreq,'PDH Calc'!$K91/365)</f>
        <v>1</v>
      </c>
      <c r="AC91" s="8">
        <f ca="1">_xll.HLV5r3.Analytics.Miscellaneous.Zero2DF(_xll.HLV5r3.Analytics.Miscellaneous.LinearInterp(Peturbed_QZ,$K91,1,AC$1),ZeroCompFreq,'PDH Calc'!$K91/365)</f>
        <v>1</v>
      </c>
      <c r="AD91" s="8">
        <f ca="1">_xll.HLV5r3.Analytics.Miscellaneous.Zero2DF(_xll.HLV5r3.Analytics.Miscellaneous.LinearInterp(Peturbed_QZ,$K91,1,AD$1),ZeroCompFreq,'PDH Calc'!$K91/365)</f>
        <v>1</v>
      </c>
      <c r="AE91" s="8">
        <f ca="1">_xll.HLV5r3.Analytics.Miscellaneous.Zero2DF(_xll.HLV5r3.Analytics.Miscellaneous.LinearInterp(Peturbed_QZ,$K91,1,AE$1),ZeroCompFreq,'PDH Calc'!$K91/365)</f>
        <v>1</v>
      </c>
      <c r="AF91" s="8">
        <f ca="1">_xll.HLV5r3.Analytics.Miscellaneous.Zero2DF(_xll.HLV5r3.Analytics.Miscellaneous.LinearInterp(Peturbed_QZ,$K91,1,AF$1),ZeroCompFreq,'PDH Calc'!$K91/365)</f>
        <v>1</v>
      </c>
      <c r="AG91" s="8">
        <f ca="1">_xll.HLV5r3.Analytics.Miscellaneous.Zero2DF(_xll.HLV5r3.Analytics.Miscellaneous.LinearInterp(Peturbed_QZ,$K91,1,AG$1),ZeroCompFreq,'PDH Calc'!$K91/365)</f>
        <v>1</v>
      </c>
      <c r="AH91" s="8">
        <f ca="1">_xll.HLV5r3.Analytics.Miscellaneous.Zero2DF(_xll.HLV5r3.Analytics.Miscellaneous.LinearInterp(Peturbed_QZ,$K91,1,AH$1),ZeroCompFreq,'PDH Calc'!$K91/365)</f>
        <v>1</v>
      </c>
      <c r="AI91" s="8">
        <f ca="1">_xll.HLV5r3.Analytics.Miscellaneous.Zero2DF(_xll.HLV5r3.Analytics.Miscellaneous.LinearInterp(Peturbed_QZ,$K91,1,AI$1),ZeroCompFreq,'PDH Calc'!$K91/365)</f>
        <v>1</v>
      </c>
      <c r="AJ91" s="8">
        <f ca="1">_xll.HLV5r3.Analytics.Miscellaneous.Zero2DF(_xll.HLV5r3.Analytics.Miscellaneous.LinearInterp(Peturbed_QZ,$K91,1,AJ$1),ZeroCompFreq,'PDH Calc'!$K91/365)</f>
        <v>1</v>
      </c>
      <c r="AK91" s="8">
        <f ca="1">_xll.HLV5r3.Analytics.Miscellaneous.Zero2DF(_xll.HLV5r3.Analytics.Miscellaneous.LinearInterp(Peturbed_QZ,$K91,1,AK$1),ZeroCompFreq,'PDH Calc'!$K91/365)</f>
        <v>1</v>
      </c>
    </row>
    <row r="92" spans="1:37">
      <c r="A92" s="4"/>
      <c r="B92" s="6"/>
      <c r="F92" s="11"/>
      <c r="G92" s="6"/>
      <c r="H92" s="20"/>
      <c r="I92" s="21"/>
      <c r="J92" s="26"/>
      <c r="K92" s="6">
        <f t="shared" ca="1" si="7"/>
        <v>0</v>
      </c>
      <c r="L92" s="8">
        <f ca="1">_xll.HLV5r3.Analytics.Miscellaneous.Zero2DF(_xll.HLV5r3.Analytics.Miscellaneous.LinearInterp(Peturbed_QZ,$K92,1,L$1),ZeroCompFreq,'PDH Calc'!$K92/365)</f>
        <v>1</v>
      </c>
      <c r="M92" s="8">
        <f ca="1">_xll.HLV5r3.Analytics.Miscellaneous.Zero2DF(_xll.HLV5r3.Analytics.Miscellaneous.LinearInterp(Peturbed_QZ,$K92,1,M$1),ZeroCompFreq,'PDH Calc'!$K92/365)</f>
        <v>1</v>
      </c>
      <c r="N92" s="8">
        <f ca="1">_xll.HLV5r3.Analytics.Miscellaneous.Zero2DF(_xll.HLV5r3.Analytics.Miscellaneous.LinearInterp(Peturbed_QZ,$K92,1,N$1),ZeroCompFreq,'PDH Calc'!$K92/365)</f>
        <v>1</v>
      </c>
      <c r="O92" s="8">
        <f ca="1">_xll.HLV5r3.Analytics.Miscellaneous.Zero2DF(_xll.HLV5r3.Analytics.Miscellaneous.LinearInterp(Peturbed_QZ,$K92,1,O$1),ZeroCompFreq,'PDH Calc'!$K92/365)</f>
        <v>1</v>
      </c>
      <c r="P92" s="8">
        <f ca="1">_xll.HLV5r3.Analytics.Miscellaneous.Zero2DF(_xll.HLV5r3.Analytics.Miscellaneous.LinearInterp(Peturbed_QZ,$K92,1,P$1),ZeroCompFreq,'PDH Calc'!$K92/365)</f>
        <v>1</v>
      </c>
      <c r="Q92" s="8">
        <f ca="1">_xll.HLV5r3.Analytics.Miscellaneous.Zero2DF(_xll.HLV5r3.Analytics.Miscellaneous.LinearInterp(Peturbed_QZ,$K92,1,Q$1),ZeroCompFreq,'PDH Calc'!$K92/365)</f>
        <v>1</v>
      </c>
      <c r="R92" s="8">
        <f ca="1">_xll.HLV5r3.Analytics.Miscellaneous.Zero2DF(_xll.HLV5r3.Analytics.Miscellaneous.LinearInterp(Peturbed_QZ,$K92,1,R$1),ZeroCompFreq,'PDH Calc'!$K92/365)</f>
        <v>1</v>
      </c>
      <c r="S92" s="8">
        <f ca="1">_xll.HLV5r3.Analytics.Miscellaneous.Zero2DF(_xll.HLV5r3.Analytics.Miscellaneous.LinearInterp(Peturbed_QZ,$K92,1,S$1),ZeroCompFreq,'PDH Calc'!$K92/365)</f>
        <v>1</v>
      </c>
      <c r="T92" s="8">
        <f ca="1">_xll.HLV5r3.Analytics.Miscellaneous.Zero2DF(_xll.HLV5r3.Analytics.Miscellaneous.LinearInterp(Peturbed_QZ,$K92,1,T$1),ZeroCompFreq,'PDH Calc'!$K92/365)</f>
        <v>1</v>
      </c>
      <c r="U92" s="8">
        <f ca="1">_xll.HLV5r3.Analytics.Miscellaneous.Zero2DF(_xll.HLV5r3.Analytics.Miscellaneous.LinearInterp(Peturbed_QZ,$K92,1,U$1),ZeroCompFreq,'PDH Calc'!$K92/365)</f>
        <v>1</v>
      </c>
      <c r="V92" s="8">
        <f ca="1">_xll.HLV5r3.Analytics.Miscellaneous.Zero2DF(_xll.HLV5r3.Analytics.Miscellaneous.LinearInterp(Peturbed_QZ,$K92,1,V$1),ZeroCompFreq,'PDH Calc'!$K92/365)</f>
        <v>1</v>
      </c>
      <c r="W92" s="8">
        <f ca="1">_xll.HLV5r3.Analytics.Miscellaneous.Zero2DF(_xll.HLV5r3.Analytics.Miscellaneous.LinearInterp(Peturbed_QZ,$K92,1,W$1),ZeroCompFreq,'PDH Calc'!$K92/365)</f>
        <v>1</v>
      </c>
      <c r="X92" s="8">
        <f ca="1">_xll.HLV5r3.Analytics.Miscellaneous.Zero2DF(_xll.HLV5r3.Analytics.Miscellaneous.LinearInterp(Peturbed_QZ,$K92,1,X$1),ZeroCompFreq,'PDH Calc'!$K92/365)</f>
        <v>1</v>
      </c>
      <c r="Y92" s="8">
        <f ca="1">_xll.HLV5r3.Analytics.Miscellaneous.Zero2DF(_xll.HLV5r3.Analytics.Miscellaneous.LinearInterp(Peturbed_QZ,$K92,1,Y$1),ZeroCompFreq,'PDH Calc'!$K92/365)</f>
        <v>1</v>
      </c>
      <c r="Z92" s="8">
        <f ca="1">_xll.HLV5r3.Analytics.Miscellaneous.Zero2DF(_xll.HLV5r3.Analytics.Miscellaneous.LinearInterp(Peturbed_QZ,$K92,1,Z$1),ZeroCompFreq,'PDH Calc'!$K92/365)</f>
        <v>1</v>
      </c>
      <c r="AA92" s="8">
        <f ca="1">_xll.HLV5r3.Analytics.Miscellaneous.Zero2DF(_xll.HLV5r3.Analytics.Miscellaneous.LinearInterp(Peturbed_QZ,$K92,1,AA$1),ZeroCompFreq,'PDH Calc'!$K92/365)</f>
        <v>1</v>
      </c>
      <c r="AB92" s="8">
        <f ca="1">_xll.HLV5r3.Analytics.Miscellaneous.Zero2DF(_xll.HLV5r3.Analytics.Miscellaneous.LinearInterp(Peturbed_QZ,$K92,1,AB$1),ZeroCompFreq,'PDH Calc'!$K92/365)</f>
        <v>1</v>
      </c>
      <c r="AC92" s="8">
        <f ca="1">_xll.HLV5r3.Analytics.Miscellaneous.Zero2DF(_xll.HLV5r3.Analytics.Miscellaneous.LinearInterp(Peturbed_QZ,$K92,1,AC$1),ZeroCompFreq,'PDH Calc'!$K92/365)</f>
        <v>1</v>
      </c>
      <c r="AD92" s="8">
        <f ca="1">_xll.HLV5r3.Analytics.Miscellaneous.Zero2DF(_xll.HLV5r3.Analytics.Miscellaneous.LinearInterp(Peturbed_QZ,$K92,1,AD$1),ZeroCompFreq,'PDH Calc'!$K92/365)</f>
        <v>1</v>
      </c>
      <c r="AE92" s="8">
        <f ca="1">_xll.HLV5r3.Analytics.Miscellaneous.Zero2DF(_xll.HLV5r3.Analytics.Miscellaneous.LinearInterp(Peturbed_QZ,$K92,1,AE$1),ZeroCompFreq,'PDH Calc'!$K92/365)</f>
        <v>1</v>
      </c>
      <c r="AF92" s="8">
        <f ca="1">_xll.HLV5r3.Analytics.Miscellaneous.Zero2DF(_xll.HLV5r3.Analytics.Miscellaneous.LinearInterp(Peturbed_QZ,$K92,1,AF$1),ZeroCompFreq,'PDH Calc'!$K92/365)</f>
        <v>1</v>
      </c>
      <c r="AG92" s="8">
        <f ca="1">_xll.HLV5r3.Analytics.Miscellaneous.Zero2DF(_xll.HLV5r3.Analytics.Miscellaneous.LinearInterp(Peturbed_QZ,$K92,1,AG$1),ZeroCompFreq,'PDH Calc'!$K92/365)</f>
        <v>1</v>
      </c>
      <c r="AH92" s="8">
        <f ca="1">_xll.HLV5r3.Analytics.Miscellaneous.Zero2DF(_xll.HLV5r3.Analytics.Miscellaneous.LinearInterp(Peturbed_QZ,$K92,1,AH$1),ZeroCompFreq,'PDH Calc'!$K92/365)</f>
        <v>1</v>
      </c>
      <c r="AI92" s="8">
        <f ca="1">_xll.HLV5r3.Analytics.Miscellaneous.Zero2DF(_xll.HLV5r3.Analytics.Miscellaneous.LinearInterp(Peturbed_QZ,$K92,1,AI$1),ZeroCompFreq,'PDH Calc'!$K92/365)</f>
        <v>1</v>
      </c>
      <c r="AJ92" s="8">
        <f ca="1">_xll.HLV5r3.Analytics.Miscellaneous.Zero2DF(_xll.HLV5r3.Analytics.Miscellaneous.LinearInterp(Peturbed_QZ,$K92,1,AJ$1),ZeroCompFreq,'PDH Calc'!$K92/365)</f>
        <v>1</v>
      </c>
      <c r="AK92" s="8">
        <f ca="1">_xll.HLV5r3.Analytics.Miscellaneous.Zero2DF(_xll.HLV5r3.Analytics.Miscellaneous.LinearInterp(Peturbed_QZ,$K92,1,AK$1),ZeroCompFreq,'PDH Calc'!$K92/365)</f>
        <v>1</v>
      </c>
    </row>
    <row r="93" spans="1:37">
      <c r="A93" s="4"/>
      <c r="B93" s="6"/>
      <c r="F93" s="11"/>
      <c r="G93" s="6"/>
      <c r="H93" s="20"/>
      <c r="I93" s="21"/>
      <c r="J93" s="26"/>
      <c r="K93" s="6">
        <f t="shared" ca="1" si="7"/>
        <v>0</v>
      </c>
      <c r="L93" s="8">
        <f ca="1">_xll.HLV5r3.Analytics.Miscellaneous.Zero2DF(_xll.HLV5r3.Analytics.Miscellaneous.LinearInterp(Peturbed_QZ,$K93,1,L$1),ZeroCompFreq,'PDH Calc'!$K93/365)</f>
        <v>1</v>
      </c>
      <c r="M93" s="8">
        <f ca="1">_xll.HLV5r3.Analytics.Miscellaneous.Zero2DF(_xll.HLV5r3.Analytics.Miscellaneous.LinearInterp(Peturbed_QZ,$K93,1,M$1),ZeroCompFreq,'PDH Calc'!$K93/365)</f>
        <v>1</v>
      </c>
      <c r="N93" s="8">
        <f ca="1">_xll.HLV5r3.Analytics.Miscellaneous.Zero2DF(_xll.HLV5r3.Analytics.Miscellaneous.LinearInterp(Peturbed_QZ,$K93,1,N$1),ZeroCompFreq,'PDH Calc'!$K93/365)</f>
        <v>1</v>
      </c>
      <c r="O93" s="8">
        <f ca="1">_xll.HLV5r3.Analytics.Miscellaneous.Zero2DF(_xll.HLV5r3.Analytics.Miscellaneous.LinearInterp(Peturbed_QZ,$K93,1,O$1),ZeroCompFreq,'PDH Calc'!$K93/365)</f>
        <v>1</v>
      </c>
      <c r="P93" s="8">
        <f ca="1">_xll.HLV5r3.Analytics.Miscellaneous.Zero2DF(_xll.HLV5r3.Analytics.Miscellaneous.LinearInterp(Peturbed_QZ,$K93,1,P$1),ZeroCompFreq,'PDH Calc'!$K93/365)</f>
        <v>1</v>
      </c>
      <c r="Q93" s="8">
        <f ca="1">_xll.HLV5r3.Analytics.Miscellaneous.Zero2DF(_xll.HLV5r3.Analytics.Miscellaneous.LinearInterp(Peturbed_QZ,$K93,1,Q$1),ZeroCompFreq,'PDH Calc'!$K93/365)</f>
        <v>1</v>
      </c>
      <c r="R93" s="8">
        <f ca="1">_xll.HLV5r3.Analytics.Miscellaneous.Zero2DF(_xll.HLV5r3.Analytics.Miscellaneous.LinearInterp(Peturbed_QZ,$K93,1,R$1),ZeroCompFreq,'PDH Calc'!$K93/365)</f>
        <v>1</v>
      </c>
      <c r="S93" s="8">
        <f ca="1">_xll.HLV5r3.Analytics.Miscellaneous.Zero2DF(_xll.HLV5r3.Analytics.Miscellaneous.LinearInterp(Peturbed_QZ,$K93,1,S$1),ZeroCompFreq,'PDH Calc'!$K93/365)</f>
        <v>1</v>
      </c>
      <c r="T93" s="8">
        <f ca="1">_xll.HLV5r3.Analytics.Miscellaneous.Zero2DF(_xll.HLV5r3.Analytics.Miscellaneous.LinearInterp(Peturbed_QZ,$K93,1,T$1),ZeroCompFreq,'PDH Calc'!$K93/365)</f>
        <v>1</v>
      </c>
      <c r="U93" s="8">
        <f ca="1">_xll.HLV5r3.Analytics.Miscellaneous.Zero2DF(_xll.HLV5r3.Analytics.Miscellaneous.LinearInterp(Peturbed_QZ,$K93,1,U$1),ZeroCompFreq,'PDH Calc'!$K93/365)</f>
        <v>1</v>
      </c>
      <c r="V93" s="8">
        <f ca="1">_xll.HLV5r3.Analytics.Miscellaneous.Zero2DF(_xll.HLV5r3.Analytics.Miscellaneous.LinearInterp(Peturbed_QZ,$K93,1,V$1),ZeroCompFreq,'PDH Calc'!$K93/365)</f>
        <v>1</v>
      </c>
      <c r="W93" s="8">
        <f ca="1">_xll.HLV5r3.Analytics.Miscellaneous.Zero2DF(_xll.HLV5r3.Analytics.Miscellaneous.LinearInterp(Peturbed_QZ,$K93,1,W$1),ZeroCompFreq,'PDH Calc'!$K93/365)</f>
        <v>1</v>
      </c>
      <c r="X93" s="8">
        <f ca="1">_xll.HLV5r3.Analytics.Miscellaneous.Zero2DF(_xll.HLV5r3.Analytics.Miscellaneous.LinearInterp(Peturbed_QZ,$K93,1,X$1),ZeroCompFreq,'PDH Calc'!$K93/365)</f>
        <v>1</v>
      </c>
      <c r="Y93" s="8">
        <f ca="1">_xll.HLV5r3.Analytics.Miscellaneous.Zero2DF(_xll.HLV5r3.Analytics.Miscellaneous.LinearInterp(Peturbed_QZ,$K93,1,Y$1),ZeroCompFreq,'PDH Calc'!$K93/365)</f>
        <v>1</v>
      </c>
      <c r="Z93" s="8">
        <f ca="1">_xll.HLV5r3.Analytics.Miscellaneous.Zero2DF(_xll.HLV5r3.Analytics.Miscellaneous.LinearInterp(Peturbed_QZ,$K93,1,Z$1),ZeroCompFreq,'PDH Calc'!$K93/365)</f>
        <v>1</v>
      </c>
      <c r="AA93" s="8">
        <f ca="1">_xll.HLV5r3.Analytics.Miscellaneous.Zero2DF(_xll.HLV5r3.Analytics.Miscellaneous.LinearInterp(Peturbed_QZ,$K93,1,AA$1),ZeroCompFreq,'PDH Calc'!$K93/365)</f>
        <v>1</v>
      </c>
      <c r="AB93" s="8">
        <f ca="1">_xll.HLV5r3.Analytics.Miscellaneous.Zero2DF(_xll.HLV5r3.Analytics.Miscellaneous.LinearInterp(Peturbed_QZ,$K93,1,AB$1),ZeroCompFreq,'PDH Calc'!$K93/365)</f>
        <v>1</v>
      </c>
      <c r="AC93" s="8">
        <f ca="1">_xll.HLV5r3.Analytics.Miscellaneous.Zero2DF(_xll.HLV5r3.Analytics.Miscellaneous.LinearInterp(Peturbed_QZ,$K93,1,AC$1),ZeroCompFreq,'PDH Calc'!$K93/365)</f>
        <v>1</v>
      </c>
      <c r="AD93" s="8">
        <f ca="1">_xll.HLV5r3.Analytics.Miscellaneous.Zero2DF(_xll.HLV5r3.Analytics.Miscellaneous.LinearInterp(Peturbed_QZ,$K93,1,AD$1),ZeroCompFreq,'PDH Calc'!$K93/365)</f>
        <v>1</v>
      </c>
      <c r="AE93" s="8">
        <f ca="1">_xll.HLV5r3.Analytics.Miscellaneous.Zero2DF(_xll.HLV5r3.Analytics.Miscellaneous.LinearInterp(Peturbed_QZ,$K93,1,AE$1),ZeroCompFreq,'PDH Calc'!$K93/365)</f>
        <v>1</v>
      </c>
      <c r="AF93" s="8">
        <f ca="1">_xll.HLV5r3.Analytics.Miscellaneous.Zero2DF(_xll.HLV5r3.Analytics.Miscellaneous.LinearInterp(Peturbed_QZ,$K93,1,AF$1),ZeroCompFreq,'PDH Calc'!$K93/365)</f>
        <v>1</v>
      </c>
      <c r="AG93" s="8">
        <f ca="1">_xll.HLV5r3.Analytics.Miscellaneous.Zero2DF(_xll.HLV5r3.Analytics.Miscellaneous.LinearInterp(Peturbed_QZ,$K93,1,AG$1),ZeroCompFreq,'PDH Calc'!$K93/365)</f>
        <v>1</v>
      </c>
      <c r="AH93" s="8">
        <f ca="1">_xll.HLV5r3.Analytics.Miscellaneous.Zero2DF(_xll.HLV5r3.Analytics.Miscellaneous.LinearInterp(Peturbed_QZ,$K93,1,AH$1),ZeroCompFreq,'PDH Calc'!$K93/365)</f>
        <v>1</v>
      </c>
      <c r="AI93" s="8">
        <f ca="1">_xll.HLV5r3.Analytics.Miscellaneous.Zero2DF(_xll.HLV5r3.Analytics.Miscellaneous.LinearInterp(Peturbed_QZ,$K93,1,AI$1),ZeroCompFreq,'PDH Calc'!$K93/365)</f>
        <v>1</v>
      </c>
      <c r="AJ93" s="8">
        <f ca="1">_xll.HLV5r3.Analytics.Miscellaneous.Zero2DF(_xll.HLV5r3.Analytics.Miscellaneous.LinearInterp(Peturbed_QZ,$K93,1,AJ$1),ZeroCompFreq,'PDH Calc'!$K93/365)</f>
        <v>1</v>
      </c>
      <c r="AK93" s="8">
        <f ca="1">_xll.HLV5r3.Analytics.Miscellaneous.Zero2DF(_xll.HLV5r3.Analytics.Miscellaneous.LinearInterp(Peturbed_QZ,$K93,1,AK$1),ZeroCompFreq,'PDH Calc'!$K93/365)</f>
        <v>1</v>
      </c>
    </row>
    <row r="94" spans="1:37">
      <c r="A94" s="4"/>
      <c r="B94" s="6"/>
      <c r="F94" s="11"/>
      <c r="G94" s="6"/>
      <c r="H94" s="20"/>
      <c r="I94" s="21"/>
      <c r="J94" s="26"/>
      <c r="K94" s="6">
        <f t="shared" ca="1" si="7"/>
        <v>0</v>
      </c>
      <c r="L94" s="8">
        <f ca="1">_xll.HLV5r3.Analytics.Miscellaneous.Zero2DF(_xll.HLV5r3.Analytics.Miscellaneous.LinearInterp(Peturbed_QZ,$K94,1,L$1),ZeroCompFreq,'PDH Calc'!$K94/365)</f>
        <v>1</v>
      </c>
      <c r="M94" s="8">
        <f ca="1">_xll.HLV5r3.Analytics.Miscellaneous.Zero2DF(_xll.HLV5r3.Analytics.Miscellaneous.LinearInterp(Peturbed_QZ,$K94,1,M$1),ZeroCompFreq,'PDH Calc'!$K94/365)</f>
        <v>1</v>
      </c>
      <c r="N94" s="8">
        <f ca="1">_xll.HLV5r3.Analytics.Miscellaneous.Zero2DF(_xll.HLV5r3.Analytics.Miscellaneous.LinearInterp(Peturbed_QZ,$K94,1,N$1),ZeroCompFreq,'PDH Calc'!$K94/365)</f>
        <v>1</v>
      </c>
      <c r="O94" s="8">
        <f ca="1">_xll.HLV5r3.Analytics.Miscellaneous.Zero2DF(_xll.HLV5r3.Analytics.Miscellaneous.LinearInterp(Peturbed_QZ,$K94,1,O$1),ZeroCompFreq,'PDH Calc'!$K94/365)</f>
        <v>1</v>
      </c>
      <c r="P94" s="8">
        <f ca="1">_xll.HLV5r3.Analytics.Miscellaneous.Zero2DF(_xll.HLV5r3.Analytics.Miscellaneous.LinearInterp(Peturbed_QZ,$K94,1,P$1),ZeroCompFreq,'PDH Calc'!$K94/365)</f>
        <v>1</v>
      </c>
      <c r="Q94" s="8">
        <f ca="1">_xll.HLV5r3.Analytics.Miscellaneous.Zero2DF(_xll.HLV5r3.Analytics.Miscellaneous.LinearInterp(Peturbed_QZ,$K94,1,Q$1),ZeroCompFreq,'PDH Calc'!$K94/365)</f>
        <v>1</v>
      </c>
      <c r="R94" s="8">
        <f ca="1">_xll.HLV5r3.Analytics.Miscellaneous.Zero2DF(_xll.HLV5r3.Analytics.Miscellaneous.LinearInterp(Peturbed_QZ,$K94,1,R$1),ZeroCompFreq,'PDH Calc'!$K94/365)</f>
        <v>1</v>
      </c>
      <c r="S94" s="8">
        <f ca="1">_xll.HLV5r3.Analytics.Miscellaneous.Zero2DF(_xll.HLV5r3.Analytics.Miscellaneous.LinearInterp(Peturbed_QZ,$K94,1,S$1),ZeroCompFreq,'PDH Calc'!$K94/365)</f>
        <v>1</v>
      </c>
      <c r="T94" s="8">
        <f ca="1">_xll.HLV5r3.Analytics.Miscellaneous.Zero2DF(_xll.HLV5r3.Analytics.Miscellaneous.LinearInterp(Peturbed_QZ,$K94,1,T$1),ZeroCompFreq,'PDH Calc'!$K94/365)</f>
        <v>1</v>
      </c>
      <c r="U94" s="8">
        <f ca="1">_xll.HLV5r3.Analytics.Miscellaneous.Zero2DF(_xll.HLV5r3.Analytics.Miscellaneous.LinearInterp(Peturbed_QZ,$K94,1,U$1),ZeroCompFreq,'PDH Calc'!$K94/365)</f>
        <v>1</v>
      </c>
      <c r="V94" s="8">
        <f ca="1">_xll.HLV5r3.Analytics.Miscellaneous.Zero2DF(_xll.HLV5r3.Analytics.Miscellaneous.LinearInterp(Peturbed_QZ,$K94,1,V$1),ZeroCompFreq,'PDH Calc'!$K94/365)</f>
        <v>1</v>
      </c>
      <c r="W94" s="8">
        <f ca="1">_xll.HLV5r3.Analytics.Miscellaneous.Zero2DF(_xll.HLV5r3.Analytics.Miscellaneous.LinearInterp(Peturbed_QZ,$K94,1,W$1),ZeroCompFreq,'PDH Calc'!$K94/365)</f>
        <v>1</v>
      </c>
      <c r="X94" s="8">
        <f ca="1">_xll.HLV5r3.Analytics.Miscellaneous.Zero2DF(_xll.HLV5r3.Analytics.Miscellaneous.LinearInterp(Peturbed_QZ,$K94,1,X$1),ZeroCompFreq,'PDH Calc'!$K94/365)</f>
        <v>1</v>
      </c>
      <c r="Y94" s="8">
        <f ca="1">_xll.HLV5r3.Analytics.Miscellaneous.Zero2DF(_xll.HLV5r3.Analytics.Miscellaneous.LinearInterp(Peturbed_QZ,$K94,1,Y$1),ZeroCompFreq,'PDH Calc'!$K94/365)</f>
        <v>1</v>
      </c>
      <c r="Z94" s="8">
        <f ca="1">_xll.HLV5r3.Analytics.Miscellaneous.Zero2DF(_xll.HLV5r3.Analytics.Miscellaneous.LinearInterp(Peturbed_QZ,$K94,1,Z$1),ZeroCompFreq,'PDH Calc'!$K94/365)</f>
        <v>1</v>
      </c>
      <c r="AA94" s="8">
        <f ca="1">_xll.HLV5r3.Analytics.Miscellaneous.Zero2DF(_xll.HLV5r3.Analytics.Miscellaneous.LinearInterp(Peturbed_QZ,$K94,1,AA$1),ZeroCompFreq,'PDH Calc'!$K94/365)</f>
        <v>1</v>
      </c>
      <c r="AB94" s="8">
        <f ca="1">_xll.HLV5r3.Analytics.Miscellaneous.Zero2DF(_xll.HLV5r3.Analytics.Miscellaneous.LinearInterp(Peturbed_QZ,$K94,1,AB$1),ZeroCompFreq,'PDH Calc'!$K94/365)</f>
        <v>1</v>
      </c>
      <c r="AC94" s="8">
        <f ca="1">_xll.HLV5r3.Analytics.Miscellaneous.Zero2DF(_xll.HLV5r3.Analytics.Miscellaneous.LinearInterp(Peturbed_QZ,$K94,1,AC$1),ZeroCompFreq,'PDH Calc'!$K94/365)</f>
        <v>1</v>
      </c>
      <c r="AD94" s="8">
        <f ca="1">_xll.HLV5r3.Analytics.Miscellaneous.Zero2DF(_xll.HLV5r3.Analytics.Miscellaneous.LinearInterp(Peturbed_QZ,$K94,1,AD$1),ZeroCompFreq,'PDH Calc'!$K94/365)</f>
        <v>1</v>
      </c>
      <c r="AE94" s="8">
        <f ca="1">_xll.HLV5r3.Analytics.Miscellaneous.Zero2DF(_xll.HLV5r3.Analytics.Miscellaneous.LinearInterp(Peturbed_QZ,$K94,1,AE$1),ZeroCompFreq,'PDH Calc'!$K94/365)</f>
        <v>1</v>
      </c>
      <c r="AF94" s="8">
        <f ca="1">_xll.HLV5r3.Analytics.Miscellaneous.Zero2DF(_xll.HLV5r3.Analytics.Miscellaneous.LinearInterp(Peturbed_QZ,$K94,1,AF$1),ZeroCompFreq,'PDH Calc'!$K94/365)</f>
        <v>1</v>
      </c>
      <c r="AG94" s="8">
        <f ca="1">_xll.HLV5r3.Analytics.Miscellaneous.Zero2DF(_xll.HLV5r3.Analytics.Miscellaneous.LinearInterp(Peturbed_QZ,$K94,1,AG$1),ZeroCompFreq,'PDH Calc'!$K94/365)</f>
        <v>1</v>
      </c>
      <c r="AH94" s="8">
        <f ca="1">_xll.HLV5r3.Analytics.Miscellaneous.Zero2DF(_xll.HLV5r3.Analytics.Miscellaneous.LinearInterp(Peturbed_QZ,$K94,1,AH$1),ZeroCompFreq,'PDH Calc'!$K94/365)</f>
        <v>1</v>
      </c>
      <c r="AI94" s="8">
        <f ca="1">_xll.HLV5r3.Analytics.Miscellaneous.Zero2DF(_xll.HLV5r3.Analytics.Miscellaneous.LinearInterp(Peturbed_QZ,$K94,1,AI$1),ZeroCompFreq,'PDH Calc'!$K94/365)</f>
        <v>1</v>
      </c>
      <c r="AJ94" s="8">
        <f ca="1">_xll.HLV5r3.Analytics.Miscellaneous.Zero2DF(_xll.HLV5r3.Analytics.Miscellaneous.LinearInterp(Peturbed_QZ,$K94,1,AJ$1),ZeroCompFreq,'PDH Calc'!$K94/365)</f>
        <v>1</v>
      </c>
      <c r="AK94" s="8">
        <f ca="1">_xll.HLV5r3.Analytics.Miscellaneous.Zero2DF(_xll.HLV5r3.Analytics.Miscellaneous.LinearInterp(Peturbed_QZ,$K94,1,AK$1),ZeroCompFreq,'PDH Calc'!$K94/365)</f>
        <v>1</v>
      </c>
    </row>
    <row r="95" spans="1:37">
      <c r="A95" s="4"/>
      <c r="B95" s="6"/>
      <c r="F95" s="11"/>
      <c r="G95" s="6"/>
      <c r="H95" s="20"/>
      <c r="I95" s="21"/>
      <c r="J95" s="26"/>
      <c r="K95" s="6">
        <f t="shared" ca="1" si="7"/>
        <v>0</v>
      </c>
      <c r="L95" s="8">
        <f ca="1">_xll.HLV5r3.Analytics.Miscellaneous.Zero2DF(_xll.HLV5r3.Analytics.Miscellaneous.LinearInterp(Peturbed_QZ,$K95,1,L$1),ZeroCompFreq,'PDH Calc'!$K95/365)</f>
        <v>1</v>
      </c>
      <c r="M95" s="8">
        <f ca="1">_xll.HLV5r3.Analytics.Miscellaneous.Zero2DF(_xll.HLV5r3.Analytics.Miscellaneous.LinearInterp(Peturbed_QZ,$K95,1,M$1),ZeroCompFreq,'PDH Calc'!$K95/365)</f>
        <v>1</v>
      </c>
      <c r="N95" s="8">
        <f ca="1">_xll.HLV5r3.Analytics.Miscellaneous.Zero2DF(_xll.HLV5r3.Analytics.Miscellaneous.LinearInterp(Peturbed_QZ,$K95,1,N$1),ZeroCompFreq,'PDH Calc'!$K95/365)</f>
        <v>1</v>
      </c>
      <c r="O95" s="8">
        <f ca="1">_xll.HLV5r3.Analytics.Miscellaneous.Zero2DF(_xll.HLV5r3.Analytics.Miscellaneous.LinearInterp(Peturbed_QZ,$K95,1,O$1),ZeroCompFreq,'PDH Calc'!$K95/365)</f>
        <v>1</v>
      </c>
      <c r="P95" s="8">
        <f ca="1">_xll.HLV5r3.Analytics.Miscellaneous.Zero2DF(_xll.HLV5r3.Analytics.Miscellaneous.LinearInterp(Peturbed_QZ,$K95,1,P$1),ZeroCompFreq,'PDH Calc'!$K95/365)</f>
        <v>1</v>
      </c>
      <c r="Q95" s="8">
        <f ca="1">_xll.HLV5r3.Analytics.Miscellaneous.Zero2DF(_xll.HLV5r3.Analytics.Miscellaneous.LinearInterp(Peturbed_QZ,$K95,1,Q$1),ZeroCompFreq,'PDH Calc'!$K95/365)</f>
        <v>1</v>
      </c>
      <c r="R95" s="8">
        <f ca="1">_xll.HLV5r3.Analytics.Miscellaneous.Zero2DF(_xll.HLV5r3.Analytics.Miscellaneous.LinearInterp(Peturbed_QZ,$K95,1,R$1),ZeroCompFreq,'PDH Calc'!$K95/365)</f>
        <v>1</v>
      </c>
      <c r="S95" s="8">
        <f ca="1">_xll.HLV5r3.Analytics.Miscellaneous.Zero2DF(_xll.HLV5r3.Analytics.Miscellaneous.LinearInterp(Peturbed_QZ,$K95,1,S$1),ZeroCompFreq,'PDH Calc'!$K95/365)</f>
        <v>1</v>
      </c>
      <c r="T95" s="8">
        <f ca="1">_xll.HLV5r3.Analytics.Miscellaneous.Zero2DF(_xll.HLV5r3.Analytics.Miscellaneous.LinearInterp(Peturbed_QZ,$K95,1,T$1),ZeroCompFreq,'PDH Calc'!$K95/365)</f>
        <v>1</v>
      </c>
      <c r="U95" s="8">
        <f ca="1">_xll.HLV5r3.Analytics.Miscellaneous.Zero2DF(_xll.HLV5r3.Analytics.Miscellaneous.LinearInterp(Peturbed_QZ,$K95,1,U$1),ZeroCompFreq,'PDH Calc'!$K95/365)</f>
        <v>1</v>
      </c>
      <c r="V95" s="8">
        <f ca="1">_xll.HLV5r3.Analytics.Miscellaneous.Zero2DF(_xll.HLV5r3.Analytics.Miscellaneous.LinearInterp(Peturbed_QZ,$K95,1,V$1),ZeroCompFreq,'PDH Calc'!$K95/365)</f>
        <v>1</v>
      </c>
      <c r="W95" s="8">
        <f ca="1">_xll.HLV5r3.Analytics.Miscellaneous.Zero2DF(_xll.HLV5r3.Analytics.Miscellaneous.LinearInterp(Peturbed_QZ,$K95,1,W$1),ZeroCompFreq,'PDH Calc'!$K95/365)</f>
        <v>1</v>
      </c>
      <c r="X95" s="8">
        <f ca="1">_xll.HLV5r3.Analytics.Miscellaneous.Zero2DF(_xll.HLV5r3.Analytics.Miscellaneous.LinearInterp(Peturbed_QZ,$K95,1,X$1),ZeroCompFreq,'PDH Calc'!$K95/365)</f>
        <v>1</v>
      </c>
      <c r="Y95" s="8">
        <f ca="1">_xll.HLV5r3.Analytics.Miscellaneous.Zero2DF(_xll.HLV5r3.Analytics.Miscellaneous.LinearInterp(Peturbed_QZ,$K95,1,Y$1),ZeroCompFreq,'PDH Calc'!$K95/365)</f>
        <v>1</v>
      </c>
      <c r="Z95" s="8">
        <f ca="1">_xll.HLV5r3.Analytics.Miscellaneous.Zero2DF(_xll.HLV5r3.Analytics.Miscellaneous.LinearInterp(Peturbed_QZ,$K95,1,Z$1),ZeroCompFreq,'PDH Calc'!$K95/365)</f>
        <v>1</v>
      </c>
      <c r="AA95" s="8">
        <f ca="1">_xll.HLV5r3.Analytics.Miscellaneous.Zero2DF(_xll.HLV5r3.Analytics.Miscellaneous.LinearInterp(Peturbed_QZ,$K95,1,AA$1),ZeroCompFreq,'PDH Calc'!$K95/365)</f>
        <v>1</v>
      </c>
      <c r="AB95" s="8">
        <f ca="1">_xll.HLV5r3.Analytics.Miscellaneous.Zero2DF(_xll.HLV5r3.Analytics.Miscellaneous.LinearInterp(Peturbed_QZ,$K95,1,AB$1),ZeroCompFreq,'PDH Calc'!$K95/365)</f>
        <v>1</v>
      </c>
      <c r="AC95" s="8">
        <f ca="1">_xll.HLV5r3.Analytics.Miscellaneous.Zero2DF(_xll.HLV5r3.Analytics.Miscellaneous.LinearInterp(Peturbed_QZ,$K95,1,AC$1),ZeroCompFreq,'PDH Calc'!$K95/365)</f>
        <v>1</v>
      </c>
      <c r="AD95" s="8">
        <f ca="1">_xll.HLV5r3.Analytics.Miscellaneous.Zero2DF(_xll.HLV5r3.Analytics.Miscellaneous.LinearInterp(Peturbed_QZ,$K95,1,AD$1),ZeroCompFreq,'PDH Calc'!$K95/365)</f>
        <v>1</v>
      </c>
      <c r="AE95" s="8">
        <f ca="1">_xll.HLV5r3.Analytics.Miscellaneous.Zero2DF(_xll.HLV5r3.Analytics.Miscellaneous.LinearInterp(Peturbed_QZ,$K95,1,AE$1),ZeroCompFreq,'PDH Calc'!$K95/365)</f>
        <v>1</v>
      </c>
      <c r="AF95" s="8">
        <f ca="1">_xll.HLV5r3.Analytics.Miscellaneous.Zero2DF(_xll.HLV5r3.Analytics.Miscellaneous.LinearInterp(Peturbed_QZ,$K95,1,AF$1),ZeroCompFreq,'PDH Calc'!$K95/365)</f>
        <v>1</v>
      </c>
      <c r="AG95" s="8">
        <f ca="1">_xll.HLV5r3.Analytics.Miscellaneous.Zero2DF(_xll.HLV5r3.Analytics.Miscellaneous.LinearInterp(Peturbed_QZ,$K95,1,AG$1),ZeroCompFreq,'PDH Calc'!$K95/365)</f>
        <v>1</v>
      </c>
      <c r="AH95" s="8">
        <f ca="1">_xll.HLV5r3.Analytics.Miscellaneous.Zero2DF(_xll.HLV5r3.Analytics.Miscellaneous.LinearInterp(Peturbed_QZ,$K95,1,AH$1),ZeroCompFreq,'PDH Calc'!$K95/365)</f>
        <v>1</v>
      </c>
      <c r="AI95" s="8">
        <f ca="1">_xll.HLV5r3.Analytics.Miscellaneous.Zero2DF(_xll.HLV5r3.Analytics.Miscellaneous.LinearInterp(Peturbed_QZ,$K95,1,AI$1),ZeroCompFreq,'PDH Calc'!$K95/365)</f>
        <v>1</v>
      </c>
      <c r="AJ95" s="8">
        <f ca="1">_xll.HLV5r3.Analytics.Miscellaneous.Zero2DF(_xll.HLV5r3.Analytics.Miscellaneous.LinearInterp(Peturbed_QZ,$K95,1,AJ$1),ZeroCompFreq,'PDH Calc'!$K95/365)</f>
        <v>1</v>
      </c>
      <c r="AK95" s="8">
        <f ca="1">_xll.HLV5r3.Analytics.Miscellaneous.Zero2DF(_xll.HLV5r3.Analytics.Miscellaneous.LinearInterp(Peturbed_QZ,$K95,1,AK$1),ZeroCompFreq,'PDH Calc'!$K95/365)</f>
        <v>1</v>
      </c>
    </row>
    <row r="96" spans="1:37">
      <c r="A96" s="4"/>
      <c r="B96" s="6"/>
      <c r="F96" s="11"/>
      <c r="G96" s="6"/>
      <c r="H96" s="20"/>
      <c r="I96" s="21"/>
      <c r="J96" s="26"/>
      <c r="K96" s="6">
        <f t="shared" ca="1" si="7"/>
        <v>0</v>
      </c>
      <c r="L96" s="8">
        <f ca="1">_xll.HLV5r3.Analytics.Miscellaneous.Zero2DF(_xll.HLV5r3.Analytics.Miscellaneous.LinearInterp(Peturbed_QZ,$K96,1,L$1),ZeroCompFreq,'PDH Calc'!$K96/365)</f>
        <v>1</v>
      </c>
      <c r="M96" s="8">
        <f ca="1">_xll.HLV5r3.Analytics.Miscellaneous.Zero2DF(_xll.HLV5r3.Analytics.Miscellaneous.LinearInterp(Peturbed_QZ,$K96,1,M$1),ZeroCompFreq,'PDH Calc'!$K96/365)</f>
        <v>1</v>
      </c>
      <c r="N96" s="8">
        <f ca="1">_xll.HLV5r3.Analytics.Miscellaneous.Zero2DF(_xll.HLV5r3.Analytics.Miscellaneous.LinearInterp(Peturbed_QZ,$K96,1,N$1),ZeroCompFreq,'PDH Calc'!$K96/365)</f>
        <v>1</v>
      </c>
      <c r="O96" s="8">
        <f ca="1">_xll.HLV5r3.Analytics.Miscellaneous.Zero2DF(_xll.HLV5r3.Analytics.Miscellaneous.LinearInterp(Peturbed_QZ,$K96,1,O$1),ZeroCompFreq,'PDH Calc'!$K96/365)</f>
        <v>1</v>
      </c>
      <c r="P96" s="8">
        <f ca="1">_xll.HLV5r3.Analytics.Miscellaneous.Zero2DF(_xll.HLV5r3.Analytics.Miscellaneous.LinearInterp(Peturbed_QZ,$K96,1,P$1),ZeroCompFreq,'PDH Calc'!$K96/365)</f>
        <v>1</v>
      </c>
      <c r="Q96" s="8">
        <f ca="1">_xll.HLV5r3.Analytics.Miscellaneous.Zero2DF(_xll.HLV5r3.Analytics.Miscellaneous.LinearInterp(Peturbed_QZ,$K96,1,Q$1),ZeroCompFreq,'PDH Calc'!$K96/365)</f>
        <v>1</v>
      </c>
      <c r="R96" s="8">
        <f ca="1">_xll.HLV5r3.Analytics.Miscellaneous.Zero2DF(_xll.HLV5r3.Analytics.Miscellaneous.LinearInterp(Peturbed_QZ,$K96,1,R$1),ZeroCompFreq,'PDH Calc'!$K96/365)</f>
        <v>1</v>
      </c>
      <c r="S96" s="8">
        <f ca="1">_xll.HLV5r3.Analytics.Miscellaneous.Zero2DF(_xll.HLV5r3.Analytics.Miscellaneous.LinearInterp(Peturbed_QZ,$K96,1,S$1),ZeroCompFreq,'PDH Calc'!$K96/365)</f>
        <v>1</v>
      </c>
      <c r="T96" s="8">
        <f ca="1">_xll.HLV5r3.Analytics.Miscellaneous.Zero2DF(_xll.HLV5r3.Analytics.Miscellaneous.LinearInterp(Peturbed_QZ,$K96,1,T$1),ZeroCompFreq,'PDH Calc'!$K96/365)</f>
        <v>1</v>
      </c>
      <c r="U96" s="8">
        <f ca="1">_xll.HLV5r3.Analytics.Miscellaneous.Zero2DF(_xll.HLV5r3.Analytics.Miscellaneous.LinearInterp(Peturbed_QZ,$K96,1,U$1),ZeroCompFreq,'PDH Calc'!$K96/365)</f>
        <v>1</v>
      </c>
      <c r="V96" s="8">
        <f ca="1">_xll.HLV5r3.Analytics.Miscellaneous.Zero2DF(_xll.HLV5r3.Analytics.Miscellaneous.LinearInterp(Peturbed_QZ,$K96,1,V$1),ZeroCompFreq,'PDH Calc'!$K96/365)</f>
        <v>1</v>
      </c>
      <c r="W96" s="8">
        <f ca="1">_xll.HLV5r3.Analytics.Miscellaneous.Zero2DF(_xll.HLV5r3.Analytics.Miscellaneous.LinearInterp(Peturbed_QZ,$K96,1,W$1),ZeroCompFreq,'PDH Calc'!$K96/365)</f>
        <v>1</v>
      </c>
      <c r="X96" s="8">
        <f ca="1">_xll.HLV5r3.Analytics.Miscellaneous.Zero2DF(_xll.HLV5r3.Analytics.Miscellaneous.LinearInterp(Peturbed_QZ,$K96,1,X$1),ZeroCompFreq,'PDH Calc'!$K96/365)</f>
        <v>1</v>
      </c>
      <c r="Y96" s="8">
        <f ca="1">_xll.HLV5r3.Analytics.Miscellaneous.Zero2DF(_xll.HLV5r3.Analytics.Miscellaneous.LinearInterp(Peturbed_QZ,$K96,1,Y$1),ZeroCompFreq,'PDH Calc'!$K96/365)</f>
        <v>1</v>
      </c>
      <c r="Z96" s="8">
        <f ca="1">_xll.HLV5r3.Analytics.Miscellaneous.Zero2DF(_xll.HLV5r3.Analytics.Miscellaneous.LinearInterp(Peturbed_QZ,$K96,1,Z$1),ZeroCompFreq,'PDH Calc'!$K96/365)</f>
        <v>1</v>
      </c>
      <c r="AA96" s="8">
        <f ca="1">_xll.HLV5r3.Analytics.Miscellaneous.Zero2DF(_xll.HLV5r3.Analytics.Miscellaneous.LinearInterp(Peturbed_QZ,$K96,1,AA$1),ZeroCompFreq,'PDH Calc'!$K96/365)</f>
        <v>1</v>
      </c>
      <c r="AB96" s="8">
        <f ca="1">_xll.HLV5r3.Analytics.Miscellaneous.Zero2DF(_xll.HLV5r3.Analytics.Miscellaneous.LinearInterp(Peturbed_QZ,$K96,1,AB$1),ZeroCompFreq,'PDH Calc'!$K96/365)</f>
        <v>1</v>
      </c>
      <c r="AC96" s="8">
        <f ca="1">_xll.HLV5r3.Analytics.Miscellaneous.Zero2DF(_xll.HLV5r3.Analytics.Miscellaneous.LinearInterp(Peturbed_QZ,$K96,1,AC$1),ZeroCompFreq,'PDH Calc'!$K96/365)</f>
        <v>1</v>
      </c>
      <c r="AD96" s="8">
        <f ca="1">_xll.HLV5r3.Analytics.Miscellaneous.Zero2DF(_xll.HLV5r3.Analytics.Miscellaneous.LinearInterp(Peturbed_QZ,$K96,1,AD$1),ZeroCompFreq,'PDH Calc'!$K96/365)</f>
        <v>1</v>
      </c>
      <c r="AE96" s="8">
        <f ca="1">_xll.HLV5r3.Analytics.Miscellaneous.Zero2DF(_xll.HLV5r3.Analytics.Miscellaneous.LinearInterp(Peturbed_QZ,$K96,1,AE$1),ZeroCompFreq,'PDH Calc'!$K96/365)</f>
        <v>1</v>
      </c>
      <c r="AF96" s="8">
        <f ca="1">_xll.HLV5r3.Analytics.Miscellaneous.Zero2DF(_xll.HLV5r3.Analytics.Miscellaneous.LinearInterp(Peturbed_QZ,$K96,1,AF$1),ZeroCompFreq,'PDH Calc'!$K96/365)</f>
        <v>1</v>
      </c>
      <c r="AG96" s="8">
        <f ca="1">_xll.HLV5r3.Analytics.Miscellaneous.Zero2DF(_xll.HLV5r3.Analytics.Miscellaneous.LinearInterp(Peturbed_QZ,$K96,1,AG$1),ZeroCompFreq,'PDH Calc'!$K96/365)</f>
        <v>1</v>
      </c>
      <c r="AH96" s="8">
        <f ca="1">_xll.HLV5r3.Analytics.Miscellaneous.Zero2DF(_xll.HLV5r3.Analytics.Miscellaneous.LinearInterp(Peturbed_QZ,$K96,1,AH$1),ZeroCompFreq,'PDH Calc'!$K96/365)</f>
        <v>1</v>
      </c>
      <c r="AI96" s="8">
        <f ca="1">_xll.HLV5r3.Analytics.Miscellaneous.Zero2DF(_xll.HLV5r3.Analytics.Miscellaneous.LinearInterp(Peturbed_QZ,$K96,1,AI$1),ZeroCompFreq,'PDH Calc'!$K96/365)</f>
        <v>1</v>
      </c>
      <c r="AJ96" s="8">
        <f ca="1">_xll.HLV5r3.Analytics.Miscellaneous.Zero2DF(_xll.HLV5r3.Analytics.Miscellaneous.LinearInterp(Peturbed_QZ,$K96,1,AJ$1),ZeroCompFreq,'PDH Calc'!$K96/365)</f>
        <v>1</v>
      </c>
      <c r="AK96" s="8">
        <f ca="1">_xll.HLV5r3.Analytics.Miscellaneous.Zero2DF(_xll.HLV5r3.Analytics.Miscellaneous.LinearInterp(Peturbed_QZ,$K96,1,AK$1),ZeroCompFreq,'PDH Calc'!$K96/365)</f>
        <v>1</v>
      </c>
    </row>
    <row r="97" spans="1:37">
      <c r="A97" s="4"/>
      <c r="B97" s="6"/>
      <c r="F97" s="11"/>
      <c r="G97" s="6"/>
      <c r="H97" s="20"/>
      <c r="I97" s="21"/>
      <c r="J97" s="26"/>
      <c r="K97" s="6">
        <f t="shared" ref="K97:K160" ca="1" si="8">(H97-Calc_Date)*ISNUMBER(H97)</f>
        <v>0</v>
      </c>
      <c r="L97" s="8">
        <f ca="1">_xll.HLV5r3.Analytics.Miscellaneous.Zero2DF(_xll.HLV5r3.Analytics.Miscellaneous.LinearInterp(Peturbed_QZ,$K97,1,L$1),ZeroCompFreq,'PDH Calc'!$K97/365)</f>
        <v>1</v>
      </c>
      <c r="M97" s="8">
        <f ca="1">_xll.HLV5r3.Analytics.Miscellaneous.Zero2DF(_xll.HLV5r3.Analytics.Miscellaneous.LinearInterp(Peturbed_QZ,$K97,1,M$1),ZeroCompFreq,'PDH Calc'!$K97/365)</f>
        <v>1</v>
      </c>
      <c r="N97" s="8">
        <f ca="1">_xll.HLV5r3.Analytics.Miscellaneous.Zero2DF(_xll.HLV5r3.Analytics.Miscellaneous.LinearInterp(Peturbed_QZ,$K97,1,N$1),ZeroCompFreq,'PDH Calc'!$K97/365)</f>
        <v>1</v>
      </c>
      <c r="O97" s="8">
        <f ca="1">_xll.HLV5r3.Analytics.Miscellaneous.Zero2DF(_xll.HLV5r3.Analytics.Miscellaneous.LinearInterp(Peturbed_QZ,$K97,1,O$1),ZeroCompFreq,'PDH Calc'!$K97/365)</f>
        <v>1</v>
      </c>
      <c r="P97" s="8">
        <f ca="1">_xll.HLV5r3.Analytics.Miscellaneous.Zero2DF(_xll.HLV5r3.Analytics.Miscellaneous.LinearInterp(Peturbed_QZ,$K97,1,P$1),ZeroCompFreq,'PDH Calc'!$K97/365)</f>
        <v>1</v>
      </c>
      <c r="Q97" s="8">
        <f ca="1">_xll.HLV5r3.Analytics.Miscellaneous.Zero2DF(_xll.HLV5r3.Analytics.Miscellaneous.LinearInterp(Peturbed_QZ,$K97,1,Q$1),ZeroCompFreq,'PDH Calc'!$K97/365)</f>
        <v>1</v>
      </c>
      <c r="R97" s="8">
        <f ca="1">_xll.HLV5r3.Analytics.Miscellaneous.Zero2DF(_xll.HLV5r3.Analytics.Miscellaneous.LinearInterp(Peturbed_QZ,$K97,1,R$1),ZeroCompFreq,'PDH Calc'!$K97/365)</f>
        <v>1</v>
      </c>
      <c r="S97" s="8">
        <f ca="1">_xll.HLV5r3.Analytics.Miscellaneous.Zero2DF(_xll.HLV5r3.Analytics.Miscellaneous.LinearInterp(Peturbed_QZ,$K97,1,S$1),ZeroCompFreq,'PDH Calc'!$K97/365)</f>
        <v>1</v>
      </c>
      <c r="T97" s="8">
        <f ca="1">_xll.HLV5r3.Analytics.Miscellaneous.Zero2DF(_xll.HLV5r3.Analytics.Miscellaneous.LinearInterp(Peturbed_QZ,$K97,1,T$1),ZeroCompFreq,'PDH Calc'!$K97/365)</f>
        <v>1</v>
      </c>
      <c r="U97" s="8">
        <f ca="1">_xll.HLV5r3.Analytics.Miscellaneous.Zero2DF(_xll.HLV5r3.Analytics.Miscellaneous.LinearInterp(Peturbed_QZ,$K97,1,U$1),ZeroCompFreq,'PDH Calc'!$K97/365)</f>
        <v>1</v>
      </c>
      <c r="V97" s="8">
        <f ca="1">_xll.HLV5r3.Analytics.Miscellaneous.Zero2DF(_xll.HLV5r3.Analytics.Miscellaneous.LinearInterp(Peturbed_QZ,$K97,1,V$1),ZeroCompFreq,'PDH Calc'!$K97/365)</f>
        <v>1</v>
      </c>
      <c r="W97" s="8">
        <f ca="1">_xll.HLV5r3.Analytics.Miscellaneous.Zero2DF(_xll.HLV5r3.Analytics.Miscellaneous.LinearInterp(Peturbed_QZ,$K97,1,W$1),ZeroCompFreq,'PDH Calc'!$K97/365)</f>
        <v>1</v>
      </c>
      <c r="X97" s="8">
        <f ca="1">_xll.HLV5r3.Analytics.Miscellaneous.Zero2DF(_xll.HLV5r3.Analytics.Miscellaneous.LinearInterp(Peturbed_QZ,$K97,1,X$1),ZeroCompFreq,'PDH Calc'!$K97/365)</f>
        <v>1</v>
      </c>
      <c r="Y97" s="8">
        <f ca="1">_xll.HLV5r3.Analytics.Miscellaneous.Zero2DF(_xll.HLV5r3.Analytics.Miscellaneous.LinearInterp(Peturbed_QZ,$K97,1,Y$1),ZeroCompFreq,'PDH Calc'!$K97/365)</f>
        <v>1</v>
      </c>
      <c r="Z97" s="8">
        <f ca="1">_xll.HLV5r3.Analytics.Miscellaneous.Zero2DF(_xll.HLV5r3.Analytics.Miscellaneous.LinearInterp(Peturbed_QZ,$K97,1,Z$1),ZeroCompFreq,'PDH Calc'!$K97/365)</f>
        <v>1</v>
      </c>
      <c r="AA97" s="8">
        <f ca="1">_xll.HLV5r3.Analytics.Miscellaneous.Zero2DF(_xll.HLV5r3.Analytics.Miscellaneous.LinearInterp(Peturbed_QZ,$K97,1,AA$1),ZeroCompFreq,'PDH Calc'!$K97/365)</f>
        <v>1</v>
      </c>
      <c r="AB97" s="8">
        <f ca="1">_xll.HLV5r3.Analytics.Miscellaneous.Zero2DF(_xll.HLV5r3.Analytics.Miscellaneous.LinearInterp(Peturbed_QZ,$K97,1,AB$1),ZeroCompFreq,'PDH Calc'!$K97/365)</f>
        <v>1</v>
      </c>
      <c r="AC97" s="8">
        <f ca="1">_xll.HLV5r3.Analytics.Miscellaneous.Zero2DF(_xll.HLV5r3.Analytics.Miscellaneous.LinearInterp(Peturbed_QZ,$K97,1,AC$1),ZeroCompFreq,'PDH Calc'!$K97/365)</f>
        <v>1</v>
      </c>
      <c r="AD97" s="8">
        <f ca="1">_xll.HLV5r3.Analytics.Miscellaneous.Zero2DF(_xll.HLV5r3.Analytics.Miscellaneous.LinearInterp(Peturbed_QZ,$K97,1,AD$1),ZeroCompFreq,'PDH Calc'!$K97/365)</f>
        <v>1</v>
      </c>
      <c r="AE97" s="8">
        <f ca="1">_xll.HLV5r3.Analytics.Miscellaneous.Zero2DF(_xll.HLV5r3.Analytics.Miscellaneous.LinearInterp(Peturbed_QZ,$K97,1,AE$1),ZeroCompFreq,'PDH Calc'!$K97/365)</f>
        <v>1</v>
      </c>
      <c r="AF97" s="8">
        <f ca="1">_xll.HLV5r3.Analytics.Miscellaneous.Zero2DF(_xll.HLV5r3.Analytics.Miscellaneous.LinearInterp(Peturbed_QZ,$K97,1,AF$1),ZeroCompFreq,'PDH Calc'!$K97/365)</f>
        <v>1</v>
      </c>
      <c r="AG97" s="8">
        <f ca="1">_xll.HLV5r3.Analytics.Miscellaneous.Zero2DF(_xll.HLV5r3.Analytics.Miscellaneous.LinearInterp(Peturbed_QZ,$K97,1,AG$1),ZeroCompFreq,'PDH Calc'!$K97/365)</f>
        <v>1</v>
      </c>
      <c r="AH97" s="8">
        <f ca="1">_xll.HLV5r3.Analytics.Miscellaneous.Zero2DF(_xll.HLV5r3.Analytics.Miscellaneous.LinearInterp(Peturbed_QZ,$K97,1,AH$1),ZeroCompFreq,'PDH Calc'!$K97/365)</f>
        <v>1</v>
      </c>
      <c r="AI97" s="8">
        <f ca="1">_xll.HLV5r3.Analytics.Miscellaneous.Zero2DF(_xll.HLV5r3.Analytics.Miscellaneous.LinearInterp(Peturbed_QZ,$K97,1,AI$1),ZeroCompFreq,'PDH Calc'!$K97/365)</f>
        <v>1</v>
      </c>
      <c r="AJ97" s="8">
        <f ca="1">_xll.HLV5r3.Analytics.Miscellaneous.Zero2DF(_xll.HLV5r3.Analytics.Miscellaneous.LinearInterp(Peturbed_QZ,$K97,1,AJ$1),ZeroCompFreq,'PDH Calc'!$K97/365)</f>
        <v>1</v>
      </c>
      <c r="AK97" s="8">
        <f ca="1">_xll.HLV5r3.Analytics.Miscellaneous.Zero2DF(_xll.HLV5r3.Analytics.Miscellaneous.LinearInterp(Peturbed_QZ,$K97,1,AK$1),ZeroCompFreq,'PDH Calc'!$K97/365)</f>
        <v>1</v>
      </c>
    </row>
    <row r="98" spans="1:37">
      <c r="A98" s="4"/>
      <c r="B98" s="6"/>
      <c r="F98" s="11"/>
      <c r="G98" s="6"/>
      <c r="H98" s="20"/>
      <c r="I98" s="21"/>
      <c r="J98" s="26"/>
      <c r="K98" s="6">
        <f t="shared" ca="1" si="8"/>
        <v>0</v>
      </c>
      <c r="L98" s="8">
        <f ca="1">_xll.HLV5r3.Analytics.Miscellaneous.Zero2DF(_xll.HLV5r3.Analytics.Miscellaneous.LinearInterp(Peturbed_QZ,$K98,1,L$1),ZeroCompFreq,'PDH Calc'!$K98/365)</f>
        <v>1</v>
      </c>
      <c r="M98" s="8">
        <f ca="1">_xll.HLV5r3.Analytics.Miscellaneous.Zero2DF(_xll.HLV5r3.Analytics.Miscellaneous.LinearInterp(Peturbed_QZ,$K98,1,M$1),ZeroCompFreq,'PDH Calc'!$K98/365)</f>
        <v>1</v>
      </c>
      <c r="N98" s="8">
        <f ca="1">_xll.HLV5r3.Analytics.Miscellaneous.Zero2DF(_xll.HLV5r3.Analytics.Miscellaneous.LinearInterp(Peturbed_QZ,$K98,1,N$1),ZeroCompFreq,'PDH Calc'!$K98/365)</f>
        <v>1</v>
      </c>
      <c r="O98" s="8">
        <f ca="1">_xll.HLV5r3.Analytics.Miscellaneous.Zero2DF(_xll.HLV5r3.Analytics.Miscellaneous.LinearInterp(Peturbed_QZ,$K98,1,O$1),ZeroCompFreq,'PDH Calc'!$K98/365)</f>
        <v>1</v>
      </c>
      <c r="P98" s="8">
        <f ca="1">_xll.HLV5r3.Analytics.Miscellaneous.Zero2DF(_xll.HLV5r3.Analytics.Miscellaneous.LinearInterp(Peturbed_QZ,$K98,1,P$1),ZeroCompFreq,'PDH Calc'!$K98/365)</f>
        <v>1</v>
      </c>
      <c r="Q98" s="8">
        <f ca="1">_xll.HLV5r3.Analytics.Miscellaneous.Zero2DF(_xll.HLV5r3.Analytics.Miscellaneous.LinearInterp(Peturbed_QZ,$K98,1,Q$1),ZeroCompFreq,'PDH Calc'!$K98/365)</f>
        <v>1</v>
      </c>
      <c r="R98" s="8">
        <f ca="1">_xll.HLV5r3.Analytics.Miscellaneous.Zero2DF(_xll.HLV5r3.Analytics.Miscellaneous.LinearInterp(Peturbed_QZ,$K98,1,R$1),ZeroCompFreq,'PDH Calc'!$K98/365)</f>
        <v>1</v>
      </c>
      <c r="S98" s="8">
        <f ca="1">_xll.HLV5r3.Analytics.Miscellaneous.Zero2DF(_xll.HLV5r3.Analytics.Miscellaneous.LinearInterp(Peturbed_QZ,$K98,1,S$1),ZeroCompFreq,'PDH Calc'!$K98/365)</f>
        <v>1</v>
      </c>
      <c r="T98" s="8">
        <f ca="1">_xll.HLV5r3.Analytics.Miscellaneous.Zero2DF(_xll.HLV5r3.Analytics.Miscellaneous.LinearInterp(Peturbed_QZ,$K98,1,T$1),ZeroCompFreq,'PDH Calc'!$K98/365)</f>
        <v>1</v>
      </c>
      <c r="U98" s="8">
        <f ca="1">_xll.HLV5r3.Analytics.Miscellaneous.Zero2DF(_xll.HLV5r3.Analytics.Miscellaneous.LinearInterp(Peturbed_QZ,$K98,1,U$1),ZeroCompFreq,'PDH Calc'!$K98/365)</f>
        <v>1</v>
      </c>
      <c r="V98" s="8">
        <f ca="1">_xll.HLV5r3.Analytics.Miscellaneous.Zero2DF(_xll.HLV5r3.Analytics.Miscellaneous.LinearInterp(Peturbed_QZ,$K98,1,V$1),ZeroCompFreq,'PDH Calc'!$K98/365)</f>
        <v>1</v>
      </c>
      <c r="W98" s="8">
        <f ca="1">_xll.HLV5r3.Analytics.Miscellaneous.Zero2DF(_xll.HLV5r3.Analytics.Miscellaneous.LinearInterp(Peturbed_QZ,$K98,1,W$1),ZeroCompFreq,'PDH Calc'!$K98/365)</f>
        <v>1</v>
      </c>
      <c r="X98" s="8">
        <f ca="1">_xll.HLV5r3.Analytics.Miscellaneous.Zero2DF(_xll.HLV5r3.Analytics.Miscellaneous.LinearInterp(Peturbed_QZ,$K98,1,X$1),ZeroCompFreq,'PDH Calc'!$K98/365)</f>
        <v>1</v>
      </c>
      <c r="Y98" s="8">
        <f ca="1">_xll.HLV5r3.Analytics.Miscellaneous.Zero2DF(_xll.HLV5r3.Analytics.Miscellaneous.LinearInterp(Peturbed_QZ,$K98,1,Y$1),ZeroCompFreq,'PDH Calc'!$K98/365)</f>
        <v>1</v>
      </c>
      <c r="Z98" s="8">
        <f ca="1">_xll.HLV5r3.Analytics.Miscellaneous.Zero2DF(_xll.HLV5r3.Analytics.Miscellaneous.LinearInterp(Peturbed_QZ,$K98,1,Z$1),ZeroCompFreq,'PDH Calc'!$K98/365)</f>
        <v>1</v>
      </c>
      <c r="AA98" s="8">
        <f ca="1">_xll.HLV5r3.Analytics.Miscellaneous.Zero2DF(_xll.HLV5r3.Analytics.Miscellaneous.LinearInterp(Peturbed_QZ,$K98,1,AA$1),ZeroCompFreq,'PDH Calc'!$K98/365)</f>
        <v>1</v>
      </c>
      <c r="AB98" s="8">
        <f ca="1">_xll.HLV5r3.Analytics.Miscellaneous.Zero2DF(_xll.HLV5r3.Analytics.Miscellaneous.LinearInterp(Peturbed_QZ,$K98,1,AB$1),ZeroCompFreq,'PDH Calc'!$K98/365)</f>
        <v>1</v>
      </c>
      <c r="AC98" s="8">
        <f ca="1">_xll.HLV5r3.Analytics.Miscellaneous.Zero2DF(_xll.HLV5r3.Analytics.Miscellaneous.LinearInterp(Peturbed_QZ,$K98,1,AC$1),ZeroCompFreq,'PDH Calc'!$K98/365)</f>
        <v>1</v>
      </c>
      <c r="AD98" s="8">
        <f ca="1">_xll.HLV5r3.Analytics.Miscellaneous.Zero2DF(_xll.HLV5r3.Analytics.Miscellaneous.LinearInterp(Peturbed_QZ,$K98,1,AD$1),ZeroCompFreq,'PDH Calc'!$K98/365)</f>
        <v>1</v>
      </c>
      <c r="AE98" s="8">
        <f ca="1">_xll.HLV5r3.Analytics.Miscellaneous.Zero2DF(_xll.HLV5r3.Analytics.Miscellaneous.LinearInterp(Peturbed_QZ,$K98,1,AE$1),ZeroCompFreq,'PDH Calc'!$K98/365)</f>
        <v>1</v>
      </c>
      <c r="AF98" s="8">
        <f ca="1">_xll.HLV5r3.Analytics.Miscellaneous.Zero2DF(_xll.HLV5r3.Analytics.Miscellaneous.LinearInterp(Peturbed_QZ,$K98,1,AF$1),ZeroCompFreq,'PDH Calc'!$K98/365)</f>
        <v>1</v>
      </c>
      <c r="AG98" s="8">
        <f ca="1">_xll.HLV5r3.Analytics.Miscellaneous.Zero2DF(_xll.HLV5r3.Analytics.Miscellaneous.LinearInterp(Peturbed_QZ,$K98,1,AG$1),ZeroCompFreq,'PDH Calc'!$K98/365)</f>
        <v>1</v>
      </c>
      <c r="AH98" s="8">
        <f ca="1">_xll.HLV5r3.Analytics.Miscellaneous.Zero2DF(_xll.HLV5r3.Analytics.Miscellaneous.LinearInterp(Peturbed_QZ,$K98,1,AH$1),ZeroCompFreq,'PDH Calc'!$K98/365)</f>
        <v>1</v>
      </c>
      <c r="AI98" s="8">
        <f ca="1">_xll.HLV5r3.Analytics.Miscellaneous.Zero2DF(_xll.HLV5r3.Analytics.Miscellaneous.LinearInterp(Peturbed_QZ,$K98,1,AI$1),ZeroCompFreq,'PDH Calc'!$K98/365)</f>
        <v>1</v>
      </c>
      <c r="AJ98" s="8">
        <f ca="1">_xll.HLV5r3.Analytics.Miscellaneous.Zero2DF(_xll.HLV5r3.Analytics.Miscellaneous.LinearInterp(Peturbed_QZ,$K98,1,AJ$1),ZeroCompFreq,'PDH Calc'!$K98/365)</f>
        <v>1</v>
      </c>
      <c r="AK98" s="8">
        <f ca="1">_xll.HLV5r3.Analytics.Miscellaneous.Zero2DF(_xll.HLV5r3.Analytics.Miscellaneous.LinearInterp(Peturbed_QZ,$K98,1,AK$1),ZeroCompFreq,'PDH Calc'!$K98/365)</f>
        <v>1</v>
      </c>
    </row>
    <row r="99" spans="1:37">
      <c r="A99" s="4"/>
      <c r="B99" s="6"/>
      <c r="F99" s="11"/>
      <c r="G99" s="6"/>
      <c r="H99" s="20"/>
      <c r="I99" s="21"/>
      <c r="J99" s="26"/>
      <c r="K99" s="6">
        <f t="shared" ca="1" si="8"/>
        <v>0</v>
      </c>
      <c r="L99" s="8">
        <f ca="1">_xll.HLV5r3.Analytics.Miscellaneous.Zero2DF(_xll.HLV5r3.Analytics.Miscellaneous.LinearInterp(Peturbed_QZ,$K99,1,L$1),ZeroCompFreq,'PDH Calc'!$K99/365)</f>
        <v>1</v>
      </c>
      <c r="M99" s="8">
        <f ca="1">_xll.HLV5r3.Analytics.Miscellaneous.Zero2DF(_xll.HLV5r3.Analytics.Miscellaneous.LinearInterp(Peturbed_QZ,$K99,1,M$1),ZeroCompFreq,'PDH Calc'!$K99/365)</f>
        <v>1</v>
      </c>
      <c r="N99" s="8">
        <f ca="1">_xll.HLV5r3.Analytics.Miscellaneous.Zero2DF(_xll.HLV5r3.Analytics.Miscellaneous.LinearInterp(Peturbed_QZ,$K99,1,N$1),ZeroCompFreq,'PDH Calc'!$K99/365)</f>
        <v>1</v>
      </c>
      <c r="O99" s="8">
        <f ca="1">_xll.HLV5r3.Analytics.Miscellaneous.Zero2DF(_xll.HLV5r3.Analytics.Miscellaneous.LinearInterp(Peturbed_QZ,$K99,1,O$1),ZeroCompFreq,'PDH Calc'!$K99/365)</f>
        <v>1</v>
      </c>
      <c r="P99" s="8">
        <f ca="1">_xll.HLV5r3.Analytics.Miscellaneous.Zero2DF(_xll.HLV5r3.Analytics.Miscellaneous.LinearInterp(Peturbed_QZ,$K99,1,P$1),ZeroCompFreq,'PDH Calc'!$K99/365)</f>
        <v>1</v>
      </c>
      <c r="Q99" s="8">
        <f ca="1">_xll.HLV5r3.Analytics.Miscellaneous.Zero2DF(_xll.HLV5r3.Analytics.Miscellaneous.LinearInterp(Peturbed_QZ,$K99,1,Q$1),ZeroCompFreq,'PDH Calc'!$K99/365)</f>
        <v>1</v>
      </c>
      <c r="R99" s="8">
        <f ca="1">_xll.HLV5r3.Analytics.Miscellaneous.Zero2DF(_xll.HLV5r3.Analytics.Miscellaneous.LinearInterp(Peturbed_QZ,$K99,1,R$1),ZeroCompFreq,'PDH Calc'!$K99/365)</f>
        <v>1</v>
      </c>
      <c r="S99" s="8">
        <f ca="1">_xll.HLV5r3.Analytics.Miscellaneous.Zero2DF(_xll.HLV5r3.Analytics.Miscellaneous.LinearInterp(Peturbed_QZ,$K99,1,S$1),ZeroCompFreq,'PDH Calc'!$K99/365)</f>
        <v>1</v>
      </c>
      <c r="T99" s="8">
        <f ca="1">_xll.HLV5r3.Analytics.Miscellaneous.Zero2DF(_xll.HLV5r3.Analytics.Miscellaneous.LinearInterp(Peturbed_QZ,$K99,1,T$1),ZeroCompFreq,'PDH Calc'!$K99/365)</f>
        <v>1</v>
      </c>
      <c r="U99" s="8">
        <f ca="1">_xll.HLV5r3.Analytics.Miscellaneous.Zero2DF(_xll.HLV5r3.Analytics.Miscellaneous.LinearInterp(Peturbed_QZ,$K99,1,U$1),ZeroCompFreq,'PDH Calc'!$K99/365)</f>
        <v>1</v>
      </c>
      <c r="V99" s="8">
        <f ca="1">_xll.HLV5r3.Analytics.Miscellaneous.Zero2DF(_xll.HLV5r3.Analytics.Miscellaneous.LinearInterp(Peturbed_QZ,$K99,1,V$1),ZeroCompFreq,'PDH Calc'!$K99/365)</f>
        <v>1</v>
      </c>
      <c r="W99" s="8">
        <f ca="1">_xll.HLV5r3.Analytics.Miscellaneous.Zero2DF(_xll.HLV5r3.Analytics.Miscellaneous.LinearInterp(Peturbed_QZ,$K99,1,W$1),ZeroCompFreq,'PDH Calc'!$K99/365)</f>
        <v>1</v>
      </c>
      <c r="X99" s="8">
        <f ca="1">_xll.HLV5r3.Analytics.Miscellaneous.Zero2DF(_xll.HLV5r3.Analytics.Miscellaneous.LinearInterp(Peturbed_QZ,$K99,1,X$1),ZeroCompFreq,'PDH Calc'!$K99/365)</f>
        <v>1</v>
      </c>
      <c r="Y99" s="8">
        <f ca="1">_xll.HLV5r3.Analytics.Miscellaneous.Zero2DF(_xll.HLV5r3.Analytics.Miscellaneous.LinearInterp(Peturbed_QZ,$K99,1,Y$1),ZeroCompFreq,'PDH Calc'!$K99/365)</f>
        <v>1</v>
      </c>
      <c r="Z99" s="8">
        <f ca="1">_xll.HLV5r3.Analytics.Miscellaneous.Zero2DF(_xll.HLV5r3.Analytics.Miscellaneous.LinearInterp(Peturbed_QZ,$K99,1,Z$1),ZeroCompFreq,'PDH Calc'!$K99/365)</f>
        <v>1</v>
      </c>
      <c r="AA99" s="8">
        <f ca="1">_xll.HLV5r3.Analytics.Miscellaneous.Zero2DF(_xll.HLV5r3.Analytics.Miscellaneous.LinearInterp(Peturbed_QZ,$K99,1,AA$1),ZeroCompFreq,'PDH Calc'!$K99/365)</f>
        <v>1</v>
      </c>
      <c r="AB99" s="8">
        <f ca="1">_xll.HLV5r3.Analytics.Miscellaneous.Zero2DF(_xll.HLV5r3.Analytics.Miscellaneous.LinearInterp(Peturbed_QZ,$K99,1,AB$1),ZeroCompFreq,'PDH Calc'!$K99/365)</f>
        <v>1</v>
      </c>
      <c r="AC99" s="8">
        <f ca="1">_xll.HLV5r3.Analytics.Miscellaneous.Zero2DF(_xll.HLV5r3.Analytics.Miscellaneous.LinearInterp(Peturbed_QZ,$K99,1,AC$1),ZeroCompFreq,'PDH Calc'!$K99/365)</f>
        <v>1</v>
      </c>
      <c r="AD99" s="8">
        <f ca="1">_xll.HLV5r3.Analytics.Miscellaneous.Zero2DF(_xll.HLV5r3.Analytics.Miscellaneous.LinearInterp(Peturbed_QZ,$K99,1,AD$1),ZeroCompFreq,'PDH Calc'!$K99/365)</f>
        <v>1</v>
      </c>
      <c r="AE99" s="8">
        <f ca="1">_xll.HLV5r3.Analytics.Miscellaneous.Zero2DF(_xll.HLV5r3.Analytics.Miscellaneous.LinearInterp(Peturbed_QZ,$K99,1,AE$1),ZeroCompFreq,'PDH Calc'!$K99/365)</f>
        <v>1</v>
      </c>
      <c r="AF99" s="8">
        <f ca="1">_xll.HLV5r3.Analytics.Miscellaneous.Zero2DF(_xll.HLV5r3.Analytics.Miscellaneous.LinearInterp(Peturbed_QZ,$K99,1,AF$1),ZeroCompFreq,'PDH Calc'!$K99/365)</f>
        <v>1</v>
      </c>
      <c r="AG99" s="8">
        <f ca="1">_xll.HLV5r3.Analytics.Miscellaneous.Zero2DF(_xll.HLV5r3.Analytics.Miscellaneous.LinearInterp(Peturbed_QZ,$K99,1,AG$1),ZeroCompFreq,'PDH Calc'!$K99/365)</f>
        <v>1</v>
      </c>
      <c r="AH99" s="8">
        <f ca="1">_xll.HLV5r3.Analytics.Miscellaneous.Zero2DF(_xll.HLV5r3.Analytics.Miscellaneous.LinearInterp(Peturbed_QZ,$K99,1,AH$1),ZeroCompFreq,'PDH Calc'!$K99/365)</f>
        <v>1</v>
      </c>
      <c r="AI99" s="8">
        <f ca="1">_xll.HLV5r3.Analytics.Miscellaneous.Zero2DF(_xll.HLV5r3.Analytics.Miscellaneous.LinearInterp(Peturbed_QZ,$K99,1,AI$1),ZeroCompFreq,'PDH Calc'!$K99/365)</f>
        <v>1</v>
      </c>
      <c r="AJ99" s="8">
        <f ca="1">_xll.HLV5r3.Analytics.Miscellaneous.Zero2DF(_xll.HLV5r3.Analytics.Miscellaneous.LinearInterp(Peturbed_QZ,$K99,1,AJ$1),ZeroCompFreq,'PDH Calc'!$K99/365)</f>
        <v>1</v>
      </c>
      <c r="AK99" s="8">
        <f ca="1">_xll.HLV5r3.Analytics.Miscellaneous.Zero2DF(_xll.HLV5r3.Analytics.Miscellaneous.LinearInterp(Peturbed_QZ,$K99,1,AK$1),ZeroCompFreq,'PDH Calc'!$K99/365)</f>
        <v>1</v>
      </c>
    </row>
    <row r="100" spans="1:37">
      <c r="A100" s="4"/>
      <c r="B100" s="6"/>
      <c r="F100" s="11"/>
      <c r="G100" s="6"/>
      <c r="H100" s="20"/>
      <c r="I100" s="21"/>
      <c r="J100" s="26"/>
      <c r="K100" s="6">
        <f t="shared" ca="1" si="8"/>
        <v>0</v>
      </c>
      <c r="L100" s="8">
        <f ca="1">_xll.HLV5r3.Analytics.Miscellaneous.Zero2DF(_xll.HLV5r3.Analytics.Miscellaneous.LinearInterp(Peturbed_QZ,$K100,1,L$1),ZeroCompFreq,'PDH Calc'!$K100/365)</f>
        <v>1</v>
      </c>
      <c r="M100" s="8">
        <f ca="1">_xll.HLV5r3.Analytics.Miscellaneous.Zero2DF(_xll.HLV5r3.Analytics.Miscellaneous.LinearInterp(Peturbed_QZ,$K100,1,M$1),ZeroCompFreq,'PDH Calc'!$K100/365)</f>
        <v>1</v>
      </c>
      <c r="N100" s="8">
        <f ca="1">_xll.HLV5r3.Analytics.Miscellaneous.Zero2DF(_xll.HLV5r3.Analytics.Miscellaneous.LinearInterp(Peturbed_QZ,$K100,1,N$1),ZeroCompFreq,'PDH Calc'!$K100/365)</f>
        <v>1</v>
      </c>
      <c r="O100" s="8">
        <f ca="1">_xll.HLV5r3.Analytics.Miscellaneous.Zero2DF(_xll.HLV5r3.Analytics.Miscellaneous.LinearInterp(Peturbed_QZ,$K100,1,O$1),ZeroCompFreq,'PDH Calc'!$K100/365)</f>
        <v>1</v>
      </c>
      <c r="P100" s="8">
        <f ca="1">_xll.HLV5r3.Analytics.Miscellaneous.Zero2DF(_xll.HLV5r3.Analytics.Miscellaneous.LinearInterp(Peturbed_QZ,$K100,1,P$1),ZeroCompFreq,'PDH Calc'!$K100/365)</f>
        <v>1</v>
      </c>
      <c r="Q100" s="8">
        <f ca="1">_xll.HLV5r3.Analytics.Miscellaneous.Zero2DF(_xll.HLV5r3.Analytics.Miscellaneous.LinearInterp(Peturbed_QZ,$K100,1,Q$1),ZeroCompFreq,'PDH Calc'!$K100/365)</f>
        <v>1</v>
      </c>
      <c r="R100" s="8">
        <f ca="1">_xll.HLV5r3.Analytics.Miscellaneous.Zero2DF(_xll.HLV5r3.Analytics.Miscellaneous.LinearInterp(Peturbed_QZ,$K100,1,R$1),ZeroCompFreq,'PDH Calc'!$K100/365)</f>
        <v>1</v>
      </c>
      <c r="S100" s="8">
        <f ca="1">_xll.HLV5r3.Analytics.Miscellaneous.Zero2DF(_xll.HLV5r3.Analytics.Miscellaneous.LinearInterp(Peturbed_QZ,$K100,1,S$1),ZeroCompFreq,'PDH Calc'!$K100/365)</f>
        <v>1</v>
      </c>
      <c r="T100" s="8">
        <f ca="1">_xll.HLV5r3.Analytics.Miscellaneous.Zero2DF(_xll.HLV5r3.Analytics.Miscellaneous.LinearInterp(Peturbed_QZ,$K100,1,T$1),ZeroCompFreq,'PDH Calc'!$K100/365)</f>
        <v>1</v>
      </c>
      <c r="U100" s="8">
        <f ca="1">_xll.HLV5r3.Analytics.Miscellaneous.Zero2DF(_xll.HLV5r3.Analytics.Miscellaneous.LinearInterp(Peturbed_QZ,$K100,1,U$1),ZeroCompFreq,'PDH Calc'!$K100/365)</f>
        <v>1</v>
      </c>
      <c r="V100" s="8">
        <f ca="1">_xll.HLV5r3.Analytics.Miscellaneous.Zero2DF(_xll.HLV5r3.Analytics.Miscellaneous.LinearInterp(Peturbed_QZ,$K100,1,V$1),ZeroCompFreq,'PDH Calc'!$K100/365)</f>
        <v>1</v>
      </c>
      <c r="W100" s="8">
        <f ca="1">_xll.HLV5r3.Analytics.Miscellaneous.Zero2DF(_xll.HLV5r3.Analytics.Miscellaneous.LinearInterp(Peturbed_QZ,$K100,1,W$1),ZeroCompFreq,'PDH Calc'!$K100/365)</f>
        <v>1</v>
      </c>
      <c r="X100" s="8">
        <f ca="1">_xll.HLV5r3.Analytics.Miscellaneous.Zero2DF(_xll.HLV5r3.Analytics.Miscellaneous.LinearInterp(Peturbed_QZ,$K100,1,X$1),ZeroCompFreq,'PDH Calc'!$K100/365)</f>
        <v>1</v>
      </c>
      <c r="Y100" s="8">
        <f ca="1">_xll.HLV5r3.Analytics.Miscellaneous.Zero2DF(_xll.HLV5r3.Analytics.Miscellaneous.LinearInterp(Peturbed_QZ,$K100,1,Y$1),ZeroCompFreq,'PDH Calc'!$K100/365)</f>
        <v>1</v>
      </c>
      <c r="Z100" s="8">
        <f ca="1">_xll.HLV5r3.Analytics.Miscellaneous.Zero2DF(_xll.HLV5r3.Analytics.Miscellaneous.LinearInterp(Peturbed_QZ,$K100,1,Z$1),ZeroCompFreq,'PDH Calc'!$K100/365)</f>
        <v>1</v>
      </c>
      <c r="AA100" s="8">
        <f ca="1">_xll.HLV5r3.Analytics.Miscellaneous.Zero2DF(_xll.HLV5r3.Analytics.Miscellaneous.LinearInterp(Peturbed_QZ,$K100,1,AA$1),ZeroCompFreq,'PDH Calc'!$K100/365)</f>
        <v>1</v>
      </c>
      <c r="AB100" s="8">
        <f ca="1">_xll.HLV5r3.Analytics.Miscellaneous.Zero2DF(_xll.HLV5r3.Analytics.Miscellaneous.LinearInterp(Peturbed_QZ,$K100,1,AB$1),ZeroCompFreq,'PDH Calc'!$K100/365)</f>
        <v>1</v>
      </c>
      <c r="AC100" s="8">
        <f ca="1">_xll.HLV5r3.Analytics.Miscellaneous.Zero2DF(_xll.HLV5r3.Analytics.Miscellaneous.LinearInterp(Peturbed_QZ,$K100,1,AC$1),ZeroCompFreq,'PDH Calc'!$K100/365)</f>
        <v>1</v>
      </c>
      <c r="AD100" s="8">
        <f ca="1">_xll.HLV5r3.Analytics.Miscellaneous.Zero2DF(_xll.HLV5r3.Analytics.Miscellaneous.LinearInterp(Peturbed_QZ,$K100,1,AD$1),ZeroCompFreq,'PDH Calc'!$K100/365)</f>
        <v>1</v>
      </c>
      <c r="AE100" s="8">
        <f ca="1">_xll.HLV5r3.Analytics.Miscellaneous.Zero2DF(_xll.HLV5r3.Analytics.Miscellaneous.LinearInterp(Peturbed_QZ,$K100,1,AE$1),ZeroCompFreq,'PDH Calc'!$K100/365)</f>
        <v>1</v>
      </c>
      <c r="AF100" s="8">
        <f ca="1">_xll.HLV5r3.Analytics.Miscellaneous.Zero2DF(_xll.HLV5r3.Analytics.Miscellaneous.LinearInterp(Peturbed_QZ,$K100,1,AF$1),ZeroCompFreq,'PDH Calc'!$K100/365)</f>
        <v>1</v>
      </c>
      <c r="AG100" s="8">
        <f ca="1">_xll.HLV5r3.Analytics.Miscellaneous.Zero2DF(_xll.HLV5r3.Analytics.Miscellaneous.LinearInterp(Peturbed_QZ,$K100,1,AG$1),ZeroCompFreq,'PDH Calc'!$K100/365)</f>
        <v>1</v>
      </c>
      <c r="AH100" s="8">
        <f ca="1">_xll.HLV5r3.Analytics.Miscellaneous.Zero2DF(_xll.HLV5r3.Analytics.Miscellaneous.LinearInterp(Peturbed_QZ,$K100,1,AH$1),ZeroCompFreq,'PDH Calc'!$K100/365)</f>
        <v>1</v>
      </c>
      <c r="AI100" s="8">
        <f ca="1">_xll.HLV5r3.Analytics.Miscellaneous.Zero2DF(_xll.HLV5r3.Analytics.Miscellaneous.LinearInterp(Peturbed_QZ,$K100,1,AI$1),ZeroCompFreq,'PDH Calc'!$K100/365)</f>
        <v>1</v>
      </c>
      <c r="AJ100" s="8">
        <f ca="1">_xll.HLV5r3.Analytics.Miscellaneous.Zero2DF(_xll.HLV5r3.Analytics.Miscellaneous.LinearInterp(Peturbed_QZ,$K100,1,AJ$1),ZeroCompFreq,'PDH Calc'!$K100/365)</f>
        <v>1</v>
      </c>
      <c r="AK100" s="8">
        <f ca="1">_xll.HLV5r3.Analytics.Miscellaneous.Zero2DF(_xll.HLV5r3.Analytics.Miscellaneous.LinearInterp(Peturbed_QZ,$K100,1,AK$1),ZeroCompFreq,'PDH Calc'!$K100/365)</f>
        <v>1</v>
      </c>
    </row>
    <row r="101" spans="1:37">
      <c r="A101" s="4"/>
      <c r="B101" s="6"/>
      <c r="F101" s="11"/>
      <c r="G101" s="6"/>
      <c r="H101" s="20"/>
      <c r="I101" s="21"/>
      <c r="J101" s="26"/>
      <c r="K101" s="6">
        <f t="shared" ca="1" si="8"/>
        <v>0</v>
      </c>
      <c r="L101" s="8">
        <f ca="1">_xll.HLV5r3.Analytics.Miscellaneous.Zero2DF(_xll.HLV5r3.Analytics.Miscellaneous.LinearInterp(Peturbed_QZ,$K101,1,L$1),ZeroCompFreq,'PDH Calc'!$K101/365)</f>
        <v>1</v>
      </c>
      <c r="M101" s="8">
        <f ca="1">_xll.HLV5r3.Analytics.Miscellaneous.Zero2DF(_xll.HLV5r3.Analytics.Miscellaneous.LinearInterp(Peturbed_QZ,$K101,1,M$1),ZeroCompFreq,'PDH Calc'!$K101/365)</f>
        <v>1</v>
      </c>
      <c r="N101" s="8">
        <f ca="1">_xll.HLV5r3.Analytics.Miscellaneous.Zero2DF(_xll.HLV5r3.Analytics.Miscellaneous.LinearInterp(Peturbed_QZ,$K101,1,N$1),ZeroCompFreq,'PDH Calc'!$K101/365)</f>
        <v>1</v>
      </c>
      <c r="O101" s="8">
        <f ca="1">_xll.HLV5r3.Analytics.Miscellaneous.Zero2DF(_xll.HLV5r3.Analytics.Miscellaneous.LinearInterp(Peturbed_QZ,$K101,1,O$1),ZeroCompFreq,'PDH Calc'!$K101/365)</f>
        <v>1</v>
      </c>
      <c r="P101" s="8">
        <f ca="1">_xll.HLV5r3.Analytics.Miscellaneous.Zero2DF(_xll.HLV5r3.Analytics.Miscellaneous.LinearInterp(Peturbed_QZ,$K101,1,P$1),ZeroCompFreq,'PDH Calc'!$K101/365)</f>
        <v>1</v>
      </c>
      <c r="Q101" s="8">
        <f ca="1">_xll.HLV5r3.Analytics.Miscellaneous.Zero2DF(_xll.HLV5r3.Analytics.Miscellaneous.LinearInterp(Peturbed_QZ,$K101,1,Q$1),ZeroCompFreq,'PDH Calc'!$K101/365)</f>
        <v>1</v>
      </c>
      <c r="R101" s="8">
        <f ca="1">_xll.HLV5r3.Analytics.Miscellaneous.Zero2DF(_xll.HLV5r3.Analytics.Miscellaneous.LinearInterp(Peturbed_QZ,$K101,1,R$1),ZeroCompFreq,'PDH Calc'!$K101/365)</f>
        <v>1</v>
      </c>
      <c r="S101" s="8">
        <f ca="1">_xll.HLV5r3.Analytics.Miscellaneous.Zero2DF(_xll.HLV5r3.Analytics.Miscellaneous.LinearInterp(Peturbed_QZ,$K101,1,S$1),ZeroCompFreq,'PDH Calc'!$K101/365)</f>
        <v>1</v>
      </c>
      <c r="T101" s="8">
        <f ca="1">_xll.HLV5r3.Analytics.Miscellaneous.Zero2DF(_xll.HLV5r3.Analytics.Miscellaneous.LinearInterp(Peturbed_QZ,$K101,1,T$1),ZeroCompFreq,'PDH Calc'!$K101/365)</f>
        <v>1</v>
      </c>
      <c r="U101" s="8">
        <f ca="1">_xll.HLV5r3.Analytics.Miscellaneous.Zero2DF(_xll.HLV5r3.Analytics.Miscellaneous.LinearInterp(Peturbed_QZ,$K101,1,U$1),ZeroCompFreq,'PDH Calc'!$K101/365)</f>
        <v>1</v>
      </c>
      <c r="V101" s="8">
        <f ca="1">_xll.HLV5r3.Analytics.Miscellaneous.Zero2DF(_xll.HLV5r3.Analytics.Miscellaneous.LinearInterp(Peturbed_QZ,$K101,1,V$1),ZeroCompFreq,'PDH Calc'!$K101/365)</f>
        <v>1</v>
      </c>
      <c r="W101" s="8">
        <f ca="1">_xll.HLV5r3.Analytics.Miscellaneous.Zero2DF(_xll.HLV5r3.Analytics.Miscellaneous.LinearInterp(Peturbed_QZ,$K101,1,W$1),ZeroCompFreq,'PDH Calc'!$K101/365)</f>
        <v>1</v>
      </c>
      <c r="X101" s="8">
        <f ca="1">_xll.HLV5r3.Analytics.Miscellaneous.Zero2DF(_xll.HLV5r3.Analytics.Miscellaneous.LinearInterp(Peturbed_QZ,$K101,1,X$1),ZeroCompFreq,'PDH Calc'!$K101/365)</f>
        <v>1</v>
      </c>
      <c r="Y101" s="8">
        <f ca="1">_xll.HLV5r3.Analytics.Miscellaneous.Zero2DF(_xll.HLV5r3.Analytics.Miscellaneous.LinearInterp(Peturbed_QZ,$K101,1,Y$1),ZeroCompFreq,'PDH Calc'!$K101/365)</f>
        <v>1</v>
      </c>
      <c r="Z101" s="8">
        <f ca="1">_xll.HLV5r3.Analytics.Miscellaneous.Zero2DF(_xll.HLV5r3.Analytics.Miscellaneous.LinearInterp(Peturbed_QZ,$K101,1,Z$1),ZeroCompFreq,'PDH Calc'!$K101/365)</f>
        <v>1</v>
      </c>
      <c r="AA101" s="8">
        <f ca="1">_xll.HLV5r3.Analytics.Miscellaneous.Zero2DF(_xll.HLV5r3.Analytics.Miscellaneous.LinearInterp(Peturbed_QZ,$K101,1,AA$1),ZeroCompFreq,'PDH Calc'!$K101/365)</f>
        <v>1</v>
      </c>
      <c r="AB101" s="8">
        <f ca="1">_xll.HLV5r3.Analytics.Miscellaneous.Zero2DF(_xll.HLV5r3.Analytics.Miscellaneous.LinearInterp(Peturbed_QZ,$K101,1,AB$1),ZeroCompFreq,'PDH Calc'!$K101/365)</f>
        <v>1</v>
      </c>
      <c r="AC101" s="8">
        <f ca="1">_xll.HLV5r3.Analytics.Miscellaneous.Zero2DF(_xll.HLV5r3.Analytics.Miscellaneous.LinearInterp(Peturbed_QZ,$K101,1,AC$1),ZeroCompFreq,'PDH Calc'!$K101/365)</f>
        <v>1</v>
      </c>
      <c r="AD101" s="8">
        <f ca="1">_xll.HLV5r3.Analytics.Miscellaneous.Zero2DF(_xll.HLV5r3.Analytics.Miscellaneous.LinearInterp(Peturbed_QZ,$K101,1,AD$1),ZeroCompFreq,'PDH Calc'!$K101/365)</f>
        <v>1</v>
      </c>
      <c r="AE101" s="8">
        <f ca="1">_xll.HLV5r3.Analytics.Miscellaneous.Zero2DF(_xll.HLV5r3.Analytics.Miscellaneous.LinearInterp(Peturbed_QZ,$K101,1,AE$1),ZeroCompFreq,'PDH Calc'!$K101/365)</f>
        <v>1</v>
      </c>
      <c r="AF101" s="8">
        <f ca="1">_xll.HLV5r3.Analytics.Miscellaneous.Zero2DF(_xll.HLV5r3.Analytics.Miscellaneous.LinearInterp(Peturbed_QZ,$K101,1,AF$1),ZeroCompFreq,'PDH Calc'!$K101/365)</f>
        <v>1</v>
      </c>
      <c r="AG101" s="8">
        <f ca="1">_xll.HLV5r3.Analytics.Miscellaneous.Zero2DF(_xll.HLV5r3.Analytics.Miscellaneous.LinearInterp(Peturbed_QZ,$K101,1,AG$1),ZeroCompFreq,'PDH Calc'!$K101/365)</f>
        <v>1</v>
      </c>
      <c r="AH101" s="8">
        <f ca="1">_xll.HLV5r3.Analytics.Miscellaneous.Zero2DF(_xll.HLV5r3.Analytics.Miscellaneous.LinearInterp(Peturbed_QZ,$K101,1,AH$1),ZeroCompFreq,'PDH Calc'!$K101/365)</f>
        <v>1</v>
      </c>
      <c r="AI101" s="8">
        <f ca="1">_xll.HLV5r3.Analytics.Miscellaneous.Zero2DF(_xll.HLV5r3.Analytics.Miscellaneous.LinearInterp(Peturbed_QZ,$K101,1,AI$1),ZeroCompFreq,'PDH Calc'!$K101/365)</f>
        <v>1</v>
      </c>
      <c r="AJ101" s="8">
        <f ca="1">_xll.HLV5r3.Analytics.Miscellaneous.Zero2DF(_xll.HLV5r3.Analytics.Miscellaneous.LinearInterp(Peturbed_QZ,$K101,1,AJ$1),ZeroCompFreq,'PDH Calc'!$K101/365)</f>
        <v>1</v>
      </c>
      <c r="AK101" s="8">
        <f ca="1">_xll.HLV5r3.Analytics.Miscellaneous.Zero2DF(_xll.HLV5r3.Analytics.Miscellaneous.LinearInterp(Peturbed_QZ,$K101,1,AK$1),ZeroCompFreq,'PDH Calc'!$K101/365)</f>
        <v>1</v>
      </c>
    </row>
    <row r="102" spans="1:37">
      <c r="A102" s="4"/>
      <c r="B102" s="6"/>
      <c r="F102" s="11"/>
      <c r="G102" s="6"/>
      <c r="H102" s="20"/>
      <c r="I102" s="21"/>
      <c r="J102" s="26"/>
      <c r="K102" s="6">
        <f t="shared" ca="1" si="8"/>
        <v>0</v>
      </c>
      <c r="L102" s="8">
        <f ca="1">_xll.HLV5r3.Analytics.Miscellaneous.Zero2DF(_xll.HLV5r3.Analytics.Miscellaneous.LinearInterp(Peturbed_QZ,$K102,1,L$1),ZeroCompFreq,'PDH Calc'!$K102/365)</f>
        <v>1</v>
      </c>
      <c r="M102" s="8">
        <f ca="1">_xll.HLV5r3.Analytics.Miscellaneous.Zero2DF(_xll.HLV5r3.Analytics.Miscellaneous.LinearInterp(Peturbed_QZ,$K102,1,M$1),ZeroCompFreq,'PDH Calc'!$K102/365)</f>
        <v>1</v>
      </c>
      <c r="N102" s="8">
        <f ca="1">_xll.HLV5r3.Analytics.Miscellaneous.Zero2DF(_xll.HLV5r3.Analytics.Miscellaneous.LinearInterp(Peturbed_QZ,$K102,1,N$1),ZeroCompFreq,'PDH Calc'!$K102/365)</f>
        <v>1</v>
      </c>
      <c r="O102" s="8">
        <f ca="1">_xll.HLV5r3.Analytics.Miscellaneous.Zero2DF(_xll.HLV5r3.Analytics.Miscellaneous.LinearInterp(Peturbed_QZ,$K102,1,O$1),ZeroCompFreq,'PDH Calc'!$K102/365)</f>
        <v>1</v>
      </c>
      <c r="P102" s="8">
        <f ca="1">_xll.HLV5r3.Analytics.Miscellaneous.Zero2DF(_xll.HLV5r3.Analytics.Miscellaneous.LinearInterp(Peturbed_QZ,$K102,1,P$1),ZeroCompFreq,'PDH Calc'!$K102/365)</f>
        <v>1</v>
      </c>
      <c r="Q102" s="8">
        <f ca="1">_xll.HLV5r3.Analytics.Miscellaneous.Zero2DF(_xll.HLV5r3.Analytics.Miscellaneous.LinearInterp(Peturbed_QZ,$K102,1,Q$1),ZeroCompFreq,'PDH Calc'!$K102/365)</f>
        <v>1</v>
      </c>
      <c r="R102" s="8">
        <f ca="1">_xll.HLV5r3.Analytics.Miscellaneous.Zero2DF(_xll.HLV5r3.Analytics.Miscellaneous.LinearInterp(Peturbed_QZ,$K102,1,R$1),ZeroCompFreq,'PDH Calc'!$K102/365)</f>
        <v>1</v>
      </c>
      <c r="S102" s="8">
        <f ca="1">_xll.HLV5r3.Analytics.Miscellaneous.Zero2DF(_xll.HLV5r3.Analytics.Miscellaneous.LinearInterp(Peturbed_QZ,$K102,1,S$1),ZeroCompFreq,'PDH Calc'!$K102/365)</f>
        <v>1</v>
      </c>
      <c r="T102" s="8">
        <f ca="1">_xll.HLV5r3.Analytics.Miscellaneous.Zero2DF(_xll.HLV5r3.Analytics.Miscellaneous.LinearInterp(Peturbed_QZ,$K102,1,T$1),ZeroCompFreq,'PDH Calc'!$K102/365)</f>
        <v>1</v>
      </c>
      <c r="U102" s="8">
        <f ca="1">_xll.HLV5r3.Analytics.Miscellaneous.Zero2DF(_xll.HLV5r3.Analytics.Miscellaneous.LinearInterp(Peturbed_QZ,$K102,1,U$1),ZeroCompFreq,'PDH Calc'!$K102/365)</f>
        <v>1</v>
      </c>
      <c r="V102" s="8">
        <f ca="1">_xll.HLV5r3.Analytics.Miscellaneous.Zero2DF(_xll.HLV5r3.Analytics.Miscellaneous.LinearInterp(Peturbed_QZ,$K102,1,V$1),ZeroCompFreq,'PDH Calc'!$K102/365)</f>
        <v>1</v>
      </c>
      <c r="W102" s="8">
        <f ca="1">_xll.HLV5r3.Analytics.Miscellaneous.Zero2DF(_xll.HLV5r3.Analytics.Miscellaneous.LinearInterp(Peturbed_QZ,$K102,1,W$1),ZeroCompFreq,'PDH Calc'!$K102/365)</f>
        <v>1</v>
      </c>
      <c r="X102" s="8">
        <f ca="1">_xll.HLV5r3.Analytics.Miscellaneous.Zero2DF(_xll.HLV5r3.Analytics.Miscellaneous.LinearInterp(Peturbed_QZ,$K102,1,X$1),ZeroCompFreq,'PDH Calc'!$K102/365)</f>
        <v>1</v>
      </c>
      <c r="Y102" s="8">
        <f ca="1">_xll.HLV5r3.Analytics.Miscellaneous.Zero2DF(_xll.HLV5r3.Analytics.Miscellaneous.LinearInterp(Peturbed_QZ,$K102,1,Y$1),ZeroCompFreq,'PDH Calc'!$K102/365)</f>
        <v>1</v>
      </c>
      <c r="Z102" s="8">
        <f ca="1">_xll.HLV5r3.Analytics.Miscellaneous.Zero2DF(_xll.HLV5r3.Analytics.Miscellaneous.LinearInterp(Peturbed_QZ,$K102,1,Z$1),ZeroCompFreq,'PDH Calc'!$K102/365)</f>
        <v>1</v>
      </c>
      <c r="AA102" s="8">
        <f ca="1">_xll.HLV5r3.Analytics.Miscellaneous.Zero2DF(_xll.HLV5r3.Analytics.Miscellaneous.LinearInterp(Peturbed_QZ,$K102,1,AA$1),ZeroCompFreq,'PDH Calc'!$K102/365)</f>
        <v>1</v>
      </c>
      <c r="AB102" s="8">
        <f ca="1">_xll.HLV5r3.Analytics.Miscellaneous.Zero2DF(_xll.HLV5r3.Analytics.Miscellaneous.LinearInterp(Peturbed_QZ,$K102,1,AB$1),ZeroCompFreq,'PDH Calc'!$K102/365)</f>
        <v>1</v>
      </c>
      <c r="AC102" s="8">
        <f ca="1">_xll.HLV5r3.Analytics.Miscellaneous.Zero2DF(_xll.HLV5r3.Analytics.Miscellaneous.LinearInterp(Peturbed_QZ,$K102,1,AC$1),ZeroCompFreq,'PDH Calc'!$K102/365)</f>
        <v>1</v>
      </c>
      <c r="AD102" s="8">
        <f ca="1">_xll.HLV5r3.Analytics.Miscellaneous.Zero2DF(_xll.HLV5r3.Analytics.Miscellaneous.LinearInterp(Peturbed_QZ,$K102,1,AD$1),ZeroCompFreq,'PDH Calc'!$K102/365)</f>
        <v>1</v>
      </c>
      <c r="AE102" s="8">
        <f ca="1">_xll.HLV5r3.Analytics.Miscellaneous.Zero2DF(_xll.HLV5r3.Analytics.Miscellaneous.LinearInterp(Peturbed_QZ,$K102,1,AE$1),ZeroCompFreq,'PDH Calc'!$K102/365)</f>
        <v>1</v>
      </c>
      <c r="AF102" s="8">
        <f ca="1">_xll.HLV5r3.Analytics.Miscellaneous.Zero2DF(_xll.HLV5r3.Analytics.Miscellaneous.LinearInterp(Peturbed_QZ,$K102,1,AF$1),ZeroCompFreq,'PDH Calc'!$K102/365)</f>
        <v>1</v>
      </c>
      <c r="AG102" s="8">
        <f ca="1">_xll.HLV5r3.Analytics.Miscellaneous.Zero2DF(_xll.HLV5r3.Analytics.Miscellaneous.LinearInterp(Peturbed_QZ,$K102,1,AG$1),ZeroCompFreq,'PDH Calc'!$K102/365)</f>
        <v>1</v>
      </c>
      <c r="AH102" s="8">
        <f ca="1">_xll.HLV5r3.Analytics.Miscellaneous.Zero2DF(_xll.HLV5r3.Analytics.Miscellaneous.LinearInterp(Peturbed_QZ,$K102,1,AH$1),ZeroCompFreq,'PDH Calc'!$K102/365)</f>
        <v>1</v>
      </c>
      <c r="AI102" s="8">
        <f ca="1">_xll.HLV5r3.Analytics.Miscellaneous.Zero2DF(_xll.HLV5r3.Analytics.Miscellaneous.LinearInterp(Peturbed_QZ,$K102,1,AI$1),ZeroCompFreq,'PDH Calc'!$K102/365)</f>
        <v>1</v>
      </c>
      <c r="AJ102" s="8">
        <f ca="1">_xll.HLV5r3.Analytics.Miscellaneous.Zero2DF(_xll.HLV5r3.Analytics.Miscellaneous.LinearInterp(Peturbed_QZ,$K102,1,AJ$1),ZeroCompFreq,'PDH Calc'!$K102/365)</f>
        <v>1</v>
      </c>
      <c r="AK102" s="8">
        <f ca="1">_xll.HLV5r3.Analytics.Miscellaneous.Zero2DF(_xll.HLV5r3.Analytics.Miscellaneous.LinearInterp(Peturbed_QZ,$K102,1,AK$1),ZeroCompFreq,'PDH Calc'!$K102/365)</f>
        <v>1</v>
      </c>
    </row>
    <row r="103" spans="1:37">
      <c r="A103" s="4"/>
      <c r="B103" s="6"/>
      <c r="F103" s="11"/>
      <c r="G103" s="6"/>
      <c r="H103" s="20"/>
      <c r="I103" s="21"/>
      <c r="J103" s="26"/>
      <c r="K103" s="6">
        <f t="shared" ca="1" si="8"/>
        <v>0</v>
      </c>
      <c r="L103" s="8">
        <f ca="1">_xll.HLV5r3.Analytics.Miscellaneous.Zero2DF(_xll.HLV5r3.Analytics.Miscellaneous.LinearInterp(Peturbed_QZ,$K103,1,L$1),ZeroCompFreq,'PDH Calc'!$K103/365)</f>
        <v>1</v>
      </c>
      <c r="M103" s="8">
        <f ca="1">_xll.HLV5r3.Analytics.Miscellaneous.Zero2DF(_xll.HLV5r3.Analytics.Miscellaneous.LinearInterp(Peturbed_QZ,$K103,1,M$1),ZeroCompFreq,'PDH Calc'!$K103/365)</f>
        <v>1</v>
      </c>
      <c r="N103" s="8">
        <f ca="1">_xll.HLV5r3.Analytics.Miscellaneous.Zero2DF(_xll.HLV5r3.Analytics.Miscellaneous.LinearInterp(Peturbed_QZ,$K103,1,N$1),ZeroCompFreq,'PDH Calc'!$K103/365)</f>
        <v>1</v>
      </c>
      <c r="O103" s="8">
        <f ca="1">_xll.HLV5r3.Analytics.Miscellaneous.Zero2DF(_xll.HLV5r3.Analytics.Miscellaneous.LinearInterp(Peturbed_QZ,$K103,1,O$1),ZeroCompFreq,'PDH Calc'!$K103/365)</f>
        <v>1</v>
      </c>
      <c r="P103" s="8">
        <f ca="1">_xll.HLV5r3.Analytics.Miscellaneous.Zero2DF(_xll.HLV5r3.Analytics.Miscellaneous.LinearInterp(Peturbed_QZ,$K103,1,P$1),ZeroCompFreq,'PDH Calc'!$K103/365)</f>
        <v>1</v>
      </c>
      <c r="Q103" s="8">
        <f ca="1">_xll.HLV5r3.Analytics.Miscellaneous.Zero2DF(_xll.HLV5r3.Analytics.Miscellaneous.LinearInterp(Peturbed_QZ,$K103,1,Q$1),ZeroCompFreq,'PDH Calc'!$K103/365)</f>
        <v>1</v>
      </c>
      <c r="R103" s="8">
        <f ca="1">_xll.HLV5r3.Analytics.Miscellaneous.Zero2DF(_xll.HLV5r3.Analytics.Miscellaneous.LinearInterp(Peturbed_QZ,$K103,1,R$1),ZeroCompFreq,'PDH Calc'!$K103/365)</f>
        <v>1</v>
      </c>
      <c r="S103" s="8">
        <f ca="1">_xll.HLV5r3.Analytics.Miscellaneous.Zero2DF(_xll.HLV5r3.Analytics.Miscellaneous.LinearInterp(Peturbed_QZ,$K103,1,S$1),ZeroCompFreq,'PDH Calc'!$K103/365)</f>
        <v>1</v>
      </c>
      <c r="T103" s="8">
        <f ca="1">_xll.HLV5r3.Analytics.Miscellaneous.Zero2DF(_xll.HLV5r3.Analytics.Miscellaneous.LinearInterp(Peturbed_QZ,$K103,1,T$1),ZeroCompFreq,'PDH Calc'!$K103/365)</f>
        <v>1</v>
      </c>
      <c r="U103" s="8">
        <f ca="1">_xll.HLV5r3.Analytics.Miscellaneous.Zero2DF(_xll.HLV5r3.Analytics.Miscellaneous.LinearInterp(Peturbed_QZ,$K103,1,U$1),ZeroCompFreq,'PDH Calc'!$K103/365)</f>
        <v>1</v>
      </c>
      <c r="V103" s="8">
        <f ca="1">_xll.HLV5r3.Analytics.Miscellaneous.Zero2DF(_xll.HLV5r3.Analytics.Miscellaneous.LinearInterp(Peturbed_QZ,$K103,1,V$1),ZeroCompFreq,'PDH Calc'!$K103/365)</f>
        <v>1</v>
      </c>
      <c r="W103" s="8">
        <f ca="1">_xll.HLV5r3.Analytics.Miscellaneous.Zero2DF(_xll.HLV5r3.Analytics.Miscellaneous.LinearInterp(Peturbed_QZ,$K103,1,W$1),ZeroCompFreq,'PDH Calc'!$K103/365)</f>
        <v>1</v>
      </c>
      <c r="X103" s="8">
        <f ca="1">_xll.HLV5r3.Analytics.Miscellaneous.Zero2DF(_xll.HLV5r3.Analytics.Miscellaneous.LinearInterp(Peturbed_QZ,$K103,1,X$1),ZeroCompFreq,'PDH Calc'!$K103/365)</f>
        <v>1</v>
      </c>
      <c r="Y103" s="8">
        <f ca="1">_xll.HLV5r3.Analytics.Miscellaneous.Zero2DF(_xll.HLV5r3.Analytics.Miscellaneous.LinearInterp(Peturbed_QZ,$K103,1,Y$1),ZeroCompFreq,'PDH Calc'!$K103/365)</f>
        <v>1</v>
      </c>
      <c r="Z103" s="8">
        <f ca="1">_xll.HLV5r3.Analytics.Miscellaneous.Zero2DF(_xll.HLV5r3.Analytics.Miscellaneous.LinearInterp(Peturbed_QZ,$K103,1,Z$1),ZeroCompFreq,'PDH Calc'!$K103/365)</f>
        <v>1</v>
      </c>
      <c r="AA103" s="8">
        <f ca="1">_xll.HLV5r3.Analytics.Miscellaneous.Zero2DF(_xll.HLV5r3.Analytics.Miscellaneous.LinearInterp(Peturbed_QZ,$K103,1,AA$1),ZeroCompFreq,'PDH Calc'!$K103/365)</f>
        <v>1</v>
      </c>
      <c r="AB103" s="8">
        <f ca="1">_xll.HLV5r3.Analytics.Miscellaneous.Zero2DF(_xll.HLV5r3.Analytics.Miscellaneous.LinearInterp(Peturbed_QZ,$K103,1,AB$1),ZeroCompFreq,'PDH Calc'!$K103/365)</f>
        <v>1</v>
      </c>
      <c r="AC103" s="8">
        <f ca="1">_xll.HLV5r3.Analytics.Miscellaneous.Zero2DF(_xll.HLV5r3.Analytics.Miscellaneous.LinearInterp(Peturbed_QZ,$K103,1,AC$1),ZeroCompFreq,'PDH Calc'!$K103/365)</f>
        <v>1</v>
      </c>
      <c r="AD103" s="8">
        <f ca="1">_xll.HLV5r3.Analytics.Miscellaneous.Zero2DF(_xll.HLV5r3.Analytics.Miscellaneous.LinearInterp(Peturbed_QZ,$K103,1,AD$1),ZeroCompFreq,'PDH Calc'!$K103/365)</f>
        <v>1</v>
      </c>
      <c r="AE103" s="8">
        <f ca="1">_xll.HLV5r3.Analytics.Miscellaneous.Zero2DF(_xll.HLV5r3.Analytics.Miscellaneous.LinearInterp(Peturbed_QZ,$K103,1,AE$1),ZeroCompFreq,'PDH Calc'!$K103/365)</f>
        <v>1</v>
      </c>
      <c r="AF103" s="8">
        <f ca="1">_xll.HLV5r3.Analytics.Miscellaneous.Zero2DF(_xll.HLV5r3.Analytics.Miscellaneous.LinearInterp(Peturbed_QZ,$K103,1,AF$1),ZeroCompFreq,'PDH Calc'!$K103/365)</f>
        <v>1</v>
      </c>
      <c r="AG103" s="8">
        <f ca="1">_xll.HLV5r3.Analytics.Miscellaneous.Zero2DF(_xll.HLV5r3.Analytics.Miscellaneous.LinearInterp(Peturbed_QZ,$K103,1,AG$1),ZeroCompFreq,'PDH Calc'!$K103/365)</f>
        <v>1</v>
      </c>
      <c r="AH103" s="8">
        <f ca="1">_xll.HLV5r3.Analytics.Miscellaneous.Zero2DF(_xll.HLV5r3.Analytics.Miscellaneous.LinearInterp(Peturbed_QZ,$K103,1,AH$1),ZeroCompFreq,'PDH Calc'!$K103/365)</f>
        <v>1</v>
      </c>
      <c r="AI103" s="8">
        <f ca="1">_xll.HLV5r3.Analytics.Miscellaneous.Zero2DF(_xll.HLV5r3.Analytics.Miscellaneous.LinearInterp(Peturbed_QZ,$K103,1,AI$1),ZeroCompFreq,'PDH Calc'!$K103/365)</f>
        <v>1</v>
      </c>
      <c r="AJ103" s="8">
        <f ca="1">_xll.HLV5r3.Analytics.Miscellaneous.Zero2DF(_xll.HLV5r3.Analytics.Miscellaneous.LinearInterp(Peturbed_QZ,$K103,1,AJ$1),ZeroCompFreq,'PDH Calc'!$K103/365)</f>
        <v>1</v>
      </c>
      <c r="AK103" s="8">
        <f ca="1">_xll.HLV5r3.Analytics.Miscellaneous.Zero2DF(_xll.HLV5r3.Analytics.Miscellaneous.LinearInterp(Peturbed_QZ,$K103,1,AK$1),ZeroCompFreq,'PDH Calc'!$K103/365)</f>
        <v>1</v>
      </c>
    </row>
    <row r="104" spans="1:37">
      <c r="A104" s="4"/>
      <c r="B104" s="6"/>
      <c r="F104" s="11"/>
      <c r="G104" s="6"/>
      <c r="H104" s="20"/>
      <c r="I104" s="21"/>
      <c r="J104" s="26"/>
      <c r="K104" s="6">
        <f t="shared" ca="1" si="8"/>
        <v>0</v>
      </c>
      <c r="L104" s="8">
        <f ca="1">_xll.HLV5r3.Analytics.Miscellaneous.Zero2DF(_xll.HLV5r3.Analytics.Miscellaneous.LinearInterp(Peturbed_QZ,$K104,1,L$1),ZeroCompFreq,'PDH Calc'!$K104/365)</f>
        <v>1</v>
      </c>
      <c r="M104" s="8">
        <f ca="1">_xll.HLV5r3.Analytics.Miscellaneous.Zero2DF(_xll.HLV5r3.Analytics.Miscellaneous.LinearInterp(Peturbed_QZ,$K104,1,M$1),ZeroCompFreq,'PDH Calc'!$K104/365)</f>
        <v>1</v>
      </c>
      <c r="N104" s="8">
        <f ca="1">_xll.HLV5r3.Analytics.Miscellaneous.Zero2DF(_xll.HLV5r3.Analytics.Miscellaneous.LinearInterp(Peturbed_QZ,$K104,1,N$1),ZeroCompFreq,'PDH Calc'!$K104/365)</f>
        <v>1</v>
      </c>
      <c r="O104" s="8">
        <f ca="1">_xll.HLV5r3.Analytics.Miscellaneous.Zero2DF(_xll.HLV5r3.Analytics.Miscellaneous.LinearInterp(Peturbed_QZ,$K104,1,O$1),ZeroCompFreq,'PDH Calc'!$K104/365)</f>
        <v>1</v>
      </c>
      <c r="P104" s="8">
        <f ca="1">_xll.HLV5r3.Analytics.Miscellaneous.Zero2DF(_xll.HLV5r3.Analytics.Miscellaneous.LinearInterp(Peturbed_QZ,$K104,1,P$1),ZeroCompFreq,'PDH Calc'!$K104/365)</f>
        <v>1</v>
      </c>
      <c r="Q104" s="8">
        <f ca="1">_xll.HLV5r3.Analytics.Miscellaneous.Zero2DF(_xll.HLV5r3.Analytics.Miscellaneous.LinearInterp(Peturbed_QZ,$K104,1,Q$1),ZeroCompFreq,'PDH Calc'!$K104/365)</f>
        <v>1</v>
      </c>
      <c r="R104" s="8">
        <f ca="1">_xll.HLV5r3.Analytics.Miscellaneous.Zero2DF(_xll.HLV5r3.Analytics.Miscellaneous.LinearInterp(Peturbed_QZ,$K104,1,R$1),ZeroCompFreq,'PDH Calc'!$K104/365)</f>
        <v>1</v>
      </c>
      <c r="S104" s="8">
        <f ca="1">_xll.HLV5r3.Analytics.Miscellaneous.Zero2DF(_xll.HLV5r3.Analytics.Miscellaneous.LinearInterp(Peturbed_QZ,$K104,1,S$1),ZeroCompFreq,'PDH Calc'!$K104/365)</f>
        <v>1</v>
      </c>
      <c r="T104" s="8">
        <f ca="1">_xll.HLV5r3.Analytics.Miscellaneous.Zero2DF(_xll.HLV5r3.Analytics.Miscellaneous.LinearInterp(Peturbed_QZ,$K104,1,T$1),ZeroCompFreq,'PDH Calc'!$K104/365)</f>
        <v>1</v>
      </c>
      <c r="U104" s="8">
        <f ca="1">_xll.HLV5r3.Analytics.Miscellaneous.Zero2DF(_xll.HLV5r3.Analytics.Miscellaneous.LinearInterp(Peturbed_QZ,$K104,1,U$1),ZeroCompFreq,'PDH Calc'!$K104/365)</f>
        <v>1</v>
      </c>
      <c r="V104" s="8">
        <f ca="1">_xll.HLV5r3.Analytics.Miscellaneous.Zero2DF(_xll.HLV5r3.Analytics.Miscellaneous.LinearInterp(Peturbed_QZ,$K104,1,V$1),ZeroCompFreq,'PDH Calc'!$K104/365)</f>
        <v>1</v>
      </c>
      <c r="W104" s="8">
        <f ca="1">_xll.HLV5r3.Analytics.Miscellaneous.Zero2DF(_xll.HLV5r3.Analytics.Miscellaneous.LinearInterp(Peturbed_QZ,$K104,1,W$1),ZeroCompFreq,'PDH Calc'!$K104/365)</f>
        <v>1</v>
      </c>
      <c r="X104" s="8">
        <f ca="1">_xll.HLV5r3.Analytics.Miscellaneous.Zero2DF(_xll.HLV5r3.Analytics.Miscellaneous.LinearInterp(Peturbed_QZ,$K104,1,X$1),ZeroCompFreq,'PDH Calc'!$K104/365)</f>
        <v>1</v>
      </c>
      <c r="Y104" s="8">
        <f ca="1">_xll.HLV5r3.Analytics.Miscellaneous.Zero2DF(_xll.HLV5r3.Analytics.Miscellaneous.LinearInterp(Peturbed_QZ,$K104,1,Y$1),ZeroCompFreq,'PDH Calc'!$K104/365)</f>
        <v>1</v>
      </c>
      <c r="Z104" s="8">
        <f ca="1">_xll.HLV5r3.Analytics.Miscellaneous.Zero2DF(_xll.HLV5r3.Analytics.Miscellaneous.LinearInterp(Peturbed_QZ,$K104,1,Z$1),ZeroCompFreq,'PDH Calc'!$K104/365)</f>
        <v>1</v>
      </c>
      <c r="AA104" s="8">
        <f ca="1">_xll.HLV5r3.Analytics.Miscellaneous.Zero2DF(_xll.HLV5r3.Analytics.Miscellaneous.LinearInterp(Peturbed_QZ,$K104,1,AA$1),ZeroCompFreq,'PDH Calc'!$K104/365)</f>
        <v>1</v>
      </c>
      <c r="AB104" s="8">
        <f ca="1">_xll.HLV5r3.Analytics.Miscellaneous.Zero2DF(_xll.HLV5r3.Analytics.Miscellaneous.LinearInterp(Peturbed_QZ,$K104,1,AB$1),ZeroCompFreq,'PDH Calc'!$K104/365)</f>
        <v>1</v>
      </c>
      <c r="AC104" s="8">
        <f ca="1">_xll.HLV5r3.Analytics.Miscellaneous.Zero2DF(_xll.HLV5r3.Analytics.Miscellaneous.LinearInterp(Peturbed_QZ,$K104,1,AC$1),ZeroCompFreq,'PDH Calc'!$K104/365)</f>
        <v>1</v>
      </c>
      <c r="AD104" s="8">
        <f ca="1">_xll.HLV5r3.Analytics.Miscellaneous.Zero2DF(_xll.HLV5r3.Analytics.Miscellaneous.LinearInterp(Peturbed_QZ,$K104,1,AD$1),ZeroCompFreq,'PDH Calc'!$K104/365)</f>
        <v>1</v>
      </c>
      <c r="AE104" s="8">
        <f ca="1">_xll.HLV5r3.Analytics.Miscellaneous.Zero2DF(_xll.HLV5r3.Analytics.Miscellaneous.LinearInterp(Peturbed_QZ,$K104,1,AE$1),ZeroCompFreq,'PDH Calc'!$K104/365)</f>
        <v>1</v>
      </c>
      <c r="AF104" s="8">
        <f ca="1">_xll.HLV5r3.Analytics.Miscellaneous.Zero2DF(_xll.HLV5r3.Analytics.Miscellaneous.LinearInterp(Peturbed_QZ,$K104,1,AF$1),ZeroCompFreq,'PDH Calc'!$K104/365)</f>
        <v>1</v>
      </c>
      <c r="AG104" s="8">
        <f ca="1">_xll.HLV5r3.Analytics.Miscellaneous.Zero2DF(_xll.HLV5r3.Analytics.Miscellaneous.LinearInterp(Peturbed_QZ,$K104,1,AG$1),ZeroCompFreq,'PDH Calc'!$K104/365)</f>
        <v>1</v>
      </c>
      <c r="AH104" s="8">
        <f ca="1">_xll.HLV5r3.Analytics.Miscellaneous.Zero2DF(_xll.HLV5r3.Analytics.Miscellaneous.LinearInterp(Peturbed_QZ,$K104,1,AH$1),ZeroCompFreq,'PDH Calc'!$K104/365)</f>
        <v>1</v>
      </c>
      <c r="AI104" s="8">
        <f ca="1">_xll.HLV5r3.Analytics.Miscellaneous.Zero2DF(_xll.HLV5r3.Analytics.Miscellaneous.LinearInterp(Peturbed_QZ,$K104,1,AI$1),ZeroCompFreq,'PDH Calc'!$K104/365)</f>
        <v>1</v>
      </c>
      <c r="AJ104" s="8">
        <f ca="1">_xll.HLV5r3.Analytics.Miscellaneous.Zero2DF(_xll.HLV5r3.Analytics.Miscellaneous.LinearInterp(Peturbed_QZ,$K104,1,AJ$1),ZeroCompFreq,'PDH Calc'!$K104/365)</f>
        <v>1</v>
      </c>
      <c r="AK104" s="8">
        <f ca="1">_xll.HLV5r3.Analytics.Miscellaneous.Zero2DF(_xll.HLV5r3.Analytics.Miscellaneous.LinearInterp(Peturbed_QZ,$K104,1,AK$1),ZeroCompFreq,'PDH Calc'!$K104/365)</f>
        <v>1</v>
      </c>
    </row>
    <row r="105" spans="1:37">
      <c r="A105" s="4"/>
      <c r="B105" s="6"/>
      <c r="F105" s="11"/>
      <c r="G105" s="6"/>
      <c r="H105" s="20"/>
      <c r="I105" s="21"/>
      <c r="J105" s="26"/>
      <c r="K105" s="6">
        <f t="shared" ca="1" si="8"/>
        <v>0</v>
      </c>
      <c r="L105" s="8">
        <f ca="1">_xll.HLV5r3.Analytics.Miscellaneous.Zero2DF(_xll.HLV5r3.Analytics.Miscellaneous.LinearInterp(Peturbed_QZ,$K105,1,L$1),ZeroCompFreq,'PDH Calc'!$K105/365)</f>
        <v>1</v>
      </c>
      <c r="M105" s="8">
        <f ca="1">_xll.HLV5r3.Analytics.Miscellaneous.Zero2DF(_xll.HLV5r3.Analytics.Miscellaneous.LinearInterp(Peturbed_QZ,$K105,1,M$1),ZeroCompFreq,'PDH Calc'!$K105/365)</f>
        <v>1</v>
      </c>
      <c r="N105" s="8">
        <f ca="1">_xll.HLV5r3.Analytics.Miscellaneous.Zero2DF(_xll.HLV5r3.Analytics.Miscellaneous.LinearInterp(Peturbed_QZ,$K105,1,N$1),ZeroCompFreq,'PDH Calc'!$K105/365)</f>
        <v>1</v>
      </c>
      <c r="O105" s="8">
        <f ca="1">_xll.HLV5r3.Analytics.Miscellaneous.Zero2DF(_xll.HLV5r3.Analytics.Miscellaneous.LinearInterp(Peturbed_QZ,$K105,1,O$1),ZeroCompFreq,'PDH Calc'!$K105/365)</f>
        <v>1</v>
      </c>
      <c r="P105" s="8">
        <f ca="1">_xll.HLV5r3.Analytics.Miscellaneous.Zero2DF(_xll.HLV5r3.Analytics.Miscellaneous.LinearInterp(Peturbed_QZ,$K105,1,P$1),ZeroCompFreq,'PDH Calc'!$K105/365)</f>
        <v>1</v>
      </c>
      <c r="Q105" s="8">
        <f ca="1">_xll.HLV5r3.Analytics.Miscellaneous.Zero2DF(_xll.HLV5r3.Analytics.Miscellaneous.LinearInterp(Peturbed_QZ,$K105,1,Q$1),ZeroCompFreq,'PDH Calc'!$K105/365)</f>
        <v>1</v>
      </c>
      <c r="R105" s="8">
        <f ca="1">_xll.HLV5r3.Analytics.Miscellaneous.Zero2DF(_xll.HLV5r3.Analytics.Miscellaneous.LinearInterp(Peturbed_QZ,$K105,1,R$1),ZeroCompFreq,'PDH Calc'!$K105/365)</f>
        <v>1</v>
      </c>
      <c r="S105" s="8">
        <f ca="1">_xll.HLV5r3.Analytics.Miscellaneous.Zero2DF(_xll.HLV5r3.Analytics.Miscellaneous.LinearInterp(Peturbed_QZ,$K105,1,S$1),ZeroCompFreq,'PDH Calc'!$K105/365)</f>
        <v>1</v>
      </c>
      <c r="T105" s="8">
        <f ca="1">_xll.HLV5r3.Analytics.Miscellaneous.Zero2DF(_xll.HLV5r3.Analytics.Miscellaneous.LinearInterp(Peturbed_QZ,$K105,1,T$1),ZeroCompFreq,'PDH Calc'!$K105/365)</f>
        <v>1</v>
      </c>
      <c r="U105" s="8">
        <f ca="1">_xll.HLV5r3.Analytics.Miscellaneous.Zero2DF(_xll.HLV5r3.Analytics.Miscellaneous.LinearInterp(Peturbed_QZ,$K105,1,U$1),ZeroCompFreq,'PDH Calc'!$K105/365)</f>
        <v>1</v>
      </c>
      <c r="V105" s="8">
        <f ca="1">_xll.HLV5r3.Analytics.Miscellaneous.Zero2DF(_xll.HLV5r3.Analytics.Miscellaneous.LinearInterp(Peturbed_QZ,$K105,1,V$1),ZeroCompFreq,'PDH Calc'!$K105/365)</f>
        <v>1</v>
      </c>
      <c r="W105" s="8">
        <f ca="1">_xll.HLV5r3.Analytics.Miscellaneous.Zero2DF(_xll.HLV5r3.Analytics.Miscellaneous.LinearInterp(Peturbed_QZ,$K105,1,W$1),ZeroCompFreq,'PDH Calc'!$K105/365)</f>
        <v>1</v>
      </c>
      <c r="X105" s="8">
        <f ca="1">_xll.HLV5r3.Analytics.Miscellaneous.Zero2DF(_xll.HLV5r3.Analytics.Miscellaneous.LinearInterp(Peturbed_QZ,$K105,1,X$1),ZeroCompFreq,'PDH Calc'!$K105/365)</f>
        <v>1</v>
      </c>
      <c r="Y105" s="8">
        <f ca="1">_xll.HLV5r3.Analytics.Miscellaneous.Zero2DF(_xll.HLV5r3.Analytics.Miscellaneous.LinearInterp(Peturbed_QZ,$K105,1,Y$1),ZeroCompFreq,'PDH Calc'!$K105/365)</f>
        <v>1</v>
      </c>
      <c r="Z105" s="8">
        <f ca="1">_xll.HLV5r3.Analytics.Miscellaneous.Zero2DF(_xll.HLV5r3.Analytics.Miscellaneous.LinearInterp(Peturbed_QZ,$K105,1,Z$1),ZeroCompFreq,'PDH Calc'!$K105/365)</f>
        <v>1</v>
      </c>
      <c r="AA105" s="8">
        <f ca="1">_xll.HLV5r3.Analytics.Miscellaneous.Zero2DF(_xll.HLV5r3.Analytics.Miscellaneous.LinearInterp(Peturbed_QZ,$K105,1,AA$1),ZeroCompFreq,'PDH Calc'!$K105/365)</f>
        <v>1</v>
      </c>
      <c r="AB105" s="8">
        <f ca="1">_xll.HLV5r3.Analytics.Miscellaneous.Zero2DF(_xll.HLV5r3.Analytics.Miscellaneous.LinearInterp(Peturbed_QZ,$K105,1,AB$1),ZeroCompFreq,'PDH Calc'!$K105/365)</f>
        <v>1</v>
      </c>
      <c r="AC105" s="8">
        <f ca="1">_xll.HLV5r3.Analytics.Miscellaneous.Zero2DF(_xll.HLV5r3.Analytics.Miscellaneous.LinearInterp(Peturbed_QZ,$K105,1,AC$1),ZeroCompFreq,'PDH Calc'!$K105/365)</f>
        <v>1</v>
      </c>
      <c r="AD105" s="8">
        <f ca="1">_xll.HLV5r3.Analytics.Miscellaneous.Zero2DF(_xll.HLV5r3.Analytics.Miscellaneous.LinearInterp(Peturbed_QZ,$K105,1,AD$1),ZeroCompFreq,'PDH Calc'!$K105/365)</f>
        <v>1</v>
      </c>
      <c r="AE105" s="8">
        <f ca="1">_xll.HLV5r3.Analytics.Miscellaneous.Zero2DF(_xll.HLV5r3.Analytics.Miscellaneous.LinearInterp(Peturbed_QZ,$K105,1,AE$1),ZeroCompFreq,'PDH Calc'!$K105/365)</f>
        <v>1</v>
      </c>
      <c r="AF105" s="8">
        <f ca="1">_xll.HLV5r3.Analytics.Miscellaneous.Zero2DF(_xll.HLV5r3.Analytics.Miscellaneous.LinearInterp(Peturbed_QZ,$K105,1,AF$1),ZeroCompFreq,'PDH Calc'!$K105/365)</f>
        <v>1</v>
      </c>
      <c r="AG105" s="8">
        <f ca="1">_xll.HLV5r3.Analytics.Miscellaneous.Zero2DF(_xll.HLV5r3.Analytics.Miscellaneous.LinearInterp(Peturbed_QZ,$K105,1,AG$1),ZeroCompFreq,'PDH Calc'!$K105/365)</f>
        <v>1</v>
      </c>
      <c r="AH105" s="8">
        <f ca="1">_xll.HLV5r3.Analytics.Miscellaneous.Zero2DF(_xll.HLV5r3.Analytics.Miscellaneous.LinearInterp(Peturbed_QZ,$K105,1,AH$1),ZeroCompFreq,'PDH Calc'!$K105/365)</f>
        <v>1</v>
      </c>
      <c r="AI105" s="8">
        <f ca="1">_xll.HLV5r3.Analytics.Miscellaneous.Zero2DF(_xll.HLV5r3.Analytics.Miscellaneous.LinearInterp(Peturbed_QZ,$K105,1,AI$1),ZeroCompFreq,'PDH Calc'!$K105/365)</f>
        <v>1</v>
      </c>
      <c r="AJ105" s="8">
        <f ca="1">_xll.HLV5r3.Analytics.Miscellaneous.Zero2DF(_xll.HLV5r3.Analytics.Miscellaneous.LinearInterp(Peturbed_QZ,$K105,1,AJ$1),ZeroCompFreq,'PDH Calc'!$K105/365)</f>
        <v>1</v>
      </c>
      <c r="AK105" s="8">
        <f ca="1">_xll.HLV5r3.Analytics.Miscellaneous.Zero2DF(_xll.HLV5r3.Analytics.Miscellaneous.LinearInterp(Peturbed_QZ,$K105,1,AK$1),ZeroCompFreq,'PDH Calc'!$K105/365)</f>
        <v>1</v>
      </c>
    </row>
    <row r="106" spans="1:37">
      <c r="A106" s="4"/>
      <c r="B106" s="6"/>
      <c r="F106" s="11"/>
      <c r="G106" s="6"/>
      <c r="H106" s="20"/>
      <c r="I106" s="21"/>
      <c r="J106" s="26"/>
      <c r="K106" s="6">
        <f t="shared" ca="1" si="8"/>
        <v>0</v>
      </c>
      <c r="L106" s="8">
        <f ca="1">_xll.HLV5r3.Analytics.Miscellaneous.Zero2DF(_xll.HLV5r3.Analytics.Miscellaneous.LinearInterp(Peturbed_QZ,$K106,1,L$1),ZeroCompFreq,'PDH Calc'!$K106/365)</f>
        <v>1</v>
      </c>
      <c r="M106" s="8">
        <f ca="1">_xll.HLV5r3.Analytics.Miscellaneous.Zero2DF(_xll.HLV5r3.Analytics.Miscellaneous.LinearInterp(Peturbed_QZ,$K106,1,M$1),ZeroCompFreq,'PDH Calc'!$K106/365)</f>
        <v>1</v>
      </c>
      <c r="N106" s="8">
        <f ca="1">_xll.HLV5r3.Analytics.Miscellaneous.Zero2DF(_xll.HLV5r3.Analytics.Miscellaneous.LinearInterp(Peturbed_QZ,$K106,1,N$1),ZeroCompFreq,'PDH Calc'!$K106/365)</f>
        <v>1</v>
      </c>
      <c r="O106" s="8">
        <f ca="1">_xll.HLV5r3.Analytics.Miscellaneous.Zero2DF(_xll.HLV5r3.Analytics.Miscellaneous.LinearInterp(Peturbed_QZ,$K106,1,O$1),ZeroCompFreq,'PDH Calc'!$K106/365)</f>
        <v>1</v>
      </c>
      <c r="P106" s="8">
        <f ca="1">_xll.HLV5r3.Analytics.Miscellaneous.Zero2DF(_xll.HLV5r3.Analytics.Miscellaneous.LinearInterp(Peturbed_QZ,$K106,1,P$1),ZeroCompFreq,'PDH Calc'!$K106/365)</f>
        <v>1</v>
      </c>
      <c r="Q106" s="8">
        <f ca="1">_xll.HLV5r3.Analytics.Miscellaneous.Zero2DF(_xll.HLV5r3.Analytics.Miscellaneous.LinearInterp(Peturbed_QZ,$K106,1,Q$1),ZeroCompFreq,'PDH Calc'!$K106/365)</f>
        <v>1</v>
      </c>
      <c r="R106" s="8">
        <f ca="1">_xll.HLV5r3.Analytics.Miscellaneous.Zero2DF(_xll.HLV5r3.Analytics.Miscellaneous.LinearInterp(Peturbed_QZ,$K106,1,R$1),ZeroCompFreq,'PDH Calc'!$K106/365)</f>
        <v>1</v>
      </c>
      <c r="S106" s="8">
        <f ca="1">_xll.HLV5r3.Analytics.Miscellaneous.Zero2DF(_xll.HLV5r3.Analytics.Miscellaneous.LinearInterp(Peturbed_QZ,$K106,1,S$1),ZeroCompFreq,'PDH Calc'!$K106/365)</f>
        <v>1</v>
      </c>
      <c r="T106" s="8">
        <f ca="1">_xll.HLV5r3.Analytics.Miscellaneous.Zero2DF(_xll.HLV5r3.Analytics.Miscellaneous.LinearInterp(Peturbed_QZ,$K106,1,T$1),ZeroCompFreq,'PDH Calc'!$K106/365)</f>
        <v>1</v>
      </c>
      <c r="U106" s="8">
        <f ca="1">_xll.HLV5r3.Analytics.Miscellaneous.Zero2DF(_xll.HLV5r3.Analytics.Miscellaneous.LinearInterp(Peturbed_QZ,$K106,1,U$1),ZeroCompFreq,'PDH Calc'!$K106/365)</f>
        <v>1</v>
      </c>
      <c r="V106" s="8">
        <f ca="1">_xll.HLV5r3.Analytics.Miscellaneous.Zero2DF(_xll.HLV5r3.Analytics.Miscellaneous.LinearInterp(Peturbed_QZ,$K106,1,V$1),ZeroCompFreq,'PDH Calc'!$K106/365)</f>
        <v>1</v>
      </c>
      <c r="W106" s="8">
        <f ca="1">_xll.HLV5r3.Analytics.Miscellaneous.Zero2DF(_xll.HLV5r3.Analytics.Miscellaneous.LinearInterp(Peturbed_QZ,$K106,1,W$1),ZeroCompFreq,'PDH Calc'!$K106/365)</f>
        <v>1</v>
      </c>
      <c r="X106" s="8">
        <f ca="1">_xll.HLV5r3.Analytics.Miscellaneous.Zero2DF(_xll.HLV5r3.Analytics.Miscellaneous.LinearInterp(Peturbed_QZ,$K106,1,X$1),ZeroCompFreq,'PDH Calc'!$K106/365)</f>
        <v>1</v>
      </c>
      <c r="Y106" s="8">
        <f ca="1">_xll.HLV5r3.Analytics.Miscellaneous.Zero2DF(_xll.HLV5r3.Analytics.Miscellaneous.LinearInterp(Peturbed_QZ,$K106,1,Y$1),ZeroCompFreq,'PDH Calc'!$K106/365)</f>
        <v>1</v>
      </c>
      <c r="Z106" s="8">
        <f ca="1">_xll.HLV5r3.Analytics.Miscellaneous.Zero2DF(_xll.HLV5r3.Analytics.Miscellaneous.LinearInterp(Peturbed_QZ,$K106,1,Z$1),ZeroCompFreq,'PDH Calc'!$K106/365)</f>
        <v>1</v>
      </c>
      <c r="AA106" s="8">
        <f ca="1">_xll.HLV5r3.Analytics.Miscellaneous.Zero2DF(_xll.HLV5r3.Analytics.Miscellaneous.LinearInterp(Peturbed_QZ,$K106,1,AA$1),ZeroCompFreq,'PDH Calc'!$K106/365)</f>
        <v>1</v>
      </c>
      <c r="AB106" s="8">
        <f ca="1">_xll.HLV5r3.Analytics.Miscellaneous.Zero2DF(_xll.HLV5r3.Analytics.Miscellaneous.LinearInterp(Peturbed_QZ,$K106,1,AB$1),ZeroCompFreq,'PDH Calc'!$K106/365)</f>
        <v>1</v>
      </c>
      <c r="AC106" s="8">
        <f ca="1">_xll.HLV5r3.Analytics.Miscellaneous.Zero2DF(_xll.HLV5r3.Analytics.Miscellaneous.LinearInterp(Peturbed_QZ,$K106,1,AC$1),ZeroCompFreq,'PDH Calc'!$K106/365)</f>
        <v>1</v>
      </c>
      <c r="AD106" s="8">
        <f ca="1">_xll.HLV5r3.Analytics.Miscellaneous.Zero2DF(_xll.HLV5r3.Analytics.Miscellaneous.LinearInterp(Peturbed_QZ,$K106,1,AD$1),ZeroCompFreq,'PDH Calc'!$K106/365)</f>
        <v>1</v>
      </c>
      <c r="AE106" s="8">
        <f ca="1">_xll.HLV5r3.Analytics.Miscellaneous.Zero2DF(_xll.HLV5r3.Analytics.Miscellaneous.LinearInterp(Peturbed_QZ,$K106,1,AE$1),ZeroCompFreq,'PDH Calc'!$K106/365)</f>
        <v>1</v>
      </c>
      <c r="AF106" s="8">
        <f ca="1">_xll.HLV5r3.Analytics.Miscellaneous.Zero2DF(_xll.HLV5r3.Analytics.Miscellaneous.LinearInterp(Peturbed_QZ,$K106,1,AF$1),ZeroCompFreq,'PDH Calc'!$K106/365)</f>
        <v>1</v>
      </c>
      <c r="AG106" s="8">
        <f ca="1">_xll.HLV5r3.Analytics.Miscellaneous.Zero2DF(_xll.HLV5r3.Analytics.Miscellaneous.LinearInterp(Peturbed_QZ,$K106,1,AG$1),ZeroCompFreq,'PDH Calc'!$K106/365)</f>
        <v>1</v>
      </c>
      <c r="AH106" s="8">
        <f ca="1">_xll.HLV5r3.Analytics.Miscellaneous.Zero2DF(_xll.HLV5r3.Analytics.Miscellaneous.LinearInterp(Peturbed_QZ,$K106,1,AH$1),ZeroCompFreq,'PDH Calc'!$K106/365)</f>
        <v>1</v>
      </c>
      <c r="AI106" s="8">
        <f ca="1">_xll.HLV5r3.Analytics.Miscellaneous.Zero2DF(_xll.HLV5r3.Analytics.Miscellaneous.LinearInterp(Peturbed_QZ,$K106,1,AI$1),ZeroCompFreq,'PDH Calc'!$K106/365)</f>
        <v>1</v>
      </c>
      <c r="AJ106" s="8">
        <f ca="1">_xll.HLV5r3.Analytics.Miscellaneous.Zero2DF(_xll.HLV5r3.Analytics.Miscellaneous.LinearInterp(Peturbed_QZ,$K106,1,AJ$1),ZeroCompFreq,'PDH Calc'!$K106/365)</f>
        <v>1</v>
      </c>
      <c r="AK106" s="8">
        <f ca="1">_xll.HLV5r3.Analytics.Miscellaneous.Zero2DF(_xll.HLV5r3.Analytics.Miscellaneous.LinearInterp(Peturbed_QZ,$K106,1,AK$1),ZeroCompFreq,'PDH Calc'!$K106/365)</f>
        <v>1</v>
      </c>
    </row>
    <row r="107" spans="1:37">
      <c r="A107" s="4"/>
      <c r="B107" s="6"/>
      <c r="F107" s="11"/>
      <c r="G107" s="6"/>
      <c r="H107" s="20"/>
      <c r="I107" s="21"/>
      <c r="J107" s="26"/>
      <c r="K107" s="6">
        <f t="shared" ca="1" si="8"/>
        <v>0</v>
      </c>
      <c r="L107" s="8">
        <f ca="1">_xll.HLV5r3.Analytics.Miscellaneous.Zero2DF(_xll.HLV5r3.Analytics.Miscellaneous.LinearInterp(Peturbed_QZ,$K107,1,L$1),ZeroCompFreq,'PDH Calc'!$K107/365)</f>
        <v>1</v>
      </c>
      <c r="M107" s="8">
        <f ca="1">_xll.HLV5r3.Analytics.Miscellaneous.Zero2DF(_xll.HLV5r3.Analytics.Miscellaneous.LinearInterp(Peturbed_QZ,$K107,1,M$1),ZeroCompFreq,'PDH Calc'!$K107/365)</f>
        <v>1</v>
      </c>
      <c r="N107" s="8">
        <f ca="1">_xll.HLV5r3.Analytics.Miscellaneous.Zero2DF(_xll.HLV5r3.Analytics.Miscellaneous.LinearInterp(Peturbed_QZ,$K107,1,N$1),ZeroCompFreq,'PDH Calc'!$K107/365)</f>
        <v>1</v>
      </c>
      <c r="O107" s="8">
        <f ca="1">_xll.HLV5r3.Analytics.Miscellaneous.Zero2DF(_xll.HLV5r3.Analytics.Miscellaneous.LinearInterp(Peturbed_QZ,$K107,1,O$1),ZeroCompFreq,'PDH Calc'!$K107/365)</f>
        <v>1</v>
      </c>
      <c r="P107" s="8">
        <f ca="1">_xll.HLV5r3.Analytics.Miscellaneous.Zero2DF(_xll.HLV5r3.Analytics.Miscellaneous.LinearInterp(Peturbed_QZ,$K107,1,P$1),ZeroCompFreq,'PDH Calc'!$K107/365)</f>
        <v>1</v>
      </c>
      <c r="Q107" s="8">
        <f ca="1">_xll.HLV5r3.Analytics.Miscellaneous.Zero2DF(_xll.HLV5r3.Analytics.Miscellaneous.LinearInterp(Peturbed_QZ,$K107,1,Q$1),ZeroCompFreq,'PDH Calc'!$K107/365)</f>
        <v>1</v>
      </c>
      <c r="R107" s="8">
        <f ca="1">_xll.HLV5r3.Analytics.Miscellaneous.Zero2DF(_xll.HLV5r3.Analytics.Miscellaneous.LinearInterp(Peturbed_QZ,$K107,1,R$1),ZeroCompFreq,'PDH Calc'!$K107/365)</f>
        <v>1</v>
      </c>
      <c r="S107" s="8">
        <f ca="1">_xll.HLV5r3.Analytics.Miscellaneous.Zero2DF(_xll.HLV5r3.Analytics.Miscellaneous.LinearInterp(Peturbed_QZ,$K107,1,S$1),ZeroCompFreq,'PDH Calc'!$K107/365)</f>
        <v>1</v>
      </c>
      <c r="T107" s="8">
        <f ca="1">_xll.HLV5r3.Analytics.Miscellaneous.Zero2DF(_xll.HLV5r3.Analytics.Miscellaneous.LinearInterp(Peturbed_QZ,$K107,1,T$1),ZeroCompFreq,'PDH Calc'!$K107/365)</f>
        <v>1</v>
      </c>
      <c r="U107" s="8">
        <f ca="1">_xll.HLV5r3.Analytics.Miscellaneous.Zero2DF(_xll.HLV5r3.Analytics.Miscellaneous.LinearInterp(Peturbed_QZ,$K107,1,U$1),ZeroCompFreq,'PDH Calc'!$K107/365)</f>
        <v>1</v>
      </c>
      <c r="V107" s="8">
        <f ca="1">_xll.HLV5r3.Analytics.Miscellaneous.Zero2DF(_xll.HLV5r3.Analytics.Miscellaneous.LinearInterp(Peturbed_QZ,$K107,1,V$1),ZeroCompFreq,'PDH Calc'!$K107/365)</f>
        <v>1</v>
      </c>
      <c r="W107" s="8">
        <f ca="1">_xll.HLV5r3.Analytics.Miscellaneous.Zero2DF(_xll.HLV5r3.Analytics.Miscellaneous.LinearInterp(Peturbed_QZ,$K107,1,W$1),ZeroCompFreq,'PDH Calc'!$K107/365)</f>
        <v>1</v>
      </c>
      <c r="X107" s="8">
        <f ca="1">_xll.HLV5r3.Analytics.Miscellaneous.Zero2DF(_xll.HLV5r3.Analytics.Miscellaneous.LinearInterp(Peturbed_QZ,$K107,1,X$1),ZeroCompFreq,'PDH Calc'!$K107/365)</f>
        <v>1</v>
      </c>
      <c r="Y107" s="8">
        <f ca="1">_xll.HLV5r3.Analytics.Miscellaneous.Zero2DF(_xll.HLV5r3.Analytics.Miscellaneous.LinearInterp(Peturbed_QZ,$K107,1,Y$1),ZeroCompFreq,'PDH Calc'!$K107/365)</f>
        <v>1</v>
      </c>
      <c r="Z107" s="8">
        <f ca="1">_xll.HLV5r3.Analytics.Miscellaneous.Zero2DF(_xll.HLV5r3.Analytics.Miscellaneous.LinearInterp(Peturbed_QZ,$K107,1,Z$1),ZeroCompFreq,'PDH Calc'!$K107/365)</f>
        <v>1</v>
      </c>
      <c r="AA107" s="8">
        <f ca="1">_xll.HLV5r3.Analytics.Miscellaneous.Zero2DF(_xll.HLV5r3.Analytics.Miscellaneous.LinearInterp(Peturbed_QZ,$K107,1,AA$1),ZeroCompFreq,'PDH Calc'!$K107/365)</f>
        <v>1</v>
      </c>
      <c r="AB107" s="8">
        <f ca="1">_xll.HLV5r3.Analytics.Miscellaneous.Zero2DF(_xll.HLV5r3.Analytics.Miscellaneous.LinearInterp(Peturbed_QZ,$K107,1,AB$1),ZeroCompFreq,'PDH Calc'!$K107/365)</f>
        <v>1</v>
      </c>
      <c r="AC107" s="8">
        <f ca="1">_xll.HLV5r3.Analytics.Miscellaneous.Zero2DF(_xll.HLV5r3.Analytics.Miscellaneous.LinearInterp(Peturbed_QZ,$K107,1,AC$1),ZeroCompFreq,'PDH Calc'!$K107/365)</f>
        <v>1</v>
      </c>
      <c r="AD107" s="8">
        <f ca="1">_xll.HLV5r3.Analytics.Miscellaneous.Zero2DF(_xll.HLV5r3.Analytics.Miscellaneous.LinearInterp(Peturbed_QZ,$K107,1,AD$1),ZeroCompFreq,'PDH Calc'!$K107/365)</f>
        <v>1</v>
      </c>
      <c r="AE107" s="8">
        <f ca="1">_xll.HLV5r3.Analytics.Miscellaneous.Zero2DF(_xll.HLV5r3.Analytics.Miscellaneous.LinearInterp(Peturbed_QZ,$K107,1,AE$1),ZeroCompFreq,'PDH Calc'!$K107/365)</f>
        <v>1</v>
      </c>
      <c r="AF107" s="8">
        <f ca="1">_xll.HLV5r3.Analytics.Miscellaneous.Zero2DF(_xll.HLV5r3.Analytics.Miscellaneous.LinearInterp(Peturbed_QZ,$K107,1,AF$1),ZeroCompFreq,'PDH Calc'!$K107/365)</f>
        <v>1</v>
      </c>
      <c r="AG107" s="8">
        <f ca="1">_xll.HLV5r3.Analytics.Miscellaneous.Zero2DF(_xll.HLV5r3.Analytics.Miscellaneous.LinearInterp(Peturbed_QZ,$K107,1,AG$1),ZeroCompFreq,'PDH Calc'!$K107/365)</f>
        <v>1</v>
      </c>
      <c r="AH107" s="8">
        <f ca="1">_xll.HLV5r3.Analytics.Miscellaneous.Zero2DF(_xll.HLV5r3.Analytics.Miscellaneous.LinearInterp(Peturbed_QZ,$K107,1,AH$1),ZeroCompFreq,'PDH Calc'!$K107/365)</f>
        <v>1</v>
      </c>
      <c r="AI107" s="8">
        <f ca="1">_xll.HLV5r3.Analytics.Miscellaneous.Zero2DF(_xll.HLV5r3.Analytics.Miscellaneous.LinearInterp(Peturbed_QZ,$K107,1,AI$1),ZeroCompFreq,'PDH Calc'!$K107/365)</f>
        <v>1</v>
      </c>
      <c r="AJ107" s="8">
        <f ca="1">_xll.HLV5r3.Analytics.Miscellaneous.Zero2DF(_xll.HLV5r3.Analytics.Miscellaneous.LinearInterp(Peturbed_QZ,$K107,1,AJ$1),ZeroCompFreq,'PDH Calc'!$K107/365)</f>
        <v>1</v>
      </c>
      <c r="AK107" s="8">
        <f ca="1">_xll.HLV5r3.Analytics.Miscellaneous.Zero2DF(_xll.HLV5r3.Analytics.Miscellaneous.LinearInterp(Peturbed_QZ,$K107,1,AK$1),ZeroCompFreq,'PDH Calc'!$K107/365)</f>
        <v>1</v>
      </c>
    </row>
    <row r="108" spans="1:37">
      <c r="A108" s="4"/>
      <c r="B108" s="6"/>
      <c r="F108" s="11"/>
      <c r="G108" s="6"/>
      <c r="H108" s="20"/>
      <c r="I108" s="21"/>
      <c r="J108" s="26"/>
      <c r="K108" s="6">
        <f t="shared" ca="1" si="8"/>
        <v>0</v>
      </c>
      <c r="L108" s="8">
        <f ca="1">_xll.HLV5r3.Analytics.Miscellaneous.Zero2DF(_xll.HLV5r3.Analytics.Miscellaneous.LinearInterp(Peturbed_QZ,$K108,1,L$1),ZeroCompFreq,'PDH Calc'!$K108/365)</f>
        <v>1</v>
      </c>
      <c r="M108" s="8">
        <f ca="1">_xll.HLV5r3.Analytics.Miscellaneous.Zero2DF(_xll.HLV5r3.Analytics.Miscellaneous.LinearInterp(Peturbed_QZ,$K108,1,M$1),ZeroCompFreq,'PDH Calc'!$K108/365)</f>
        <v>1</v>
      </c>
      <c r="N108" s="8">
        <f ca="1">_xll.HLV5r3.Analytics.Miscellaneous.Zero2DF(_xll.HLV5r3.Analytics.Miscellaneous.LinearInterp(Peturbed_QZ,$K108,1,N$1),ZeroCompFreq,'PDH Calc'!$K108/365)</f>
        <v>1</v>
      </c>
      <c r="O108" s="8">
        <f ca="1">_xll.HLV5r3.Analytics.Miscellaneous.Zero2DF(_xll.HLV5r3.Analytics.Miscellaneous.LinearInterp(Peturbed_QZ,$K108,1,O$1),ZeroCompFreq,'PDH Calc'!$K108/365)</f>
        <v>1</v>
      </c>
      <c r="P108" s="8">
        <f ca="1">_xll.HLV5r3.Analytics.Miscellaneous.Zero2DF(_xll.HLV5r3.Analytics.Miscellaneous.LinearInterp(Peturbed_QZ,$K108,1,P$1),ZeroCompFreq,'PDH Calc'!$K108/365)</f>
        <v>1</v>
      </c>
      <c r="Q108" s="8">
        <f ca="1">_xll.HLV5r3.Analytics.Miscellaneous.Zero2DF(_xll.HLV5r3.Analytics.Miscellaneous.LinearInterp(Peturbed_QZ,$K108,1,Q$1),ZeroCompFreq,'PDH Calc'!$K108/365)</f>
        <v>1</v>
      </c>
      <c r="R108" s="8">
        <f ca="1">_xll.HLV5r3.Analytics.Miscellaneous.Zero2DF(_xll.HLV5r3.Analytics.Miscellaneous.LinearInterp(Peturbed_QZ,$K108,1,R$1),ZeroCompFreq,'PDH Calc'!$K108/365)</f>
        <v>1</v>
      </c>
      <c r="S108" s="8">
        <f ca="1">_xll.HLV5r3.Analytics.Miscellaneous.Zero2DF(_xll.HLV5r3.Analytics.Miscellaneous.LinearInterp(Peturbed_QZ,$K108,1,S$1),ZeroCompFreq,'PDH Calc'!$K108/365)</f>
        <v>1</v>
      </c>
      <c r="T108" s="8">
        <f ca="1">_xll.HLV5r3.Analytics.Miscellaneous.Zero2DF(_xll.HLV5r3.Analytics.Miscellaneous.LinearInterp(Peturbed_QZ,$K108,1,T$1),ZeroCompFreq,'PDH Calc'!$K108/365)</f>
        <v>1</v>
      </c>
      <c r="U108" s="8">
        <f ca="1">_xll.HLV5r3.Analytics.Miscellaneous.Zero2DF(_xll.HLV5r3.Analytics.Miscellaneous.LinearInterp(Peturbed_QZ,$K108,1,U$1),ZeroCompFreq,'PDH Calc'!$K108/365)</f>
        <v>1</v>
      </c>
      <c r="V108" s="8">
        <f ca="1">_xll.HLV5r3.Analytics.Miscellaneous.Zero2DF(_xll.HLV5r3.Analytics.Miscellaneous.LinearInterp(Peturbed_QZ,$K108,1,V$1),ZeroCompFreq,'PDH Calc'!$K108/365)</f>
        <v>1</v>
      </c>
      <c r="W108" s="8">
        <f ca="1">_xll.HLV5r3.Analytics.Miscellaneous.Zero2DF(_xll.HLV5r3.Analytics.Miscellaneous.LinearInterp(Peturbed_QZ,$K108,1,W$1),ZeroCompFreq,'PDH Calc'!$K108/365)</f>
        <v>1</v>
      </c>
      <c r="X108" s="8">
        <f ca="1">_xll.HLV5r3.Analytics.Miscellaneous.Zero2DF(_xll.HLV5r3.Analytics.Miscellaneous.LinearInterp(Peturbed_QZ,$K108,1,X$1),ZeroCompFreq,'PDH Calc'!$K108/365)</f>
        <v>1</v>
      </c>
      <c r="Y108" s="8">
        <f ca="1">_xll.HLV5r3.Analytics.Miscellaneous.Zero2DF(_xll.HLV5r3.Analytics.Miscellaneous.LinearInterp(Peturbed_QZ,$K108,1,Y$1),ZeroCompFreq,'PDH Calc'!$K108/365)</f>
        <v>1</v>
      </c>
      <c r="Z108" s="8">
        <f ca="1">_xll.HLV5r3.Analytics.Miscellaneous.Zero2DF(_xll.HLV5r3.Analytics.Miscellaneous.LinearInterp(Peturbed_QZ,$K108,1,Z$1),ZeroCompFreq,'PDH Calc'!$K108/365)</f>
        <v>1</v>
      </c>
      <c r="AA108" s="8">
        <f ca="1">_xll.HLV5r3.Analytics.Miscellaneous.Zero2DF(_xll.HLV5r3.Analytics.Miscellaneous.LinearInterp(Peturbed_QZ,$K108,1,AA$1),ZeroCompFreq,'PDH Calc'!$K108/365)</f>
        <v>1</v>
      </c>
      <c r="AB108" s="8">
        <f ca="1">_xll.HLV5r3.Analytics.Miscellaneous.Zero2DF(_xll.HLV5r3.Analytics.Miscellaneous.LinearInterp(Peturbed_QZ,$K108,1,AB$1),ZeroCompFreq,'PDH Calc'!$K108/365)</f>
        <v>1</v>
      </c>
      <c r="AC108" s="8">
        <f ca="1">_xll.HLV5r3.Analytics.Miscellaneous.Zero2DF(_xll.HLV5r3.Analytics.Miscellaneous.LinearInterp(Peturbed_QZ,$K108,1,AC$1),ZeroCompFreq,'PDH Calc'!$K108/365)</f>
        <v>1</v>
      </c>
      <c r="AD108" s="8">
        <f ca="1">_xll.HLV5r3.Analytics.Miscellaneous.Zero2DF(_xll.HLV5r3.Analytics.Miscellaneous.LinearInterp(Peturbed_QZ,$K108,1,AD$1),ZeroCompFreq,'PDH Calc'!$K108/365)</f>
        <v>1</v>
      </c>
      <c r="AE108" s="8">
        <f ca="1">_xll.HLV5r3.Analytics.Miscellaneous.Zero2DF(_xll.HLV5r3.Analytics.Miscellaneous.LinearInterp(Peturbed_QZ,$K108,1,AE$1),ZeroCompFreq,'PDH Calc'!$K108/365)</f>
        <v>1</v>
      </c>
      <c r="AF108" s="8">
        <f ca="1">_xll.HLV5r3.Analytics.Miscellaneous.Zero2DF(_xll.HLV5r3.Analytics.Miscellaneous.LinearInterp(Peturbed_QZ,$K108,1,AF$1),ZeroCompFreq,'PDH Calc'!$K108/365)</f>
        <v>1</v>
      </c>
      <c r="AG108" s="8">
        <f ca="1">_xll.HLV5r3.Analytics.Miscellaneous.Zero2DF(_xll.HLV5r3.Analytics.Miscellaneous.LinearInterp(Peturbed_QZ,$K108,1,AG$1),ZeroCompFreq,'PDH Calc'!$K108/365)</f>
        <v>1</v>
      </c>
      <c r="AH108" s="8">
        <f ca="1">_xll.HLV5r3.Analytics.Miscellaneous.Zero2DF(_xll.HLV5r3.Analytics.Miscellaneous.LinearInterp(Peturbed_QZ,$K108,1,AH$1),ZeroCompFreq,'PDH Calc'!$K108/365)</f>
        <v>1</v>
      </c>
      <c r="AI108" s="8">
        <f ca="1">_xll.HLV5r3.Analytics.Miscellaneous.Zero2DF(_xll.HLV5r3.Analytics.Miscellaneous.LinearInterp(Peturbed_QZ,$K108,1,AI$1),ZeroCompFreq,'PDH Calc'!$K108/365)</f>
        <v>1</v>
      </c>
      <c r="AJ108" s="8">
        <f ca="1">_xll.HLV5r3.Analytics.Miscellaneous.Zero2DF(_xll.HLV5r3.Analytics.Miscellaneous.LinearInterp(Peturbed_QZ,$K108,1,AJ$1),ZeroCompFreq,'PDH Calc'!$K108/365)</f>
        <v>1</v>
      </c>
      <c r="AK108" s="8">
        <f ca="1">_xll.HLV5r3.Analytics.Miscellaneous.Zero2DF(_xll.HLV5r3.Analytics.Miscellaneous.LinearInterp(Peturbed_QZ,$K108,1,AK$1),ZeroCompFreq,'PDH Calc'!$K108/365)</f>
        <v>1</v>
      </c>
    </row>
    <row r="109" spans="1:37">
      <c r="A109" s="4"/>
      <c r="B109" s="6"/>
      <c r="F109" s="11"/>
      <c r="G109" s="6"/>
      <c r="H109" s="20"/>
      <c r="I109" s="21"/>
      <c r="J109" s="26"/>
      <c r="K109" s="6">
        <f t="shared" ca="1" si="8"/>
        <v>0</v>
      </c>
      <c r="L109" s="8">
        <f ca="1">_xll.HLV5r3.Analytics.Miscellaneous.Zero2DF(_xll.HLV5r3.Analytics.Miscellaneous.LinearInterp(Peturbed_QZ,$K109,1,L$1),ZeroCompFreq,'PDH Calc'!$K109/365)</f>
        <v>1</v>
      </c>
      <c r="M109" s="8">
        <f ca="1">_xll.HLV5r3.Analytics.Miscellaneous.Zero2DF(_xll.HLV5r3.Analytics.Miscellaneous.LinearInterp(Peturbed_QZ,$K109,1,M$1),ZeroCompFreq,'PDH Calc'!$K109/365)</f>
        <v>1</v>
      </c>
      <c r="N109" s="8">
        <f ca="1">_xll.HLV5r3.Analytics.Miscellaneous.Zero2DF(_xll.HLV5r3.Analytics.Miscellaneous.LinearInterp(Peturbed_QZ,$K109,1,N$1),ZeroCompFreq,'PDH Calc'!$K109/365)</f>
        <v>1</v>
      </c>
      <c r="O109" s="8">
        <f ca="1">_xll.HLV5r3.Analytics.Miscellaneous.Zero2DF(_xll.HLV5r3.Analytics.Miscellaneous.LinearInterp(Peturbed_QZ,$K109,1,O$1),ZeroCompFreq,'PDH Calc'!$K109/365)</f>
        <v>1</v>
      </c>
      <c r="P109" s="8">
        <f ca="1">_xll.HLV5r3.Analytics.Miscellaneous.Zero2DF(_xll.HLV5r3.Analytics.Miscellaneous.LinearInterp(Peturbed_QZ,$K109,1,P$1),ZeroCompFreq,'PDH Calc'!$K109/365)</f>
        <v>1</v>
      </c>
      <c r="Q109" s="8">
        <f ca="1">_xll.HLV5r3.Analytics.Miscellaneous.Zero2DF(_xll.HLV5r3.Analytics.Miscellaneous.LinearInterp(Peturbed_QZ,$K109,1,Q$1),ZeroCompFreq,'PDH Calc'!$K109/365)</f>
        <v>1</v>
      </c>
      <c r="R109" s="8">
        <f ca="1">_xll.HLV5r3.Analytics.Miscellaneous.Zero2DF(_xll.HLV5r3.Analytics.Miscellaneous.LinearInterp(Peturbed_QZ,$K109,1,R$1),ZeroCompFreq,'PDH Calc'!$K109/365)</f>
        <v>1</v>
      </c>
      <c r="S109" s="8">
        <f ca="1">_xll.HLV5r3.Analytics.Miscellaneous.Zero2DF(_xll.HLV5r3.Analytics.Miscellaneous.LinearInterp(Peturbed_QZ,$K109,1,S$1),ZeroCompFreq,'PDH Calc'!$K109/365)</f>
        <v>1</v>
      </c>
      <c r="T109" s="8">
        <f ca="1">_xll.HLV5r3.Analytics.Miscellaneous.Zero2DF(_xll.HLV5r3.Analytics.Miscellaneous.LinearInterp(Peturbed_QZ,$K109,1,T$1),ZeroCompFreq,'PDH Calc'!$K109/365)</f>
        <v>1</v>
      </c>
      <c r="U109" s="8">
        <f ca="1">_xll.HLV5r3.Analytics.Miscellaneous.Zero2DF(_xll.HLV5r3.Analytics.Miscellaneous.LinearInterp(Peturbed_QZ,$K109,1,U$1),ZeroCompFreq,'PDH Calc'!$K109/365)</f>
        <v>1</v>
      </c>
      <c r="V109" s="8">
        <f ca="1">_xll.HLV5r3.Analytics.Miscellaneous.Zero2DF(_xll.HLV5r3.Analytics.Miscellaneous.LinearInterp(Peturbed_QZ,$K109,1,V$1),ZeroCompFreq,'PDH Calc'!$K109/365)</f>
        <v>1</v>
      </c>
      <c r="W109" s="8">
        <f ca="1">_xll.HLV5r3.Analytics.Miscellaneous.Zero2DF(_xll.HLV5r3.Analytics.Miscellaneous.LinearInterp(Peturbed_QZ,$K109,1,W$1),ZeroCompFreq,'PDH Calc'!$K109/365)</f>
        <v>1</v>
      </c>
      <c r="X109" s="8">
        <f ca="1">_xll.HLV5r3.Analytics.Miscellaneous.Zero2DF(_xll.HLV5r3.Analytics.Miscellaneous.LinearInterp(Peturbed_QZ,$K109,1,X$1),ZeroCompFreq,'PDH Calc'!$K109/365)</f>
        <v>1</v>
      </c>
      <c r="Y109" s="8">
        <f ca="1">_xll.HLV5r3.Analytics.Miscellaneous.Zero2DF(_xll.HLV5r3.Analytics.Miscellaneous.LinearInterp(Peturbed_QZ,$K109,1,Y$1),ZeroCompFreq,'PDH Calc'!$K109/365)</f>
        <v>1</v>
      </c>
      <c r="Z109" s="8">
        <f ca="1">_xll.HLV5r3.Analytics.Miscellaneous.Zero2DF(_xll.HLV5r3.Analytics.Miscellaneous.LinearInterp(Peturbed_QZ,$K109,1,Z$1),ZeroCompFreq,'PDH Calc'!$K109/365)</f>
        <v>1</v>
      </c>
      <c r="AA109" s="8">
        <f ca="1">_xll.HLV5r3.Analytics.Miscellaneous.Zero2DF(_xll.HLV5r3.Analytics.Miscellaneous.LinearInterp(Peturbed_QZ,$K109,1,AA$1),ZeroCompFreq,'PDH Calc'!$K109/365)</f>
        <v>1</v>
      </c>
      <c r="AB109" s="8">
        <f ca="1">_xll.HLV5r3.Analytics.Miscellaneous.Zero2DF(_xll.HLV5r3.Analytics.Miscellaneous.LinearInterp(Peturbed_QZ,$K109,1,AB$1),ZeroCompFreq,'PDH Calc'!$K109/365)</f>
        <v>1</v>
      </c>
      <c r="AC109" s="8">
        <f ca="1">_xll.HLV5r3.Analytics.Miscellaneous.Zero2DF(_xll.HLV5r3.Analytics.Miscellaneous.LinearInterp(Peturbed_QZ,$K109,1,AC$1),ZeroCompFreq,'PDH Calc'!$K109/365)</f>
        <v>1</v>
      </c>
      <c r="AD109" s="8">
        <f ca="1">_xll.HLV5r3.Analytics.Miscellaneous.Zero2DF(_xll.HLV5r3.Analytics.Miscellaneous.LinearInterp(Peturbed_QZ,$K109,1,AD$1),ZeroCompFreq,'PDH Calc'!$K109/365)</f>
        <v>1</v>
      </c>
      <c r="AE109" s="8">
        <f ca="1">_xll.HLV5r3.Analytics.Miscellaneous.Zero2DF(_xll.HLV5r3.Analytics.Miscellaneous.LinearInterp(Peturbed_QZ,$K109,1,AE$1),ZeroCompFreq,'PDH Calc'!$K109/365)</f>
        <v>1</v>
      </c>
      <c r="AF109" s="8">
        <f ca="1">_xll.HLV5r3.Analytics.Miscellaneous.Zero2DF(_xll.HLV5r3.Analytics.Miscellaneous.LinearInterp(Peturbed_QZ,$K109,1,AF$1),ZeroCompFreq,'PDH Calc'!$K109/365)</f>
        <v>1</v>
      </c>
      <c r="AG109" s="8">
        <f ca="1">_xll.HLV5r3.Analytics.Miscellaneous.Zero2DF(_xll.HLV5r3.Analytics.Miscellaneous.LinearInterp(Peturbed_QZ,$K109,1,AG$1),ZeroCompFreq,'PDH Calc'!$K109/365)</f>
        <v>1</v>
      </c>
      <c r="AH109" s="8">
        <f ca="1">_xll.HLV5r3.Analytics.Miscellaneous.Zero2DF(_xll.HLV5r3.Analytics.Miscellaneous.LinearInterp(Peturbed_QZ,$K109,1,AH$1),ZeroCompFreq,'PDH Calc'!$K109/365)</f>
        <v>1</v>
      </c>
      <c r="AI109" s="8">
        <f ca="1">_xll.HLV5r3.Analytics.Miscellaneous.Zero2DF(_xll.HLV5r3.Analytics.Miscellaneous.LinearInterp(Peturbed_QZ,$K109,1,AI$1),ZeroCompFreq,'PDH Calc'!$K109/365)</f>
        <v>1</v>
      </c>
      <c r="AJ109" s="8">
        <f ca="1">_xll.HLV5r3.Analytics.Miscellaneous.Zero2DF(_xll.HLV5r3.Analytics.Miscellaneous.LinearInterp(Peturbed_QZ,$K109,1,AJ$1),ZeroCompFreq,'PDH Calc'!$K109/365)</f>
        <v>1</v>
      </c>
      <c r="AK109" s="8">
        <f ca="1">_xll.HLV5r3.Analytics.Miscellaneous.Zero2DF(_xll.HLV5r3.Analytics.Miscellaneous.LinearInterp(Peturbed_QZ,$K109,1,AK$1),ZeroCompFreq,'PDH Calc'!$K109/365)</f>
        <v>1</v>
      </c>
    </row>
    <row r="110" spans="1:37">
      <c r="A110" s="4"/>
      <c r="B110" s="6"/>
      <c r="F110" s="11"/>
      <c r="G110" s="6"/>
      <c r="H110" s="20"/>
      <c r="I110" s="21"/>
      <c r="J110" s="26"/>
      <c r="K110" s="6">
        <f t="shared" ca="1" si="8"/>
        <v>0</v>
      </c>
      <c r="L110" s="8">
        <f ca="1">_xll.HLV5r3.Analytics.Miscellaneous.Zero2DF(_xll.HLV5r3.Analytics.Miscellaneous.LinearInterp(Peturbed_QZ,$K110,1,L$1),ZeroCompFreq,'PDH Calc'!$K110/365)</f>
        <v>1</v>
      </c>
      <c r="M110" s="8">
        <f ca="1">_xll.HLV5r3.Analytics.Miscellaneous.Zero2DF(_xll.HLV5r3.Analytics.Miscellaneous.LinearInterp(Peturbed_QZ,$K110,1,M$1),ZeroCompFreq,'PDH Calc'!$K110/365)</f>
        <v>1</v>
      </c>
      <c r="N110" s="8">
        <f ca="1">_xll.HLV5r3.Analytics.Miscellaneous.Zero2DF(_xll.HLV5r3.Analytics.Miscellaneous.LinearInterp(Peturbed_QZ,$K110,1,N$1),ZeroCompFreq,'PDH Calc'!$K110/365)</f>
        <v>1</v>
      </c>
      <c r="O110" s="8">
        <f ca="1">_xll.HLV5r3.Analytics.Miscellaneous.Zero2DF(_xll.HLV5r3.Analytics.Miscellaneous.LinearInterp(Peturbed_QZ,$K110,1,O$1),ZeroCompFreq,'PDH Calc'!$K110/365)</f>
        <v>1</v>
      </c>
      <c r="P110" s="8">
        <f ca="1">_xll.HLV5r3.Analytics.Miscellaneous.Zero2DF(_xll.HLV5r3.Analytics.Miscellaneous.LinearInterp(Peturbed_QZ,$K110,1,P$1),ZeroCompFreq,'PDH Calc'!$K110/365)</f>
        <v>1</v>
      </c>
      <c r="Q110" s="8">
        <f ca="1">_xll.HLV5r3.Analytics.Miscellaneous.Zero2DF(_xll.HLV5r3.Analytics.Miscellaneous.LinearInterp(Peturbed_QZ,$K110,1,Q$1),ZeroCompFreq,'PDH Calc'!$K110/365)</f>
        <v>1</v>
      </c>
      <c r="R110" s="8">
        <f ca="1">_xll.HLV5r3.Analytics.Miscellaneous.Zero2DF(_xll.HLV5r3.Analytics.Miscellaneous.LinearInterp(Peturbed_QZ,$K110,1,R$1),ZeroCompFreq,'PDH Calc'!$K110/365)</f>
        <v>1</v>
      </c>
      <c r="S110" s="8">
        <f ca="1">_xll.HLV5r3.Analytics.Miscellaneous.Zero2DF(_xll.HLV5r3.Analytics.Miscellaneous.LinearInterp(Peturbed_QZ,$K110,1,S$1),ZeroCompFreq,'PDH Calc'!$K110/365)</f>
        <v>1</v>
      </c>
      <c r="T110" s="8">
        <f ca="1">_xll.HLV5r3.Analytics.Miscellaneous.Zero2DF(_xll.HLV5r3.Analytics.Miscellaneous.LinearInterp(Peturbed_QZ,$K110,1,T$1),ZeroCompFreq,'PDH Calc'!$K110/365)</f>
        <v>1</v>
      </c>
      <c r="U110" s="8">
        <f ca="1">_xll.HLV5r3.Analytics.Miscellaneous.Zero2DF(_xll.HLV5r3.Analytics.Miscellaneous.LinearInterp(Peturbed_QZ,$K110,1,U$1),ZeroCompFreq,'PDH Calc'!$K110/365)</f>
        <v>1</v>
      </c>
      <c r="V110" s="8">
        <f ca="1">_xll.HLV5r3.Analytics.Miscellaneous.Zero2DF(_xll.HLV5r3.Analytics.Miscellaneous.LinearInterp(Peturbed_QZ,$K110,1,V$1),ZeroCompFreq,'PDH Calc'!$K110/365)</f>
        <v>1</v>
      </c>
      <c r="W110" s="8">
        <f ca="1">_xll.HLV5r3.Analytics.Miscellaneous.Zero2DF(_xll.HLV5r3.Analytics.Miscellaneous.LinearInterp(Peturbed_QZ,$K110,1,W$1),ZeroCompFreq,'PDH Calc'!$K110/365)</f>
        <v>1</v>
      </c>
      <c r="X110" s="8">
        <f ca="1">_xll.HLV5r3.Analytics.Miscellaneous.Zero2DF(_xll.HLV5r3.Analytics.Miscellaneous.LinearInterp(Peturbed_QZ,$K110,1,X$1),ZeroCompFreq,'PDH Calc'!$K110/365)</f>
        <v>1</v>
      </c>
      <c r="Y110" s="8">
        <f ca="1">_xll.HLV5r3.Analytics.Miscellaneous.Zero2DF(_xll.HLV5r3.Analytics.Miscellaneous.LinearInterp(Peturbed_QZ,$K110,1,Y$1),ZeroCompFreq,'PDH Calc'!$K110/365)</f>
        <v>1</v>
      </c>
      <c r="Z110" s="8">
        <f ca="1">_xll.HLV5r3.Analytics.Miscellaneous.Zero2DF(_xll.HLV5r3.Analytics.Miscellaneous.LinearInterp(Peturbed_QZ,$K110,1,Z$1),ZeroCompFreq,'PDH Calc'!$K110/365)</f>
        <v>1</v>
      </c>
      <c r="AA110" s="8">
        <f ca="1">_xll.HLV5r3.Analytics.Miscellaneous.Zero2DF(_xll.HLV5r3.Analytics.Miscellaneous.LinearInterp(Peturbed_QZ,$K110,1,AA$1),ZeroCompFreq,'PDH Calc'!$K110/365)</f>
        <v>1</v>
      </c>
      <c r="AB110" s="8">
        <f ca="1">_xll.HLV5r3.Analytics.Miscellaneous.Zero2DF(_xll.HLV5r3.Analytics.Miscellaneous.LinearInterp(Peturbed_QZ,$K110,1,AB$1),ZeroCompFreq,'PDH Calc'!$K110/365)</f>
        <v>1</v>
      </c>
      <c r="AC110" s="8">
        <f ca="1">_xll.HLV5r3.Analytics.Miscellaneous.Zero2DF(_xll.HLV5r3.Analytics.Miscellaneous.LinearInterp(Peturbed_QZ,$K110,1,AC$1),ZeroCompFreq,'PDH Calc'!$K110/365)</f>
        <v>1</v>
      </c>
      <c r="AD110" s="8">
        <f ca="1">_xll.HLV5r3.Analytics.Miscellaneous.Zero2DF(_xll.HLV5r3.Analytics.Miscellaneous.LinearInterp(Peturbed_QZ,$K110,1,AD$1),ZeroCompFreq,'PDH Calc'!$K110/365)</f>
        <v>1</v>
      </c>
      <c r="AE110" s="8">
        <f ca="1">_xll.HLV5r3.Analytics.Miscellaneous.Zero2DF(_xll.HLV5r3.Analytics.Miscellaneous.LinearInterp(Peturbed_QZ,$K110,1,AE$1),ZeroCompFreq,'PDH Calc'!$K110/365)</f>
        <v>1</v>
      </c>
      <c r="AF110" s="8">
        <f ca="1">_xll.HLV5r3.Analytics.Miscellaneous.Zero2DF(_xll.HLV5r3.Analytics.Miscellaneous.LinearInterp(Peturbed_QZ,$K110,1,AF$1),ZeroCompFreq,'PDH Calc'!$K110/365)</f>
        <v>1</v>
      </c>
      <c r="AG110" s="8">
        <f ca="1">_xll.HLV5r3.Analytics.Miscellaneous.Zero2DF(_xll.HLV5r3.Analytics.Miscellaneous.LinearInterp(Peturbed_QZ,$K110,1,AG$1),ZeroCompFreq,'PDH Calc'!$K110/365)</f>
        <v>1</v>
      </c>
      <c r="AH110" s="8">
        <f ca="1">_xll.HLV5r3.Analytics.Miscellaneous.Zero2DF(_xll.HLV5r3.Analytics.Miscellaneous.LinearInterp(Peturbed_QZ,$K110,1,AH$1),ZeroCompFreq,'PDH Calc'!$K110/365)</f>
        <v>1</v>
      </c>
      <c r="AI110" s="8">
        <f ca="1">_xll.HLV5r3.Analytics.Miscellaneous.Zero2DF(_xll.HLV5r3.Analytics.Miscellaneous.LinearInterp(Peturbed_QZ,$K110,1,AI$1),ZeroCompFreq,'PDH Calc'!$K110/365)</f>
        <v>1</v>
      </c>
      <c r="AJ110" s="8">
        <f ca="1">_xll.HLV5r3.Analytics.Miscellaneous.Zero2DF(_xll.HLV5r3.Analytics.Miscellaneous.LinearInterp(Peturbed_QZ,$K110,1,AJ$1),ZeroCompFreq,'PDH Calc'!$K110/365)</f>
        <v>1</v>
      </c>
      <c r="AK110" s="8">
        <f ca="1">_xll.HLV5r3.Analytics.Miscellaneous.Zero2DF(_xll.HLV5r3.Analytics.Miscellaneous.LinearInterp(Peturbed_QZ,$K110,1,AK$1),ZeroCompFreq,'PDH Calc'!$K110/365)</f>
        <v>1</v>
      </c>
    </row>
    <row r="111" spans="1:37">
      <c r="A111" s="4"/>
      <c r="B111" s="6"/>
      <c r="F111" s="11"/>
      <c r="G111" s="6"/>
      <c r="H111" s="20"/>
      <c r="I111" s="21"/>
      <c r="J111" s="26"/>
      <c r="K111" s="6">
        <f t="shared" ca="1" si="8"/>
        <v>0</v>
      </c>
      <c r="L111" s="8">
        <f ca="1">_xll.HLV5r3.Analytics.Miscellaneous.Zero2DF(_xll.HLV5r3.Analytics.Miscellaneous.LinearInterp(Peturbed_QZ,$K111,1,L$1),ZeroCompFreq,'PDH Calc'!$K111/365)</f>
        <v>1</v>
      </c>
      <c r="M111" s="8">
        <f ca="1">_xll.HLV5r3.Analytics.Miscellaneous.Zero2DF(_xll.HLV5r3.Analytics.Miscellaneous.LinearInterp(Peturbed_QZ,$K111,1,M$1),ZeroCompFreq,'PDH Calc'!$K111/365)</f>
        <v>1</v>
      </c>
      <c r="N111" s="8">
        <f ca="1">_xll.HLV5r3.Analytics.Miscellaneous.Zero2DF(_xll.HLV5r3.Analytics.Miscellaneous.LinearInterp(Peturbed_QZ,$K111,1,N$1),ZeroCompFreq,'PDH Calc'!$K111/365)</f>
        <v>1</v>
      </c>
      <c r="O111" s="8">
        <f ca="1">_xll.HLV5r3.Analytics.Miscellaneous.Zero2DF(_xll.HLV5r3.Analytics.Miscellaneous.LinearInterp(Peturbed_QZ,$K111,1,O$1),ZeroCompFreq,'PDH Calc'!$K111/365)</f>
        <v>1</v>
      </c>
      <c r="P111" s="8">
        <f ca="1">_xll.HLV5r3.Analytics.Miscellaneous.Zero2DF(_xll.HLV5r3.Analytics.Miscellaneous.LinearInterp(Peturbed_QZ,$K111,1,P$1),ZeroCompFreq,'PDH Calc'!$K111/365)</f>
        <v>1</v>
      </c>
      <c r="Q111" s="8">
        <f ca="1">_xll.HLV5r3.Analytics.Miscellaneous.Zero2DF(_xll.HLV5r3.Analytics.Miscellaneous.LinearInterp(Peturbed_QZ,$K111,1,Q$1),ZeroCompFreq,'PDH Calc'!$K111/365)</f>
        <v>1</v>
      </c>
      <c r="R111" s="8">
        <f ca="1">_xll.HLV5r3.Analytics.Miscellaneous.Zero2DF(_xll.HLV5r3.Analytics.Miscellaneous.LinearInterp(Peturbed_QZ,$K111,1,R$1),ZeroCompFreq,'PDH Calc'!$K111/365)</f>
        <v>1</v>
      </c>
      <c r="S111" s="8">
        <f ca="1">_xll.HLV5r3.Analytics.Miscellaneous.Zero2DF(_xll.HLV5r3.Analytics.Miscellaneous.LinearInterp(Peturbed_QZ,$K111,1,S$1),ZeroCompFreq,'PDH Calc'!$K111/365)</f>
        <v>1</v>
      </c>
      <c r="T111" s="8">
        <f ca="1">_xll.HLV5r3.Analytics.Miscellaneous.Zero2DF(_xll.HLV5r3.Analytics.Miscellaneous.LinearInterp(Peturbed_QZ,$K111,1,T$1),ZeroCompFreq,'PDH Calc'!$K111/365)</f>
        <v>1</v>
      </c>
      <c r="U111" s="8">
        <f ca="1">_xll.HLV5r3.Analytics.Miscellaneous.Zero2DF(_xll.HLV5r3.Analytics.Miscellaneous.LinearInterp(Peturbed_QZ,$K111,1,U$1),ZeroCompFreq,'PDH Calc'!$K111/365)</f>
        <v>1</v>
      </c>
      <c r="V111" s="8">
        <f ca="1">_xll.HLV5r3.Analytics.Miscellaneous.Zero2DF(_xll.HLV5r3.Analytics.Miscellaneous.LinearInterp(Peturbed_QZ,$K111,1,V$1),ZeroCompFreq,'PDH Calc'!$K111/365)</f>
        <v>1</v>
      </c>
      <c r="W111" s="8">
        <f ca="1">_xll.HLV5r3.Analytics.Miscellaneous.Zero2DF(_xll.HLV5r3.Analytics.Miscellaneous.LinearInterp(Peturbed_QZ,$K111,1,W$1),ZeroCompFreq,'PDH Calc'!$K111/365)</f>
        <v>1</v>
      </c>
      <c r="X111" s="8">
        <f ca="1">_xll.HLV5r3.Analytics.Miscellaneous.Zero2DF(_xll.HLV5r3.Analytics.Miscellaneous.LinearInterp(Peturbed_QZ,$K111,1,X$1),ZeroCompFreq,'PDH Calc'!$K111/365)</f>
        <v>1</v>
      </c>
      <c r="Y111" s="8">
        <f ca="1">_xll.HLV5r3.Analytics.Miscellaneous.Zero2DF(_xll.HLV5r3.Analytics.Miscellaneous.LinearInterp(Peturbed_QZ,$K111,1,Y$1),ZeroCompFreq,'PDH Calc'!$K111/365)</f>
        <v>1</v>
      </c>
      <c r="Z111" s="8">
        <f ca="1">_xll.HLV5r3.Analytics.Miscellaneous.Zero2DF(_xll.HLV5r3.Analytics.Miscellaneous.LinearInterp(Peturbed_QZ,$K111,1,Z$1),ZeroCompFreq,'PDH Calc'!$K111/365)</f>
        <v>1</v>
      </c>
      <c r="AA111" s="8">
        <f ca="1">_xll.HLV5r3.Analytics.Miscellaneous.Zero2DF(_xll.HLV5r3.Analytics.Miscellaneous.LinearInterp(Peturbed_QZ,$K111,1,AA$1),ZeroCompFreq,'PDH Calc'!$K111/365)</f>
        <v>1</v>
      </c>
      <c r="AB111" s="8">
        <f ca="1">_xll.HLV5r3.Analytics.Miscellaneous.Zero2DF(_xll.HLV5r3.Analytics.Miscellaneous.LinearInterp(Peturbed_QZ,$K111,1,AB$1),ZeroCompFreq,'PDH Calc'!$K111/365)</f>
        <v>1</v>
      </c>
      <c r="AC111" s="8">
        <f ca="1">_xll.HLV5r3.Analytics.Miscellaneous.Zero2DF(_xll.HLV5r3.Analytics.Miscellaneous.LinearInterp(Peturbed_QZ,$K111,1,AC$1),ZeroCompFreq,'PDH Calc'!$K111/365)</f>
        <v>1</v>
      </c>
      <c r="AD111" s="8">
        <f ca="1">_xll.HLV5r3.Analytics.Miscellaneous.Zero2DF(_xll.HLV5r3.Analytics.Miscellaneous.LinearInterp(Peturbed_QZ,$K111,1,AD$1),ZeroCompFreq,'PDH Calc'!$K111/365)</f>
        <v>1</v>
      </c>
      <c r="AE111" s="8">
        <f ca="1">_xll.HLV5r3.Analytics.Miscellaneous.Zero2DF(_xll.HLV5r3.Analytics.Miscellaneous.LinearInterp(Peturbed_QZ,$K111,1,AE$1),ZeroCompFreq,'PDH Calc'!$K111/365)</f>
        <v>1</v>
      </c>
      <c r="AF111" s="8">
        <f ca="1">_xll.HLV5r3.Analytics.Miscellaneous.Zero2DF(_xll.HLV5r3.Analytics.Miscellaneous.LinearInterp(Peturbed_QZ,$K111,1,AF$1),ZeroCompFreq,'PDH Calc'!$K111/365)</f>
        <v>1</v>
      </c>
      <c r="AG111" s="8">
        <f ca="1">_xll.HLV5r3.Analytics.Miscellaneous.Zero2DF(_xll.HLV5r3.Analytics.Miscellaneous.LinearInterp(Peturbed_QZ,$K111,1,AG$1),ZeroCompFreq,'PDH Calc'!$K111/365)</f>
        <v>1</v>
      </c>
      <c r="AH111" s="8">
        <f ca="1">_xll.HLV5r3.Analytics.Miscellaneous.Zero2DF(_xll.HLV5r3.Analytics.Miscellaneous.LinearInterp(Peturbed_QZ,$K111,1,AH$1),ZeroCompFreq,'PDH Calc'!$K111/365)</f>
        <v>1</v>
      </c>
      <c r="AI111" s="8">
        <f ca="1">_xll.HLV5r3.Analytics.Miscellaneous.Zero2DF(_xll.HLV5r3.Analytics.Miscellaneous.LinearInterp(Peturbed_QZ,$K111,1,AI$1),ZeroCompFreq,'PDH Calc'!$K111/365)</f>
        <v>1</v>
      </c>
      <c r="AJ111" s="8">
        <f ca="1">_xll.HLV5r3.Analytics.Miscellaneous.Zero2DF(_xll.HLV5r3.Analytics.Miscellaneous.LinearInterp(Peturbed_QZ,$K111,1,AJ$1),ZeroCompFreq,'PDH Calc'!$K111/365)</f>
        <v>1</v>
      </c>
      <c r="AK111" s="8">
        <f ca="1">_xll.HLV5r3.Analytics.Miscellaneous.Zero2DF(_xll.HLV5r3.Analytics.Miscellaneous.LinearInterp(Peturbed_QZ,$K111,1,AK$1),ZeroCompFreq,'PDH Calc'!$K111/365)</f>
        <v>1</v>
      </c>
    </row>
    <row r="112" spans="1:37">
      <c r="A112" s="4"/>
      <c r="B112" s="6"/>
      <c r="F112" s="11"/>
      <c r="G112" s="6"/>
      <c r="H112" s="20"/>
      <c r="I112" s="21"/>
      <c r="J112" s="26"/>
      <c r="K112" s="6">
        <f t="shared" ca="1" si="8"/>
        <v>0</v>
      </c>
      <c r="L112" s="8">
        <f ca="1">_xll.HLV5r3.Analytics.Miscellaneous.Zero2DF(_xll.HLV5r3.Analytics.Miscellaneous.LinearInterp(Peturbed_QZ,$K112,1,L$1),ZeroCompFreq,'PDH Calc'!$K112/365)</f>
        <v>1</v>
      </c>
      <c r="M112" s="8">
        <f ca="1">_xll.HLV5r3.Analytics.Miscellaneous.Zero2DF(_xll.HLV5r3.Analytics.Miscellaneous.LinearInterp(Peturbed_QZ,$K112,1,M$1),ZeroCompFreq,'PDH Calc'!$K112/365)</f>
        <v>1</v>
      </c>
      <c r="N112" s="8">
        <f ca="1">_xll.HLV5r3.Analytics.Miscellaneous.Zero2DF(_xll.HLV5r3.Analytics.Miscellaneous.LinearInterp(Peturbed_QZ,$K112,1,N$1),ZeroCompFreq,'PDH Calc'!$K112/365)</f>
        <v>1</v>
      </c>
      <c r="O112" s="8">
        <f ca="1">_xll.HLV5r3.Analytics.Miscellaneous.Zero2DF(_xll.HLV5r3.Analytics.Miscellaneous.LinearInterp(Peturbed_QZ,$K112,1,O$1),ZeroCompFreq,'PDH Calc'!$K112/365)</f>
        <v>1</v>
      </c>
      <c r="P112" s="8">
        <f ca="1">_xll.HLV5r3.Analytics.Miscellaneous.Zero2DF(_xll.HLV5r3.Analytics.Miscellaneous.LinearInterp(Peturbed_QZ,$K112,1,P$1),ZeroCompFreq,'PDH Calc'!$K112/365)</f>
        <v>1</v>
      </c>
      <c r="Q112" s="8">
        <f ca="1">_xll.HLV5r3.Analytics.Miscellaneous.Zero2DF(_xll.HLV5r3.Analytics.Miscellaneous.LinearInterp(Peturbed_QZ,$K112,1,Q$1),ZeroCompFreq,'PDH Calc'!$K112/365)</f>
        <v>1</v>
      </c>
      <c r="R112" s="8">
        <f ca="1">_xll.HLV5r3.Analytics.Miscellaneous.Zero2DF(_xll.HLV5r3.Analytics.Miscellaneous.LinearInterp(Peturbed_QZ,$K112,1,R$1),ZeroCompFreq,'PDH Calc'!$K112/365)</f>
        <v>1</v>
      </c>
      <c r="S112" s="8">
        <f ca="1">_xll.HLV5r3.Analytics.Miscellaneous.Zero2DF(_xll.HLV5r3.Analytics.Miscellaneous.LinearInterp(Peturbed_QZ,$K112,1,S$1),ZeroCompFreq,'PDH Calc'!$K112/365)</f>
        <v>1</v>
      </c>
      <c r="T112" s="8">
        <f ca="1">_xll.HLV5r3.Analytics.Miscellaneous.Zero2DF(_xll.HLV5r3.Analytics.Miscellaneous.LinearInterp(Peturbed_QZ,$K112,1,T$1),ZeroCompFreq,'PDH Calc'!$K112/365)</f>
        <v>1</v>
      </c>
      <c r="U112" s="8">
        <f ca="1">_xll.HLV5r3.Analytics.Miscellaneous.Zero2DF(_xll.HLV5r3.Analytics.Miscellaneous.LinearInterp(Peturbed_QZ,$K112,1,U$1),ZeroCompFreq,'PDH Calc'!$K112/365)</f>
        <v>1</v>
      </c>
      <c r="V112" s="8">
        <f ca="1">_xll.HLV5r3.Analytics.Miscellaneous.Zero2DF(_xll.HLV5r3.Analytics.Miscellaneous.LinearInterp(Peturbed_QZ,$K112,1,V$1),ZeroCompFreq,'PDH Calc'!$K112/365)</f>
        <v>1</v>
      </c>
      <c r="W112" s="8">
        <f ca="1">_xll.HLV5r3.Analytics.Miscellaneous.Zero2DF(_xll.HLV5r3.Analytics.Miscellaneous.LinearInterp(Peturbed_QZ,$K112,1,W$1),ZeroCompFreq,'PDH Calc'!$K112/365)</f>
        <v>1</v>
      </c>
      <c r="X112" s="8">
        <f ca="1">_xll.HLV5r3.Analytics.Miscellaneous.Zero2DF(_xll.HLV5r3.Analytics.Miscellaneous.LinearInterp(Peturbed_QZ,$K112,1,X$1),ZeroCompFreq,'PDH Calc'!$K112/365)</f>
        <v>1</v>
      </c>
      <c r="Y112" s="8">
        <f ca="1">_xll.HLV5r3.Analytics.Miscellaneous.Zero2DF(_xll.HLV5r3.Analytics.Miscellaneous.LinearInterp(Peturbed_QZ,$K112,1,Y$1),ZeroCompFreq,'PDH Calc'!$K112/365)</f>
        <v>1</v>
      </c>
      <c r="Z112" s="8">
        <f ca="1">_xll.HLV5r3.Analytics.Miscellaneous.Zero2DF(_xll.HLV5r3.Analytics.Miscellaneous.LinearInterp(Peturbed_QZ,$K112,1,Z$1),ZeroCompFreq,'PDH Calc'!$K112/365)</f>
        <v>1</v>
      </c>
      <c r="AA112" s="8">
        <f ca="1">_xll.HLV5r3.Analytics.Miscellaneous.Zero2DF(_xll.HLV5r3.Analytics.Miscellaneous.LinearInterp(Peturbed_QZ,$K112,1,AA$1),ZeroCompFreq,'PDH Calc'!$K112/365)</f>
        <v>1</v>
      </c>
      <c r="AB112" s="8">
        <f ca="1">_xll.HLV5r3.Analytics.Miscellaneous.Zero2DF(_xll.HLV5r3.Analytics.Miscellaneous.LinearInterp(Peturbed_QZ,$K112,1,AB$1),ZeroCompFreq,'PDH Calc'!$K112/365)</f>
        <v>1</v>
      </c>
      <c r="AC112" s="8">
        <f ca="1">_xll.HLV5r3.Analytics.Miscellaneous.Zero2DF(_xll.HLV5r3.Analytics.Miscellaneous.LinearInterp(Peturbed_QZ,$K112,1,AC$1),ZeroCompFreq,'PDH Calc'!$K112/365)</f>
        <v>1</v>
      </c>
      <c r="AD112" s="8">
        <f ca="1">_xll.HLV5r3.Analytics.Miscellaneous.Zero2DF(_xll.HLV5r3.Analytics.Miscellaneous.LinearInterp(Peturbed_QZ,$K112,1,AD$1),ZeroCompFreq,'PDH Calc'!$K112/365)</f>
        <v>1</v>
      </c>
      <c r="AE112" s="8">
        <f ca="1">_xll.HLV5r3.Analytics.Miscellaneous.Zero2DF(_xll.HLV5r3.Analytics.Miscellaneous.LinearInterp(Peturbed_QZ,$K112,1,AE$1),ZeroCompFreq,'PDH Calc'!$K112/365)</f>
        <v>1</v>
      </c>
      <c r="AF112" s="8">
        <f ca="1">_xll.HLV5r3.Analytics.Miscellaneous.Zero2DF(_xll.HLV5r3.Analytics.Miscellaneous.LinearInterp(Peturbed_QZ,$K112,1,AF$1),ZeroCompFreq,'PDH Calc'!$K112/365)</f>
        <v>1</v>
      </c>
      <c r="AG112" s="8">
        <f ca="1">_xll.HLV5r3.Analytics.Miscellaneous.Zero2DF(_xll.HLV5r3.Analytics.Miscellaneous.LinearInterp(Peturbed_QZ,$K112,1,AG$1),ZeroCompFreq,'PDH Calc'!$K112/365)</f>
        <v>1</v>
      </c>
      <c r="AH112" s="8">
        <f ca="1">_xll.HLV5r3.Analytics.Miscellaneous.Zero2DF(_xll.HLV5r3.Analytics.Miscellaneous.LinearInterp(Peturbed_QZ,$K112,1,AH$1),ZeroCompFreq,'PDH Calc'!$K112/365)</f>
        <v>1</v>
      </c>
      <c r="AI112" s="8">
        <f ca="1">_xll.HLV5r3.Analytics.Miscellaneous.Zero2DF(_xll.HLV5r3.Analytics.Miscellaneous.LinearInterp(Peturbed_QZ,$K112,1,AI$1),ZeroCompFreq,'PDH Calc'!$K112/365)</f>
        <v>1</v>
      </c>
      <c r="AJ112" s="8">
        <f ca="1">_xll.HLV5r3.Analytics.Miscellaneous.Zero2DF(_xll.HLV5r3.Analytics.Miscellaneous.LinearInterp(Peturbed_QZ,$K112,1,AJ$1),ZeroCompFreq,'PDH Calc'!$K112/365)</f>
        <v>1</v>
      </c>
      <c r="AK112" s="8">
        <f ca="1">_xll.HLV5r3.Analytics.Miscellaneous.Zero2DF(_xll.HLV5r3.Analytics.Miscellaneous.LinearInterp(Peturbed_QZ,$K112,1,AK$1),ZeroCompFreq,'PDH Calc'!$K112/365)</f>
        <v>1</v>
      </c>
    </row>
    <row r="113" spans="1:37">
      <c r="A113" s="4"/>
      <c r="B113" s="6"/>
      <c r="F113" s="11"/>
      <c r="G113" s="6"/>
      <c r="H113" s="20"/>
      <c r="I113" s="21"/>
      <c r="J113" s="26"/>
      <c r="K113" s="6">
        <f t="shared" ca="1" si="8"/>
        <v>0</v>
      </c>
      <c r="L113" s="8">
        <f ca="1">_xll.HLV5r3.Analytics.Miscellaneous.Zero2DF(_xll.HLV5r3.Analytics.Miscellaneous.LinearInterp(Peturbed_QZ,$K113,1,L$1),ZeroCompFreq,'PDH Calc'!$K113/365)</f>
        <v>1</v>
      </c>
      <c r="M113" s="8">
        <f ca="1">_xll.HLV5r3.Analytics.Miscellaneous.Zero2DF(_xll.HLV5r3.Analytics.Miscellaneous.LinearInterp(Peturbed_QZ,$K113,1,M$1),ZeroCompFreq,'PDH Calc'!$K113/365)</f>
        <v>1</v>
      </c>
      <c r="N113" s="8">
        <f ca="1">_xll.HLV5r3.Analytics.Miscellaneous.Zero2DF(_xll.HLV5r3.Analytics.Miscellaneous.LinearInterp(Peturbed_QZ,$K113,1,N$1),ZeroCompFreq,'PDH Calc'!$K113/365)</f>
        <v>1</v>
      </c>
      <c r="O113" s="8">
        <f ca="1">_xll.HLV5r3.Analytics.Miscellaneous.Zero2DF(_xll.HLV5r3.Analytics.Miscellaneous.LinearInterp(Peturbed_QZ,$K113,1,O$1),ZeroCompFreq,'PDH Calc'!$K113/365)</f>
        <v>1</v>
      </c>
      <c r="P113" s="8">
        <f ca="1">_xll.HLV5r3.Analytics.Miscellaneous.Zero2DF(_xll.HLV5r3.Analytics.Miscellaneous.LinearInterp(Peturbed_QZ,$K113,1,P$1),ZeroCompFreq,'PDH Calc'!$K113/365)</f>
        <v>1</v>
      </c>
      <c r="Q113" s="8">
        <f ca="1">_xll.HLV5r3.Analytics.Miscellaneous.Zero2DF(_xll.HLV5r3.Analytics.Miscellaneous.LinearInterp(Peturbed_QZ,$K113,1,Q$1),ZeroCompFreq,'PDH Calc'!$K113/365)</f>
        <v>1</v>
      </c>
      <c r="R113" s="8">
        <f ca="1">_xll.HLV5r3.Analytics.Miscellaneous.Zero2DF(_xll.HLV5r3.Analytics.Miscellaneous.LinearInterp(Peturbed_QZ,$K113,1,R$1),ZeroCompFreq,'PDH Calc'!$K113/365)</f>
        <v>1</v>
      </c>
      <c r="S113" s="8">
        <f ca="1">_xll.HLV5r3.Analytics.Miscellaneous.Zero2DF(_xll.HLV5r3.Analytics.Miscellaneous.LinearInterp(Peturbed_QZ,$K113,1,S$1),ZeroCompFreq,'PDH Calc'!$K113/365)</f>
        <v>1</v>
      </c>
      <c r="T113" s="8">
        <f ca="1">_xll.HLV5r3.Analytics.Miscellaneous.Zero2DF(_xll.HLV5r3.Analytics.Miscellaneous.LinearInterp(Peturbed_QZ,$K113,1,T$1),ZeroCompFreq,'PDH Calc'!$K113/365)</f>
        <v>1</v>
      </c>
      <c r="U113" s="8">
        <f ca="1">_xll.HLV5r3.Analytics.Miscellaneous.Zero2DF(_xll.HLV5r3.Analytics.Miscellaneous.LinearInterp(Peturbed_QZ,$K113,1,U$1),ZeroCompFreq,'PDH Calc'!$K113/365)</f>
        <v>1</v>
      </c>
      <c r="V113" s="8">
        <f ca="1">_xll.HLV5r3.Analytics.Miscellaneous.Zero2DF(_xll.HLV5r3.Analytics.Miscellaneous.LinearInterp(Peturbed_QZ,$K113,1,V$1),ZeroCompFreq,'PDH Calc'!$K113/365)</f>
        <v>1</v>
      </c>
      <c r="W113" s="8">
        <f ca="1">_xll.HLV5r3.Analytics.Miscellaneous.Zero2DF(_xll.HLV5r3.Analytics.Miscellaneous.LinearInterp(Peturbed_QZ,$K113,1,W$1),ZeroCompFreq,'PDH Calc'!$K113/365)</f>
        <v>1</v>
      </c>
      <c r="X113" s="8">
        <f ca="1">_xll.HLV5r3.Analytics.Miscellaneous.Zero2DF(_xll.HLV5r3.Analytics.Miscellaneous.LinearInterp(Peturbed_QZ,$K113,1,X$1),ZeroCompFreq,'PDH Calc'!$K113/365)</f>
        <v>1</v>
      </c>
      <c r="Y113" s="8">
        <f ca="1">_xll.HLV5r3.Analytics.Miscellaneous.Zero2DF(_xll.HLV5r3.Analytics.Miscellaneous.LinearInterp(Peturbed_QZ,$K113,1,Y$1),ZeroCompFreq,'PDH Calc'!$K113/365)</f>
        <v>1</v>
      </c>
      <c r="Z113" s="8">
        <f ca="1">_xll.HLV5r3.Analytics.Miscellaneous.Zero2DF(_xll.HLV5r3.Analytics.Miscellaneous.LinearInterp(Peturbed_QZ,$K113,1,Z$1),ZeroCompFreq,'PDH Calc'!$K113/365)</f>
        <v>1</v>
      </c>
      <c r="AA113" s="8">
        <f ca="1">_xll.HLV5r3.Analytics.Miscellaneous.Zero2DF(_xll.HLV5r3.Analytics.Miscellaneous.LinearInterp(Peturbed_QZ,$K113,1,AA$1),ZeroCompFreq,'PDH Calc'!$K113/365)</f>
        <v>1</v>
      </c>
      <c r="AB113" s="8">
        <f ca="1">_xll.HLV5r3.Analytics.Miscellaneous.Zero2DF(_xll.HLV5r3.Analytics.Miscellaneous.LinearInterp(Peturbed_QZ,$K113,1,AB$1),ZeroCompFreq,'PDH Calc'!$K113/365)</f>
        <v>1</v>
      </c>
      <c r="AC113" s="8">
        <f ca="1">_xll.HLV5r3.Analytics.Miscellaneous.Zero2DF(_xll.HLV5r3.Analytics.Miscellaneous.LinearInterp(Peturbed_QZ,$K113,1,AC$1),ZeroCompFreq,'PDH Calc'!$K113/365)</f>
        <v>1</v>
      </c>
      <c r="AD113" s="8">
        <f ca="1">_xll.HLV5r3.Analytics.Miscellaneous.Zero2DF(_xll.HLV5r3.Analytics.Miscellaneous.LinearInterp(Peturbed_QZ,$K113,1,AD$1),ZeroCompFreq,'PDH Calc'!$K113/365)</f>
        <v>1</v>
      </c>
      <c r="AE113" s="8">
        <f ca="1">_xll.HLV5r3.Analytics.Miscellaneous.Zero2DF(_xll.HLV5r3.Analytics.Miscellaneous.LinearInterp(Peturbed_QZ,$K113,1,AE$1),ZeroCompFreq,'PDH Calc'!$K113/365)</f>
        <v>1</v>
      </c>
      <c r="AF113" s="8">
        <f ca="1">_xll.HLV5r3.Analytics.Miscellaneous.Zero2DF(_xll.HLV5r3.Analytics.Miscellaneous.LinearInterp(Peturbed_QZ,$K113,1,AF$1),ZeroCompFreq,'PDH Calc'!$K113/365)</f>
        <v>1</v>
      </c>
      <c r="AG113" s="8">
        <f ca="1">_xll.HLV5r3.Analytics.Miscellaneous.Zero2DF(_xll.HLV5r3.Analytics.Miscellaneous.LinearInterp(Peturbed_QZ,$K113,1,AG$1),ZeroCompFreq,'PDH Calc'!$K113/365)</f>
        <v>1</v>
      </c>
      <c r="AH113" s="8">
        <f ca="1">_xll.HLV5r3.Analytics.Miscellaneous.Zero2DF(_xll.HLV5r3.Analytics.Miscellaneous.LinearInterp(Peturbed_QZ,$K113,1,AH$1),ZeroCompFreq,'PDH Calc'!$K113/365)</f>
        <v>1</v>
      </c>
      <c r="AI113" s="8">
        <f ca="1">_xll.HLV5r3.Analytics.Miscellaneous.Zero2DF(_xll.HLV5r3.Analytics.Miscellaneous.LinearInterp(Peturbed_QZ,$K113,1,AI$1),ZeroCompFreq,'PDH Calc'!$K113/365)</f>
        <v>1</v>
      </c>
      <c r="AJ113" s="8">
        <f ca="1">_xll.HLV5r3.Analytics.Miscellaneous.Zero2DF(_xll.HLV5r3.Analytics.Miscellaneous.LinearInterp(Peturbed_QZ,$K113,1,AJ$1),ZeroCompFreq,'PDH Calc'!$K113/365)</f>
        <v>1</v>
      </c>
      <c r="AK113" s="8">
        <f ca="1">_xll.HLV5r3.Analytics.Miscellaneous.Zero2DF(_xll.HLV5r3.Analytics.Miscellaneous.LinearInterp(Peturbed_QZ,$K113,1,AK$1),ZeroCompFreq,'PDH Calc'!$K113/365)</f>
        <v>1</v>
      </c>
    </row>
    <row r="114" spans="1:37">
      <c r="A114" s="4"/>
      <c r="B114" s="6"/>
      <c r="F114" s="11"/>
      <c r="G114" s="6"/>
      <c r="H114" s="20"/>
      <c r="I114" s="21"/>
      <c r="J114" s="26"/>
      <c r="K114" s="6">
        <f t="shared" ca="1" si="8"/>
        <v>0</v>
      </c>
      <c r="L114" s="8">
        <f ca="1">_xll.HLV5r3.Analytics.Miscellaneous.Zero2DF(_xll.HLV5r3.Analytics.Miscellaneous.LinearInterp(Peturbed_QZ,$K114,1,L$1),ZeroCompFreq,'PDH Calc'!$K114/365)</f>
        <v>1</v>
      </c>
      <c r="M114" s="8">
        <f ca="1">_xll.HLV5r3.Analytics.Miscellaneous.Zero2DF(_xll.HLV5r3.Analytics.Miscellaneous.LinearInterp(Peturbed_QZ,$K114,1,M$1),ZeroCompFreq,'PDH Calc'!$K114/365)</f>
        <v>1</v>
      </c>
      <c r="N114" s="8">
        <f ca="1">_xll.HLV5r3.Analytics.Miscellaneous.Zero2DF(_xll.HLV5r3.Analytics.Miscellaneous.LinearInterp(Peturbed_QZ,$K114,1,N$1),ZeroCompFreq,'PDH Calc'!$K114/365)</f>
        <v>1</v>
      </c>
      <c r="O114" s="8">
        <f ca="1">_xll.HLV5r3.Analytics.Miscellaneous.Zero2DF(_xll.HLV5r3.Analytics.Miscellaneous.LinearInterp(Peturbed_QZ,$K114,1,O$1),ZeroCompFreq,'PDH Calc'!$K114/365)</f>
        <v>1</v>
      </c>
      <c r="P114" s="8">
        <f ca="1">_xll.HLV5r3.Analytics.Miscellaneous.Zero2DF(_xll.HLV5r3.Analytics.Miscellaneous.LinearInterp(Peturbed_QZ,$K114,1,P$1),ZeroCompFreq,'PDH Calc'!$K114/365)</f>
        <v>1</v>
      </c>
      <c r="Q114" s="8">
        <f ca="1">_xll.HLV5r3.Analytics.Miscellaneous.Zero2DF(_xll.HLV5r3.Analytics.Miscellaneous.LinearInterp(Peturbed_QZ,$K114,1,Q$1),ZeroCompFreq,'PDH Calc'!$K114/365)</f>
        <v>1</v>
      </c>
      <c r="R114" s="8">
        <f ca="1">_xll.HLV5r3.Analytics.Miscellaneous.Zero2DF(_xll.HLV5r3.Analytics.Miscellaneous.LinearInterp(Peturbed_QZ,$K114,1,R$1),ZeroCompFreq,'PDH Calc'!$K114/365)</f>
        <v>1</v>
      </c>
      <c r="S114" s="8">
        <f ca="1">_xll.HLV5r3.Analytics.Miscellaneous.Zero2DF(_xll.HLV5r3.Analytics.Miscellaneous.LinearInterp(Peturbed_QZ,$K114,1,S$1),ZeroCompFreq,'PDH Calc'!$K114/365)</f>
        <v>1</v>
      </c>
      <c r="T114" s="8">
        <f ca="1">_xll.HLV5r3.Analytics.Miscellaneous.Zero2DF(_xll.HLV5r3.Analytics.Miscellaneous.LinearInterp(Peturbed_QZ,$K114,1,T$1),ZeroCompFreq,'PDH Calc'!$K114/365)</f>
        <v>1</v>
      </c>
      <c r="U114" s="8">
        <f ca="1">_xll.HLV5r3.Analytics.Miscellaneous.Zero2DF(_xll.HLV5r3.Analytics.Miscellaneous.LinearInterp(Peturbed_QZ,$K114,1,U$1),ZeroCompFreq,'PDH Calc'!$K114/365)</f>
        <v>1</v>
      </c>
      <c r="V114" s="8">
        <f ca="1">_xll.HLV5r3.Analytics.Miscellaneous.Zero2DF(_xll.HLV5r3.Analytics.Miscellaneous.LinearInterp(Peturbed_QZ,$K114,1,V$1),ZeroCompFreq,'PDH Calc'!$K114/365)</f>
        <v>1</v>
      </c>
      <c r="W114" s="8">
        <f ca="1">_xll.HLV5r3.Analytics.Miscellaneous.Zero2DF(_xll.HLV5r3.Analytics.Miscellaneous.LinearInterp(Peturbed_QZ,$K114,1,W$1),ZeroCompFreq,'PDH Calc'!$K114/365)</f>
        <v>1</v>
      </c>
      <c r="X114" s="8">
        <f ca="1">_xll.HLV5r3.Analytics.Miscellaneous.Zero2DF(_xll.HLV5r3.Analytics.Miscellaneous.LinearInterp(Peturbed_QZ,$K114,1,X$1),ZeroCompFreq,'PDH Calc'!$K114/365)</f>
        <v>1</v>
      </c>
      <c r="Y114" s="8">
        <f ca="1">_xll.HLV5r3.Analytics.Miscellaneous.Zero2DF(_xll.HLV5r3.Analytics.Miscellaneous.LinearInterp(Peturbed_QZ,$K114,1,Y$1),ZeroCompFreq,'PDH Calc'!$K114/365)</f>
        <v>1</v>
      </c>
      <c r="Z114" s="8">
        <f ca="1">_xll.HLV5r3.Analytics.Miscellaneous.Zero2DF(_xll.HLV5r3.Analytics.Miscellaneous.LinearInterp(Peturbed_QZ,$K114,1,Z$1),ZeroCompFreq,'PDH Calc'!$K114/365)</f>
        <v>1</v>
      </c>
      <c r="AA114" s="8">
        <f ca="1">_xll.HLV5r3.Analytics.Miscellaneous.Zero2DF(_xll.HLV5r3.Analytics.Miscellaneous.LinearInterp(Peturbed_QZ,$K114,1,AA$1),ZeroCompFreq,'PDH Calc'!$K114/365)</f>
        <v>1</v>
      </c>
      <c r="AB114" s="8">
        <f ca="1">_xll.HLV5r3.Analytics.Miscellaneous.Zero2DF(_xll.HLV5r3.Analytics.Miscellaneous.LinearInterp(Peturbed_QZ,$K114,1,AB$1),ZeroCompFreq,'PDH Calc'!$K114/365)</f>
        <v>1</v>
      </c>
      <c r="AC114" s="8">
        <f ca="1">_xll.HLV5r3.Analytics.Miscellaneous.Zero2DF(_xll.HLV5r3.Analytics.Miscellaneous.LinearInterp(Peturbed_QZ,$K114,1,AC$1),ZeroCompFreq,'PDH Calc'!$K114/365)</f>
        <v>1</v>
      </c>
      <c r="AD114" s="8">
        <f ca="1">_xll.HLV5r3.Analytics.Miscellaneous.Zero2DF(_xll.HLV5r3.Analytics.Miscellaneous.LinearInterp(Peturbed_QZ,$K114,1,AD$1),ZeroCompFreq,'PDH Calc'!$K114/365)</f>
        <v>1</v>
      </c>
      <c r="AE114" s="8">
        <f ca="1">_xll.HLV5r3.Analytics.Miscellaneous.Zero2DF(_xll.HLV5r3.Analytics.Miscellaneous.LinearInterp(Peturbed_QZ,$K114,1,AE$1),ZeroCompFreq,'PDH Calc'!$K114/365)</f>
        <v>1</v>
      </c>
      <c r="AF114" s="8">
        <f ca="1">_xll.HLV5r3.Analytics.Miscellaneous.Zero2DF(_xll.HLV5r3.Analytics.Miscellaneous.LinearInterp(Peturbed_QZ,$K114,1,AF$1),ZeroCompFreq,'PDH Calc'!$K114/365)</f>
        <v>1</v>
      </c>
      <c r="AG114" s="8">
        <f ca="1">_xll.HLV5r3.Analytics.Miscellaneous.Zero2DF(_xll.HLV5r3.Analytics.Miscellaneous.LinearInterp(Peturbed_QZ,$K114,1,AG$1),ZeroCompFreq,'PDH Calc'!$K114/365)</f>
        <v>1</v>
      </c>
      <c r="AH114" s="8">
        <f ca="1">_xll.HLV5r3.Analytics.Miscellaneous.Zero2DF(_xll.HLV5r3.Analytics.Miscellaneous.LinearInterp(Peturbed_QZ,$K114,1,AH$1),ZeroCompFreq,'PDH Calc'!$K114/365)</f>
        <v>1</v>
      </c>
      <c r="AI114" s="8">
        <f ca="1">_xll.HLV5r3.Analytics.Miscellaneous.Zero2DF(_xll.HLV5r3.Analytics.Miscellaneous.LinearInterp(Peturbed_QZ,$K114,1,AI$1),ZeroCompFreq,'PDH Calc'!$K114/365)</f>
        <v>1</v>
      </c>
      <c r="AJ114" s="8">
        <f ca="1">_xll.HLV5r3.Analytics.Miscellaneous.Zero2DF(_xll.HLV5r3.Analytics.Miscellaneous.LinearInterp(Peturbed_QZ,$K114,1,AJ$1),ZeroCompFreq,'PDH Calc'!$K114/365)</f>
        <v>1</v>
      </c>
      <c r="AK114" s="8">
        <f ca="1">_xll.HLV5r3.Analytics.Miscellaneous.Zero2DF(_xll.HLV5r3.Analytics.Miscellaneous.LinearInterp(Peturbed_QZ,$K114,1,AK$1),ZeroCompFreq,'PDH Calc'!$K114/365)</f>
        <v>1</v>
      </c>
    </row>
    <row r="115" spans="1:37">
      <c r="A115" s="4"/>
      <c r="B115" s="6"/>
      <c r="F115" s="11"/>
      <c r="G115" s="6"/>
      <c r="H115" s="20"/>
      <c r="I115" s="21"/>
      <c r="J115" s="26"/>
      <c r="K115" s="6">
        <f t="shared" ca="1" si="8"/>
        <v>0</v>
      </c>
      <c r="L115" s="8">
        <f ca="1">_xll.HLV5r3.Analytics.Miscellaneous.Zero2DF(_xll.HLV5r3.Analytics.Miscellaneous.LinearInterp(Peturbed_QZ,$K115,1,L$1),ZeroCompFreq,'PDH Calc'!$K115/365)</f>
        <v>1</v>
      </c>
      <c r="M115" s="8">
        <f ca="1">_xll.HLV5r3.Analytics.Miscellaneous.Zero2DF(_xll.HLV5r3.Analytics.Miscellaneous.LinearInterp(Peturbed_QZ,$K115,1,M$1),ZeroCompFreq,'PDH Calc'!$K115/365)</f>
        <v>1</v>
      </c>
      <c r="N115" s="8">
        <f ca="1">_xll.HLV5r3.Analytics.Miscellaneous.Zero2DF(_xll.HLV5r3.Analytics.Miscellaneous.LinearInterp(Peturbed_QZ,$K115,1,N$1),ZeroCompFreq,'PDH Calc'!$K115/365)</f>
        <v>1</v>
      </c>
      <c r="O115" s="8">
        <f ca="1">_xll.HLV5r3.Analytics.Miscellaneous.Zero2DF(_xll.HLV5r3.Analytics.Miscellaneous.LinearInterp(Peturbed_QZ,$K115,1,O$1),ZeroCompFreq,'PDH Calc'!$K115/365)</f>
        <v>1</v>
      </c>
      <c r="P115" s="8">
        <f ca="1">_xll.HLV5r3.Analytics.Miscellaneous.Zero2DF(_xll.HLV5r3.Analytics.Miscellaneous.LinearInterp(Peturbed_QZ,$K115,1,P$1),ZeroCompFreq,'PDH Calc'!$K115/365)</f>
        <v>1</v>
      </c>
      <c r="Q115" s="8">
        <f ca="1">_xll.HLV5r3.Analytics.Miscellaneous.Zero2DF(_xll.HLV5r3.Analytics.Miscellaneous.LinearInterp(Peturbed_QZ,$K115,1,Q$1),ZeroCompFreq,'PDH Calc'!$K115/365)</f>
        <v>1</v>
      </c>
      <c r="R115" s="8">
        <f ca="1">_xll.HLV5r3.Analytics.Miscellaneous.Zero2DF(_xll.HLV5r3.Analytics.Miscellaneous.LinearInterp(Peturbed_QZ,$K115,1,R$1),ZeroCompFreq,'PDH Calc'!$K115/365)</f>
        <v>1</v>
      </c>
      <c r="S115" s="8">
        <f ca="1">_xll.HLV5r3.Analytics.Miscellaneous.Zero2DF(_xll.HLV5r3.Analytics.Miscellaneous.LinearInterp(Peturbed_QZ,$K115,1,S$1),ZeroCompFreq,'PDH Calc'!$K115/365)</f>
        <v>1</v>
      </c>
      <c r="T115" s="8">
        <f ca="1">_xll.HLV5r3.Analytics.Miscellaneous.Zero2DF(_xll.HLV5r3.Analytics.Miscellaneous.LinearInterp(Peturbed_QZ,$K115,1,T$1),ZeroCompFreq,'PDH Calc'!$K115/365)</f>
        <v>1</v>
      </c>
      <c r="U115" s="8">
        <f ca="1">_xll.HLV5r3.Analytics.Miscellaneous.Zero2DF(_xll.HLV5r3.Analytics.Miscellaneous.LinearInterp(Peturbed_QZ,$K115,1,U$1),ZeroCompFreq,'PDH Calc'!$K115/365)</f>
        <v>1</v>
      </c>
      <c r="V115" s="8">
        <f ca="1">_xll.HLV5r3.Analytics.Miscellaneous.Zero2DF(_xll.HLV5r3.Analytics.Miscellaneous.LinearInterp(Peturbed_QZ,$K115,1,V$1),ZeroCompFreq,'PDH Calc'!$K115/365)</f>
        <v>1</v>
      </c>
      <c r="W115" s="8">
        <f ca="1">_xll.HLV5r3.Analytics.Miscellaneous.Zero2DF(_xll.HLV5r3.Analytics.Miscellaneous.LinearInterp(Peturbed_QZ,$K115,1,W$1),ZeroCompFreq,'PDH Calc'!$K115/365)</f>
        <v>1</v>
      </c>
      <c r="X115" s="8">
        <f ca="1">_xll.HLV5r3.Analytics.Miscellaneous.Zero2DF(_xll.HLV5r3.Analytics.Miscellaneous.LinearInterp(Peturbed_QZ,$K115,1,X$1),ZeroCompFreq,'PDH Calc'!$K115/365)</f>
        <v>1</v>
      </c>
      <c r="Y115" s="8">
        <f ca="1">_xll.HLV5r3.Analytics.Miscellaneous.Zero2DF(_xll.HLV5r3.Analytics.Miscellaneous.LinearInterp(Peturbed_QZ,$K115,1,Y$1),ZeroCompFreq,'PDH Calc'!$K115/365)</f>
        <v>1</v>
      </c>
      <c r="Z115" s="8">
        <f ca="1">_xll.HLV5r3.Analytics.Miscellaneous.Zero2DF(_xll.HLV5r3.Analytics.Miscellaneous.LinearInterp(Peturbed_QZ,$K115,1,Z$1),ZeroCompFreq,'PDH Calc'!$K115/365)</f>
        <v>1</v>
      </c>
      <c r="AA115" s="8">
        <f ca="1">_xll.HLV5r3.Analytics.Miscellaneous.Zero2DF(_xll.HLV5r3.Analytics.Miscellaneous.LinearInterp(Peturbed_QZ,$K115,1,AA$1),ZeroCompFreq,'PDH Calc'!$K115/365)</f>
        <v>1</v>
      </c>
      <c r="AB115" s="8">
        <f ca="1">_xll.HLV5r3.Analytics.Miscellaneous.Zero2DF(_xll.HLV5r3.Analytics.Miscellaneous.LinearInterp(Peturbed_QZ,$K115,1,AB$1),ZeroCompFreq,'PDH Calc'!$K115/365)</f>
        <v>1</v>
      </c>
      <c r="AC115" s="8">
        <f ca="1">_xll.HLV5r3.Analytics.Miscellaneous.Zero2DF(_xll.HLV5r3.Analytics.Miscellaneous.LinearInterp(Peturbed_QZ,$K115,1,AC$1),ZeroCompFreq,'PDH Calc'!$K115/365)</f>
        <v>1</v>
      </c>
      <c r="AD115" s="8">
        <f ca="1">_xll.HLV5r3.Analytics.Miscellaneous.Zero2DF(_xll.HLV5r3.Analytics.Miscellaneous.LinearInterp(Peturbed_QZ,$K115,1,AD$1),ZeroCompFreq,'PDH Calc'!$K115/365)</f>
        <v>1</v>
      </c>
      <c r="AE115" s="8">
        <f ca="1">_xll.HLV5r3.Analytics.Miscellaneous.Zero2DF(_xll.HLV5r3.Analytics.Miscellaneous.LinearInterp(Peturbed_QZ,$K115,1,AE$1),ZeroCompFreq,'PDH Calc'!$K115/365)</f>
        <v>1</v>
      </c>
      <c r="AF115" s="8">
        <f ca="1">_xll.HLV5r3.Analytics.Miscellaneous.Zero2DF(_xll.HLV5r3.Analytics.Miscellaneous.LinearInterp(Peturbed_QZ,$K115,1,AF$1),ZeroCompFreq,'PDH Calc'!$K115/365)</f>
        <v>1</v>
      </c>
      <c r="AG115" s="8">
        <f ca="1">_xll.HLV5r3.Analytics.Miscellaneous.Zero2DF(_xll.HLV5r3.Analytics.Miscellaneous.LinearInterp(Peturbed_QZ,$K115,1,AG$1),ZeroCompFreq,'PDH Calc'!$K115/365)</f>
        <v>1</v>
      </c>
      <c r="AH115" s="8">
        <f ca="1">_xll.HLV5r3.Analytics.Miscellaneous.Zero2DF(_xll.HLV5r3.Analytics.Miscellaneous.LinearInterp(Peturbed_QZ,$K115,1,AH$1),ZeroCompFreq,'PDH Calc'!$K115/365)</f>
        <v>1</v>
      </c>
      <c r="AI115" s="8">
        <f ca="1">_xll.HLV5r3.Analytics.Miscellaneous.Zero2DF(_xll.HLV5r3.Analytics.Miscellaneous.LinearInterp(Peturbed_QZ,$K115,1,AI$1),ZeroCompFreq,'PDH Calc'!$K115/365)</f>
        <v>1</v>
      </c>
      <c r="AJ115" s="8">
        <f ca="1">_xll.HLV5r3.Analytics.Miscellaneous.Zero2DF(_xll.HLV5r3.Analytics.Miscellaneous.LinearInterp(Peturbed_QZ,$K115,1,AJ$1),ZeroCompFreq,'PDH Calc'!$K115/365)</f>
        <v>1</v>
      </c>
      <c r="AK115" s="8">
        <f ca="1">_xll.HLV5r3.Analytics.Miscellaneous.Zero2DF(_xll.HLV5r3.Analytics.Miscellaneous.LinearInterp(Peturbed_QZ,$K115,1,AK$1),ZeroCompFreq,'PDH Calc'!$K115/365)</f>
        <v>1</v>
      </c>
    </row>
    <row r="116" spans="1:37">
      <c r="A116" s="4"/>
      <c r="B116" s="6"/>
      <c r="F116" s="11"/>
      <c r="G116" s="6"/>
      <c r="H116" s="20"/>
      <c r="I116" s="21"/>
      <c r="J116" s="26"/>
      <c r="K116" s="6">
        <f t="shared" ca="1" si="8"/>
        <v>0</v>
      </c>
      <c r="L116" s="8">
        <f ca="1">_xll.HLV5r3.Analytics.Miscellaneous.Zero2DF(_xll.HLV5r3.Analytics.Miscellaneous.LinearInterp(Peturbed_QZ,$K116,1,L$1),ZeroCompFreq,'PDH Calc'!$K116/365)</f>
        <v>1</v>
      </c>
      <c r="M116" s="8">
        <f ca="1">_xll.HLV5r3.Analytics.Miscellaneous.Zero2DF(_xll.HLV5r3.Analytics.Miscellaneous.LinearInterp(Peturbed_QZ,$K116,1,M$1),ZeroCompFreq,'PDH Calc'!$K116/365)</f>
        <v>1</v>
      </c>
      <c r="N116" s="8">
        <f ca="1">_xll.HLV5r3.Analytics.Miscellaneous.Zero2DF(_xll.HLV5r3.Analytics.Miscellaneous.LinearInterp(Peturbed_QZ,$K116,1,N$1),ZeroCompFreq,'PDH Calc'!$K116/365)</f>
        <v>1</v>
      </c>
      <c r="O116" s="8">
        <f ca="1">_xll.HLV5r3.Analytics.Miscellaneous.Zero2DF(_xll.HLV5r3.Analytics.Miscellaneous.LinearInterp(Peturbed_QZ,$K116,1,O$1),ZeroCompFreq,'PDH Calc'!$K116/365)</f>
        <v>1</v>
      </c>
      <c r="P116" s="8">
        <f ca="1">_xll.HLV5r3.Analytics.Miscellaneous.Zero2DF(_xll.HLV5r3.Analytics.Miscellaneous.LinearInterp(Peturbed_QZ,$K116,1,P$1),ZeroCompFreq,'PDH Calc'!$K116/365)</f>
        <v>1</v>
      </c>
      <c r="Q116" s="8">
        <f ca="1">_xll.HLV5r3.Analytics.Miscellaneous.Zero2DF(_xll.HLV5r3.Analytics.Miscellaneous.LinearInterp(Peturbed_QZ,$K116,1,Q$1),ZeroCompFreq,'PDH Calc'!$K116/365)</f>
        <v>1</v>
      </c>
      <c r="R116" s="8">
        <f ca="1">_xll.HLV5r3.Analytics.Miscellaneous.Zero2DF(_xll.HLV5r3.Analytics.Miscellaneous.LinearInterp(Peturbed_QZ,$K116,1,R$1),ZeroCompFreq,'PDH Calc'!$K116/365)</f>
        <v>1</v>
      </c>
      <c r="S116" s="8">
        <f ca="1">_xll.HLV5r3.Analytics.Miscellaneous.Zero2DF(_xll.HLV5r3.Analytics.Miscellaneous.LinearInterp(Peturbed_QZ,$K116,1,S$1),ZeroCompFreq,'PDH Calc'!$K116/365)</f>
        <v>1</v>
      </c>
      <c r="T116" s="8">
        <f ca="1">_xll.HLV5r3.Analytics.Miscellaneous.Zero2DF(_xll.HLV5r3.Analytics.Miscellaneous.LinearInterp(Peturbed_QZ,$K116,1,T$1),ZeroCompFreq,'PDH Calc'!$K116/365)</f>
        <v>1</v>
      </c>
      <c r="U116" s="8">
        <f ca="1">_xll.HLV5r3.Analytics.Miscellaneous.Zero2DF(_xll.HLV5r3.Analytics.Miscellaneous.LinearInterp(Peturbed_QZ,$K116,1,U$1),ZeroCompFreq,'PDH Calc'!$K116/365)</f>
        <v>1</v>
      </c>
      <c r="V116" s="8">
        <f ca="1">_xll.HLV5r3.Analytics.Miscellaneous.Zero2DF(_xll.HLV5r3.Analytics.Miscellaneous.LinearInterp(Peturbed_QZ,$K116,1,V$1),ZeroCompFreq,'PDH Calc'!$K116/365)</f>
        <v>1</v>
      </c>
      <c r="W116" s="8">
        <f ca="1">_xll.HLV5r3.Analytics.Miscellaneous.Zero2DF(_xll.HLV5r3.Analytics.Miscellaneous.LinearInterp(Peturbed_QZ,$K116,1,W$1),ZeroCompFreq,'PDH Calc'!$K116/365)</f>
        <v>1</v>
      </c>
      <c r="X116" s="8">
        <f ca="1">_xll.HLV5r3.Analytics.Miscellaneous.Zero2DF(_xll.HLV5r3.Analytics.Miscellaneous.LinearInterp(Peturbed_QZ,$K116,1,X$1),ZeroCompFreq,'PDH Calc'!$K116/365)</f>
        <v>1</v>
      </c>
      <c r="Y116" s="8">
        <f ca="1">_xll.HLV5r3.Analytics.Miscellaneous.Zero2DF(_xll.HLV5r3.Analytics.Miscellaneous.LinearInterp(Peturbed_QZ,$K116,1,Y$1),ZeroCompFreq,'PDH Calc'!$K116/365)</f>
        <v>1</v>
      </c>
      <c r="Z116" s="8">
        <f ca="1">_xll.HLV5r3.Analytics.Miscellaneous.Zero2DF(_xll.HLV5r3.Analytics.Miscellaneous.LinearInterp(Peturbed_QZ,$K116,1,Z$1),ZeroCompFreq,'PDH Calc'!$K116/365)</f>
        <v>1</v>
      </c>
      <c r="AA116" s="8">
        <f ca="1">_xll.HLV5r3.Analytics.Miscellaneous.Zero2DF(_xll.HLV5r3.Analytics.Miscellaneous.LinearInterp(Peturbed_QZ,$K116,1,AA$1),ZeroCompFreq,'PDH Calc'!$K116/365)</f>
        <v>1</v>
      </c>
      <c r="AB116" s="8">
        <f ca="1">_xll.HLV5r3.Analytics.Miscellaneous.Zero2DF(_xll.HLV5r3.Analytics.Miscellaneous.LinearInterp(Peturbed_QZ,$K116,1,AB$1),ZeroCompFreq,'PDH Calc'!$K116/365)</f>
        <v>1</v>
      </c>
      <c r="AC116" s="8">
        <f ca="1">_xll.HLV5r3.Analytics.Miscellaneous.Zero2DF(_xll.HLV5r3.Analytics.Miscellaneous.LinearInterp(Peturbed_QZ,$K116,1,AC$1),ZeroCompFreq,'PDH Calc'!$K116/365)</f>
        <v>1</v>
      </c>
      <c r="AD116" s="8">
        <f ca="1">_xll.HLV5r3.Analytics.Miscellaneous.Zero2DF(_xll.HLV5r3.Analytics.Miscellaneous.LinearInterp(Peturbed_QZ,$K116,1,AD$1),ZeroCompFreq,'PDH Calc'!$K116/365)</f>
        <v>1</v>
      </c>
      <c r="AE116" s="8">
        <f ca="1">_xll.HLV5r3.Analytics.Miscellaneous.Zero2DF(_xll.HLV5r3.Analytics.Miscellaneous.LinearInterp(Peturbed_QZ,$K116,1,AE$1),ZeroCompFreq,'PDH Calc'!$K116/365)</f>
        <v>1</v>
      </c>
      <c r="AF116" s="8">
        <f ca="1">_xll.HLV5r3.Analytics.Miscellaneous.Zero2DF(_xll.HLV5r3.Analytics.Miscellaneous.LinearInterp(Peturbed_QZ,$K116,1,AF$1),ZeroCompFreq,'PDH Calc'!$K116/365)</f>
        <v>1</v>
      </c>
      <c r="AG116" s="8">
        <f ca="1">_xll.HLV5r3.Analytics.Miscellaneous.Zero2DF(_xll.HLV5r3.Analytics.Miscellaneous.LinearInterp(Peturbed_QZ,$K116,1,AG$1),ZeroCompFreq,'PDH Calc'!$K116/365)</f>
        <v>1</v>
      </c>
      <c r="AH116" s="8">
        <f ca="1">_xll.HLV5r3.Analytics.Miscellaneous.Zero2DF(_xll.HLV5r3.Analytics.Miscellaneous.LinearInterp(Peturbed_QZ,$K116,1,AH$1),ZeroCompFreq,'PDH Calc'!$K116/365)</f>
        <v>1</v>
      </c>
      <c r="AI116" s="8">
        <f ca="1">_xll.HLV5r3.Analytics.Miscellaneous.Zero2DF(_xll.HLV5r3.Analytics.Miscellaneous.LinearInterp(Peturbed_QZ,$K116,1,AI$1),ZeroCompFreq,'PDH Calc'!$K116/365)</f>
        <v>1</v>
      </c>
      <c r="AJ116" s="8">
        <f ca="1">_xll.HLV5r3.Analytics.Miscellaneous.Zero2DF(_xll.HLV5r3.Analytics.Miscellaneous.LinearInterp(Peturbed_QZ,$K116,1,AJ$1),ZeroCompFreq,'PDH Calc'!$K116/365)</f>
        <v>1</v>
      </c>
      <c r="AK116" s="8">
        <f ca="1">_xll.HLV5r3.Analytics.Miscellaneous.Zero2DF(_xll.HLV5r3.Analytics.Miscellaneous.LinearInterp(Peturbed_QZ,$K116,1,AK$1),ZeroCompFreq,'PDH Calc'!$K116/365)</f>
        <v>1</v>
      </c>
    </row>
    <row r="117" spans="1:37">
      <c r="A117" s="4"/>
      <c r="B117" s="6"/>
      <c r="F117" s="11"/>
      <c r="G117" s="6"/>
      <c r="H117" s="20"/>
      <c r="I117" s="21"/>
      <c r="J117" s="26"/>
      <c r="K117" s="6">
        <f t="shared" ca="1" si="8"/>
        <v>0</v>
      </c>
      <c r="L117" s="8">
        <f ca="1">_xll.HLV5r3.Analytics.Miscellaneous.Zero2DF(_xll.HLV5r3.Analytics.Miscellaneous.LinearInterp(Peturbed_QZ,$K117,1,L$1),ZeroCompFreq,'PDH Calc'!$K117/365)</f>
        <v>1</v>
      </c>
      <c r="M117" s="8">
        <f ca="1">_xll.HLV5r3.Analytics.Miscellaneous.Zero2DF(_xll.HLV5r3.Analytics.Miscellaneous.LinearInterp(Peturbed_QZ,$K117,1,M$1),ZeroCompFreq,'PDH Calc'!$K117/365)</f>
        <v>1</v>
      </c>
      <c r="N117" s="8">
        <f ca="1">_xll.HLV5r3.Analytics.Miscellaneous.Zero2DF(_xll.HLV5r3.Analytics.Miscellaneous.LinearInterp(Peturbed_QZ,$K117,1,N$1),ZeroCompFreq,'PDH Calc'!$K117/365)</f>
        <v>1</v>
      </c>
      <c r="O117" s="8">
        <f ca="1">_xll.HLV5r3.Analytics.Miscellaneous.Zero2DF(_xll.HLV5r3.Analytics.Miscellaneous.LinearInterp(Peturbed_QZ,$K117,1,O$1),ZeroCompFreq,'PDH Calc'!$K117/365)</f>
        <v>1</v>
      </c>
      <c r="P117" s="8">
        <f ca="1">_xll.HLV5r3.Analytics.Miscellaneous.Zero2DF(_xll.HLV5r3.Analytics.Miscellaneous.LinearInterp(Peturbed_QZ,$K117,1,P$1),ZeroCompFreq,'PDH Calc'!$K117/365)</f>
        <v>1</v>
      </c>
      <c r="Q117" s="8">
        <f ca="1">_xll.HLV5r3.Analytics.Miscellaneous.Zero2DF(_xll.HLV5r3.Analytics.Miscellaneous.LinearInterp(Peturbed_QZ,$K117,1,Q$1),ZeroCompFreq,'PDH Calc'!$K117/365)</f>
        <v>1</v>
      </c>
      <c r="R117" s="8">
        <f ca="1">_xll.HLV5r3.Analytics.Miscellaneous.Zero2DF(_xll.HLV5r3.Analytics.Miscellaneous.LinearInterp(Peturbed_QZ,$K117,1,R$1),ZeroCompFreq,'PDH Calc'!$K117/365)</f>
        <v>1</v>
      </c>
      <c r="S117" s="8">
        <f ca="1">_xll.HLV5r3.Analytics.Miscellaneous.Zero2DF(_xll.HLV5r3.Analytics.Miscellaneous.LinearInterp(Peturbed_QZ,$K117,1,S$1),ZeroCompFreq,'PDH Calc'!$K117/365)</f>
        <v>1</v>
      </c>
      <c r="T117" s="8">
        <f ca="1">_xll.HLV5r3.Analytics.Miscellaneous.Zero2DF(_xll.HLV5r3.Analytics.Miscellaneous.LinearInterp(Peturbed_QZ,$K117,1,T$1),ZeroCompFreq,'PDH Calc'!$K117/365)</f>
        <v>1</v>
      </c>
      <c r="U117" s="8">
        <f ca="1">_xll.HLV5r3.Analytics.Miscellaneous.Zero2DF(_xll.HLV5r3.Analytics.Miscellaneous.LinearInterp(Peturbed_QZ,$K117,1,U$1),ZeroCompFreq,'PDH Calc'!$K117/365)</f>
        <v>1</v>
      </c>
      <c r="V117" s="8">
        <f ca="1">_xll.HLV5r3.Analytics.Miscellaneous.Zero2DF(_xll.HLV5r3.Analytics.Miscellaneous.LinearInterp(Peturbed_QZ,$K117,1,V$1),ZeroCompFreq,'PDH Calc'!$K117/365)</f>
        <v>1</v>
      </c>
      <c r="W117" s="8">
        <f ca="1">_xll.HLV5r3.Analytics.Miscellaneous.Zero2DF(_xll.HLV5r3.Analytics.Miscellaneous.LinearInterp(Peturbed_QZ,$K117,1,W$1),ZeroCompFreq,'PDH Calc'!$K117/365)</f>
        <v>1</v>
      </c>
      <c r="X117" s="8">
        <f ca="1">_xll.HLV5r3.Analytics.Miscellaneous.Zero2DF(_xll.HLV5r3.Analytics.Miscellaneous.LinearInterp(Peturbed_QZ,$K117,1,X$1),ZeroCompFreq,'PDH Calc'!$K117/365)</f>
        <v>1</v>
      </c>
      <c r="Y117" s="8">
        <f ca="1">_xll.HLV5r3.Analytics.Miscellaneous.Zero2DF(_xll.HLV5r3.Analytics.Miscellaneous.LinearInterp(Peturbed_QZ,$K117,1,Y$1),ZeroCompFreq,'PDH Calc'!$K117/365)</f>
        <v>1</v>
      </c>
      <c r="Z117" s="8">
        <f ca="1">_xll.HLV5r3.Analytics.Miscellaneous.Zero2DF(_xll.HLV5r3.Analytics.Miscellaneous.LinearInterp(Peturbed_QZ,$K117,1,Z$1),ZeroCompFreq,'PDH Calc'!$K117/365)</f>
        <v>1</v>
      </c>
      <c r="AA117" s="8">
        <f ca="1">_xll.HLV5r3.Analytics.Miscellaneous.Zero2DF(_xll.HLV5r3.Analytics.Miscellaneous.LinearInterp(Peturbed_QZ,$K117,1,AA$1),ZeroCompFreq,'PDH Calc'!$K117/365)</f>
        <v>1</v>
      </c>
      <c r="AB117" s="8">
        <f ca="1">_xll.HLV5r3.Analytics.Miscellaneous.Zero2DF(_xll.HLV5r3.Analytics.Miscellaneous.LinearInterp(Peturbed_QZ,$K117,1,AB$1),ZeroCompFreq,'PDH Calc'!$K117/365)</f>
        <v>1</v>
      </c>
      <c r="AC117" s="8">
        <f ca="1">_xll.HLV5r3.Analytics.Miscellaneous.Zero2DF(_xll.HLV5r3.Analytics.Miscellaneous.LinearInterp(Peturbed_QZ,$K117,1,AC$1),ZeroCompFreq,'PDH Calc'!$K117/365)</f>
        <v>1</v>
      </c>
      <c r="AD117" s="8">
        <f ca="1">_xll.HLV5r3.Analytics.Miscellaneous.Zero2DF(_xll.HLV5r3.Analytics.Miscellaneous.LinearInterp(Peturbed_QZ,$K117,1,AD$1),ZeroCompFreq,'PDH Calc'!$K117/365)</f>
        <v>1</v>
      </c>
      <c r="AE117" s="8">
        <f ca="1">_xll.HLV5r3.Analytics.Miscellaneous.Zero2DF(_xll.HLV5r3.Analytics.Miscellaneous.LinearInterp(Peturbed_QZ,$K117,1,AE$1),ZeroCompFreq,'PDH Calc'!$K117/365)</f>
        <v>1</v>
      </c>
      <c r="AF117" s="8">
        <f ca="1">_xll.HLV5r3.Analytics.Miscellaneous.Zero2DF(_xll.HLV5r3.Analytics.Miscellaneous.LinearInterp(Peturbed_QZ,$K117,1,AF$1),ZeroCompFreq,'PDH Calc'!$K117/365)</f>
        <v>1</v>
      </c>
      <c r="AG117" s="8">
        <f ca="1">_xll.HLV5r3.Analytics.Miscellaneous.Zero2DF(_xll.HLV5r3.Analytics.Miscellaneous.LinearInterp(Peturbed_QZ,$K117,1,AG$1),ZeroCompFreq,'PDH Calc'!$K117/365)</f>
        <v>1</v>
      </c>
      <c r="AH117" s="8">
        <f ca="1">_xll.HLV5r3.Analytics.Miscellaneous.Zero2DF(_xll.HLV5r3.Analytics.Miscellaneous.LinearInterp(Peturbed_QZ,$K117,1,AH$1),ZeroCompFreq,'PDH Calc'!$K117/365)</f>
        <v>1</v>
      </c>
      <c r="AI117" s="8">
        <f ca="1">_xll.HLV5r3.Analytics.Miscellaneous.Zero2DF(_xll.HLV5r3.Analytics.Miscellaneous.LinearInterp(Peturbed_QZ,$K117,1,AI$1),ZeroCompFreq,'PDH Calc'!$K117/365)</f>
        <v>1</v>
      </c>
      <c r="AJ117" s="8">
        <f ca="1">_xll.HLV5r3.Analytics.Miscellaneous.Zero2DF(_xll.HLV5r3.Analytics.Miscellaneous.LinearInterp(Peturbed_QZ,$K117,1,AJ$1),ZeroCompFreq,'PDH Calc'!$K117/365)</f>
        <v>1</v>
      </c>
      <c r="AK117" s="8">
        <f ca="1">_xll.HLV5r3.Analytics.Miscellaneous.Zero2DF(_xll.HLV5r3.Analytics.Miscellaneous.LinearInterp(Peturbed_QZ,$K117,1,AK$1),ZeroCompFreq,'PDH Calc'!$K117/365)</f>
        <v>1</v>
      </c>
    </row>
    <row r="118" spans="1:37">
      <c r="A118" s="4"/>
      <c r="B118" s="6"/>
      <c r="F118" s="11"/>
      <c r="G118" s="6"/>
      <c r="H118" s="20"/>
      <c r="I118" s="21"/>
      <c r="J118" s="26"/>
      <c r="K118" s="6">
        <f t="shared" ca="1" si="8"/>
        <v>0</v>
      </c>
      <c r="L118" s="8">
        <f ca="1">_xll.HLV5r3.Analytics.Miscellaneous.Zero2DF(_xll.HLV5r3.Analytics.Miscellaneous.LinearInterp(Peturbed_QZ,$K118,1,L$1),ZeroCompFreq,'PDH Calc'!$K118/365)</f>
        <v>1</v>
      </c>
      <c r="M118" s="8">
        <f ca="1">_xll.HLV5r3.Analytics.Miscellaneous.Zero2DF(_xll.HLV5r3.Analytics.Miscellaneous.LinearInterp(Peturbed_QZ,$K118,1,M$1),ZeroCompFreq,'PDH Calc'!$K118/365)</f>
        <v>1</v>
      </c>
      <c r="N118" s="8">
        <f ca="1">_xll.HLV5r3.Analytics.Miscellaneous.Zero2DF(_xll.HLV5r3.Analytics.Miscellaneous.LinearInterp(Peturbed_QZ,$K118,1,N$1),ZeroCompFreq,'PDH Calc'!$K118/365)</f>
        <v>1</v>
      </c>
      <c r="O118" s="8">
        <f ca="1">_xll.HLV5r3.Analytics.Miscellaneous.Zero2DF(_xll.HLV5r3.Analytics.Miscellaneous.LinearInterp(Peturbed_QZ,$K118,1,O$1),ZeroCompFreq,'PDH Calc'!$K118/365)</f>
        <v>1</v>
      </c>
      <c r="P118" s="8">
        <f ca="1">_xll.HLV5r3.Analytics.Miscellaneous.Zero2DF(_xll.HLV5r3.Analytics.Miscellaneous.LinearInterp(Peturbed_QZ,$K118,1,P$1),ZeroCompFreq,'PDH Calc'!$K118/365)</f>
        <v>1</v>
      </c>
      <c r="Q118" s="8">
        <f ca="1">_xll.HLV5r3.Analytics.Miscellaneous.Zero2DF(_xll.HLV5r3.Analytics.Miscellaneous.LinearInterp(Peturbed_QZ,$K118,1,Q$1),ZeroCompFreq,'PDH Calc'!$K118/365)</f>
        <v>1</v>
      </c>
      <c r="R118" s="8">
        <f ca="1">_xll.HLV5r3.Analytics.Miscellaneous.Zero2DF(_xll.HLV5r3.Analytics.Miscellaneous.LinearInterp(Peturbed_QZ,$K118,1,R$1),ZeroCompFreq,'PDH Calc'!$K118/365)</f>
        <v>1</v>
      </c>
      <c r="S118" s="8">
        <f ca="1">_xll.HLV5r3.Analytics.Miscellaneous.Zero2DF(_xll.HLV5r3.Analytics.Miscellaneous.LinearInterp(Peturbed_QZ,$K118,1,S$1),ZeroCompFreq,'PDH Calc'!$K118/365)</f>
        <v>1</v>
      </c>
      <c r="T118" s="8">
        <f ca="1">_xll.HLV5r3.Analytics.Miscellaneous.Zero2DF(_xll.HLV5r3.Analytics.Miscellaneous.LinearInterp(Peturbed_QZ,$K118,1,T$1),ZeroCompFreq,'PDH Calc'!$K118/365)</f>
        <v>1</v>
      </c>
      <c r="U118" s="8">
        <f ca="1">_xll.HLV5r3.Analytics.Miscellaneous.Zero2DF(_xll.HLV5r3.Analytics.Miscellaneous.LinearInterp(Peturbed_QZ,$K118,1,U$1),ZeroCompFreq,'PDH Calc'!$K118/365)</f>
        <v>1</v>
      </c>
      <c r="V118" s="8">
        <f ca="1">_xll.HLV5r3.Analytics.Miscellaneous.Zero2DF(_xll.HLV5r3.Analytics.Miscellaneous.LinearInterp(Peturbed_QZ,$K118,1,V$1),ZeroCompFreq,'PDH Calc'!$K118/365)</f>
        <v>1</v>
      </c>
      <c r="W118" s="8">
        <f ca="1">_xll.HLV5r3.Analytics.Miscellaneous.Zero2DF(_xll.HLV5r3.Analytics.Miscellaneous.LinearInterp(Peturbed_QZ,$K118,1,W$1),ZeroCompFreq,'PDH Calc'!$K118/365)</f>
        <v>1</v>
      </c>
      <c r="X118" s="8">
        <f ca="1">_xll.HLV5r3.Analytics.Miscellaneous.Zero2DF(_xll.HLV5r3.Analytics.Miscellaneous.LinearInterp(Peturbed_QZ,$K118,1,X$1),ZeroCompFreq,'PDH Calc'!$K118/365)</f>
        <v>1</v>
      </c>
      <c r="Y118" s="8">
        <f ca="1">_xll.HLV5r3.Analytics.Miscellaneous.Zero2DF(_xll.HLV5r3.Analytics.Miscellaneous.LinearInterp(Peturbed_QZ,$K118,1,Y$1),ZeroCompFreq,'PDH Calc'!$K118/365)</f>
        <v>1</v>
      </c>
      <c r="Z118" s="8">
        <f ca="1">_xll.HLV5r3.Analytics.Miscellaneous.Zero2DF(_xll.HLV5r3.Analytics.Miscellaneous.LinearInterp(Peturbed_QZ,$K118,1,Z$1),ZeroCompFreq,'PDH Calc'!$K118/365)</f>
        <v>1</v>
      </c>
      <c r="AA118" s="8">
        <f ca="1">_xll.HLV5r3.Analytics.Miscellaneous.Zero2DF(_xll.HLV5r3.Analytics.Miscellaneous.LinearInterp(Peturbed_QZ,$K118,1,AA$1),ZeroCompFreq,'PDH Calc'!$K118/365)</f>
        <v>1</v>
      </c>
      <c r="AB118" s="8">
        <f ca="1">_xll.HLV5r3.Analytics.Miscellaneous.Zero2DF(_xll.HLV5r3.Analytics.Miscellaneous.LinearInterp(Peturbed_QZ,$K118,1,AB$1),ZeroCompFreq,'PDH Calc'!$K118/365)</f>
        <v>1</v>
      </c>
      <c r="AC118" s="8">
        <f ca="1">_xll.HLV5r3.Analytics.Miscellaneous.Zero2DF(_xll.HLV5r3.Analytics.Miscellaneous.LinearInterp(Peturbed_QZ,$K118,1,AC$1),ZeroCompFreq,'PDH Calc'!$K118/365)</f>
        <v>1</v>
      </c>
      <c r="AD118" s="8">
        <f ca="1">_xll.HLV5r3.Analytics.Miscellaneous.Zero2DF(_xll.HLV5r3.Analytics.Miscellaneous.LinearInterp(Peturbed_QZ,$K118,1,AD$1),ZeroCompFreq,'PDH Calc'!$K118/365)</f>
        <v>1</v>
      </c>
      <c r="AE118" s="8">
        <f ca="1">_xll.HLV5r3.Analytics.Miscellaneous.Zero2DF(_xll.HLV5r3.Analytics.Miscellaneous.LinearInterp(Peturbed_QZ,$K118,1,AE$1),ZeroCompFreq,'PDH Calc'!$K118/365)</f>
        <v>1</v>
      </c>
      <c r="AF118" s="8">
        <f ca="1">_xll.HLV5r3.Analytics.Miscellaneous.Zero2DF(_xll.HLV5r3.Analytics.Miscellaneous.LinearInterp(Peturbed_QZ,$K118,1,AF$1),ZeroCompFreq,'PDH Calc'!$K118/365)</f>
        <v>1</v>
      </c>
      <c r="AG118" s="8">
        <f ca="1">_xll.HLV5r3.Analytics.Miscellaneous.Zero2DF(_xll.HLV5r3.Analytics.Miscellaneous.LinearInterp(Peturbed_QZ,$K118,1,AG$1),ZeroCompFreq,'PDH Calc'!$K118/365)</f>
        <v>1</v>
      </c>
      <c r="AH118" s="8">
        <f ca="1">_xll.HLV5r3.Analytics.Miscellaneous.Zero2DF(_xll.HLV5r3.Analytics.Miscellaneous.LinearInterp(Peturbed_QZ,$K118,1,AH$1),ZeroCompFreq,'PDH Calc'!$K118/365)</f>
        <v>1</v>
      </c>
      <c r="AI118" s="8">
        <f ca="1">_xll.HLV5r3.Analytics.Miscellaneous.Zero2DF(_xll.HLV5r3.Analytics.Miscellaneous.LinearInterp(Peturbed_QZ,$K118,1,AI$1),ZeroCompFreq,'PDH Calc'!$K118/365)</f>
        <v>1</v>
      </c>
      <c r="AJ118" s="8">
        <f ca="1">_xll.HLV5r3.Analytics.Miscellaneous.Zero2DF(_xll.HLV5r3.Analytics.Miscellaneous.LinearInterp(Peturbed_QZ,$K118,1,AJ$1),ZeroCompFreq,'PDH Calc'!$K118/365)</f>
        <v>1</v>
      </c>
      <c r="AK118" s="8">
        <f ca="1">_xll.HLV5r3.Analytics.Miscellaneous.Zero2DF(_xll.HLV5r3.Analytics.Miscellaneous.LinearInterp(Peturbed_QZ,$K118,1,AK$1),ZeroCompFreq,'PDH Calc'!$K118/365)</f>
        <v>1</v>
      </c>
    </row>
    <row r="119" spans="1:37">
      <c r="A119" s="4"/>
      <c r="B119" s="6"/>
      <c r="F119" s="11"/>
      <c r="G119" s="6"/>
      <c r="H119" s="20"/>
      <c r="I119" s="21"/>
      <c r="J119" s="26"/>
      <c r="K119" s="6">
        <f t="shared" ca="1" si="8"/>
        <v>0</v>
      </c>
      <c r="L119" s="8">
        <f ca="1">_xll.HLV5r3.Analytics.Miscellaneous.Zero2DF(_xll.HLV5r3.Analytics.Miscellaneous.LinearInterp(Peturbed_QZ,$K119,1,L$1),ZeroCompFreq,'PDH Calc'!$K119/365)</f>
        <v>1</v>
      </c>
      <c r="M119" s="8">
        <f ca="1">_xll.HLV5r3.Analytics.Miscellaneous.Zero2DF(_xll.HLV5r3.Analytics.Miscellaneous.LinearInterp(Peturbed_QZ,$K119,1,M$1),ZeroCompFreq,'PDH Calc'!$K119/365)</f>
        <v>1</v>
      </c>
      <c r="N119" s="8">
        <f ca="1">_xll.HLV5r3.Analytics.Miscellaneous.Zero2DF(_xll.HLV5r3.Analytics.Miscellaneous.LinearInterp(Peturbed_QZ,$K119,1,N$1),ZeroCompFreq,'PDH Calc'!$K119/365)</f>
        <v>1</v>
      </c>
      <c r="O119" s="8">
        <f ca="1">_xll.HLV5r3.Analytics.Miscellaneous.Zero2DF(_xll.HLV5r3.Analytics.Miscellaneous.LinearInterp(Peturbed_QZ,$K119,1,O$1),ZeroCompFreq,'PDH Calc'!$K119/365)</f>
        <v>1</v>
      </c>
      <c r="P119" s="8">
        <f ca="1">_xll.HLV5r3.Analytics.Miscellaneous.Zero2DF(_xll.HLV5r3.Analytics.Miscellaneous.LinearInterp(Peturbed_QZ,$K119,1,P$1),ZeroCompFreq,'PDH Calc'!$K119/365)</f>
        <v>1</v>
      </c>
      <c r="Q119" s="8">
        <f ca="1">_xll.HLV5r3.Analytics.Miscellaneous.Zero2DF(_xll.HLV5r3.Analytics.Miscellaneous.LinearInterp(Peturbed_QZ,$K119,1,Q$1),ZeroCompFreq,'PDH Calc'!$K119/365)</f>
        <v>1</v>
      </c>
      <c r="R119" s="8">
        <f ca="1">_xll.HLV5r3.Analytics.Miscellaneous.Zero2DF(_xll.HLV5r3.Analytics.Miscellaneous.LinearInterp(Peturbed_QZ,$K119,1,R$1),ZeroCompFreq,'PDH Calc'!$K119/365)</f>
        <v>1</v>
      </c>
      <c r="S119" s="8">
        <f ca="1">_xll.HLV5r3.Analytics.Miscellaneous.Zero2DF(_xll.HLV5r3.Analytics.Miscellaneous.LinearInterp(Peturbed_QZ,$K119,1,S$1),ZeroCompFreq,'PDH Calc'!$K119/365)</f>
        <v>1</v>
      </c>
      <c r="T119" s="8">
        <f ca="1">_xll.HLV5r3.Analytics.Miscellaneous.Zero2DF(_xll.HLV5r3.Analytics.Miscellaneous.LinearInterp(Peturbed_QZ,$K119,1,T$1),ZeroCompFreq,'PDH Calc'!$K119/365)</f>
        <v>1</v>
      </c>
      <c r="U119" s="8">
        <f ca="1">_xll.HLV5r3.Analytics.Miscellaneous.Zero2DF(_xll.HLV5r3.Analytics.Miscellaneous.LinearInterp(Peturbed_QZ,$K119,1,U$1),ZeroCompFreq,'PDH Calc'!$K119/365)</f>
        <v>1</v>
      </c>
      <c r="V119" s="8">
        <f ca="1">_xll.HLV5r3.Analytics.Miscellaneous.Zero2DF(_xll.HLV5r3.Analytics.Miscellaneous.LinearInterp(Peturbed_QZ,$K119,1,V$1),ZeroCompFreq,'PDH Calc'!$K119/365)</f>
        <v>1</v>
      </c>
      <c r="W119" s="8">
        <f ca="1">_xll.HLV5r3.Analytics.Miscellaneous.Zero2DF(_xll.HLV5r3.Analytics.Miscellaneous.LinearInterp(Peturbed_QZ,$K119,1,W$1),ZeroCompFreq,'PDH Calc'!$K119/365)</f>
        <v>1</v>
      </c>
      <c r="X119" s="8">
        <f ca="1">_xll.HLV5r3.Analytics.Miscellaneous.Zero2DF(_xll.HLV5r3.Analytics.Miscellaneous.LinearInterp(Peturbed_QZ,$K119,1,X$1),ZeroCompFreq,'PDH Calc'!$K119/365)</f>
        <v>1</v>
      </c>
      <c r="Y119" s="8">
        <f ca="1">_xll.HLV5r3.Analytics.Miscellaneous.Zero2DF(_xll.HLV5r3.Analytics.Miscellaneous.LinearInterp(Peturbed_QZ,$K119,1,Y$1),ZeroCompFreq,'PDH Calc'!$K119/365)</f>
        <v>1</v>
      </c>
      <c r="Z119" s="8">
        <f ca="1">_xll.HLV5r3.Analytics.Miscellaneous.Zero2DF(_xll.HLV5r3.Analytics.Miscellaneous.LinearInterp(Peturbed_QZ,$K119,1,Z$1),ZeroCompFreq,'PDH Calc'!$K119/365)</f>
        <v>1</v>
      </c>
      <c r="AA119" s="8">
        <f ca="1">_xll.HLV5r3.Analytics.Miscellaneous.Zero2DF(_xll.HLV5r3.Analytics.Miscellaneous.LinearInterp(Peturbed_QZ,$K119,1,AA$1),ZeroCompFreq,'PDH Calc'!$K119/365)</f>
        <v>1</v>
      </c>
      <c r="AB119" s="8">
        <f ca="1">_xll.HLV5r3.Analytics.Miscellaneous.Zero2DF(_xll.HLV5r3.Analytics.Miscellaneous.LinearInterp(Peturbed_QZ,$K119,1,AB$1),ZeroCompFreq,'PDH Calc'!$K119/365)</f>
        <v>1</v>
      </c>
      <c r="AC119" s="8">
        <f ca="1">_xll.HLV5r3.Analytics.Miscellaneous.Zero2DF(_xll.HLV5r3.Analytics.Miscellaneous.LinearInterp(Peturbed_QZ,$K119,1,AC$1),ZeroCompFreq,'PDH Calc'!$K119/365)</f>
        <v>1</v>
      </c>
      <c r="AD119" s="8">
        <f ca="1">_xll.HLV5r3.Analytics.Miscellaneous.Zero2DF(_xll.HLV5r3.Analytics.Miscellaneous.LinearInterp(Peturbed_QZ,$K119,1,AD$1),ZeroCompFreq,'PDH Calc'!$K119/365)</f>
        <v>1</v>
      </c>
      <c r="AE119" s="8">
        <f ca="1">_xll.HLV5r3.Analytics.Miscellaneous.Zero2DF(_xll.HLV5r3.Analytics.Miscellaneous.LinearInterp(Peturbed_QZ,$K119,1,AE$1),ZeroCompFreq,'PDH Calc'!$K119/365)</f>
        <v>1</v>
      </c>
      <c r="AF119" s="8">
        <f ca="1">_xll.HLV5r3.Analytics.Miscellaneous.Zero2DF(_xll.HLV5r3.Analytics.Miscellaneous.LinearInterp(Peturbed_QZ,$K119,1,AF$1),ZeroCompFreq,'PDH Calc'!$K119/365)</f>
        <v>1</v>
      </c>
      <c r="AG119" s="8">
        <f ca="1">_xll.HLV5r3.Analytics.Miscellaneous.Zero2DF(_xll.HLV5r3.Analytics.Miscellaneous.LinearInterp(Peturbed_QZ,$K119,1,AG$1),ZeroCompFreq,'PDH Calc'!$K119/365)</f>
        <v>1</v>
      </c>
      <c r="AH119" s="8">
        <f ca="1">_xll.HLV5r3.Analytics.Miscellaneous.Zero2DF(_xll.HLV5r3.Analytics.Miscellaneous.LinearInterp(Peturbed_QZ,$K119,1,AH$1),ZeroCompFreq,'PDH Calc'!$K119/365)</f>
        <v>1</v>
      </c>
      <c r="AI119" s="8">
        <f ca="1">_xll.HLV5r3.Analytics.Miscellaneous.Zero2DF(_xll.HLV5r3.Analytics.Miscellaneous.LinearInterp(Peturbed_QZ,$K119,1,AI$1),ZeroCompFreq,'PDH Calc'!$K119/365)</f>
        <v>1</v>
      </c>
      <c r="AJ119" s="8">
        <f ca="1">_xll.HLV5r3.Analytics.Miscellaneous.Zero2DF(_xll.HLV5r3.Analytics.Miscellaneous.LinearInterp(Peturbed_QZ,$K119,1,AJ$1),ZeroCompFreq,'PDH Calc'!$K119/365)</f>
        <v>1</v>
      </c>
      <c r="AK119" s="8">
        <f ca="1">_xll.HLV5r3.Analytics.Miscellaneous.Zero2DF(_xll.HLV5r3.Analytics.Miscellaneous.LinearInterp(Peturbed_QZ,$K119,1,AK$1),ZeroCompFreq,'PDH Calc'!$K119/365)</f>
        <v>1</v>
      </c>
    </row>
    <row r="120" spans="1:37">
      <c r="A120" s="4"/>
      <c r="B120" s="6"/>
      <c r="F120" s="11"/>
      <c r="G120" s="6"/>
      <c r="H120" s="20"/>
      <c r="I120" s="21"/>
      <c r="J120" s="26"/>
      <c r="K120" s="6">
        <f t="shared" ca="1" si="8"/>
        <v>0</v>
      </c>
      <c r="L120" s="8">
        <f ca="1">_xll.HLV5r3.Analytics.Miscellaneous.Zero2DF(_xll.HLV5r3.Analytics.Miscellaneous.LinearInterp(Peturbed_QZ,$K120,1,L$1),ZeroCompFreq,'PDH Calc'!$K120/365)</f>
        <v>1</v>
      </c>
      <c r="M120" s="8">
        <f ca="1">_xll.HLV5r3.Analytics.Miscellaneous.Zero2DF(_xll.HLV5r3.Analytics.Miscellaneous.LinearInterp(Peturbed_QZ,$K120,1,M$1),ZeroCompFreq,'PDH Calc'!$K120/365)</f>
        <v>1</v>
      </c>
      <c r="N120" s="8">
        <f ca="1">_xll.HLV5r3.Analytics.Miscellaneous.Zero2DF(_xll.HLV5r3.Analytics.Miscellaneous.LinearInterp(Peturbed_QZ,$K120,1,N$1),ZeroCompFreq,'PDH Calc'!$K120/365)</f>
        <v>1</v>
      </c>
      <c r="O120" s="8">
        <f ca="1">_xll.HLV5r3.Analytics.Miscellaneous.Zero2DF(_xll.HLV5r3.Analytics.Miscellaneous.LinearInterp(Peturbed_QZ,$K120,1,O$1),ZeroCompFreq,'PDH Calc'!$K120/365)</f>
        <v>1</v>
      </c>
      <c r="P120" s="8">
        <f ca="1">_xll.HLV5r3.Analytics.Miscellaneous.Zero2DF(_xll.HLV5r3.Analytics.Miscellaneous.LinearInterp(Peturbed_QZ,$K120,1,P$1),ZeroCompFreq,'PDH Calc'!$K120/365)</f>
        <v>1</v>
      </c>
      <c r="Q120" s="8">
        <f ca="1">_xll.HLV5r3.Analytics.Miscellaneous.Zero2DF(_xll.HLV5r3.Analytics.Miscellaneous.LinearInterp(Peturbed_QZ,$K120,1,Q$1),ZeroCompFreq,'PDH Calc'!$K120/365)</f>
        <v>1</v>
      </c>
      <c r="R120" s="8">
        <f ca="1">_xll.HLV5r3.Analytics.Miscellaneous.Zero2DF(_xll.HLV5r3.Analytics.Miscellaneous.LinearInterp(Peturbed_QZ,$K120,1,R$1),ZeroCompFreq,'PDH Calc'!$K120/365)</f>
        <v>1</v>
      </c>
      <c r="S120" s="8">
        <f ca="1">_xll.HLV5r3.Analytics.Miscellaneous.Zero2DF(_xll.HLV5r3.Analytics.Miscellaneous.LinearInterp(Peturbed_QZ,$K120,1,S$1),ZeroCompFreq,'PDH Calc'!$K120/365)</f>
        <v>1</v>
      </c>
      <c r="T120" s="8">
        <f ca="1">_xll.HLV5r3.Analytics.Miscellaneous.Zero2DF(_xll.HLV5r3.Analytics.Miscellaneous.LinearInterp(Peturbed_QZ,$K120,1,T$1),ZeroCompFreq,'PDH Calc'!$K120/365)</f>
        <v>1</v>
      </c>
      <c r="U120" s="8">
        <f ca="1">_xll.HLV5r3.Analytics.Miscellaneous.Zero2DF(_xll.HLV5r3.Analytics.Miscellaneous.LinearInterp(Peturbed_QZ,$K120,1,U$1),ZeroCompFreq,'PDH Calc'!$K120/365)</f>
        <v>1</v>
      </c>
      <c r="V120" s="8">
        <f ca="1">_xll.HLV5r3.Analytics.Miscellaneous.Zero2DF(_xll.HLV5r3.Analytics.Miscellaneous.LinearInterp(Peturbed_QZ,$K120,1,V$1),ZeroCompFreq,'PDH Calc'!$K120/365)</f>
        <v>1</v>
      </c>
      <c r="W120" s="8">
        <f ca="1">_xll.HLV5r3.Analytics.Miscellaneous.Zero2DF(_xll.HLV5r3.Analytics.Miscellaneous.LinearInterp(Peturbed_QZ,$K120,1,W$1),ZeroCompFreq,'PDH Calc'!$K120/365)</f>
        <v>1</v>
      </c>
      <c r="X120" s="8">
        <f ca="1">_xll.HLV5r3.Analytics.Miscellaneous.Zero2DF(_xll.HLV5r3.Analytics.Miscellaneous.LinearInterp(Peturbed_QZ,$K120,1,X$1),ZeroCompFreq,'PDH Calc'!$K120/365)</f>
        <v>1</v>
      </c>
      <c r="Y120" s="8">
        <f ca="1">_xll.HLV5r3.Analytics.Miscellaneous.Zero2DF(_xll.HLV5r3.Analytics.Miscellaneous.LinearInterp(Peturbed_QZ,$K120,1,Y$1),ZeroCompFreq,'PDH Calc'!$K120/365)</f>
        <v>1</v>
      </c>
      <c r="Z120" s="8">
        <f ca="1">_xll.HLV5r3.Analytics.Miscellaneous.Zero2DF(_xll.HLV5r3.Analytics.Miscellaneous.LinearInterp(Peturbed_QZ,$K120,1,Z$1),ZeroCompFreq,'PDH Calc'!$K120/365)</f>
        <v>1</v>
      </c>
      <c r="AA120" s="8">
        <f ca="1">_xll.HLV5r3.Analytics.Miscellaneous.Zero2DF(_xll.HLV5r3.Analytics.Miscellaneous.LinearInterp(Peturbed_QZ,$K120,1,AA$1),ZeroCompFreq,'PDH Calc'!$K120/365)</f>
        <v>1</v>
      </c>
      <c r="AB120" s="8">
        <f ca="1">_xll.HLV5r3.Analytics.Miscellaneous.Zero2DF(_xll.HLV5r3.Analytics.Miscellaneous.LinearInterp(Peturbed_QZ,$K120,1,AB$1),ZeroCompFreq,'PDH Calc'!$K120/365)</f>
        <v>1</v>
      </c>
      <c r="AC120" s="8">
        <f ca="1">_xll.HLV5r3.Analytics.Miscellaneous.Zero2DF(_xll.HLV5r3.Analytics.Miscellaneous.LinearInterp(Peturbed_QZ,$K120,1,AC$1),ZeroCompFreq,'PDH Calc'!$K120/365)</f>
        <v>1</v>
      </c>
      <c r="AD120" s="8">
        <f ca="1">_xll.HLV5r3.Analytics.Miscellaneous.Zero2DF(_xll.HLV5r3.Analytics.Miscellaneous.LinearInterp(Peturbed_QZ,$K120,1,AD$1),ZeroCompFreq,'PDH Calc'!$K120/365)</f>
        <v>1</v>
      </c>
      <c r="AE120" s="8">
        <f ca="1">_xll.HLV5r3.Analytics.Miscellaneous.Zero2DF(_xll.HLV5r3.Analytics.Miscellaneous.LinearInterp(Peturbed_QZ,$K120,1,AE$1),ZeroCompFreq,'PDH Calc'!$K120/365)</f>
        <v>1</v>
      </c>
      <c r="AF120" s="8">
        <f ca="1">_xll.HLV5r3.Analytics.Miscellaneous.Zero2DF(_xll.HLV5r3.Analytics.Miscellaneous.LinearInterp(Peturbed_QZ,$K120,1,AF$1),ZeroCompFreq,'PDH Calc'!$K120/365)</f>
        <v>1</v>
      </c>
      <c r="AG120" s="8">
        <f ca="1">_xll.HLV5r3.Analytics.Miscellaneous.Zero2DF(_xll.HLV5r3.Analytics.Miscellaneous.LinearInterp(Peturbed_QZ,$K120,1,AG$1),ZeroCompFreq,'PDH Calc'!$K120/365)</f>
        <v>1</v>
      </c>
      <c r="AH120" s="8">
        <f ca="1">_xll.HLV5r3.Analytics.Miscellaneous.Zero2DF(_xll.HLV5r3.Analytics.Miscellaneous.LinearInterp(Peturbed_QZ,$K120,1,AH$1),ZeroCompFreq,'PDH Calc'!$K120/365)</f>
        <v>1</v>
      </c>
      <c r="AI120" s="8">
        <f ca="1">_xll.HLV5r3.Analytics.Miscellaneous.Zero2DF(_xll.HLV5r3.Analytics.Miscellaneous.LinearInterp(Peturbed_QZ,$K120,1,AI$1),ZeroCompFreq,'PDH Calc'!$K120/365)</f>
        <v>1</v>
      </c>
      <c r="AJ120" s="8">
        <f ca="1">_xll.HLV5r3.Analytics.Miscellaneous.Zero2DF(_xll.HLV5r3.Analytics.Miscellaneous.LinearInterp(Peturbed_QZ,$K120,1,AJ$1),ZeroCompFreq,'PDH Calc'!$K120/365)</f>
        <v>1</v>
      </c>
      <c r="AK120" s="8">
        <f ca="1">_xll.HLV5r3.Analytics.Miscellaneous.Zero2DF(_xll.HLV5r3.Analytics.Miscellaneous.LinearInterp(Peturbed_QZ,$K120,1,AK$1),ZeroCompFreq,'PDH Calc'!$K120/365)</f>
        <v>1</v>
      </c>
    </row>
    <row r="121" spans="1:37">
      <c r="A121" s="4"/>
      <c r="B121" s="6"/>
      <c r="F121" s="11"/>
      <c r="G121" s="6"/>
      <c r="H121" s="20"/>
      <c r="I121" s="21"/>
      <c r="J121" s="26"/>
      <c r="K121" s="6">
        <f t="shared" ca="1" si="8"/>
        <v>0</v>
      </c>
      <c r="L121" s="8">
        <f ca="1">_xll.HLV5r3.Analytics.Miscellaneous.Zero2DF(_xll.HLV5r3.Analytics.Miscellaneous.LinearInterp(Peturbed_QZ,$K121,1,L$1),ZeroCompFreq,'PDH Calc'!$K121/365)</f>
        <v>1</v>
      </c>
      <c r="M121" s="8">
        <f ca="1">_xll.HLV5r3.Analytics.Miscellaneous.Zero2DF(_xll.HLV5r3.Analytics.Miscellaneous.LinearInterp(Peturbed_QZ,$K121,1,M$1),ZeroCompFreq,'PDH Calc'!$K121/365)</f>
        <v>1</v>
      </c>
      <c r="N121" s="8">
        <f ca="1">_xll.HLV5r3.Analytics.Miscellaneous.Zero2DF(_xll.HLV5r3.Analytics.Miscellaneous.LinearInterp(Peturbed_QZ,$K121,1,N$1),ZeroCompFreq,'PDH Calc'!$K121/365)</f>
        <v>1</v>
      </c>
      <c r="O121" s="8">
        <f ca="1">_xll.HLV5r3.Analytics.Miscellaneous.Zero2DF(_xll.HLV5r3.Analytics.Miscellaneous.LinearInterp(Peturbed_QZ,$K121,1,O$1),ZeroCompFreq,'PDH Calc'!$K121/365)</f>
        <v>1</v>
      </c>
      <c r="P121" s="8">
        <f ca="1">_xll.HLV5r3.Analytics.Miscellaneous.Zero2DF(_xll.HLV5r3.Analytics.Miscellaneous.LinearInterp(Peturbed_QZ,$K121,1,P$1),ZeroCompFreq,'PDH Calc'!$K121/365)</f>
        <v>1</v>
      </c>
      <c r="Q121" s="8">
        <f ca="1">_xll.HLV5r3.Analytics.Miscellaneous.Zero2DF(_xll.HLV5r3.Analytics.Miscellaneous.LinearInterp(Peturbed_QZ,$K121,1,Q$1),ZeroCompFreq,'PDH Calc'!$K121/365)</f>
        <v>1</v>
      </c>
      <c r="R121" s="8">
        <f ca="1">_xll.HLV5r3.Analytics.Miscellaneous.Zero2DF(_xll.HLV5r3.Analytics.Miscellaneous.LinearInterp(Peturbed_QZ,$K121,1,R$1),ZeroCompFreq,'PDH Calc'!$K121/365)</f>
        <v>1</v>
      </c>
      <c r="S121" s="8">
        <f ca="1">_xll.HLV5r3.Analytics.Miscellaneous.Zero2DF(_xll.HLV5r3.Analytics.Miscellaneous.LinearInterp(Peturbed_QZ,$K121,1,S$1),ZeroCompFreq,'PDH Calc'!$K121/365)</f>
        <v>1</v>
      </c>
      <c r="T121" s="8">
        <f ca="1">_xll.HLV5r3.Analytics.Miscellaneous.Zero2DF(_xll.HLV5r3.Analytics.Miscellaneous.LinearInterp(Peturbed_QZ,$K121,1,T$1),ZeroCompFreq,'PDH Calc'!$K121/365)</f>
        <v>1</v>
      </c>
      <c r="U121" s="8">
        <f ca="1">_xll.HLV5r3.Analytics.Miscellaneous.Zero2DF(_xll.HLV5r3.Analytics.Miscellaneous.LinearInterp(Peturbed_QZ,$K121,1,U$1),ZeroCompFreq,'PDH Calc'!$K121/365)</f>
        <v>1</v>
      </c>
      <c r="V121" s="8">
        <f ca="1">_xll.HLV5r3.Analytics.Miscellaneous.Zero2DF(_xll.HLV5r3.Analytics.Miscellaneous.LinearInterp(Peturbed_QZ,$K121,1,V$1),ZeroCompFreq,'PDH Calc'!$K121/365)</f>
        <v>1</v>
      </c>
      <c r="W121" s="8">
        <f ca="1">_xll.HLV5r3.Analytics.Miscellaneous.Zero2DF(_xll.HLV5r3.Analytics.Miscellaneous.LinearInterp(Peturbed_QZ,$K121,1,W$1),ZeroCompFreq,'PDH Calc'!$K121/365)</f>
        <v>1</v>
      </c>
      <c r="X121" s="8">
        <f ca="1">_xll.HLV5r3.Analytics.Miscellaneous.Zero2DF(_xll.HLV5r3.Analytics.Miscellaneous.LinearInterp(Peturbed_QZ,$K121,1,X$1),ZeroCompFreq,'PDH Calc'!$K121/365)</f>
        <v>1</v>
      </c>
      <c r="Y121" s="8">
        <f ca="1">_xll.HLV5r3.Analytics.Miscellaneous.Zero2DF(_xll.HLV5r3.Analytics.Miscellaneous.LinearInterp(Peturbed_QZ,$K121,1,Y$1),ZeroCompFreq,'PDH Calc'!$K121/365)</f>
        <v>1</v>
      </c>
      <c r="Z121" s="8">
        <f ca="1">_xll.HLV5r3.Analytics.Miscellaneous.Zero2DF(_xll.HLV5r3.Analytics.Miscellaneous.LinearInterp(Peturbed_QZ,$K121,1,Z$1),ZeroCompFreq,'PDH Calc'!$K121/365)</f>
        <v>1</v>
      </c>
      <c r="AA121" s="8">
        <f ca="1">_xll.HLV5r3.Analytics.Miscellaneous.Zero2DF(_xll.HLV5r3.Analytics.Miscellaneous.LinearInterp(Peturbed_QZ,$K121,1,AA$1),ZeroCompFreq,'PDH Calc'!$K121/365)</f>
        <v>1</v>
      </c>
      <c r="AB121" s="8">
        <f ca="1">_xll.HLV5r3.Analytics.Miscellaneous.Zero2DF(_xll.HLV5r3.Analytics.Miscellaneous.LinearInterp(Peturbed_QZ,$K121,1,AB$1),ZeroCompFreq,'PDH Calc'!$K121/365)</f>
        <v>1</v>
      </c>
      <c r="AC121" s="8">
        <f ca="1">_xll.HLV5r3.Analytics.Miscellaneous.Zero2DF(_xll.HLV5r3.Analytics.Miscellaneous.LinearInterp(Peturbed_QZ,$K121,1,AC$1),ZeroCompFreq,'PDH Calc'!$K121/365)</f>
        <v>1</v>
      </c>
      <c r="AD121" s="8">
        <f ca="1">_xll.HLV5r3.Analytics.Miscellaneous.Zero2DF(_xll.HLV5r3.Analytics.Miscellaneous.LinearInterp(Peturbed_QZ,$K121,1,AD$1),ZeroCompFreq,'PDH Calc'!$K121/365)</f>
        <v>1</v>
      </c>
      <c r="AE121" s="8">
        <f ca="1">_xll.HLV5r3.Analytics.Miscellaneous.Zero2DF(_xll.HLV5r3.Analytics.Miscellaneous.LinearInterp(Peturbed_QZ,$K121,1,AE$1),ZeroCompFreq,'PDH Calc'!$K121/365)</f>
        <v>1</v>
      </c>
      <c r="AF121" s="8">
        <f ca="1">_xll.HLV5r3.Analytics.Miscellaneous.Zero2DF(_xll.HLV5r3.Analytics.Miscellaneous.LinearInterp(Peturbed_QZ,$K121,1,AF$1),ZeroCompFreq,'PDH Calc'!$K121/365)</f>
        <v>1</v>
      </c>
      <c r="AG121" s="8">
        <f ca="1">_xll.HLV5r3.Analytics.Miscellaneous.Zero2DF(_xll.HLV5r3.Analytics.Miscellaneous.LinearInterp(Peturbed_QZ,$K121,1,AG$1),ZeroCompFreq,'PDH Calc'!$K121/365)</f>
        <v>1</v>
      </c>
      <c r="AH121" s="8">
        <f ca="1">_xll.HLV5r3.Analytics.Miscellaneous.Zero2DF(_xll.HLV5r3.Analytics.Miscellaneous.LinearInterp(Peturbed_QZ,$K121,1,AH$1),ZeroCompFreq,'PDH Calc'!$K121/365)</f>
        <v>1</v>
      </c>
      <c r="AI121" s="8">
        <f ca="1">_xll.HLV5r3.Analytics.Miscellaneous.Zero2DF(_xll.HLV5r3.Analytics.Miscellaneous.LinearInterp(Peturbed_QZ,$K121,1,AI$1),ZeroCompFreq,'PDH Calc'!$K121/365)</f>
        <v>1</v>
      </c>
      <c r="AJ121" s="8">
        <f ca="1">_xll.HLV5r3.Analytics.Miscellaneous.Zero2DF(_xll.HLV5r3.Analytics.Miscellaneous.LinearInterp(Peturbed_QZ,$K121,1,AJ$1),ZeroCompFreq,'PDH Calc'!$K121/365)</f>
        <v>1</v>
      </c>
      <c r="AK121" s="8">
        <f ca="1">_xll.HLV5r3.Analytics.Miscellaneous.Zero2DF(_xll.HLV5r3.Analytics.Miscellaneous.LinearInterp(Peturbed_QZ,$K121,1,AK$1),ZeroCompFreq,'PDH Calc'!$K121/365)</f>
        <v>1</v>
      </c>
    </row>
    <row r="122" spans="1:37">
      <c r="A122" s="4"/>
      <c r="B122" s="6"/>
      <c r="F122" s="11"/>
      <c r="G122" s="6"/>
      <c r="H122" s="20"/>
      <c r="I122" s="21"/>
      <c r="J122" s="26"/>
      <c r="K122" s="6">
        <f t="shared" ca="1" si="8"/>
        <v>0</v>
      </c>
      <c r="L122" s="8">
        <f ca="1">_xll.HLV5r3.Analytics.Miscellaneous.Zero2DF(_xll.HLV5r3.Analytics.Miscellaneous.LinearInterp(Peturbed_QZ,$K122,1,L$1),ZeroCompFreq,'PDH Calc'!$K122/365)</f>
        <v>1</v>
      </c>
      <c r="M122" s="8">
        <f ca="1">_xll.HLV5r3.Analytics.Miscellaneous.Zero2DF(_xll.HLV5r3.Analytics.Miscellaneous.LinearInterp(Peturbed_QZ,$K122,1,M$1),ZeroCompFreq,'PDH Calc'!$K122/365)</f>
        <v>1</v>
      </c>
      <c r="N122" s="8">
        <f ca="1">_xll.HLV5r3.Analytics.Miscellaneous.Zero2DF(_xll.HLV5r3.Analytics.Miscellaneous.LinearInterp(Peturbed_QZ,$K122,1,N$1),ZeroCompFreq,'PDH Calc'!$K122/365)</f>
        <v>1</v>
      </c>
      <c r="O122" s="8">
        <f ca="1">_xll.HLV5r3.Analytics.Miscellaneous.Zero2DF(_xll.HLV5r3.Analytics.Miscellaneous.LinearInterp(Peturbed_QZ,$K122,1,O$1),ZeroCompFreq,'PDH Calc'!$K122/365)</f>
        <v>1</v>
      </c>
      <c r="P122" s="8">
        <f ca="1">_xll.HLV5r3.Analytics.Miscellaneous.Zero2DF(_xll.HLV5r3.Analytics.Miscellaneous.LinearInterp(Peturbed_QZ,$K122,1,P$1),ZeroCompFreq,'PDH Calc'!$K122/365)</f>
        <v>1</v>
      </c>
      <c r="Q122" s="8">
        <f ca="1">_xll.HLV5r3.Analytics.Miscellaneous.Zero2DF(_xll.HLV5r3.Analytics.Miscellaneous.LinearInterp(Peturbed_QZ,$K122,1,Q$1),ZeroCompFreq,'PDH Calc'!$K122/365)</f>
        <v>1</v>
      </c>
      <c r="R122" s="8">
        <f ca="1">_xll.HLV5r3.Analytics.Miscellaneous.Zero2DF(_xll.HLV5r3.Analytics.Miscellaneous.LinearInterp(Peturbed_QZ,$K122,1,R$1),ZeroCompFreq,'PDH Calc'!$K122/365)</f>
        <v>1</v>
      </c>
      <c r="S122" s="8">
        <f ca="1">_xll.HLV5r3.Analytics.Miscellaneous.Zero2DF(_xll.HLV5r3.Analytics.Miscellaneous.LinearInterp(Peturbed_QZ,$K122,1,S$1),ZeroCompFreq,'PDH Calc'!$K122/365)</f>
        <v>1</v>
      </c>
      <c r="T122" s="8">
        <f ca="1">_xll.HLV5r3.Analytics.Miscellaneous.Zero2DF(_xll.HLV5r3.Analytics.Miscellaneous.LinearInterp(Peturbed_QZ,$K122,1,T$1),ZeroCompFreq,'PDH Calc'!$K122/365)</f>
        <v>1</v>
      </c>
      <c r="U122" s="8">
        <f ca="1">_xll.HLV5r3.Analytics.Miscellaneous.Zero2DF(_xll.HLV5r3.Analytics.Miscellaneous.LinearInterp(Peturbed_QZ,$K122,1,U$1),ZeroCompFreq,'PDH Calc'!$K122/365)</f>
        <v>1</v>
      </c>
      <c r="V122" s="8">
        <f ca="1">_xll.HLV5r3.Analytics.Miscellaneous.Zero2DF(_xll.HLV5r3.Analytics.Miscellaneous.LinearInterp(Peturbed_QZ,$K122,1,V$1),ZeroCompFreq,'PDH Calc'!$K122/365)</f>
        <v>1</v>
      </c>
      <c r="W122" s="8">
        <f ca="1">_xll.HLV5r3.Analytics.Miscellaneous.Zero2DF(_xll.HLV5r3.Analytics.Miscellaneous.LinearInterp(Peturbed_QZ,$K122,1,W$1),ZeroCompFreq,'PDH Calc'!$K122/365)</f>
        <v>1</v>
      </c>
      <c r="X122" s="8">
        <f ca="1">_xll.HLV5r3.Analytics.Miscellaneous.Zero2DF(_xll.HLV5r3.Analytics.Miscellaneous.LinearInterp(Peturbed_QZ,$K122,1,X$1),ZeroCompFreq,'PDH Calc'!$K122/365)</f>
        <v>1</v>
      </c>
      <c r="Y122" s="8">
        <f ca="1">_xll.HLV5r3.Analytics.Miscellaneous.Zero2DF(_xll.HLV5r3.Analytics.Miscellaneous.LinearInterp(Peturbed_QZ,$K122,1,Y$1),ZeroCompFreq,'PDH Calc'!$K122/365)</f>
        <v>1</v>
      </c>
      <c r="Z122" s="8">
        <f ca="1">_xll.HLV5r3.Analytics.Miscellaneous.Zero2DF(_xll.HLV5r3.Analytics.Miscellaneous.LinearInterp(Peturbed_QZ,$K122,1,Z$1),ZeroCompFreq,'PDH Calc'!$K122/365)</f>
        <v>1</v>
      </c>
      <c r="AA122" s="8">
        <f ca="1">_xll.HLV5r3.Analytics.Miscellaneous.Zero2DF(_xll.HLV5r3.Analytics.Miscellaneous.LinearInterp(Peturbed_QZ,$K122,1,AA$1),ZeroCompFreq,'PDH Calc'!$K122/365)</f>
        <v>1</v>
      </c>
      <c r="AB122" s="8">
        <f ca="1">_xll.HLV5r3.Analytics.Miscellaneous.Zero2DF(_xll.HLV5r3.Analytics.Miscellaneous.LinearInterp(Peturbed_QZ,$K122,1,AB$1),ZeroCompFreq,'PDH Calc'!$K122/365)</f>
        <v>1</v>
      </c>
      <c r="AC122" s="8">
        <f ca="1">_xll.HLV5r3.Analytics.Miscellaneous.Zero2DF(_xll.HLV5r3.Analytics.Miscellaneous.LinearInterp(Peturbed_QZ,$K122,1,AC$1),ZeroCompFreq,'PDH Calc'!$K122/365)</f>
        <v>1</v>
      </c>
      <c r="AD122" s="8">
        <f ca="1">_xll.HLV5r3.Analytics.Miscellaneous.Zero2DF(_xll.HLV5r3.Analytics.Miscellaneous.LinearInterp(Peturbed_QZ,$K122,1,AD$1),ZeroCompFreq,'PDH Calc'!$K122/365)</f>
        <v>1</v>
      </c>
      <c r="AE122" s="8">
        <f ca="1">_xll.HLV5r3.Analytics.Miscellaneous.Zero2DF(_xll.HLV5r3.Analytics.Miscellaneous.LinearInterp(Peturbed_QZ,$K122,1,AE$1),ZeroCompFreq,'PDH Calc'!$K122/365)</f>
        <v>1</v>
      </c>
      <c r="AF122" s="8">
        <f ca="1">_xll.HLV5r3.Analytics.Miscellaneous.Zero2DF(_xll.HLV5r3.Analytics.Miscellaneous.LinearInterp(Peturbed_QZ,$K122,1,AF$1),ZeroCompFreq,'PDH Calc'!$K122/365)</f>
        <v>1</v>
      </c>
      <c r="AG122" s="8">
        <f ca="1">_xll.HLV5r3.Analytics.Miscellaneous.Zero2DF(_xll.HLV5r3.Analytics.Miscellaneous.LinearInterp(Peturbed_QZ,$K122,1,AG$1),ZeroCompFreq,'PDH Calc'!$K122/365)</f>
        <v>1</v>
      </c>
      <c r="AH122" s="8">
        <f ca="1">_xll.HLV5r3.Analytics.Miscellaneous.Zero2DF(_xll.HLV5r3.Analytics.Miscellaneous.LinearInterp(Peturbed_QZ,$K122,1,AH$1),ZeroCompFreq,'PDH Calc'!$K122/365)</f>
        <v>1</v>
      </c>
      <c r="AI122" s="8">
        <f ca="1">_xll.HLV5r3.Analytics.Miscellaneous.Zero2DF(_xll.HLV5r3.Analytics.Miscellaneous.LinearInterp(Peturbed_QZ,$K122,1,AI$1),ZeroCompFreq,'PDH Calc'!$K122/365)</f>
        <v>1</v>
      </c>
      <c r="AJ122" s="8">
        <f ca="1">_xll.HLV5r3.Analytics.Miscellaneous.Zero2DF(_xll.HLV5r3.Analytics.Miscellaneous.LinearInterp(Peturbed_QZ,$K122,1,AJ$1),ZeroCompFreq,'PDH Calc'!$K122/365)</f>
        <v>1</v>
      </c>
      <c r="AK122" s="8">
        <f ca="1">_xll.HLV5r3.Analytics.Miscellaneous.Zero2DF(_xll.HLV5r3.Analytics.Miscellaneous.LinearInterp(Peturbed_QZ,$K122,1,AK$1),ZeroCompFreq,'PDH Calc'!$K122/365)</f>
        <v>1</v>
      </c>
    </row>
    <row r="123" spans="1:37">
      <c r="A123" s="4"/>
      <c r="B123" s="6"/>
      <c r="F123" s="11"/>
      <c r="G123" s="6"/>
      <c r="H123" s="20"/>
      <c r="I123" s="21"/>
      <c r="J123" s="26"/>
      <c r="K123" s="6">
        <f t="shared" ca="1" si="8"/>
        <v>0</v>
      </c>
      <c r="L123" s="8">
        <f ca="1">_xll.HLV5r3.Analytics.Miscellaneous.Zero2DF(_xll.HLV5r3.Analytics.Miscellaneous.LinearInterp(Peturbed_QZ,$K123,1,L$1),ZeroCompFreq,'PDH Calc'!$K123/365)</f>
        <v>1</v>
      </c>
      <c r="M123" s="8">
        <f ca="1">_xll.HLV5r3.Analytics.Miscellaneous.Zero2DF(_xll.HLV5r3.Analytics.Miscellaneous.LinearInterp(Peturbed_QZ,$K123,1,M$1),ZeroCompFreq,'PDH Calc'!$K123/365)</f>
        <v>1</v>
      </c>
      <c r="N123" s="8">
        <f ca="1">_xll.HLV5r3.Analytics.Miscellaneous.Zero2DF(_xll.HLV5r3.Analytics.Miscellaneous.LinearInterp(Peturbed_QZ,$K123,1,N$1),ZeroCompFreq,'PDH Calc'!$K123/365)</f>
        <v>1</v>
      </c>
      <c r="O123" s="8">
        <f ca="1">_xll.HLV5r3.Analytics.Miscellaneous.Zero2DF(_xll.HLV5r3.Analytics.Miscellaneous.LinearInterp(Peturbed_QZ,$K123,1,O$1),ZeroCompFreq,'PDH Calc'!$K123/365)</f>
        <v>1</v>
      </c>
      <c r="P123" s="8">
        <f ca="1">_xll.HLV5r3.Analytics.Miscellaneous.Zero2DF(_xll.HLV5r3.Analytics.Miscellaneous.LinearInterp(Peturbed_QZ,$K123,1,P$1),ZeroCompFreq,'PDH Calc'!$K123/365)</f>
        <v>1</v>
      </c>
      <c r="Q123" s="8">
        <f ca="1">_xll.HLV5r3.Analytics.Miscellaneous.Zero2DF(_xll.HLV5r3.Analytics.Miscellaneous.LinearInterp(Peturbed_QZ,$K123,1,Q$1),ZeroCompFreq,'PDH Calc'!$K123/365)</f>
        <v>1</v>
      </c>
      <c r="R123" s="8">
        <f ca="1">_xll.HLV5r3.Analytics.Miscellaneous.Zero2DF(_xll.HLV5r3.Analytics.Miscellaneous.LinearInterp(Peturbed_QZ,$K123,1,R$1),ZeroCompFreq,'PDH Calc'!$K123/365)</f>
        <v>1</v>
      </c>
      <c r="S123" s="8">
        <f ca="1">_xll.HLV5r3.Analytics.Miscellaneous.Zero2DF(_xll.HLV5r3.Analytics.Miscellaneous.LinearInterp(Peturbed_QZ,$K123,1,S$1),ZeroCompFreq,'PDH Calc'!$K123/365)</f>
        <v>1</v>
      </c>
      <c r="T123" s="8">
        <f ca="1">_xll.HLV5r3.Analytics.Miscellaneous.Zero2DF(_xll.HLV5r3.Analytics.Miscellaneous.LinearInterp(Peturbed_QZ,$K123,1,T$1),ZeroCompFreq,'PDH Calc'!$K123/365)</f>
        <v>1</v>
      </c>
      <c r="U123" s="8">
        <f ca="1">_xll.HLV5r3.Analytics.Miscellaneous.Zero2DF(_xll.HLV5r3.Analytics.Miscellaneous.LinearInterp(Peturbed_QZ,$K123,1,U$1),ZeroCompFreq,'PDH Calc'!$K123/365)</f>
        <v>1</v>
      </c>
      <c r="V123" s="8">
        <f ca="1">_xll.HLV5r3.Analytics.Miscellaneous.Zero2DF(_xll.HLV5r3.Analytics.Miscellaneous.LinearInterp(Peturbed_QZ,$K123,1,V$1),ZeroCompFreq,'PDH Calc'!$K123/365)</f>
        <v>1</v>
      </c>
      <c r="W123" s="8">
        <f ca="1">_xll.HLV5r3.Analytics.Miscellaneous.Zero2DF(_xll.HLV5r3.Analytics.Miscellaneous.LinearInterp(Peturbed_QZ,$K123,1,W$1),ZeroCompFreq,'PDH Calc'!$K123/365)</f>
        <v>1</v>
      </c>
      <c r="X123" s="8">
        <f ca="1">_xll.HLV5r3.Analytics.Miscellaneous.Zero2DF(_xll.HLV5r3.Analytics.Miscellaneous.LinearInterp(Peturbed_QZ,$K123,1,X$1),ZeroCompFreq,'PDH Calc'!$K123/365)</f>
        <v>1</v>
      </c>
      <c r="Y123" s="8">
        <f ca="1">_xll.HLV5r3.Analytics.Miscellaneous.Zero2DF(_xll.HLV5r3.Analytics.Miscellaneous.LinearInterp(Peturbed_QZ,$K123,1,Y$1),ZeroCompFreq,'PDH Calc'!$K123/365)</f>
        <v>1</v>
      </c>
      <c r="Z123" s="8">
        <f ca="1">_xll.HLV5r3.Analytics.Miscellaneous.Zero2DF(_xll.HLV5r3.Analytics.Miscellaneous.LinearInterp(Peturbed_QZ,$K123,1,Z$1),ZeroCompFreq,'PDH Calc'!$K123/365)</f>
        <v>1</v>
      </c>
      <c r="AA123" s="8">
        <f ca="1">_xll.HLV5r3.Analytics.Miscellaneous.Zero2DF(_xll.HLV5r3.Analytics.Miscellaneous.LinearInterp(Peturbed_QZ,$K123,1,AA$1),ZeroCompFreq,'PDH Calc'!$K123/365)</f>
        <v>1</v>
      </c>
      <c r="AB123" s="8">
        <f ca="1">_xll.HLV5r3.Analytics.Miscellaneous.Zero2DF(_xll.HLV5r3.Analytics.Miscellaneous.LinearInterp(Peturbed_QZ,$K123,1,AB$1),ZeroCompFreq,'PDH Calc'!$K123/365)</f>
        <v>1</v>
      </c>
      <c r="AC123" s="8">
        <f ca="1">_xll.HLV5r3.Analytics.Miscellaneous.Zero2DF(_xll.HLV5r3.Analytics.Miscellaneous.LinearInterp(Peturbed_QZ,$K123,1,AC$1),ZeroCompFreq,'PDH Calc'!$K123/365)</f>
        <v>1</v>
      </c>
      <c r="AD123" s="8">
        <f ca="1">_xll.HLV5r3.Analytics.Miscellaneous.Zero2DF(_xll.HLV5r3.Analytics.Miscellaneous.LinearInterp(Peturbed_QZ,$K123,1,AD$1),ZeroCompFreq,'PDH Calc'!$K123/365)</f>
        <v>1</v>
      </c>
      <c r="AE123" s="8">
        <f ca="1">_xll.HLV5r3.Analytics.Miscellaneous.Zero2DF(_xll.HLV5r3.Analytics.Miscellaneous.LinearInterp(Peturbed_QZ,$K123,1,AE$1),ZeroCompFreq,'PDH Calc'!$K123/365)</f>
        <v>1</v>
      </c>
      <c r="AF123" s="8">
        <f ca="1">_xll.HLV5r3.Analytics.Miscellaneous.Zero2DF(_xll.HLV5r3.Analytics.Miscellaneous.LinearInterp(Peturbed_QZ,$K123,1,AF$1),ZeroCompFreq,'PDH Calc'!$K123/365)</f>
        <v>1</v>
      </c>
      <c r="AG123" s="8">
        <f ca="1">_xll.HLV5r3.Analytics.Miscellaneous.Zero2DF(_xll.HLV5r3.Analytics.Miscellaneous.LinearInterp(Peturbed_QZ,$K123,1,AG$1),ZeroCompFreq,'PDH Calc'!$K123/365)</f>
        <v>1</v>
      </c>
      <c r="AH123" s="8">
        <f ca="1">_xll.HLV5r3.Analytics.Miscellaneous.Zero2DF(_xll.HLV5r3.Analytics.Miscellaneous.LinearInterp(Peturbed_QZ,$K123,1,AH$1),ZeroCompFreq,'PDH Calc'!$K123/365)</f>
        <v>1</v>
      </c>
      <c r="AI123" s="8">
        <f ca="1">_xll.HLV5r3.Analytics.Miscellaneous.Zero2DF(_xll.HLV5r3.Analytics.Miscellaneous.LinearInterp(Peturbed_QZ,$K123,1,AI$1),ZeroCompFreq,'PDH Calc'!$K123/365)</f>
        <v>1</v>
      </c>
      <c r="AJ123" s="8">
        <f ca="1">_xll.HLV5r3.Analytics.Miscellaneous.Zero2DF(_xll.HLV5r3.Analytics.Miscellaneous.LinearInterp(Peturbed_QZ,$K123,1,AJ$1),ZeroCompFreq,'PDH Calc'!$K123/365)</f>
        <v>1</v>
      </c>
      <c r="AK123" s="8">
        <f ca="1">_xll.HLV5r3.Analytics.Miscellaneous.Zero2DF(_xll.HLV5r3.Analytics.Miscellaneous.LinearInterp(Peturbed_QZ,$K123,1,AK$1),ZeroCompFreq,'PDH Calc'!$K123/365)</f>
        <v>1</v>
      </c>
    </row>
    <row r="124" spans="1:37">
      <c r="A124" s="4"/>
      <c r="B124" s="6"/>
      <c r="F124" s="11"/>
      <c r="G124" s="6"/>
      <c r="H124" s="20"/>
      <c r="I124" s="21"/>
      <c r="J124" s="26"/>
      <c r="K124" s="6">
        <f t="shared" ca="1" si="8"/>
        <v>0</v>
      </c>
      <c r="L124" s="8">
        <f ca="1">_xll.HLV5r3.Analytics.Miscellaneous.Zero2DF(_xll.HLV5r3.Analytics.Miscellaneous.LinearInterp(Peturbed_QZ,$K124,1,L$1),ZeroCompFreq,'PDH Calc'!$K124/365)</f>
        <v>1</v>
      </c>
      <c r="M124" s="8">
        <f ca="1">_xll.HLV5r3.Analytics.Miscellaneous.Zero2DF(_xll.HLV5r3.Analytics.Miscellaneous.LinearInterp(Peturbed_QZ,$K124,1,M$1),ZeroCompFreq,'PDH Calc'!$K124/365)</f>
        <v>1</v>
      </c>
      <c r="N124" s="8">
        <f ca="1">_xll.HLV5r3.Analytics.Miscellaneous.Zero2DF(_xll.HLV5r3.Analytics.Miscellaneous.LinearInterp(Peturbed_QZ,$K124,1,N$1),ZeroCompFreq,'PDH Calc'!$K124/365)</f>
        <v>1</v>
      </c>
      <c r="O124" s="8">
        <f ca="1">_xll.HLV5r3.Analytics.Miscellaneous.Zero2DF(_xll.HLV5r3.Analytics.Miscellaneous.LinearInterp(Peturbed_QZ,$K124,1,O$1),ZeroCompFreq,'PDH Calc'!$K124/365)</f>
        <v>1</v>
      </c>
      <c r="P124" s="8">
        <f ca="1">_xll.HLV5r3.Analytics.Miscellaneous.Zero2DF(_xll.HLV5r3.Analytics.Miscellaneous.LinearInterp(Peturbed_QZ,$K124,1,P$1),ZeroCompFreq,'PDH Calc'!$K124/365)</f>
        <v>1</v>
      </c>
      <c r="Q124" s="8">
        <f ca="1">_xll.HLV5r3.Analytics.Miscellaneous.Zero2DF(_xll.HLV5r3.Analytics.Miscellaneous.LinearInterp(Peturbed_QZ,$K124,1,Q$1),ZeroCompFreq,'PDH Calc'!$K124/365)</f>
        <v>1</v>
      </c>
      <c r="R124" s="8">
        <f ca="1">_xll.HLV5r3.Analytics.Miscellaneous.Zero2DF(_xll.HLV5r3.Analytics.Miscellaneous.LinearInterp(Peturbed_QZ,$K124,1,R$1),ZeroCompFreq,'PDH Calc'!$K124/365)</f>
        <v>1</v>
      </c>
      <c r="S124" s="8">
        <f ca="1">_xll.HLV5r3.Analytics.Miscellaneous.Zero2DF(_xll.HLV5r3.Analytics.Miscellaneous.LinearInterp(Peturbed_QZ,$K124,1,S$1),ZeroCompFreq,'PDH Calc'!$K124/365)</f>
        <v>1</v>
      </c>
      <c r="T124" s="8">
        <f ca="1">_xll.HLV5r3.Analytics.Miscellaneous.Zero2DF(_xll.HLV5r3.Analytics.Miscellaneous.LinearInterp(Peturbed_QZ,$K124,1,T$1),ZeroCompFreq,'PDH Calc'!$K124/365)</f>
        <v>1</v>
      </c>
      <c r="U124" s="8">
        <f ca="1">_xll.HLV5r3.Analytics.Miscellaneous.Zero2DF(_xll.HLV5r3.Analytics.Miscellaneous.LinearInterp(Peturbed_QZ,$K124,1,U$1),ZeroCompFreq,'PDH Calc'!$K124/365)</f>
        <v>1</v>
      </c>
      <c r="V124" s="8">
        <f ca="1">_xll.HLV5r3.Analytics.Miscellaneous.Zero2DF(_xll.HLV5r3.Analytics.Miscellaneous.LinearInterp(Peturbed_QZ,$K124,1,V$1),ZeroCompFreq,'PDH Calc'!$K124/365)</f>
        <v>1</v>
      </c>
      <c r="W124" s="8">
        <f ca="1">_xll.HLV5r3.Analytics.Miscellaneous.Zero2DF(_xll.HLV5r3.Analytics.Miscellaneous.LinearInterp(Peturbed_QZ,$K124,1,W$1),ZeroCompFreq,'PDH Calc'!$K124/365)</f>
        <v>1</v>
      </c>
      <c r="X124" s="8">
        <f ca="1">_xll.HLV5r3.Analytics.Miscellaneous.Zero2DF(_xll.HLV5r3.Analytics.Miscellaneous.LinearInterp(Peturbed_QZ,$K124,1,X$1),ZeroCompFreq,'PDH Calc'!$K124/365)</f>
        <v>1</v>
      </c>
      <c r="Y124" s="8">
        <f ca="1">_xll.HLV5r3.Analytics.Miscellaneous.Zero2DF(_xll.HLV5r3.Analytics.Miscellaneous.LinearInterp(Peturbed_QZ,$K124,1,Y$1),ZeroCompFreq,'PDH Calc'!$K124/365)</f>
        <v>1</v>
      </c>
      <c r="Z124" s="8">
        <f ca="1">_xll.HLV5r3.Analytics.Miscellaneous.Zero2DF(_xll.HLV5r3.Analytics.Miscellaneous.LinearInterp(Peturbed_QZ,$K124,1,Z$1),ZeroCompFreq,'PDH Calc'!$K124/365)</f>
        <v>1</v>
      </c>
      <c r="AA124" s="8">
        <f ca="1">_xll.HLV5r3.Analytics.Miscellaneous.Zero2DF(_xll.HLV5r3.Analytics.Miscellaneous.LinearInterp(Peturbed_QZ,$K124,1,AA$1),ZeroCompFreq,'PDH Calc'!$K124/365)</f>
        <v>1</v>
      </c>
      <c r="AB124" s="8">
        <f ca="1">_xll.HLV5r3.Analytics.Miscellaneous.Zero2DF(_xll.HLV5r3.Analytics.Miscellaneous.LinearInterp(Peturbed_QZ,$K124,1,AB$1),ZeroCompFreq,'PDH Calc'!$K124/365)</f>
        <v>1</v>
      </c>
      <c r="AC124" s="8">
        <f ca="1">_xll.HLV5r3.Analytics.Miscellaneous.Zero2DF(_xll.HLV5r3.Analytics.Miscellaneous.LinearInterp(Peturbed_QZ,$K124,1,AC$1),ZeroCompFreq,'PDH Calc'!$K124/365)</f>
        <v>1</v>
      </c>
      <c r="AD124" s="8">
        <f ca="1">_xll.HLV5r3.Analytics.Miscellaneous.Zero2DF(_xll.HLV5r3.Analytics.Miscellaneous.LinearInterp(Peturbed_QZ,$K124,1,AD$1),ZeroCompFreq,'PDH Calc'!$K124/365)</f>
        <v>1</v>
      </c>
      <c r="AE124" s="8">
        <f ca="1">_xll.HLV5r3.Analytics.Miscellaneous.Zero2DF(_xll.HLV5r3.Analytics.Miscellaneous.LinearInterp(Peturbed_QZ,$K124,1,AE$1),ZeroCompFreq,'PDH Calc'!$K124/365)</f>
        <v>1</v>
      </c>
      <c r="AF124" s="8">
        <f ca="1">_xll.HLV5r3.Analytics.Miscellaneous.Zero2DF(_xll.HLV5r3.Analytics.Miscellaneous.LinearInterp(Peturbed_QZ,$K124,1,AF$1),ZeroCompFreq,'PDH Calc'!$K124/365)</f>
        <v>1</v>
      </c>
      <c r="AG124" s="8">
        <f ca="1">_xll.HLV5r3.Analytics.Miscellaneous.Zero2DF(_xll.HLV5r3.Analytics.Miscellaneous.LinearInterp(Peturbed_QZ,$K124,1,AG$1),ZeroCompFreq,'PDH Calc'!$K124/365)</f>
        <v>1</v>
      </c>
      <c r="AH124" s="8">
        <f ca="1">_xll.HLV5r3.Analytics.Miscellaneous.Zero2DF(_xll.HLV5r3.Analytics.Miscellaneous.LinearInterp(Peturbed_QZ,$K124,1,AH$1),ZeroCompFreq,'PDH Calc'!$K124/365)</f>
        <v>1</v>
      </c>
      <c r="AI124" s="8">
        <f ca="1">_xll.HLV5r3.Analytics.Miscellaneous.Zero2DF(_xll.HLV5r3.Analytics.Miscellaneous.LinearInterp(Peturbed_QZ,$K124,1,AI$1),ZeroCompFreq,'PDH Calc'!$K124/365)</f>
        <v>1</v>
      </c>
      <c r="AJ124" s="8">
        <f ca="1">_xll.HLV5r3.Analytics.Miscellaneous.Zero2DF(_xll.HLV5r3.Analytics.Miscellaneous.LinearInterp(Peturbed_QZ,$K124,1,AJ$1),ZeroCompFreq,'PDH Calc'!$K124/365)</f>
        <v>1</v>
      </c>
      <c r="AK124" s="8">
        <f ca="1">_xll.HLV5r3.Analytics.Miscellaneous.Zero2DF(_xll.HLV5r3.Analytics.Miscellaneous.LinearInterp(Peturbed_QZ,$K124,1,AK$1),ZeroCompFreq,'PDH Calc'!$K124/365)</f>
        <v>1</v>
      </c>
    </row>
    <row r="125" spans="1:37">
      <c r="A125" s="4"/>
      <c r="B125" s="6"/>
      <c r="F125" s="11"/>
      <c r="G125" s="6"/>
      <c r="H125" s="20"/>
      <c r="I125" s="21"/>
      <c r="J125" s="26"/>
      <c r="K125" s="6">
        <f t="shared" ca="1" si="8"/>
        <v>0</v>
      </c>
      <c r="L125" s="8">
        <f ca="1">_xll.HLV5r3.Analytics.Miscellaneous.Zero2DF(_xll.HLV5r3.Analytics.Miscellaneous.LinearInterp(Peturbed_QZ,$K125,1,L$1),ZeroCompFreq,'PDH Calc'!$K125/365)</f>
        <v>1</v>
      </c>
      <c r="M125" s="8">
        <f ca="1">_xll.HLV5r3.Analytics.Miscellaneous.Zero2DF(_xll.HLV5r3.Analytics.Miscellaneous.LinearInterp(Peturbed_QZ,$K125,1,M$1),ZeroCompFreq,'PDH Calc'!$K125/365)</f>
        <v>1</v>
      </c>
      <c r="N125" s="8">
        <f ca="1">_xll.HLV5r3.Analytics.Miscellaneous.Zero2DF(_xll.HLV5r3.Analytics.Miscellaneous.LinearInterp(Peturbed_QZ,$K125,1,N$1),ZeroCompFreq,'PDH Calc'!$K125/365)</f>
        <v>1</v>
      </c>
      <c r="O125" s="8">
        <f ca="1">_xll.HLV5r3.Analytics.Miscellaneous.Zero2DF(_xll.HLV5r3.Analytics.Miscellaneous.LinearInterp(Peturbed_QZ,$K125,1,O$1),ZeroCompFreq,'PDH Calc'!$K125/365)</f>
        <v>1</v>
      </c>
      <c r="P125" s="8">
        <f ca="1">_xll.HLV5r3.Analytics.Miscellaneous.Zero2DF(_xll.HLV5r3.Analytics.Miscellaneous.LinearInterp(Peturbed_QZ,$K125,1,P$1),ZeroCompFreq,'PDH Calc'!$K125/365)</f>
        <v>1</v>
      </c>
      <c r="Q125" s="8">
        <f ca="1">_xll.HLV5r3.Analytics.Miscellaneous.Zero2DF(_xll.HLV5r3.Analytics.Miscellaneous.LinearInterp(Peturbed_QZ,$K125,1,Q$1),ZeroCompFreq,'PDH Calc'!$K125/365)</f>
        <v>1</v>
      </c>
      <c r="R125" s="8">
        <f ca="1">_xll.HLV5r3.Analytics.Miscellaneous.Zero2DF(_xll.HLV5r3.Analytics.Miscellaneous.LinearInterp(Peturbed_QZ,$K125,1,R$1),ZeroCompFreq,'PDH Calc'!$K125/365)</f>
        <v>1</v>
      </c>
      <c r="S125" s="8">
        <f ca="1">_xll.HLV5r3.Analytics.Miscellaneous.Zero2DF(_xll.HLV5r3.Analytics.Miscellaneous.LinearInterp(Peturbed_QZ,$K125,1,S$1),ZeroCompFreq,'PDH Calc'!$K125/365)</f>
        <v>1</v>
      </c>
      <c r="T125" s="8">
        <f ca="1">_xll.HLV5r3.Analytics.Miscellaneous.Zero2DF(_xll.HLV5r3.Analytics.Miscellaneous.LinearInterp(Peturbed_QZ,$K125,1,T$1),ZeroCompFreq,'PDH Calc'!$K125/365)</f>
        <v>1</v>
      </c>
      <c r="U125" s="8">
        <f ca="1">_xll.HLV5r3.Analytics.Miscellaneous.Zero2DF(_xll.HLV5r3.Analytics.Miscellaneous.LinearInterp(Peturbed_QZ,$K125,1,U$1),ZeroCompFreq,'PDH Calc'!$K125/365)</f>
        <v>1</v>
      </c>
      <c r="V125" s="8">
        <f ca="1">_xll.HLV5r3.Analytics.Miscellaneous.Zero2DF(_xll.HLV5r3.Analytics.Miscellaneous.LinearInterp(Peturbed_QZ,$K125,1,V$1),ZeroCompFreq,'PDH Calc'!$K125/365)</f>
        <v>1</v>
      </c>
      <c r="W125" s="8">
        <f ca="1">_xll.HLV5r3.Analytics.Miscellaneous.Zero2DF(_xll.HLV5r3.Analytics.Miscellaneous.LinearInterp(Peturbed_QZ,$K125,1,W$1),ZeroCompFreq,'PDH Calc'!$K125/365)</f>
        <v>1</v>
      </c>
      <c r="X125" s="8">
        <f ca="1">_xll.HLV5r3.Analytics.Miscellaneous.Zero2DF(_xll.HLV5r3.Analytics.Miscellaneous.LinearInterp(Peturbed_QZ,$K125,1,X$1),ZeroCompFreq,'PDH Calc'!$K125/365)</f>
        <v>1</v>
      </c>
      <c r="Y125" s="8">
        <f ca="1">_xll.HLV5r3.Analytics.Miscellaneous.Zero2DF(_xll.HLV5r3.Analytics.Miscellaneous.LinearInterp(Peturbed_QZ,$K125,1,Y$1),ZeroCompFreq,'PDH Calc'!$K125/365)</f>
        <v>1</v>
      </c>
      <c r="Z125" s="8">
        <f ca="1">_xll.HLV5r3.Analytics.Miscellaneous.Zero2DF(_xll.HLV5r3.Analytics.Miscellaneous.LinearInterp(Peturbed_QZ,$K125,1,Z$1),ZeroCompFreq,'PDH Calc'!$K125/365)</f>
        <v>1</v>
      </c>
      <c r="AA125" s="8">
        <f ca="1">_xll.HLV5r3.Analytics.Miscellaneous.Zero2DF(_xll.HLV5r3.Analytics.Miscellaneous.LinearInterp(Peturbed_QZ,$K125,1,AA$1),ZeroCompFreq,'PDH Calc'!$K125/365)</f>
        <v>1</v>
      </c>
      <c r="AB125" s="8">
        <f ca="1">_xll.HLV5r3.Analytics.Miscellaneous.Zero2DF(_xll.HLV5r3.Analytics.Miscellaneous.LinearInterp(Peturbed_QZ,$K125,1,AB$1),ZeroCompFreq,'PDH Calc'!$K125/365)</f>
        <v>1</v>
      </c>
      <c r="AC125" s="8">
        <f ca="1">_xll.HLV5r3.Analytics.Miscellaneous.Zero2DF(_xll.HLV5r3.Analytics.Miscellaneous.LinearInterp(Peturbed_QZ,$K125,1,AC$1),ZeroCompFreq,'PDH Calc'!$K125/365)</f>
        <v>1</v>
      </c>
      <c r="AD125" s="8">
        <f ca="1">_xll.HLV5r3.Analytics.Miscellaneous.Zero2DF(_xll.HLV5r3.Analytics.Miscellaneous.LinearInterp(Peturbed_QZ,$K125,1,AD$1),ZeroCompFreq,'PDH Calc'!$K125/365)</f>
        <v>1</v>
      </c>
      <c r="AE125" s="8">
        <f ca="1">_xll.HLV5r3.Analytics.Miscellaneous.Zero2DF(_xll.HLV5r3.Analytics.Miscellaneous.LinearInterp(Peturbed_QZ,$K125,1,AE$1),ZeroCompFreq,'PDH Calc'!$K125/365)</f>
        <v>1</v>
      </c>
      <c r="AF125" s="8">
        <f ca="1">_xll.HLV5r3.Analytics.Miscellaneous.Zero2DF(_xll.HLV5r3.Analytics.Miscellaneous.LinearInterp(Peturbed_QZ,$K125,1,AF$1),ZeroCompFreq,'PDH Calc'!$K125/365)</f>
        <v>1</v>
      </c>
      <c r="AG125" s="8">
        <f ca="1">_xll.HLV5r3.Analytics.Miscellaneous.Zero2DF(_xll.HLV5r3.Analytics.Miscellaneous.LinearInterp(Peturbed_QZ,$K125,1,AG$1),ZeroCompFreq,'PDH Calc'!$K125/365)</f>
        <v>1</v>
      </c>
      <c r="AH125" s="8">
        <f ca="1">_xll.HLV5r3.Analytics.Miscellaneous.Zero2DF(_xll.HLV5r3.Analytics.Miscellaneous.LinearInterp(Peturbed_QZ,$K125,1,AH$1),ZeroCompFreq,'PDH Calc'!$K125/365)</f>
        <v>1</v>
      </c>
      <c r="AI125" s="8">
        <f ca="1">_xll.HLV5r3.Analytics.Miscellaneous.Zero2DF(_xll.HLV5r3.Analytics.Miscellaneous.LinearInterp(Peturbed_QZ,$K125,1,AI$1),ZeroCompFreq,'PDH Calc'!$K125/365)</f>
        <v>1</v>
      </c>
      <c r="AJ125" s="8">
        <f ca="1">_xll.HLV5r3.Analytics.Miscellaneous.Zero2DF(_xll.HLV5r3.Analytics.Miscellaneous.LinearInterp(Peturbed_QZ,$K125,1,AJ$1),ZeroCompFreq,'PDH Calc'!$K125/365)</f>
        <v>1</v>
      </c>
      <c r="AK125" s="8">
        <f ca="1">_xll.HLV5r3.Analytics.Miscellaneous.Zero2DF(_xll.HLV5r3.Analytics.Miscellaneous.LinearInterp(Peturbed_QZ,$K125,1,AK$1),ZeroCompFreq,'PDH Calc'!$K125/365)</f>
        <v>1</v>
      </c>
    </row>
    <row r="126" spans="1:37">
      <c r="A126" s="4"/>
      <c r="B126" s="6"/>
      <c r="F126" s="11"/>
      <c r="G126" s="6"/>
      <c r="H126" s="20"/>
      <c r="I126" s="21"/>
      <c r="J126" s="26"/>
      <c r="K126" s="6">
        <f t="shared" ca="1" si="8"/>
        <v>0</v>
      </c>
      <c r="L126" s="8">
        <f ca="1">_xll.HLV5r3.Analytics.Miscellaneous.Zero2DF(_xll.HLV5r3.Analytics.Miscellaneous.LinearInterp(Peturbed_QZ,$K126,1,L$1),ZeroCompFreq,'PDH Calc'!$K126/365)</f>
        <v>1</v>
      </c>
      <c r="M126" s="8">
        <f ca="1">_xll.HLV5r3.Analytics.Miscellaneous.Zero2DF(_xll.HLV5r3.Analytics.Miscellaneous.LinearInterp(Peturbed_QZ,$K126,1,M$1),ZeroCompFreq,'PDH Calc'!$K126/365)</f>
        <v>1</v>
      </c>
      <c r="N126" s="8">
        <f ca="1">_xll.HLV5r3.Analytics.Miscellaneous.Zero2DF(_xll.HLV5r3.Analytics.Miscellaneous.LinearInterp(Peturbed_QZ,$K126,1,N$1),ZeroCompFreq,'PDH Calc'!$K126/365)</f>
        <v>1</v>
      </c>
      <c r="O126" s="8">
        <f ca="1">_xll.HLV5r3.Analytics.Miscellaneous.Zero2DF(_xll.HLV5r3.Analytics.Miscellaneous.LinearInterp(Peturbed_QZ,$K126,1,O$1),ZeroCompFreq,'PDH Calc'!$K126/365)</f>
        <v>1</v>
      </c>
      <c r="P126" s="8">
        <f ca="1">_xll.HLV5r3.Analytics.Miscellaneous.Zero2DF(_xll.HLV5r3.Analytics.Miscellaneous.LinearInterp(Peturbed_QZ,$K126,1,P$1),ZeroCompFreq,'PDH Calc'!$K126/365)</f>
        <v>1</v>
      </c>
      <c r="Q126" s="8">
        <f ca="1">_xll.HLV5r3.Analytics.Miscellaneous.Zero2DF(_xll.HLV5r3.Analytics.Miscellaneous.LinearInterp(Peturbed_QZ,$K126,1,Q$1),ZeroCompFreq,'PDH Calc'!$K126/365)</f>
        <v>1</v>
      </c>
      <c r="R126" s="8">
        <f ca="1">_xll.HLV5r3.Analytics.Miscellaneous.Zero2DF(_xll.HLV5r3.Analytics.Miscellaneous.LinearInterp(Peturbed_QZ,$K126,1,R$1),ZeroCompFreq,'PDH Calc'!$K126/365)</f>
        <v>1</v>
      </c>
      <c r="S126" s="8">
        <f ca="1">_xll.HLV5r3.Analytics.Miscellaneous.Zero2DF(_xll.HLV5r3.Analytics.Miscellaneous.LinearInterp(Peturbed_QZ,$K126,1,S$1),ZeroCompFreq,'PDH Calc'!$K126/365)</f>
        <v>1</v>
      </c>
      <c r="T126" s="8">
        <f ca="1">_xll.HLV5r3.Analytics.Miscellaneous.Zero2DF(_xll.HLV5r3.Analytics.Miscellaneous.LinearInterp(Peturbed_QZ,$K126,1,T$1),ZeroCompFreq,'PDH Calc'!$K126/365)</f>
        <v>1</v>
      </c>
      <c r="U126" s="8">
        <f ca="1">_xll.HLV5r3.Analytics.Miscellaneous.Zero2DF(_xll.HLV5r3.Analytics.Miscellaneous.LinearInterp(Peturbed_QZ,$K126,1,U$1),ZeroCompFreq,'PDH Calc'!$K126/365)</f>
        <v>1</v>
      </c>
      <c r="V126" s="8">
        <f ca="1">_xll.HLV5r3.Analytics.Miscellaneous.Zero2DF(_xll.HLV5r3.Analytics.Miscellaneous.LinearInterp(Peturbed_QZ,$K126,1,V$1),ZeroCompFreq,'PDH Calc'!$K126/365)</f>
        <v>1</v>
      </c>
      <c r="W126" s="8">
        <f ca="1">_xll.HLV5r3.Analytics.Miscellaneous.Zero2DF(_xll.HLV5r3.Analytics.Miscellaneous.LinearInterp(Peturbed_QZ,$K126,1,W$1),ZeroCompFreq,'PDH Calc'!$K126/365)</f>
        <v>1</v>
      </c>
      <c r="X126" s="8">
        <f ca="1">_xll.HLV5r3.Analytics.Miscellaneous.Zero2DF(_xll.HLV5r3.Analytics.Miscellaneous.LinearInterp(Peturbed_QZ,$K126,1,X$1),ZeroCompFreq,'PDH Calc'!$K126/365)</f>
        <v>1</v>
      </c>
      <c r="Y126" s="8">
        <f ca="1">_xll.HLV5r3.Analytics.Miscellaneous.Zero2DF(_xll.HLV5r3.Analytics.Miscellaneous.LinearInterp(Peturbed_QZ,$K126,1,Y$1),ZeroCompFreq,'PDH Calc'!$K126/365)</f>
        <v>1</v>
      </c>
      <c r="Z126" s="8">
        <f ca="1">_xll.HLV5r3.Analytics.Miscellaneous.Zero2DF(_xll.HLV5r3.Analytics.Miscellaneous.LinearInterp(Peturbed_QZ,$K126,1,Z$1),ZeroCompFreq,'PDH Calc'!$K126/365)</f>
        <v>1</v>
      </c>
      <c r="AA126" s="8">
        <f ca="1">_xll.HLV5r3.Analytics.Miscellaneous.Zero2DF(_xll.HLV5r3.Analytics.Miscellaneous.LinearInterp(Peturbed_QZ,$K126,1,AA$1),ZeroCompFreq,'PDH Calc'!$K126/365)</f>
        <v>1</v>
      </c>
      <c r="AB126" s="8">
        <f ca="1">_xll.HLV5r3.Analytics.Miscellaneous.Zero2DF(_xll.HLV5r3.Analytics.Miscellaneous.LinearInterp(Peturbed_QZ,$K126,1,AB$1),ZeroCompFreq,'PDH Calc'!$K126/365)</f>
        <v>1</v>
      </c>
      <c r="AC126" s="8">
        <f ca="1">_xll.HLV5r3.Analytics.Miscellaneous.Zero2DF(_xll.HLV5r3.Analytics.Miscellaneous.LinearInterp(Peturbed_QZ,$K126,1,AC$1),ZeroCompFreq,'PDH Calc'!$K126/365)</f>
        <v>1</v>
      </c>
      <c r="AD126" s="8">
        <f ca="1">_xll.HLV5r3.Analytics.Miscellaneous.Zero2DF(_xll.HLV5r3.Analytics.Miscellaneous.LinearInterp(Peturbed_QZ,$K126,1,AD$1),ZeroCompFreq,'PDH Calc'!$K126/365)</f>
        <v>1</v>
      </c>
      <c r="AE126" s="8">
        <f ca="1">_xll.HLV5r3.Analytics.Miscellaneous.Zero2DF(_xll.HLV5r3.Analytics.Miscellaneous.LinearInterp(Peturbed_QZ,$K126,1,AE$1),ZeroCompFreq,'PDH Calc'!$K126/365)</f>
        <v>1</v>
      </c>
      <c r="AF126" s="8">
        <f ca="1">_xll.HLV5r3.Analytics.Miscellaneous.Zero2DF(_xll.HLV5r3.Analytics.Miscellaneous.LinearInterp(Peturbed_QZ,$K126,1,AF$1),ZeroCompFreq,'PDH Calc'!$K126/365)</f>
        <v>1</v>
      </c>
      <c r="AG126" s="8">
        <f ca="1">_xll.HLV5r3.Analytics.Miscellaneous.Zero2DF(_xll.HLV5r3.Analytics.Miscellaneous.LinearInterp(Peturbed_QZ,$K126,1,AG$1),ZeroCompFreq,'PDH Calc'!$K126/365)</f>
        <v>1</v>
      </c>
      <c r="AH126" s="8">
        <f ca="1">_xll.HLV5r3.Analytics.Miscellaneous.Zero2DF(_xll.HLV5r3.Analytics.Miscellaneous.LinearInterp(Peturbed_QZ,$K126,1,AH$1),ZeroCompFreq,'PDH Calc'!$K126/365)</f>
        <v>1</v>
      </c>
      <c r="AI126" s="8">
        <f ca="1">_xll.HLV5r3.Analytics.Miscellaneous.Zero2DF(_xll.HLV5r3.Analytics.Miscellaneous.LinearInterp(Peturbed_QZ,$K126,1,AI$1),ZeroCompFreq,'PDH Calc'!$K126/365)</f>
        <v>1</v>
      </c>
      <c r="AJ126" s="8">
        <f ca="1">_xll.HLV5r3.Analytics.Miscellaneous.Zero2DF(_xll.HLV5r3.Analytics.Miscellaneous.LinearInterp(Peturbed_QZ,$K126,1,AJ$1),ZeroCompFreq,'PDH Calc'!$K126/365)</f>
        <v>1</v>
      </c>
      <c r="AK126" s="8">
        <f ca="1">_xll.HLV5r3.Analytics.Miscellaneous.Zero2DF(_xll.HLV5r3.Analytics.Miscellaneous.LinearInterp(Peturbed_QZ,$K126,1,AK$1),ZeroCompFreq,'PDH Calc'!$K126/365)</f>
        <v>1</v>
      </c>
    </row>
    <row r="127" spans="1:37">
      <c r="A127" s="4"/>
      <c r="B127" s="6"/>
      <c r="F127" s="11"/>
      <c r="G127" s="6"/>
      <c r="H127" s="20"/>
      <c r="I127" s="21"/>
      <c r="J127" s="26"/>
      <c r="K127" s="6">
        <f t="shared" ca="1" si="8"/>
        <v>0</v>
      </c>
      <c r="L127" s="8">
        <f ca="1">_xll.HLV5r3.Analytics.Miscellaneous.Zero2DF(_xll.HLV5r3.Analytics.Miscellaneous.LinearInterp(Peturbed_QZ,$K127,1,L$1),ZeroCompFreq,'PDH Calc'!$K127/365)</f>
        <v>1</v>
      </c>
      <c r="M127" s="8">
        <f ca="1">_xll.HLV5r3.Analytics.Miscellaneous.Zero2DF(_xll.HLV5r3.Analytics.Miscellaneous.LinearInterp(Peturbed_QZ,$K127,1,M$1),ZeroCompFreq,'PDH Calc'!$K127/365)</f>
        <v>1</v>
      </c>
      <c r="N127" s="8">
        <f ca="1">_xll.HLV5r3.Analytics.Miscellaneous.Zero2DF(_xll.HLV5r3.Analytics.Miscellaneous.LinearInterp(Peturbed_QZ,$K127,1,N$1),ZeroCompFreq,'PDH Calc'!$K127/365)</f>
        <v>1</v>
      </c>
      <c r="O127" s="8">
        <f ca="1">_xll.HLV5r3.Analytics.Miscellaneous.Zero2DF(_xll.HLV5r3.Analytics.Miscellaneous.LinearInterp(Peturbed_QZ,$K127,1,O$1),ZeroCompFreq,'PDH Calc'!$K127/365)</f>
        <v>1</v>
      </c>
      <c r="P127" s="8">
        <f ca="1">_xll.HLV5r3.Analytics.Miscellaneous.Zero2DF(_xll.HLV5r3.Analytics.Miscellaneous.LinearInterp(Peturbed_QZ,$K127,1,P$1),ZeroCompFreq,'PDH Calc'!$K127/365)</f>
        <v>1</v>
      </c>
      <c r="Q127" s="8">
        <f ca="1">_xll.HLV5r3.Analytics.Miscellaneous.Zero2DF(_xll.HLV5r3.Analytics.Miscellaneous.LinearInterp(Peturbed_QZ,$K127,1,Q$1),ZeroCompFreq,'PDH Calc'!$K127/365)</f>
        <v>1</v>
      </c>
      <c r="R127" s="8">
        <f ca="1">_xll.HLV5r3.Analytics.Miscellaneous.Zero2DF(_xll.HLV5r3.Analytics.Miscellaneous.LinearInterp(Peturbed_QZ,$K127,1,R$1),ZeroCompFreq,'PDH Calc'!$K127/365)</f>
        <v>1</v>
      </c>
      <c r="S127" s="8">
        <f ca="1">_xll.HLV5r3.Analytics.Miscellaneous.Zero2DF(_xll.HLV5r3.Analytics.Miscellaneous.LinearInterp(Peturbed_QZ,$K127,1,S$1),ZeroCompFreq,'PDH Calc'!$K127/365)</f>
        <v>1</v>
      </c>
      <c r="T127" s="8">
        <f ca="1">_xll.HLV5r3.Analytics.Miscellaneous.Zero2DF(_xll.HLV5r3.Analytics.Miscellaneous.LinearInterp(Peturbed_QZ,$K127,1,T$1),ZeroCompFreq,'PDH Calc'!$K127/365)</f>
        <v>1</v>
      </c>
      <c r="U127" s="8">
        <f ca="1">_xll.HLV5r3.Analytics.Miscellaneous.Zero2DF(_xll.HLV5r3.Analytics.Miscellaneous.LinearInterp(Peturbed_QZ,$K127,1,U$1),ZeroCompFreq,'PDH Calc'!$K127/365)</f>
        <v>1</v>
      </c>
      <c r="V127" s="8">
        <f ca="1">_xll.HLV5r3.Analytics.Miscellaneous.Zero2DF(_xll.HLV5r3.Analytics.Miscellaneous.LinearInterp(Peturbed_QZ,$K127,1,V$1),ZeroCompFreq,'PDH Calc'!$K127/365)</f>
        <v>1</v>
      </c>
      <c r="W127" s="8">
        <f ca="1">_xll.HLV5r3.Analytics.Miscellaneous.Zero2DF(_xll.HLV5r3.Analytics.Miscellaneous.LinearInterp(Peturbed_QZ,$K127,1,W$1),ZeroCompFreq,'PDH Calc'!$K127/365)</f>
        <v>1</v>
      </c>
      <c r="X127" s="8">
        <f ca="1">_xll.HLV5r3.Analytics.Miscellaneous.Zero2DF(_xll.HLV5r3.Analytics.Miscellaneous.LinearInterp(Peturbed_QZ,$K127,1,X$1),ZeroCompFreq,'PDH Calc'!$K127/365)</f>
        <v>1</v>
      </c>
      <c r="Y127" s="8">
        <f ca="1">_xll.HLV5r3.Analytics.Miscellaneous.Zero2DF(_xll.HLV5r3.Analytics.Miscellaneous.LinearInterp(Peturbed_QZ,$K127,1,Y$1),ZeroCompFreq,'PDH Calc'!$K127/365)</f>
        <v>1</v>
      </c>
      <c r="Z127" s="8">
        <f ca="1">_xll.HLV5r3.Analytics.Miscellaneous.Zero2DF(_xll.HLV5r3.Analytics.Miscellaneous.LinearInterp(Peturbed_QZ,$K127,1,Z$1),ZeroCompFreq,'PDH Calc'!$K127/365)</f>
        <v>1</v>
      </c>
      <c r="AA127" s="8">
        <f ca="1">_xll.HLV5r3.Analytics.Miscellaneous.Zero2DF(_xll.HLV5r3.Analytics.Miscellaneous.LinearInterp(Peturbed_QZ,$K127,1,AA$1),ZeroCompFreq,'PDH Calc'!$K127/365)</f>
        <v>1</v>
      </c>
      <c r="AB127" s="8">
        <f ca="1">_xll.HLV5r3.Analytics.Miscellaneous.Zero2DF(_xll.HLV5r3.Analytics.Miscellaneous.LinearInterp(Peturbed_QZ,$K127,1,AB$1),ZeroCompFreq,'PDH Calc'!$K127/365)</f>
        <v>1</v>
      </c>
      <c r="AC127" s="8">
        <f ca="1">_xll.HLV5r3.Analytics.Miscellaneous.Zero2DF(_xll.HLV5r3.Analytics.Miscellaneous.LinearInterp(Peturbed_QZ,$K127,1,AC$1),ZeroCompFreq,'PDH Calc'!$K127/365)</f>
        <v>1</v>
      </c>
      <c r="AD127" s="8">
        <f ca="1">_xll.HLV5r3.Analytics.Miscellaneous.Zero2DF(_xll.HLV5r3.Analytics.Miscellaneous.LinearInterp(Peturbed_QZ,$K127,1,AD$1),ZeroCompFreq,'PDH Calc'!$K127/365)</f>
        <v>1</v>
      </c>
      <c r="AE127" s="8">
        <f ca="1">_xll.HLV5r3.Analytics.Miscellaneous.Zero2DF(_xll.HLV5r3.Analytics.Miscellaneous.LinearInterp(Peturbed_QZ,$K127,1,AE$1),ZeroCompFreq,'PDH Calc'!$K127/365)</f>
        <v>1</v>
      </c>
      <c r="AF127" s="8">
        <f ca="1">_xll.HLV5r3.Analytics.Miscellaneous.Zero2DF(_xll.HLV5r3.Analytics.Miscellaneous.LinearInterp(Peturbed_QZ,$K127,1,AF$1),ZeroCompFreq,'PDH Calc'!$K127/365)</f>
        <v>1</v>
      </c>
      <c r="AG127" s="8">
        <f ca="1">_xll.HLV5r3.Analytics.Miscellaneous.Zero2DF(_xll.HLV5r3.Analytics.Miscellaneous.LinearInterp(Peturbed_QZ,$K127,1,AG$1),ZeroCompFreq,'PDH Calc'!$K127/365)</f>
        <v>1</v>
      </c>
      <c r="AH127" s="8">
        <f ca="1">_xll.HLV5r3.Analytics.Miscellaneous.Zero2DF(_xll.HLV5r3.Analytics.Miscellaneous.LinearInterp(Peturbed_QZ,$K127,1,AH$1),ZeroCompFreq,'PDH Calc'!$K127/365)</f>
        <v>1</v>
      </c>
      <c r="AI127" s="8">
        <f ca="1">_xll.HLV5r3.Analytics.Miscellaneous.Zero2DF(_xll.HLV5r3.Analytics.Miscellaneous.LinearInterp(Peturbed_QZ,$K127,1,AI$1),ZeroCompFreq,'PDH Calc'!$K127/365)</f>
        <v>1</v>
      </c>
      <c r="AJ127" s="8">
        <f ca="1">_xll.HLV5r3.Analytics.Miscellaneous.Zero2DF(_xll.HLV5r3.Analytics.Miscellaneous.LinearInterp(Peturbed_QZ,$K127,1,AJ$1),ZeroCompFreq,'PDH Calc'!$K127/365)</f>
        <v>1</v>
      </c>
      <c r="AK127" s="8">
        <f ca="1">_xll.HLV5r3.Analytics.Miscellaneous.Zero2DF(_xll.HLV5r3.Analytics.Miscellaneous.LinearInterp(Peturbed_QZ,$K127,1,AK$1),ZeroCompFreq,'PDH Calc'!$K127/365)</f>
        <v>1</v>
      </c>
    </row>
    <row r="128" spans="1:37">
      <c r="A128" s="4"/>
      <c r="B128" s="6"/>
      <c r="F128" s="11"/>
      <c r="G128" s="6"/>
      <c r="H128" s="20"/>
      <c r="I128" s="21"/>
      <c r="J128" s="26"/>
      <c r="K128" s="6">
        <f t="shared" ca="1" si="8"/>
        <v>0</v>
      </c>
      <c r="L128" s="8">
        <f ca="1">_xll.HLV5r3.Analytics.Miscellaneous.Zero2DF(_xll.HLV5r3.Analytics.Miscellaneous.LinearInterp(Peturbed_QZ,$K128,1,L$1),ZeroCompFreq,'PDH Calc'!$K128/365)</f>
        <v>1</v>
      </c>
      <c r="M128" s="8">
        <f ca="1">_xll.HLV5r3.Analytics.Miscellaneous.Zero2DF(_xll.HLV5r3.Analytics.Miscellaneous.LinearInterp(Peturbed_QZ,$K128,1,M$1),ZeroCompFreq,'PDH Calc'!$K128/365)</f>
        <v>1</v>
      </c>
      <c r="N128" s="8">
        <f ca="1">_xll.HLV5r3.Analytics.Miscellaneous.Zero2DF(_xll.HLV5r3.Analytics.Miscellaneous.LinearInterp(Peturbed_QZ,$K128,1,N$1),ZeroCompFreq,'PDH Calc'!$K128/365)</f>
        <v>1</v>
      </c>
      <c r="O128" s="8">
        <f ca="1">_xll.HLV5r3.Analytics.Miscellaneous.Zero2DF(_xll.HLV5r3.Analytics.Miscellaneous.LinearInterp(Peturbed_QZ,$K128,1,O$1),ZeroCompFreq,'PDH Calc'!$K128/365)</f>
        <v>1</v>
      </c>
      <c r="P128" s="8">
        <f ca="1">_xll.HLV5r3.Analytics.Miscellaneous.Zero2DF(_xll.HLV5r3.Analytics.Miscellaneous.LinearInterp(Peturbed_QZ,$K128,1,P$1),ZeroCompFreq,'PDH Calc'!$K128/365)</f>
        <v>1</v>
      </c>
      <c r="Q128" s="8">
        <f ca="1">_xll.HLV5r3.Analytics.Miscellaneous.Zero2DF(_xll.HLV5r3.Analytics.Miscellaneous.LinearInterp(Peturbed_QZ,$K128,1,Q$1),ZeroCompFreq,'PDH Calc'!$K128/365)</f>
        <v>1</v>
      </c>
      <c r="R128" s="8">
        <f ca="1">_xll.HLV5r3.Analytics.Miscellaneous.Zero2DF(_xll.HLV5r3.Analytics.Miscellaneous.LinearInterp(Peturbed_QZ,$K128,1,R$1),ZeroCompFreq,'PDH Calc'!$K128/365)</f>
        <v>1</v>
      </c>
      <c r="S128" s="8">
        <f ca="1">_xll.HLV5r3.Analytics.Miscellaneous.Zero2DF(_xll.HLV5r3.Analytics.Miscellaneous.LinearInterp(Peturbed_QZ,$K128,1,S$1),ZeroCompFreq,'PDH Calc'!$K128/365)</f>
        <v>1</v>
      </c>
      <c r="T128" s="8">
        <f ca="1">_xll.HLV5r3.Analytics.Miscellaneous.Zero2DF(_xll.HLV5r3.Analytics.Miscellaneous.LinearInterp(Peturbed_QZ,$K128,1,T$1),ZeroCompFreq,'PDH Calc'!$K128/365)</f>
        <v>1</v>
      </c>
      <c r="U128" s="8">
        <f ca="1">_xll.HLV5r3.Analytics.Miscellaneous.Zero2DF(_xll.HLV5r3.Analytics.Miscellaneous.LinearInterp(Peturbed_QZ,$K128,1,U$1),ZeroCompFreq,'PDH Calc'!$K128/365)</f>
        <v>1</v>
      </c>
      <c r="V128" s="8">
        <f ca="1">_xll.HLV5r3.Analytics.Miscellaneous.Zero2DF(_xll.HLV5r3.Analytics.Miscellaneous.LinearInterp(Peturbed_QZ,$K128,1,V$1),ZeroCompFreq,'PDH Calc'!$K128/365)</f>
        <v>1</v>
      </c>
      <c r="W128" s="8">
        <f ca="1">_xll.HLV5r3.Analytics.Miscellaneous.Zero2DF(_xll.HLV5r3.Analytics.Miscellaneous.LinearInterp(Peturbed_QZ,$K128,1,W$1),ZeroCompFreq,'PDH Calc'!$K128/365)</f>
        <v>1</v>
      </c>
      <c r="X128" s="8">
        <f ca="1">_xll.HLV5r3.Analytics.Miscellaneous.Zero2DF(_xll.HLV5r3.Analytics.Miscellaneous.LinearInterp(Peturbed_QZ,$K128,1,X$1),ZeroCompFreq,'PDH Calc'!$K128/365)</f>
        <v>1</v>
      </c>
      <c r="Y128" s="8">
        <f ca="1">_xll.HLV5r3.Analytics.Miscellaneous.Zero2DF(_xll.HLV5r3.Analytics.Miscellaneous.LinearInterp(Peturbed_QZ,$K128,1,Y$1),ZeroCompFreq,'PDH Calc'!$K128/365)</f>
        <v>1</v>
      </c>
      <c r="Z128" s="8">
        <f ca="1">_xll.HLV5r3.Analytics.Miscellaneous.Zero2DF(_xll.HLV5r3.Analytics.Miscellaneous.LinearInterp(Peturbed_QZ,$K128,1,Z$1),ZeroCompFreq,'PDH Calc'!$K128/365)</f>
        <v>1</v>
      </c>
      <c r="AA128" s="8">
        <f ca="1">_xll.HLV5r3.Analytics.Miscellaneous.Zero2DF(_xll.HLV5r3.Analytics.Miscellaneous.LinearInterp(Peturbed_QZ,$K128,1,AA$1),ZeroCompFreq,'PDH Calc'!$K128/365)</f>
        <v>1</v>
      </c>
      <c r="AB128" s="8">
        <f ca="1">_xll.HLV5r3.Analytics.Miscellaneous.Zero2DF(_xll.HLV5r3.Analytics.Miscellaneous.LinearInterp(Peturbed_QZ,$K128,1,AB$1),ZeroCompFreq,'PDH Calc'!$K128/365)</f>
        <v>1</v>
      </c>
      <c r="AC128" s="8">
        <f ca="1">_xll.HLV5r3.Analytics.Miscellaneous.Zero2DF(_xll.HLV5r3.Analytics.Miscellaneous.LinearInterp(Peturbed_QZ,$K128,1,AC$1),ZeroCompFreq,'PDH Calc'!$K128/365)</f>
        <v>1</v>
      </c>
      <c r="AD128" s="8">
        <f ca="1">_xll.HLV5r3.Analytics.Miscellaneous.Zero2DF(_xll.HLV5r3.Analytics.Miscellaneous.LinearInterp(Peturbed_QZ,$K128,1,AD$1),ZeroCompFreq,'PDH Calc'!$K128/365)</f>
        <v>1</v>
      </c>
      <c r="AE128" s="8">
        <f ca="1">_xll.HLV5r3.Analytics.Miscellaneous.Zero2DF(_xll.HLV5r3.Analytics.Miscellaneous.LinearInterp(Peturbed_QZ,$K128,1,AE$1),ZeroCompFreq,'PDH Calc'!$K128/365)</f>
        <v>1</v>
      </c>
      <c r="AF128" s="8">
        <f ca="1">_xll.HLV5r3.Analytics.Miscellaneous.Zero2DF(_xll.HLV5r3.Analytics.Miscellaneous.LinearInterp(Peturbed_QZ,$K128,1,AF$1),ZeroCompFreq,'PDH Calc'!$K128/365)</f>
        <v>1</v>
      </c>
      <c r="AG128" s="8">
        <f ca="1">_xll.HLV5r3.Analytics.Miscellaneous.Zero2DF(_xll.HLV5r3.Analytics.Miscellaneous.LinearInterp(Peturbed_QZ,$K128,1,AG$1),ZeroCompFreq,'PDH Calc'!$K128/365)</f>
        <v>1</v>
      </c>
      <c r="AH128" s="8">
        <f ca="1">_xll.HLV5r3.Analytics.Miscellaneous.Zero2DF(_xll.HLV5r3.Analytics.Miscellaneous.LinearInterp(Peturbed_QZ,$K128,1,AH$1),ZeroCompFreq,'PDH Calc'!$K128/365)</f>
        <v>1</v>
      </c>
      <c r="AI128" s="8">
        <f ca="1">_xll.HLV5r3.Analytics.Miscellaneous.Zero2DF(_xll.HLV5r3.Analytics.Miscellaneous.LinearInterp(Peturbed_QZ,$K128,1,AI$1),ZeroCompFreq,'PDH Calc'!$K128/365)</f>
        <v>1</v>
      </c>
      <c r="AJ128" s="8">
        <f ca="1">_xll.HLV5r3.Analytics.Miscellaneous.Zero2DF(_xll.HLV5r3.Analytics.Miscellaneous.LinearInterp(Peturbed_QZ,$K128,1,AJ$1),ZeroCompFreq,'PDH Calc'!$K128/365)</f>
        <v>1</v>
      </c>
      <c r="AK128" s="8">
        <f ca="1">_xll.HLV5r3.Analytics.Miscellaneous.Zero2DF(_xll.HLV5r3.Analytics.Miscellaneous.LinearInterp(Peturbed_QZ,$K128,1,AK$1),ZeroCompFreq,'PDH Calc'!$K128/365)</f>
        <v>1</v>
      </c>
    </row>
    <row r="129" spans="1:37">
      <c r="A129" s="4"/>
      <c r="B129" s="6"/>
      <c r="F129" s="11"/>
      <c r="G129" s="6"/>
      <c r="H129" s="20"/>
      <c r="I129" s="21"/>
      <c r="J129" s="26"/>
      <c r="K129" s="6">
        <f t="shared" ca="1" si="8"/>
        <v>0</v>
      </c>
      <c r="L129" s="8">
        <f ca="1">_xll.HLV5r3.Analytics.Miscellaneous.Zero2DF(_xll.HLV5r3.Analytics.Miscellaneous.LinearInterp(Peturbed_QZ,$K129,1,L$1),ZeroCompFreq,'PDH Calc'!$K129/365)</f>
        <v>1</v>
      </c>
      <c r="M129" s="8">
        <f ca="1">_xll.HLV5r3.Analytics.Miscellaneous.Zero2DF(_xll.HLV5r3.Analytics.Miscellaneous.LinearInterp(Peturbed_QZ,$K129,1,M$1),ZeroCompFreq,'PDH Calc'!$K129/365)</f>
        <v>1</v>
      </c>
      <c r="N129" s="8">
        <f ca="1">_xll.HLV5r3.Analytics.Miscellaneous.Zero2DF(_xll.HLV5r3.Analytics.Miscellaneous.LinearInterp(Peturbed_QZ,$K129,1,N$1),ZeroCompFreq,'PDH Calc'!$K129/365)</f>
        <v>1</v>
      </c>
      <c r="O129" s="8">
        <f ca="1">_xll.HLV5r3.Analytics.Miscellaneous.Zero2DF(_xll.HLV5r3.Analytics.Miscellaneous.LinearInterp(Peturbed_QZ,$K129,1,O$1),ZeroCompFreq,'PDH Calc'!$K129/365)</f>
        <v>1</v>
      </c>
      <c r="P129" s="8">
        <f ca="1">_xll.HLV5r3.Analytics.Miscellaneous.Zero2DF(_xll.HLV5r3.Analytics.Miscellaneous.LinearInterp(Peturbed_QZ,$K129,1,P$1),ZeroCompFreq,'PDH Calc'!$K129/365)</f>
        <v>1</v>
      </c>
      <c r="Q129" s="8">
        <f ca="1">_xll.HLV5r3.Analytics.Miscellaneous.Zero2DF(_xll.HLV5r3.Analytics.Miscellaneous.LinearInterp(Peturbed_QZ,$K129,1,Q$1),ZeroCompFreq,'PDH Calc'!$K129/365)</f>
        <v>1</v>
      </c>
      <c r="R129" s="8">
        <f ca="1">_xll.HLV5r3.Analytics.Miscellaneous.Zero2DF(_xll.HLV5r3.Analytics.Miscellaneous.LinearInterp(Peturbed_QZ,$K129,1,R$1),ZeroCompFreq,'PDH Calc'!$K129/365)</f>
        <v>1</v>
      </c>
      <c r="S129" s="8">
        <f ca="1">_xll.HLV5r3.Analytics.Miscellaneous.Zero2DF(_xll.HLV5r3.Analytics.Miscellaneous.LinearInterp(Peturbed_QZ,$K129,1,S$1),ZeroCompFreq,'PDH Calc'!$K129/365)</f>
        <v>1</v>
      </c>
      <c r="T129" s="8">
        <f ca="1">_xll.HLV5r3.Analytics.Miscellaneous.Zero2DF(_xll.HLV5r3.Analytics.Miscellaneous.LinearInterp(Peturbed_QZ,$K129,1,T$1),ZeroCompFreq,'PDH Calc'!$K129/365)</f>
        <v>1</v>
      </c>
      <c r="U129" s="8">
        <f ca="1">_xll.HLV5r3.Analytics.Miscellaneous.Zero2DF(_xll.HLV5r3.Analytics.Miscellaneous.LinearInterp(Peturbed_QZ,$K129,1,U$1),ZeroCompFreq,'PDH Calc'!$K129/365)</f>
        <v>1</v>
      </c>
      <c r="V129" s="8">
        <f ca="1">_xll.HLV5r3.Analytics.Miscellaneous.Zero2DF(_xll.HLV5r3.Analytics.Miscellaneous.LinearInterp(Peturbed_QZ,$K129,1,V$1),ZeroCompFreq,'PDH Calc'!$K129/365)</f>
        <v>1</v>
      </c>
      <c r="W129" s="8">
        <f ca="1">_xll.HLV5r3.Analytics.Miscellaneous.Zero2DF(_xll.HLV5r3.Analytics.Miscellaneous.LinearInterp(Peturbed_QZ,$K129,1,W$1),ZeroCompFreq,'PDH Calc'!$K129/365)</f>
        <v>1</v>
      </c>
      <c r="X129" s="8">
        <f ca="1">_xll.HLV5r3.Analytics.Miscellaneous.Zero2DF(_xll.HLV5r3.Analytics.Miscellaneous.LinearInterp(Peturbed_QZ,$K129,1,X$1),ZeroCompFreq,'PDH Calc'!$K129/365)</f>
        <v>1</v>
      </c>
      <c r="Y129" s="8">
        <f ca="1">_xll.HLV5r3.Analytics.Miscellaneous.Zero2DF(_xll.HLV5r3.Analytics.Miscellaneous.LinearInterp(Peturbed_QZ,$K129,1,Y$1),ZeroCompFreq,'PDH Calc'!$K129/365)</f>
        <v>1</v>
      </c>
      <c r="Z129" s="8">
        <f ca="1">_xll.HLV5r3.Analytics.Miscellaneous.Zero2DF(_xll.HLV5r3.Analytics.Miscellaneous.LinearInterp(Peturbed_QZ,$K129,1,Z$1),ZeroCompFreq,'PDH Calc'!$K129/365)</f>
        <v>1</v>
      </c>
      <c r="AA129" s="8">
        <f ca="1">_xll.HLV5r3.Analytics.Miscellaneous.Zero2DF(_xll.HLV5r3.Analytics.Miscellaneous.LinearInterp(Peturbed_QZ,$K129,1,AA$1),ZeroCompFreq,'PDH Calc'!$K129/365)</f>
        <v>1</v>
      </c>
      <c r="AB129" s="8">
        <f ca="1">_xll.HLV5r3.Analytics.Miscellaneous.Zero2DF(_xll.HLV5r3.Analytics.Miscellaneous.LinearInterp(Peturbed_QZ,$K129,1,AB$1),ZeroCompFreq,'PDH Calc'!$K129/365)</f>
        <v>1</v>
      </c>
      <c r="AC129" s="8">
        <f ca="1">_xll.HLV5r3.Analytics.Miscellaneous.Zero2DF(_xll.HLV5r3.Analytics.Miscellaneous.LinearInterp(Peturbed_QZ,$K129,1,AC$1),ZeroCompFreq,'PDH Calc'!$K129/365)</f>
        <v>1</v>
      </c>
      <c r="AD129" s="8">
        <f ca="1">_xll.HLV5r3.Analytics.Miscellaneous.Zero2DF(_xll.HLV5r3.Analytics.Miscellaneous.LinearInterp(Peturbed_QZ,$K129,1,AD$1),ZeroCompFreq,'PDH Calc'!$K129/365)</f>
        <v>1</v>
      </c>
      <c r="AE129" s="8">
        <f ca="1">_xll.HLV5r3.Analytics.Miscellaneous.Zero2DF(_xll.HLV5r3.Analytics.Miscellaneous.LinearInterp(Peturbed_QZ,$K129,1,AE$1),ZeroCompFreq,'PDH Calc'!$K129/365)</f>
        <v>1</v>
      </c>
      <c r="AF129" s="8">
        <f ca="1">_xll.HLV5r3.Analytics.Miscellaneous.Zero2DF(_xll.HLV5r3.Analytics.Miscellaneous.LinearInterp(Peturbed_QZ,$K129,1,AF$1),ZeroCompFreq,'PDH Calc'!$K129/365)</f>
        <v>1</v>
      </c>
      <c r="AG129" s="8">
        <f ca="1">_xll.HLV5r3.Analytics.Miscellaneous.Zero2DF(_xll.HLV5r3.Analytics.Miscellaneous.LinearInterp(Peturbed_QZ,$K129,1,AG$1),ZeroCompFreq,'PDH Calc'!$K129/365)</f>
        <v>1</v>
      </c>
      <c r="AH129" s="8">
        <f ca="1">_xll.HLV5r3.Analytics.Miscellaneous.Zero2DF(_xll.HLV5r3.Analytics.Miscellaneous.LinearInterp(Peturbed_QZ,$K129,1,AH$1),ZeroCompFreq,'PDH Calc'!$K129/365)</f>
        <v>1</v>
      </c>
      <c r="AI129" s="8">
        <f ca="1">_xll.HLV5r3.Analytics.Miscellaneous.Zero2DF(_xll.HLV5r3.Analytics.Miscellaneous.LinearInterp(Peturbed_QZ,$K129,1,AI$1),ZeroCompFreq,'PDH Calc'!$K129/365)</f>
        <v>1</v>
      </c>
      <c r="AJ129" s="8">
        <f ca="1">_xll.HLV5r3.Analytics.Miscellaneous.Zero2DF(_xll.HLV5r3.Analytics.Miscellaneous.LinearInterp(Peturbed_QZ,$K129,1,AJ$1),ZeroCompFreq,'PDH Calc'!$K129/365)</f>
        <v>1</v>
      </c>
      <c r="AK129" s="8">
        <f ca="1">_xll.HLV5r3.Analytics.Miscellaneous.Zero2DF(_xll.HLV5r3.Analytics.Miscellaneous.LinearInterp(Peturbed_QZ,$K129,1,AK$1),ZeroCompFreq,'PDH Calc'!$K129/365)</f>
        <v>1</v>
      </c>
    </row>
    <row r="130" spans="1:37">
      <c r="A130" s="4"/>
      <c r="B130" s="6"/>
      <c r="F130" s="11"/>
      <c r="G130" s="6"/>
      <c r="H130" s="20"/>
      <c r="I130" s="21"/>
      <c r="J130" s="26"/>
      <c r="K130" s="6">
        <f t="shared" ca="1" si="8"/>
        <v>0</v>
      </c>
      <c r="L130" s="8">
        <f ca="1">_xll.HLV5r3.Analytics.Miscellaneous.Zero2DF(_xll.HLV5r3.Analytics.Miscellaneous.LinearInterp(Peturbed_QZ,$K130,1,L$1),ZeroCompFreq,'PDH Calc'!$K130/365)</f>
        <v>1</v>
      </c>
      <c r="M130" s="8">
        <f ca="1">_xll.HLV5r3.Analytics.Miscellaneous.Zero2DF(_xll.HLV5r3.Analytics.Miscellaneous.LinearInterp(Peturbed_QZ,$K130,1,M$1),ZeroCompFreq,'PDH Calc'!$K130/365)</f>
        <v>1</v>
      </c>
      <c r="N130" s="8">
        <f ca="1">_xll.HLV5r3.Analytics.Miscellaneous.Zero2DF(_xll.HLV5r3.Analytics.Miscellaneous.LinearInterp(Peturbed_QZ,$K130,1,N$1),ZeroCompFreq,'PDH Calc'!$K130/365)</f>
        <v>1</v>
      </c>
      <c r="O130" s="8">
        <f ca="1">_xll.HLV5r3.Analytics.Miscellaneous.Zero2DF(_xll.HLV5r3.Analytics.Miscellaneous.LinearInterp(Peturbed_QZ,$K130,1,O$1),ZeroCompFreq,'PDH Calc'!$K130/365)</f>
        <v>1</v>
      </c>
      <c r="P130" s="8">
        <f ca="1">_xll.HLV5r3.Analytics.Miscellaneous.Zero2DF(_xll.HLV5r3.Analytics.Miscellaneous.LinearInterp(Peturbed_QZ,$K130,1,P$1),ZeroCompFreq,'PDH Calc'!$K130/365)</f>
        <v>1</v>
      </c>
      <c r="Q130" s="8">
        <f ca="1">_xll.HLV5r3.Analytics.Miscellaneous.Zero2DF(_xll.HLV5r3.Analytics.Miscellaneous.LinearInterp(Peturbed_QZ,$K130,1,Q$1),ZeroCompFreq,'PDH Calc'!$K130/365)</f>
        <v>1</v>
      </c>
      <c r="R130" s="8">
        <f ca="1">_xll.HLV5r3.Analytics.Miscellaneous.Zero2DF(_xll.HLV5r3.Analytics.Miscellaneous.LinearInterp(Peturbed_QZ,$K130,1,R$1),ZeroCompFreq,'PDH Calc'!$K130/365)</f>
        <v>1</v>
      </c>
      <c r="S130" s="8">
        <f ca="1">_xll.HLV5r3.Analytics.Miscellaneous.Zero2DF(_xll.HLV5r3.Analytics.Miscellaneous.LinearInterp(Peturbed_QZ,$K130,1,S$1),ZeroCompFreq,'PDH Calc'!$K130/365)</f>
        <v>1</v>
      </c>
      <c r="T130" s="8">
        <f ca="1">_xll.HLV5r3.Analytics.Miscellaneous.Zero2DF(_xll.HLV5r3.Analytics.Miscellaneous.LinearInterp(Peturbed_QZ,$K130,1,T$1),ZeroCompFreq,'PDH Calc'!$K130/365)</f>
        <v>1</v>
      </c>
      <c r="U130" s="8">
        <f ca="1">_xll.HLV5r3.Analytics.Miscellaneous.Zero2DF(_xll.HLV5r3.Analytics.Miscellaneous.LinearInterp(Peturbed_QZ,$K130,1,U$1),ZeroCompFreq,'PDH Calc'!$K130/365)</f>
        <v>1</v>
      </c>
      <c r="V130" s="8">
        <f ca="1">_xll.HLV5r3.Analytics.Miscellaneous.Zero2DF(_xll.HLV5r3.Analytics.Miscellaneous.LinearInterp(Peturbed_QZ,$K130,1,V$1),ZeroCompFreq,'PDH Calc'!$K130/365)</f>
        <v>1</v>
      </c>
      <c r="W130" s="8">
        <f ca="1">_xll.HLV5r3.Analytics.Miscellaneous.Zero2DF(_xll.HLV5r3.Analytics.Miscellaneous.LinearInterp(Peturbed_QZ,$K130,1,W$1),ZeroCompFreq,'PDH Calc'!$K130/365)</f>
        <v>1</v>
      </c>
      <c r="X130" s="8">
        <f ca="1">_xll.HLV5r3.Analytics.Miscellaneous.Zero2DF(_xll.HLV5r3.Analytics.Miscellaneous.LinearInterp(Peturbed_QZ,$K130,1,X$1),ZeroCompFreq,'PDH Calc'!$K130/365)</f>
        <v>1</v>
      </c>
      <c r="Y130" s="8">
        <f ca="1">_xll.HLV5r3.Analytics.Miscellaneous.Zero2DF(_xll.HLV5r3.Analytics.Miscellaneous.LinearInterp(Peturbed_QZ,$K130,1,Y$1),ZeroCompFreq,'PDH Calc'!$K130/365)</f>
        <v>1</v>
      </c>
      <c r="Z130" s="8">
        <f ca="1">_xll.HLV5r3.Analytics.Miscellaneous.Zero2DF(_xll.HLV5r3.Analytics.Miscellaneous.LinearInterp(Peturbed_QZ,$K130,1,Z$1),ZeroCompFreq,'PDH Calc'!$K130/365)</f>
        <v>1</v>
      </c>
      <c r="AA130" s="8">
        <f ca="1">_xll.HLV5r3.Analytics.Miscellaneous.Zero2DF(_xll.HLV5r3.Analytics.Miscellaneous.LinearInterp(Peturbed_QZ,$K130,1,AA$1),ZeroCompFreq,'PDH Calc'!$K130/365)</f>
        <v>1</v>
      </c>
      <c r="AB130" s="8">
        <f ca="1">_xll.HLV5r3.Analytics.Miscellaneous.Zero2DF(_xll.HLV5r3.Analytics.Miscellaneous.LinearInterp(Peturbed_QZ,$K130,1,AB$1),ZeroCompFreq,'PDH Calc'!$K130/365)</f>
        <v>1</v>
      </c>
      <c r="AC130" s="8">
        <f ca="1">_xll.HLV5r3.Analytics.Miscellaneous.Zero2DF(_xll.HLV5r3.Analytics.Miscellaneous.LinearInterp(Peturbed_QZ,$K130,1,AC$1),ZeroCompFreq,'PDH Calc'!$K130/365)</f>
        <v>1</v>
      </c>
      <c r="AD130" s="8">
        <f ca="1">_xll.HLV5r3.Analytics.Miscellaneous.Zero2DF(_xll.HLV5r3.Analytics.Miscellaneous.LinearInterp(Peturbed_QZ,$K130,1,AD$1),ZeroCompFreq,'PDH Calc'!$K130/365)</f>
        <v>1</v>
      </c>
      <c r="AE130" s="8">
        <f ca="1">_xll.HLV5r3.Analytics.Miscellaneous.Zero2DF(_xll.HLV5r3.Analytics.Miscellaneous.LinearInterp(Peturbed_QZ,$K130,1,AE$1),ZeroCompFreq,'PDH Calc'!$K130/365)</f>
        <v>1</v>
      </c>
      <c r="AF130" s="8">
        <f ca="1">_xll.HLV5r3.Analytics.Miscellaneous.Zero2DF(_xll.HLV5r3.Analytics.Miscellaneous.LinearInterp(Peturbed_QZ,$K130,1,AF$1),ZeroCompFreq,'PDH Calc'!$K130/365)</f>
        <v>1</v>
      </c>
      <c r="AG130" s="8">
        <f ca="1">_xll.HLV5r3.Analytics.Miscellaneous.Zero2DF(_xll.HLV5r3.Analytics.Miscellaneous.LinearInterp(Peturbed_QZ,$K130,1,AG$1),ZeroCompFreq,'PDH Calc'!$K130/365)</f>
        <v>1</v>
      </c>
      <c r="AH130" s="8">
        <f ca="1">_xll.HLV5r3.Analytics.Miscellaneous.Zero2DF(_xll.HLV5r3.Analytics.Miscellaneous.LinearInterp(Peturbed_QZ,$K130,1,AH$1),ZeroCompFreq,'PDH Calc'!$K130/365)</f>
        <v>1</v>
      </c>
      <c r="AI130" s="8">
        <f ca="1">_xll.HLV5r3.Analytics.Miscellaneous.Zero2DF(_xll.HLV5r3.Analytics.Miscellaneous.LinearInterp(Peturbed_QZ,$K130,1,AI$1),ZeroCompFreq,'PDH Calc'!$K130/365)</f>
        <v>1</v>
      </c>
      <c r="AJ130" s="8">
        <f ca="1">_xll.HLV5r3.Analytics.Miscellaneous.Zero2DF(_xll.HLV5r3.Analytics.Miscellaneous.LinearInterp(Peturbed_QZ,$K130,1,AJ$1),ZeroCompFreq,'PDH Calc'!$K130/365)</f>
        <v>1</v>
      </c>
      <c r="AK130" s="8">
        <f ca="1">_xll.HLV5r3.Analytics.Miscellaneous.Zero2DF(_xll.HLV5r3.Analytics.Miscellaneous.LinearInterp(Peturbed_QZ,$K130,1,AK$1),ZeroCompFreq,'PDH Calc'!$K130/365)</f>
        <v>1</v>
      </c>
    </row>
    <row r="131" spans="1:37">
      <c r="A131" s="4"/>
      <c r="B131" s="6"/>
      <c r="F131" s="11"/>
      <c r="G131" s="6"/>
      <c r="H131" s="20"/>
      <c r="I131" s="21"/>
      <c r="J131" s="26"/>
      <c r="K131" s="6">
        <f t="shared" ca="1" si="8"/>
        <v>0</v>
      </c>
      <c r="L131" s="8">
        <f ca="1">_xll.HLV5r3.Analytics.Miscellaneous.Zero2DF(_xll.HLV5r3.Analytics.Miscellaneous.LinearInterp(Peturbed_QZ,$K131,1,L$1),ZeroCompFreq,'PDH Calc'!$K131/365)</f>
        <v>1</v>
      </c>
      <c r="M131" s="8">
        <f ca="1">_xll.HLV5r3.Analytics.Miscellaneous.Zero2DF(_xll.HLV5r3.Analytics.Miscellaneous.LinearInterp(Peturbed_QZ,$K131,1,M$1),ZeroCompFreq,'PDH Calc'!$K131/365)</f>
        <v>1</v>
      </c>
      <c r="N131" s="8">
        <f ca="1">_xll.HLV5r3.Analytics.Miscellaneous.Zero2DF(_xll.HLV5r3.Analytics.Miscellaneous.LinearInterp(Peturbed_QZ,$K131,1,N$1),ZeroCompFreq,'PDH Calc'!$K131/365)</f>
        <v>1</v>
      </c>
      <c r="O131" s="8">
        <f ca="1">_xll.HLV5r3.Analytics.Miscellaneous.Zero2DF(_xll.HLV5r3.Analytics.Miscellaneous.LinearInterp(Peturbed_QZ,$K131,1,O$1),ZeroCompFreq,'PDH Calc'!$K131/365)</f>
        <v>1</v>
      </c>
      <c r="P131" s="8">
        <f ca="1">_xll.HLV5r3.Analytics.Miscellaneous.Zero2DF(_xll.HLV5r3.Analytics.Miscellaneous.LinearInterp(Peturbed_QZ,$K131,1,P$1),ZeroCompFreq,'PDH Calc'!$K131/365)</f>
        <v>1</v>
      </c>
      <c r="Q131" s="8">
        <f ca="1">_xll.HLV5r3.Analytics.Miscellaneous.Zero2DF(_xll.HLV5r3.Analytics.Miscellaneous.LinearInterp(Peturbed_QZ,$K131,1,Q$1),ZeroCompFreq,'PDH Calc'!$K131/365)</f>
        <v>1</v>
      </c>
      <c r="R131" s="8">
        <f ca="1">_xll.HLV5r3.Analytics.Miscellaneous.Zero2DF(_xll.HLV5r3.Analytics.Miscellaneous.LinearInterp(Peturbed_QZ,$K131,1,R$1),ZeroCompFreq,'PDH Calc'!$K131/365)</f>
        <v>1</v>
      </c>
      <c r="S131" s="8">
        <f ca="1">_xll.HLV5r3.Analytics.Miscellaneous.Zero2DF(_xll.HLV5r3.Analytics.Miscellaneous.LinearInterp(Peturbed_QZ,$K131,1,S$1),ZeroCompFreq,'PDH Calc'!$K131/365)</f>
        <v>1</v>
      </c>
      <c r="T131" s="8">
        <f ca="1">_xll.HLV5r3.Analytics.Miscellaneous.Zero2DF(_xll.HLV5r3.Analytics.Miscellaneous.LinearInterp(Peturbed_QZ,$K131,1,T$1),ZeroCompFreq,'PDH Calc'!$K131/365)</f>
        <v>1</v>
      </c>
      <c r="U131" s="8">
        <f ca="1">_xll.HLV5r3.Analytics.Miscellaneous.Zero2DF(_xll.HLV5r3.Analytics.Miscellaneous.LinearInterp(Peturbed_QZ,$K131,1,U$1),ZeroCompFreq,'PDH Calc'!$K131/365)</f>
        <v>1</v>
      </c>
      <c r="V131" s="8">
        <f ca="1">_xll.HLV5r3.Analytics.Miscellaneous.Zero2DF(_xll.HLV5r3.Analytics.Miscellaneous.LinearInterp(Peturbed_QZ,$K131,1,V$1),ZeroCompFreq,'PDH Calc'!$K131/365)</f>
        <v>1</v>
      </c>
      <c r="W131" s="8">
        <f ca="1">_xll.HLV5r3.Analytics.Miscellaneous.Zero2DF(_xll.HLV5r3.Analytics.Miscellaneous.LinearInterp(Peturbed_QZ,$K131,1,W$1),ZeroCompFreq,'PDH Calc'!$K131/365)</f>
        <v>1</v>
      </c>
      <c r="X131" s="8">
        <f ca="1">_xll.HLV5r3.Analytics.Miscellaneous.Zero2DF(_xll.HLV5r3.Analytics.Miscellaneous.LinearInterp(Peturbed_QZ,$K131,1,X$1),ZeroCompFreq,'PDH Calc'!$K131/365)</f>
        <v>1</v>
      </c>
      <c r="Y131" s="8">
        <f ca="1">_xll.HLV5r3.Analytics.Miscellaneous.Zero2DF(_xll.HLV5r3.Analytics.Miscellaneous.LinearInterp(Peturbed_QZ,$K131,1,Y$1),ZeroCompFreq,'PDH Calc'!$K131/365)</f>
        <v>1</v>
      </c>
      <c r="Z131" s="8">
        <f ca="1">_xll.HLV5r3.Analytics.Miscellaneous.Zero2DF(_xll.HLV5r3.Analytics.Miscellaneous.LinearInterp(Peturbed_QZ,$K131,1,Z$1),ZeroCompFreq,'PDH Calc'!$K131/365)</f>
        <v>1</v>
      </c>
      <c r="AA131" s="8">
        <f ca="1">_xll.HLV5r3.Analytics.Miscellaneous.Zero2DF(_xll.HLV5r3.Analytics.Miscellaneous.LinearInterp(Peturbed_QZ,$K131,1,AA$1),ZeroCompFreq,'PDH Calc'!$K131/365)</f>
        <v>1</v>
      </c>
      <c r="AB131" s="8">
        <f ca="1">_xll.HLV5r3.Analytics.Miscellaneous.Zero2DF(_xll.HLV5r3.Analytics.Miscellaneous.LinearInterp(Peturbed_QZ,$K131,1,AB$1),ZeroCompFreq,'PDH Calc'!$K131/365)</f>
        <v>1</v>
      </c>
      <c r="AC131" s="8">
        <f ca="1">_xll.HLV5r3.Analytics.Miscellaneous.Zero2DF(_xll.HLV5r3.Analytics.Miscellaneous.LinearInterp(Peturbed_QZ,$K131,1,AC$1),ZeroCompFreq,'PDH Calc'!$K131/365)</f>
        <v>1</v>
      </c>
      <c r="AD131" s="8">
        <f ca="1">_xll.HLV5r3.Analytics.Miscellaneous.Zero2DF(_xll.HLV5r3.Analytics.Miscellaneous.LinearInterp(Peturbed_QZ,$K131,1,AD$1),ZeroCompFreq,'PDH Calc'!$K131/365)</f>
        <v>1</v>
      </c>
      <c r="AE131" s="8">
        <f ca="1">_xll.HLV5r3.Analytics.Miscellaneous.Zero2DF(_xll.HLV5r3.Analytics.Miscellaneous.LinearInterp(Peturbed_QZ,$K131,1,AE$1),ZeroCompFreq,'PDH Calc'!$K131/365)</f>
        <v>1</v>
      </c>
      <c r="AF131" s="8">
        <f ca="1">_xll.HLV5r3.Analytics.Miscellaneous.Zero2DF(_xll.HLV5r3.Analytics.Miscellaneous.LinearInterp(Peturbed_QZ,$K131,1,AF$1),ZeroCompFreq,'PDH Calc'!$K131/365)</f>
        <v>1</v>
      </c>
      <c r="AG131" s="8">
        <f ca="1">_xll.HLV5r3.Analytics.Miscellaneous.Zero2DF(_xll.HLV5r3.Analytics.Miscellaneous.LinearInterp(Peturbed_QZ,$K131,1,AG$1),ZeroCompFreq,'PDH Calc'!$K131/365)</f>
        <v>1</v>
      </c>
      <c r="AH131" s="8">
        <f ca="1">_xll.HLV5r3.Analytics.Miscellaneous.Zero2DF(_xll.HLV5r3.Analytics.Miscellaneous.LinearInterp(Peturbed_QZ,$K131,1,AH$1),ZeroCompFreq,'PDH Calc'!$K131/365)</f>
        <v>1</v>
      </c>
      <c r="AI131" s="8">
        <f ca="1">_xll.HLV5r3.Analytics.Miscellaneous.Zero2DF(_xll.HLV5r3.Analytics.Miscellaneous.LinearInterp(Peturbed_QZ,$K131,1,AI$1),ZeroCompFreq,'PDH Calc'!$K131/365)</f>
        <v>1</v>
      </c>
      <c r="AJ131" s="8">
        <f ca="1">_xll.HLV5r3.Analytics.Miscellaneous.Zero2DF(_xll.HLV5r3.Analytics.Miscellaneous.LinearInterp(Peturbed_QZ,$K131,1,AJ$1),ZeroCompFreq,'PDH Calc'!$K131/365)</f>
        <v>1</v>
      </c>
      <c r="AK131" s="8">
        <f ca="1">_xll.HLV5r3.Analytics.Miscellaneous.Zero2DF(_xll.HLV5r3.Analytics.Miscellaneous.LinearInterp(Peturbed_QZ,$K131,1,AK$1),ZeroCompFreq,'PDH Calc'!$K131/365)</f>
        <v>1</v>
      </c>
    </row>
    <row r="132" spans="1:37">
      <c r="A132" s="4"/>
      <c r="B132" s="6"/>
      <c r="F132" s="11"/>
      <c r="G132" s="6"/>
      <c r="H132" s="20"/>
      <c r="I132" s="21"/>
      <c r="J132" s="26"/>
      <c r="K132" s="6">
        <f t="shared" ca="1" si="8"/>
        <v>0</v>
      </c>
      <c r="L132" s="8">
        <f ca="1">_xll.HLV5r3.Analytics.Miscellaneous.Zero2DF(_xll.HLV5r3.Analytics.Miscellaneous.LinearInterp(Peturbed_QZ,$K132,1,L$1),ZeroCompFreq,'PDH Calc'!$K132/365)</f>
        <v>1</v>
      </c>
      <c r="M132" s="8">
        <f ca="1">_xll.HLV5r3.Analytics.Miscellaneous.Zero2DF(_xll.HLV5r3.Analytics.Miscellaneous.LinearInterp(Peturbed_QZ,$K132,1,M$1),ZeroCompFreq,'PDH Calc'!$K132/365)</f>
        <v>1</v>
      </c>
      <c r="N132" s="8">
        <f ca="1">_xll.HLV5r3.Analytics.Miscellaneous.Zero2DF(_xll.HLV5r3.Analytics.Miscellaneous.LinearInterp(Peturbed_QZ,$K132,1,N$1),ZeroCompFreq,'PDH Calc'!$K132/365)</f>
        <v>1</v>
      </c>
      <c r="O132" s="8">
        <f ca="1">_xll.HLV5r3.Analytics.Miscellaneous.Zero2DF(_xll.HLV5r3.Analytics.Miscellaneous.LinearInterp(Peturbed_QZ,$K132,1,O$1),ZeroCompFreq,'PDH Calc'!$K132/365)</f>
        <v>1</v>
      </c>
      <c r="P132" s="8">
        <f ca="1">_xll.HLV5r3.Analytics.Miscellaneous.Zero2DF(_xll.HLV5r3.Analytics.Miscellaneous.LinearInterp(Peturbed_QZ,$K132,1,P$1),ZeroCompFreq,'PDH Calc'!$K132/365)</f>
        <v>1</v>
      </c>
      <c r="Q132" s="8">
        <f ca="1">_xll.HLV5r3.Analytics.Miscellaneous.Zero2DF(_xll.HLV5r3.Analytics.Miscellaneous.LinearInterp(Peturbed_QZ,$K132,1,Q$1),ZeroCompFreq,'PDH Calc'!$K132/365)</f>
        <v>1</v>
      </c>
      <c r="R132" s="8">
        <f ca="1">_xll.HLV5r3.Analytics.Miscellaneous.Zero2DF(_xll.HLV5r3.Analytics.Miscellaneous.LinearInterp(Peturbed_QZ,$K132,1,R$1),ZeroCompFreq,'PDH Calc'!$K132/365)</f>
        <v>1</v>
      </c>
      <c r="S132" s="8">
        <f ca="1">_xll.HLV5r3.Analytics.Miscellaneous.Zero2DF(_xll.HLV5r3.Analytics.Miscellaneous.LinearInterp(Peturbed_QZ,$K132,1,S$1),ZeroCompFreq,'PDH Calc'!$K132/365)</f>
        <v>1</v>
      </c>
      <c r="T132" s="8">
        <f ca="1">_xll.HLV5r3.Analytics.Miscellaneous.Zero2DF(_xll.HLV5r3.Analytics.Miscellaneous.LinearInterp(Peturbed_QZ,$K132,1,T$1),ZeroCompFreq,'PDH Calc'!$K132/365)</f>
        <v>1</v>
      </c>
      <c r="U132" s="8">
        <f ca="1">_xll.HLV5r3.Analytics.Miscellaneous.Zero2DF(_xll.HLV5r3.Analytics.Miscellaneous.LinearInterp(Peturbed_QZ,$K132,1,U$1),ZeroCompFreq,'PDH Calc'!$K132/365)</f>
        <v>1</v>
      </c>
      <c r="V132" s="8">
        <f ca="1">_xll.HLV5r3.Analytics.Miscellaneous.Zero2DF(_xll.HLV5r3.Analytics.Miscellaneous.LinearInterp(Peturbed_QZ,$K132,1,V$1),ZeroCompFreq,'PDH Calc'!$K132/365)</f>
        <v>1</v>
      </c>
      <c r="W132" s="8">
        <f ca="1">_xll.HLV5r3.Analytics.Miscellaneous.Zero2DF(_xll.HLV5r3.Analytics.Miscellaneous.LinearInterp(Peturbed_QZ,$K132,1,W$1),ZeroCompFreq,'PDH Calc'!$K132/365)</f>
        <v>1</v>
      </c>
      <c r="X132" s="8">
        <f ca="1">_xll.HLV5r3.Analytics.Miscellaneous.Zero2DF(_xll.HLV5r3.Analytics.Miscellaneous.LinearInterp(Peturbed_QZ,$K132,1,X$1),ZeroCompFreq,'PDH Calc'!$K132/365)</f>
        <v>1</v>
      </c>
      <c r="Y132" s="8">
        <f ca="1">_xll.HLV5r3.Analytics.Miscellaneous.Zero2DF(_xll.HLV5r3.Analytics.Miscellaneous.LinearInterp(Peturbed_QZ,$K132,1,Y$1),ZeroCompFreq,'PDH Calc'!$K132/365)</f>
        <v>1</v>
      </c>
      <c r="Z132" s="8">
        <f ca="1">_xll.HLV5r3.Analytics.Miscellaneous.Zero2DF(_xll.HLV5r3.Analytics.Miscellaneous.LinearInterp(Peturbed_QZ,$K132,1,Z$1),ZeroCompFreq,'PDH Calc'!$K132/365)</f>
        <v>1</v>
      </c>
      <c r="AA132" s="8">
        <f ca="1">_xll.HLV5r3.Analytics.Miscellaneous.Zero2DF(_xll.HLV5r3.Analytics.Miscellaneous.LinearInterp(Peturbed_QZ,$K132,1,AA$1),ZeroCompFreq,'PDH Calc'!$K132/365)</f>
        <v>1</v>
      </c>
      <c r="AB132" s="8">
        <f ca="1">_xll.HLV5r3.Analytics.Miscellaneous.Zero2DF(_xll.HLV5r3.Analytics.Miscellaneous.LinearInterp(Peturbed_QZ,$K132,1,AB$1),ZeroCompFreq,'PDH Calc'!$K132/365)</f>
        <v>1</v>
      </c>
      <c r="AC132" s="8">
        <f ca="1">_xll.HLV5r3.Analytics.Miscellaneous.Zero2DF(_xll.HLV5r3.Analytics.Miscellaneous.LinearInterp(Peturbed_QZ,$K132,1,AC$1),ZeroCompFreq,'PDH Calc'!$K132/365)</f>
        <v>1</v>
      </c>
      <c r="AD132" s="8">
        <f ca="1">_xll.HLV5r3.Analytics.Miscellaneous.Zero2DF(_xll.HLV5r3.Analytics.Miscellaneous.LinearInterp(Peturbed_QZ,$K132,1,AD$1),ZeroCompFreq,'PDH Calc'!$K132/365)</f>
        <v>1</v>
      </c>
      <c r="AE132" s="8">
        <f ca="1">_xll.HLV5r3.Analytics.Miscellaneous.Zero2DF(_xll.HLV5r3.Analytics.Miscellaneous.LinearInterp(Peturbed_QZ,$K132,1,AE$1),ZeroCompFreq,'PDH Calc'!$K132/365)</f>
        <v>1</v>
      </c>
      <c r="AF132" s="8">
        <f ca="1">_xll.HLV5r3.Analytics.Miscellaneous.Zero2DF(_xll.HLV5r3.Analytics.Miscellaneous.LinearInterp(Peturbed_QZ,$K132,1,AF$1),ZeroCompFreq,'PDH Calc'!$K132/365)</f>
        <v>1</v>
      </c>
      <c r="AG132" s="8">
        <f ca="1">_xll.HLV5r3.Analytics.Miscellaneous.Zero2DF(_xll.HLV5r3.Analytics.Miscellaneous.LinearInterp(Peturbed_QZ,$K132,1,AG$1),ZeroCompFreq,'PDH Calc'!$K132/365)</f>
        <v>1</v>
      </c>
      <c r="AH132" s="8">
        <f ca="1">_xll.HLV5r3.Analytics.Miscellaneous.Zero2DF(_xll.HLV5r3.Analytics.Miscellaneous.LinearInterp(Peturbed_QZ,$K132,1,AH$1),ZeroCompFreq,'PDH Calc'!$K132/365)</f>
        <v>1</v>
      </c>
      <c r="AI132" s="8">
        <f ca="1">_xll.HLV5r3.Analytics.Miscellaneous.Zero2DF(_xll.HLV5r3.Analytics.Miscellaneous.LinearInterp(Peturbed_QZ,$K132,1,AI$1),ZeroCompFreq,'PDH Calc'!$K132/365)</f>
        <v>1</v>
      </c>
      <c r="AJ132" s="8">
        <f ca="1">_xll.HLV5r3.Analytics.Miscellaneous.Zero2DF(_xll.HLV5r3.Analytics.Miscellaneous.LinearInterp(Peturbed_QZ,$K132,1,AJ$1),ZeroCompFreq,'PDH Calc'!$K132/365)</f>
        <v>1</v>
      </c>
      <c r="AK132" s="8">
        <f ca="1">_xll.HLV5r3.Analytics.Miscellaneous.Zero2DF(_xll.HLV5r3.Analytics.Miscellaneous.LinearInterp(Peturbed_QZ,$K132,1,AK$1),ZeroCompFreq,'PDH Calc'!$K132/365)</f>
        <v>1</v>
      </c>
    </row>
    <row r="133" spans="1:37">
      <c r="A133" s="4"/>
      <c r="B133" s="6"/>
      <c r="F133" s="11"/>
      <c r="G133" s="6"/>
      <c r="H133" s="20"/>
      <c r="I133" s="21"/>
      <c r="J133" s="26"/>
      <c r="K133" s="6">
        <f t="shared" ca="1" si="8"/>
        <v>0</v>
      </c>
      <c r="L133" s="8">
        <f ca="1">_xll.HLV5r3.Analytics.Miscellaneous.Zero2DF(_xll.HLV5r3.Analytics.Miscellaneous.LinearInterp(Peturbed_QZ,$K133,1,L$1),ZeroCompFreq,'PDH Calc'!$K133/365)</f>
        <v>1</v>
      </c>
      <c r="M133" s="8">
        <f ca="1">_xll.HLV5r3.Analytics.Miscellaneous.Zero2DF(_xll.HLV5r3.Analytics.Miscellaneous.LinearInterp(Peturbed_QZ,$K133,1,M$1),ZeroCompFreq,'PDH Calc'!$K133/365)</f>
        <v>1</v>
      </c>
      <c r="N133" s="8">
        <f ca="1">_xll.HLV5r3.Analytics.Miscellaneous.Zero2DF(_xll.HLV5r3.Analytics.Miscellaneous.LinearInterp(Peturbed_QZ,$K133,1,N$1),ZeroCompFreq,'PDH Calc'!$K133/365)</f>
        <v>1</v>
      </c>
      <c r="O133" s="8">
        <f ca="1">_xll.HLV5r3.Analytics.Miscellaneous.Zero2DF(_xll.HLV5r3.Analytics.Miscellaneous.LinearInterp(Peturbed_QZ,$K133,1,O$1),ZeroCompFreq,'PDH Calc'!$K133/365)</f>
        <v>1</v>
      </c>
      <c r="P133" s="8">
        <f ca="1">_xll.HLV5r3.Analytics.Miscellaneous.Zero2DF(_xll.HLV5r3.Analytics.Miscellaneous.LinearInterp(Peturbed_QZ,$K133,1,P$1),ZeroCompFreq,'PDH Calc'!$K133/365)</f>
        <v>1</v>
      </c>
      <c r="Q133" s="8">
        <f ca="1">_xll.HLV5r3.Analytics.Miscellaneous.Zero2DF(_xll.HLV5r3.Analytics.Miscellaneous.LinearInterp(Peturbed_QZ,$K133,1,Q$1),ZeroCompFreq,'PDH Calc'!$K133/365)</f>
        <v>1</v>
      </c>
      <c r="R133" s="8">
        <f ca="1">_xll.HLV5r3.Analytics.Miscellaneous.Zero2DF(_xll.HLV5r3.Analytics.Miscellaneous.LinearInterp(Peturbed_QZ,$K133,1,R$1),ZeroCompFreq,'PDH Calc'!$K133/365)</f>
        <v>1</v>
      </c>
      <c r="S133" s="8">
        <f ca="1">_xll.HLV5r3.Analytics.Miscellaneous.Zero2DF(_xll.HLV5r3.Analytics.Miscellaneous.LinearInterp(Peturbed_QZ,$K133,1,S$1),ZeroCompFreq,'PDH Calc'!$K133/365)</f>
        <v>1</v>
      </c>
      <c r="T133" s="8">
        <f ca="1">_xll.HLV5r3.Analytics.Miscellaneous.Zero2DF(_xll.HLV5r3.Analytics.Miscellaneous.LinearInterp(Peturbed_QZ,$K133,1,T$1),ZeroCompFreq,'PDH Calc'!$K133/365)</f>
        <v>1</v>
      </c>
      <c r="U133" s="8">
        <f ca="1">_xll.HLV5r3.Analytics.Miscellaneous.Zero2DF(_xll.HLV5r3.Analytics.Miscellaneous.LinearInterp(Peturbed_QZ,$K133,1,U$1),ZeroCompFreq,'PDH Calc'!$K133/365)</f>
        <v>1</v>
      </c>
      <c r="V133" s="8">
        <f ca="1">_xll.HLV5r3.Analytics.Miscellaneous.Zero2DF(_xll.HLV5r3.Analytics.Miscellaneous.LinearInterp(Peturbed_QZ,$K133,1,V$1),ZeroCompFreq,'PDH Calc'!$K133/365)</f>
        <v>1</v>
      </c>
      <c r="W133" s="8">
        <f ca="1">_xll.HLV5r3.Analytics.Miscellaneous.Zero2DF(_xll.HLV5r3.Analytics.Miscellaneous.LinearInterp(Peturbed_QZ,$K133,1,W$1),ZeroCompFreq,'PDH Calc'!$K133/365)</f>
        <v>1</v>
      </c>
      <c r="X133" s="8">
        <f ca="1">_xll.HLV5r3.Analytics.Miscellaneous.Zero2DF(_xll.HLV5r3.Analytics.Miscellaneous.LinearInterp(Peturbed_QZ,$K133,1,X$1),ZeroCompFreq,'PDH Calc'!$K133/365)</f>
        <v>1</v>
      </c>
      <c r="Y133" s="8">
        <f ca="1">_xll.HLV5r3.Analytics.Miscellaneous.Zero2DF(_xll.HLV5r3.Analytics.Miscellaneous.LinearInterp(Peturbed_QZ,$K133,1,Y$1),ZeroCompFreq,'PDH Calc'!$K133/365)</f>
        <v>1</v>
      </c>
      <c r="Z133" s="8">
        <f ca="1">_xll.HLV5r3.Analytics.Miscellaneous.Zero2DF(_xll.HLV5r3.Analytics.Miscellaneous.LinearInterp(Peturbed_QZ,$K133,1,Z$1),ZeroCompFreq,'PDH Calc'!$K133/365)</f>
        <v>1</v>
      </c>
      <c r="AA133" s="8">
        <f ca="1">_xll.HLV5r3.Analytics.Miscellaneous.Zero2DF(_xll.HLV5r3.Analytics.Miscellaneous.LinearInterp(Peturbed_QZ,$K133,1,AA$1),ZeroCompFreq,'PDH Calc'!$K133/365)</f>
        <v>1</v>
      </c>
      <c r="AB133" s="8">
        <f ca="1">_xll.HLV5r3.Analytics.Miscellaneous.Zero2DF(_xll.HLV5r3.Analytics.Miscellaneous.LinearInterp(Peturbed_QZ,$K133,1,AB$1),ZeroCompFreq,'PDH Calc'!$K133/365)</f>
        <v>1</v>
      </c>
      <c r="AC133" s="8">
        <f ca="1">_xll.HLV5r3.Analytics.Miscellaneous.Zero2DF(_xll.HLV5r3.Analytics.Miscellaneous.LinearInterp(Peturbed_QZ,$K133,1,AC$1),ZeroCompFreq,'PDH Calc'!$K133/365)</f>
        <v>1</v>
      </c>
      <c r="AD133" s="8">
        <f ca="1">_xll.HLV5r3.Analytics.Miscellaneous.Zero2DF(_xll.HLV5r3.Analytics.Miscellaneous.LinearInterp(Peturbed_QZ,$K133,1,AD$1),ZeroCompFreq,'PDH Calc'!$K133/365)</f>
        <v>1</v>
      </c>
      <c r="AE133" s="8">
        <f ca="1">_xll.HLV5r3.Analytics.Miscellaneous.Zero2DF(_xll.HLV5r3.Analytics.Miscellaneous.LinearInterp(Peturbed_QZ,$K133,1,AE$1),ZeroCompFreq,'PDH Calc'!$K133/365)</f>
        <v>1</v>
      </c>
      <c r="AF133" s="8">
        <f ca="1">_xll.HLV5r3.Analytics.Miscellaneous.Zero2DF(_xll.HLV5r3.Analytics.Miscellaneous.LinearInterp(Peturbed_QZ,$K133,1,AF$1),ZeroCompFreq,'PDH Calc'!$K133/365)</f>
        <v>1</v>
      </c>
      <c r="AG133" s="8">
        <f ca="1">_xll.HLV5r3.Analytics.Miscellaneous.Zero2DF(_xll.HLV5r3.Analytics.Miscellaneous.LinearInterp(Peturbed_QZ,$K133,1,AG$1),ZeroCompFreq,'PDH Calc'!$K133/365)</f>
        <v>1</v>
      </c>
      <c r="AH133" s="8">
        <f ca="1">_xll.HLV5r3.Analytics.Miscellaneous.Zero2DF(_xll.HLV5r3.Analytics.Miscellaneous.LinearInterp(Peturbed_QZ,$K133,1,AH$1),ZeroCompFreq,'PDH Calc'!$K133/365)</f>
        <v>1</v>
      </c>
      <c r="AI133" s="8">
        <f ca="1">_xll.HLV5r3.Analytics.Miscellaneous.Zero2DF(_xll.HLV5r3.Analytics.Miscellaneous.LinearInterp(Peturbed_QZ,$K133,1,AI$1),ZeroCompFreq,'PDH Calc'!$K133/365)</f>
        <v>1</v>
      </c>
      <c r="AJ133" s="8">
        <f ca="1">_xll.HLV5r3.Analytics.Miscellaneous.Zero2DF(_xll.HLV5r3.Analytics.Miscellaneous.LinearInterp(Peturbed_QZ,$K133,1,AJ$1),ZeroCompFreq,'PDH Calc'!$K133/365)</f>
        <v>1</v>
      </c>
      <c r="AK133" s="8">
        <f ca="1">_xll.HLV5r3.Analytics.Miscellaneous.Zero2DF(_xll.HLV5r3.Analytics.Miscellaneous.LinearInterp(Peturbed_QZ,$K133,1,AK$1),ZeroCompFreq,'PDH Calc'!$K133/365)</f>
        <v>1</v>
      </c>
    </row>
    <row r="134" spans="1:37">
      <c r="A134" s="4"/>
      <c r="B134" s="6"/>
      <c r="F134" s="11"/>
      <c r="G134" s="6"/>
      <c r="H134" s="20"/>
      <c r="I134" s="21"/>
      <c r="J134" s="26"/>
      <c r="K134" s="6">
        <f t="shared" ca="1" si="8"/>
        <v>0</v>
      </c>
      <c r="L134" s="8">
        <f ca="1">_xll.HLV5r3.Analytics.Miscellaneous.Zero2DF(_xll.HLV5r3.Analytics.Miscellaneous.LinearInterp(Peturbed_QZ,$K134,1,L$1),ZeroCompFreq,'PDH Calc'!$K134/365)</f>
        <v>1</v>
      </c>
      <c r="M134" s="8">
        <f ca="1">_xll.HLV5r3.Analytics.Miscellaneous.Zero2DF(_xll.HLV5r3.Analytics.Miscellaneous.LinearInterp(Peturbed_QZ,$K134,1,M$1),ZeroCompFreq,'PDH Calc'!$K134/365)</f>
        <v>1</v>
      </c>
      <c r="N134" s="8">
        <f ca="1">_xll.HLV5r3.Analytics.Miscellaneous.Zero2DF(_xll.HLV5r3.Analytics.Miscellaneous.LinearInterp(Peturbed_QZ,$K134,1,N$1),ZeroCompFreq,'PDH Calc'!$K134/365)</f>
        <v>1</v>
      </c>
      <c r="O134" s="8">
        <f ca="1">_xll.HLV5r3.Analytics.Miscellaneous.Zero2DF(_xll.HLV5r3.Analytics.Miscellaneous.LinearInterp(Peturbed_QZ,$K134,1,O$1),ZeroCompFreq,'PDH Calc'!$K134/365)</f>
        <v>1</v>
      </c>
      <c r="P134" s="8">
        <f ca="1">_xll.HLV5r3.Analytics.Miscellaneous.Zero2DF(_xll.HLV5r3.Analytics.Miscellaneous.LinearInterp(Peturbed_QZ,$K134,1,P$1),ZeroCompFreq,'PDH Calc'!$K134/365)</f>
        <v>1</v>
      </c>
      <c r="Q134" s="8">
        <f ca="1">_xll.HLV5r3.Analytics.Miscellaneous.Zero2DF(_xll.HLV5r3.Analytics.Miscellaneous.LinearInterp(Peturbed_QZ,$K134,1,Q$1),ZeroCompFreq,'PDH Calc'!$K134/365)</f>
        <v>1</v>
      </c>
      <c r="R134" s="8">
        <f ca="1">_xll.HLV5r3.Analytics.Miscellaneous.Zero2DF(_xll.HLV5r3.Analytics.Miscellaneous.LinearInterp(Peturbed_QZ,$K134,1,R$1),ZeroCompFreq,'PDH Calc'!$K134/365)</f>
        <v>1</v>
      </c>
      <c r="S134" s="8">
        <f ca="1">_xll.HLV5r3.Analytics.Miscellaneous.Zero2DF(_xll.HLV5r3.Analytics.Miscellaneous.LinearInterp(Peturbed_QZ,$K134,1,S$1),ZeroCompFreq,'PDH Calc'!$K134/365)</f>
        <v>1</v>
      </c>
      <c r="T134" s="8">
        <f ca="1">_xll.HLV5r3.Analytics.Miscellaneous.Zero2DF(_xll.HLV5r3.Analytics.Miscellaneous.LinearInterp(Peturbed_QZ,$K134,1,T$1),ZeroCompFreq,'PDH Calc'!$K134/365)</f>
        <v>1</v>
      </c>
      <c r="U134" s="8">
        <f ca="1">_xll.HLV5r3.Analytics.Miscellaneous.Zero2DF(_xll.HLV5r3.Analytics.Miscellaneous.LinearInterp(Peturbed_QZ,$K134,1,U$1),ZeroCompFreq,'PDH Calc'!$K134/365)</f>
        <v>1</v>
      </c>
      <c r="V134" s="8">
        <f ca="1">_xll.HLV5r3.Analytics.Miscellaneous.Zero2DF(_xll.HLV5r3.Analytics.Miscellaneous.LinearInterp(Peturbed_QZ,$K134,1,V$1),ZeroCompFreq,'PDH Calc'!$K134/365)</f>
        <v>1</v>
      </c>
      <c r="W134" s="8">
        <f ca="1">_xll.HLV5r3.Analytics.Miscellaneous.Zero2DF(_xll.HLV5r3.Analytics.Miscellaneous.LinearInterp(Peturbed_QZ,$K134,1,W$1),ZeroCompFreq,'PDH Calc'!$K134/365)</f>
        <v>1</v>
      </c>
      <c r="X134" s="8">
        <f ca="1">_xll.HLV5r3.Analytics.Miscellaneous.Zero2DF(_xll.HLV5r3.Analytics.Miscellaneous.LinearInterp(Peturbed_QZ,$K134,1,X$1),ZeroCompFreq,'PDH Calc'!$K134/365)</f>
        <v>1</v>
      </c>
      <c r="Y134" s="8">
        <f ca="1">_xll.HLV5r3.Analytics.Miscellaneous.Zero2DF(_xll.HLV5r3.Analytics.Miscellaneous.LinearInterp(Peturbed_QZ,$K134,1,Y$1),ZeroCompFreq,'PDH Calc'!$K134/365)</f>
        <v>1</v>
      </c>
      <c r="Z134" s="8">
        <f ca="1">_xll.HLV5r3.Analytics.Miscellaneous.Zero2DF(_xll.HLV5r3.Analytics.Miscellaneous.LinearInterp(Peturbed_QZ,$K134,1,Z$1),ZeroCompFreq,'PDH Calc'!$K134/365)</f>
        <v>1</v>
      </c>
      <c r="AA134" s="8">
        <f ca="1">_xll.HLV5r3.Analytics.Miscellaneous.Zero2DF(_xll.HLV5r3.Analytics.Miscellaneous.LinearInterp(Peturbed_QZ,$K134,1,AA$1),ZeroCompFreq,'PDH Calc'!$K134/365)</f>
        <v>1</v>
      </c>
      <c r="AB134" s="8">
        <f ca="1">_xll.HLV5r3.Analytics.Miscellaneous.Zero2DF(_xll.HLV5r3.Analytics.Miscellaneous.LinearInterp(Peturbed_QZ,$K134,1,AB$1),ZeroCompFreq,'PDH Calc'!$K134/365)</f>
        <v>1</v>
      </c>
      <c r="AC134" s="8">
        <f ca="1">_xll.HLV5r3.Analytics.Miscellaneous.Zero2DF(_xll.HLV5r3.Analytics.Miscellaneous.LinearInterp(Peturbed_QZ,$K134,1,AC$1),ZeroCompFreq,'PDH Calc'!$K134/365)</f>
        <v>1</v>
      </c>
      <c r="AD134" s="8">
        <f ca="1">_xll.HLV5r3.Analytics.Miscellaneous.Zero2DF(_xll.HLV5r3.Analytics.Miscellaneous.LinearInterp(Peturbed_QZ,$K134,1,AD$1),ZeroCompFreq,'PDH Calc'!$K134/365)</f>
        <v>1</v>
      </c>
      <c r="AE134" s="8">
        <f ca="1">_xll.HLV5r3.Analytics.Miscellaneous.Zero2DF(_xll.HLV5r3.Analytics.Miscellaneous.LinearInterp(Peturbed_QZ,$K134,1,AE$1),ZeroCompFreq,'PDH Calc'!$K134/365)</f>
        <v>1</v>
      </c>
      <c r="AF134" s="8">
        <f ca="1">_xll.HLV5r3.Analytics.Miscellaneous.Zero2DF(_xll.HLV5r3.Analytics.Miscellaneous.LinearInterp(Peturbed_QZ,$K134,1,AF$1),ZeroCompFreq,'PDH Calc'!$K134/365)</f>
        <v>1</v>
      </c>
      <c r="AG134" s="8">
        <f ca="1">_xll.HLV5r3.Analytics.Miscellaneous.Zero2DF(_xll.HLV5r3.Analytics.Miscellaneous.LinearInterp(Peturbed_QZ,$K134,1,AG$1),ZeroCompFreq,'PDH Calc'!$K134/365)</f>
        <v>1</v>
      </c>
      <c r="AH134" s="8">
        <f ca="1">_xll.HLV5r3.Analytics.Miscellaneous.Zero2DF(_xll.HLV5r3.Analytics.Miscellaneous.LinearInterp(Peturbed_QZ,$K134,1,AH$1),ZeroCompFreq,'PDH Calc'!$K134/365)</f>
        <v>1</v>
      </c>
      <c r="AI134" s="8">
        <f ca="1">_xll.HLV5r3.Analytics.Miscellaneous.Zero2DF(_xll.HLV5r3.Analytics.Miscellaneous.LinearInterp(Peturbed_QZ,$K134,1,AI$1),ZeroCompFreq,'PDH Calc'!$K134/365)</f>
        <v>1</v>
      </c>
      <c r="AJ134" s="8">
        <f ca="1">_xll.HLV5r3.Analytics.Miscellaneous.Zero2DF(_xll.HLV5r3.Analytics.Miscellaneous.LinearInterp(Peturbed_QZ,$K134,1,AJ$1),ZeroCompFreq,'PDH Calc'!$K134/365)</f>
        <v>1</v>
      </c>
      <c r="AK134" s="8">
        <f ca="1">_xll.HLV5r3.Analytics.Miscellaneous.Zero2DF(_xll.HLV5r3.Analytics.Miscellaneous.LinearInterp(Peturbed_QZ,$K134,1,AK$1),ZeroCompFreq,'PDH Calc'!$K134/365)</f>
        <v>1</v>
      </c>
    </row>
    <row r="135" spans="1:37">
      <c r="A135" s="4"/>
      <c r="B135" s="6"/>
      <c r="F135" s="11"/>
      <c r="G135" s="6"/>
      <c r="H135" s="20"/>
      <c r="I135" s="21"/>
      <c r="J135" s="26"/>
      <c r="K135" s="6">
        <f t="shared" ca="1" si="8"/>
        <v>0</v>
      </c>
      <c r="L135" s="8">
        <f ca="1">_xll.HLV5r3.Analytics.Miscellaneous.Zero2DF(_xll.HLV5r3.Analytics.Miscellaneous.LinearInterp(Peturbed_QZ,$K135,1,L$1),ZeroCompFreq,'PDH Calc'!$K135/365)</f>
        <v>1</v>
      </c>
      <c r="M135" s="8">
        <f ca="1">_xll.HLV5r3.Analytics.Miscellaneous.Zero2DF(_xll.HLV5r3.Analytics.Miscellaneous.LinearInterp(Peturbed_QZ,$K135,1,M$1),ZeroCompFreq,'PDH Calc'!$K135/365)</f>
        <v>1</v>
      </c>
      <c r="N135" s="8">
        <f ca="1">_xll.HLV5r3.Analytics.Miscellaneous.Zero2DF(_xll.HLV5r3.Analytics.Miscellaneous.LinearInterp(Peturbed_QZ,$K135,1,N$1),ZeroCompFreq,'PDH Calc'!$K135/365)</f>
        <v>1</v>
      </c>
      <c r="O135" s="8">
        <f ca="1">_xll.HLV5r3.Analytics.Miscellaneous.Zero2DF(_xll.HLV5r3.Analytics.Miscellaneous.LinearInterp(Peturbed_QZ,$K135,1,O$1),ZeroCompFreq,'PDH Calc'!$K135/365)</f>
        <v>1</v>
      </c>
      <c r="P135" s="8">
        <f ca="1">_xll.HLV5r3.Analytics.Miscellaneous.Zero2DF(_xll.HLV5r3.Analytics.Miscellaneous.LinearInterp(Peturbed_QZ,$K135,1,P$1),ZeroCompFreq,'PDH Calc'!$K135/365)</f>
        <v>1</v>
      </c>
      <c r="Q135" s="8">
        <f ca="1">_xll.HLV5r3.Analytics.Miscellaneous.Zero2DF(_xll.HLV5r3.Analytics.Miscellaneous.LinearInterp(Peturbed_QZ,$K135,1,Q$1),ZeroCompFreq,'PDH Calc'!$K135/365)</f>
        <v>1</v>
      </c>
      <c r="R135" s="8">
        <f ca="1">_xll.HLV5r3.Analytics.Miscellaneous.Zero2DF(_xll.HLV5r3.Analytics.Miscellaneous.LinearInterp(Peturbed_QZ,$K135,1,R$1),ZeroCompFreq,'PDH Calc'!$K135/365)</f>
        <v>1</v>
      </c>
      <c r="S135" s="8">
        <f ca="1">_xll.HLV5r3.Analytics.Miscellaneous.Zero2DF(_xll.HLV5r3.Analytics.Miscellaneous.LinearInterp(Peturbed_QZ,$K135,1,S$1),ZeroCompFreq,'PDH Calc'!$K135/365)</f>
        <v>1</v>
      </c>
      <c r="T135" s="8">
        <f ca="1">_xll.HLV5r3.Analytics.Miscellaneous.Zero2DF(_xll.HLV5r3.Analytics.Miscellaneous.LinearInterp(Peturbed_QZ,$K135,1,T$1),ZeroCompFreq,'PDH Calc'!$K135/365)</f>
        <v>1</v>
      </c>
      <c r="U135" s="8">
        <f ca="1">_xll.HLV5r3.Analytics.Miscellaneous.Zero2DF(_xll.HLV5r3.Analytics.Miscellaneous.LinearInterp(Peturbed_QZ,$K135,1,U$1),ZeroCompFreq,'PDH Calc'!$K135/365)</f>
        <v>1</v>
      </c>
      <c r="V135" s="8">
        <f ca="1">_xll.HLV5r3.Analytics.Miscellaneous.Zero2DF(_xll.HLV5r3.Analytics.Miscellaneous.LinearInterp(Peturbed_QZ,$K135,1,V$1),ZeroCompFreq,'PDH Calc'!$K135/365)</f>
        <v>1</v>
      </c>
      <c r="W135" s="8">
        <f ca="1">_xll.HLV5r3.Analytics.Miscellaneous.Zero2DF(_xll.HLV5r3.Analytics.Miscellaneous.LinearInterp(Peturbed_QZ,$K135,1,W$1),ZeroCompFreq,'PDH Calc'!$K135/365)</f>
        <v>1</v>
      </c>
      <c r="X135" s="8">
        <f ca="1">_xll.HLV5r3.Analytics.Miscellaneous.Zero2DF(_xll.HLV5r3.Analytics.Miscellaneous.LinearInterp(Peturbed_QZ,$K135,1,X$1),ZeroCompFreq,'PDH Calc'!$K135/365)</f>
        <v>1</v>
      </c>
      <c r="Y135" s="8">
        <f ca="1">_xll.HLV5r3.Analytics.Miscellaneous.Zero2DF(_xll.HLV5r3.Analytics.Miscellaneous.LinearInterp(Peturbed_QZ,$K135,1,Y$1),ZeroCompFreq,'PDH Calc'!$K135/365)</f>
        <v>1</v>
      </c>
      <c r="Z135" s="8">
        <f ca="1">_xll.HLV5r3.Analytics.Miscellaneous.Zero2DF(_xll.HLV5r3.Analytics.Miscellaneous.LinearInterp(Peturbed_QZ,$K135,1,Z$1),ZeroCompFreq,'PDH Calc'!$K135/365)</f>
        <v>1</v>
      </c>
      <c r="AA135" s="8">
        <f ca="1">_xll.HLV5r3.Analytics.Miscellaneous.Zero2DF(_xll.HLV5r3.Analytics.Miscellaneous.LinearInterp(Peturbed_QZ,$K135,1,AA$1),ZeroCompFreq,'PDH Calc'!$K135/365)</f>
        <v>1</v>
      </c>
      <c r="AB135" s="8">
        <f ca="1">_xll.HLV5r3.Analytics.Miscellaneous.Zero2DF(_xll.HLV5r3.Analytics.Miscellaneous.LinearInterp(Peturbed_QZ,$K135,1,AB$1),ZeroCompFreq,'PDH Calc'!$K135/365)</f>
        <v>1</v>
      </c>
      <c r="AC135" s="8">
        <f ca="1">_xll.HLV5r3.Analytics.Miscellaneous.Zero2DF(_xll.HLV5r3.Analytics.Miscellaneous.LinearInterp(Peturbed_QZ,$K135,1,AC$1),ZeroCompFreq,'PDH Calc'!$K135/365)</f>
        <v>1</v>
      </c>
      <c r="AD135" s="8">
        <f ca="1">_xll.HLV5r3.Analytics.Miscellaneous.Zero2DF(_xll.HLV5r3.Analytics.Miscellaneous.LinearInterp(Peturbed_QZ,$K135,1,AD$1),ZeroCompFreq,'PDH Calc'!$K135/365)</f>
        <v>1</v>
      </c>
      <c r="AE135" s="8">
        <f ca="1">_xll.HLV5r3.Analytics.Miscellaneous.Zero2DF(_xll.HLV5r3.Analytics.Miscellaneous.LinearInterp(Peturbed_QZ,$K135,1,AE$1),ZeroCompFreq,'PDH Calc'!$K135/365)</f>
        <v>1</v>
      </c>
      <c r="AF135" s="8">
        <f ca="1">_xll.HLV5r3.Analytics.Miscellaneous.Zero2DF(_xll.HLV5r3.Analytics.Miscellaneous.LinearInterp(Peturbed_QZ,$K135,1,AF$1),ZeroCompFreq,'PDH Calc'!$K135/365)</f>
        <v>1</v>
      </c>
      <c r="AG135" s="8">
        <f ca="1">_xll.HLV5r3.Analytics.Miscellaneous.Zero2DF(_xll.HLV5r3.Analytics.Miscellaneous.LinearInterp(Peturbed_QZ,$K135,1,AG$1),ZeroCompFreq,'PDH Calc'!$K135/365)</f>
        <v>1</v>
      </c>
      <c r="AH135" s="8">
        <f ca="1">_xll.HLV5r3.Analytics.Miscellaneous.Zero2DF(_xll.HLV5r3.Analytics.Miscellaneous.LinearInterp(Peturbed_QZ,$K135,1,AH$1),ZeroCompFreq,'PDH Calc'!$K135/365)</f>
        <v>1</v>
      </c>
      <c r="AI135" s="8">
        <f ca="1">_xll.HLV5r3.Analytics.Miscellaneous.Zero2DF(_xll.HLV5r3.Analytics.Miscellaneous.LinearInterp(Peturbed_QZ,$K135,1,AI$1),ZeroCompFreq,'PDH Calc'!$K135/365)</f>
        <v>1</v>
      </c>
      <c r="AJ135" s="8">
        <f ca="1">_xll.HLV5r3.Analytics.Miscellaneous.Zero2DF(_xll.HLV5r3.Analytics.Miscellaneous.LinearInterp(Peturbed_QZ,$K135,1,AJ$1),ZeroCompFreq,'PDH Calc'!$K135/365)</f>
        <v>1</v>
      </c>
      <c r="AK135" s="8">
        <f ca="1">_xll.HLV5r3.Analytics.Miscellaneous.Zero2DF(_xll.HLV5r3.Analytics.Miscellaneous.LinearInterp(Peturbed_QZ,$K135,1,AK$1),ZeroCompFreq,'PDH Calc'!$K135/365)</f>
        <v>1</v>
      </c>
    </row>
    <row r="136" spans="1:37">
      <c r="A136" s="4"/>
      <c r="B136" s="6"/>
      <c r="F136" s="11"/>
      <c r="G136" s="6"/>
      <c r="H136" s="20"/>
      <c r="I136" s="21"/>
      <c r="J136" s="26"/>
      <c r="K136" s="6">
        <f t="shared" ca="1" si="8"/>
        <v>0</v>
      </c>
      <c r="L136" s="8">
        <f ca="1">_xll.HLV5r3.Analytics.Miscellaneous.Zero2DF(_xll.HLV5r3.Analytics.Miscellaneous.LinearInterp(Peturbed_QZ,$K136,1,L$1),ZeroCompFreq,'PDH Calc'!$K136/365)</f>
        <v>1</v>
      </c>
      <c r="M136" s="8">
        <f ca="1">_xll.HLV5r3.Analytics.Miscellaneous.Zero2DF(_xll.HLV5r3.Analytics.Miscellaneous.LinearInterp(Peturbed_QZ,$K136,1,M$1),ZeroCompFreq,'PDH Calc'!$K136/365)</f>
        <v>1</v>
      </c>
      <c r="N136" s="8">
        <f ca="1">_xll.HLV5r3.Analytics.Miscellaneous.Zero2DF(_xll.HLV5r3.Analytics.Miscellaneous.LinearInterp(Peturbed_QZ,$K136,1,N$1),ZeroCompFreq,'PDH Calc'!$K136/365)</f>
        <v>1</v>
      </c>
      <c r="O136" s="8">
        <f ca="1">_xll.HLV5r3.Analytics.Miscellaneous.Zero2DF(_xll.HLV5r3.Analytics.Miscellaneous.LinearInterp(Peturbed_QZ,$K136,1,O$1),ZeroCompFreq,'PDH Calc'!$K136/365)</f>
        <v>1</v>
      </c>
      <c r="P136" s="8">
        <f ca="1">_xll.HLV5r3.Analytics.Miscellaneous.Zero2DF(_xll.HLV5r3.Analytics.Miscellaneous.LinearInterp(Peturbed_QZ,$K136,1,P$1),ZeroCompFreq,'PDH Calc'!$K136/365)</f>
        <v>1</v>
      </c>
      <c r="Q136" s="8">
        <f ca="1">_xll.HLV5r3.Analytics.Miscellaneous.Zero2DF(_xll.HLV5r3.Analytics.Miscellaneous.LinearInterp(Peturbed_QZ,$K136,1,Q$1),ZeroCompFreq,'PDH Calc'!$K136/365)</f>
        <v>1</v>
      </c>
      <c r="R136" s="8">
        <f ca="1">_xll.HLV5r3.Analytics.Miscellaneous.Zero2DF(_xll.HLV5r3.Analytics.Miscellaneous.LinearInterp(Peturbed_QZ,$K136,1,R$1),ZeroCompFreq,'PDH Calc'!$K136/365)</f>
        <v>1</v>
      </c>
      <c r="S136" s="8">
        <f ca="1">_xll.HLV5r3.Analytics.Miscellaneous.Zero2DF(_xll.HLV5r3.Analytics.Miscellaneous.LinearInterp(Peturbed_QZ,$K136,1,S$1),ZeroCompFreq,'PDH Calc'!$K136/365)</f>
        <v>1</v>
      </c>
      <c r="T136" s="8">
        <f ca="1">_xll.HLV5r3.Analytics.Miscellaneous.Zero2DF(_xll.HLV5r3.Analytics.Miscellaneous.LinearInterp(Peturbed_QZ,$K136,1,T$1),ZeroCompFreq,'PDH Calc'!$K136/365)</f>
        <v>1</v>
      </c>
      <c r="U136" s="8">
        <f ca="1">_xll.HLV5r3.Analytics.Miscellaneous.Zero2DF(_xll.HLV5r3.Analytics.Miscellaneous.LinearInterp(Peturbed_QZ,$K136,1,U$1),ZeroCompFreq,'PDH Calc'!$K136/365)</f>
        <v>1</v>
      </c>
      <c r="V136" s="8">
        <f ca="1">_xll.HLV5r3.Analytics.Miscellaneous.Zero2DF(_xll.HLV5r3.Analytics.Miscellaneous.LinearInterp(Peturbed_QZ,$K136,1,V$1),ZeroCompFreq,'PDH Calc'!$K136/365)</f>
        <v>1</v>
      </c>
      <c r="W136" s="8">
        <f ca="1">_xll.HLV5r3.Analytics.Miscellaneous.Zero2DF(_xll.HLV5r3.Analytics.Miscellaneous.LinearInterp(Peturbed_QZ,$K136,1,W$1),ZeroCompFreq,'PDH Calc'!$K136/365)</f>
        <v>1</v>
      </c>
      <c r="X136" s="8">
        <f ca="1">_xll.HLV5r3.Analytics.Miscellaneous.Zero2DF(_xll.HLV5r3.Analytics.Miscellaneous.LinearInterp(Peturbed_QZ,$K136,1,X$1),ZeroCompFreq,'PDH Calc'!$K136/365)</f>
        <v>1</v>
      </c>
      <c r="Y136" s="8">
        <f ca="1">_xll.HLV5r3.Analytics.Miscellaneous.Zero2DF(_xll.HLV5r3.Analytics.Miscellaneous.LinearInterp(Peturbed_QZ,$K136,1,Y$1),ZeroCompFreq,'PDH Calc'!$K136/365)</f>
        <v>1</v>
      </c>
      <c r="Z136" s="8">
        <f ca="1">_xll.HLV5r3.Analytics.Miscellaneous.Zero2DF(_xll.HLV5r3.Analytics.Miscellaneous.LinearInterp(Peturbed_QZ,$K136,1,Z$1),ZeroCompFreq,'PDH Calc'!$K136/365)</f>
        <v>1</v>
      </c>
      <c r="AA136" s="8">
        <f ca="1">_xll.HLV5r3.Analytics.Miscellaneous.Zero2DF(_xll.HLV5r3.Analytics.Miscellaneous.LinearInterp(Peturbed_QZ,$K136,1,AA$1),ZeroCompFreq,'PDH Calc'!$K136/365)</f>
        <v>1</v>
      </c>
      <c r="AB136" s="8">
        <f ca="1">_xll.HLV5r3.Analytics.Miscellaneous.Zero2DF(_xll.HLV5r3.Analytics.Miscellaneous.LinearInterp(Peturbed_QZ,$K136,1,AB$1),ZeroCompFreq,'PDH Calc'!$K136/365)</f>
        <v>1</v>
      </c>
      <c r="AC136" s="8">
        <f ca="1">_xll.HLV5r3.Analytics.Miscellaneous.Zero2DF(_xll.HLV5r3.Analytics.Miscellaneous.LinearInterp(Peturbed_QZ,$K136,1,AC$1),ZeroCompFreq,'PDH Calc'!$K136/365)</f>
        <v>1</v>
      </c>
      <c r="AD136" s="8">
        <f ca="1">_xll.HLV5r3.Analytics.Miscellaneous.Zero2DF(_xll.HLV5r3.Analytics.Miscellaneous.LinearInterp(Peturbed_QZ,$K136,1,AD$1),ZeroCompFreq,'PDH Calc'!$K136/365)</f>
        <v>1</v>
      </c>
      <c r="AE136" s="8">
        <f ca="1">_xll.HLV5r3.Analytics.Miscellaneous.Zero2DF(_xll.HLV5r3.Analytics.Miscellaneous.LinearInterp(Peturbed_QZ,$K136,1,AE$1),ZeroCompFreq,'PDH Calc'!$K136/365)</f>
        <v>1</v>
      </c>
      <c r="AF136" s="8">
        <f ca="1">_xll.HLV5r3.Analytics.Miscellaneous.Zero2DF(_xll.HLV5r3.Analytics.Miscellaneous.LinearInterp(Peturbed_QZ,$K136,1,AF$1),ZeroCompFreq,'PDH Calc'!$K136/365)</f>
        <v>1</v>
      </c>
      <c r="AG136" s="8">
        <f ca="1">_xll.HLV5r3.Analytics.Miscellaneous.Zero2DF(_xll.HLV5r3.Analytics.Miscellaneous.LinearInterp(Peturbed_QZ,$K136,1,AG$1),ZeroCompFreq,'PDH Calc'!$K136/365)</f>
        <v>1</v>
      </c>
      <c r="AH136" s="8">
        <f ca="1">_xll.HLV5r3.Analytics.Miscellaneous.Zero2DF(_xll.HLV5r3.Analytics.Miscellaneous.LinearInterp(Peturbed_QZ,$K136,1,AH$1),ZeroCompFreq,'PDH Calc'!$K136/365)</f>
        <v>1</v>
      </c>
      <c r="AI136" s="8">
        <f ca="1">_xll.HLV5r3.Analytics.Miscellaneous.Zero2DF(_xll.HLV5r3.Analytics.Miscellaneous.LinearInterp(Peturbed_QZ,$K136,1,AI$1),ZeroCompFreq,'PDH Calc'!$K136/365)</f>
        <v>1</v>
      </c>
      <c r="AJ136" s="8">
        <f ca="1">_xll.HLV5r3.Analytics.Miscellaneous.Zero2DF(_xll.HLV5r3.Analytics.Miscellaneous.LinearInterp(Peturbed_QZ,$K136,1,AJ$1),ZeroCompFreq,'PDH Calc'!$K136/365)</f>
        <v>1</v>
      </c>
      <c r="AK136" s="8">
        <f ca="1">_xll.HLV5r3.Analytics.Miscellaneous.Zero2DF(_xll.HLV5r3.Analytics.Miscellaneous.LinearInterp(Peturbed_QZ,$K136,1,AK$1),ZeroCompFreq,'PDH Calc'!$K136/365)</f>
        <v>1</v>
      </c>
    </row>
    <row r="137" spans="1:37">
      <c r="A137" s="4"/>
      <c r="B137" s="6"/>
      <c r="F137" s="11"/>
      <c r="G137" s="6"/>
      <c r="H137" s="20"/>
      <c r="I137" s="21"/>
      <c r="J137" s="26"/>
      <c r="K137" s="6">
        <f t="shared" ca="1" si="8"/>
        <v>0</v>
      </c>
      <c r="L137" s="8">
        <f ca="1">_xll.HLV5r3.Analytics.Miscellaneous.Zero2DF(_xll.HLV5r3.Analytics.Miscellaneous.LinearInterp(Peturbed_QZ,$K137,1,L$1),ZeroCompFreq,'PDH Calc'!$K137/365)</f>
        <v>1</v>
      </c>
      <c r="M137" s="8">
        <f ca="1">_xll.HLV5r3.Analytics.Miscellaneous.Zero2DF(_xll.HLV5r3.Analytics.Miscellaneous.LinearInterp(Peturbed_QZ,$K137,1,M$1),ZeroCompFreq,'PDH Calc'!$K137/365)</f>
        <v>1</v>
      </c>
      <c r="N137" s="8">
        <f ca="1">_xll.HLV5r3.Analytics.Miscellaneous.Zero2DF(_xll.HLV5r3.Analytics.Miscellaneous.LinearInterp(Peturbed_QZ,$K137,1,N$1),ZeroCompFreq,'PDH Calc'!$K137/365)</f>
        <v>1</v>
      </c>
      <c r="O137" s="8">
        <f ca="1">_xll.HLV5r3.Analytics.Miscellaneous.Zero2DF(_xll.HLV5r3.Analytics.Miscellaneous.LinearInterp(Peturbed_QZ,$K137,1,O$1),ZeroCompFreq,'PDH Calc'!$K137/365)</f>
        <v>1</v>
      </c>
      <c r="P137" s="8">
        <f ca="1">_xll.HLV5r3.Analytics.Miscellaneous.Zero2DF(_xll.HLV5r3.Analytics.Miscellaneous.LinearInterp(Peturbed_QZ,$K137,1,P$1),ZeroCompFreq,'PDH Calc'!$K137/365)</f>
        <v>1</v>
      </c>
      <c r="Q137" s="8">
        <f ca="1">_xll.HLV5r3.Analytics.Miscellaneous.Zero2DF(_xll.HLV5r3.Analytics.Miscellaneous.LinearInterp(Peturbed_QZ,$K137,1,Q$1),ZeroCompFreq,'PDH Calc'!$K137/365)</f>
        <v>1</v>
      </c>
      <c r="R137" s="8">
        <f ca="1">_xll.HLV5r3.Analytics.Miscellaneous.Zero2DF(_xll.HLV5r3.Analytics.Miscellaneous.LinearInterp(Peturbed_QZ,$K137,1,R$1),ZeroCompFreq,'PDH Calc'!$K137/365)</f>
        <v>1</v>
      </c>
      <c r="S137" s="8">
        <f ca="1">_xll.HLV5r3.Analytics.Miscellaneous.Zero2DF(_xll.HLV5r3.Analytics.Miscellaneous.LinearInterp(Peturbed_QZ,$K137,1,S$1),ZeroCompFreq,'PDH Calc'!$K137/365)</f>
        <v>1</v>
      </c>
      <c r="T137" s="8">
        <f ca="1">_xll.HLV5r3.Analytics.Miscellaneous.Zero2DF(_xll.HLV5r3.Analytics.Miscellaneous.LinearInterp(Peturbed_QZ,$K137,1,T$1),ZeroCompFreq,'PDH Calc'!$K137/365)</f>
        <v>1</v>
      </c>
      <c r="U137" s="8">
        <f ca="1">_xll.HLV5r3.Analytics.Miscellaneous.Zero2DF(_xll.HLV5r3.Analytics.Miscellaneous.LinearInterp(Peturbed_QZ,$K137,1,U$1),ZeroCompFreq,'PDH Calc'!$K137/365)</f>
        <v>1</v>
      </c>
      <c r="V137" s="8">
        <f ca="1">_xll.HLV5r3.Analytics.Miscellaneous.Zero2DF(_xll.HLV5r3.Analytics.Miscellaneous.LinearInterp(Peturbed_QZ,$K137,1,V$1),ZeroCompFreq,'PDH Calc'!$K137/365)</f>
        <v>1</v>
      </c>
      <c r="W137" s="8">
        <f ca="1">_xll.HLV5r3.Analytics.Miscellaneous.Zero2DF(_xll.HLV5r3.Analytics.Miscellaneous.LinearInterp(Peturbed_QZ,$K137,1,W$1),ZeroCompFreq,'PDH Calc'!$K137/365)</f>
        <v>1</v>
      </c>
      <c r="X137" s="8">
        <f ca="1">_xll.HLV5r3.Analytics.Miscellaneous.Zero2DF(_xll.HLV5r3.Analytics.Miscellaneous.LinearInterp(Peturbed_QZ,$K137,1,X$1),ZeroCompFreq,'PDH Calc'!$K137/365)</f>
        <v>1</v>
      </c>
      <c r="Y137" s="8">
        <f ca="1">_xll.HLV5r3.Analytics.Miscellaneous.Zero2DF(_xll.HLV5r3.Analytics.Miscellaneous.LinearInterp(Peturbed_QZ,$K137,1,Y$1),ZeroCompFreq,'PDH Calc'!$K137/365)</f>
        <v>1</v>
      </c>
      <c r="Z137" s="8">
        <f ca="1">_xll.HLV5r3.Analytics.Miscellaneous.Zero2DF(_xll.HLV5r3.Analytics.Miscellaneous.LinearInterp(Peturbed_QZ,$K137,1,Z$1),ZeroCompFreq,'PDH Calc'!$K137/365)</f>
        <v>1</v>
      </c>
      <c r="AA137" s="8">
        <f ca="1">_xll.HLV5r3.Analytics.Miscellaneous.Zero2DF(_xll.HLV5r3.Analytics.Miscellaneous.LinearInterp(Peturbed_QZ,$K137,1,AA$1),ZeroCompFreq,'PDH Calc'!$K137/365)</f>
        <v>1</v>
      </c>
      <c r="AB137" s="8">
        <f ca="1">_xll.HLV5r3.Analytics.Miscellaneous.Zero2DF(_xll.HLV5r3.Analytics.Miscellaneous.LinearInterp(Peturbed_QZ,$K137,1,AB$1),ZeroCompFreq,'PDH Calc'!$K137/365)</f>
        <v>1</v>
      </c>
      <c r="AC137" s="8">
        <f ca="1">_xll.HLV5r3.Analytics.Miscellaneous.Zero2DF(_xll.HLV5r3.Analytics.Miscellaneous.LinearInterp(Peturbed_QZ,$K137,1,AC$1),ZeroCompFreq,'PDH Calc'!$K137/365)</f>
        <v>1</v>
      </c>
      <c r="AD137" s="8">
        <f ca="1">_xll.HLV5r3.Analytics.Miscellaneous.Zero2DF(_xll.HLV5r3.Analytics.Miscellaneous.LinearInterp(Peturbed_QZ,$K137,1,AD$1),ZeroCompFreq,'PDH Calc'!$K137/365)</f>
        <v>1</v>
      </c>
      <c r="AE137" s="8">
        <f ca="1">_xll.HLV5r3.Analytics.Miscellaneous.Zero2DF(_xll.HLV5r3.Analytics.Miscellaneous.LinearInterp(Peturbed_QZ,$K137,1,AE$1),ZeroCompFreq,'PDH Calc'!$K137/365)</f>
        <v>1</v>
      </c>
      <c r="AF137" s="8">
        <f ca="1">_xll.HLV5r3.Analytics.Miscellaneous.Zero2DF(_xll.HLV5r3.Analytics.Miscellaneous.LinearInterp(Peturbed_QZ,$K137,1,AF$1),ZeroCompFreq,'PDH Calc'!$K137/365)</f>
        <v>1</v>
      </c>
      <c r="AG137" s="8">
        <f ca="1">_xll.HLV5r3.Analytics.Miscellaneous.Zero2DF(_xll.HLV5r3.Analytics.Miscellaneous.LinearInterp(Peturbed_QZ,$K137,1,AG$1),ZeroCompFreq,'PDH Calc'!$K137/365)</f>
        <v>1</v>
      </c>
      <c r="AH137" s="8">
        <f ca="1">_xll.HLV5r3.Analytics.Miscellaneous.Zero2DF(_xll.HLV5r3.Analytics.Miscellaneous.LinearInterp(Peturbed_QZ,$K137,1,AH$1),ZeroCompFreq,'PDH Calc'!$K137/365)</f>
        <v>1</v>
      </c>
      <c r="AI137" s="8">
        <f ca="1">_xll.HLV5r3.Analytics.Miscellaneous.Zero2DF(_xll.HLV5r3.Analytics.Miscellaneous.LinearInterp(Peturbed_QZ,$K137,1,AI$1),ZeroCompFreq,'PDH Calc'!$K137/365)</f>
        <v>1</v>
      </c>
      <c r="AJ137" s="8">
        <f ca="1">_xll.HLV5r3.Analytics.Miscellaneous.Zero2DF(_xll.HLV5r3.Analytics.Miscellaneous.LinearInterp(Peturbed_QZ,$K137,1,AJ$1),ZeroCompFreq,'PDH Calc'!$K137/365)</f>
        <v>1</v>
      </c>
      <c r="AK137" s="8">
        <f ca="1">_xll.HLV5r3.Analytics.Miscellaneous.Zero2DF(_xll.HLV5r3.Analytics.Miscellaneous.LinearInterp(Peturbed_QZ,$K137,1,AK$1),ZeroCompFreq,'PDH Calc'!$K137/365)</f>
        <v>1</v>
      </c>
    </row>
    <row r="138" spans="1:37">
      <c r="A138" s="4"/>
      <c r="B138" s="6"/>
      <c r="F138" s="11"/>
      <c r="G138" s="6"/>
      <c r="H138" s="20"/>
      <c r="I138" s="21"/>
      <c r="J138" s="26"/>
      <c r="K138" s="6">
        <f t="shared" ca="1" si="8"/>
        <v>0</v>
      </c>
      <c r="L138" s="8">
        <f ca="1">_xll.HLV5r3.Analytics.Miscellaneous.Zero2DF(_xll.HLV5r3.Analytics.Miscellaneous.LinearInterp(Peturbed_QZ,$K138,1,L$1),ZeroCompFreq,'PDH Calc'!$K138/365)</f>
        <v>1</v>
      </c>
      <c r="M138" s="8">
        <f ca="1">_xll.HLV5r3.Analytics.Miscellaneous.Zero2DF(_xll.HLV5r3.Analytics.Miscellaneous.LinearInterp(Peturbed_QZ,$K138,1,M$1),ZeroCompFreq,'PDH Calc'!$K138/365)</f>
        <v>1</v>
      </c>
      <c r="N138" s="8">
        <f ca="1">_xll.HLV5r3.Analytics.Miscellaneous.Zero2DF(_xll.HLV5r3.Analytics.Miscellaneous.LinearInterp(Peturbed_QZ,$K138,1,N$1),ZeroCompFreq,'PDH Calc'!$K138/365)</f>
        <v>1</v>
      </c>
      <c r="O138" s="8">
        <f ca="1">_xll.HLV5r3.Analytics.Miscellaneous.Zero2DF(_xll.HLV5r3.Analytics.Miscellaneous.LinearInterp(Peturbed_QZ,$K138,1,O$1),ZeroCompFreq,'PDH Calc'!$K138/365)</f>
        <v>1</v>
      </c>
      <c r="P138" s="8">
        <f ca="1">_xll.HLV5r3.Analytics.Miscellaneous.Zero2DF(_xll.HLV5r3.Analytics.Miscellaneous.LinearInterp(Peturbed_QZ,$K138,1,P$1),ZeroCompFreq,'PDH Calc'!$K138/365)</f>
        <v>1</v>
      </c>
      <c r="Q138" s="8">
        <f ca="1">_xll.HLV5r3.Analytics.Miscellaneous.Zero2DF(_xll.HLV5r3.Analytics.Miscellaneous.LinearInterp(Peturbed_QZ,$K138,1,Q$1),ZeroCompFreq,'PDH Calc'!$K138/365)</f>
        <v>1</v>
      </c>
      <c r="R138" s="8">
        <f ca="1">_xll.HLV5r3.Analytics.Miscellaneous.Zero2DF(_xll.HLV5r3.Analytics.Miscellaneous.LinearInterp(Peturbed_QZ,$K138,1,R$1),ZeroCompFreq,'PDH Calc'!$K138/365)</f>
        <v>1</v>
      </c>
      <c r="S138" s="8">
        <f ca="1">_xll.HLV5r3.Analytics.Miscellaneous.Zero2DF(_xll.HLV5r3.Analytics.Miscellaneous.LinearInterp(Peturbed_QZ,$K138,1,S$1),ZeroCompFreq,'PDH Calc'!$K138/365)</f>
        <v>1</v>
      </c>
      <c r="T138" s="8">
        <f ca="1">_xll.HLV5r3.Analytics.Miscellaneous.Zero2DF(_xll.HLV5r3.Analytics.Miscellaneous.LinearInterp(Peturbed_QZ,$K138,1,T$1),ZeroCompFreq,'PDH Calc'!$K138/365)</f>
        <v>1</v>
      </c>
      <c r="U138" s="8">
        <f ca="1">_xll.HLV5r3.Analytics.Miscellaneous.Zero2DF(_xll.HLV5r3.Analytics.Miscellaneous.LinearInterp(Peturbed_QZ,$K138,1,U$1),ZeroCompFreq,'PDH Calc'!$K138/365)</f>
        <v>1</v>
      </c>
      <c r="V138" s="8">
        <f ca="1">_xll.HLV5r3.Analytics.Miscellaneous.Zero2DF(_xll.HLV5r3.Analytics.Miscellaneous.LinearInterp(Peturbed_QZ,$K138,1,V$1),ZeroCompFreq,'PDH Calc'!$K138/365)</f>
        <v>1</v>
      </c>
      <c r="W138" s="8">
        <f ca="1">_xll.HLV5r3.Analytics.Miscellaneous.Zero2DF(_xll.HLV5r3.Analytics.Miscellaneous.LinearInterp(Peturbed_QZ,$K138,1,W$1),ZeroCompFreq,'PDH Calc'!$K138/365)</f>
        <v>1</v>
      </c>
      <c r="X138" s="8">
        <f ca="1">_xll.HLV5r3.Analytics.Miscellaneous.Zero2DF(_xll.HLV5r3.Analytics.Miscellaneous.LinearInterp(Peturbed_QZ,$K138,1,X$1),ZeroCompFreq,'PDH Calc'!$K138/365)</f>
        <v>1</v>
      </c>
      <c r="Y138" s="8">
        <f ca="1">_xll.HLV5r3.Analytics.Miscellaneous.Zero2DF(_xll.HLV5r3.Analytics.Miscellaneous.LinearInterp(Peturbed_QZ,$K138,1,Y$1),ZeroCompFreq,'PDH Calc'!$K138/365)</f>
        <v>1</v>
      </c>
      <c r="Z138" s="8">
        <f ca="1">_xll.HLV5r3.Analytics.Miscellaneous.Zero2DF(_xll.HLV5r3.Analytics.Miscellaneous.LinearInterp(Peturbed_QZ,$K138,1,Z$1),ZeroCompFreq,'PDH Calc'!$K138/365)</f>
        <v>1</v>
      </c>
      <c r="AA138" s="8">
        <f ca="1">_xll.HLV5r3.Analytics.Miscellaneous.Zero2DF(_xll.HLV5r3.Analytics.Miscellaneous.LinearInterp(Peturbed_QZ,$K138,1,AA$1),ZeroCompFreq,'PDH Calc'!$K138/365)</f>
        <v>1</v>
      </c>
      <c r="AB138" s="8">
        <f ca="1">_xll.HLV5r3.Analytics.Miscellaneous.Zero2DF(_xll.HLV5r3.Analytics.Miscellaneous.LinearInterp(Peturbed_QZ,$K138,1,AB$1),ZeroCompFreq,'PDH Calc'!$K138/365)</f>
        <v>1</v>
      </c>
      <c r="AC138" s="8">
        <f ca="1">_xll.HLV5r3.Analytics.Miscellaneous.Zero2DF(_xll.HLV5r3.Analytics.Miscellaneous.LinearInterp(Peturbed_QZ,$K138,1,AC$1),ZeroCompFreq,'PDH Calc'!$K138/365)</f>
        <v>1</v>
      </c>
      <c r="AD138" s="8">
        <f ca="1">_xll.HLV5r3.Analytics.Miscellaneous.Zero2DF(_xll.HLV5r3.Analytics.Miscellaneous.LinearInterp(Peturbed_QZ,$K138,1,AD$1),ZeroCompFreq,'PDH Calc'!$K138/365)</f>
        <v>1</v>
      </c>
      <c r="AE138" s="8">
        <f ca="1">_xll.HLV5r3.Analytics.Miscellaneous.Zero2DF(_xll.HLV5r3.Analytics.Miscellaneous.LinearInterp(Peturbed_QZ,$K138,1,AE$1),ZeroCompFreq,'PDH Calc'!$K138/365)</f>
        <v>1</v>
      </c>
      <c r="AF138" s="8">
        <f ca="1">_xll.HLV5r3.Analytics.Miscellaneous.Zero2DF(_xll.HLV5r3.Analytics.Miscellaneous.LinearInterp(Peturbed_QZ,$K138,1,AF$1),ZeroCompFreq,'PDH Calc'!$K138/365)</f>
        <v>1</v>
      </c>
      <c r="AG138" s="8">
        <f ca="1">_xll.HLV5r3.Analytics.Miscellaneous.Zero2DF(_xll.HLV5r3.Analytics.Miscellaneous.LinearInterp(Peturbed_QZ,$K138,1,AG$1),ZeroCompFreq,'PDH Calc'!$K138/365)</f>
        <v>1</v>
      </c>
      <c r="AH138" s="8">
        <f ca="1">_xll.HLV5r3.Analytics.Miscellaneous.Zero2DF(_xll.HLV5r3.Analytics.Miscellaneous.LinearInterp(Peturbed_QZ,$K138,1,AH$1),ZeroCompFreq,'PDH Calc'!$K138/365)</f>
        <v>1</v>
      </c>
      <c r="AI138" s="8">
        <f ca="1">_xll.HLV5r3.Analytics.Miscellaneous.Zero2DF(_xll.HLV5r3.Analytics.Miscellaneous.LinearInterp(Peturbed_QZ,$K138,1,AI$1),ZeroCompFreq,'PDH Calc'!$K138/365)</f>
        <v>1</v>
      </c>
      <c r="AJ138" s="8">
        <f ca="1">_xll.HLV5r3.Analytics.Miscellaneous.Zero2DF(_xll.HLV5r3.Analytics.Miscellaneous.LinearInterp(Peturbed_QZ,$K138,1,AJ$1),ZeroCompFreq,'PDH Calc'!$K138/365)</f>
        <v>1</v>
      </c>
      <c r="AK138" s="8">
        <f ca="1">_xll.HLV5r3.Analytics.Miscellaneous.Zero2DF(_xll.HLV5r3.Analytics.Miscellaneous.LinearInterp(Peturbed_QZ,$K138,1,AK$1),ZeroCompFreq,'PDH Calc'!$K138/365)</f>
        <v>1</v>
      </c>
    </row>
    <row r="139" spans="1:37">
      <c r="A139" s="4"/>
      <c r="B139" s="6"/>
      <c r="F139" s="11"/>
      <c r="G139" s="6"/>
      <c r="H139" s="20"/>
      <c r="I139" s="21"/>
      <c r="J139" s="26"/>
      <c r="K139" s="6">
        <f t="shared" ca="1" si="8"/>
        <v>0</v>
      </c>
      <c r="L139" s="8">
        <f ca="1">_xll.HLV5r3.Analytics.Miscellaneous.Zero2DF(_xll.HLV5r3.Analytics.Miscellaneous.LinearInterp(Peturbed_QZ,$K139,1,L$1),ZeroCompFreq,'PDH Calc'!$K139/365)</f>
        <v>1</v>
      </c>
      <c r="M139" s="8">
        <f ca="1">_xll.HLV5r3.Analytics.Miscellaneous.Zero2DF(_xll.HLV5r3.Analytics.Miscellaneous.LinearInterp(Peturbed_QZ,$K139,1,M$1),ZeroCompFreq,'PDH Calc'!$K139/365)</f>
        <v>1</v>
      </c>
      <c r="N139" s="8">
        <f ca="1">_xll.HLV5r3.Analytics.Miscellaneous.Zero2DF(_xll.HLV5r3.Analytics.Miscellaneous.LinearInterp(Peturbed_QZ,$K139,1,N$1),ZeroCompFreq,'PDH Calc'!$K139/365)</f>
        <v>1</v>
      </c>
      <c r="O139" s="8">
        <f ca="1">_xll.HLV5r3.Analytics.Miscellaneous.Zero2DF(_xll.HLV5r3.Analytics.Miscellaneous.LinearInterp(Peturbed_QZ,$K139,1,O$1),ZeroCompFreq,'PDH Calc'!$K139/365)</f>
        <v>1</v>
      </c>
      <c r="P139" s="8">
        <f ca="1">_xll.HLV5r3.Analytics.Miscellaneous.Zero2DF(_xll.HLV5r3.Analytics.Miscellaneous.LinearInterp(Peturbed_QZ,$K139,1,P$1),ZeroCompFreq,'PDH Calc'!$K139/365)</f>
        <v>1</v>
      </c>
      <c r="Q139" s="8">
        <f ca="1">_xll.HLV5r3.Analytics.Miscellaneous.Zero2DF(_xll.HLV5r3.Analytics.Miscellaneous.LinearInterp(Peturbed_QZ,$K139,1,Q$1),ZeroCompFreq,'PDH Calc'!$K139/365)</f>
        <v>1</v>
      </c>
      <c r="R139" s="8">
        <f ca="1">_xll.HLV5r3.Analytics.Miscellaneous.Zero2DF(_xll.HLV5r3.Analytics.Miscellaneous.LinearInterp(Peturbed_QZ,$K139,1,R$1),ZeroCompFreq,'PDH Calc'!$K139/365)</f>
        <v>1</v>
      </c>
      <c r="S139" s="8">
        <f ca="1">_xll.HLV5r3.Analytics.Miscellaneous.Zero2DF(_xll.HLV5r3.Analytics.Miscellaneous.LinearInterp(Peturbed_QZ,$K139,1,S$1),ZeroCompFreq,'PDH Calc'!$K139/365)</f>
        <v>1</v>
      </c>
      <c r="T139" s="8">
        <f ca="1">_xll.HLV5r3.Analytics.Miscellaneous.Zero2DF(_xll.HLV5r3.Analytics.Miscellaneous.LinearInterp(Peturbed_QZ,$K139,1,T$1),ZeroCompFreq,'PDH Calc'!$K139/365)</f>
        <v>1</v>
      </c>
      <c r="U139" s="8">
        <f ca="1">_xll.HLV5r3.Analytics.Miscellaneous.Zero2DF(_xll.HLV5r3.Analytics.Miscellaneous.LinearInterp(Peturbed_QZ,$K139,1,U$1),ZeroCompFreq,'PDH Calc'!$K139/365)</f>
        <v>1</v>
      </c>
      <c r="V139" s="8">
        <f ca="1">_xll.HLV5r3.Analytics.Miscellaneous.Zero2DF(_xll.HLV5r3.Analytics.Miscellaneous.LinearInterp(Peturbed_QZ,$K139,1,V$1),ZeroCompFreq,'PDH Calc'!$K139/365)</f>
        <v>1</v>
      </c>
      <c r="W139" s="8">
        <f ca="1">_xll.HLV5r3.Analytics.Miscellaneous.Zero2DF(_xll.HLV5r3.Analytics.Miscellaneous.LinearInterp(Peturbed_QZ,$K139,1,W$1),ZeroCompFreq,'PDH Calc'!$K139/365)</f>
        <v>1</v>
      </c>
      <c r="X139" s="8">
        <f ca="1">_xll.HLV5r3.Analytics.Miscellaneous.Zero2DF(_xll.HLV5r3.Analytics.Miscellaneous.LinearInterp(Peturbed_QZ,$K139,1,X$1),ZeroCompFreq,'PDH Calc'!$K139/365)</f>
        <v>1</v>
      </c>
      <c r="Y139" s="8">
        <f ca="1">_xll.HLV5r3.Analytics.Miscellaneous.Zero2DF(_xll.HLV5r3.Analytics.Miscellaneous.LinearInterp(Peturbed_QZ,$K139,1,Y$1),ZeroCompFreq,'PDH Calc'!$K139/365)</f>
        <v>1</v>
      </c>
      <c r="Z139" s="8">
        <f ca="1">_xll.HLV5r3.Analytics.Miscellaneous.Zero2DF(_xll.HLV5r3.Analytics.Miscellaneous.LinearInterp(Peturbed_QZ,$K139,1,Z$1),ZeroCompFreq,'PDH Calc'!$K139/365)</f>
        <v>1</v>
      </c>
      <c r="AA139" s="8">
        <f ca="1">_xll.HLV5r3.Analytics.Miscellaneous.Zero2DF(_xll.HLV5r3.Analytics.Miscellaneous.LinearInterp(Peturbed_QZ,$K139,1,AA$1),ZeroCompFreq,'PDH Calc'!$K139/365)</f>
        <v>1</v>
      </c>
      <c r="AB139" s="8">
        <f ca="1">_xll.HLV5r3.Analytics.Miscellaneous.Zero2DF(_xll.HLV5r3.Analytics.Miscellaneous.LinearInterp(Peturbed_QZ,$K139,1,AB$1),ZeroCompFreq,'PDH Calc'!$K139/365)</f>
        <v>1</v>
      </c>
      <c r="AC139" s="8">
        <f ca="1">_xll.HLV5r3.Analytics.Miscellaneous.Zero2DF(_xll.HLV5r3.Analytics.Miscellaneous.LinearInterp(Peturbed_QZ,$K139,1,AC$1),ZeroCompFreq,'PDH Calc'!$K139/365)</f>
        <v>1</v>
      </c>
      <c r="AD139" s="8">
        <f ca="1">_xll.HLV5r3.Analytics.Miscellaneous.Zero2DF(_xll.HLV5r3.Analytics.Miscellaneous.LinearInterp(Peturbed_QZ,$K139,1,AD$1),ZeroCompFreq,'PDH Calc'!$K139/365)</f>
        <v>1</v>
      </c>
      <c r="AE139" s="8">
        <f ca="1">_xll.HLV5r3.Analytics.Miscellaneous.Zero2DF(_xll.HLV5r3.Analytics.Miscellaneous.LinearInterp(Peturbed_QZ,$K139,1,AE$1),ZeroCompFreq,'PDH Calc'!$K139/365)</f>
        <v>1</v>
      </c>
      <c r="AF139" s="8">
        <f ca="1">_xll.HLV5r3.Analytics.Miscellaneous.Zero2DF(_xll.HLV5r3.Analytics.Miscellaneous.LinearInterp(Peturbed_QZ,$K139,1,AF$1),ZeroCompFreq,'PDH Calc'!$K139/365)</f>
        <v>1</v>
      </c>
      <c r="AG139" s="8">
        <f ca="1">_xll.HLV5r3.Analytics.Miscellaneous.Zero2DF(_xll.HLV5r3.Analytics.Miscellaneous.LinearInterp(Peturbed_QZ,$K139,1,AG$1),ZeroCompFreq,'PDH Calc'!$K139/365)</f>
        <v>1</v>
      </c>
      <c r="AH139" s="8">
        <f ca="1">_xll.HLV5r3.Analytics.Miscellaneous.Zero2DF(_xll.HLV5r3.Analytics.Miscellaneous.LinearInterp(Peturbed_QZ,$K139,1,AH$1),ZeroCompFreq,'PDH Calc'!$K139/365)</f>
        <v>1</v>
      </c>
      <c r="AI139" s="8">
        <f ca="1">_xll.HLV5r3.Analytics.Miscellaneous.Zero2DF(_xll.HLV5r3.Analytics.Miscellaneous.LinearInterp(Peturbed_QZ,$K139,1,AI$1),ZeroCompFreq,'PDH Calc'!$K139/365)</f>
        <v>1</v>
      </c>
      <c r="AJ139" s="8">
        <f ca="1">_xll.HLV5r3.Analytics.Miscellaneous.Zero2DF(_xll.HLV5r3.Analytics.Miscellaneous.LinearInterp(Peturbed_QZ,$K139,1,AJ$1),ZeroCompFreq,'PDH Calc'!$K139/365)</f>
        <v>1</v>
      </c>
      <c r="AK139" s="8">
        <f ca="1">_xll.HLV5r3.Analytics.Miscellaneous.Zero2DF(_xll.HLV5r3.Analytics.Miscellaneous.LinearInterp(Peturbed_QZ,$K139,1,AK$1),ZeroCompFreq,'PDH Calc'!$K139/365)</f>
        <v>1</v>
      </c>
    </row>
    <row r="140" spans="1:37">
      <c r="A140" s="4"/>
      <c r="B140" s="6"/>
      <c r="F140" s="11"/>
      <c r="G140" s="6"/>
      <c r="H140" s="20"/>
      <c r="I140" s="21"/>
      <c r="J140" s="26"/>
      <c r="K140" s="6">
        <f t="shared" ca="1" si="8"/>
        <v>0</v>
      </c>
      <c r="L140" s="8">
        <f ca="1">_xll.HLV5r3.Analytics.Miscellaneous.Zero2DF(_xll.HLV5r3.Analytics.Miscellaneous.LinearInterp(Peturbed_QZ,$K140,1,L$1),ZeroCompFreq,'PDH Calc'!$K140/365)</f>
        <v>1</v>
      </c>
      <c r="M140" s="8">
        <f ca="1">_xll.HLV5r3.Analytics.Miscellaneous.Zero2DF(_xll.HLV5r3.Analytics.Miscellaneous.LinearInterp(Peturbed_QZ,$K140,1,M$1),ZeroCompFreq,'PDH Calc'!$K140/365)</f>
        <v>1</v>
      </c>
      <c r="N140" s="8">
        <f ca="1">_xll.HLV5r3.Analytics.Miscellaneous.Zero2DF(_xll.HLV5r3.Analytics.Miscellaneous.LinearInterp(Peturbed_QZ,$K140,1,N$1),ZeroCompFreq,'PDH Calc'!$K140/365)</f>
        <v>1</v>
      </c>
      <c r="O140" s="8">
        <f ca="1">_xll.HLV5r3.Analytics.Miscellaneous.Zero2DF(_xll.HLV5r3.Analytics.Miscellaneous.LinearInterp(Peturbed_QZ,$K140,1,O$1),ZeroCompFreq,'PDH Calc'!$K140/365)</f>
        <v>1</v>
      </c>
      <c r="P140" s="8">
        <f ca="1">_xll.HLV5r3.Analytics.Miscellaneous.Zero2DF(_xll.HLV5r3.Analytics.Miscellaneous.LinearInterp(Peturbed_QZ,$K140,1,P$1),ZeroCompFreq,'PDH Calc'!$K140/365)</f>
        <v>1</v>
      </c>
      <c r="Q140" s="8">
        <f ca="1">_xll.HLV5r3.Analytics.Miscellaneous.Zero2DF(_xll.HLV5r3.Analytics.Miscellaneous.LinearInterp(Peturbed_QZ,$K140,1,Q$1),ZeroCompFreq,'PDH Calc'!$K140/365)</f>
        <v>1</v>
      </c>
      <c r="R140" s="8">
        <f ca="1">_xll.HLV5r3.Analytics.Miscellaneous.Zero2DF(_xll.HLV5r3.Analytics.Miscellaneous.LinearInterp(Peturbed_QZ,$K140,1,R$1),ZeroCompFreq,'PDH Calc'!$K140/365)</f>
        <v>1</v>
      </c>
      <c r="S140" s="8">
        <f ca="1">_xll.HLV5r3.Analytics.Miscellaneous.Zero2DF(_xll.HLV5r3.Analytics.Miscellaneous.LinearInterp(Peturbed_QZ,$K140,1,S$1),ZeroCompFreq,'PDH Calc'!$K140/365)</f>
        <v>1</v>
      </c>
      <c r="T140" s="8">
        <f ca="1">_xll.HLV5r3.Analytics.Miscellaneous.Zero2DF(_xll.HLV5r3.Analytics.Miscellaneous.LinearInterp(Peturbed_QZ,$K140,1,T$1),ZeroCompFreq,'PDH Calc'!$K140/365)</f>
        <v>1</v>
      </c>
      <c r="U140" s="8">
        <f ca="1">_xll.HLV5r3.Analytics.Miscellaneous.Zero2DF(_xll.HLV5r3.Analytics.Miscellaneous.LinearInterp(Peturbed_QZ,$K140,1,U$1),ZeroCompFreq,'PDH Calc'!$K140/365)</f>
        <v>1</v>
      </c>
      <c r="V140" s="8">
        <f ca="1">_xll.HLV5r3.Analytics.Miscellaneous.Zero2DF(_xll.HLV5r3.Analytics.Miscellaneous.LinearInterp(Peturbed_QZ,$K140,1,V$1),ZeroCompFreq,'PDH Calc'!$K140/365)</f>
        <v>1</v>
      </c>
      <c r="W140" s="8">
        <f ca="1">_xll.HLV5r3.Analytics.Miscellaneous.Zero2DF(_xll.HLV5r3.Analytics.Miscellaneous.LinearInterp(Peturbed_QZ,$K140,1,W$1),ZeroCompFreq,'PDH Calc'!$K140/365)</f>
        <v>1</v>
      </c>
      <c r="X140" s="8">
        <f ca="1">_xll.HLV5r3.Analytics.Miscellaneous.Zero2DF(_xll.HLV5r3.Analytics.Miscellaneous.LinearInterp(Peturbed_QZ,$K140,1,X$1),ZeroCompFreq,'PDH Calc'!$K140/365)</f>
        <v>1</v>
      </c>
      <c r="Y140" s="8">
        <f ca="1">_xll.HLV5r3.Analytics.Miscellaneous.Zero2DF(_xll.HLV5r3.Analytics.Miscellaneous.LinearInterp(Peturbed_QZ,$K140,1,Y$1),ZeroCompFreq,'PDH Calc'!$K140/365)</f>
        <v>1</v>
      </c>
      <c r="Z140" s="8">
        <f ca="1">_xll.HLV5r3.Analytics.Miscellaneous.Zero2DF(_xll.HLV5r3.Analytics.Miscellaneous.LinearInterp(Peturbed_QZ,$K140,1,Z$1),ZeroCompFreq,'PDH Calc'!$K140/365)</f>
        <v>1</v>
      </c>
      <c r="AA140" s="8">
        <f ca="1">_xll.HLV5r3.Analytics.Miscellaneous.Zero2DF(_xll.HLV5r3.Analytics.Miscellaneous.LinearInterp(Peturbed_QZ,$K140,1,AA$1),ZeroCompFreq,'PDH Calc'!$K140/365)</f>
        <v>1</v>
      </c>
      <c r="AB140" s="8">
        <f ca="1">_xll.HLV5r3.Analytics.Miscellaneous.Zero2DF(_xll.HLV5r3.Analytics.Miscellaneous.LinearInterp(Peturbed_QZ,$K140,1,AB$1),ZeroCompFreq,'PDH Calc'!$K140/365)</f>
        <v>1</v>
      </c>
      <c r="AC140" s="8">
        <f ca="1">_xll.HLV5r3.Analytics.Miscellaneous.Zero2DF(_xll.HLV5r3.Analytics.Miscellaneous.LinearInterp(Peturbed_QZ,$K140,1,AC$1),ZeroCompFreq,'PDH Calc'!$K140/365)</f>
        <v>1</v>
      </c>
      <c r="AD140" s="8">
        <f ca="1">_xll.HLV5r3.Analytics.Miscellaneous.Zero2DF(_xll.HLV5r3.Analytics.Miscellaneous.LinearInterp(Peturbed_QZ,$K140,1,AD$1),ZeroCompFreq,'PDH Calc'!$K140/365)</f>
        <v>1</v>
      </c>
      <c r="AE140" s="8">
        <f ca="1">_xll.HLV5r3.Analytics.Miscellaneous.Zero2DF(_xll.HLV5r3.Analytics.Miscellaneous.LinearInterp(Peturbed_QZ,$K140,1,AE$1),ZeroCompFreq,'PDH Calc'!$K140/365)</f>
        <v>1</v>
      </c>
      <c r="AF140" s="8">
        <f ca="1">_xll.HLV5r3.Analytics.Miscellaneous.Zero2DF(_xll.HLV5r3.Analytics.Miscellaneous.LinearInterp(Peturbed_QZ,$K140,1,AF$1),ZeroCompFreq,'PDH Calc'!$K140/365)</f>
        <v>1</v>
      </c>
      <c r="AG140" s="8">
        <f ca="1">_xll.HLV5r3.Analytics.Miscellaneous.Zero2DF(_xll.HLV5r3.Analytics.Miscellaneous.LinearInterp(Peturbed_QZ,$K140,1,AG$1),ZeroCompFreq,'PDH Calc'!$K140/365)</f>
        <v>1</v>
      </c>
      <c r="AH140" s="8">
        <f ca="1">_xll.HLV5r3.Analytics.Miscellaneous.Zero2DF(_xll.HLV5r3.Analytics.Miscellaneous.LinearInterp(Peturbed_QZ,$K140,1,AH$1),ZeroCompFreq,'PDH Calc'!$K140/365)</f>
        <v>1</v>
      </c>
      <c r="AI140" s="8">
        <f ca="1">_xll.HLV5r3.Analytics.Miscellaneous.Zero2DF(_xll.HLV5r3.Analytics.Miscellaneous.LinearInterp(Peturbed_QZ,$K140,1,AI$1),ZeroCompFreq,'PDH Calc'!$K140/365)</f>
        <v>1</v>
      </c>
      <c r="AJ140" s="8">
        <f ca="1">_xll.HLV5r3.Analytics.Miscellaneous.Zero2DF(_xll.HLV5r3.Analytics.Miscellaneous.LinearInterp(Peturbed_QZ,$K140,1,AJ$1),ZeroCompFreq,'PDH Calc'!$K140/365)</f>
        <v>1</v>
      </c>
      <c r="AK140" s="8">
        <f ca="1">_xll.HLV5r3.Analytics.Miscellaneous.Zero2DF(_xll.HLV5r3.Analytics.Miscellaneous.LinearInterp(Peturbed_QZ,$K140,1,AK$1),ZeroCompFreq,'PDH Calc'!$K140/365)</f>
        <v>1</v>
      </c>
    </row>
    <row r="141" spans="1:37">
      <c r="A141" s="4"/>
      <c r="B141" s="6"/>
      <c r="F141" s="11"/>
      <c r="G141" s="6"/>
      <c r="H141" s="20"/>
      <c r="I141" s="21"/>
      <c r="J141" s="26"/>
      <c r="K141" s="6">
        <f t="shared" ca="1" si="8"/>
        <v>0</v>
      </c>
      <c r="L141" s="8">
        <f ca="1">_xll.HLV5r3.Analytics.Miscellaneous.Zero2DF(_xll.HLV5r3.Analytics.Miscellaneous.LinearInterp(Peturbed_QZ,$K141,1,L$1),ZeroCompFreq,'PDH Calc'!$K141/365)</f>
        <v>1</v>
      </c>
      <c r="M141" s="8">
        <f ca="1">_xll.HLV5r3.Analytics.Miscellaneous.Zero2DF(_xll.HLV5r3.Analytics.Miscellaneous.LinearInterp(Peturbed_QZ,$K141,1,M$1),ZeroCompFreq,'PDH Calc'!$K141/365)</f>
        <v>1</v>
      </c>
      <c r="N141" s="8">
        <f ca="1">_xll.HLV5r3.Analytics.Miscellaneous.Zero2DF(_xll.HLV5r3.Analytics.Miscellaneous.LinearInterp(Peturbed_QZ,$K141,1,N$1),ZeroCompFreq,'PDH Calc'!$K141/365)</f>
        <v>1</v>
      </c>
      <c r="O141" s="8">
        <f ca="1">_xll.HLV5r3.Analytics.Miscellaneous.Zero2DF(_xll.HLV5r3.Analytics.Miscellaneous.LinearInterp(Peturbed_QZ,$K141,1,O$1),ZeroCompFreq,'PDH Calc'!$K141/365)</f>
        <v>1</v>
      </c>
      <c r="P141" s="8">
        <f ca="1">_xll.HLV5r3.Analytics.Miscellaneous.Zero2DF(_xll.HLV5r3.Analytics.Miscellaneous.LinearInterp(Peturbed_QZ,$K141,1,P$1),ZeroCompFreq,'PDH Calc'!$K141/365)</f>
        <v>1</v>
      </c>
      <c r="Q141" s="8">
        <f ca="1">_xll.HLV5r3.Analytics.Miscellaneous.Zero2DF(_xll.HLV5r3.Analytics.Miscellaneous.LinearInterp(Peturbed_QZ,$K141,1,Q$1),ZeroCompFreq,'PDH Calc'!$K141/365)</f>
        <v>1</v>
      </c>
      <c r="R141" s="8">
        <f ca="1">_xll.HLV5r3.Analytics.Miscellaneous.Zero2DF(_xll.HLV5r3.Analytics.Miscellaneous.LinearInterp(Peturbed_QZ,$K141,1,R$1),ZeroCompFreq,'PDH Calc'!$K141/365)</f>
        <v>1</v>
      </c>
      <c r="S141" s="8">
        <f ca="1">_xll.HLV5r3.Analytics.Miscellaneous.Zero2DF(_xll.HLV5r3.Analytics.Miscellaneous.LinearInterp(Peturbed_QZ,$K141,1,S$1),ZeroCompFreq,'PDH Calc'!$K141/365)</f>
        <v>1</v>
      </c>
      <c r="T141" s="8">
        <f ca="1">_xll.HLV5r3.Analytics.Miscellaneous.Zero2DF(_xll.HLV5r3.Analytics.Miscellaneous.LinearInterp(Peturbed_QZ,$K141,1,T$1),ZeroCompFreq,'PDH Calc'!$K141/365)</f>
        <v>1</v>
      </c>
      <c r="U141" s="8">
        <f ca="1">_xll.HLV5r3.Analytics.Miscellaneous.Zero2DF(_xll.HLV5r3.Analytics.Miscellaneous.LinearInterp(Peturbed_QZ,$K141,1,U$1),ZeroCompFreq,'PDH Calc'!$K141/365)</f>
        <v>1</v>
      </c>
      <c r="V141" s="8">
        <f ca="1">_xll.HLV5r3.Analytics.Miscellaneous.Zero2DF(_xll.HLV5r3.Analytics.Miscellaneous.LinearInterp(Peturbed_QZ,$K141,1,V$1),ZeroCompFreq,'PDH Calc'!$K141/365)</f>
        <v>1</v>
      </c>
      <c r="W141" s="8">
        <f ca="1">_xll.HLV5r3.Analytics.Miscellaneous.Zero2DF(_xll.HLV5r3.Analytics.Miscellaneous.LinearInterp(Peturbed_QZ,$K141,1,W$1),ZeroCompFreq,'PDH Calc'!$K141/365)</f>
        <v>1</v>
      </c>
      <c r="X141" s="8">
        <f ca="1">_xll.HLV5r3.Analytics.Miscellaneous.Zero2DF(_xll.HLV5r3.Analytics.Miscellaneous.LinearInterp(Peturbed_QZ,$K141,1,X$1),ZeroCompFreq,'PDH Calc'!$K141/365)</f>
        <v>1</v>
      </c>
      <c r="Y141" s="8">
        <f ca="1">_xll.HLV5r3.Analytics.Miscellaneous.Zero2DF(_xll.HLV5r3.Analytics.Miscellaneous.LinearInterp(Peturbed_QZ,$K141,1,Y$1),ZeroCompFreq,'PDH Calc'!$K141/365)</f>
        <v>1</v>
      </c>
      <c r="Z141" s="8">
        <f ca="1">_xll.HLV5r3.Analytics.Miscellaneous.Zero2DF(_xll.HLV5r3.Analytics.Miscellaneous.LinearInterp(Peturbed_QZ,$K141,1,Z$1),ZeroCompFreq,'PDH Calc'!$K141/365)</f>
        <v>1</v>
      </c>
      <c r="AA141" s="8">
        <f ca="1">_xll.HLV5r3.Analytics.Miscellaneous.Zero2DF(_xll.HLV5r3.Analytics.Miscellaneous.LinearInterp(Peturbed_QZ,$K141,1,AA$1),ZeroCompFreq,'PDH Calc'!$K141/365)</f>
        <v>1</v>
      </c>
      <c r="AB141" s="8">
        <f ca="1">_xll.HLV5r3.Analytics.Miscellaneous.Zero2DF(_xll.HLV5r3.Analytics.Miscellaneous.LinearInterp(Peturbed_QZ,$K141,1,AB$1),ZeroCompFreq,'PDH Calc'!$K141/365)</f>
        <v>1</v>
      </c>
      <c r="AC141" s="8">
        <f ca="1">_xll.HLV5r3.Analytics.Miscellaneous.Zero2DF(_xll.HLV5r3.Analytics.Miscellaneous.LinearInterp(Peturbed_QZ,$K141,1,AC$1),ZeroCompFreq,'PDH Calc'!$K141/365)</f>
        <v>1</v>
      </c>
      <c r="AD141" s="8">
        <f ca="1">_xll.HLV5r3.Analytics.Miscellaneous.Zero2DF(_xll.HLV5r3.Analytics.Miscellaneous.LinearInterp(Peturbed_QZ,$K141,1,AD$1),ZeroCompFreq,'PDH Calc'!$K141/365)</f>
        <v>1</v>
      </c>
      <c r="AE141" s="8">
        <f ca="1">_xll.HLV5r3.Analytics.Miscellaneous.Zero2DF(_xll.HLV5r3.Analytics.Miscellaneous.LinearInterp(Peturbed_QZ,$K141,1,AE$1),ZeroCompFreq,'PDH Calc'!$K141/365)</f>
        <v>1</v>
      </c>
      <c r="AF141" s="8">
        <f ca="1">_xll.HLV5r3.Analytics.Miscellaneous.Zero2DF(_xll.HLV5r3.Analytics.Miscellaneous.LinearInterp(Peturbed_QZ,$K141,1,AF$1),ZeroCompFreq,'PDH Calc'!$K141/365)</f>
        <v>1</v>
      </c>
      <c r="AG141" s="8">
        <f ca="1">_xll.HLV5r3.Analytics.Miscellaneous.Zero2DF(_xll.HLV5r3.Analytics.Miscellaneous.LinearInterp(Peturbed_QZ,$K141,1,AG$1),ZeroCompFreq,'PDH Calc'!$K141/365)</f>
        <v>1</v>
      </c>
      <c r="AH141" s="8">
        <f ca="1">_xll.HLV5r3.Analytics.Miscellaneous.Zero2DF(_xll.HLV5r3.Analytics.Miscellaneous.LinearInterp(Peturbed_QZ,$K141,1,AH$1),ZeroCompFreq,'PDH Calc'!$K141/365)</f>
        <v>1</v>
      </c>
      <c r="AI141" s="8">
        <f ca="1">_xll.HLV5r3.Analytics.Miscellaneous.Zero2DF(_xll.HLV5r3.Analytics.Miscellaneous.LinearInterp(Peturbed_QZ,$K141,1,AI$1),ZeroCompFreq,'PDH Calc'!$K141/365)</f>
        <v>1</v>
      </c>
      <c r="AJ141" s="8">
        <f ca="1">_xll.HLV5r3.Analytics.Miscellaneous.Zero2DF(_xll.HLV5r3.Analytics.Miscellaneous.LinearInterp(Peturbed_QZ,$K141,1,AJ$1),ZeroCompFreq,'PDH Calc'!$K141/365)</f>
        <v>1</v>
      </c>
      <c r="AK141" s="8">
        <f ca="1">_xll.HLV5r3.Analytics.Miscellaneous.Zero2DF(_xll.HLV5r3.Analytics.Miscellaneous.LinearInterp(Peturbed_QZ,$K141,1,AK$1),ZeroCompFreq,'PDH Calc'!$K141/365)</f>
        <v>1</v>
      </c>
    </row>
    <row r="142" spans="1:37">
      <c r="A142" s="4"/>
      <c r="B142" s="6"/>
      <c r="F142" s="11"/>
      <c r="G142" s="6"/>
      <c r="H142" s="20"/>
      <c r="I142" s="21"/>
      <c r="J142" s="26"/>
      <c r="K142" s="6">
        <f t="shared" ca="1" si="8"/>
        <v>0</v>
      </c>
      <c r="L142" s="8">
        <f ca="1">_xll.HLV5r3.Analytics.Miscellaneous.Zero2DF(_xll.HLV5r3.Analytics.Miscellaneous.LinearInterp(Peturbed_QZ,$K142,1,L$1),ZeroCompFreq,'PDH Calc'!$K142/365)</f>
        <v>1</v>
      </c>
      <c r="M142" s="8">
        <f ca="1">_xll.HLV5r3.Analytics.Miscellaneous.Zero2DF(_xll.HLV5r3.Analytics.Miscellaneous.LinearInterp(Peturbed_QZ,$K142,1,M$1),ZeroCompFreq,'PDH Calc'!$K142/365)</f>
        <v>1</v>
      </c>
      <c r="N142" s="8">
        <f ca="1">_xll.HLV5r3.Analytics.Miscellaneous.Zero2DF(_xll.HLV5r3.Analytics.Miscellaneous.LinearInterp(Peturbed_QZ,$K142,1,N$1),ZeroCompFreq,'PDH Calc'!$K142/365)</f>
        <v>1</v>
      </c>
      <c r="O142" s="8">
        <f ca="1">_xll.HLV5r3.Analytics.Miscellaneous.Zero2DF(_xll.HLV5r3.Analytics.Miscellaneous.LinearInterp(Peturbed_QZ,$K142,1,O$1),ZeroCompFreq,'PDH Calc'!$K142/365)</f>
        <v>1</v>
      </c>
      <c r="P142" s="8">
        <f ca="1">_xll.HLV5r3.Analytics.Miscellaneous.Zero2DF(_xll.HLV5r3.Analytics.Miscellaneous.LinearInterp(Peturbed_QZ,$K142,1,P$1),ZeroCompFreq,'PDH Calc'!$K142/365)</f>
        <v>1</v>
      </c>
      <c r="Q142" s="8">
        <f ca="1">_xll.HLV5r3.Analytics.Miscellaneous.Zero2DF(_xll.HLV5r3.Analytics.Miscellaneous.LinearInterp(Peturbed_QZ,$K142,1,Q$1),ZeroCompFreq,'PDH Calc'!$K142/365)</f>
        <v>1</v>
      </c>
      <c r="R142" s="8">
        <f ca="1">_xll.HLV5r3.Analytics.Miscellaneous.Zero2DF(_xll.HLV5r3.Analytics.Miscellaneous.LinearInterp(Peturbed_QZ,$K142,1,R$1),ZeroCompFreq,'PDH Calc'!$K142/365)</f>
        <v>1</v>
      </c>
      <c r="S142" s="8">
        <f ca="1">_xll.HLV5r3.Analytics.Miscellaneous.Zero2DF(_xll.HLV5r3.Analytics.Miscellaneous.LinearInterp(Peturbed_QZ,$K142,1,S$1),ZeroCompFreq,'PDH Calc'!$K142/365)</f>
        <v>1</v>
      </c>
      <c r="T142" s="8">
        <f ca="1">_xll.HLV5r3.Analytics.Miscellaneous.Zero2DF(_xll.HLV5r3.Analytics.Miscellaneous.LinearInterp(Peturbed_QZ,$K142,1,T$1),ZeroCompFreq,'PDH Calc'!$K142/365)</f>
        <v>1</v>
      </c>
      <c r="U142" s="8">
        <f ca="1">_xll.HLV5r3.Analytics.Miscellaneous.Zero2DF(_xll.HLV5r3.Analytics.Miscellaneous.LinearInterp(Peturbed_QZ,$K142,1,U$1),ZeroCompFreq,'PDH Calc'!$K142/365)</f>
        <v>1</v>
      </c>
      <c r="V142" s="8">
        <f ca="1">_xll.HLV5r3.Analytics.Miscellaneous.Zero2DF(_xll.HLV5r3.Analytics.Miscellaneous.LinearInterp(Peturbed_QZ,$K142,1,V$1),ZeroCompFreq,'PDH Calc'!$K142/365)</f>
        <v>1</v>
      </c>
      <c r="W142" s="8">
        <f ca="1">_xll.HLV5r3.Analytics.Miscellaneous.Zero2DF(_xll.HLV5r3.Analytics.Miscellaneous.LinearInterp(Peturbed_QZ,$K142,1,W$1),ZeroCompFreq,'PDH Calc'!$K142/365)</f>
        <v>1</v>
      </c>
      <c r="X142" s="8">
        <f ca="1">_xll.HLV5r3.Analytics.Miscellaneous.Zero2DF(_xll.HLV5r3.Analytics.Miscellaneous.LinearInterp(Peturbed_QZ,$K142,1,X$1),ZeroCompFreq,'PDH Calc'!$K142/365)</f>
        <v>1</v>
      </c>
      <c r="Y142" s="8">
        <f ca="1">_xll.HLV5r3.Analytics.Miscellaneous.Zero2DF(_xll.HLV5r3.Analytics.Miscellaneous.LinearInterp(Peturbed_QZ,$K142,1,Y$1),ZeroCompFreq,'PDH Calc'!$K142/365)</f>
        <v>1</v>
      </c>
      <c r="Z142" s="8">
        <f ca="1">_xll.HLV5r3.Analytics.Miscellaneous.Zero2DF(_xll.HLV5r3.Analytics.Miscellaneous.LinearInterp(Peturbed_QZ,$K142,1,Z$1),ZeroCompFreq,'PDH Calc'!$K142/365)</f>
        <v>1</v>
      </c>
      <c r="AA142" s="8">
        <f ca="1">_xll.HLV5r3.Analytics.Miscellaneous.Zero2DF(_xll.HLV5r3.Analytics.Miscellaneous.LinearInterp(Peturbed_QZ,$K142,1,AA$1),ZeroCompFreq,'PDH Calc'!$K142/365)</f>
        <v>1</v>
      </c>
      <c r="AB142" s="8">
        <f ca="1">_xll.HLV5r3.Analytics.Miscellaneous.Zero2DF(_xll.HLV5r3.Analytics.Miscellaneous.LinearInterp(Peturbed_QZ,$K142,1,AB$1),ZeroCompFreq,'PDH Calc'!$K142/365)</f>
        <v>1</v>
      </c>
      <c r="AC142" s="8">
        <f ca="1">_xll.HLV5r3.Analytics.Miscellaneous.Zero2DF(_xll.HLV5r3.Analytics.Miscellaneous.LinearInterp(Peturbed_QZ,$K142,1,AC$1),ZeroCompFreq,'PDH Calc'!$K142/365)</f>
        <v>1</v>
      </c>
      <c r="AD142" s="8">
        <f ca="1">_xll.HLV5r3.Analytics.Miscellaneous.Zero2DF(_xll.HLV5r3.Analytics.Miscellaneous.LinearInterp(Peturbed_QZ,$K142,1,AD$1),ZeroCompFreq,'PDH Calc'!$K142/365)</f>
        <v>1</v>
      </c>
      <c r="AE142" s="8">
        <f ca="1">_xll.HLV5r3.Analytics.Miscellaneous.Zero2DF(_xll.HLV5r3.Analytics.Miscellaneous.LinearInterp(Peturbed_QZ,$K142,1,AE$1),ZeroCompFreq,'PDH Calc'!$K142/365)</f>
        <v>1</v>
      </c>
      <c r="AF142" s="8">
        <f ca="1">_xll.HLV5r3.Analytics.Miscellaneous.Zero2DF(_xll.HLV5r3.Analytics.Miscellaneous.LinearInterp(Peturbed_QZ,$K142,1,AF$1),ZeroCompFreq,'PDH Calc'!$K142/365)</f>
        <v>1</v>
      </c>
      <c r="AG142" s="8">
        <f ca="1">_xll.HLV5r3.Analytics.Miscellaneous.Zero2DF(_xll.HLV5r3.Analytics.Miscellaneous.LinearInterp(Peturbed_QZ,$K142,1,AG$1),ZeroCompFreq,'PDH Calc'!$K142/365)</f>
        <v>1</v>
      </c>
      <c r="AH142" s="8">
        <f ca="1">_xll.HLV5r3.Analytics.Miscellaneous.Zero2DF(_xll.HLV5r3.Analytics.Miscellaneous.LinearInterp(Peturbed_QZ,$K142,1,AH$1),ZeroCompFreq,'PDH Calc'!$K142/365)</f>
        <v>1</v>
      </c>
      <c r="AI142" s="8">
        <f ca="1">_xll.HLV5r3.Analytics.Miscellaneous.Zero2DF(_xll.HLV5r3.Analytics.Miscellaneous.LinearInterp(Peturbed_QZ,$K142,1,AI$1),ZeroCompFreq,'PDH Calc'!$K142/365)</f>
        <v>1</v>
      </c>
      <c r="AJ142" s="8">
        <f ca="1">_xll.HLV5r3.Analytics.Miscellaneous.Zero2DF(_xll.HLV5r3.Analytics.Miscellaneous.LinearInterp(Peturbed_QZ,$K142,1,AJ$1),ZeroCompFreq,'PDH Calc'!$K142/365)</f>
        <v>1</v>
      </c>
      <c r="AK142" s="8">
        <f ca="1">_xll.HLV5r3.Analytics.Miscellaneous.Zero2DF(_xll.HLV5r3.Analytics.Miscellaneous.LinearInterp(Peturbed_QZ,$K142,1,AK$1),ZeroCompFreq,'PDH Calc'!$K142/365)</f>
        <v>1</v>
      </c>
    </row>
    <row r="143" spans="1:37">
      <c r="A143" s="4"/>
      <c r="B143" s="6"/>
      <c r="F143" s="11"/>
      <c r="G143" s="6"/>
      <c r="H143" s="20"/>
      <c r="I143" s="21"/>
      <c r="J143" s="26"/>
      <c r="K143" s="6">
        <f t="shared" ca="1" si="8"/>
        <v>0</v>
      </c>
      <c r="L143" s="8">
        <f ca="1">_xll.HLV5r3.Analytics.Miscellaneous.Zero2DF(_xll.HLV5r3.Analytics.Miscellaneous.LinearInterp(Peturbed_QZ,$K143,1,L$1),ZeroCompFreq,'PDH Calc'!$K143/365)</f>
        <v>1</v>
      </c>
      <c r="M143" s="8">
        <f ca="1">_xll.HLV5r3.Analytics.Miscellaneous.Zero2DF(_xll.HLV5r3.Analytics.Miscellaneous.LinearInterp(Peturbed_QZ,$K143,1,M$1),ZeroCompFreq,'PDH Calc'!$K143/365)</f>
        <v>1</v>
      </c>
      <c r="N143" s="8">
        <f ca="1">_xll.HLV5r3.Analytics.Miscellaneous.Zero2DF(_xll.HLV5r3.Analytics.Miscellaneous.LinearInterp(Peturbed_QZ,$K143,1,N$1),ZeroCompFreq,'PDH Calc'!$K143/365)</f>
        <v>1</v>
      </c>
      <c r="O143" s="8">
        <f ca="1">_xll.HLV5r3.Analytics.Miscellaneous.Zero2DF(_xll.HLV5r3.Analytics.Miscellaneous.LinearInterp(Peturbed_QZ,$K143,1,O$1),ZeroCompFreq,'PDH Calc'!$K143/365)</f>
        <v>1</v>
      </c>
      <c r="P143" s="8">
        <f ca="1">_xll.HLV5r3.Analytics.Miscellaneous.Zero2DF(_xll.HLV5r3.Analytics.Miscellaneous.LinearInterp(Peturbed_QZ,$K143,1,P$1),ZeroCompFreq,'PDH Calc'!$K143/365)</f>
        <v>1</v>
      </c>
      <c r="Q143" s="8">
        <f ca="1">_xll.HLV5r3.Analytics.Miscellaneous.Zero2DF(_xll.HLV5r3.Analytics.Miscellaneous.LinearInterp(Peturbed_QZ,$K143,1,Q$1),ZeroCompFreq,'PDH Calc'!$K143/365)</f>
        <v>1</v>
      </c>
      <c r="R143" s="8">
        <f ca="1">_xll.HLV5r3.Analytics.Miscellaneous.Zero2DF(_xll.HLV5r3.Analytics.Miscellaneous.LinearInterp(Peturbed_QZ,$K143,1,R$1),ZeroCompFreq,'PDH Calc'!$K143/365)</f>
        <v>1</v>
      </c>
      <c r="S143" s="8">
        <f ca="1">_xll.HLV5r3.Analytics.Miscellaneous.Zero2DF(_xll.HLV5r3.Analytics.Miscellaneous.LinearInterp(Peturbed_QZ,$K143,1,S$1),ZeroCompFreq,'PDH Calc'!$K143/365)</f>
        <v>1</v>
      </c>
      <c r="T143" s="8">
        <f ca="1">_xll.HLV5r3.Analytics.Miscellaneous.Zero2DF(_xll.HLV5r3.Analytics.Miscellaneous.LinearInterp(Peturbed_QZ,$K143,1,T$1),ZeroCompFreq,'PDH Calc'!$K143/365)</f>
        <v>1</v>
      </c>
      <c r="U143" s="8">
        <f ca="1">_xll.HLV5r3.Analytics.Miscellaneous.Zero2DF(_xll.HLV5r3.Analytics.Miscellaneous.LinearInterp(Peturbed_QZ,$K143,1,U$1),ZeroCompFreq,'PDH Calc'!$K143/365)</f>
        <v>1</v>
      </c>
      <c r="V143" s="8">
        <f ca="1">_xll.HLV5r3.Analytics.Miscellaneous.Zero2DF(_xll.HLV5r3.Analytics.Miscellaneous.LinearInterp(Peturbed_QZ,$K143,1,V$1),ZeroCompFreq,'PDH Calc'!$K143/365)</f>
        <v>1</v>
      </c>
      <c r="W143" s="8">
        <f ca="1">_xll.HLV5r3.Analytics.Miscellaneous.Zero2DF(_xll.HLV5r3.Analytics.Miscellaneous.LinearInterp(Peturbed_QZ,$K143,1,W$1),ZeroCompFreq,'PDH Calc'!$K143/365)</f>
        <v>1</v>
      </c>
      <c r="X143" s="8">
        <f ca="1">_xll.HLV5r3.Analytics.Miscellaneous.Zero2DF(_xll.HLV5r3.Analytics.Miscellaneous.LinearInterp(Peturbed_QZ,$K143,1,X$1),ZeroCompFreq,'PDH Calc'!$K143/365)</f>
        <v>1</v>
      </c>
      <c r="Y143" s="8">
        <f ca="1">_xll.HLV5r3.Analytics.Miscellaneous.Zero2DF(_xll.HLV5r3.Analytics.Miscellaneous.LinearInterp(Peturbed_QZ,$K143,1,Y$1),ZeroCompFreq,'PDH Calc'!$K143/365)</f>
        <v>1</v>
      </c>
      <c r="Z143" s="8">
        <f ca="1">_xll.HLV5r3.Analytics.Miscellaneous.Zero2DF(_xll.HLV5r3.Analytics.Miscellaneous.LinearInterp(Peturbed_QZ,$K143,1,Z$1),ZeroCompFreq,'PDH Calc'!$K143/365)</f>
        <v>1</v>
      </c>
      <c r="AA143" s="8">
        <f ca="1">_xll.HLV5r3.Analytics.Miscellaneous.Zero2DF(_xll.HLV5r3.Analytics.Miscellaneous.LinearInterp(Peturbed_QZ,$K143,1,AA$1),ZeroCompFreq,'PDH Calc'!$K143/365)</f>
        <v>1</v>
      </c>
      <c r="AB143" s="8">
        <f ca="1">_xll.HLV5r3.Analytics.Miscellaneous.Zero2DF(_xll.HLV5r3.Analytics.Miscellaneous.LinearInterp(Peturbed_QZ,$K143,1,AB$1),ZeroCompFreq,'PDH Calc'!$K143/365)</f>
        <v>1</v>
      </c>
      <c r="AC143" s="8">
        <f ca="1">_xll.HLV5r3.Analytics.Miscellaneous.Zero2DF(_xll.HLV5r3.Analytics.Miscellaneous.LinearInterp(Peturbed_QZ,$K143,1,AC$1),ZeroCompFreq,'PDH Calc'!$K143/365)</f>
        <v>1</v>
      </c>
      <c r="AD143" s="8">
        <f ca="1">_xll.HLV5r3.Analytics.Miscellaneous.Zero2DF(_xll.HLV5r3.Analytics.Miscellaneous.LinearInterp(Peturbed_QZ,$K143,1,AD$1),ZeroCompFreq,'PDH Calc'!$K143/365)</f>
        <v>1</v>
      </c>
      <c r="AE143" s="8">
        <f ca="1">_xll.HLV5r3.Analytics.Miscellaneous.Zero2DF(_xll.HLV5r3.Analytics.Miscellaneous.LinearInterp(Peturbed_QZ,$K143,1,AE$1),ZeroCompFreq,'PDH Calc'!$K143/365)</f>
        <v>1</v>
      </c>
      <c r="AF143" s="8">
        <f ca="1">_xll.HLV5r3.Analytics.Miscellaneous.Zero2DF(_xll.HLV5r3.Analytics.Miscellaneous.LinearInterp(Peturbed_QZ,$K143,1,AF$1),ZeroCompFreq,'PDH Calc'!$K143/365)</f>
        <v>1</v>
      </c>
      <c r="AG143" s="8">
        <f ca="1">_xll.HLV5r3.Analytics.Miscellaneous.Zero2DF(_xll.HLV5r3.Analytics.Miscellaneous.LinearInterp(Peturbed_QZ,$K143,1,AG$1),ZeroCompFreq,'PDH Calc'!$K143/365)</f>
        <v>1</v>
      </c>
      <c r="AH143" s="8">
        <f ca="1">_xll.HLV5r3.Analytics.Miscellaneous.Zero2DF(_xll.HLV5r3.Analytics.Miscellaneous.LinearInterp(Peturbed_QZ,$K143,1,AH$1),ZeroCompFreq,'PDH Calc'!$K143/365)</f>
        <v>1</v>
      </c>
      <c r="AI143" s="8">
        <f ca="1">_xll.HLV5r3.Analytics.Miscellaneous.Zero2DF(_xll.HLV5r3.Analytics.Miscellaneous.LinearInterp(Peturbed_QZ,$K143,1,AI$1),ZeroCompFreq,'PDH Calc'!$K143/365)</f>
        <v>1</v>
      </c>
      <c r="AJ143" s="8">
        <f ca="1">_xll.HLV5r3.Analytics.Miscellaneous.Zero2DF(_xll.HLV5r3.Analytics.Miscellaneous.LinearInterp(Peturbed_QZ,$K143,1,AJ$1),ZeroCompFreq,'PDH Calc'!$K143/365)</f>
        <v>1</v>
      </c>
      <c r="AK143" s="8">
        <f ca="1">_xll.HLV5r3.Analytics.Miscellaneous.Zero2DF(_xll.HLV5r3.Analytics.Miscellaneous.LinearInterp(Peturbed_QZ,$K143,1,AK$1),ZeroCompFreq,'PDH Calc'!$K143/365)</f>
        <v>1</v>
      </c>
    </row>
    <row r="144" spans="1:37">
      <c r="A144" s="4"/>
      <c r="B144" s="6"/>
      <c r="F144" s="11"/>
      <c r="G144" s="6"/>
      <c r="H144" s="20"/>
      <c r="I144" s="21"/>
      <c r="J144" s="26"/>
      <c r="K144" s="6">
        <f t="shared" ca="1" si="8"/>
        <v>0</v>
      </c>
      <c r="L144" s="8">
        <f ca="1">_xll.HLV5r3.Analytics.Miscellaneous.Zero2DF(_xll.HLV5r3.Analytics.Miscellaneous.LinearInterp(Peturbed_QZ,$K144,1,L$1),ZeroCompFreq,'PDH Calc'!$K144/365)</f>
        <v>1</v>
      </c>
      <c r="M144" s="8">
        <f ca="1">_xll.HLV5r3.Analytics.Miscellaneous.Zero2DF(_xll.HLV5r3.Analytics.Miscellaneous.LinearInterp(Peturbed_QZ,$K144,1,M$1),ZeroCompFreq,'PDH Calc'!$K144/365)</f>
        <v>1</v>
      </c>
      <c r="N144" s="8">
        <f ca="1">_xll.HLV5r3.Analytics.Miscellaneous.Zero2DF(_xll.HLV5r3.Analytics.Miscellaneous.LinearInterp(Peturbed_QZ,$K144,1,N$1),ZeroCompFreq,'PDH Calc'!$K144/365)</f>
        <v>1</v>
      </c>
      <c r="O144" s="8">
        <f ca="1">_xll.HLV5r3.Analytics.Miscellaneous.Zero2DF(_xll.HLV5r3.Analytics.Miscellaneous.LinearInterp(Peturbed_QZ,$K144,1,O$1),ZeroCompFreq,'PDH Calc'!$K144/365)</f>
        <v>1</v>
      </c>
      <c r="P144" s="8">
        <f ca="1">_xll.HLV5r3.Analytics.Miscellaneous.Zero2DF(_xll.HLV5r3.Analytics.Miscellaneous.LinearInterp(Peturbed_QZ,$K144,1,P$1),ZeroCompFreq,'PDH Calc'!$K144/365)</f>
        <v>1</v>
      </c>
      <c r="Q144" s="8">
        <f ca="1">_xll.HLV5r3.Analytics.Miscellaneous.Zero2DF(_xll.HLV5r3.Analytics.Miscellaneous.LinearInterp(Peturbed_QZ,$K144,1,Q$1),ZeroCompFreq,'PDH Calc'!$K144/365)</f>
        <v>1</v>
      </c>
      <c r="R144" s="8">
        <f ca="1">_xll.HLV5r3.Analytics.Miscellaneous.Zero2DF(_xll.HLV5r3.Analytics.Miscellaneous.LinearInterp(Peturbed_QZ,$K144,1,R$1),ZeroCompFreq,'PDH Calc'!$K144/365)</f>
        <v>1</v>
      </c>
      <c r="S144" s="8">
        <f ca="1">_xll.HLV5r3.Analytics.Miscellaneous.Zero2DF(_xll.HLV5r3.Analytics.Miscellaneous.LinearInterp(Peturbed_QZ,$K144,1,S$1),ZeroCompFreq,'PDH Calc'!$K144/365)</f>
        <v>1</v>
      </c>
      <c r="T144" s="8">
        <f ca="1">_xll.HLV5r3.Analytics.Miscellaneous.Zero2DF(_xll.HLV5r3.Analytics.Miscellaneous.LinearInterp(Peturbed_QZ,$K144,1,T$1),ZeroCompFreq,'PDH Calc'!$K144/365)</f>
        <v>1</v>
      </c>
      <c r="U144" s="8">
        <f ca="1">_xll.HLV5r3.Analytics.Miscellaneous.Zero2DF(_xll.HLV5r3.Analytics.Miscellaneous.LinearInterp(Peturbed_QZ,$K144,1,U$1),ZeroCompFreq,'PDH Calc'!$K144/365)</f>
        <v>1</v>
      </c>
      <c r="V144" s="8">
        <f ca="1">_xll.HLV5r3.Analytics.Miscellaneous.Zero2DF(_xll.HLV5r3.Analytics.Miscellaneous.LinearInterp(Peturbed_QZ,$K144,1,V$1),ZeroCompFreq,'PDH Calc'!$K144/365)</f>
        <v>1</v>
      </c>
      <c r="W144" s="8">
        <f ca="1">_xll.HLV5r3.Analytics.Miscellaneous.Zero2DF(_xll.HLV5r3.Analytics.Miscellaneous.LinearInterp(Peturbed_QZ,$K144,1,W$1),ZeroCompFreq,'PDH Calc'!$K144/365)</f>
        <v>1</v>
      </c>
      <c r="X144" s="8">
        <f ca="1">_xll.HLV5r3.Analytics.Miscellaneous.Zero2DF(_xll.HLV5r3.Analytics.Miscellaneous.LinearInterp(Peturbed_QZ,$K144,1,X$1),ZeroCompFreq,'PDH Calc'!$K144/365)</f>
        <v>1</v>
      </c>
      <c r="Y144" s="8">
        <f ca="1">_xll.HLV5r3.Analytics.Miscellaneous.Zero2DF(_xll.HLV5r3.Analytics.Miscellaneous.LinearInterp(Peturbed_QZ,$K144,1,Y$1),ZeroCompFreq,'PDH Calc'!$K144/365)</f>
        <v>1</v>
      </c>
      <c r="Z144" s="8">
        <f ca="1">_xll.HLV5r3.Analytics.Miscellaneous.Zero2DF(_xll.HLV5r3.Analytics.Miscellaneous.LinearInterp(Peturbed_QZ,$K144,1,Z$1),ZeroCompFreq,'PDH Calc'!$K144/365)</f>
        <v>1</v>
      </c>
      <c r="AA144" s="8">
        <f ca="1">_xll.HLV5r3.Analytics.Miscellaneous.Zero2DF(_xll.HLV5r3.Analytics.Miscellaneous.LinearInterp(Peturbed_QZ,$K144,1,AA$1),ZeroCompFreq,'PDH Calc'!$K144/365)</f>
        <v>1</v>
      </c>
      <c r="AB144" s="8">
        <f ca="1">_xll.HLV5r3.Analytics.Miscellaneous.Zero2DF(_xll.HLV5r3.Analytics.Miscellaneous.LinearInterp(Peturbed_QZ,$K144,1,AB$1),ZeroCompFreq,'PDH Calc'!$K144/365)</f>
        <v>1</v>
      </c>
      <c r="AC144" s="8">
        <f ca="1">_xll.HLV5r3.Analytics.Miscellaneous.Zero2DF(_xll.HLV5r3.Analytics.Miscellaneous.LinearInterp(Peturbed_QZ,$K144,1,AC$1),ZeroCompFreq,'PDH Calc'!$K144/365)</f>
        <v>1</v>
      </c>
      <c r="AD144" s="8">
        <f ca="1">_xll.HLV5r3.Analytics.Miscellaneous.Zero2DF(_xll.HLV5r3.Analytics.Miscellaneous.LinearInterp(Peturbed_QZ,$K144,1,AD$1),ZeroCompFreq,'PDH Calc'!$K144/365)</f>
        <v>1</v>
      </c>
      <c r="AE144" s="8">
        <f ca="1">_xll.HLV5r3.Analytics.Miscellaneous.Zero2DF(_xll.HLV5r3.Analytics.Miscellaneous.LinearInterp(Peturbed_QZ,$K144,1,AE$1),ZeroCompFreq,'PDH Calc'!$K144/365)</f>
        <v>1</v>
      </c>
      <c r="AF144" s="8">
        <f ca="1">_xll.HLV5r3.Analytics.Miscellaneous.Zero2DF(_xll.HLV5r3.Analytics.Miscellaneous.LinearInterp(Peturbed_QZ,$K144,1,AF$1),ZeroCompFreq,'PDH Calc'!$K144/365)</f>
        <v>1</v>
      </c>
      <c r="AG144" s="8">
        <f ca="1">_xll.HLV5r3.Analytics.Miscellaneous.Zero2DF(_xll.HLV5r3.Analytics.Miscellaneous.LinearInterp(Peturbed_QZ,$K144,1,AG$1),ZeroCompFreq,'PDH Calc'!$K144/365)</f>
        <v>1</v>
      </c>
      <c r="AH144" s="8">
        <f ca="1">_xll.HLV5r3.Analytics.Miscellaneous.Zero2DF(_xll.HLV5r3.Analytics.Miscellaneous.LinearInterp(Peturbed_QZ,$K144,1,AH$1),ZeroCompFreq,'PDH Calc'!$K144/365)</f>
        <v>1</v>
      </c>
      <c r="AI144" s="8">
        <f ca="1">_xll.HLV5r3.Analytics.Miscellaneous.Zero2DF(_xll.HLV5r3.Analytics.Miscellaneous.LinearInterp(Peturbed_QZ,$K144,1,AI$1),ZeroCompFreq,'PDH Calc'!$K144/365)</f>
        <v>1</v>
      </c>
      <c r="AJ144" s="8">
        <f ca="1">_xll.HLV5r3.Analytics.Miscellaneous.Zero2DF(_xll.HLV5r3.Analytics.Miscellaneous.LinearInterp(Peturbed_QZ,$K144,1,AJ$1),ZeroCompFreq,'PDH Calc'!$K144/365)</f>
        <v>1</v>
      </c>
      <c r="AK144" s="8">
        <f ca="1">_xll.HLV5r3.Analytics.Miscellaneous.Zero2DF(_xll.HLV5r3.Analytics.Miscellaneous.LinearInterp(Peturbed_QZ,$K144,1,AK$1),ZeroCompFreq,'PDH Calc'!$K144/365)</f>
        <v>1</v>
      </c>
    </row>
    <row r="145" spans="1:37">
      <c r="A145" s="4"/>
      <c r="B145" s="6"/>
      <c r="F145" s="11"/>
      <c r="G145" s="6"/>
      <c r="H145" s="20"/>
      <c r="I145" s="21"/>
      <c r="J145" s="26"/>
      <c r="K145" s="6">
        <f t="shared" ca="1" si="8"/>
        <v>0</v>
      </c>
      <c r="L145" s="8">
        <f ca="1">_xll.HLV5r3.Analytics.Miscellaneous.Zero2DF(_xll.HLV5r3.Analytics.Miscellaneous.LinearInterp(Peturbed_QZ,$K145,1,L$1),ZeroCompFreq,'PDH Calc'!$K145/365)</f>
        <v>1</v>
      </c>
      <c r="M145" s="8">
        <f ca="1">_xll.HLV5r3.Analytics.Miscellaneous.Zero2DF(_xll.HLV5r3.Analytics.Miscellaneous.LinearInterp(Peturbed_QZ,$K145,1,M$1),ZeroCompFreq,'PDH Calc'!$K145/365)</f>
        <v>1</v>
      </c>
      <c r="N145" s="8">
        <f ca="1">_xll.HLV5r3.Analytics.Miscellaneous.Zero2DF(_xll.HLV5r3.Analytics.Miscellaneous.LinearInterp(Peturbed_QZ,$K145,1,N$1),ZeroCompFreq,'PDH Calc'!$K145/365)</f>
        <v>1</v>
      </c>
      <c r="O145" s="8">
        <f ca="1">_xll.HLV5r3.Analytics.Miscellaneous.Zero2DF(_xll.HLV5r3.Analytics.Miscellaneous.LinearInterp(Peturbed_QZ,$K145,1,O$1),ZeroCompFreq,'PDH Calc'!$K145/365)</f>
        <v>1</v>
      </c>
      <c r="P145" s="8">
        <f ca="1">_xll.HLV5r3.Analytics.Miscellaneous.Zero2DF(_xll.HLV5r3.Analytics.Miscellaneous.LinearInterp(Peturbed_QZ,$K145,1,P$1),ZeroCompFreq,'PDH Calc'!$K145/365)</f>
        <v>1</v>
      </c>
      <c r="Q145" s="8">
        <f ca="1">_xll.HLV5r3.Analytics.Miscellaneous.Zero2DF(_xll.HLV5r3.Analytics.Miscellaneous.LinearInterp(Peturbed_QZ,$K145,1,Q$1),ZeroCompFreq,'PDH Calc'!$K145/365)</f>
        <v>1</v>
      </c>
      <c r="R145" s="8">
        <f ca="1">_xll.HLV5r3.Analytics.Miscellaneous.Zero2DF(_xll.HLV5r3.Analytics.Miscellaneous.LinearInterp(Peturbed_QZ,$K145,1,R$1),ZeroCompFreq,'PDH Calc'!$K145/365)</f>
        <v>1</v>
      </c>
      <c r="S145" s="8">
        <f ca="1">_xll.HLV5r3.Analytics.Miscellaneous.Zero2DF(_xll.HLV5r3.Analytics.Miscellaneous.LinearInterp(Peturbed_QZ,$K145,1,S$1),ZeroCompFreq,'PDH Calc'!$K145/365)</f>
        <v>1</v>
      </c>
      <c r="T145" s="8">
        <f ca="1">_xll.HLV5r3.Analytics.Miscellaneous.Zero2DF(_xll.HLV5r3.Analytics.Miscellaneous.LinearInterp(Peturbed_QZ,$K145,1,T$1),ZeroCompFreq,'PDH Calc'!$K145/365)</f>
        <v>1</v>
      </c>
      <c r="U145" s="8">
        <f ca="1">_xll.HLV5r3.Analytics.Miscellaneous.Zero2DF(_xll.HLV5r3.Analytics.Miscellaneous.LinearInterp(Peturbed_QZ,$K145,1,U$1),ZeroCompFreq,'PDH Calc'!$K145/365)</f>
        <v>1</v>
      </c>
      <c r="V145" s="8">
        <f ca="1">_xll.HLV5r3.Analytics.Miscellaneous.Zero2DF(_xll.HLV5r3.Analytics.Miscellaneous.LinearInterp(Peturbed_QZ,$K145,1,V$1),ZeroCompFreq,'PDH Calc'!$K145/365)</f>
        <v>1</v>
      </c>
      <c r="W145" s="8">
        <f ca="1">_xll.HLV5r3.Analytics.Miscellaneous.Zero2DF(_xll.HLV5r3.Analytics.Miscellaneous.LinearInterp(Peturbed_QZ,$K145,1,W$1),ZeroCompFreq,'PDH Calc'!$K145/365)</f>
        <v>1</v>
      </c>
      <c r="X145" s="8">
        <f ca="1">_xll.HLV5r3.Analytics.Miscellaneous.Zero2DF(_xll.HLV5r3.Analytics.Miscellaneous.LinearInterp(Peturbed_QZ,$K145,1,X$1),ZeroCompFreq,'PDH Calc'!$K145/365)</f>
        <v>1</v>
      </c>
      <c r="Y145" s="8">
        <f ca="1">_xll.HLV5r3.Analytics.Miscellaneous.Zero2DF(_xll.HLV5r3.Analytics.Miscellaneous.LinearInterp(Peturbed_QZ,$K145,1,Y$1),ZeroCompFreq,'PDH Calc'!$K145/365)</f>
        <v>1</v>
      </c>
      <c r="Z145" s="8">
        <f ca="1">_xll.HLV5r3.Analytics.Miscellaneous.Zero2DF(_xll.HLV5r3.Analytics.Miscellaneous.LinearInterp(Peturbed_QZ,$K145,1,Z$1),ZeroCompFreq,'PDH Calc'!$K145/365)</f>
        <v>1</v>
      </c>
      <c r="AA145" s="8">
        <f ca="1">_xll.HLV5r3.Analytics.Miscellaneous.Zero2DF(_xll.HLV5r3.Analytics.Miscellaneous.LinearInterp(Peturbed_QZ,$K145,1,AA$1),ZeroCompFreq,'PDH Calc'!$K145/365)</f>
        <v>1</v>
      </c>
      <c r="AB145" s="8">
        <f ca="1">_xll.HLV5r3.Analytics.Miscellaneous.Zero2DF(_xll.HLV5r3.Analytics.Miscellaneous.LinearInterp(Peturbed_QZ,$K145,1,AB$1),ZeroCompFreq,'PDH Calc'!$K145/365)</f>
        <v>1</v>
      </c>
      <c r="AC145" s="8">
        <f ca="1">_xll.HLV5r3.Analytics.Miscellaneous.Zero2DF(_xll.HLV5r3.Analytics.Miscellaneous.LinearInterp(Peturbed_QZ,$K145,1,AC$1),ZeroCompFreq,'PDH Calc'!$K145/365)</f>
        <v>1</v>
      </c>
      <c r="AD145" s="8">
        <f ca="1">_xll.HLV5r3.Analytics.Miscellaneous.Zero2DF(_xll.HLV5r3.Analytics.Miscellaneous.LinearInterp(Peturbed_QZ,$K145,1,AD$1),ZeroCompFreq,'PDH Calc'!$K145/365)</f>
        <v>1</v>
      </c>
      <c r="AE145" s="8">
        <f ca="1">_xll.HLV5r3.Analytics.Miscellaneous.Zero2DF(_xll.HLV5r3.Analytics.Miscellaneous.LinearInterp(Peturbed_QZ,$K145,1,AE$1),ZeroCompFreq,'PDH Calc'!$K145/365)</f>
        <v>1</v>
      </c>
      <c r="AF145" s="8">
        <f ca="1">_xll.HLV5r3.Analytics.Miscellaneous.Zero2DF(_xll.HLV5r3.Analytics.Miscellaneous.LinearInterp(Peturbed_QZ,$K145,1,AF$1),ZeroCompFreq,'PDH Calc'!$K145/365)</f>
        <v>1</v>
      </c>
      <c r="AG145" s="8">
        <f ca="1">_xll.HLV5r3.Analytics.Miscellaneous.Zero2DF(_xll.HLV5r3.Analytics.Miscellaneous.LinearInterp(Peturbed_QZ,$K145,1,AG$1),ZeroCompFreq,'PDH Calc'!$K145/365)</f>
        <v>1</v>
      </c>
      <c r="AH145" s="8">
        <f ca="1">_xll.HLV5r3.Analytics.Miscellaneous.Zero2DF(_xll.HLV5r3.Analytics.Miscellaneous.LinearInterp(Peturbed_QZ,$K145,1,AH$1),ZeroCompFreq,'PDH Calc'!$K145/365)</f>
        <v>1</v>
      </c>
      <c r="AI145" s="8">
        <f ca="1">_xll.HLV5r3.Analytics.Miscellaneous.Zero2DF(_xll.HLV5r3.Analytics.Miscellaneous.LinearInterp(Peturbed_QZ,$K145,1,AI$1),ZeroCompFreq,'PDH Calc'!$K145/365)</f>
        <v>1</v>
      </c>
      <c r="AJ145" s="8">
        <f ca="1">_xll.HLV5r3.Analytics.Miscellaneous.Zero2DF(_xll.HLV5r3.Analytics.Miscellaneous.LinearInterp(Peturbed_QZ,$K145,1,AJ$1),ZeroCompFreq,'PDH Calc'!$K145/365)</f>
        <v>1</v>
      </c>
      <c r="AK145" s="8">
        <f ca="1">_xll.HLV5r3.Analytics.Miscellaneous.Zero2DF(_xll.HLV5r3.Analytics.Miscellaneous.LinearInterp(Peturbed_QZ,$K145,1,AK$1),ZeroCompFreq,'PDH Calc'!$K145/365)</f>
        <v>1</v>
      </c>
    </row>
    <row r="146" spans="1:37">
      <c r="A146" s="4"/>
      <c r="B146" s="6"/>
      <c r="F146" s="11"/>
      <c r="G146" s="6"/>
      <c r="H146" s="20"/>
      <c r="I146" s="21"/>
      <c r="J146" s="26"/>
      <c r="K146" s="6">
        <f t="shared" ca="1" si="8"/>
        <v>0</v>
      </c>
      <c r="L146" s="8">
        <f ca="1">_xll.HLV5r3.Analytics.Miscellaneous.Zero2DF(_xll.HLV5r3.Analytics.Miscellaneous.LinearInterp(Peturbed_QZ,$K146,1,L$1),ZeroCompFreq,'PDH Calc'!$K146/365)</f>
        <v>1</v>
      </c>
      <c r="M146" s="8">
        <f ca="1">_xll.HLV5r3.Analytics.Miscellaneous.Zero2DF(_xll.HLV5r3.Analytics.Miscellaneous.LinearInterp(Peturbed_QZ,$K146,1,M$1),ZeroCompFreq,'PDH Calc'!$K146/365)</f>
        <v>1</v>
      </c>
      <c r="N146" s="8">
        <f ca="1">_xll.HLV5r3.Analytics.Miscellaneous.Zero2DF(_xll.HLV5r3.Analytics.Miscellaneous.LinearInterp(Peturbed_QZ,$K146,1,N$1),ZeroCompFreq,'PDH Calc'!$K146/365)</f>
        <v>1</v>
      </c>
      <c r="O146" s="8">
        <f ca="1">_xll.HLV5r3.Analytics.Miscellaneous.Zero2DF(_xll.HLV5r3.Analytics.Miscellaneous.LinearInterp(Peturbed_QZ,$K146,1,O$1),ZeroCompFreq,'PDH Calc'!$K146/365)</f>
        <v>1</v>
      </c>
      <c r="P146" s="8">
        <f ca="1">_xll.HLV5r3.Analytics.Miscellaneous.Zero2DF(_xll.HLV5r3.Analytics.Miscellaneous.LinearInterp(Peturbed_QZ,$K146,1,P$1),ZeroCompFreq,'PDH Calc'!$K146/365)</f>
        <v>1</v>
      </c>
      <c r="Q146" s="8">
        <f ca="1">_xll.HLV5r3.Analytics.Miscellaneous.Zero2DF(_xll.HLV5r3.Analytics.Miscellaneous.LinearInterp(Peturbed_QZ,$K146,1,Q$1),ZeroCompFreq,'PDH Calc'!$K146/365)</f>
        <v>1</v>
      </c>
      <c r="R146" s="8">
        <f ca="1">_xll.HLV5r3.Analytics.Miscellaneous.Zero2DF(_xll.HLV5r3.Analytics.Miscellaneous.LinearInterp(Peturbed_QZ,$K146,1,R$1),ZeroCompFreq,'PDH Calc'!$K146/365)</f>
        <v>1</v>
      </c>
      <c r="S146" s="8">
        <f ca="1">_xll.HLV5r3.Analytics.Miscellaneous.Zero2DF(_xll.HLV5r3.Analytics.Miscellaneous.LinearInterp(Peturbed_QZ,$K146,1,S$1),ZeroCompFreq,'PDH Calc'!$K146/365)</f>
        <v>1</v>
      </c>
      <c r="T146" s="8">
        <f ca="1">_xll.HLV5r3.Analytics.Miscellaneous.Zero2DF(_xll.HLV5r3.Analytics.Miscellaneous.LinearInterp(Peturbed_QZ,$K146,1,T$1),ZeroCompFreq,'PDH Calc'!$K146/365)</f>
        <v>1</v>
      </c>
      <c r="U146" s="8">
        <f ca="1">_xll.HLV5r3.Analytics.Miscellaneous.Zero2DF(_xll.HLV5r3.Analytics.Miscellaneous.LinearInterp(Peturbed_QZ,$K146,1,U$1),ZeroCompFreq,'PDH Calc'!$K146/365)</f>
        <v>1</v>
      </c>
      <c r="V146" s="8">
        <f ca="1">_xll.HLV5r3.Analytics.Miscellaneous.Zero2DF(_xll.HLV5r3.Analytics.Miscellaneous.LinearInterp(Peturbed_QZ,$K146,1,V$1),ZeroCompFreq,'PDH Calc'!$K146/365)</f>
        <v>1</v>
      </c>
      <c r="W146" s="8">
        <f ca="1">_xll.HLV5r3.Analytics.Miscellaneous.Zero2DF(_xll.HLV5r3.Analytics.Miscellaneous.LinearInterp(Peturbed_QZ,$K146,1,W$1),ZeroCompFreq,'PDH Calc'!$K146/365)</f>
        <v>1</v>
      </c>
      <c r="X146" s="8">
        <f ca="1">_xll.HLV5r3.Analytics.Miscellaneous.Zero2DF(_xll.HLV5r3.Analytics.Miscellaneous.LinearInterp(Peturbed_QZ,$K146,1,X$1),ZeroCompFreq,'PDH Calc'!$K146/365)</f>
        <v>1</v>
      </c>
      <c r="Y146" s="8">
        <f ca="1">_xll.HLV5r3.Analytics.Miscellaneous.Zero2DF(_xll.HLV5r3.Analytics.Miscellaneous.LinearInterp(Peturbed_QZ,$K146,1,Y$1),ZeroCompFreq,'PDH Calc'!$K146/365)</f>
        <v>1</v>
      </c>
      <c r="Z146" s="8">
        <f ca="1">_xll.HLV5r3.Analytics.Miscellaneous.Zero2DF(_xll.HLV5r3.Analytics.Miscellaneous.LinearInterp(Peturbed_QZ,$K146,1,Z$1),ZeroCompFreq,'PDH Calc'!$K146/365)</f>
        <v>1</v>
      </c>
      <c r="AA146" s="8">
        <f ca="1">_xll.HLV5r3.Analytics.Miscellaneous.Zero2DF(_xll.HLV5r3.Analytics.Miscellaneous.LinearInterp(Peturbed_QZ,$K146,1,AA$1),ZeroCompFreq,'PDH Calc'!$K146/365)</f>
        <v>1</v>
      </c>
      <c r="AB146" s="8">
        <f ca="1">_xll.HLV5r3.Analytics.Miscellaneous.Zero2DF(_xll.HLV5r3.Analytics.Miscellaneous.LinearInterp(Peturbed_QZ,$K146,1,AB$1),ZeroCompFreq,'PDH Calc'!$K146/365)</f>
        <v>1</v>
      </c>
      <c r="AC146" s="8">
        <f ca="1">_xll.HLV5r3.Analytics.Miscellaneous.Zero2DF(_xll.HLV5r3.Analytics.Miscellaneous.LinearInterp(Peturbed_QZ,$K146,1,AC$1),ZeroCompFreq,'PDH Calc'!$K146/365)</f>
        <v>1</v>
      </c>
      <c r="AD146" s="8">
        <f ca="1">_xll.HLV5r3.Analytics.Miscellaneous.Zero2DF(_xll.HLV5r3.Analytics.Miscellaneous.LinearInterp(Peturbed_QZ,$K146,1,AD$1),ZeroCompFreq,'PDH Calc'!$K146/365)</f>
        <v>1</v>
      </c>
      <c r="AE146" s="8">
        <f ca="1">_xll.HLV5r3.Analytics.Miscellaneous.Zero2DF(_xll.HLV5r3.Analytics.Miscellaneous.LinearInterp(Peturbed_QZ,$K146,1,AE$1),ZeroCompFreq,'PDH Calc'!$K146/365)</f>
        <v>1</v>
      </c>
      <c r="AF146" s="8">
        <f ca="1">_xll.HLV5r3.Analytics.Miscellaneous.Zero2DF(_xll.HLV5r3.Analytics.Miscellaneous.LinearInterp(Peturbed_QZ,$K146,1,AF$1),ZeroCompFreq,'PDH Calc'!$K146/365)</f>
        <v>1</v>
      </c>
      <c r="AG146" s="8">
        <f ca="1">_xll.HLV5r3.Analytics.Miscellaneous.Zero2DF(_xll.HLV5r3.Analytics.Miscellaneous.LinearInterp(Peturbed_QZ,$K146,1,AG$1),ZeroCompFreq,'PDH Calc'!$K146/365)</f>
        <v>1</v>
      </c>
      <c r="AH146" s="8">
        <f ca="1">_xll.HLV5r3.Analytics.Miscellaneous.Zero2DF(_xll.HLV5r3.Analytics.Miscellaneous.LinearInterp(Peturbed_QZ,$K146,1,AH$1),ZeroCompFreq,'PDH Calc'!$K146/365)</f>
        <v>1</v>
      </c>
      <c r="AI146" s="8">
        <f ca="1">_xll.HLV5r3.Analytics.Miscellaneous.Zero2DF(_xll.HLV5r3.Analytics.Miscellaneous.LinearInterp(Peturbed_QZ,$K146,1,AI$1),ZeroCompFreq,'PDH Calc'!$K146/365)</f>
        <v>1</v>
      </c>
      <c r="AJ146" s="8">
        <f ca="1">_xll.HLV5r3.Analytics.Miscellaneous.Zero2DF(_xll.HLV5r3.Analytics.Miscellaneous.LinearInterp(Peturbed_QZ,$K146,1,AJ$1),ZeroCompFreq,'PDH Calc'!$K146/365)</f>
        <v>1</v>
      </c>
      <c r="AK146" s="8">
        <f ca="1">_xll.HLV5r3.Analytics.Miscellaneous.Zero2DF(_xll.HLV5r3.Analytics.Miscellaneous.LinearInterp(Peturbed_QZ,$K146,1,AK$1),ZeroCompFreq,'PDH Calc'!$K146/365)</f>
        <v>1</v>
      </c>
    </row>
    <row r="147" spans="1:37">
      <c r="A147" s="4"/>
      <c r="B147" s="6"/>
      <c r="F147" s="11"/>
      <c r="G147" s="6"/>
      <c r="H147" s="20"/>
      <c r="I147" s="21"/>
      <c r="J147" s="26"/>
      <c r="K147" s="6">
        <f t="shared" ca="1" si="8"/>
        <v>0</v>
      </c>
      <c r="L147" s="8">
        <f ca="1">_xll.HLV5r3.Analytics.Miscellaneous.Zero2DF(_xll.HLV5r3.Analytics.Miscellaneous.LinearInterp(Peturbed_QZ,$K147,1,L$1),ZeroCompFreq,'PDH Calc'!$K147/365)</f>
        <v>1</v>
      </c>
      <c r="M147" s="8">
        <f ca="1">_xll.HLV5r3.Analytics.Miscellaneous.Zero2DF(_xll.HLV5r3.Analytics.Miscellaneous.LinearInterp(Peturbed_QZ,$K147,1,M$1),ZeroCompFreq,'PDH Calc'!$K147/365)</f>
        <v>1</v>
      </c>
      <c r="N147" s="8">
        <f ca="1">_xll.HLV5r3.Analytics.Miscellaneous.Zero2DF(_xll.HLV5r3.Analytics.Miscellaneous.LinearInterp(Peturbed_QZ,$K147,1,N$1),ZeroCompFreq,'PDH Calc'!$K147/365)</f>
        <v>1</v>
      </c>
      <c r="O147" s="8">
        <f ca="1">_xll.HLV5r3.Analytics.Miscellaneous.Zero2DF(_xll.HLV5r3.Analytics.Miscellaneous.LinearInterp(Peturbed_QZ,$K147,1,O$1),ZeroCompFreq,'PDH Calc'!$K147/365)</f>
        <v>1</v>
      </c>
      <c r="P147" s="8">
        <f ca="1">_xll.HLV5r3.Analytics.Miscellaneous.Zero2DF(_xll.HLV5r3.Analytics.Miscellaneous.LinearInterp(Peturbed_QZ,$K147,1,P$1),ZeroCompFreq,'PDH Calc'!$K147/365)</f>
        <v>1</v>
      </c>
      <c r="Q147" s="8">
        <f ca="1">_xll.HLV5r3.Analytics.Miscellaneous.Zero2DF(_xll.HLV5r3.Analytics.Miscellaneous.LinearInterp(Peturbed_QZ,$K147,1,Q$1),ZeroCompFreq,'PDH Calc'!$K147/365)</f>
        <v>1</v>
      </c>
      <c r="R147" s="8">
        <f ca="1">_xll.HLV5r3.Analytics.Miscellaneous.Zero2DF(_xll.HLV5r3.Analytics.Miscellaneous.LinearInterp(Peturbed_QZ,$K147,1,R$1),ZeroCompFreq,'PDH Calc'!$K147/365)</f>
        <v>1</v>
      </c>
      <c r="S147" s="8">
        <f ca="1">_xll.HLV5r3.Analytics.Miscellaneous.Zero2DF(_xll.HLV5r3.Analytics.Miscellaneous.LinearInterp(Peturbed_QZ,$K147,1,S$1),ZeroCompFreq,'PDH Calc'!$K147/365)</f>
        <v>1</v>
      </c>
      <c r="T147" s="8">
        <f ca="1">_xll.HLV5r3.Analytics.Miscellaneous.Zero2DF(_xll.HLV5r3.Analytics.Miscellaneous.LinearInterp(Peturbed_QZ,$K147,1,T$1),ZeroCompFreq,'PDH Calc'!$K147/365)</f>
        <v>1</v>
      </c>
      <c r="U147" s="8">
        <f ca="1">_xll.HLV5r3.Analytics.Miscellaneous.Zero2DF(_xll.HLV5r3.Analytics.Miscellaneous.LinearInterp(Peturbed_QZ,$K147,1,U$1),ZeroCompFreq,'PDH Calc'!$K147/365)</f>
        <v>1</v>
      </c>
      <c r="V147" s="8">
        <f ca="1">_xll.HLV5r3.Analytics.Miscellaneous.Zero2DF(_xll.HLV5r3.Analytics.Miscellaneous.LinearInterp(Peturbed_QZ,$K147,1,V$1),ZeroCompFreq,'PDH Calc'!$K147/365)</f>
        <v>1</v>
      </c>
      <c r="W147" s="8">
        <f ca="1">_xll.HLV5r3.Analytics.Miscellaneous.Zero2DF(_xll.HLV5r3.Analytics.Miscellaneous.LinearInterp(Peturbed_QZ,$K147,1,W$1),ZeroCompFreq,'PDH Calc'!$K147/365)</f>
        <v>1</v>
      </c>
      <c r="X147" s="8">
        <f ca="1">_xll.HLV5r3.Analytics.Miscellaneous.Zero2DF(_xll.HLV5r3.Analytics.Miscellaneous.LinearInterp(Peturbed_QZ,$K147,1,X$1),ZeroCompFreq,'PDH Calc'!$K147/365)</f>
        <v>1</v>
      </c>
      <c r="Y147" s="8">
        <f ca="1">_xll.HLV5r3.Analytics.Miscellaneous.Zero2DF(_xll.HLV5r3.Analytics.Miscellaneous.LinearInterp(Peturbed_QZ,$K147,1,Y$1),ZeroCompFreq,'PDH Calc'!$K147/365)</f>
        <v>1</v>
      </c>
      <c r="Z147" s="8">
        <f ca="1">_xll.HLV5r3.Analytics.Miscellaneous.Zero2DF(_xll.HLV5r3.Analytics.Miscellaneous.LinearInterp(Peturbed_QZ,$K147,1,Z$1),ZeroCompFreq,'PDH Calc'!$K147/365)</f>
        <v>1</v>
      </c>
      <c r="AA147" s="8">
        <f ca="1">_xll.HLV5r3.Analytics.Miscellaneous.Zero2DF(_xll.HLV5r3.Analytics.Miscellaneous.LinearInterp(Peturbed_QZ,$K147,1,AA$1),ZeroCompFreq,'PDH Calc'!$K147/365)</f>
        <v>1</v>
      </c>
      <c r="AB147" s="8">
        <f ca="1">_xll.HLV5r3.Analytics.Miscellaneous.Zero2DF(_xll.HLV5r3.Analytics.Miscellaneous.LinearInterp(Peturbed_QZ,$K147,1,AB$1),ZeroCompFreq,'PDH Calc'!$K147/365)</f>
        <v>1</v>
      </c>
      <c r="AC147" s="8">
        <f ca="1">_xll.HLV5r3.Analytics.Miscellaneous.Zero2DF(_xll.HLV5r3.Analytics.Miscellaneous.LinearInterp(Peturbed_QZ,$K147,1,AC$1),ZeroCompFreq,'PDH Calc'!$K147/365)</f>
        <v>1</v>
      </c>
      <c r="AD147" s="8">
        <f ca="1">_xll.HLV5r3.Analytics.Miscellaneous.Zero2DF(_xll.HLV5r3.Analytics.Miscellaneous.LinearInterp(Peturbed_QZ,$K147,1,AD$1),ZeroCompFreq,'PDH Calc'!$K147/365)</f>
        <v>1</v>
      </c>
      <c r="AE147" s="8">
        <f ca="1">_xll.HLV5r3.Analytics.Miscellaneous.Zero2DF(_xll.HLV5r3.Analytics.Miscellaneous.LinearInterp(Peturbed_QZ,$K147,1,AE$1),ZeroCompFreq,'PDH Calc'!$K147/365)</f>
        <v>1</v>
      </c>
      <c r="AF147" s="8">
        <f ca="1">_xll.HLV5r3.Analytics.Miscellaneous.Zero2DF(_xll.HLV5r3.Analytics.Miscellaneous.LinearInterp(Peturbed_QZ,$K147,1,AF$1),ZeroCompFreq,'PDH Calc'!$K147/365)</f>
        <v>1</v>
      </c>
      <c r="AG147" s="8">
        <f ca="1">_xll.HLV5r3.Analytics.Miscellaneous.Zero2DF(_xll.HLV5r3.Analytics.Miscellaneous.LinearInterp(Peturbed_QZ,$K147,1,AG$1),ZeroCompFreq,'PDH Calc'!$K147/365)</f>
        <v>1</v>
      </c>
      <c r="AH147" s="8">
        <f ca="1">_xll.HLV5r3.Analytics.Miscellaneous.Zero2DF(_xll.HLV5r3.Analytics.Miscellaneous.LinearInterp(Peturbed_QZ,$K147,1,AH$1),ZeroCompFreq,'PDH Calc'!$K147/365)</f>
        <v>1</v>
      </c>
      <c r="AI147" s="8">
        <f ca="1">_xll.HLV5r3.Analytics.Miscellaneous.Zero2DF(_xll.HLV5r3.Analytics.Miscellaneous.LinearInterp(Peturbed_QZ,$K147,1,AI$1),ZeroCompFreq,'PDH Calc'!$K147/365)</f>
        <v>1</v>
      </c>
      <c r="AJ147" s="8">
        <f ca="1">_xll.HLV5r3.Analytics.Miscellaneous.Zero2DF(_xll.HLV5r3.Analytics.Miscellaneous.LinearInterp(Peturbed_QZ,$K147,1,AJ$1),ZeroCompFreq,'PDH Calc'!$K147/365)</f>
        <v>1</v>
      </c>
      <c r="AK147" s="8">
        <f ca="1">_xll.HLV5r3.Analytics.Miscellaneous.Zero2DF(_xll.HLV5r3.Analytics.Miscellaneous.LinearInterp(Peturbed_QZ,$K147,1,AK$1),ZeroCompFreq,'PDH Calc'!$K147/365)</f>
        <v>1</v>
      </c>
    </row>
    <row r="148" spans="1:37">
      <c r="A148" s="4"/>
      <c r="B148" s="6"/>
      <c r="F148" s="11"/>
      <c r="G148" s="6"/>
      <c r="H148" s="20"/>
      <c r="I148" s="21"/>
      <c r="J148" s="26"/>
      <c r="K148" s="6">
        <f t="shared" ca="1" si="8"/>
        <v>0</v>
      </c>
      <c r="L148" s="8">
        <f ca="1">_xll.HLV5r3.Analytics.Miscellaneous.Zero2DF(_xll.HLV5r3.Analytics.Miscellaneous.LinearInterp(Peturbed_QZ,$K148,1,L$1),ZeroCompFreq,'PDH Calc'!$K148/365)</f>
        <v>1</v>
      </c>
      <c r="M148" s="8">
        <f ca="1">_xll.HLV5r3.Analytics.Miscellaneous.Zero2DF(_xll.HLV5r3.Analytics.Miscellaneous.LinearInterp(Peturbed_QZ,$K148,1,M$1),ZeroCompFreq,'PDH Calc'!$K148/365)</f>
        <v>1</v>
      </c>
      <c r="N148" s="8">
        <f ca="1">_xll.HLV5r3.Analytics.Miscellaneous.Zero2DF(_xll.HLV5r3.Analytics.Miscellaneous.LinearInterp(Peturbed_QZ,$K148,1,N$1),ZeroCompFreq,'PDH Calc'!$K148/365)</f>
        <v>1</v>
      </c>
      <c r="O148" s="8">
        <f ca="1">_xll.HLV5r3.Analytics.Miscellaneous.Zero2DF(_xll.HLV5r3.Analytics.Miscellaneous.LinearInterp(Peturbed_QZ,$K148,1,O$1),ZeroCompFreq,'PDH Calc'!$K148/365)</f>
        <v>1</v>
      </c>
      <c r="P148" s="8">
        <f ca="1">_xll.HLV5r3.Analytics.Miscellaneous.Zero2DF(_xll.HLV5r3.Analytics.Miscellaneous.LinearInterp(Peturbed_QZ,$K148,1,P$1),ZeroCompFreq,'PDH Calc'!$K148/365)</f>
        <v>1</v>
      </c>
      <c r="Q148" s="8">
        <f ca="1">_xll.HLV5r3.Analytics.Miscellaneous.Zero2DF(_xll.HLV5r3.Analytics.Miscellaneous.LinearInterp(Peturbed_QZ,$K148,1,Q$1),ZeroCompFreq,'PDH Calc'!$K148/365)</f>
        <v>1</v>
      </c>
      <c r="R148" s="8">
        <f ca="1">_xll.HLV5r3.Analytics.Miscellaneous.Zero2DF(_xll.HLV5r3.Analytics.Miscellaneous.LinearInterp(Peturbed_QZ,$K148,1,R$1),ZeroCompFreq,'PDH Calc'!$K148/365)</f>
        <v>1</v>
      </c>
      <c r="S148" s="8">
        <f ca="1">_xll.HLV5r3.Analytics.Miscellaneous.Zero2DF(_xll.HLV5r3.Analytics.Miscellaneous.LinearInterp(Peturbed_QZ,$K148,1,S$1),ZeroCompFreq,'PDH Calc'!$K148/365)</f>
        <v>1</v>
      </c>
      <c r="T148" s="8">
        <f ca="1">_xll.HLV5r3.Analytics.Miscellaneous.Zero2DF(_xll.HLV5r3.Analytics.Miscellaneous.LinearInterp(Peturbed_QZ,$K148,1,T$1),ZeroCompFreq,'PDH Calc'!$K148/365)</f>
        <v>1</v>
      </c>
      <c r="U148" s="8">
        <f ca="1">_xll.HLV5r3.Analytics.Miscellaneous.Zero2DF(_xll.HLV5r3.Analytics.Miscellaneous.LinearInterp(Peturbed_QZ,$K148,1,U$1),ZeroCompFreq,'PDH Calc'!$K148/365)</f>
        <v>1</v>
      </c>
      <c r="V148" s="8">
        <f ca="1">_xll.HLV5r3.Analytics.Miscellaneous.Zero2DF(_xll.HLV5r3.Analytics.Miscellaneous.LinearInterp(Peturbed_QZ,$K148,1,V$1),ZeroCompFreq,'PDH Calc'!$K148/365)</f>
        <v>1</v>
      </c>
      <c r="W148" s="8">
        <f ca="1">_xll.HLV5r3.Analytics.Miscellaneous.Zero2DF(_xll.HLV5r3.Analytics.Miscellaneous.LinearInterp(Peturbed_QZ,$K148,1,W$1),ZeroCompFreq,'PDH Calc'!$K148/365)</f>
        <v>1</v>
      </c>
      <c r="X148" s="8">
        <f ca="1">_xll.HLV5r3.Analytics.Miscellaneous.Zero2DF(_xll.HLV5r3.Analytics.Miscellaneous.LinearInterp(Peturbed_QZ,$K148,1,X$1),ZeroCompFreq,'PDH Calc'!$K148/365)</f>
        <v>1</v>
      </c>
      <c r="Y148" s="8">
        <f ca="1">_xll.HLV5r3.Analytics.Miscellaneous.Zero2DF(_xll.HLV5r3.Analytics.Miscellaneous.LinearInterp(Peturbed_QZ,$K148,1,Y$1),ZeroCompFreq,'PDH Calc'!$K148/365)</f>
        <v>1</v>
      </c>
      <c r="Z148" s="8">
        <f ca="1">_xll.HLV5r3.Analytics.Miscellaneous.Zero2DF(_xll.HLV5r3.Analytics.Miscellaneous.LinearInterp(Peturbed_QZ,$K148,1,Z$1),ZeroCompFreq,'PDH Calc'!$K148/365)</f>
        <v>1</v>
      </c>
      <c r="AA148" s="8">
        <f ca="1">_xll.HLV5r3.Analytics.Miscellaneous.Zero2DF(_xll.HLV5r3.Analytics.Miscellaneous.LinearInterp(Peturbed_QZ,$K148,1,AA$1),ZeroCompFreq,'PDH Calc'!$K148/365)</f>
        <v>1</v>
      </c>
      <c r="AB148" s="8">
        <f ca="1">_xll.HLV5r3.Analytics.Miscellaneous.Zero2DF(_xll.HLV5r3.Analytics.Miscellaneous.LinearInterp(Peturbed_QZ,$K148,1,AB$1),ZeroCompFreq,'PDH Calc'!$K148/365)</f>
        <v>1</v>
      </c>
      <c r="AC148" s="8">
        <f ca="1">_xll.HLV5r3.Analytics.Miscellaneous.Zero2DF(_xll.HLV5r3.Analytics.Miscellaneous.LinearInterp(Peturbed_QZ,$K148,1,AC$1),ZeroCompFreq,'PDH Calc'!$K148/365)</f>
        <v>1</v>
      </c>
      <c r="AD148" s="8">
        <f ca="1">_xll.HLV5r3.Analytics.Miscellaneous.Zero2DF(_xll.HLV5r3.Analytics.Miscellaneous.LinearInterp(Peturbed_QZ,$K148,1,AD$1),ZeroCompFreq,'PDH Calc'!$K148/365)</f>
        <v>1</v>
      </c>
      <c r="AE148" s="8">
        <f ca="1">_xll.HLV5r3.Analytics.Miscellaneous.Zero2DF(_xll.HLV5r3.Analytics.Miscellaneous.LinearInterp(Peturbed_QZ,$K148,1,AE$1),ZeroCompFreq,'PDH Calc'!$K148/365)</f>
        <v>1</v>
      </c>
      <c r="AF148" s="8">
        <f ca="1">_xll.HLV5r3.Analytics.Miscellaneous.Zero2DF(_xll.HLV5r3.Analytics.Miscellaneous.LinearInterp(Peturbed_QZ,$K148,1,AF$1),ZeroCompFreq,'PDH Calc'!$K148/365)</f>
        <v>1</v>
      </c>
      <c r="AG148" s="8">
        <f ca="1">_xll.HLV5r3.Analytics.Miscellaneous.Zero2DF(_xll.HLV5r3.Analytics.Miscellaneous.LinearInterp(Peturbed_QZ,$K148,1,AG$1),ZeroCompFreq,'PDH Calc'!$K148/365)</f>
        <v>1</v>
      </c>
      <c r="AH148" s="8">
        <f ca="1">_xll.HLV5r3.Analytics.Miscellaneous.Zero2DF(_xll.HLV5r3.Analytics.Miscellaneous.LinearInterp(Peturbed_QZ,$K148,1,AH$1),ZeroCompFreq,'PDH Calc'!$K148/365)</f>
        <v>1</v>
      </c>
      <c r="AI148" s="8">
        <f ca="1">_xll.HLV5r3.Analytics.Miscellaneous.Zero2DF(_xll.HLV5r3.Analytics.Miscellaneous.LinearInterp(Peturbed_QZ,$K148,1,AI$1),ZeroCompFreq,'PDH Calc'!$K148/365)</f>
        <v>1</v>
      </c>
      <c r="AJ148" s="8">
        <f ca="1">_xll.HLV5r3.Analytics.Miscellaneous.Zero2DF(_xll.HLV5r3.Analytics.Miscellaneous.LinearInterp(Peturbed_QZ,$K148,1,AJ$1),ZeroCompFreq,'PDH Calc'!$K148/365)</f>
        <v>1</v>
      </c>
      <c r="AK148" s="8">
        <f ca="1">_xll.HLV5r3.Analytics.Miscellaneous.Zero2DF(_xll.HLV5r3.Analytics.Miscellaneous.LinearInterp(Peturbed_QZ,$K148,1,AK$1),ZeroCompFreq,'PDH Calc'!$K148/365)</f>
        <v>1</v>
      </c>
    </row>
    <row r="149" spans="1:37">
      <c r="A149" s="4"/>
      <c r="B149" s="6"/>
      <c r="F149" s="11"/>
      <c r="G149" s="6"/>
      <c r="H149" s="20"/>
      <c r="I149" s="21"/>
      <c r="J149" s="26"/>
      <c r="K149" s="6">
        <f t="shared" ca="1" si="8"/>
        <v>0</v>
      </c>
      <c r="L149" s="8">
        <f ca="1">_xll.HLV5r3.Analytics.Miscellaneous.Zero2DF(_xll.HLV5r3.Analytics.Miscellaneous.LinearInterp(Peturbed_QZ,$K149,1,L$1),ZeroCompFreq,'PDH Calc'!$K149/365)</f>
        <v>1</v>
      </c>
      <c r="M149" s="8">
        <f ca="1">_xll.HLV5r3.Analytics.Miscellaneous.Zero2DF(_xll.HLV5r3.Analytics.Miscellaneous.LinearInterp(Peturbed_QZ,$K149,1,M$1),ZeroCompFreq,'PDH Calc'!$K149/365)</f>
        <v>1</v>
      </c>
      <c r="N149" s="8">
        <f ca="1">_xll.HLV5r3.Analytics.Miscellaneous.Zero2DF(_xll.HLV5r3.Analytics.Miscellaneous.LinearInterp(Peturbed_QZ,$K149,1,N$1),ZeroCompFreq,'PDH Calc'!$K149/365)</f>
        <v>1</v>
      </c>
      <c r="O149" s="8">
        <f ca="1">_xll.HLV5r3.Analytics.Miscellaneous.Zero2DF(_xll.HLV5r3.Analytics.Miscellaneous.LinearInterp(Peturbed_QZ,$K149,1,O$1),ZeroCompFreq,'PDH Calc'!$K149/365)</f>
        <v>1</v>
      </c>
      <c r="P149" s="8">
        <f ca="1">_xll.HLV5r3.Analytics.Miscellaneous.Zero2DF(_xll.HLV5r3.Analytics.Miscellaneous.LinearInterp(Peturbed_QZ,$K149,1,P$1),ZeroCompFreq,'PDH Calc'!$K149/365)</f>
        <v>1</v>
      </c>
      <c r="Q149" s="8">
        <f ca="1">_xll.HLV5r3.Analytics.Miscellaneous.Zero2DF(_xll.HLV5r3.Analytics.Miscellaneous.LinearInterp(Peturbed_QZ,$K149,1,Q$1),ZeroCompFreq,'PDH Calc'!$K149/365)</f>
        <v>1</v>
      </c>
      <c r="R149" s="8">
        <f ca="1">_xll.HLV5r3.Analytics.Miscellaneous.Zero2DF(_xll.HLV5r3.Analytics.Miscellaneous.LinearInterp(Peturbed_QZ,$K149,1,R$1),ZeroCompFreq,'PDH Calc'!$K149/365)</f>
        <v>1</v>
      </c>
      <c r="S149" s="8">
        <f ca="1">_xll.HLV5r3.Analytics.Miscellaneous.Zero2DF(_xll.HLV5r3.Analytics.Miscellaneous.LinearInterp(Peturbed_QZ,$K149,1,S$1),ZeroCompFreq,'PDH Calc'!$K149/365)</f>
        <v>1</v>
      </c>
      <c r="T149" s="8">
        <f ca="1">_xll.HLV5r3.Analytics.Miscellaneous.Zero2DF(_xll.HLV5r3.Analytics.Miscellaneous.LinearInterp(Peturbed_QZ,$K149,1,T$1),ZeroCompFreq,'PDH Calc'!$K149/365)</f>
        <v>1</v>
      </c>
      <c r="U149" s="8">
        <f ca="1">_xll.HLV5r3.Analytics.Miscellaneous.Zero2DF(_xll.HLV5r3.Analytics.Miscellaneous.LinearInterp(Peturbed_QZ,$K149,1,U$1),ZeroCompFreq,'PDH Calc'!$K149/365)</f>
        <v>1</v>
      </c>
      <c r="V149" s="8">
        <f ca="1">_xll.HLV5r3.Analytics.Miscellaneous.Zero2DF(_xll.HLV5r3.Analytics.Miscellaneous.LinearInterp(Peturbed_QZ,$K149,1,V$1),ZeroCompFreq,'PDH Calc'!$K149/365)</f>
        <v>1</v>
      </c>
      <c r="W149" s="8">
        <f ca="1">_xll.HLV5r3.Analytics.Miscellaneous.Zero2DF(_xll.HLV5r3.Analytics.Miscellaneous.LinearInterp(Peturbed_QZ,$K149,1,W$1),ZeroCompFreq,'PDH Calc'!$K149/365)</f>
        <v>1</v>
      </c>
      <c r="X149" s="8">
        <f ca="1">_xll.HLV5r3.Analytics.Miscellaneous.Zero2DF(_xll.HLV5r3.Analytics.Miscellaneous.LinearInterp(Peturbed_QZ,$K149,1,X$1),ZeroCompFreq,'PDH Calc'!$K149/365)</f>
        <v>1</v>
      </c>
      <c r="Y149" s="8">
        <f ca="1">_xll.HLV5r3.Analytics.Miscellaneous.Zero2DF(_xll.HLV5r3.Analytics.Miscellaneous.LinearInterp(Peturbed_QZ,$K149,1,Y$1),ZeroCompFreq,'PDH Calc'!$K149/365)</f>
        <v>1</v>
      </c>
      <c r="Z149" s="8">
        <f ca="1">_xll.HLV5r3.Analytics.Miscellaneous.Zero2DF(_xll.HLV5r3.Analytics.Miscellaneous.LinearInterp(Peturbed_QZ,$K149,1,Z$1),ZeroCompFreq,'PDH Calc'!$K149/365)</f>
        <v>1</v>
      </c>
      <c r="AA149" s="8">
        <f ca="1">_xll.HLV5r3.Analytics.Miscellaneous.Zero2DF(_xll.HLV5r3.Analytics.Miscellaneous.LinearInterp(Peturbed_QZ,$K149,1,AA$1),ZeroCompFreq,'PDH Calc'!$K149/365)</f>
        <v>1</v>
      </c>
      <c r="AB149" s="8">
        <f ca="1">_xll.HLV5r3.Analytics.Miscellaneous.Zero2DF(_xll.HLV5r3.Analytics.Miscellaneous.LinearInterp(Peturbed_QZ,$K149,1,AB$1),ZeroCompFreq,'PDH Calc'!$K149/365)</f>
        <v>1</v>
      </c>
      <c r="AC149" s="8">
        <f ca="1">_xll.HLV5r3.Analytics.Miscellaneous.Zero2DF(_xll.HLV5r3.Analytics.Miscellaneous.LinearInterp(Peturbed_QZ,$K149,1,AC$1),ZeroCompFreq,'PDH Calc'!$K149/365)</f>
        <v>1</v>
      </c>
      <c r="AD149" s="8">
        <f ca="1">_xll.HLV5r3.Analytics.Miscellaneous.Zero2DF(_xll.HLV5r3.Analytics.Miscellaneous.LinearInterp(Peturbed_QZ,$K149,1,AD$1),ZeroCompFreq,'PDH Calc'!$K149/365)</f>
        <v>1</v>
      </c>
      <c r="AE149" s="8">
        <f ca="1">_xll.HLV5r3.Analytics.Miscellaneous.Zero2DF(_xll.HLV5r3.Analytics.Miscellaneous.LinearInterp(Peturbed_QZ,$K149,1,AE$1),ZeroCompFreq,'PDH Calc'!$K149/365)</f>
        <v>1</v>
      </c>
      <c r="AF149" s="8">
        <f ca="1">_xll.HLV5r3.Analytics.Miscellaneous.Zero2DF(_xll.HLV5r3.Analytics.Miscellaneous.LinearInterp(Peturbed_QZ,$K149,1,AF$1),ZeroCompFreq,'PDH Calc'!$K149/365)</f>
        <v>1</v>
      </c>
      <c r="AG149" s="8">
        <f ca="1">_xll.HLV5r3.Analytics.Miscellaneous.Zero2DF(_xll.HLV5r3.Analytics.Miscellaneous.LinearInterp(Peturbed_QZ,$K149,1,AG$1),ZeroCompFreq,'PDH Calc'!$K149/365)</f>
        <v>1</v>
      </c>
      <c r="AH149" s="8">
        <f ca="1">_xll.HLV5r3.Analytics.Miscellaneous.Zero2DF(_xll.HLV5r3.Analytics.Miscellaneous.LinearInterp(Peturbed_QZ,$K149,1,AH$1),ZeroCompFreq,'PDH Calc'!$K149/365)</f>
        <v>1</v>
      </c>
      <c r="AI149" s="8">
        <f ca="1">_xll.HLV5r3.Analytics.Miscellaneous.Zero2DF(_xll.HLV5r3.Analytics.Miscellaneous.LinearInterp(Peturbed_QZ,$K149,1,AI$1),ZeroCompFreq,'PDH Calc'!$K149/365)</f>
        <v>1</v>
      </c>
      <c r="AJ149" s="8">
        <f ca="1">_xll.HLV5r3.Analytics.Miscellaneous.Zero2DF(_xll.HLV5r3.Analytics.Miscellaneous.LinearInterp(Peturbed_QZ,$K149,1,AJ$1),ZeroCompFreq,'PDH Calc'!$K149/365)</f>
        <v>1</v>
      </c>
      <c r="AK149" s="8">
        <f ca="1">_xll.HLV5r3.Analytics.Miscellaneous.Zero2DF(_xll.HLV5r3.Analytics.Miscellaneous.LinearInterp(Peturbed_QZ,$K149,1,AK$1),ZeroCompFreq,'PDH Calc'!$K149/365)</f>
        <v>1</v>
      </c>
    </row>
    <row r="150" spans="1:37">
      <c r="A150" s="4"/>
      <c r="B150" s="6"/>
      <c r="F150" s="11"/>
      <c r="G150" s="6"/>
      <c r="H150" s="20"/>
      <c r="I150" s="21"/>
      <c r="J150" s="26"/>
      <c r="K150" s="6">
        <f t="shared" ca="1" si="8"/>
        <v>0</v>
      </c>
      <c r="L150" s="8">
        <f ca="1">_xll.HLV5r3.Analytics.Miscellaneous.Zero2DF(_xll.HLV5r3.Analytics.Miscellaneous.LinearInterp(Peturbed_QZ,$K150,1,L$1),ZeroCompFreq,'PDH Calc'!$K150/365)</f>
        <v>1</v>
      </c>
      <c r="M150" s="8">
        <f ca="1">_xll.HLV5r3.Analytics.Miscellaneous.Zero2DF(_xll.HLV5r3.Analytics.Miscellaneous.LinearInterp(Peturbed_QZ,$K150,1,M$1),ZeroCompFreq,'PDH Calc'!$K150/365)</f>
        <v>1</v>
      </c>
      <c r="N150" s="8">
        <f ca="1">_xll.HLV5r3.Analytics.Miscellaneous.Zero2DF(_xll.HLV5r3.Analytics.Miscellaneous.LinearInterp(Peturbed_QZ,$K150,1,N$1),ZeroCompFreq,'PDH Calc'!$K150/365)</f>
        <v>1</v>
      </c>
      <c r="O150" s="8">
        <f ca="1">_xll.HLV5r3.Analytics.Miscellaneous.Zero2DF(_xll.HLV5r3.Analytics.Miscellaneous.LinearInterp(Peturbed_QZ,$K150,1,O$1),ZeroCompFreq,'PDH Calc'!$K150/365)</f>
        <v>1</v>
      </c>
      <c r="P150" s="8">
        <f ca="1">_xll.HLV5r3.Analytics.Miscellaneous.Zero2DF(_xll.HLV5r3.Analytics.Miscellaneous.LinearInterp(Peturbed_QZ,$K150,1,P$1),ZeroCompFreq,'PDH Calc'!$K150/365)</f>
        <v>1</v>
      </c>
      <c r="Q150" s="8">
        <f ca="1">_xll.HLV5r3.Analytics.Miscellaneous.Zero2DF(_xll.HLV5r3.Analytics.Miscellaneous.LinearInterp(Peturbed_QZ,$K150,1,Q$1),ZeroCompFreq,'PDH Calc'!$K150/365)</f>
        <v>1</v>
      </c>
      <c r="R150" s="8">
        <f ca="1">_xll.HLV5r3.Analytics.Miscellaneous.Zero2DF(_xll.HLV5r3.Analytics.Miscellaneous.LinearInterp(Peturbed_QZ,$K150,1,R$1),ZeroCompFreq,'PDH Calc'!$K150/365)</f>
        <v>1</v>
      </c>
      <c r="S150" s="8">
        <f ca="1">_xll.HLV5r3.Analytics.Miscellaneous.Zero2DF(_xll.HLV5r3.Analytics.Miscellaneous.LinearInterp(Peturbed_QZ,$K150,1,S$1),ZeroCompFreq,'PDH Calc'!$K150/365)</f>
        <v>1</v>
      </c>
      <c r="T150" s="8">
        <f ca="1">_xll.HLV5r3.Analytics.Miscellaneous.Zero2DF(_xll.HLV5r3.Analytics.Miscellaneous.LinearInterp(Peturbed_QZ,$K150,1,T$1),ZeroCompFreq,'PDH Calc'!$K150/365)</f>
        <v>1</v>
      </c>
      <c r="U150" s="8">
        <f ca="1">_xll.HLV5r3.Analytics.Miscellaneous.Zero2DF(_xll.HLV5r3.Analytics.Miscellaneous.LinearInterp(Peturbed_QZ,$K150,1,U$1),ZeroCompFreq,'PDH Calc'!$K150/365)</f>
        <v>1</v>
      </c>
      <c r="V150" s="8">
        <f ca="1">_xll.HLV5r3.Analytics.Miscellaneous.Zero2DF(_xll.HLV5r3.Analytics.Miscellaneous.LinearInterp(Peturbed_QZ,$K150,1,V$1),ZeroCompFreq,'PDH Calc'!$K150/365)</f>
        <v>1</v>
      </c>
      <c r="W150" s="8">
        <f ca="1">_xll.HLV5r3.Analytics.Miscellaneous.Zero2DF(_xll.HLV5r3.Analytics.Miscellaneous.LinearInterp(Peturbed_QZ,$K150,1,W$1),ZeroCompFreq,'PDH Calc'!$K150/365)</f>
        <v>1</v>
      </c>
      <c r="X150" s="8">
        <f ca="1">_xll.HLV5r3.Analytics.Miscellaneous.Zero2DF(_xll.HLV5r3.Analytics.Miscellaneous.LinearInterp(Peturbed_QZ,$K150,1,X$1),ZeroCompFreq,'PDH Calc'!$K150/365)</f>
        <v>1</v>
      </c>
      <c r="Y150" s="8">
        <f ca="1">_xll.HLV5r3.Analytics.Miscellaneous.Zero2DF(_xll.HLV5r3.Analytics.Miscellaneous.LinearInterp(Peturbed_QZ,$K150,1,Y$1),ZeroCompFreq,'PDH Calc'!$K150/365)</f>
        <v>1</v>
      </c>
      <c r="Z150" s="8">
        <f ca="1">_xll.HLV5r3.Analytics.Miscellaneous.Zero2DF(_xll.HLV5r3.Analytics.Miscellaneous.LinearInterp(Peturbed_QZ,$K150,1,Z$1),ZeroCompFreq,'PDH Calc'!$K150/365)</f>
        <v>1</v>
      </c>
      <c r="AA150" s="8">
        <f ca="1">_xll.HLV5r3.Analytics.Miscellaneous.Zero2DF(_xll.HLV5r3.Analytics.Miscellaneous.LinearInterp(Peturbed_QZ,$K150,1,AA$1),ZeroCompFreq,'PDH Calc'!$K150/365)</f>
        <v>1</v>
      </c>
      <c r="AB150" s="8">
        <f ca="1">_xll.HLV5r3.Analytics.Miscellaneous.Zero2DF(_xll.HLV5r3.Analytics.Miscellaneous.LinearInterp(Peturbed_QZ,$K150,1,AB$1),ZeroCompFreq,'PDH Calc'!$K150/365)</f>
        <v>1</v>
      </c>
      <c r="AC150" s="8">
        <f ca="1">_xll.HLV5r3.Analytics.Miscellaneous.Zero2DF(_xll.HLV5r3.Analytics.Miscellaneous.LinearInterp(Peturbed_QZ,$K150,1,AC$1),ZeroCompFreq,'PDH Calc'!$K150/365)</f>
        <v>1</v>
      </c>
      <c r="AD150" s="8">
        <f ca="1">_xll.HLV5r3.Analytics.Miscellaneous.Zero2DF(_xll.HLV5r3.Analytics.Miscellaneous.LinearInterp(Peturbed_QZ,$K150,1,AD$1),ZeroCompFreq,'PDH Calc'!$K150/365)</f>
        <v>1</v>
      </c>
      <c r="AE150" s="8">
        <f ca="1">_xll.HLV5r3.Analytics.Miscellaneous.Zero2DF(_xll.HLV5r3.Analytics.Miscellaneous.LinearInterp(Peturbed_QZ,$K150,1,AE$1),ZeroCompFreq,'PDH Calc'!$K150/365)</f>
        <v>1</v>
      </c>
      <c r="AF150" s="8">
        <f ca="1">_xll.HLV5r3.Analytics.Miscellaneous.Zero2DF(_xll.HLV5r3.Analytics.Miscellaneous.LinearInterp(Peturbed_QZ,$K150,1,AF$1),ZeroCompFreq,'PDH Calc'!$K150/365)</f>
        <v>1</v>
      </c>
      <c r="AG150" s="8">
        <f ca="1">_xll.HLV5r3.Analytics.Miscellaneous.Zero2DF(_xll.HLV5r3.Analytics.Miscellaneous.LinearInterp(Peturbed_QZ,$K150,1,AG$1),ZeroCompFreq,'PDH Calc'!$K150/365)</f>
        <v>1</v>
      </c>
      <c r="AH150" s="8">
        <f ca="1">_xll.HLV5r3.Analytics.Miscellaneous.Zero2DF(_xll.HLV5r3.Analytics.Miscellaneous.LinearInterp(Peturbed_QZ,$K150,1,AH$1),ZeroCompFreq,'PDH Calc'!$K150/365)</f>
        <v>1</v>
      </c>
      <c r="AI150" s="8">
        <f ca="1">_xll.HLV5r3.Analytics.Miscellaneous.Zero2DF(_xll.HLV5r3.Analytics.Miscellaneous.LinearInterp(Peturbed_QZ,$K150,1,AI$1),ZeroCompFreq,'PDH Calc'!$K150/365)</f>
        <v>1</v>
      </c>
      <c r="AJ150" s="8">
        <f ca="1">_xll.HLV5r3.Analytics.Miscellaneous.Zero2DF(_xll.HLV5r3.Analytics.Miscellaneous.LinearInterp(Peturbed_QZ,$K150,1,AJ$1),ZeroCompFreq,'PDH Calc'!$K150/365)</f>
        <v>1</v>
      </c>
      <c r="AK150" s="8">
        <f ca="1">_xll.HLV5r3.Analytics.Miscellaneous.Zero2DF(_xll.HLV5r3.Analytics.Miscellaneous.LinearInterp(Peturbed_QZ,$K150,1,AK$1),ZeroCompFreq,'PDH Calc'!$K150/365)</f>
        <v>1</v>
      </c>
    </row>
    <row r="151" spans="1:37">
      <c r="A151" s="4"/>
      <c r="B151" s="6"/>
      <c r="F151" s="11"/>
      <c r="G151" s="6"/>
      <c r="H151" s="20"/>
      <c r="I151" s="21"/>
      <c r="J151" s="26"/>
      <c r="K151" s="6">
        <f t="shared" ca="1" si="8"/>
        <v>0</v>
      </c>
      <c r="L151" s="8">
        <f ca="1">_xll.HLV5r3.Analytics.Miscellaneous.Zero2DF(_xll.HLV5r3.Analytics.Miscellaneous.LinearInterp(Peturbed_QZ,$K151,1,L$1),ZeroCompFreq,'PDH Calc'!$K151/365)</f>
        <v>1</v>
      </c>
      <c r="M151" s="8">
        <f ca="1">_xll.HLV5r3.Analytics.Miscellaneous.Zero2DF(_xll.HLV5r3.Analytics.Miscellaneous.LinearInterp(Peturbed_QZ,$K151,1,M$1),ZeroCompFreq,'PDH Calc'!$K151/365)</f>
        <v>1</v>
      </c>
      <c r="N151" s="8">
        <f ca="1">_xll.HLV5r3.Analytics.Miscellaneous.Zero2DF(_xll.HLV5r3.Analytics.Miscellaneous.LinearInterp(Peturbed_QZ,$K151,1,N$1),ZeroCompFreq,'PDH Calc'!$K151/365)</f>
        <v>1</v>
      </c>
      <c r="O151" s="8">
        <f ca="1">_xll.HLV5r3.Analytics.Miscellaneous.Zero2DF(_xll.HLV5r3.Analytics.Miscellaneous.LinearInterp(Peturbed_QZ,$K151,1,O$1),ZeroCompFreq,'PDH Calc'!$K151/365)</f>
        <v>1</v>
      </c>
      <c r="P151" s="8">
        <f ca="1">_xll.HLV5r3.Analytics.Miscellaneous.Zero2DF(_xll.HLV5r3.Analytics.Miscellaneous.LinearInterp(Peturbed_QZ,$K151,1,P$1),ZeroCompFreq,'PDH Calc'!$K151/365)</f>
        <v>1</v>
      </c>
      <c r="Q151" s="8">
        <f ca="1">_xll.HLV5r3.Analytics.Miscellaneous.Zero2DF(_xll.HLV5r3.Analytics.Miscellaneous.LinearInterp(Peturbed_QZ,$K151,1,Q$1),ZeroCompFreq,'PDH Calc'!$K151/365)</f>
        <v>1</v>
      </c>
      <c r="R151" s="8">
        <f ca="1">_xll.HLV5r3.Analytics.Miscellaneous.Zero2DF(_xll.HLV5r3.Analytics.Miscellaneous.LinearInterp(Peturbed_QZ,$K151,1,R$1),ZeroCompFreq,'PDH Calc'!$K151/365)</f>
        <v>1</v>
      </c>
      <c r="S151" s="8">
        <f ca="1">_xll.HLV5r3.Analytics.Miscellaneous.Zero2DF(_xll.HLV5r3.Analytics.Miscellaneous.LinearInterp(Peturbed_QZ,$K151,1,S$1),ZeroCompFreq,'PDH Calc'!$K151/365)</f>
        <v>1</v>
      </c>
      <c r="T151" s="8">
        <f ca="1">_xll.HLV5r3.Analytics.Miscellaneous.Zero2DF(_xll.HLV5r3.Analytics.Miscellaneous.LinearInterp(Peturbed_QZ,$K151,1,T$1),ZeroCompFreq,'PDH Calc'!$K151/365)</f>
        <v>1</v>
      </c>
      <c r="U151" s="8">
        <f ca="1">_xll.HLV5r3.Analytics.Miscellaneous.Zero2DF(_xll.HLV5r3.Analytics.Miscellaneous.LinearInterp(Peturbed_QZ,$K151,1,U$1),ZeroCompFreq,'PDH Calc'!$K151/365)</f>
        <v>1</v>
      </c>
      <c r="V151" s="8">
        <f ca="1">_xll.HLV5r3.Analytics.Miscellaneous.Zero2DF(_xll.HLV5r3.Analytics.Miscellaneous.LinearInterp(Peturbed_QZ,$K151,1,V$1),ZeroCompFreq,'PDH Calc'!$K151/365)</f>
        <v>1</v>
      </c>
      <c r="W151" s="8">
        <f ca="1">_xll.HLV5r3.Analytics.Miscellaneous.Zero2DF(_xll.HLV5r3.Analytics.Miscellaneous.LinearInterp(Peturbed_QZ,$K151,1,W$1),ZeroCompFreq,'PDH Calc'!$K151/365)</f>
        <v>1</v>
      </c>
      <c r="X151" s="8">
        <f ca="1">_xll.HLV5r3.Analytics.Miscellaneous.Zero2DF(_xll.HLV5r3.Analytics.Miscellaneous.LinearInterp(Peturbed_QZ,$K151,1,X$1),ZeroCompFreq,'PDH Calc'!$K151/365)</f>
        <v>1</v>
      </c>
      <c r="Y151" s="8">
        <f ca="1">_xll.HLV5r3.Analytics.Miscellaneous.Zero2DF(_xll.HLV5r3.Analytics.Miscellaneous.LinearInterp(Peturbed_QZ,$K151,1,Y$1),ZeroCompFreq,'PDH Calc'!$K151/365)</f>
        <v>1</v>
      </c>
      <c r="Z151" s="8">
        <f ca="1">_xll.HLV5r3.Analytics.Miscellaneous.Zero2DF(_xll.HLV5r3.Analytics.Miscellaneous.LinearInterp(Peturbed_QZ,$K151,1,Z$1),ZeroCompFreq,'PDH Calc'!$K151/365)</f>
        <v>1</v>
      </c>
      <c r="AA151" s="8">
        <f ca="1">_xll.HLV5r3.Analytics.Miscellaneous.Zero2DF(_xll.HLV5r3.Analytics.Miscellaneous.LinearInterp(Peturbed_QZ,$K151,1,AA$1),ZeroCompFreq,'PDH Calc'!$K151/365)</f>
        <v>1</v>
      </c>
      <c r="AB151" s="8">
        <f ca="1">_xll.HLV5r3.Analytics.Miscellaneous.Zero2DF(_xll.HLV5r3.Analytics.Miscellaneous.LinearInterp(Peturbed_QZ,$K151,1,AB$1),ZeroCompFreq,'PDH Calc'!$K151/365)</f>
        <v>1</v>
      </c>
      <c r="AC151" s="8">
        <f ca="1">_xll.HLV5r3.Analytics.Miscellaneous.Zero2DF(_xll.HLV5r3.Analytics.Miscellaneous.LinearInterp(Peturbed_QZ,$K151,1,AC$1),ZeroCompFreq,'PDH Calc'!$K151/365)</f>
        <v>1</v>
      </c>
      <c r="AD151" s="8">
        <f ca="1">_xll.HLV5r3.Analytics.Miscellaneous.Zero2DF(_xll.HLV5r3.Analytics.Miscellaneous.LinearInterp(Peturbed_QZ,$K151,1,AD$1),ZeroCompFreq,'PDH Calc'!$K151/365)</f>
        <v>1</v>
      </c>
      <c r="AE151" s="8">
        <f ca="1">_xll.HLV5r3.Analytics.Miscellaneous.Zero2DF(_xll.HLV5r3.Analytics.Miscellaneous.LinearInterp(Peturbed_QZ,$K151,1,AE$1),ZeroCompFreq,'PDH Calc'!$K151/365)</f>
        <v>1</v>
      </c>
      <c r="AF151" s="8">
        <f ca="1">_xll.HLV5r3.Analytics.Miscellaneous.Zero2DF(_xll.HLV5r3.Analytics.Miscellaneous.LinearInterp(Peturbed_QZ,$K151,1,AF$1),ZeroCompFreq,'PDH Calc'!$K151/365)</f>
        <v>1</v>
      </c>
      <c r="AG151" s="8">
        <f ca="1">_xll.HLV5r3.Analytics.Miscellaneous.Zero2DF(_xll.HLV5r3.Analytics.Miscellaneous.LinearInterp(Peturbed_QZ,$K151,1,AG$1),ZeroCompFreq,'PDH Calc'!$K151/365)</f>
        <v>1</v>
      </c>
      <c r="AH151" s="8">
        <f ca="1">_xll.HLV5r3.Analytics.Miscellaneous.Zero2DF(_xll.HLV5r3.Analytics.Miscellaneous.LinearInterp(Peturbed_QZ,$K151,1,AH$1),ZeroCompFreq,'PDH Calc'!$K151/365)</f>
        <v>1</v>
      </c>
      <c r="AI151" s="8">
        <f ca="1">_xll.HLV5r3.Analytics.Miscellaneous.Zero2DF(_xll.HLV5r3.Analytics.Miscellaneous.LinearInterp(Peturbed_QZ,$K151,1,AI$1),ZeroCompFreq,'PDH Calc'!$K151/365)</f>
        <v>1</v>
      </c>
      <c r="AJ151" s="8">
        <f ca="1">_xll.HLV5r3.Analytics.Miscellaneous.Zero2DF(_xll.HLV5r3.Analytics.Miscellaneous.LinearInterp(Peturbed_QZ,$K151,1,AJ$1),ZeroCompFreq,'PDH Calc'!$K151/365)</f>
        <v>1</v>
      </c>
      <c r="AK151" s="8">
        <f ca="1">_xll.HLV5r3.Analytics.Miscellaneous.Zero2DF(_xll.HLV5r3.Analytics.Miscellaneous.LinearInterp(Peturbed_QZ,$K151,1,AK$1),ZeroCompFreq,'PDH Calc'!$K151/365)</f>
        <v>1</v>
      </c>
    </row>
    <row r="152" spans="1:37">
      <c r="A152" s="4"/>
      <c r="B152" s="6"/>
      <c r="F152" s="11"/>
      <c r="G152" s="6"/>
      <c r="H152" s="20"/>
      <c r="I152" s="21"/>
      <c r="J152" s="26"/>
      <c r="K152" s="6">
        <f t="shared" ca="1" si="8"/>
        <v>0</v>
      </c>
      <c r="L152" s="8">
        <f ca="1">_xll.HLV5r3.Analytics.Miscellaneous.Zero2DF(_xll.HLV5r3.Analytics.Miscellaneous.LinearInterp(Peturbed_QZ,$K152,1,L$1),ZeroCompFreq,'PDH Calc'!$K152/365)</f>
        <v>1</v>
      </c>
      <c r="M152" s="8">
        <f ca="1">_xll.HLV5r3.Analytics.Miscellaneous.Zero2DF(_xll.HLV5r3.Analytics.Miscellaneous.LinearInterp(Peturbed_QZ,$K152,1,M$1),ZeroCompFreq,'PDH Calc'!$K152/365)</f>
        <v>1</v>
      </c>
      <c r="N152" s="8">
        <f ca="1">_xll.HLV5r3.Analytics.Miscellaneous.Zero2DF(_xll.HLV5r3.Analytics.Miscellaneous.LinearInterp(Peturbed_QZ,$K152,1,N$1),ZeroCompFreq,'PDH Calc'!$K152/365)</f>
        <v>1</v>
      </c>
      <c r="O152" s="8">
        <f ca="1">_xll.HLV5r3.Analytics.Miscellaneous.Zero2DF(_xll.HLV5r3.Analytics.Miscellaneous.LinearInterp(Peturbed_QZ,$K152,1,O$1),ZeroCompFreq,'PDH Calc'!$K152/365)</f>
        <v>1</v>
      </c>
      <c r="P152" s="8">
        <f ca="1">_xll.HLV5r3.Analytics.Miscellaneous.Zero2DF(_xll.HLV5r3.Analytics.Miscellaneous.LinearInterp(Peturbed_QZ,$K152,1,P$1),ZeroCompFreq,'PDH Calc'!$K152/365)</f>
        <v>1</v>
      </c>
      <c r="Q152" s="8">
        <f ca="1">_xll.HLV5r3.Analytics.Miscellaneous.Zero2DF(_xll.HLV5r3.Analytics.Miscellaneous.LinearInterp(Peturbed_QZ,$K152,1,Q$1),ZeroCompFreq,'PDH Calc'!$K152/365)</f>
        <v>1</v>
      </c>
      <c r="R152" s="8">
        <f ca="1">_xll.HLV5r3.Analytics.Miscellaneous.Zero2DF(_xll.HLV5r3.Analytics.Miscellaneous.LinearInterp(Peturbed_QZ,$K152,1,R$1),ZeroCompFreq,'PDH Calc'!$K152/365)</f>
        <v>1</v>
      </c>
      <c r="S152" s="8">
        <f ca="1">_xll.HLV5r3.Analytics.Miscellaneous.Zero2DF(_xll.HLV5r3.Analytics.Miscellaneous.LinearInterp(Peturbed_QZ,$K152,1,S$1),ZeroCompFreq,'PDH Calc'!$K152/365)</f>
        <v>1</v>
      </c>
      <c r="T152" s="8">
        <f ca="1">_xll.HLV5r3.Analytics.Miscellaneous.Zero2DF(_xll.HLV5r3.Analytics.Miscellaneous.LinearInterp(Peturbed_QZ,$K152,1,T$1),ZeroCompFreq,'PDH Calc'!$K152/365)</f>
        <v>1</v>
      </c>
      <c r="U152" s="8">
        <f ca="1">_xll.HLV5r3.Analytics.Miscellaneous.Zero2DF(_xll.HLV5r3.Analytics.Miscellaneous.LinearInterp(Peturbed_QZ,$K152,1,U$1),ZeroCompFreq,'PDH Calc'!$K152/365)</f>
        <v>1</v>
      </c>
      <c r="V152" s="8">
        <f ca="1">_xll.HLV5r3.Analytics.Miscellaneous.Zero2DF(_xll.HLV5r3.Analytics.Miscellaneous.LinearInterp(Peturbed_QZ,$K152,1,V$1),ZeroCompFreq,'PDH Calc'!$K152/365)</f>
        <v>1</v>
      </c>
      <c r="W152" s="8">
        <f ca="1">_xll.HLV5r3.Analytics.Miscellaneous.Zero2DF(_xll.HLV5r3.Analytics.Miscellaneous.LinearInterp(Peturbed_QZ,$K152,1,W$1),ZeroCompFreq,'PDH Calc'!$K152/365)</f>
        <v>1</v>
      </c>
      <c r="X152" s="8">
        <f ca="1">_xll.HLV5r3.Analytics.Miscellaneous.Zero2DF(_xll.HLV5r3.Analytics.Miscellaneous.LinearInterp(Peturbed_QZ,$K152,1,X$1),ZeroCompFreq,'PDH Calc'!$K152/365)</f>
        <v>1</v>
      </c>
      <c r="Y152" s="8">
        <f ca="1">_xll.HLV5r3.Analytics.Miscellaneous.Zero2DF(_xll.HLV5r3.Analytics.Miscellaneous.LinearInterp(Peturbed_QZ,$K152,1,Y$1),ZeroCompFreq,'PDH Calc'!$K152/365)</f>
        <v>1</v>
      </c>
      <c r="Z152" s="8">
        <f ca="1">_xll.HLV5r3.Analytics.Miscellaneous.Zero2DF(_xll.HLV5r3.Analytics.Miscellaneous.LinearInterp(Peturbed_QZ,$K152,1,Z$1),ZeroCompFreq,'PDH Calc'!$K152/365)</f>
        <v>1</v>
      </c>
      <c r="AA152" s="8">
        <f ca="1">_xll.HLV5r3.Analytics.Miscellaneous.Zero2DF(_xll.HLV5r3.Analytics.Miscellaneous.LinearInterp(Peturbed_QZ,$K152,1,AA$1),ZeroCompFreq,'PDH Calc'!$K152/365)</f>
        <v>1</v>
      </c>
      <c r="AB152" s="8">
        <f ca="1">_xll.HLV5r3.Analytics.Miscellaneous.Zero2DF(_xll.HLV5r3.Analytics.Miscellaneous.LinearInterp(Peturbed_QZ,$K152,1,AB$1),ZeroCompFreq,'PDH Calc'!$K152/365)</f>
        <v>1</v>
      </c>
      <c r="AC152" s="8">
        <f ca="1">_xll.HLV5r3.Analytics.Miscellaneous.Zero2DF(_xll.HLV5r3.Analytics.Miscellaneous.LinearInterp(Peturbed_QZ,$K152,1,AC$1),ZeroCompFreq,'PDH Calc'!$K152/365)</f>
        <v>1</v>
      </c>
      <c r="AD152" s="8">
        <f ca="1">_xll.HLV5r3.Analytics.Miscellaneous.Zero2DF(_xll.HLV5r3.Analytics.Miscellaneous.LinearInterp(Peturbed_QZ,$K152,1,AD$1),ZeroCompFreq,'PDH Calc'!$K152/365)</f>
        <v>1</v>
      </c>
      <c r="AE152" s="8">
        <f ca="1">_xll.HLV5r3.Analytics.Miscellaneous.Zero2DF(_xll.HLV5r3.Analytics.Miscellaneous.LinearInterp(Peturbed_QZ,$K152,1,AE$1),ZeroCompFreq,'PDH Calc'!$K152/365)</f>
        <v>1</v>
      </c>
      <c r="AF152" s="8">
        <f ca="1">_xll.HLV5r3.Analytics.Miscellaneous.Zero2DF(_xll.HLV5r3.Analytics.Miscellaneous.LinearInterp(Peturbed_QZ,$K152,1,AF$1),ZeroCompFreq,'PDH Calc'!$K152/365)</f>
        <v>1</v>
      </c>
      <c r="AG152" s="8">
        <f ca="1">_xll.HLV5r3.Analytics.Miscellaneous.Zero2DF(_xll.HLV5r3.Analytics.Miscellaneous.LinearInterp(Peturbed_QZ,$K152,1,AG$1),ZeroCompFreq,'PDH Calc'!$K152/365)</f>
        <v>1</v>
      </c>
      <c r="AH152" s="8">
        <f ca="1">_xll.HLV5r3.Analytics.Miscellaneous.Zero2DF(_xll.HLV5r3.Analytics.Miscellaneous.LinearInterp(Peturbed_QZ,$K152,1,AH$1),ZeroCompFreq,'PDH Calc'!$K152/365)</f>
        <v>1</v>
      </c>
      <c r="AI152" s="8">
        <f ca="1">_xll.HLV5r3.Analytics.Miscellaneous.Zero2DF(_xll.HLV5r3.Analytics.Miscellaneous.LinearInterp(Peturbed_QZ,$K152,1,AI$1),ZeroCompFreq,'PDH Calc'!$K152/365)</f>
        <v>1</v>
      </c>
      <c r="AJ152" s="8">
        <f ca="1">_xll.HLV5r3.Analytics.Miscellaneous.Zero2DF(_xll.HLV5r3.Analytics.Miscellaneous.LinearInterp(Peturbed_QZ,$K152,1,AJ$1),ZeroCompFreq,'PDH Calc'!$K152/365)</f>
        <v>1</v>
      </c>
      <c r="AK152" s="8">
        <f ca="1">_xll.HLV5r3.Analytics.Miscellaneous.Zero2DF(_xll.HLV5r3.Analytics.Miscellaneous.LinearInterp(Peturbed_QZ,$K152,1,AK$1),ZeroCompFreq,'PDH Calc'!$K152/365)</f>
        <v>1</v>
      </c>
    </row>
    <row r="153" spans="1:37">
      <c r="A153" s="4"/>
      <c r="B153" s="6"/>
      <c r="F153" s="11"/>
      <c r="G153" s="6"/>
      <c r="H153" s="20"/>
      <c r="I153" s="21"/>
      <c r="J153" s="26"/>
      <c r="K153" s="6">
        <f t="shared" ca="1" si="8"/>
        <v>0</v>
      </c>
      <c r="L153" s="8">
        <f ca="1">_xll.HLV5r3.Analytics.Miscellaneous.Zero2DF(_xll.HLV5r3.Analytics.Miscellaneous.LinearInterp(Peturbed_QZ,$K153,1,L$1),ZeroCompFreq,'PDH Calc'!$K153/365)</f>
        <v>1</v>
      </c>
      <c r="M153" s="8">
        <f ca="1">_xll.HLV5r3.Analytics.Miscellaneous.Zero2DF(_xll.HLV5r3.Analytics.Miscellaneous.LinearInterp(Peturbed_QZ,$K153,1,M$1),ZeroCompFreq,'PDH Calc'!$K153/365)</f>
        <v>1</v>
      </c>
      <c r="N153" s="8">
        <f ca="1">_xll.HLV5r3.Analytics.Miscellaneous.Zero2DF(_xll.HLV5r3.Analytics.Miscellaneous.LinearInterp(Peturbed_QZ,$K153,1,N$1),ZeroCompFreq,'PDH Calc'!$K153/365)</f>
        <v>1</v>
      </c>
      <c r="O153" s="8">
        <f ca="1">_xll.HLV5r3.Analytics.Miscellaneous.Zero2DF(_xll.HLV5r3.Analytics.Miscellaneous.LinearInterp(Peturbed_QZ,$K153,1,O$1),ZeroCompFreq,'PDH Calc'!$K153/365)</f>
        <v>1</v>
      </c>
      <c r="P153" s="8">
        <f ca="1">_xll.HLV5r3.Analytics.Miscellaneous.Zero2DF(_xll.HLV5r3.Analytics.Miscellaneous.LinearInterp(Peturbed_QZ,$K153,1,P$1),ZeroCompFreq,'PDH Calc'!$K153/365)</f>
        <v>1</v>
      </c>
      <c r="Q153" s="8">
        <f ca="1">_xll.HLV5r3.Analytics.Miscellaneous.Zero2DF(_xll.HLV5r3.Analytics.Miscellaneous.LinearInterp(Peturbed_QZ,$K153,1,Q$1),ZeroCompFreq,'PDH Calc'!$K153/365)</f>
        <v>1</v>
      </c>
      <c r="R153" s="8">
        <f ca="1">_xll.HLV5r3.Analytics.Miscellaneous.Zero2DF(_xll.HLV5r3.Analytics.Miscellaneous.LinearInterp(Peturbed_QZ,$K153,1,R$1),ZeroCompFreq,'PDH Calc'!$K153/365)</f>
        <v>1</v>
      </c>
      <c r="S153" s="8">
        <f ca="1">_xll.HLV5r3.Analytics.Miscellaneous.Zero2DF(_xll.HLV5r3.Analytics.Miscellaneous.LinearInterp(Peturbed_QZ,$K153,1,S$1),ZeroCompFreq,'PDH Calc'!$K153/365)</f>
        <v>1</v>
      </c>
      <c r="T153" s="8">
        <f ca="1">_xll.HLV5r3.Analytics.Miscellaneous.Zero2DF(_xll.HLV5r3.Analytics.Miscellaneous.LinearInterp(Peturbed_QZ,$K153,1,T$1),ZeroCompFreq,'PDH Calc'!$K153/365)</f>
        <v>1</v>
      </c>
      <c r="U153" s="8">
        <f ca="1">_xll.HLV5r3.Analytics.Miscellaneous.Zero2DF(_xll.HLV5r3.Analytics.Miscellaneous.LinearInterp(Peturbed_QZ,$K153,1,U$1),ZeroCompFreq,'PDH Calc'!$K153/365)</f>
        <v>1</v>
      </c>
      <c r="V153" s="8">
        <f ca="1">_xll.HLV5r3.Analytics.Miscellaneous.Zero2DF(_xll.HLV5r3.Analytics.Miscellaneous.LinearInterp(Peturbed_QZ,$K153,1,V$1),ZeroCompFreq,'PDH Calc'!$K153/365)</f>
        <v>1</v>
      </c>
      <c r="W153" s="8">
        <f ca="1">_xll.HLV5r3.Analytics.Miscellaneous.Zero2DF(_xll.HLV5r3.Analytics.Miscellaneous.LinearInterp(Peturbed_QZ,$K153,1,W$1),ZeroCompFreq,'PDH Calc'!$K153/365)</f>
        <v>1</v>
      </c>
      <c r="X153" s="8">
        <f ca="1">_xll.HLV5r3.Analytics.Miscellaneous.Zero2DF(_xll.HLV5r3.Analytics.Miscellaneous.LinearInterp(Peturbed_QZ,$K153,1,X$1),ZeroCompFreq,'PDH Calc'!$K153/365)</f>
        <v>1</v>
      </c>
      <c r="Y153" s="8">
        <f ca="1">_xll.HLV5r3.Analytics.Miscellaneous.Zero2DF(_xll.HLV5r3.Analytics.Miscellaneous.LinearInterp(Peturbed_QZ,$K153,1,Y$1),ZeroCompFreq,'PDH Calc'!$K153/365)</f>
        <v>1</v>
      </c>
      <c r="Z153" s="8">
        <f ca="1">_xll.HLV5r3.Analytics.Miscellaneous.Zero2DF(_xll.HLV5r3.Analytics.Miscellaneous.LinearInterp(Peturbed_QZ,$K153,1,Z$1),ZeroCompFreq,'PDH Calc'!$K153/365)</f>
        <v>1</v>
      </c>
      <c r="AA153" s="8">
        <f ca="1">_xll.HLV5r3.Analytics.Miscellaneous.Zero2DF(_xll.HLV5r3.Analytics.Miscellaneous.LinearInterp(Peturbed_QZ,$K153,1,AA$1),ZeroCompFreq,'PDH Calc'!$K153/365)</f>
        <v>1</v>
      </c>
      <c r="AB153" s="8">
        <f ca="1">_xll.HLV5r3.Analytics.Miscellaneous.Zero2DF(_xll.HLV5r3.Analytics.Miscellaneous.LinearInterp(Peturbed_QZ,$K153,1,AB$1),ZeroCompFreq,'PDH Calc'!$K153/365)</f>
        <v>1</v>
      </c>
      <c r="AC153" s="8">
        <f ca="1">_xll.HLV5r3.Analytics.Miscellaneous.Zero2DF(_xll.HLV5r3.Analytics.Miscellaneous.LinearInterp(Peturbed_QZ,$K153,1,AC$1),ZeroCompFreq,'PDH Calc'!$K153/365)</f>
        <v>1</v>
      </c>
      <c r="AD153" s="8">
        <f ca="1">_xll.HLV5r3.Analytics.Miscellaneous.Zero2DF(_xll.HLV5r3.Analytics.Miscellaneous.LinearInterp(Peturbed_QZ,$K153,1,AD$1),ZeroCompFreq,'PDH Calc'!$K153/365)</f>
        <v>1</v>
      </c>
      <c r="AE153" s="8">
        <f ca="1">_xll.HLV5r3.Analytics.Miscellaneous.Zero2DF(_xll.HLV5r3.Analytics.Miscellaneous.LinearInterp(Peturbed_QZ,$K153,1,AE$1),ZeroCompFreq,'PDH Calc'!$K153/365)</f>
        <v>1</v>
      </c>
      <c r="AF153" s="8">
        <f ca="1">_xll.HLV5r3.Analytics.Miscellaneous.Zero2DF(_xll.HLV5r3.Analytics.Miscellaneous.LinearInterp(Peturbed_QZ,$K153,1,AF$1),ZeroCompFreq,'PDH Calc'!$K153/365)</f>
        <v>1</v>
      </c>
      <c r="AG153" s="8">
        <f ca="1">_xll.HLV5r3.Analytics.Miscellaneous.Zero2DF(_xll.HLV5r3.Analytics.Miscellaneous.LinearInterp(Peturbed_QZ,$K153,1,AG$1),ZeroCompFreq,'PDH Calc'!$K153/365)</f>
        <v>1</v>
      </c>
      <c r="AH153" s="8">
        <f ca="1">_xll.HLV5r3.Analytics.Miscellaneous.Zero2DF(_xll.HLV5r3.Analytics.Miscellaneous.LinearInterp(Peturbed_QZ,$K153,1,AH$1),ZeroCompFreq,'PDH Calc'!$K153/365)</f>
        <v>1</v>
      </c>
      <c r="AI153" s="8">
        <f ca="1">_xll.HLV5r3.Analytics.Miscellaneous.Zero2DF(_xll.HLV5r3.Analytics.Miscellaneous.LinearInterp(Peturbed_QZ,$K153,1,AI$1),ZeroCompFreq,'PDH Calc'!$K153/365)</f>
        <v>1</v>
      </c>
      <c r="AJ153" s="8">
        <f ca="1">_xll.HLV5r3.Analytics.Miscellaneous.Zero2DF(_xll.HLV5r3.Analytics.Miscellaneous.LinearInterp(Peturbed_QZ,$K153,1,AJ$1),ZeroCompFreq,'PDH Calc'!$K153/365)</f>
        <v>1</v>
      </c>
      <c r="AK153" s="8">
        <f ca="1">_xll.HLV5r3.Analytics.Miscellaneous.Zero2DF(_xll.HLV5r3.Analytics.Miscellaneous.LinearInterp(Peturbed_QZ,$K153,1,AK$1),ZeroCompFreq,'PDH Calc'!$K153/365)</f>
        <v>1</v>
      </c>
    </row>
    <row r="154" spans="1:37">
      <c r="A154" s="4"/>
      <c r="B154" s="6"/>
      <c r="F154" s="11"/>
      <c r="G154" s="6"/>
      <c r="H154" s="20"/>
      <c r="I154" s="21"/>
      <c r="J154" s="26"/>
      <c r="K154" s="6">
        <f t="shared" ca="1" si="8"/>
        <v>0</v>
      </c>
      <c r="L154" s="8">
        <f ca="1">_xll.HLV5r3.Analytics.Miscellaneous.Zero2DF(_xll.HLV5r3.Analytics.Miscellaneous.LinearInterp(Peturbed_QZ,$K154,1,L$1),ZeroCompFreq,'PDH Calc'!$K154/365)</f>
        <v>1</v>
      </c>
      <c r="M154" s="8">
        <f ca="1">_xll.HLV5r3.Analytics.Miscellaneous.Zero2DF(_xll.HLV5r3.Analytics.Miscellaneous.LinearInterp(Peturbed_QZ,$K154,1,M$1),ZeroCompFreq,'PDH Calc'!$K154/365)</f>
        <v>1</v>
      </c>
      <c r="N154" s="8">
        <f ca="1">_xll.HLV5r3.Analytics.Miscellaneous.Zero2DF(_xll.HLV5r3.Analytics.Miscellaneous.LinearInterp(Peturbed_QZ,$K154,1,N$1),ZeroCompFreq,'PDH Calc'!$K154/365)</f>
        <v>1</v>
      </c>
      <c r="O154" s="8">
        <f ca="1">_xll.HLV5r3.Analytics.Miscellaneous.Zero2DF(_xll.HLV5r3.Analytics.Miscellaneous.LinearInterp(Peturbed_QZ,$K154,1,O$1),ZeroCompFreq,'PDH Calc'!$K154/365)</f>
        <v>1</v>
      </c>
      <c r="P154" s="8">
        <f ca="1">_xll.HLV5r3.Analytics.Miscellaneous.Zero2DF(_xll.HLV5r3.Analytics.Miscellaneous.LinearInterp(Peturbed_QZ,$K154,1,P$1),ZeroCompFreq,'PDH Calc'!$K154/365)</f>
        <v>1</v>
      </c>
      <c r="Q154" s="8">
        <f ca="1">_xll.HLV5r3.Analytics.Miscellaneous.Zero2DF(_xll.HLV5r3.Analytics.Miscellaneous.LinearInterp(Peturbed_QZ,$K154,1,Q$1),ZeroCompFreq,'PDH Calc'!$K154/365)</f>
        <v>1</v>
      </c>
      <c r="R154" s="8">
        <f ca="1">_xll.HLV5r3.Analytics.Miscellaneous.Zero2DF(_xll.HLV5r3.Analytics.Miscellaneous.LinearInterp(Peturbed_QZ,$K154,1,R$1),ZeroCompFreq,'PDH Calc'!$K154/365)</f>
        <v>1</v>
      </c>
      <c r="S154" s="8">
        <f ca="1">_xll.HLV5r3.Analytics.Miscellaneous.Zero2DF(_xll.HLV5r3.Analytics.Miscellaneous.LinearInterp(Peturbed_QZ,$K154,1,S$1),ZeroCompFreq,'PDH Calc'!$K154/365)</f>
        <v>1</v>
      </c>
      <c r="T154" s="8">
        <f ca="1">_xll.HLV5r3.Analytics.Miscellaneous.Zero2DF(_xll.HLV5r3.Analytics.Miscellaneous.LinearInterp(Peturbed_QZ,$K154,1,T$1),ZeroCompFreq,'PDH Calc'!$K154/365)</f>
        <v>1</v>
      </c>
      <c r="U154" s="8">
        <f ca="1">_xll.HLV5r3.Analytics.Miscellaneous.Zero2DF(_xll.HLV5r3.Analytics.Miscellaneous.LinearInterp(Peturbed_QZ,$K154,1,U$1),ZeroCompFreq,'PDH Calc'!$K154/365)</f>
        <v>1</v>
      </c>
      <c r="V154" s="8">
        <f ca="1">_xll.HLV5r3.Analytics.Miscellaneous.Zero2DF(_xll.HLV5r3.Analytics.Miscellaneous.LinearInterp(Peturbed_QZ,$K154,1,V$1),ZeroCompFreq,'PDH Calc'!$K154/365)</f>
        <v>1</v>
      </c>
      <c r="W154" s="8">
        <f ca="1">_xll.HLV5r3.Analytics.Miscellaneous.Zero2DF(_xll.HLV5r3.Analytics.Miscellaneous.LinearInterp(Peturbed_QZ,$K154,1,W$1),ZeroCompFreq,'PDH Calc'!$K154/365)</f>
        <v>1</v>
      </c>
      <c r="X154" s="8">
        <f ca="1">_xll.HLV5r3.Analytics.Miscellaneous.Zero2DF(_xll.HLV5r3.Analytics.Miscellaneous.LinearInterp(Peturbed_QZ,$K154,1,X$1),ZeroCompFreq,'PDH Calc'!$K154/365)</f>
        <v>1</v>
      </c>
      <c r="Y154" s="8">
        <f ca="1">_xll.HLV5r3.Analytics.Miscellaneous.Zero2DF(_xll.HLV5r3.Analytics.Miscellaneous.LinearInterp(Peturbed_QZ,$K154,1,Y$1),ZeroCompFreq,'PDH Calc'!$K154/365)</f>
        <v>1</v>
      </c>
      <c r="Z154" s="8">
        <f ca="1">_xll.HLV5r3.Analytics.Miscellaneous.Zero2DF(_xll.HLV5r3.Analytics.Miscellaneous.LinearInterp(Peturbed_QZ,$K154,1,Z$1),ZeroCompFreq,'PDH Calc'!$K154/365)</f>
        <v>1</v>
      </c>
      <c r="AA154" s="8">
        <f ca="1">_xll.HLV5r3.Analytics.Miscellaneous.Zero2DF(_xll.HLV5r3.Analytics.Miscellaneous.LinearInterp(Peturbed_QZ,$K154,1,AA$1),ZeroCompFreq,'PDH Calc'!$K154/365)</f>
        <v>1</v>
      </c>
      <c r="AB154" s="8">
        <f ca="1">_xll.HLV5r3.Analytics.Miscellaneous.Zero2DF(_xll.HLV5r3.Analytics.Miscellaneous.LinearInterp(Peturbed_QZ,$K154,1,AB$1),ZeroCompFreq,'PDH Calc'!$K154/365)</f>
        <v>1</v>
      </c>
      <c r="AC154" s="8">
        <f ca="1">_xll.HLV5r3.Analytics.Miscellaneous.Zero2DF(_xll.HLV5r3.Analytics.Miscellaneous.LinearInterp(Peturbed_QZ,$K154,1,AC$1),ZeroCompFreq,'PDH Calc'!$K154/365)</f>
        <v>1</v>
      </c>
      <c r="AD154" s="8">
        <f ca="1">_xll.HLV5r3.Analytics.Miscellaneous.Zero2DF(_xll.HLV5r3.Analytics.Miscellaneous.LinearInterp(Peturbed_QZ,$K154,1,AD$1),ZeroCompFreq,'PDH Calc'!$K154/365)</f>
        <v>1</v>
      </c>
      <c r="AE154" s="8">
        <f ca="1">_xll.HLV5r3.Analytics.Miscellaneous.Zero2DF(_xll.HLV5r3.Analytics.Miscellaneous.LinearInterp(Peturbed_QZ,$K154,1,AE$1),ZeroCompFreq,'PDH Calc'!$K154/365)</f>
        <v>1</v>
      </c>
      <c r="AF154" s="8">
        <f ca="1">_xll.HLV5r3.Analytics.Miscellaneous.Zero2DF(_xll.HLV5r3.Analytics.Miscellaneous.LinearInterp(Peturbed_QZ,$K154,1,AF$1),ZeroCompFreq,'PDH Calc'!$K154/365)</f>
        <v>1</v>
      </c>
      <c r="AG154" s="8">
        <f ca="1">_xll.HLV5r3.Analytics.Miscellaneous.Zero2DF(_xll.HLV5r3.Analytics.Miscellaneous.LinearInterp(Peturbed_QZ,$K154,1,AG$1),ZeroCompFreq,'PDH Calc'!$K154/365)</f>
        <v>1</v>
      </c>
      <c r="AH154" s="8">
        <f ca="1">_xll.HLV5r3.Analytics.Miscellaneous.Zero2DF(_xll.HLV5r3.Analytics.Miscellaneous.LinearInterp(Peturbed_QZ,$K154,1,AH$1),ZeroCompFreq,'PDH Calc'!$K154/365)</f>
        <v>1</v>
      </c>
      <c r="AI154" s="8">
        <f ca="1">_xll.HLV5r3.Analytics.Miscellaneous.Zero2DF(_xll.HLV5r3.Analytics.Miscellaneous.LinearInterp(Peturbed_QZ,$K154,1,AI$1),ZeroCompFreq,'PDH Calc'!$K154/365)</f>
        <v>1</v>
      </c>
      <c r="AJ154" s="8">
        <f ca="1">_xll.HLV5r3.Analytics.Miscellaneous.Zero2DF(_xll.HLV5r3.Analytics.Miscellaneous.LinearInterp(Peturbed_QZ,$K154,1,AJ$1),ZeroCompFreq,'PDH Calc'!$K154/365)</f>
        <v>1</v>
      </c>
      <c r="AK154" s="8">
        <f ca="1">_xll.HLV5r3.Analytics.Miscellaneous.Zero2DF(_xll.HLV5r3.Analytics.Miscellaneous.LinearInterp(Peturbed_QZ,$K154,1,AK$1),ZeroCompFreq,'PDH Calc'!$K154/365)</f>
        <v>1</v>
      </c>
    </row>
    <row r="155" spans="1:37">
      <c r="A155" s="4"/>
      <c r="B155" s="6"/>
      <c r="F155" s="11"/>
      <c r="G155" s="6"/>
      <c r="H155" s="20"/>
      <c r="I155" s="21"/>
      <c r="J155" s="26"/>
      <c r="K155" s="6">
        <f t="shared" ca="1" si="8"/>
        <v>0</v>
      </c>
      <c r="L155" s="8">
        <f ca="1">_xll.HLV5r3.Analytics.Miscellaneous.Zero2DF(_xll.HLV5r3.Analytics.Miscellaneous.LinearInterp(Peturbed_QZ,$K155,1,L$1),ZeroCompFreq,'PDH Calc'!$K155/365)</f>
        <v>1</v>
      </c>
      <c r="M155" s="8">
        <f ca="1">_xll.HLV5r3.Analytics.Miscellaneous.Zero2DF(_xll.HLV5r3.Analytics.Miscellaneous.LinearInterp(Peturbed_QZ,$K155,1,M$1),ZeroCompFreq,'PDH Calc'!$K155/365)</f>
        <v>1</v>
      </c>
      <c r="N155" s="8">
        <f ca="1">_xll.HLV5r3.Analytics.Miscellaneous.Zero2DF(_xll.HLV5r3.Analytics.Miscellaneous.LinearInterp(Peturbed_QZ,$K155,1,N$1),ZeroCompFreq,'PDH Calc'!$K155/365)</f>
        <v>1</v>
      </c>
      <c r="O155" s="8">
        <f ca="1">_xll.HLV5r3.Analytics.Miscellaneous.Zero2DF(_xll.HLV5r3.Analytics.Miscellaneous.LinearInterp(Peturbed_QZ,$K155,1,O$1),ZeroCompFreq,'PDH Calc'!$K155/365)</f>
        <v>1</v>
      </c>
      <c r="P155" s="8">
        <f ca="1">_xll.HLV5r3.Analytics.Miscellaneous.Zero2DF(_xll.HLV5r3.Analytics.Miscellaneous.LinearInterp(Peturbed_QZ,$K155,1,P$1),ZeroCompFreq,'PDH Calc'!$K155/365)</f>
        <v>1</v>
      </c>
      <c r="Q155" s="8">
        <f ca="1">_xll.HLV5r3.Analytics.Miscellaneous.Zero2DF(_xll.HLV5r3.Analytics.Miscellaneous.LinearInterp(Peturbed_QZ,$K155,1,Q$1),ZeroCompFreq,'PDH Calc'!$K155/365)</f>
        <v>1</v>
      </c>
      <c r="R155" s="8">
        <f ca="1">_xll.HLV5r3.Analytics.Miscellaneous.Zero2DF(_xll.HLV5r3.Analytics.Miscellaneous.LinearInterp(Peturbed_QZ,$K155,1,R$1),ZeroCompFreq,'PDH Calc'!$K155/365)</f>
        <v>1</v>
      </c>
      <c r="S155" s="8">
        <f ca="1">_xll.HLV5r3.Analytics.Miscellaneous.Zero2DF(_xll.HLV5r3.Analytics.Miscellaneous.LinearInterp(Peturbed_QZ,$K155,1,S$1),ZeroCompFreq,'PDH Calc'!$K155/365)</f>
        <v>1</v>
      </c>
      <c r="T155" s="8">
        <f ca="1">_xll.HLV5r3.Analytics.Miscellaneous.Zero2DF(_xll.HLV5r3.Analytics.Miscellaneous.LinearInterp(Peturbed_QZ,$K155,1,T$1),ZeroCompFreq,'PDH Calc'!$K155/365)</f>
        <v>1</v>
      </c>
      <c r="U155" s="8">
        <f ca="1">_xll.HLV5r3.Analytics.Miscellaneous.Zero2DF(_xll.HLV5r3.Analytics.Miscellaneous.LinearInterp(Peturbed_QZ,$K155,1,U$1),ZeroCompFreq,'PDH Calc'!$K155/365)</f>
        <v>1</v>
      </c>
      <c r="V155" s="8">
        <f ca="1">_xll.HLV5r3.Analytics.Miscellaneous.Zero2DF(_xll.HLV5r3.Analytics.Miscellaneous.LinearInterp(Peturbed_QZ,$K155,1,V$1),ZeroCompFreq,'PDH Calc'!$K155/365)</f>
        <v>1</v>
      </c>
      <c r="W155" s="8">
        <f ca="1">_xll.HLV5r3.Analytics.Miscellaneous.Zero2DF(_xll.HLV5r3.Analytics.Miscellaneous.LinearInterp(Peturbed_QZ,$K155,1,W$1),ZeroCompFreq,'PDH Calc'!$K155/365)</f>
        <v>1</v>
      </c>
      <c r="X155" s="8">
        <f ca="1">_xll.HLV5r3.Analytics.Miscellaneous.Zero2DF(_xll.HLV5r3.Analytics.Miscellaneous.LinearInterp(Peturbed_QZ,$K155,1,X$1),ZeroCompFreq,'PDH Calc'!$K155/365)</f>
        <v>1</v>
      </c>
      <c r="Y155" s="8">
        <f ca="1">_xll.HLV5r3.Analytics.Miscellaneous.Zero2DF(_xll.HLV5r3.Analytics.Miscellaneous.LinearInterp(Peturbed_QZ,$K155,1,Y$1),ZeroCompFreq,'PDH Calc'!$K155/365)</f>
        <v>1</v>
      </c>
      <c r="Z155" s="8">
        <f ca="1">_xll.HLV5r3.Analytics.Miscellaneous.Zero2DF(_xll.HLV5r3.Analytics.Miscellaneous.LinearInterp(Peturbed_QZ,$K155,1,Z$1),ZeroCompFreq,'PDH Calc'!$K155/365)</f>
        <v>1</v>
      </c>
      <c r="AA155" s="8">
        <f ca="1">_xll.HLV5r3.Analytics.Miscellaneous.Zero2DF(_xll.HLV5r3.Analytics.Miscellaneous.LinearInterp(Peturbed_QZ,$K155,1,AA$1),ZeroCompFreq,'PDH Calc'!$K155/365)</f>
        <v>1</v>
      </c>
      <c r="AB155" s="8">
        <f ca="1">_xll.HLV5r3.Analytics.Miscellaneous.Zero2DF(_xll.HLV5r3.Analytics.Miscellaneous.LinearInterp(Peturbed_QZ,$K155,1,AB$1),ZeroCompFreq,'PDH Calc'!$K155/365)</f>
        <v>1</v>
      </c>
      <c r="AC155" s="8">
        <f ca="1">_xll.HLV5r3.Analytics.Miscellaneous.Zero2DF(_xll.HLV5r3.Analytics.Miscellaneous.LinearInterp(Peturbed_QZ,$K155,1,AC$1),ZeroCompFreq,'PDH Calc'!$K155/365)</f>
        <v>1</v>
      </c>
      <c r="AD155" s="8">
        <f ca="1">_xll.HLV5r3.Analytics.Miscellaneous.Zero2DF(_xll.HLV5r3.Analytics.Miscellaneous.LinearInterp(Peturbed_QZ,$K155,1,AD$1),ZeroCompFreq,'PDH Calc'!$K155/365)</f>
        <v>1</v>
      </c>
      <c r="AE155" s="8">
        <f ca="1">_xll.HLV5r3.Analytics.Miscellaneous.Zero2DF(_xll.HLV5r3.Analytics.Miscellaneous.LinearInterp(Peturbed_QZ,$K155,1,AE$1),ZeroCompFreq,'PDH Calc'!$K155/365)</f>
        <v>1</v>
      </c>
      <c r="AF155" s="8">
        <f ca="1">_xll.HLV5r3.Analytics.Miscellaneous.Zero2DF(_xll.HLV5r3.Analytics.Miscellaneous.LinearInterp(Peturbed_QZ,$K155,1,AF$1),ZeroCompFreq,'PDH Calc'!$K155/365)</f>
        <v>1</v>
      </c>
      <c r="AG155" s="8">
        <f ca="1">_xll.HLV5r3.Analytics.Miscellaneous.Zero2DF(_xll.HLV5r3.Analytics.Miscellaneous.LinearInterp(Peturbed_QZ,$K155,1,AG$1),ZeroCompFreq,'PDH Calc'!$K155/365)</f>
        <v>1</v>
      </c>
      <c r="AH155" s="8">
        <f ca="1">_xll.HLV5r3.Analytics.Miscellaneous.Zero2DF(_xll.HLV5r3.Analytics.Miscellaneous.LinearInterp(Peturbed_QZ,$K155,1,AH$1),ZeroCompFreq,'PDH Calc'!$K155/365)</f>
        <v>1</v>
      </c>
      <c r="AI155" s="8">
        <f ca="1">_xll.HLV5r3.Analytics.Miscellaneous.Zero2DF(_xll.HLV5r3.Analytics.Miscellaneous.LinearInterp(Peturbed_QZ,$K155,1,AI$1),ZeroCompFreq,'PDH Calc'!$K155/365)</f>
        <v>1</v>
      </c>
      <c r="AJ155" s="8">
        <f ca="1">_xll.HLV5r3.Analytics.Miscellaneous.Zero2DF(_xll.HLV5r3.Analytics.Miscellaneous.LinearInterp(Peturbed_QZ,$K155,1,AJ$1),ZeroCompFreq,'PDH Calc'!$K155/365)</f>
        <v>1</v>
      </c>
      <c r="AK155" s="8">
        <f ca="1">_xll.HLV5r3.Analytics.Miscellaneous.Zero2DF(_xll.HLV5r3.Analytics.Miscellaneous.LinearInterp(Peturbed_QZ,$K155,1,AK$1),ZeroCompFreq,'PDH Calc'!$K155/365)</f>
        <v>1</v>
      </c>
    </row>
    <row r="156" spans="1:37">
      <c r="A156" s="4"/>
      <c r="B156" s="6"/>
      <c r="F156" s="11"/>
      <c r="G156" s="6"/>
      <c r="H156" s="20"/>
      <c r="I156" s="21"/>
      <c r="J156" s="26"/>
      <c r="K156" s="6">
        <f t="shared" ca="1" si="8"/>
        <v>0</v>
      </c>
      <c r="L156" s="8">
        <f ca="1">_xll.HLV5r3.Analytics.Miscellaneous.Zero2DF(_xll.HLV5r3.Analytics.Miscellaneous.LinearInterp(Peturbed_QZ,$K156,1,L$1),ZeroCompFreq,'PDH Calc'!$K156/365)</f>
        <v>1</v>
      </c>
      <c r="M156" s="8">
        <f ca="1">_xll.HLV5r3.Analytics.Miscellaneous.Zero2DF(_xll.HLV5r3.Analytics.Miscellaneous.LinearInterp(Peturbed_QZ,$K156,1,M$1),ZeroCompFreq,'PDH Calc'!$K156/365)</f>
        <v>1</v>
      </c>
      <c r="N156" s="8">
        <f ca="1">_xll.HLV5r3.Analytics.Miscellaneous.Zero2DF(_xll.HLV5r3.Analytics.Miscellaneous.LinearInterp(Peturbed_QZ,$K156,1,N$1),ZeroCompFreq,'PDH Calc'!$K156/365)</f>
        <v>1</v>
      </c>
      <c r="O156" s="8">
        <f ca="1">_xll.HLV5r3.Analytics.Miscellaneous.Zero2DF(_xll.HLV5r3.Analytics.Miscellaneous.LinearInterp(Peturbed_QZ,$K156,1,O$1),ZeroCompFreq,'PDH Calc'!$K156/365)</f>
        <v>1</v>
      </c>
      <c r="P156" s="8">
        <f ca="1">_xll.HLV5r3.Analytics.Miscellaneous.Zero2DF(_xll.HLV5r3.Analytics.Miscellaneous.LinearInterp(Peturbed_QZ,$K156,1,P$1),ZeroCompFreq,'PDH Calc'!$K156/365)</f>
        <v>1</v>
      </c>
      <c r="Q156" s="8">
        <f ca="1">_xll.HLV5r3.Analytics.Miscellaneous.Zero2DF(_xll.HLV5r3.Analytics.Miscellaneous.LinearInterp(Peturbed_QZ,$K156,1,Q$1),ZeroCompFreq,'PDH Calc'!$K156/365)</f>
        <v>1</v>
      </c>
      <c r="R156" s="8">
        <f ca="1">_xll.HLV5r3.Analytics.Miscellaneous.Zero2DF(_xll.HLV5r3.Analytics.Miscellaneous.LinearInterp(Peturbed_QZ,$K156,1,R$1),ZeroCompFreq,'PDH Calc'!$K156/365)</f>
        <v>1</v>
      </c>
      <c r="S156" s="8">
        <f ca="1">_xll.HLV5r3.Analytics.Miscellaneous.Zero2DF(_xll.HLV5r3.Analytics.Miscellaneous.LinearInterp(Peturbed_QZ,$K156,1,S$1),ZeroCompFreq,'PDH Calc'!$K156/365)</f>
        <v>1</v>
      </c>
      <c r="T156" s="8">
        <f ca="1">_xll.HLV5r3.Analytics.Miscellaneous.Zero2DF(_xll.HLV5r3.Analytics.Miscellaneous.LinearInterp(Peturbed_QZ,$K156,1,T$1),ZeroCompFreq,'PDH Calc'!$K156/365)</f>
        <v>1</v>
      </c>
      <c r="U156" s="8">
        <f ca="1">_xll.HLV5r3.Analytics.Miscellaneous.Zero2DF(_xll.HLV5r3.Analytics.Miscellaneous.LinearInterp(Peturbed_QZ,$K156,1,U$1),ZeroCompFreq,'PDH Calc'!$K156/365)</f>
        <v>1</v>
      </c>
      <c r="V156" s="8">
        <f ca="1">_xll.HLV5r3.Analytics.Miscellaneous.Zero2DF(_xll.HLV5r3.Analytics.Miscellaneous.LinearInterp(Peturbed_QZ,$K156,1,V$1),ZeroCompFreq,'PDH Calc'!$K156/365)</f>
        <v>1</v>
      </c>
      <c r="W156" s="8">
        <f ca="1">_xll.HLV5r3.Analytics.Miscellaneous.Zero2DF(_xll.HLV5r3.Analytics.Miscellaneous.LinearInterp(Peturbed_QZ,$K156,1,W$1),ZeroCompFreq,'PDH Calc'!$K156/365)</f>
        <v>1</v>
      </c>
      <c r="X156" s="8">
        <f ca="1">_xll.HLV5r3.Analytics.Miscellaneous.Zero2DF(_xll.HLV5r3.Analytics.Miscellaneous.LinearInterp(Peturbed_QZ,$K156,1,X$1),ZeroCompFreq,'PDH Calc'!$K156/365)</f>
        <v>1</v>
      </c>
      <c r="Y156" s="8">
        <f ca="1">_xll.HLV5r3.Analytics.Miscellaneous.Zero2DF(_xll.HLV5r3.Analytics.Miscellaneous.LinearInterp(Peturbed_QZ,$K156,1,Y$1),ZeroCompFreq,'PDH Calc'!$K156/365)</f>
        <v>1</v>
      </c>
      <c r="Z156" s="8">
        <f ca="1">_xll.HLV5r3.Analytics.Miscellaneous.Zero2DF(_xll.HLV5r3.Analytics.Miscellaneous.LinearInterp(Peturbed_QZ,$K156,1,Z$1),ZeroCompFreq,'PDH Calc'!$K156/365)</f>
        <v>1</v>
      </c>
      <c r="AA156" s="8">
        <f ca="1">_xll.HLV5r3.Analytics.Miscellaneous.Zero2DF(_xll.HLV5r3.Analytics.Miscellaneous.LinearInterp(Peturbed_QZ,$K156,1,AA$1),ZeroCompFreq,'PDH Calc'!$K156/365)</f>
        <v>1</v>
      </c>
      <c r="AB156" s="8">
        <f ca="1">_xll.HLV5r3.Analytics.Miscellaneous.Zero2DF(_xll.HLV5r3.Analytics.Miscellaneous.LinearInterp(Peturbed_QZ,$K156,1,AB$1),ZeroCompFreq,'PDH Calc'!$K156/365)</f>
        <v>1</v>
      </c>
      <c r="AC156" s="8">
        <f ca="1">_xll.HLV5r3.Analytics.Miscellaneous.Zero2DF(_xll.HLV5r3.Analytics.Miscellaneous.LinearInterp(Peturbed_QZ,$K156,1,AC$1),ZeroCompFreq,'PDH Calc'!$K156/365)</f>
        <v>1</v>
      </c>
      <c r="AD156" s="8">
        <f ca="1">_xll.HLV5r3.Analytics.Miscellaneous.Zero2DF(_xll.HLV5r3.Analytics.Miscellaneous.LinearInterp(Peturbed_QZ,$K156,1,AD$1),ZeroCompFreq,'PDH Calc'!$K156/365)</f>
        <v>1</v>
      </c>
      <c r="AE156" s="8">
        <f ca="1">_xll.HLV5r3.Analytics.Miscellaneous.Zero2DF(_xll.HLV5r3.Analytics.Miscellaneous.LinearInterp(Peturbed_QZ,$K156,1,AE$1),ZeroCompFreq,'PDH Calc'!$K156/365)</f>
        <v>1</v>
      </c>
      <c r="AF156" s="8">
        <f ca="1">_xll.HLV5r3.Analytics.Miscellaneous.Zero2DF(_xll.HLV5r3.Analytics.Miscellaneous.LinearInterp(Peturbed_QZ,$K156,1,AF$1),ZeroCompFreq,'PDH Calc'!$K156/365)</f>
        <v>1</v>
      </c>
      <c r="AG156" s="8">
        <f ca="1">_xll.HLV5r3.Analytics.Miscellaneous.Zero2DF(_xll.HLV5r3.Analytics.Miscellaneous.LinearInterp(Peturbed_QZ,$K156,1,AG$1),ZeroCompFreq,'PDH Calc'!$K156/365)</f>
        <v>1</v>
      </c>
      <c r="AH156" s="8">
        <f ca="1">_xll.HLV5r3.Analytics.Miscellaneous.Zero2DF(_xll.HLV5r3.Analytics.Miscellaneous.LinearInterp(Peturbed_QZ,$K156,1,AH$1),ZeroCompFreq,'PDH Calc'!$K156/365)</f>
        <v>1</v>
      </c>
      <c r="AI156" s="8">
        <f ca="1">_xll.HLV5r3.Analytics.Miscellaneous.Zero2DF(_xll.HLV5r3.Analytics.Miscellaneous.LinearInterp(Peturbed_QZ,$K156,1,AI$1),ZeroCompFreq,'PDH Calc'!$K156/365)</f>
        <v>1</v>
      </c>
      <c r="AJ156" s="8">
        <f ca="1">_xll.HLV5r3.Analytics.Miscellaneous.Zero2DF(_xll.HLV5r3.Analytics.Miscellaneous.LinearInterp(Peturbed_QZ,$K156,1,AJ$1),ZeroCompFreq,'PDH Calc'!$K156/365)</f>
        <v>1</v>
      </c>
      <c r="AK156" s="8">
        <f ca="1">_xll.HLV5r3.Analytics.Miscellaneous.Zero2DF(_xll.HLV5r3.Analytics.Miscellaneous.LinearInterp(Peturbed_QZ,$K156,1,AK$1),ZeroCompFreq,'PDH Calc'!$K156/365)</f>
        <v>1</v>
      </c>
    </row>
    <row r="157" spans="1:37">
      <c r="A157" s="4"/>
      <c r="B157" s="6"/>
      <c r="F157" s="11"/>
      <c r="G157" s="6"/>
      <c r="H157" s="20"/>
      <c r="I157" s="21"/>
      <c r="J157" s="26"/>
      <c r="K157" s="6">
        <f t="shared" ca="1" si="8"/>
        <v>0</v>
      </c>
      <c r="L157" s="8">
        <f ca="1">_xll.HLV5r3.Analytics.Miscellaneous.Zero2DF(_xll.HLV5r3.Analytics.Miscellaneous.LinearInterp(Peturbed_QZ,$K157,1,L$1),ZeroCompFreq,'PDH Calc'!$K157/365)</f>
        <v>1</v>
      </c>
      <c r="M157" s="8">
        <f ca="1">_xll.HLV5r3.Analytics.Miscellaneous.Zero2DF(_xll.HLV5r3.Analytics.Miscellaneous.LinearInterp(Peturbed_QZ,$K157,1,M$1),ZeroCompFreq,'PDH Calc'!$K157/365)</f>
        <v>1</v>
      </c>
      <c r="N157" s="8">
        <f ca="1">_xll.HLV5r3.Analytics.Miscellaneous.Zero2DF(_xll.HLV5r3.Analytics.Miscellaneous.LinearInterp(Peturbed_QZ,$K157,1,N$1),ZeroCompFreq,'PDH Calc'!$K157/365)</f>
        <v>1</v>
      </c>
      <c r="O157" s="8">
        <f ca="1">_xll.HLV5r3.Analytics.Miscellaneous.Zero2DF(_xll.HLV5r3.Analytics.Miscellaneous.LinearInterp(Peturbed_QZ,$K157,1,O$1),ZeroCompFreq,'PDH Calc'!$K157/365)</f>
        <v>1</v>
      </c>
      <c r="P157" s="8">
        <f ca="1">_xll.HLV5r3.Analytics.Miscellaneous.Zero2DF(_xll.HLV5r3.Analytics.Miscellaneous.LinearInterp(Peturbed_QZ,$K157,1,P$1),ZeroCompFreq,'PDH Calc'!$K157/365)</f>
        <v>1</v>
      </c>
      <c r="Q157" s="8">
        <f ca="1">_xll.HLV5r3.Analytics.Miscellaneous.Zero2DF(_xll.HLV5r3.Analytics.Miscellaneous.LinearInterp(Peturbed_QZ,$K157,1,Q$1),ZeroCompFreq,'PDH Calc'!$K157/365)</f>
        <v>1</v>
      </c>
      <c r="R157" s="8">
        <f ca="1">_xll.HLV5r3.Analytics.Miscellaneous.Zero2DF(_xll.HLV5r3.Analytics.Miscellaneous.LinearInterp(Peturbed_QZ,$K157,1,R$1),ZeroCompFreq,'PDH Calc'!$K157/365)</f>
        <v>1</v>
      </c>
      <c r="S157" s="8">
        <f ca="1">_xll.HLV5r3.Analytics.Miscellaneous.Zero2DF(_xll.HLV5r3.Analytics.Miscellaneous.LinearInterp(Peturbed_QZ,$K157,1,S$1),ZeroCompFreq,'PDH Calc'!$K157/365)</f>
        <v>1</v>
      </c>
      <c r="T157" s="8">
        <f ca="1">_xll.HLV5r3.Analytics.Miscellaneous.Zero2DF(_xll.HLV5r3.Analytics.Miscellaneous.LinearInterp(Peturbed_QZ,$K157,1,T$1),ZeroCompFreq,'PDH Calc'!$K157/365)</f>
        <v>1</v>
      </c>
      <c r="U157" s="8">
        <f ca="1">_xll.HLV5r3.Analytics.Miscellaneous.Zero2DF(_xll.HLV5r3.Analytics.Miscellaneous.LinearInterp(Peturbed_QZ,$K157,1,U$1),ZeroCompFreq,'PDH Calc'!$K157/365)</f>
        <v>1</v>
      </c>
      <c r="V157" s="8">
        <f ca="1">_xll.HLV5r3.Analytics.Miscellaneous.Zero2DF(_xll.HLV5r3.Analytics.Miscellaneous.LinearInterp(Peturbed_QZ,$K157,1,V$1),ZeroCompFreq,'PDH Calc'!$K157/365)</f>
        <v>1</v>
      </c>
      <c r="W157" s="8">
        <f ca="1">_xll.HLV5r3.Analytics.Miscellaneous.Zero2DF(_xll.HLV5r3.Analytics.Miscellaneous.LinearInterp(Peturbed_QZ,$K157,1,W$1),ZeroCompFreq,'PDH Calc'!$K157/365)</f>
        <v>1</v>
      </c>
      <c r="X157" s="8">
        <f ca="1">_xll.HLV5r3.Analytics.Miscellaneous.Zero2DF(_xll.HLV5r3.Analytics.Miscellaneous.LinearInterp(Peturbed_QZ,$K157,1,X$1),ZeroCompFreq,'PDH Calc'!$K157/365)</f>
        <v>1</v>
      </c>
      <c r="Y157" s="8">
        <f ca="1">_xll.HLV5r3.Analytics.Miscellaneous.Zero2DF(_xll.HLV5r3.Analytics.Miscellaneous.LinearInterp(Peturbed_QZ,$K157,1,Y$1),ZeroCompFreq,'PDH Calc'!$K157/365)</f>
        <v>1</v>
      </c>
      <c r="Z157" s="8">
        <f ca="1">_xll.HLV5r3.Analytics.Miscellaneous.Zero2DF(_xll.HLV5r3.Analytics.Miscellaneous.LinearInterp(Peturbed_QZ,$K157,1,Z$1),ZeroCompFreq,'PDH Calc'!$K157/365)</f>
        <v>1</v>
      </c>
      <c r="AA157" s="8">
        <f ca="1">_xll.HLV5r3.Analytics.Miscellaneous.Zero2DF(_xll.HLV5r3.Analytics.Miscellaneous.LinearInterp(Peturbed_QZ,$K157,1,AA$1),ZeroCompFreq,'PDH Calc'!$K157/365)</f>
        <v>1</v>
      </c>
      <c r="AB157" s="8">
        <f ca="1">_xll.HLV5r3.Analytics.Miscellaneous.Zero2DF(_xll.HLV5r3.Analytics.Miscellaneous.LinearInterp(Peturbed_QZ,$K157,1,AB$1),ZeroCompFreq,'PDH Calc'!$K157/365)</f>
        <v>1</v>
      </c>
      <c r="AC157" s="8">
        <f ca="1">_xll.HLV5r3.Analytics.Miscellaneous.Zero2DF(_xll.HLV5r3.Analytics.Miscellaneous.LinearInterp(Peturbed_QZ,$K157,1,AC$1),ZeroCompFreq,'PDH Calc'!$K157/365)</f>
        <v>1</v>
      </c>
      <c r="AD157" s="8">
        <f ca="1">_xll.HLV5r3.Analytics.Miscellaneous.Zero2DF(_xll.HLV5r3.Analytics.Miscellaneous.LinearInterp(Peturbed_QZ,$K157,1,AD$1),ZeroCompFreq,'PDH Calc'!$K157/365)</f>
        <v>1</v>
      </c>
      <c r="AE157" s="8">
        <f ca="1">_xll.HLV5r3.Analytics.Miscellaneous.Zero2DF(_xll.HLV5r3.Analytics.Miscellaneous.LinearInterp(Peturbed_QZ,$K157,1,AE$1),ZeroCompFreq,'PDH Calc'!$K157/365)</f>
        <v>1</v>
      </c>
      <c r="AF157" s="8">
        <f ca="1">_xll.HLV5r3.Analytics.Miscellaneous.Zero2DF(_xll.HLV5r3.Analytics.Miscellaneous.LinearInterp(Peturbed_QZ,$K157,1,AF$1),ZeroCompFreq,'PDH Calc'!$K157/365)</f>
        <v>1</v>
      </c>
      <c r="AG157" s="8">
        <f ca="1">_xll.HLV5r3.Analytics.Miscellaneous.Zero2DF(_xll.HLV5r3.Analytics.Miscellaneous.LinearInterp(Peturbed_QZ,$K157,1,AG$1),ZeroCompFreq,'PDH Calc'!$K157/365)</f>
        <v>1</v>
      </c>
      <c r="AH157" s="8">
        <f ca="1">_xll.HLV5r3.Analytics.Miscellaneous.Zero2DF(_xll.HLV5r3.Analytics.Miscellaneous.LinearInterp(Peturbed_QZ,$K157,1,AH$1),ZeroCompFreq,'PDH Calc'!$K157/365)</f>
        <v>1</v>
      </c>
      <c r="AI157" s="8">
        <f ca="1">_xll.HLV5r3.Analytics.Miscellaneous.Zero2DF(_xll.HLV5r3.Analytics.Miscellaneous.LinearInterp(Peturbed_QZ,$K157,1,AI$1),ZeroCompFreq,'PDH Calc'!$K157/365)</f>
        <v>1</v>
      </c>
      <c r="AJ157" s="8">
        <f ca="1">_xll.HLV5r3.Analytics.Miscellaneous.Zero2DF(_xll.HLV5r3.Analytics.Miscellaneous.LinearInterp(Peturbed_QZ,$K157,1,AJ$1),ZeroCompFreq,'PDH Calc'!$K157/365)</f>
        <v>1</v>
      </c>
      <c r="AK157" s="8">
        <f ca="1">_xll.HLV5r3.Analytics.Miscellaneous.Zero2DF(_xll.HLV5r3.Analytics.Miscellaneous.LinearInterp(Peturbed_QZ,$K157,1,AK$1),ZeroCompFreq,'PDH Calc'!$K157/365)</f>
        <v>1</v>
      </c>
    </row>
    <row r="158" spans="1:37">
      <c r="A158" s="4"/>
      <c r="B158" s="6"/>
      <c r="F158" s="11"/>
      <c r="G158" s="6"/>
      <c r="H158" s="20"/>
      <c r="I158" s="21"/>
      <c r="J158" s="26"/>
      <c r="K158" s="6">
        <f t="shared" ca="1" si="8"/>
        <v>0</v>
      </c>
      <c r="L158" s="8">
        <f ca="1">_xll.HLV5r3.Analytics.Miscellaneous.Zero2DF(_xll.HLV5r3.Analytics.Miscellaneous.LinearInterp(Peturbed_QZ,$K158,1,L$1),ZeroCompFreq,'PDH Calc'!$K158/365)</f>
        <v>1</v>
      </c>
      <c r="M158" s="8">
        <f ca="1">_xll.HLV5r3.Analytics.Miscellaneous.Zero2DF(_xll.HLV5r3.Analytics.Miscellaneous.LinearInterp(Peturbed_QZ,$K158,1,M$1),ZeroCompFreq,'PDH Calc'!$K158/365)</f>
        <v>1</v>
      </c>
      <c r="N158" s="8">
        <f ca="1">_xll.HLV5r3.Analytics.Miscellaneous.Zero2DF(_xll.HLV5r3.Analytics.Miscellaneous.LinearInterp(Peturbed_QZ,$K158,1,N$1),ZeroCompFreq,'PDH Calc'!$K158/365)</f>
        <v>1</v>
      </c>
      <c r="O158" s="8">
        <f ca="1">_xll.HLV5r3.Analytics.Miscellaneous.Zero2DF(_xll.HLV5r3.Analytics.Miscellaneous.LinearInterp(Peturbed_QZ,$K158,1,O$1),ZeroCompFreq,'PDH Calc'!$K158/365)</f>
        <v>1</v>
      </c>
      <c r="P158" s="8">
        <f ca="1">_xll.HLV5r3.Analytics.Miscellaneous.Zero2DF(_xll.HLV5r3.Analytics.Miscellaneous.LinearInterp(Peturbed_QZ,$K158,1,P$1),ZeroCompFreq,'PDH Calc'!$K158/365)</f>
        <v>1</v>
      </c>
      <c r="Q158" s="8">
        <f ca="1">_xll.HLV5r3.Analytics.Miscellaneous.Zero2DF(_xll.HLV5r3.Analytics.Miscellaneous.LinearInterp(Peturbed_QZ,$K158,1,Q$1),ZeroCompFreq,'PDH Calc'!$K158/365)</f>
        <v>1</v>
      </c>
      <c r="R158" s="8">
        <f ca="1">_xll.HLV5r3.Analytics.Miscellaneous.Zero2DF(_xll.HLV5r3.Analytics.Miscellaneous.LinearInterp(Peturbed_QZ,$K158,1,R$1),ZeroCompFreq,'PDH Calc'!$K158/365)</f>
        <v>1</v>
      </c>
      <c r="S158" s="8">
        <f ca="1">_xll.HLV5r3.Analytics.Miscellaneous.Zero2DF(_xll.HLV5r3.Analytics.Miscellaneous.LinearInterp(Peturbed_QZ,$K158,1,S$1),ZeroCompFreq,'PDH Calc'!$K158/365)</f>
        <v>1</v>
      </c>
      <c r="T158" s="8">
        <f ca="1">_xll.HLV5r3.Analytics.Miscellaneous.Zero2DF(_xll.HLV5r3.Analytics.Miscellaneous.LinearInterp(Peturbed_QZ,$K158,1,T$1),ZeroCompFreq,'PDH Calc'!$K158/365)</f>
        <v>1</v>
      </c>
      <c r="U158" s="8">
        <f ca="1">_xll.HLV5r3.Analytics.Miscellaneous.Zero2DF(_xll.HLV5r3.Analytics.Miscellaneous.LinearInterp(Peturbed_QZ,$K158,1,U$1),ZeroCompFreq,'PDH Calc'!$K158/365)</f>
        <v>1</v>
      </c>
      <c r="V158" s="8">
        <f ca="1">_xll.HLV5r3.Analytics.Miscellaneous.Zero2DF(_xll.HLV5r3.Analytics.Miscellaneous.LinearInterp(Peturbed_QZ,$K158,1,V$1),ZeroCompFreq,'PDH Calc'!$K158/365)</f>
        <v>1</v>
      </c>
      <c r="W158" s="8">
        <f ca="1">_xll.HLV5r3.Analytics.Miscellaneous.Zero2DF(_xll.HLV5r3.Analytics.Miscellaneous.LinearInterp(Peturbed_QZ,$K158,1,W$1),ZeroCompFreq,'PDH Calc'!$K158/365)</f>
        <v>1</v>
      </c>
      <c r="X158" s="8">
        <f ca="1">_xll.HLV5r3.Analytics.Miscellaneous.Zero2DF(_xll.HLV5r3.Analytics.Miscellaneous.LinearInterp(Peturbed_QZ,$K158,1,X$1),ZeroCompFreq,'PDH Calc'!$K158/365)</f>
        <v>1</v>
      </c>
      <c r="Y158" s="8">
        <f ca="1">_xll.HLV5r3.Analytics.Miscellaneous.Zero2DF(_xll.HLV5r3.Analytics.Miscellaneous.LinearInterp(Peturbed_QZ,$K158,1,Y$1),ZeroCompFreq,'PDH Calc'!$K158/365)</f>
        <v>1</v>
      </c>
      <c r="Z158" s="8">
        <f ca="1">_xll.HLV5r3.Analytics.Miscellaneous.Zero2DF(_xll.HLV5r3.Analytics.Miscellaneous.LinearInterp(Peturbed_QZ,$K158,1,Z$1),ZeroCompFreq,'PDH Calc'!$K158/365)</f>
        <v>1</v>
      </c>
      <c r="AA158" s="8">
        <f ca="1">_xll.HLV5r3.Analytics.Miscellaneous.Zero2DF(_xll.HLV5r3.Analytics.Miscellaneous.LinearInterp(Peturbed_QZ,$K158,1,AA$1),ZeroCompFreq,'PDH Calc'!$K158/365)</f>
        <v>1</v>
      </c>
      <c r="AB158" s="8">
        <f ca="1">_xll.HLV5r3.Analytics.Miscellaneous.Zero2DF(_xll.HLV5r3.Analytics.Miscellaneous.LinearInterp(Peturbed_QZ,$K158,1,AB$1),ZeroCompFreq,'PDH Calc'!$K158/365)</f>
        <v>1</v>
      </c>
      <c r="AC158" s="8">
        <f ca="1">_xll.HLV5r3.Analytics.Miscellaneous.Zero2DF(_xll.HLV5r3.Analytics.Miscellaneous.LinearInterp(Peturbed_QZ,$K158,1,AC$1),ZeroCompFreq,'PDH Calc'!$K158/365)</f>
        <v>1</v>
      </c>
      <c r="AD158" s="8">
        <f ca="1">_xll.HLV5r3.Analytics.Miscellaneous.Zero2DF(_xll.HLV5r3.Analytics.Miscellaneous.LinearInterp(Peturbed_QZ,$K158,1,AD$1),ZeroCompFreq,'PDH Calc'!$K158/365)</f>
        <v>1</v>
      </c>
      <c r="AE158" s="8">
        <f ca="1">_xll.HLV5r3.Analytics.Miscellaneous.Zero2DF(_xll.HLV5r3.Analytics.Miscellaneous.LinearInterp(Peturbed_QZ,$K158,1,AE$1),ZeroCompFreq,'PDH Calc'!$K158/365)</f>
        <v>1</v>
      </c>
      <c r="AF158" s="8">
        <f ca="1">_xll.HLV5r3.Analytics.Miscellaneous.Zero2DF(_xll.HLV5r3.Analytics.Miscellaneous.LinearInterp(Peturbed_QZ,$K158,1,AF$1),ZeroCompFreq,'PDH Calc'!$K158/365)</f>
        <v>1</v>
      </c>
      <c r="AG158" s="8">
        <f ca="1">_xll.HLV5r3.Analytics.Miscellaneous.Zero2DF(_xll.HLV5r3.Analytics.Miscellaneous.LinearInterp(Peturbed_QZ,$K158,1,AG$1),ZeroCompFreq,'PDH Calc'!$K158/365)</f>
        <v>1</v>
      </c>
      <c r="AH158" s="8">
        <f ca="1">_xll.HLV5r3.Analytics.Miscellaneous.Zero2DF(_xll.HLV5r3.Analytics.Miscellaneous.LinearInterp(Peturbed_QZ,$K158,1,AH$1),ZeroCompFreq,'PDH Calc'!$K158/365)</f>
        <v>1</v>
      </c>
      <c r="AI158" s="8">
        <f ca="1">_xll.HLV5r3.Analytics.Miscellaneous.Zero2DF(_xll.HLV5r3.Analytics.Miscellaneous.LinearInterp(Peturbed_QZ,$K158,1,AI$1),ZeroCompFreq,'PDH Calc'!$K158/365)</f>
        <v>1</v>
      </c>
      <c r="AJ158" s="8">
        <f ca="1">_xll.HLV5r3.Analytics.Miscellaneous.Zero2DF(_xll.HLV5r3.Analytics.Miscellaneous.LinearInterp(Peturbed_QZ,$K158,1,AJ$1),ZeroCompFreq,'PDH Calc'!$K158/365)</f>
        <v>1</v>
      </c>
      <c r="AK158" s="8">
        <f ca="1">_xll.HLV5r3.Analytics.Miscellaneous.Zero2DF(_xll.HLV5r3.Analytics.Miscellaneous.LinearInterp(Peturbed_QZ,$K158,1,AK$1),ZeroCompFreq,'PDH Calc'!$K158/365)</f>
        <v>1</v>
      </c>
    </row>
    <row r="159" spans="1:37">
      <c r="A159" s="4"/>
      <c r="B159" s="6"/>
      <c r="F159" s="11"/>
      <c r="G159" s="6"/>
      <c r="H159" s="20"/>
      <c r="I159" s="21"/>
      <c r="J159" s="26"/>
      <c r="K159" s="6">
        <f t="shared" ca="1" si="8"/>
        <v>0</v>
      </c>
      <c r="L159" s="8">
        <f ca="1">_xll.HLV5r3.Analytics.Miscellaneous.Zero2DF(_xll.HLV5r3.Analytics.Miscellaneous.LinearInterp(Peturbed_QZ,$K159,1,L$1),ZeroCompFreq,'PDH Calc'!$K159/365)</f>
        <v>1</v>
      </c>
      <c r="M159" s="8">
        <f ca="1">_xll.HLV5r3.Analytics.Miscellaneous.Zero2DF(_xll.HLV5r3.Analytics.Miscellaneous.LinearInterp(Peturbed_QZ,$K159,1,M$1),ZeroCompFreq,'PDH Calc'!$K159/365)</f>
        <v>1</v>
      </c>
      <c r="N159" s="8">
        <f ca="1">_xll.HLV5r3.Analytics.Miscellaneous.Zero2DF(_xll.HLV5r3.Analytics.Miscellaneous.LinearInterp(Peturbed_QZ,$K159,1,N$1),ZeroCompFreq,'PDH Calc'!$K159/365)</f>
        <v>1</v>
      </c>
      <c r="O159" s="8">
        <f ca="1">_xll.HLV5r3.Analytics.Miscellaneous.Zero2DF(_xll.HLV5r3.Analytics.Miscellaneous.LinearInterp(Peturbed_QZ,$K159,1,O$1),ZeroCompFreq,'PDH Calc'!$K159/365)</f>
        <v>1</v>
      </c>
      <c r="P159" s="8">
        <f ca="1">_xll.HLV5r3.Analytics.Miscellaneous.Zero2DF(_xll.HLV5r3.Analytics.Miscellaneous.LinearInterp(Peturbed_QZ,$K159,1,P$1),ZeroCompFreq,'PDH Calc'!$K159/365)</f>
        <v>1</v>
      </c>
      <c r="Q159" s="8">
        <f ca="1">_xll.HLV5r3.Analytics.Miscellaneous.Zero2DF(_xll.HLV5r3.Analytics.Miscellaneous.LinearInterp(Peturbed_QZ,$K159,1,Q$1),ZeroCompFreq,'PDH Calc'!$K159/365)</f>
        <v>1</v>
      </c>
      <c r="R159" s="8">
        <f ca="1">_xll.HLV5r3.Analytics.Miscellaneous.Zero2DF(_xll.HLV5r3.Analytics.Miscellaneous.LinearInterp(Peturbed_QZ,$K159,1,R$1),ZeroCompFreq,'PDH Calc'!$K159/365)</f>
        <v>1</v>
      </c>
      <c r="S159" s="8">
        <f ca="1">_xll.HLV5r3.Analytics.Miscellaneous.Zero2DF(_xll.HLV5r3.Analytics.Miscellaneous.LinearInterp(Peturbed_QZ,$K159,1,S$1),ZeroCompFreq,'PDH Calc'!$K159/365)</f>
        <v>1</v>
      </c>
      <c r="T159" s="8">
        <f ca="1">_xll.HLV5r3.Analytics.Miscellaneous.Zero2DF(_xll.HLV5r3.Analytics.Miscellaneous.LinearInterp(Peturbed_QZ,$K159,1,T$1),ZeroCompFreq,'PDH Calc'!$K159/365)</f>
        <v>1</v>
      </c>
      <c r="U159" s="8">
        <f ca="1">_xll.HLV5r3.Analytics.Miscellaneous.Zero2DF(_xll.HLV5r3.Analytics.Miscellaneous.LinearInterp(Peturbed_QZ,$K159,1,U$1),ZeroCompFreq,'PDH Calc'!$K159/365)</f>
        <v>1</v>
      </c>
      <c r="V159" s="8">
        <f ca="1">_xll.HLV5r3.Analytics.Miscellaneous.Zero2DF(_xll.HLV5r3.Analytics.Miscellaneous.LinearInterp(Peturbed_QZ,$K159,1,V$1),ZeroCompFreq,'PDH Calc'!$K159/365)</f>
        <v>1</v>
      </c>
      <c r="W159" s="8">
        <f ca="1">_xll.HLV5r3.Analytics.Miscellaneous.Zero2DF(_xll.HLV5r3.Analytics.Miscellaneous.LinearInterp(Peturbed_QZ,$K159,1,W$1),ZeroCompFreq,'PDH Calc'!$K159/365)</f>
        <v>1</v>
      </c>
      <c r="X159" s="8">
        <f ca="1">_xll.HLV5r3.Analytics.Miscellaneous.Zero2DF(_xll.HLV5r3.Analytics.Miscellaneous.LinearInterp(Peturbed_QZ,$K159,1,X$1),ZeroCompFreq,'PDH Calc'!$K159/365)</f>
        <v>1</v>
      </c>
      <c r="Y159" s="8">
        <f ca="1">_xll.HLV5r3.Analytics.Miscellaneous.Zero2DF(_xll.HLV5r3.Analytics.Miscellaneous.LinearInterp(Peturbed_QZ,$K159,1,Y$1),ZeroCompFreq,'PDH Calc'!$K159/365)</f>
        <v>1</v>
      </c>
      <c r="Z159" s="8">
        <f ca="1">_xll.HLV5r3.Analytics.Miscellaneous.Zero2DF(_xll.HLV5r3.Analytics.Miscellaneous.LinearInterp(Peturbed_QZ,$K159,1,Z$1),ZeroCompFreq,'PDH Calc'!$K159/365)</f>
        <v>1</v>
      </c>
      <c r="AA159" s="8">
        <f ca="1">_xll.HLV5r3.Analytics.Miscellaneous.Zero2DF(_xll.HLV5r3.Analytics.Miscellaneous.LinearInterp(Peturbed_QZ,$K159,1,AA$1),ZeroCompFreq,'PDH Calc'!$K159/365)</f>
        <v>1</v>
      </c>
      <c r="AB159" s="8">
        <f ca="1">_xll.HLV5r3.Analytics.Miscellaneous.Zero2DF(_xll.HLV5r3.Analytics.Miscellaneous.LinearInterp(Peturbed_QZ,$K159,1,AB$1),ZeroCompFreq,'PDH Calc'!$K159/365)</f>
        <v>1</v>
      </c>
      <c r="AC159" s="8">
        <f ca="1">_xll.HLV5r3.Analytics.Miscellaneous.Zero2DF(_xll.HLV5r3.Analytics.Miscellaneous.LinearInterp(Peturbed_QZ,$K159,1,AC$1),ZeroCompFreq,'PDH Calc'!$K159/365)</f>
        <v>1</v>
      </c>
      <c r="AD159" s="8">
        <f ca="1">_xll.HLV5r3.Analytics.Miscellaneous.Zero2DF(_xll.HLV5r3.Analytics.Miscellaneous.LinearInterp(Peturbed_QZ,$K159,1,AD$1),ZeroCompFreq,'PDH Calc'!$K159/365)</f>
        <v>1</v>
      </c>
      <c r="AE159" s="8">
        <f ca="1">_xll.HLV5r3.Analytics.Miscellaneous.Zero2DF(_xll.HLV5r3.Analytics.Miscellaneous.LinearInterp(Peturbed_QZ,$K159,1,AE$1),ZeroCompFreq,'PDH Calc'!$K159/365)</f>
        <v>1</v>
      </c>
      <c r="AF159" s="8">
        <f ca="1">_xll.HLV5r3.Analytics.Miscellaneous.Zero2DF(_xll.HLV5r3.Analytics.Miscellaneous.LinearInterp(Peturbed_QZ,$K159,1,AF$1),ZeroCompFreq,'PDH Calc'!$K159/365)</f>
        <v>1</v>
      </c>
      <c r="AG159" s="8">
        <f ca="1">_xll.HLV5r3.Analytics.Miscellaneous.Zero2DF(_xll.HLV5r3.Analytics.Miscellaneous.LinearInterp(Peturbed_QZ,$K159,1,AG$1),ZeroCompFreq,'PDH Calc'!$K159/365)</f>
        <v>1</v>
      </c>
      <c r="AH159" s="8">
        <f ca="1">_xll.HLV5r3.Analytics.Miscellaneous.Zero2DF(_xll.HLV5r3.Analytics.Miscellaneous.LinearInterp(Peturbed_QZ,$K159,1,AH$1),ZeroCompFreq,'PDH Calc'!$K159/365)</f>
        <v>1</v>
      </c>
      <c r="AI159" s="8">
        <f ca="1">_xll.HLV5r3.Analytics.Miscellaneous.Zero2DF(_xll.HLV5r3.Analytics.Miscellaneous.LinearInterp(Peturbed_QZ,$K159,1,AI$1),ZeroCompFreq,'PDH Calc'!$K159/365)</f>
        <v>1</v>
      </c>
      <c r="AJ159" s="8">
        <f ca="1">_xll.HLV5r3.Analytics.Miscellaneous.Zero2DF(_xll.HLV5r3.Analytics.Miscellaneous.LinearInterp(Peturbed_QZ,$K159,1,AJ$1),ZeroCompFreq,'PDH Calc'!$K159/365)</f>
        <v>1</v>
      </c>
      <c r="AK159" s="8">
        <f ca="1">_xll.HLV5r3.Analytics.Miscellaneous.Zero2DF(_xll.HLV5r3.Analytics.Miscellaneous.LinearInterp(Peturbed_QZ,$K159,1,AK$1),ZeroCompFreq,'PDH Calc'!$K159/365)</f>
        <v>1</v>
      </c>
    </row>
    <row r="160" spans="1:37">
      <c r="A160" s="4"/>
      <c r="B160" s="6"/>
      <c r="F160" s="11"/>
      <c r="G160" s="6"/>
      <c r="H160" s="20"/>
      <c r="I160" s="21"/>
      <c r="J160" s="26"/>
      <c r="K160" s="6">
        <f t="shared" ca="1" si="8"/>
        <v>0</v>
      </c>
      <c r="L160" s="8">
        <f ca="1">_xll.HLV5r3.Analytics.Miscellaneous.Zero2DF(_xll.HLV5r3.Analytics.Miscellaneous.LinearInterp(Peturbed_QZ,$K160,1,L$1),ZeroCompFreq,'PDH Calc'!$K160/365)</f>
        <v>1</v>
      </c>
      <c r="M160" s="8">
        <f ca="1">_xll.HLV5r3.Analytics.Miscellaneous.Zero2DF(_xll.HLV5r3.Analytics.Miscellaneous.LinearInterp(Peturbed_QZ,$K160,1,M$1),ZeroCompFreq,'PDH Calc'!$K160/365)</f>
        <v>1</v>
      </c>
      <c r="N160" s="8">
        <f ca="1">_xll.HLV5r3.Analytics.Miscellaneous.Zero2DF(_xll.HLV5r3.Analytics.Miscellaneous.LinearInterp(Peturbed_QZ,$K160,1,N$1),ZeroCompFreq,'PDH Calc'!$K160/365)</f>
        <v>1</v>
      </c>
      <c r="O160" s="8">
        <f ca="1">_xll.HLV5r3.Analytics.Miscellaneous.Zero2DF(_xll.HLV5r3.Analytics.Miscellaneous.LinearInterp(Peturbed_QZ,$K160,1,O$1),ZeroCompFreq,'PDH Calc'!$K160/365)</f>
        <v>1</v>
      </c>
      <c r="P160" s="8">
        <f ca="1">_xll.HLV5r3.Analytics.Miscellaneous.Zero2DF(_xll.HLV5r3.Analytics.Miscellaneous.LinearInterp(Peturbed_QZ,$K160,1,P$1),ZeroCompFreq,'PDH Calc'!$K160/365)</f>
        <v>1</v>
      </c>
      <c r="Q160" s="8">
        <f ca="1">_xll.HLV5r3.Analytics.Miscellaneous.Zero2DF(_xll.HLV5r3.Analytics.Miscellaneous.LinearInterp(Peturbed_QZ,$K160,1,Q$1),ZeroCompFreq,'PDH Calc'!$K160/365)</f>
        <v>1</v>
      </c>
      <c r="R160" s="8">
        <f ca="1">_xll.HLV5r3.Analytics.Miscellaneous.Zero2DF(_xll.HLV5r3.Analytics.Miscellaneous.LinearInterp(Peturbed_QZ,$K160,1,R$1),ZeroCompFreq,'PDH Calc'!$K160/365)</f>
        <v>1</v>
      </c>
      <c r="S160" s="8">
        <f ca="1">_xll.HLV5r3.Analytics.Miscellaneous.Zero2DF(_xll.HLV5r3.Analytics.Miscellaneous.LinearInterp(Peturbed_QZ,$K160,1,S$1),ZeroCompFreq,'PDH Calc'!$K160/365)</f>
        <v>1</v>
      </c>
      <c r="T160" s="8">
        <f ca="1">_xll.HLV5r3.Analytics.Miscellaneous.Zero2DF(_xll.HLV5r3.Analytics.Miscellaneous.LinearInterp(Peturbed_QZ,$K160,1,T$1),ZeroCompFreq,'PDH Calc'!$K160/365)</f>
        <v>1</v>
      </c>
      <c r="U160" s="8">
        <f ca="1">_xll.HLV5r3.Analytics.Miscellaneous.Zero2DF(_xll.HLV5r3.Analytics.Miscellaneous.LinearInterp(Peturbed_QZ,$K160,1,U$1),ZeroCompFreq,'PDH Calc'!$K160/365)</f>
        <v>1</v>
      </c>
      <c r="V160" s="8">
        <f ca="1">_xll.HLV5r3.Analytics.Miscellaneous.Zero2DF(_xll.HLV5r3.Analytics.Miscellaneous.LinearInterp(Peturbed_QZ,$K160,1,V$1),ZeroCompFreq,'PDH Calc'!$K160/365)</f>
        <v>1</v>
      </c>
      <c r="W160" s="8">
        <f ca="1">_xll.HLV5r3.Analytics.Miscellaneous.Zero2DF(_xll.HLV5r3.Analytics.Miscellaneous.LinearInterp(Peturbed_QZ,$K160,1,W$1),ZeroCompFreq,'PDH Calc'!$K160/365)</f>
        <v>1</v>
      </c>
      <c r="X160" s="8">
        <f ca="1">_xll.HLV5r3.Analytics.Miscellaneous.Zero2DF(_xll.HLV5r3.Analytics.Miscellaneous.LinearInterp(Peturbed_QZ,$K160,1,X$1),ZeroCompFreq,'PDH Calc'!$K160/365)</f>
        <v>1</v>
      </c>
      <c r="Y160" s="8">
        <f ca="1">_xll.HLV5r3.Analytics.Miscellaneous.Zero2DF(_xll.HLV5r3.Analytics.Miscellaneous.LinearInterp(Peturbed_QZ,$K160,1,Y$1),ZeroCompFreq,'PDH Calc'!$K160/365)</f>
        <v>1</v>
      </c>
      <c r="Z160" s="8">
        <f ca="1">_xll.HLV5r3.Analytics.Miscellaneous.Zero2DF(_xll.HLV5r3.Analytics.Miscellaneous.LinearInterp(Peturbed_QZ,$K160,1,Z$1),ZeroCompFreq,'PDH Calc'!$K160/365)</f>
        <v>1</v>
      </c>
      <c r="AA160" s="8">
        <f ca="1">_xll.HLV5r3.Analytics.Miscellaneous.Zero2DF(_xll.HLV5r3.Analytics.Miscellaneous.LinearInterp(Peturbed_QZ,$K160,1,AA$1),ZeroCompFreq,'PDH Calc'!$K160/365)</f>
        <v>1</v>
      </c>
      <c r="AB160" s="8">
        <f ca="1">_xll.HLV5r3.Analytics.Miscellaneous.Zero2DF(_xll.HLV5r3.Analytics.Miscellaneous.LinearInterp(Peturbed_QZ,$K160,1,AB$1),ZeroCompFreq,'PDH Calc'!$K160/365)</f>
        <v>1</v>
      </c>
      <c r="AC160" s="8">
        <f ca="1">_xll.HLV5r3.Analytics.Miscellaneous.Zero2DF(_xll.HLV5r3.Analytics.Miscellaneous.LinearInterp(Peturbed_QZ,$K160,1,AC$1),ZeroCompFreq,'PDH Calc'!$K160/365)</f>
        <v>1</v>
      </c>
      <c r="AD160" s="8">
        <f ca="1">_xll.HLV5r3.Analytics.Miscellaneous.Zero2DF(_xll.HLV5r3.Analytics.Miscellaneous.LinearInterp(Peturbed_QZ,$K160,1,AD$1),ZeroCompFreq,'PDH Calc'!$K160/365)</f>
        <v>1</v>
      </c>
      <c r="AE160" s="8">
        <f ca="1">_xll.HLV5r3.Analytics.Miscellaneous.Zero2DF(_xll.HLV5r3.Analytics.Miscellaneous.LinearInterp(Peturbed_QZ,$K160,1,AE$1),ZeroCompFreq,'PDH Calc'!$K160/365)</f>
        <v>1</v>
      </c>
      <c r="AF160" s="8">
        <f ca="1">_xll.HLV5r3.Analytics.Miscellaneous.Zero2DF(_xll.HLV5r3.Analytics.Miscellaneous.LinearInterp(Peturbed_QZ,$K160,1,AF$1),ZeroCompFreq,'PDH Calc'!$K160/365)</f>
        <v>1</v>
      </c>
      <c r="AG160" s="8">
        <f ca="1">_xll.HLV5r3.Analytics.Miscellaneous.Zero2DF(_xll.HLV5r3.Analytics.Miscellaneous.LinearInterp(Peturbed_QZ,$K160,1,AG$1),ZeroCompFreq,'PDH Calc'!$K160/365)</f>
        <v>1</v>
      </c>
      <c r="AH160" s="8">
        <f ca="1">_xll.HLV5r3.Analytics.Miscellaneous.Zero2DF(_xll.HLV5r3.Analytics.Miscellaneous.LinearInterp(Peturbed_QZ,$K160,1,AH$1),ZeroCompFreq,'PDH Calc'!$K160/365)</f>
        <v>1</v>
      </c>
      <c r="AI160" s="8">
        <f ca="1">_xll.HLV5r3.Analytics.Miscellaneous.Zero2DF(_xll.HLV5r3.Analytics.Miscellaneous.LinearInterp(Peturbed_QZ,$K160,1,AI$1),ZeroCompFreq,'PDH Calc'!$K160/365)</f>
        <v>1</v>
      </c>
      <c r="AJ160" s="8">
        <f ca="1">_xll.HLV5r3.Analytics.Miscellaneous.Zero2DF(_xll.HLV5r3.Analytics.Miscellaneous.LinearInterp(Peturbed_QZ,$K160,1,AJ$1),ZeroCompFreq,'PDH Calc'!$K160/365)</f>
        <v>1</v>
      </c>
      <c r="AK160" s="8">
        <f ca="1">_xll.HLV5r3.Analytics.Miscellaneous.Zero2DF(_xll.HLV5r3.Analytics.Miscellaneous.LinearInterp(Peturbed_QZ,$K160,1,AK$1),ZeroCompFreq,'PDH Calc'!$K160/365)</f>
        <v>1</v>
      </c>
    </row>
    <row r="161" spans="1:37">
      <c r="A161" s="4"/>
      <c r="B161" s="6"/>
      <c r="F161" s="11"/>
      <c r="G161" s="6"/>
      <c r="H161" s="20"/>
      <c r="I161" s="21"/>
      <c r="J161" s="26"/>
      <c r="K161" s="6">
        <f t="shared" ref="K161:K218" ca="1" si="9">(H161-Calc_Date)*ISNUMBER(H161)</f>
        <v>0</v>
      </c>
      <c r="L161" s="8">
        <f ca="1">_xll.HLV5r3.Analytics.Miscellaneous.Zero2DF(_xll.HLV5r3.Analytics.Miscellaneous.LinearInterp(Peturbed_QZ,$K161,1,L$1),ZeroCompFreq,'PDH Calc'!$K161/365)</f>
        <v>1</v>
      </c>
      <c r="M161" s="8">
        <f ca="1">_xll.HLV5r3.Analytics.Miscellaneous.Zero2DF(_xll.HLV5r3.Analytics.Miscellaneous.LinearInterp(Peturbed_QZ,$K161,1,M$1),ZeroCompFreq,'PDH Calc'!$K161/365)</f>
        <v>1</v>
      </c>
      <c r="N161" s="8">
        <f ca="1">_xll.HLV5r3.Analytics.Miscellaneous.Zero2DF(_xll.HLV5r3.Analytics.Miscellaneous.LinearInterp(Peturbed_QZ,$K161,1,N$1),ZeroCompFreq,'PDH Calc'!$K161/365)</f>
        <v>1</v>
      </c>
      <c r="O161" s="8">
        <f ca="1">_xll.HLV5r3.Analytics.Miscellaneous.Zero2DF(_xll.HLV5r3.Analytics.Miscellaneous.LinearInterp(Peturbed_QZ,$K161,1,O$1),ZeroCompFreq,'PDH Calc'!$K161/365)</f>
        <v>1</v>
      </c>
      <c r="P161" s="8">
        <f ca="1">_xll.HLV5r3.Analytics.Miscellaneous.Zero2DF(_xll.HLV5r3.Analytics.Miscellaneous.LinearInterp(Peturbed_QZ,$K161,1,P$1),ZeroCompFreq,'PDH Calc'!$K161/365)</f>
        <v>1</v>
      </c>
      <c r="Q161" s="8">
        <f ca="1">_xll.HLV5r3.Analytics.Miscellaneous.Zero2DF(_xll.HLV5r3.Analytics.Miscellaneous.LinearInterp(Peturbed_QZ,$K161,1,Q$1),ZeroCompFreq,'PDH Calc'!$K161/365)</f>
        <v>1</v>
      </c>
      <c r="R161" s="8">
        <f ca="1">_xll.HLV5r3.Analytics.Miscellaneous.Zero2DF(_xll.HLV5r3.Analytics.Miscellaneous.LinearInterp(Peturbed_QZ,$K161,1,R$1),ZeroCompFreq,'PDH Calc'!$K161/365)</f>
        <v>1</v>
      </c>
      <c r="S161" s="8">
        <f ca="1">_xll.HLV5r3.Analytics.Miscellaneous.Zero2DF(_xll.HLV5r3.Analytics.Miscellaneous.LinearInterp(Peturbed_QZ,$K161,1,S$1),ZeroCompFreq,'PDH Calc'!$K161/365)</f>
        <v>1</v>
      </c>
      <c r="T161" s="8">
        <f ca="1">_xll.HLV5r3.Analytics.Miscellaneous.Zero2DF(_xll.HLV5r3.Analytics.Miscellaneous.LinearInterp(Peturbed_QZ,$K161,1,T$1),ZeroCompFreq,'PDH Calc'!$K161/365)</f>
        <v>1</v>
      </c>
      <c r="U161" s="8">
        <f ca="1">_xll.HLV5r3.Analytics.Miscellaneous.Zero2DF(_xll.HLV5r3.Analytics.Miscellaneous.LinearInterp(Peturbed_QZ,$K161,1,U$1),ZeroCompFreq,'PDH Calc'!$K161/365)</f>
        <v>1</v>
      </c>
      <c r="V161" s="8">
        <f ca="1">_xll.HLV5r3.Analytics.Miscellaneous.Zero2DF(_xll.HLV5r3.Analytics.Miscellaneous.LinearInterp(Peturbed_QZ,$K161,1,V$1),ZeroCompFreq,'PDH Calc'!$K161/365)</f>
        <v>1</v>
      </c>
      <c r="W161" s="8">
        <f ca="1">_xll.HLV5r3.Analytics.Miscellaneous.Zero2DF(_xll.HLV5r3.Analytics.Miscellaneous.LinearInterp(Peturbed_QZ,$K161,1,W$1),ZeroCompFreq,'PDH Calc'!$K161/365)</f>
        <v>1</v>
      </c>
      <c r="X161" s="8">
        <f ca="1">_xll.HLV5r3.Analytics.Miscellaneous.Zero2DF(_xll.HLV5r3.Analytics.Miscellaneous.LinearInterp(Peturbed_QZ,$K161,1,X$1),ZeroCompFreq,'PDH Calc'!$K161/365)</f>
        <v>1</v>
      </c>
      <c r="Y161" s="8">
        <f ca="1">_xll.HLV5r3.Analytics.Miscellaneous.Zero2DF(_xll.HLV5r3.Analytics.Miscellaneous.LinearInterp(Peturbed_QZ,$K161,1,Y$1),ZeroCompFreq,'PDH Calc'!$K161/365)</f>
        <v>1</v>
      </c>
      <c r="Z161" s="8">
        <f ca="1">_xll.HLV5r3.Analytics.Miscellaneous.Zero2DF(_xll.HLV5r3.Analytics.Miscellaneous.LinearInterp(Peturbed_QZ,$K161,1,Z$1),ZeroCompFreq,'PDH Calc'!$K161/365)</f>
        <v>1</v>
      </c>
      <c r="AA161" s="8">
        <f ca="1">_xll.HLV5r3.Analytics.Miscellaneous.Zero2DF(_xll.HLV5r3.Analytics.Miscellaneous.LinearInterp(Peturbed_QZ,$K161,1,AA$1),ZeroCompFreq,'PDH Calc'!$K161/365)</f>
        <v>1</v>
      </c>
      <c r="AB161" s="8">
        <f ca="1">_xll.HLV5r3.Analytics.Miscellaneous.Zero2DF(_xll.HLV5r3.Analytics.Miscellaneous.LinearInterp(Peturbed_QZ,$K161,1,AB$1),ZeroCompFreq,'PDH Calc'!$K161/365)</f>
        <v>1</v>
      </c>
      <c r="AC161" s="8">
        <f ca="1">_xll.HLV5r3.Analytics.Miscellaneous.Zero2DF(_xll.HLV5r3.Analytics.Miscellaneous.LinearInterp(Peturbed_QZ,$K161,1,AC$1),ZeroCompFreq,'PDH Calc'!$K161/365)</f>
        <v>1</v>
      </c>
      <c r="AD161" s="8">
        <f ca="1">_xll.HLV5r3.Analytics.Miscellaneous.Zero2DF(_xll.HLV5r3.Analytics.Miscellaneous.LinearInterp(Peturbed_QZ,$K161,1,AD$1),ZeroCompFreq,'PDH Calc'!$K161/365)</f>
        <v>1</v>
      </c>
      <c r="AE161" s="8">
        <f ca="1">_xll.HLV5r3.Analytics.Miscellaneous.Zero2DF(_xll.HLV5r3.Analytics.Miscellaneous.LinearInterp(Peturbed_QZ,$K161,1,AE$1),ZeroCompFreq,'PDH Calc'!$K161/365)</f>
        <v>1</v>
      </c>
      <c r="AF161" s="8">
        <f ca="1">_xll.HLV5r3.Analytics.Miscellaneous.Zero2DF(_xll.HLV5r3.Analytics.Miscellaneous.LinearInterp(Peturbed_QZ,$K161,1,AF$1),ZeroCompFreq,'PDH Calc'!$K161/365)</f>
        <v>1</v>
      </c>
      <c r="AG161" s="8">
        <f ca="1">_xll.HLV5r3.Analytics.Miscellaneous.Zero2DF(_xll.HLV5r3.Analytics.Miscellaneous.LinearInterp(Peturbed_QZ,$K161,1,AG$1),ZeroCompFreq,'PDH Calc'!$K161/365)</f>
        <v>1</v>
      </c>
      <c r="AH161" s="8">
        <f ca="1">_xll.HLV5r3.Analytics.Miscellaneous.Zero2DF(_xll.HLV5r3.Analytics.Miscellaneous.LinearInterp(Peturbed_QZ,$K161,1,AH$1),ZeroCompFreq,'PDH Calc'!$K161/365)</f>
        <v>1</v>
      </c>
      <c r="AI161" s="8">
        <f ca="1">_xll.HLV5r3.Analytics.Miscellaneous.Zero2DF(_xll.HLV5r3.Analytics.Miscellaneous.LinearInterp(Peturbed_QZ,$K161,1,AI$1),ZeroCompFreq,'PDH Calc'!$K161/365)</f>
        <v>1</v>
      </c>
      <c r="AJ161" s="8">
        <f ca="1">_xll.HLV5r3.Analytics.Miscellaneous.Zero2DF(_xll.HLV5r3.Analytics.Miscellaneous.LinearInterp(Peturbed_QZ,$K161,1,AJ$1),ZeroCompFreq,'PDH Calc'!$K161/365)</f>
        <v>1</v>
      </c>
      <c r="AK161" s="8">
        <f ca="1">_xll.HLV5r3.Analytics.Miscellaneous.Zero2DF(_xll.HLV5r3.Analytics.Miscellaneous.LinearInterp(Peturbed_QZ,$K161,1,AK$1),ZeroCompFreq,'PDH Calc'!$K161/365)</f>
        <v>1</v>
      </c>
    </row>
    <row r="162" spans="1:37">
      <c r="A162" s="4"/>
      <c r="B162" s="6"/>
      <c r="F162" s="11"/>
      <c r="G162" s="6"/>
      <c r="H162" s="20"/>
      <c r="I162" s="21"/>
      <c r="J162" s="26"/>
      <c r="K162" s="6">
        <f t="shared" ca="1" si="9"/>
        <v>0</v>
      </c>
      <c r="L162" s="8">
        <f ca="1">_xll.HLV5r3.Analytics.Miscellaneous.Zero2DF(_xll.HLV5r3.Analytics.Miscellaneous.LinearInterp(Peturbed_QZ,$K162,1,L$1),ZeroCompFreq,'PDH Calc'!$K162/365)</f>
        <v>1</v>
      </c>
      <c r="M162" s="8">
        <f ca="1">_xll.HLV5r3.Analytics.Miscellaneous.Zero2DF(_xll.HLV5r3.Analytics.Miscellaneous.LinearInterp(Peturbed_QZ,$K162,1,M$1),ZeroCompFreq,'PDH Calc'!$K162/365)</f>
        <v>1</v>
      </c>
      <c r="N162" s="8">
        <f ca="1">_xll.HLV5r3.Analytics.Miscellaneous.Zero2DF(_xll.HLV5r3.Analytics.Miscellaneous.LinearInterp(Peturbed_QZ,$K162,1,N$1),ZeroCompFreq,'PDH Calc'!$K162/365)</f>
        <v>1</v>
      </c>
      <c r="O162" s="8">
        <f ca="1">_xll.HLV5r3.Analytics.Miscellaneous.Zero2DF(_xll.HLV5r3.Analytics.Miscellaneous.LinearInterp(Peturbed_QZ,$K162,1,O$1),ZeroCompFreq,'PDH Calc'!$K162/365)</f>
        <v>1</v>
      </c>
      <c r="P162" s="8">
        <f ca="1">_xll.HLV5r3.Analytics.Miscellaneous.Zero2DF(_xll.HLV5r3.Analytics.Miscellaneous.LinearInterp(Peturbed_QZ,$K162,1,P$1),ZeroCompFreq,'PDH Calc'!$K162/365)</f>
        <v>1</v>
      </c>
      <c r="Q162" s="8">
        <f ca="1">_xll.HLV5r3.Analytics.Miscellaneous.Zero2DF(_xll.HLV5r3.Analytics.Miscellaneous.LinearInterp(Peturbed_QZ,$K162,1,Q$1),ZeroCompFreq,'PDH Calc'!$K162/365)</f>
        <v>1</v>
      </c>
      <c r="R162" s="8">
        <f ca="1">_xll.HLV5r3.Analytics.Miscellaneous.Zero2DF(_xll.HLV5r3.Analytics.Miscellaneous.LinearInterp(Peturbed_QZ,$K162,1,R$1),ZeroCompFreq,'PDH Calc'!$K162/365)</f>
        <v>1</v>
      </c>
      <c r="S162" s="8">
        <f ca="1">_xll.HLV5r3.Analytics.Miscellaneous.Zero2DF(_xll.HLV5r3.Analytics.Miscellaneous.LinearInterp(Peturbed_QZ,$K162,1,S$1),ZeroCompFreq,'PDH Calc'!$K162/365)</f>
        <v>1</v>
      </c>
      <c r="T162" s="8">
        <f ca="1">_xll.HLV5r3.Analytics.Miscellaneous.Zero2DF(_xll.HLV5r3.Analytics.Miscellaneous.LinearInterp(Peturbed_QZ,$K162,1,T$1),ZeroCompFreq,'PDH Calc'!$K162/365)</f>
        <v>1</v>
      </c>
      <c r="U162" s="8">
        <f ca="1">_xll.HLV5r3.Analytics.Miscellaneous.Zero2DF(_xll.HLV5r3.Analytics.Miscellaneous.LinearInterp(Peturbed_QZ,$K162,1,U$1),ZeroCompFreq,'PDH Calc'!$K162/365)</f>
        <v>1</v>
      </c>
      <c r="V162" s="8">
        <f ca="1">_xll.HLV5r3.Analytics.Miscellaneous.Zero2DF(_xll.HLV5r3.Analytics.Miscellaneous.LinearInterp(Peturbed_QZ,$K162,1,V$1),ZeroCompFreq,'PDH Calc'!$K162/365)</f>
        <v>1</v>
      </c>
      <c r="W162" s="8">
        <f ca="1">_xll.HLV5r3.Analytics.Miscellaneous.Zero2DF(_xll.HLV5r3.Analytics.Miscellaneous.LinearInterp(Peturbed_QZ,$K162,1,W$1),ZeroCompFreq,'PDH Calc'!$K162/365)</f>
        <v>1</v>
      </c>
      <c r="X162" s="8">
        <f ca="1">_xll.HLV5r3.Analytics.Miscellaneous.Zero2DF(_xll.HLV5r3.Analytics.Miscellaneous.LinearInterp(Peturbed_QZ,$K162,1,X$1),ZeroCompFreq,'PDH Calc'!$K162/365)</f>
        <v>1</v>
      </c>
      <c r="Y162" s="8">
        <f ca="1">_xll.HLV5r3.Analytics.Miscellaneous.Zero2DF(_xll.HLV5r3.Analytics.Miscellaneous.LinearInterp(Peturbed_QZ,$K162,1,Y$1),ZeroCompFreq,'PDH Calc'!$K162/365)</f>
        <v>1</v>
      </c>
      <c r="Z162" s="8">
        <f ca="1">_xll.HLV5r3.Analytics.Miscellaneous.Zero2DF(_xll.HLV5r3.Analytics.Miscellaneous.LinearInterp(Peturbed_QZ,$K162,1,Z$1),ZeroCompFreq,'PDH Calc'!$K162/365)</f>
        <v>1</v>
      </c>
      <c r="AA162" s="8">
        <f ca="1">_xll.HLV5r3.Analytics.Miscellaneous.Zero2DF(_xll.HLV5r3.Analytics.Miscellaneous.LinearInterp(Peturbed_QZ,$K162,1,AA$1),ZeroCompFreq,'PDH Calc'!$K162/365)</f>
        <v>1</v>
      </c>
      <c r="AB162" s="8">
        <f ca="1">_xll.HLV5r3.Analytics.Miscellaneous.Zero2DF(_xll.HLV5r3.Analytics.Miscellaneous.LinearInterp(Peturbed_QZ,$K162,1,AB$1),ZeroCompFreq,'PDH Calc'!$K162/365)</f>
        <v>1</v>
      </c>
      <c r="AC162" s="8">
        <f ca="1">_xll.HLV5r3.Analytics.Miscellaneous.Zero2DF(_xll.HLV5r3.Analytics.Miscellaneous.LinearInterp(Peturbed_QZ,$K162,1,AC$1),ZeroCompFreq,'PDH Calc'!$K162/365)</f>
        <v>1</v>
      </c>
      <c r="AD162" s="8">
        <f ca="1">_xll.HLV5r3.Analytics.Miscellaneous.Zero2DF(_xll.HLV5r3.Analytics.Miscellaneous.LinearInterp(Peturbed_QZ,$K162,1,AD$1),ZeroCompFreq,'PDH Calc'!$K162/365)</f>
        <v>1</v>
      </c>
      <c r="AE162" s="8">
        <f ca="1">_xll.HLV5r3.Analytics.Miscellaneous.Zero2DF(_xll.HLV5r3.Analytics.Miscellaneous.LinearInterp(Peturbed_QZ,$K162,1,AE$1),ZeroCompFreq,'PDH Calc'!$K162/365)</f>
        <v>1</v>
      </c>
      <c r="AF162" s="8">
        <f ca="1">_xll.HLV5r3.Analytics.Miscellaneous.Zero2DF(_xll.HLV5r3.Analytics.Miscellaneous.LinearInterp(Peturbed_QZ,$K162,1,AF$1),ZeroCompFreq,'PDH Calc'!$K162/365)</f>
        <v>1</v>
      </c>
      <c r="AG162" s="8">
        <f ca="1">_xll.HLV5r3.Analytics.Miscellaneous.Zero2DF(_xll.HLV5r3.Analytics.Miscellaneous.LinearInterp(Peturbed_QZ,$K162,1,AG$1),ZeroCompFreq,'PDH Calc'!$K162/365)</f>
        <v>1</v>
      </c>
      <c r="AH162" s="8">
        <f ca="1">_xll.HLV5r3.Analytics.Miscellaneous.Zero2DF(_xll.HLV5r3.Analytics.Miscellaneous.LinearInterp(Peturbed_QZ,$K162,1,AH$1),ZeroCompFreq,'PDH Calc'!$K162/365)</f>
        <v>1</v>
      </c>
      <c r="AI162" s="8">
        <f ca="1">_xll.HLV5r3.Analytics.Miscellaneous.Zero2DF(_xll.HLV5r3.Analytics.Miscellaneous.LinearInterp(Peturbed_QZ,$K162,1,AI$1),ZeroCompFreq,'PDH Calc'!$K162/365)</f>
        <v>1</v>
      </c>
      <c r="AJ162" s="8">
        <f ca="1">_xll.HLV5r3.Analytics.Miscellaneous.Zero2DF(_xll.HLV5r3.Analytics.Miscellaneous.LinearInterp(Peturbed_QZ,$K162,1,AJ$1),ZeroCompFreq,'PDH Calc'!$K162/365)</f>
        <v>1</v>
      </c>
      <c r="AK162" s="8">
        <f ca="1">_xll.HLV5r3.Analytics.Miscellaneous.Zero2DF(_xll.HLV5r3.Analytics.Miscellaneous.LinearInterp(Peturbed_QZ,$K162,1,AK$1),ZeroCompFreq,'PDH Calc'!$K162/365)</f>
        <v>1</v>
      </c>
    </row>
    <row r="163" spans="1:37">
      <c r="A163" s="4"/>
      <c r="B163" s="6"/>
      <c r="F163" s="11"/>
      <c r="G163" s="6"/>
      <c r="H163" s="20"/>
      <c r="I163" s="21"/>
      <c r="J163" s="26"/>
      <c r="K163" s="6">
        <f t="shared" ca="1" si="9"/>
        <v>0</v>
      </c>
      <c r="L163" s="8">
        <f ca="1">_xll.HLV5r3.Analytics.Miscellaneous.Zero2DF(_xll.HLV5r3.Analytics.Miscellaneous.LinearInterp(Peturbed_QZ,$K163,1,L$1),ZeroCompFreq,'PDH Calc'!$K163/365)</f>
        <v>1</v>
      </c>
      <c r="M163" s="8">
        <f ca="1">_xll.HLV5r3.Analytics.Miscellaneous.Zero2DF(_xll.HLV5r3.Analytics.Miscellaneous.LinearInterp(Peturbed_QZ,$K163,1,M$1),ZeroCompFreq,'PDH Calc'!$K163/365)</f>
        <v>1</v>
      </c>
      <c r="N163" s="8">
        <f ca="1">_xll.HLV5r3.Analytics.Miscellaneous.Zero2DF(_xll.HLV5r3.Analytics.Miscellaneous.LinearInterp(Peturbed_QZ,$K163,1,N$1),ZeroCompFreq,'PDH Calc'!$K163/365)</f>
        <v>1</v>
      </c>
      <c r="O163" s="8">
        <f ca="1">_xll.HLV5r3.Analytics.Miscellaneous.Zero2DF(_xll.HLV5r3.Analytics.Miscellaneous.LinearInterp(Peturbed_QZ,$K163,1,O$1),ZeroCompFreq,'PDH Calc'!$K163/365)</f>
        <v>1</v>
      </c>
      <c r="P163" s="8">
        <f ca="1">_xll.HLV5r3.Analytics.Miscellaneous.Zero2DF(_xll.HLV5r3.Analytics.Miscellaneous.LinearInterp(Peturbed_QZ,$K163,1,P$1),ZeroCompFreq,'PDH Calc'!$K163/365)</f>
        <v>1</v>
      </c>
      <c r="Q163" s="8">
        <f ca="1">_xll.HLV5r3.Analytics.Miscellaneous.Zero2DF(_xll.HLV5r3.Analytics.Miscellaneous.LinearInterp(Peturbed_QZ,$K163,1,Q$1),ZeroCompFreq,'PDH Calc'!$K163/365)</f>
        <v>1</v>
      </c>
      <c r="R163" s="8">
        <f ca="1">_xll.HLV5r3.Analytics.Miscellaneous.Zero2DF(_xll.HLV5r3.Analytics.Miscellaneous.LinearInterp(Peturbed_QZ,$K163,1,R$1),ZeroCompFreq,'PDH Calc'!$K163/365)</f>
        <v>1</v>
      </c>
      <c r="S163" s="8">
        <f ca="1">_xll.HLV5r3.Analytics.Miscellaneous.Zero2DF(_xll.HLV5r3.Analytics.Miscellaneous.LinearInterp(Peturbed_QZ,$K163,1,S$1),ZeroCompFreq,'PDH Calc'!$K163/365)</f>
        <v>1</v>
      </c>
      <c r="T163" s="8">
        <f ca="1">_xll.HLV5r3.Analytics.Miscellaneous.Zero2DF(_xll.HLV5r3.Analytics.Miscellaneous.LinearInterp(Peturbed_QZ,$K163,1,T$1),ZeroCompFreq,'PDH Calc'!$K163/365)</f>
        <v>1</v>
      </c>
      <c r="U163" s="8">
        <f ca="1">_xll.HLV5r3.Analytics.Miscellaneous.Zero2DF(_xll.HLV5r3.Analytics.Miscellaneous.LinearInterp(Peturbed_QZ,$K163,1,U$1),ZeroCompFreq,'PDH Calc'!$K163/365)</f>
        <v>1</v>
      </c>
      <c r="V163" s="8">
        <f ca="1">_xll.HLV5r3.Analytics.Miscellaneous.Zero2DF(_xll.HLV5r3.Analytics.Miscellaneous.LinearInterp(Peturbed_QZ,$K163,1,V$1),ZeroCompFreq,'PDH Calc'!$K163/365)</f>
        <v>1</v>
      </c>
      <c r="W163" s="8">
        <f ca="1">_xll.HLV5r3.Analytics.Miscellaneous.Zero2DF(_xll.HLV5r3.Analytics.Miscellaneous.LinearInterp(Peturbed_QZ,$K163,1,W$1),ZeroCompFreq,'PDH Calc'!$K163/365)</f>
        <v>1</v>
      </c>
      <c r="X163" s="8">
        <f ca="1">_xll.HLV5r3.Analytics.Miscellaneous.Zero2DF(_xll.HLV5r3.Analytics.Miscellaneous.LinearInterp(Peturbed_QZ,$K163,1,X$1),ZeroCompFreq,'PDH Calc'!$K163/365)</f>
        <v>1</v>
      </c>
      <c r="Y163" s="8">
        <f ca="1">_xll.HLV5r3.Analytics.Miscellaneous.Zero2DF(_xll.HLV5r3.Analytics.Miscellaneous.LinearInterp(Peturbed_QZ,$K163,1,Y$1),ZeroCompFreq,'PDH Calc'!$K163/365)</f>
        <v>1</v>
      </c>
      <c r="Z163" s="8">
        <f ca="1">_xll.HLV5r3.Analytics.Miscellaneous.Zero2DF(_xll.HLV5r3.Analytics.Miscellaneous.LinearInterp(Peturbed_QZ,$K163,1,Z$1),ZeroCompFreq,'PDH Calc'!$K163/365)</f>
        <v>1</v>
      </c>
      <c r="AA163" s="8">
        <f ca="1">_xll.HLV5r3.Analytics.Miscellaneous.Zero2DF(_xll.HLV5r3.Analytics.Miscellaneous.LinearInterp(Peturbed_QZ,$K163,1,AA$1),ZeroCompFreq,'PDH Calc'!$K163/365)</f>
        <v>1</v>
      </c>
      <c r="AB163" s="8">
        <f ca="1">_xll.HLV5r3.Analytics.Miscellaneous.Zero2DF(_xll.HLV5r3.Analytics.Miscellaneous.LinearInterp(Peturbed_QZ,$K163,1,AB$1),ZeroCompFreq,'PDH Calc'!$K163/365)</f>
        <v>1</v>
      </c>
      <c r="AC163" s="8">
        <f ca="1">_xll.HLV5r3.Analytics.Miscellaneous.Zero2DF(_xll.HLV5r3.Analytics.Miscellaneous.LinearInterp(Peturbed_QZ,$K163,1,AC$1),ZeroCompFreq,'PDH Calc'!$K163/365)</f>
        <v>1</v>
      </c>
      <c r="AD163" s="8">
        <f ca="1">_xll.HLV5r3.Analytics.Miscellaneous.Zero2DF(_xll.HLV5r3.Analytics.Miscellaneous.LinearInterp(Peturbed_QZ,$K163,1,AD$1),ZeroCompFreq,'PDH Calc'!$K163/365)</f>
        <v>1</v>
      </c>
      <c r="AE163" s="8">
        <f ca="1">_xll.HLV5r3.Analytics.Miscellaneous.Zero2DF(_xll.HLV5r3.Analytics.Miscellaneous.LinearInterp(Peturbed_QZ,$K163,1,AE$1),ZeroCompFreq,'PDH Calc'!$K163/365)</f>
        <v>1</v>
      </c>
      <c r="AF163" s="8">
        <f ca="1">_xll.HLV5r3.Analytics.Miscellaneous.Zero2DF(_xll.HLV5r3.Analytics.Miscellaneous.LinearInterp(Peturbed_QZ,$K163,1,AF$1),ZeroCompFreq,'PDH Calc'!$K163/365)</f>
        <v>1</v>
      </c>
      <c r="AG163" s="8">
        <f ca="1">_xll.HLV5r3.Analytics.Miscellaneous.Zero2DF(_xll.HLV5r3.Analytics.Miscellaneous.LinearInterp(Peturbed_QZ,$K163,1,AG$1),ZeroCompFreq,'PDH Calc'!$K163/365)</f>
        <v>1</v>
      </c>
      <c r="AH163" s="8">
        <f ca="1">_xll.HLV5r3.Analytics.Miscellaneous.Zero2DF(_xll.HLV5r3.Analytics.Miscellaneous.LinearInterp(Peturbed_QZ,$K163,1,AH$1),ZeroCompFreq,'PDH Calc'!$K163/365)</f>
        <v>1</v>
      </c>
      <c r="AI163" s="8">
        <f ca="1">_xll.HLV5r3.Analytics.Miscellaneous.Zero2DF(_xll.HLV5r3.Analytics.Miscellaneous.LinearInterp(Peturbed_QZ,$K163,1,AI$1),ZeroCompFreq,'PDH Calc'!$K163/365)</f>
        <v>1</v>
      </c>
      <c r="AJ163" s="8">
        <f ca="1">_xll.HLV5r3.Analytics.Miscellaneous.Zero2DF(_xll.HLV5r3.Analytics.Miscellaneous.LinearInterp(Peturbed_QZ,$K163,1,AJ$1),ZeroCompFreq,'PDH Calc'!$K163/365)</f>
        <v>1</v>
      </c>
      <c r="AK163" s="8">
        <f ca="1">_xll.HLV5r3.Analytics.Miscellaneous.Zero2DF(_xll.HLV5r3.Analytics.Miscellaneous.LinearInterp(Peturbed_QZ,$K163,1,AK$1),ZeroCompFreq,'PDH Calc'!$K163/365)</f>
        <v>1</v>
      </c>
    </row>
    <row r="164" spans="1:37">
      <c r="A164" s="4"/>
      <c r="B164" s="6"/>
      <c r="F164" s="11"/>
      <c r="G164" s="6"/>
      <c r="H164" s="20"/>
      <c r="I164" s="21"/>
      <c r="J164" s="26"/>
      <c r="K164" s="6">
        <f t="shared" ca="1" si="9"/>
        <v>0</v>
      </c>
      <c r="L164" s="8">
        <f ca="1">_xll.HLV5r3.Analytics.Miscellaneous.Zero2DF(_xll.HLV5r3.Analytics.Miscellaneous.LinearInterp(Peturbed_QZ,$K164,1,L$1),ZeroCompFreq,'PDH Calc'!$K164/365)</f>
        <v>1</v>
      </c>
      <c r="M164" s="8">
        <f ca="1">_xll.HLV5r3.Analytics.Miscellaneous.Zero2DF(_xll.HLV5r3.Analytics.Miscellaneous.LinearInterp(Peturbed_QZ,$K164,1,M$1),ZeroCompFreq,'PDH Calc'!$K164/365)</f>
        <v>1</v>
      </c>
      <c r="N164" s="8">
        <f ca="1">_xll.HLV5r3.Analytics.Miscellaneous.Zero2DF(_xll.HLV5r3.Analytics.Miscellaneous.LinearInterp(Peturbed_QZ,$K164,1,N$1),ZeroCompFreq,'PDH Calc'!$K164/365)</f>
        <v>1</v>
      </c>
      <c r="O164" s="8">
        <f ca="1">_xll.HLV5r3.Analytics.Miscellaneous.Zero2DF(_xll.HLV5r3.Analytics.Miscellaneous.LinearInterp(Peturbed_QZ,$K164,1,O$1),ZeroCompFreq,'PDH Calc'!$K164/365)</f>
        <v>1</v>
      </c>
      <c r="P164" s="8">
        <f ca="1">_xll.HLV5r3.Analytics.Miscellaneous.Zero2DF(_xll.HLV5r3.Analytics.Miscellaneous.LinearInterp(Peturbed_QZ,$K164,1,P$1),ZeroCompFreq,'PDH Calc'!$K164/365)</f>
        <v>1</v>
      </c>
      <c r="Q164" s="8">
        <f ca="1">_xll.HLV5r3.Analytics.Miscellaneous.Zero2DF(_xll.HLV5r3.Analytics.Miscellaneous.LinearInterp(Peturbed_QZ,$K164,1,Q$1),ZeroCompFreq,'PDH Calc'!$K164/365)</f>
        <v>1</v>
      </c>
      <c r="R164" s="8">
        <f ca="1">_xll.HLV5r3.Analytics.Miscellaneous.Zero2DF(_xll.HLV5r3.Analytics.Miscellaneous.LinearInterp(Peturbed_QZ,$K164,1,R$1),ZeroCompFreq,'PDH Calc'!$K164/365)</f>
        <v>1</v>
      </c>
      <c r="S164" s="8">
        <f ca="1">_xll.HLV5r3.Analytics.Miscellaneous.Zero2DF(_xll.HLV5r3.Analytics.Miscellaneous.LinearInterp(Peturbed_QZ,$K164,1,S$1),ZeroCompFreq,'PDH Calc'!$K164/365)</f>
        <v>1</v>
      </c>
      <c r="T164" s="8">
        <f ca="1">_xll.HLV5r3.Analytics.Miscellaneous.Zero2DF(_xll.HLV5r3.Analytics.Miscellaneous.LinearInterp(Peturbed_QZ,$K164,1,T$1),ZeroCompFreq,'PDH Calc'!$K164/365)</f>
        <v>1</v>
      </c>
      <c r="U164" s="8">
        <f ca="1">_xll.HLV5r3.Analytics.Miscellaneous.Zero2DF(_xll.HLV5r3.Analytics.Miscellaneous.LinearInterp(Peturbed_QZ,$K164,1,U$1),ZeroCompFreq,'PDH Calc'!$K164/365)</f>
        <v>1</v>
      </c>
      <c r="V164" s="8">
        <f ca="1">_xll.HLV5r3.Analytics.Miscellaneous.Zero2DF(_xll.HLV5r3.Analytics.Miscellaneous.LinearInterp(Peturbed_QZ,$K164,1,V$1),ZeroCompFreq,'PDH Calc'!$K164/365)</f>
        <v>1</v>
      </c>
      <c r="W164" s="8">
        <f ca="1">_xll.HLV5r3.Analytics.Miscellaneous.Zero2DF(_xll.HLV5r3.Analytics.Miscellaneous.LinearInterp(Peturbed_QZ,$K164,1,W$1),ZeroCompFreq,'PDH Calc'!$K164/365)</f>
        <v>1</v>
      </c>
      <c r="X164" s="8">
        <f ca="1">_xll.HLV5r3.Analytics.Miscellaneous.Zero2DF(_xll.HLV5r3.Analytics.Miscellaneous.LinearInterp(Peturbed_QZ,$K164,1,X$1),ZeroCompFreq,'PDH Calc'!$K164/365)</f>
        <v>1</v>
      </c>
      <c r="Y164" s="8">
        <f ca="1">_xll.HLV5r3.Analytics.Miscellaneous.Zero2DF(_xll.HLV5r3.Analytics.Miscellaneous.LinearInterp(Peturbed_QZ,$K164,1,Y$1),ZeroCompFreq,'PDH Calc'!$K164/365)</f>
        <v>1</v>
      </c>
      <c r="Z164" s="8">
        <f ca="1">_xll.HLV5r3.Analytics.Miscellaneous.Zero2DF(_xll.HLV5r3.Analytics.Miscellaneous.LinearInterp(Peturbed_QZ,$K164,1,Z$1),ZeroCompFreq,'PDH Calc'!$K164/365)</f>
        <v>1</v>
      </c>
      <c r="AA164" s="8">
        <f ca="1">_xll.HLV5r3.Analytics.Miscellaneous.Zero2DF(_xll.HLV5r3.Analytics.Miscellaneous.LinearInterp(Peturbed_QZ,$K164,1,AA$1),ZeroCompFreq,'PDH Calc'!$K164/365)</f>
        <v>1</v>
      </c>
      <c r="AB164" s="8">
        <f ca="1">_xll.HLV5r3.Analytics.Miscellaneous.Zero2DF(_xll.HLV5r3.Analytics.Miscellaneous.LinearInterp(Peturbed_QZ,$K164,1,AB$1),ZeroCompFreq,'PDH Calc'!$K164/365)</f>
        <v>1</v>
      </c>
      <c r="AC164" s="8">
        <f ca="1">_xll.HLV5r3.Analytics.Miscellaneous.Zero2DF(_xll.HLV5r3.Analytics.Miscellaneous.LinearInterp(Peturbed_QZ,$K164,1,AC$1),ZeroCompFreq,'PDH Calc'!$K164/365)</f>
        <v>1</v>
      </c>
      <c r="AD164" s="8">
        <f ca="1">_xll.HLV5r3.Analytics.Miscellaneous.Zero2DF(_xll.HLV5r3.Analytics.Miscellaneous.LinearInterp(Peturbed_QZ,$K164,1,AD$1),ZeroCompFreq,'PDH Calc'!$K164/365)</f>
        <v>1</v>
      </c>
      <c r="AE164" s="8">
        <f ca="1">_xll.HLV5r3.Analytics.Miscellaneous.Zero2DF(_xll.HLV5r3.Analytics.Miscellaneous.LinearInterp(Peturbed_QZ,$K164,1,AE$1),ZeroCompFreq,'PDH Calc'!$K164/365)</f>
        <v>1</v>
      </c>
      <c r="AF164" s="8">
        <f ca="1">_xll.HLV5r3.Analytics.Miscellaneous.Zero2DF(_xll.HLV5r3.Analytics.Miscellaneous.LinearInterp(Peturbed_QZ,$K164,1,AF$1),ZeroCompFreq,'PDH Calc'!$K164/365)</f>
        <v>1</v>
      </c>
      <c r="AG164" s="8">
        <f ca="1">_xll.HLV5r3.Analytics.Miscellaneous.Zero2DF(_xll.HLV5r3.Analytics.Miscellaneous.LinearInterp(Peturbed_QZ,$K164,1,AG$1),ZeroCompFreq,'PDH Calc'!$K164/365)</f>
        <v>1</v>
      </c>
      <c r="AH164" s="8">
        <f ca="1">_xll.HLV5r3.Analytics.Miscellaneous.Zero2DF(_xll.HLV5r3.Analytics.Miscellaneous.LinearInterp(Peturbed_QZ,$K164,1,AH$1),ZeroCompFreq,'PDH Calc'!$K164/365)</f>
        <v>1</v>
      </c>
      <c r="AI164" s="8">
        <f ca="1">_xll.HLV5r3.Analytics.Miscellaneous.Zero2DF(_xll.HLV5r3.Analytics.Miscellaneous.LinearInterp(Peturbed_QZ,$K164,1,AI$1),ZeroCompFreq,'PDH Calc'!$K164/365)</f>
        <v>1</v>
      </c>
      <c r="AJ164" s="8">
        <f ca="1">_xll.HLV5r3.Analytics.Miscellaneous.Zero2DF(_xll.HLV5r3.Analytics.Miscellaneous.LinearInterp(Peturbed_QZ,$K164,1,AJ$1),ZeroCompFreq,'PDH Calc'!$K164/365)</f>
        <v>1</v>
      </c>
      <c r="AK164" s="8">
        <f ca="1">_xll.HLV5r3.Analytics.Miscellaneous.Zero2DF(_xll.HLV5r3.Analytics.Miscellaneous.LinearInterp(Peturbed_QZ,$K164,1,AK$1),ZeroCompFreq,'PDH Calc'!$K164/365)</f>
        <v>1</v>
      </c>
    </row>
    <row r="165" spans="1:37">
      <c r="A165" s="4"/>
      <c r="B165" s="6"/>
      <c r="F165" s="11"/>
      <c r="G165" s="6"/>
      <c r="H165" s="20"/>
      <c r="I165" s="21"/>
      <c r="J165" s="26"/>
      <c r="K165" s="6">
        <f t="shared" ca="1" si="9"/>
        <v>0</v>
      </c>
      <c r="L165" s="8">
        <f ca="1">_xll.HLV5r3.Analytics.Miscellaneous.Zero2DF(_xll.HLV5r3.Analytics.Miscellaneous.LinearInterp(Peturbed_QZ,$K165,1,L$1),ZeroCompFreq,'PDH Calc'!$K165/365)</f>
        <v>1</v>
      </c>
      <c r="M165" s="8">
        <f ca="1">_xll.HLV5r3.Analytics.Miscellaneous.Zero2DF(_xll.HLV5r3.Analytics.Miscellaneous.LinearInterp(Peturbed_QZ,$K165,1,M$1),ZeroCompFreq,'PDH Calc'!$K165/365)</f>
        <v>1</v>
      </c>
      <c r="N165" s="8">
        <f ca="1">_xll.HLV5r3.Analytics.Miscellaneous.Zero2DF(_xll.HLV5r3.Analytics.Miscellaneous.LinearInterp(Peturbed_QZ,$K165,1,N$1),ZeroCompFreq,'PDH Calc'!$K165/365)</f>
        <v>1</v>
      </c>
      <c r="O165" s="8">
        <f ca="1">_xll.HLV5r3.Analytics.Miscellaneous.Zero2DF(_xll.HLV5r3.Analytics.Miscellaneous.LinearInterp(Peturbed_QZ,$K165,1,O$1),ZeroCompFreq,'PDH Calc'!$K165/365)</f>
        <v>1</v>
      </c>
      <c r="P165" s="8">
        <f ca="1">_xll.HLV5r3.Analytics.Miscellaneous.Zero2DF(_xll.HLV5r3.Analytics.Miscellaneous.LinearInterp(Peturbed_QZ,$K165,1,P$1),ZeroCompFreq,'PDH Calc'!$K165/365)</f>
        <v>1</v>
      </c>
      <c r="Q165" s="8">
        <f ca="1">_xll.HLV5r3.Analytics.Miscellaneous.Zero2DF(_xll.HLV5r3.Analytics.Miscellaneous.LinearInterp(Peturbed_QZ,$K165,1,Q$1),ZeroCompFreq,'PDH Calc'!$K165/365)</f>
        <v>1</v>
      </c>
      <c r="R165" s="8">
        <f ca="1">_xll.HLV5r3.Analytics.Miscellaneous.Zero2DF(_xll.HLV5r3.Analytics.Miscellaneous.LinearInterp(Peturbed_QZ,$K165,1,R$1),ZeroCompFreq,'PDH Calc'!$K165/365)</f>
        <v>1</v>
      </c>
      <c r="S165" s="8">
        <f ca="1">_xll.HLV5r3.Analytics.Miscellaneous.Zero2DF(_xll.HLV5r3.Analytics.Miscellaneous.LinearInterp(Peturbed_QZ,$K165,1,S$1),ZeroCompFreq,'PDH Calc'!$K165/365)</f>
        <v>1</v>
      </c>
      <c r="T165" s="8">
        <f ca="1">_xll.HLV5r3.Analytics.Miscellaneous.Zero2DF(_xll.HLV5r3.Analytics.Miscellaneous.LinearInterp(Peturbed_QZ,$K165,1,T$1),ZeroCompFreq,'PDH Calc'!$K165/365)</f>
        <v>1</v>
      </c>
      <c r="U165" s="8">
        <f ca="1">_xll.HLV5r3.Analytics.Miscellaneous.Zero2DF(_xll.HLV5r3.Analytics.Miscellaneous.LinearInterp(Peturbed_QZ,$K165,1,U$1),ZeroCompFreq,'PDH Calc'!$K165/365)</f>
        <v>1</v>
      </c>
      <c r="V165" s="8">
        <f ca="1">_xll.HLV5r3.Analytics.Miscellaneous.Zero2DF(_xll.HLV5r3.Analytics.Miscellaneous.LinearInterp(Peturbed_QZ,$K165,1,V$1),ZeroCompFreq,'PDH Calc'!$K165/365)</f>
        <v>1</v>
      </c>
      <c r="W165" s="8">
        <f ca="1">_xll.HLV5r3.Analytics.Miscellaneous.Zero2DF(_xll.HLV5r3.Analytics.Miscellaneous.LinearInterp(Peturbed_QZ,$K165,1,W$1),ZeroCompFreq,'PDH Calc'!$K165/365)</f>
        <v>1</v>
      </c>
      <c r="X165" s="8">
        <f ca="1">_xll.HLV5r3.Analytics.Miscellaneous.Zero2DF(_xll.HLV5r3.Analytics.Miscellaneous.LinearInterp(Peturbed_QZ,$K165,1,X$1),ZeroCompFreq,'PDH Calc'!$K165/365)</f>
        <v>1</v>
      </c>
      <c r="Y165" s="8">
        <f ca="1">_xll.HLV5r3.Analytics.Miscellaneous.Zero2DF(_xll.HLV5r3.Analytics.Miscellaneous.LinearInterp(Peturbed_QZ,$K165,1,Y$1),ZeroCompFreq,'PDH Calc'!$K165/365)</f>
        <v>1</v>
      </c>
      <c r="Z165" s="8">
        <f ca="1">_xll.HLV5r3.Analytics.Miscellaneous.Zero2DF(_xll.HLV5r3.Analytics.Miscellaneous.LinearInterp(Peturbed_QZ,$K165,1,Z$1),ZeroCompFreq,'PDH Calc'!$K165/365)</f>
        <v>1</v>
      </c>
      <c r="AA165" s="8">
        <f ca="1">_xll.HLV5r3.Analytics.Miscellaneous.Zero2DF(_xll.HLV5r3.Analytics.Miscellaneous.LinearInterp(Peturbed_QZ,$K165,1,AA$1),ZeroCompFreq,'PDH Calc'!$K165/365)</f>
        <v>1</v>
      </c>
      <c r="AB165" s="8">
        <f ca="1">_xll.HLV5r3.Analytics.Miscellaneous.Zero2DF(_xll.HLV5r3.Analytics.Miscellaneous.LinearInterp(Peturbed_QZ,$K165,1,AB$1),ZeroCompFreq,'PDH Calc'!$K165/365)</f>
        <v>1</v>
      </c>
      <c r="AC165" s="8">
        <f ca="1">_xll.HLV5r3.Analytics.Miscellaneous.Zero2DF(_xll.HLV5r3.Analytics.Miscellaneous.LinearInterp(Peturbed_QZ,$K165,1,AC$1),ZeroCompFreq,'PDH Calc'!$K165/365)</f>
        <v>1</v>
      </c>
      <c r="AD165" s="8">
        <f ca="1">_xll.HLV5r3.Analytics.Miscellaneous.Zero2DF(_xll.HLV5r3.Analytics.Miscellaneous.LinearInterp(Peturbed_QZ,$K165,1,AD$1),ZeroCompFreq,'PDH Calc'!$K165/365)</f>
        <v>1</v>
      </c>
      <c r="AE165" s="8">
        <f ca="1">_xll.HLV5r3.Analytics.Miscellaneous.Zero2DF(_xll.HLV5r3.Analytics.Miscellaneous.LinearInterp(Peturbed_QZ,$K165,1,AE$1),ZeroCompFreq,'PDH Calc'!$K165/365)</f>
        <v>1</v>
      </c>
      <c r="AF165" s="8">
        <f ca="1">_xll.HLV5r3.Analytics.Miscellaneous.Zero2DF(_xll.HLV5r3.Analytics.Miscellaneous.LinearInterp(Peturbed_QZ,$K165,1,AF$1),ZeroCompFreq,'PDH Calc'!$K165/365)</f>
        <v>1</v>
      </c>
      <c r="AG165" s="8">
        <f ca="1">_xll.HLV5r3.Analytics.Miscellaneous.Zero2DF(_xll.HLV5r3.Analytics.Miscellaneous.LinearInterp(Peturbed_QZ,$K165,1,AG$1),ZeroCompFreq,'PDH Calc'!$K165/365)</f>
        <v>1</v>
      </c>
      <c r="AH165" s="8">
        <f ca="1">_xll.HLV5r3.Analytics.Miscellaneous.Zero2DF(_xll.HLV5r3.Analytics.Miscellaneous.LinearInterp(Peturbed_QZ,$K165,1,AH$1),ZeroCompFreq,'PDH Calc'!$K165/365)</f>
        <v>1</v>
      </c>
      <c r="AI165" s="8">
        <f ca="1">_xll.HLV5r3.Analytics.Miscellaneous.Zero2DF(_xll.HLV5r3.Analytics.Miscellaneous.LinearInterp(Peturbed_QZ,$K165,1,AI$1),ZeroCompFreq,'PDH Calc'!$K165/365)</f>
        <v>1</v>
      </c>
      <c r="AJ165" s="8">
        <f ca="1">_xll.HLV5r3.Analytics.Miscellaneous.Zero2DF(_xll.HLV5r3.Analytics.Miscellaneous.LinearInterp(Peturbed_QZ,$K165,1,AJ$1),ZeroCompFreq,'PDH Calc'!$K165/365)</f>
        <v>1</v>
      </c>
      <c r="AK165" s="8">
        <f ca="1">_xll.HLV5r3.Analytics.Miscellaneous.Zero2DF(_xll.HLV5r3.Analytics.Miscellaneous.LinearInterp(Peturbed_QZ,$K165,1,AK$1),ZeroCompFreq,'PDH Calc'!$K165/365)</f>
        <v>1</v>
      </c>
    </row>
    <row r="166" spans="1:37">
      <c r="A166" s="4"/>
      <c r="B166" s="6"/>
      <c r="F166" s="11"/>
      <c r="G166" s="6"/>
      <c r="H166" s="20"/>
      <c r="I166" s="21"/>
      <c r="J166" s="26"/>
      <c r="K166" s="6">
        <f t="shared" ca="1" si="9"/>
        <v>0</v>
      </c>
      <c r="L166" s="8">
        <f ca="1">_xll.HLV5r3.Analytics.Miscellaneous.Zero2DF(_xll.HLV5r3.Analytics.Miscellaneous.LinearInterp(Peturbed_QZ,$K166,1,L$1),ZeroCompFreq,'PDH Calc'!$K166/365)</f>
        <v>1</v>
      </c>
      <c r="M166" s="8">
        <f ca="1">_xll.HLV5r3.Analytics.Miscellaneous.Zero2DF(_xll.HLV5r3.Analytics.Miscellaneous.LinearInterp(Peturbed_QZ,$K166,1,M$1),ZeroCompFreq,'PDH Calc'!$K166/365)</f>
        <v>1</v>
      </c>
      <c r="N166" s="8">
        <f ca="1">_xll.HLV5r3.Analytics.Miscellaneous.Zero2DF(_xll.HLV5r3.Analytics.Miscellaneous.LinearInterp(Peturbed_QZ,$K166,1,N$1),ZeroCompFreq,'PDH Calc'!$K166/365)</f>
        <v>1</v>
      </c>
      <c r="O166" s="8">
        <f ca="1">_xll.HLV5r3.Analytics.Miscellaneous.Zero2DF(_xll.HLV5r3.Analytics.Miscellaneous.LinearInterp(Peturbed_QZ,$K166,1,O$1),ZeroCompFreq,'PDH Calc'!$K166/365)</f>
        <v>1</v>
      </c>
      <c r="P166" s="8">
        <f ca="1">_xll.HLV5r3.Analytics.Miscellaneous.Zero2DF(_xll.HLV5r3.Analytics.Miscellaneous.LinearInterp(Peturbed_QZ,$K166,1,P$1),ZeroCompFreq,'PDH Calc'!$K166/365)</f>
        <v>1</v>
      </c>
      <c r="Q166" s="8">
        <f ca="1">_xll.HLV5r3.Analytics.Miscellaneous.Zero2DF(_xll.HLV5r3.Analytics.Miscellaneous.LinearInterp(Peturbed_QZ,$K166,1,Q$1),ZeroCompFreq,'PDH Calc'!$K166/365)</f>
        <v>1</v>
      </c>
      <c r="R166" s="8">
        <f ca="1">_xll.HLV5r3.Analytics.Miscellaneous.Zero2DF(_xll.HLV5r3.Analytics.Miscellaneous.LinearInterp(Peturbed_QZ,$K166,1,R$1),ZeroCompFreq,'PDH Calc'!$K166/365)</f>
        <v>1</v>
      </c>
      <c r="S166" s="8">
        <f ca="1">_xll.HLV5r3.Analytics.Miscellaneous.Zero2DF(_xll.HLV5r3.Analytics.Miscellaneous.LinearInterp(Peturbed_QZ,$K166,1,S$1),ZeroCompFreq,'PDH Calc'!$K166/365)</f>
        <v>1</v>
      </c>
      <c r="T166" s="8">
        <f ca="1">_xll.HLV5r3.Analytics.Miscellaneous.Zero2DF(_xll.HLV5r3.Analytics.Miscellaneous.LinearInterp(Peturbed_QZ,$K166,1,T$1),ZeroCompFreq,'PDH Calc'!$K166/365)</f>
        <v>1</v>
      </c>
      <c r="U166" s="8">
        <f ca="1">_xll.HLV5r3.Analytics.Miscellaneous.Zero2DF(_xll.HLV5r3.Analytics.Miscellaneous.LinearInterp(Peturbed_QZ,$K166,1,U$1),ZeroCompFreq,'PDH Calc'!$K166/365)</f>
        <v>1</v>
      </c>
      <c r="V166" s="8">
        <f ca="1">_xll.HLV5r3.Analytics.Miscellaneous.Zero2DF(_xll.HLV5r3.Analytics.Miscellaneous.LinearInterp(Peturbed_QZ,$K166,1,V$1),ZeroCompFreq,'PDH Calc'!$K166/365)</f>
        <v>1</v>
      </c>
      <c r="W166" s="8">
        <f ca="1">_xll.HLV5r3.Analytics.Miscellaneous.Zero2DF(_xll.HLV5r3.Analytics.Miscellaneous.LinearInterp(Peturbed_QZ,$K166,1,W$1),ZeroCompFreq,'PDH Calc'!$K166/365)</f>
        <v>1</v>
      </c>
      <c r="X166" s="8">
        <f ca="1">_xll.HLV5r3.Analytics.Miscellaneous.Zero2DF(_xll.HLV5r3.Analytics.Miscellaneous.LinearInterp(Peturbed_QZ,$K166,1,X$1),ZeroCompFreq,'PDH Calc'!$K166/365)</f>
        <v>1</v>
      </c>
      <c r="Y166" s="8">
        <f ca="1">_xll.HLV5r3.Analytics.Miscellaneous.Zero2DF(_xll.HLV5r3.Analytics.Miscellaneous.LinearInterp(Peturbed_QZ,$K166,1,Y$1),ZeroCompFreq,'PDH Calc'!$K166/365)</f>
        <v>1</v>
      </c>
      <c r="Z166" s="8">
        <f ca="1">_xll.HLV5r3.Analytics.Miscellaneous.Zero2DF(_xll.HLV5r3.Analytics.Miscellaneous.LinearInterp(Peturbed_QZ,$K166,1,Z$1),ZeroCompFreq,'PDH Calc'!$K166/365)</f>
        <v>1</v>
      </c>
      <c r="AA166" s="8">
        <f ca="1">_xll.HLV5r3.Analytics.Miscellaneous.Zero2DF(_xll.HLV5r3.Analytics.Miscellaneous.LinearInterp(Peturbed_QZ,$K166,1,AA$1),ZeroCompFreq,'PDH Calc'!$K166/365)</f>
        <v>1</v>
      </c>
      <c r="AB166" s="8">
        <f ca="1">_xll.HLV5r3.Analytics.Miscellaneous.Zero2DF(_xll.HLV5r3.Analytics.Miscellaneous.LinearInterp(Peturbed_QZ,$K166,1,AB$1),ZeroCompFreq,'PDH Calc'!$K166/365)</f>
        <v>1</v>
      </c>
      <c r="AC166" s="8">
        <f ca="1">_xll.HLV5r3.Analytics.Miscellaneous.Zero2DF(_xll.HLV5r3.Analytics.Miscellaneous.LinearInterp(Peturbed_QZ,$K166,1,AC$1),ZeroCompFreq,'PDH Calc'!$K166/365)</f>
        <v>1</v>
      </c>
      <c r="AD166" s="8">
        <f ca="1">_xll.HLV5r3.Analytics.Miscellaneous.Zero2DF(_xll.HLV5r3.Analytics.Miscellaneous.LinearInterp(Peturbed_QZ,$K166,1,AD$1),ZeroCompFreq,'PDH Calc'!$K166/365)</f>
        <v>1</v>
      </c>
      <c r="AE166" s="8">
        <f ca="1">_xll.HLV5r3.Analytics.Miscellaneous.Zero2DF(_xll.HLV5r3.Analytics.Miscellaneous.LinearInterp(Peturbed_QZ,$K166,1,AE$1),ZeroCompFreq,'PDH Calc'!$K166/365)</f>
        <v>1</v>
      </c>
      <c r="AF166" s="8">
        <f ca="1">_xll.HLV5r3.Analytics.Miscellaneous.Zero2DF(_xll.HLV5r3.Analytics.Miscellaneous.LinearInterp(Peturbed_QZ,$K166,1,AF$1),ZeroCompFreq,'PDH Calc'!$K166/365)</f>
        <v>1</v>
      </c>
      <c r="AG166" s="8">
        <f ca="1">_xll.HLV5r3.Analytics.Miscellaneous.Zero2DF(_xll.HLV5r3.Analytics.Miscellaneous.LinearInterp(Peturbed_QZ,$K166,1,AG$1),ZeroCompFreq,'PDH Calc'!$K166/365)</f>
        <v>1</v>
      </c>
      <c r="AH166" s="8">
        <f ca="1">_xll.HLV5r3.Analytics.Miscellaneous.Zero2DF(_xll.HLV5r3.Analytics.Miscellaneous.LinearInterp(Peturbed_QZ,$K166,1,AH$1),ZeroCompFreq,'PDH Calc'!$K166/365)</f>
        <v>1</v>
      </c>
      <c r="AI166" s="8">
        <f ca="1">_xll.HLV5r3.Analytics.Miscellaneous.Zero2DF(_xll.HLV5r3.Analytics.Miscellaneous.LinearInterp(Peturbed_QZ,$K166,1,AI$1),ZeroCompFreq,'PDH Calc'!$K166/365)</f>
        <v>1</v>
      </c>
      <c r="AJ166" s="8">
        <f ca="1">_xll.HLV5r3.Analytics.Miscellaneous.Zero2DF(_xll.HLV5r3.Analytics.Miscellaneous.LinearInterp(Peturbed_QZ,$K166,1,AJ$1),ZeroCompFreq,'PDH Calc'!$K166/365)</f>
        <v>1</v>
      </c>
      <c r="AK166" s="8">
        <f ca="1">_xll.HLV5r3.Analytics.Miscellaneous.Zero2DF(_xll.HLV5r3.Analytics.Miscellaneous.LinearInterp(Peturbed_QZ,$K166,1,AK$1),ZeroCompFreq,'PDH Calc'!$K166/365)</f>
        <v>1</v>
      </c>
    </row>
    <row r="167" spans="1:37">
      <c r="A167" s="4"/>
      <c r="B167" s="6"/>
      <c r="F167" s="11"/>
      <c r="G167" s="6"/>
      <c r="H167" s="20"/>
      <c r="I167" s="21"/>
      <c r="J167" s="26"/>
      <c r="K167" s="6">
        <f t="shared" ca="1" si="9"/>
        <v>0</v>
      </c>
      <c r="L167" s="8">
        <f ca="1">_xll.HLV5r3.Analytics.Miscellaneous.Zero2DF(_xll.HLV5r3.Analytics.Miscellaneous.LinearInterp(Peturbed_QZ,$K167,1,L$1),ZeroCompFreq,'PDH Calc'!$K167/365)</f>
        <v>1</v>
      </c>
      <c r="M167" s="8">
        <f ca="1">_xll.HLV5r3.Analytics.Miscellaneous.Zero2DF(_xll.HLV5r3.Analytics.Miscellaneous.LinearInterp(Peturbed_QZ,$K167,1,M$1),ZeroCompFreq,'PDH Calc'!$K167/365)</f>
        <v>1</v>
      </c>
      <c r="N167" s="8">
        <f ca="1">_xll.HLV5r3.Analytics.Miscellaneous.Zero2DF(_xll.HLV5r3.Analytics.Miscellaneous.LinearInterp(Peturbed_QZ,$K167,1,N$1),ZeroCompFreq,'PDH Calc'!$K167/365)</f>
        <v>1</v>
      </c>
      <c r="O167" s="8">
        <f ca="1">_xll.HLV5r3.Analytics.Miscellaneous.Zero2DF(_xll.HLV5r3.Analytics.Miscellaneous.LinearInterp(Peturbed_QZ,$K167,1,O$1),ZeroCompFreq,'PDH Calc'!$K167/365)</f>
        <v>1</v>
      </c>
      <c r="P167" s="8">
        <f ca="1">_xll.HLV5r3.Analytics.Miscellaneous.Zero2DF(_xll.HLV5r3.Analytics.Miscellaneous.LinearInterp(Peturbed_QZ,$K167,1,P$1),ZeroCompFreq,'PDH Calc'!$K167/365)</f>
        <v>1</v>
      </c>
      <c r="Q167" s="8">
        <f ca="1">_xll.HLV5r3.Analytics.Miscellaneous.Zero2DF(_xll.HLV5r3.Analytics.Miscellaneous.LinearInterp(Peturbed_QZ,$K167,1,Q$1),ZeroCompFreq,'PDH Calc'!$K167/365)</f>
        <v>1</v>
      </c>
      <c r="R167" s="8">
        <f ca="1">_xll.HLV5r3.Analytics.Miscellaneous.Zero2DF(_xll.HLV5r3.Analytics.Miscellaneous.LinearInterp(Peturbed_QZ,$K167,1,R$1),ZeroCompFreq,'PDH Calc'!$K167/365)</f>
        <v>1</v>
      </c>
      <c r="S167" s="8">
        <f ca="1">_xll.HLV5r3.Analytics.Miscellaneous.Zero2DF(_xll.HLV5r3.Analytics.Miscellaneous.LinearInterp(Peturbed_QZ,$K167,1,S$1),ZeroCompFreq,'PDH Calc'!$K167/365)</f>
        <v>1</v>
      </c>
      <c r="T167" s="8">
        <f ca="1">_xll.HLV5r3.Analytics.Miscellaneous.Zero2DF(_xll.HLV5r3.Analytics.Miscellaneous.LinearInterp(Peturbed_QZ,$K167,1,T$1),ZeroCompFreq,'PDH Calc'!$K167/365)</f>
        <v>1</v>
      </c>
      <c r="U167" s="8">
        <f ca="1">_xll.HLV5r3.Analytics.Miscellaneous.Zero2DF(_xll.HLV5r3.Analytics.Miscellaneous.LinearInterp(Peturbed_QZ,$K167,1,U$1),ZeroCompFreq,'PDH Calc'!$K167/365)</f>
        <v>1</v>
      </c>
      <c r="V167" s="8">
        <f ca="1">_xll.HLV5r3.Analytics.Miscellaneous.Zero2DF(_xll.HLV5r3.Analytics.Miscellaneous.LinearInterp(Peturbed_QZ,$K167,1,V$1),ZeroCompFreq,'PDH Calc'!$K167/365)</f>
        <v>1</v>
      </c>
      <c r="W167" s="8">
        <f ca="1">_xll.HLV5r3.Analytics.Miscellaneous.Zero2DF(_xll.HLV5r3.Analytics.Miscellaneous.LinearInterp(Peturbed_QZ,$K167,1,W$1),ZeroCompFreq,'PDH Calc'!$K167/365)</f>
        <v>1</v>
      </c>
      <c r="X167" s="8">
        <f ca="1">_xll.HLV5r3.Analytics.Miscellaneous.Zero2DF(_xll.HLV5r3.Analytics.Miscellaneous.LinearInterp(Peturbed_QZ,$K167,1,X$1),ZeroCompFreq,'PDH Calc'!$K167/365)</f>
        <v>1</v>
      </c>
      <c r="Y167" s="8">
        <f ca="1">_xll.HLV5r3.Analytics.Miscellaneous.Zero2DF(_xll.HLV5r3.Analytics.Miscellaneous.LinearInterp(Peturbed_QZ,$K167,1,Y$1),ZeroCompFreq,'PDH Calc'!$K167/365)</f>
        <v>1</v>
      </c>
      <c r="Z167" s="8">
        <f ca="1">_xll.HLV5r3.Analytics.Miscellaneous.Zero2DF(_xll.HLV5r3.Analytics.Miscellaneous.LinearInterp(Peturbed_QZ,$K167,1,Z$1),ZeroCompFreq,'PDH Calc'!$K167/365)</f>
        <v>1</v>
      </c>
      <c r="AA167" s="8">
        <f ca="1">_xll.HLV5r3.Analytics.Miscellaneous.Zero2DF(_xll.HLV5r3.Analytics.Miscellaneous.LinearInterp(Peturbed_QZ,$K167,1,AA$1),ZeroCompFreq,'PDH Calc'!$K167/365)</f>
        <v>1</v>
      </c>
      <c r="AB167" s="8">
        <f ca="1">_xll.HLV5r3.Analytics.Miscellaneous.Zero2DF(_xll.HLV5r3.Analytics.Miscellaneous.LinearInterp(Peturbed_QZ,$K167,1,AB$1),ZeroCompFreq,'PDH Calc'!$K167/365)</f>
        <v>1</v>
      </c>
      <c r="AC167" s="8">
        <f ca="1">_xll.HLV5r3.Analytics.Miscellaneous.Zero2DF(_xll.HLV5r3.Analytics.Miscellaneous.LinearInterp(Peturbed_QZ,$K167,1,AC$1),ZeroCompFreq,'PDH Calc'!$K167/365)</f>
        <v>1</v>
      </c>
      <c r="AD167" s="8">
        <f ca="1">_xll.HLV5r3.Analytics.Miscellaneous.Zero2DF(_xll.HLV5r3.Analytics.Miscellaneous.LinearInterp(Peturbed_QZ,$K167,1,AD$1),ZeroCompFreq,'PDH Calc'!$K167/365)</f>
        <v>1</v>
      </c>
      <c r="AE167" s="8">
        <f ca="1">_xll.HLV5r3.Analytics.Miscellaneous.Zero2DF(_xll.HLV5r3.Analytics.Miscellaneous.LinearInterp(Peturbed_QZ,$K167,1,AE$1),ZeroCompFreq,'PDH Calc'!$K167/365)</f>
        <v>1</v>
      </c>
      <c r="AF167" s="8">
        <f ca="1">_xll.HLV5r3.Analytics.Miscellaneous.Zero2DF(_xll.HLV5r3.Analytics.Miscellaneous.LinearInterp(Peturbed_QZ,$K167,1,AF$1),ZeroCompFreq,'PDH Calc'!$K167/365)</f>
        <v>1</v>
      </c>
      <c r="AG167" s="8">
        <f ca="1">_xll.HLV5r3.Analytics.Miscellaneous.Zero2DF(_xll.HLV5r3.Analytics.Miscellaneous.LinearInterp(Peturbed_QZ,$K167,1,AG$1),ZeroCompFreq,'PDH Calc'!$K167/365)</f>
        <v>1</v>
      </c>
      <c r="AH167" s="8">
        <f ca="1">_xll.HLV5r3.Analytics.Miscellaneous.Zero2DF(_xll.HLV5r3.Analytics.Miscellaneous.LinearInterp(Peturbed_QZ,$K167,1,AH$1),ZeroCompFreq,'PDH Calc'!$K167/365)</f>
        <v>1</v>
      </c>
      <c r="AI167" s="8">
        <f ca="1">_xll.HLV5r3.Analytics.Miscellaneous.Zero2DF(_xll.HLV5r3.Analytics.Miscellaneous.LinearInterp(Peturbed_QZ,$K167,1,AI$1),ZeroCompFreq,'PDH Calc'!$K167/365)</f>
        <v>1</v>
      </c>
      <c r="AJ167" s="8">
        <f ca="1">_xll.HLV5r3.Analytics.Miscellaneous.Zero2DF(_xll.HLV5r3.Analytics.Miscellaneous.LinearInterp(Peturbed_QZ,$K167,1,AJ$1),ZeroCompFreq,'PDH Calc'!$K167/365)</f>
        <v>1</v>
      </c>
      <c r="AK167" s="8">
        <f ca="1">_xll.HLV5r3.Analytics.Miscellaneous.Zero2DF(_xll.HLV5r3.Analytics.Miscellaneous.LinearInterp(Peturbed_QZ,$K167,1,AK$1),ZeroCompFreq,'PDH Calc'!$K167/365)</f>
        <v>1</v>
      </c>
    </row>
    <row r="168" spans="1:37">
      <c r="A168" s="4"/>
      <c r="B168" s="6"/>
      <c r="F168" s="11"/>
      <c r="G168" s="6"/>
      <c r="H168" s="20"/>
      <c r="I168" s="21"/>
      <c r="J168" s="26"/>
      <c r="K168" s="6">
        <f t="shared" ca="1" si="9"/>
        <v>0</v>
      </c>
      <c r="L168" s="8">
        <f ca="1">_xll.HLV5r3.Analytics.Miscellaneous.Zero2DF(_xll.HLV5r3.Analytics.Miscellaneous.LinearInterp(Peturbed_QZ,$K168,1,L$1),ZeroCompFreq,'PDH Calc'!$K168/365)</f>
        <v>1</v>
      </c>
      <c r="M168" s="8">
        <f ca="1">_xll.HLV5r3.Analytics.Miscellaneous.Zero2DF(_xll.HLV5r3.Analytics.Miscellaneous.LinearInterp(Peturbed_QZ,$K168,1,M$1),ZeroCompFreq,'PDH Calc'!$K168/365)</f>
        <v>1</v>
      </c>
      <c r="N168" s="8">
        <f ca="1">_xll.HLV5r3.Analytics.Miscellaneous.Zero2DF(_xll.HLV5r3.Analytics.Miscellaneous.LinearInterp(Peturbed_QZ,$K168,1,N$1),ZeroCompFreq,'PDH Calc'!$K168/365)</f>
        <v>1</v>
      </c>
      <c r="O168" s="8">
        <f ca="1">_xll.HLV5r3.Analytics.Miscellaneous.Zero2DF(_xll.HLV5r3.Analytics.Miscellaneous.LinearInterp(Peturbed_QZ,$K168,1,O$1),ZeroCompFreq,'PDH Calc'!$K168/365)</f>
        <v>1</v>
      </c>
      <c r="P168" s="8">
        <f ca="1">_xll.HLV5r3.Analytics.Miscellaneous.Zero2DF(_xll.HLV5r3.Analytics.Miscellaneous.LinearInterp(Peturbed_QZ,$K168,1,P$1),ZeroCompFreq,'PDH Calc'!$K168/365)</f>
        <v>1</v>
      </c>
      <c r="Q168" s="8">
        <f ca="1">_xll.HLV5r3.Analytics.Miscellaneous.Zero2DF(_xll.HLV5r3.Analytics.Miscellaneous.LinearInterp(Peturbed_QZ,$K168,1,Q$1),ZeroCompFreq,'PDH Calc'!$K168/365)</f>
        <v>1</v>
      </c>
      <c r="R168" s="8">
        <f ca="1">_xll.HLV5r3.Analytics.Miscellaneous.Zero2DF(_xll.HLV5r3.Analytics.Miscellaneous.LinearInterp(Peturbed_QZ,$K168,1,R$1),ZeroCompFreq,'PDH Calc'!$K168/365)</f>
        <v>1</v>
      </c>
      <c r="S168" s="8">
        <f ca="1">_xll.HLV5r3.Analytics.Miscellaneous.Zero2DF(_xll.HLV5r3.Analytics.Miscellaneous.LinearInterp(Peturbed_QZ,$K168,1,S$1),ZeroCompFreq,'PDH Calc'!$K168/365)</f>
        <v>1</v>
      </c>
      <c r="T168" s="8">
        <f ca="1">_xll.HLV5r3.Analytics.Miscellaneous.Zero2DF(_xll.HLV5r3.Analytics.Miscellaneous.LinearInterp(Peturbed_QZ,$K168,1,T$1),ZeroCompFreq,'PDH Calc'!$K168/365)</f>
        <v>1</v>
      </c>
      <c r="U168" s="8">
        <f ca="1">_xll.HLV5r3.Analytics.Miscellaneous.Zero2DF(_xll.HLV5r3.Analytics.Miscellaneous.LinearInterp(Peturbed_QZ,$K168,1,U$1),ZeroCompFreq,'PDH Calc'!$K168/365)</f>
        <v>1</v>
      </c>
      <c r="V168" s="8">
        <f ca="1">_xll.HLV5r3.Analytics.Miscellaneous.Zero2DF(_xll.HLV5r3.Analytics.Miscellaneous.LinearInterp(Peturbed_QZ,$K168,1,V$1),ZeroCompFreq,'PDH Calc'!$K168/365)</f>
        <v>1</v>
      </c>
      <c r="W168" s="8">
        <f ca="1">_xll.HLV5r3.Analytics.Miscellaneous.Zero2DF(_xll.HLV5r3.Analytics.Miscellaneous.LinearInterp(Peturbed_QZ,$K168,1,W$1),ZeroCompFreq,'PDH Calc'!$K168/365)</f>
        <v>1</v>
      </c>
      <c r="X168" s="8">
        <f ca="1">_xll.HLV5r3.Analytics.Miscellaneous.Zero2DF(_xll.HLV5r3.Analytics.Miscellaneous.LinearInterp(Peturbed_QZ,$K168,1,X$1),ZeroCompFreq,'PDH Calc'!$K168/365)</f>
        <v>1</v>
      </c>
      <c r="Y168" s="8">
        <f ca="1">_xll.HLV5r3.Analytics.Miscellaneous.Zero2DF(_xll.HLV5r3.Analytics.Miscellaneous.LinearInterp(Peturbed_QZ,$K168,1,Y$1),ZeroCompFreq,'PDH Calc'!$K168/365)</f>
        <v>1</v>
      </c>
      <c r="Z168" s="8">
        <f ca="1">_xll.HLV5r3.Analytics.Miscellaneous.Zero2DF(_xll.HLV5r3.Analytics.Miscellaneous.LinearInterp(Peturbed_QZ,$K168,1,Z$1),ZeroCompFreq,'PDH Calc'!$K168/365)</f>
        <v>1</v>
      </c>
      <c r="AA168" s="8">
        <f ca="1">_xll.HLV5r3.Analytics.Miscellaneous.Zero2DF(_xll.HLV5r3.Analytics.Miscellaneous.LinearInterp(Peturbed_QZ,$K168,1,AA$1),ZeroCompFreq,'PDH Calc'!$K168/365)</f>
        <v>1</v>
      </c>
      <c r="AB168" s="8">
        <f ca="1">_xll.HLV5r3.Analytics.Miscellaneous.Zero2DF(_xll.HLV5r3.Analytics.Miscellaneous.LinearInterp(Peturbed_QZ,$K168,1,AB$1),ZeroCompFreq,'PDH Calc'!$K168/365)</f>
        <v>1</v>
      </c>
      <c r="AC168" s="8">
        <f ca="1">_xll.HLV5r3.Analytics.Miscellaneous.Zero2DF(_xll.HLV5r3.Analytics.Miscellaneous.LinearInterp(Peturbed_QZ,$K168,1,AC$1),ZeroCompFreq,'PDH Calc'!$K168/365)</f>
        <v>1</v>
      </c>
      <c r="AD168" s="8">
        <f ca="1">_xll.HLV5r3.Analytics.Miscellaneous.Zero2DF(_xll.HLV5r3.Analytics.Miscellaneous.LinearInterp(Peturbed_QZ,$K168,1,AD$1),ZeroCompFreq,'PDH Calc'!$K168/365)</f>
        <v>1</v>
      </c>
      <c r="AE168" s="8">
        <f ca="1">_xll.HLV5r3.Analytics.Miscellaneous.Zero2DF(_xll.HLV5r3.Analytics.Miscellaneous.LinearInterp(Peturbed_QZ,$K168,1,AE$1),ZeroCompFreq,'PDH Calc'!$K168/365)</f>
        <v>1</v>
      </c>
      <c r="AF168" s="8">
        <f ca="1">_xll.HLV5r3.Analytics.Miscellaneous.Zero2DF(_xll.HLV5r3.Analytics.Miscellaneous.LinearInterp(Peturbed_QZ,$K168,1,AF$1),ZeroCompFreq,'PDH Calc'!$K168/365)</f>
        <v>1</v>
      </c>
      <c r="AG168" s="8">
        <f ca="1">_xll.HLV5r3.Analytics.Miscellaneous.Zero2DF(_xll.HLV5r3.Analytics.Miscellaneous.LinearInterp(Peturbed_QZ,$K168,1,AG$1),ZeroCompFreq,'PDH Calc'!$K168/365)</f>
        <v>1</v>
      </c>
      <c r="AH168" s="8">
        <f ca="1">_xll.HLV5r3.Analytics.Miscellaneous.Zero2DF(_xll.HLV5r3.Analytics.Miscellaneous.LinearInterp(Peturbed_QZ,$K168,1,AH$1),ZeroCompFreq,'PDH Calc'!$K168/365)</f>
        <v>1</v>
      </c>
      <c r="AI168" s="8">
        <f ca="1">_xll.HLV5r3.Analytics.Miscellaneous.Zero2DF(_xll.HLV5r3.Analytics.Miscellaneous.LinearInterp(Peturbed_QZ,$K168,1,AI$1),ZeroCompFreq,'PDH Calc'!$K168/365)</f>
        <v>1</v>
      </c>
      <c r="AJ168" s="8">
        <f ca="1">_xll.HLV5r3.Analytics.Miscellaneous.Zero2DF(_xll.HLV5r3.Analytics.Miscellaneous.LinearInterp(Peturbed_QZ,$K168,1,AJ$1),ZeroCompFreq,'PDH Calc'!$K168/365)</f>
        <v>1</v>
      </c>
      <c r="AK168" s="8">
        <f ca="1">_xll.HLV5r3.Analytics.Miscellaneous.Zero2DF(_xll.HLV5r3.Analytics.Miscellaneous.LinearInterp(Peturbed_QZ,$K168,1,AK$1),ZeroCompFreq,'PDH Calc'!$K168/365)</f>
        <v>1</v>
      </c>
    </row>
    <row r="169" spans="1:37">
      <c r="A169" s="4"/>
      <c r="B169" s="6"/>
      <c r="F169" s="11"/>
      <c r="G169" s="6"/>
      <c r="H169" s="20"/>
      <c r="I169" s="21"/>
      <c r="J169" s="26"/>
      <c r="K169" s="6">
        <f t="shared" ca="1" si="9"/>
        <v>0</v>
      </c>
      <c r="L169" s="8">
        <f ca="1">_xll.HLV5r3.Analytics.Miscellaneous.Zero2DF(_xll.HLV5r3.Analytics.Miscellaneous.LinearInterp(Peturbed_QZ,$K169,1,L$1),ZeroCompFreq,'PDH Calc'!$K169/365)</f>
        <v>1</v>
      </c>
      <c r="M169" s="8">
        <f ca="1">_xll.HLV5r3.Analytics.Miscellaneous.Zero2DF(_xll.HLV5r3.Analytics.Miscellaneous.LinearInterp(Peturbed_QZ,$K169,1,M$1),ZeroCompFreq,'PDH Calc'!$K169/365)</f>
        <v>1</v>
      </c>
      <c r="N169" s="8">
        <f ca="1">_xll.HLV5r3.Analytics.Miscellaneous.Zero2DF(_xll.HLV5r3.Analytics.Miscellaneous.LinearInterp(Peturbed_QZ,$K169,1,N$1),ZeroCompFreq,'PDH Calc'!$K169/365)</f>
        <v>1</v>
      </c>
      <c r="O169" s="8">
        <f ca="1">_xll.HLV5r3.Analytics.Miscellaneous.Zero2DF(_xll.HLV5r3.Analytics.Miscellaneous.LinearInterp(Peturbed_QZ,$K169,1,O$1),ZeroCompFreq,'PDH Calc'!$K169/365)</f>
        <v>1</v>
      </c>
      <c r="P169" s="8">
        <f ca="1">_xll.HLV5r3.Analytics.Miscellaneous.Zero2DF(_xll.HLV5r3.Analytics.Miscellaneous.LinearInterp(Peturbed_QZ,$K169,1,P$1),ZeroCompFreq,'PDH Calc'!$K169/365)</f>
        <v>1</v>
      </c>
      <c r="Q169" s="8">
        <f ca="1">_xll.HLV5r3.Analytics.Miscellaneous.Zero2DF(_xll.HLV5r3.Analytics.Miscellaneous.LinearInterp(Peturbed_QZ,$K169,1,Q$1),ZeroCompFreq,'PDH Calc'!$K169/365)</f>
        <v>1</v>
      </c>
      <c r="R169" s="8">
        <f ca="1">_xll.HLV5r3.Analytics.Miscellaneous.Zero2DF(_xll.HLV5r3.Analytics.Miscellaneous.LinearInterp(Peturbed_QZ,$K169,1,R$1),ZeroCompFreq,'PDH Calc'!$K169/365)</f>
        <v>1</v>
      </c>
      <c r="S169" s="8">
        <f ca="1">_xll.HLV5r3.Analytics.Miscellaneous.Zero2DF(_xll.HLV5r3.Analytics.Miscellaneous.LinearInterp(Peturbed_QZ,$K169,1,S$1),ZeroCompFreq,'PDH Calc'!$K169/365)</f>
        <v>1</v>
      </c>
      <c r="T169" s="8">
        <f ca="1">_xll.HLV5r3.Analytics.Miscellaneous.Zero2DF(_xll.HLV5r3.Analytics.Miscellaneous.LinearInterp(Peturbed_QZ,$K169,1,T$1),ZeroCompFreq,'PDH Calc'!$K169/365)</f>
        <v>1</v>
      </c>
      <c r="U169" s="8">
        <f ca="1">_xll.HLV5r3.Analytics.Miscellaneous.Zero2DF(_xll.HLV5r3.Analytics.Miscellaneous.LinearInterp(Peturbed_QZ,$K169,1,U$1),ZeroCompFreq,'PDH Calc'!$K169/365)</f>
        <v>1</v>
      </c>
      <c r="V169" s="8">
        <f ca="1">_xll.HLV5r3.Analytics.Miscellaneous.Zero2DF(_xll.HLV5r3.Analytics.Miscellaneous.LinearInterp(Peturbed_QZ,$K169,1,V$1),ZeroCompFreq,'PDH Calc'!$K169/365)</f>
        <v>1</v>
      </c>
      <c r="W169" s="8">
        <f ca="1">_xll.HLV5r3.Analytics.Miscellaneous.Zero2DF(_xll.HLV5r3.Analytics.Miscellaneous.LinearInterp(Peturbed_QZ,$K169,1,W$1),ZeroCompFreq,'PDH Calc'!$K169/365)</f>
        <v>1</v>
      </c>
      <c r="X169" s="8">
        <f ca="1">_xll.HLV5r3.Analytics.Miscellaneous.Zero2DF(_xll.HLV5r3.Analytics.Miscellaneous.LinearInterp(Peturbed_QZ,$K169,1,X$1),ZeroCompFreq,'PDH Calc'!$K169/365)</f>
        <v>1</v>
      </c>
      <c r="Y169" s="8">
        <f ca="1">_xll.HLV5r3.Analytics.Miscellaneous.Zero2DF(_xll.HLV5r3.Analytics.Miscellaneous.LinearInterp(Peturbed_QZ,$K169,1,Y$1),ZeroCompFreq,'PDH Calc'!$K169/365)</f>
        <v>1</v>
      </c>
      <c r="Z169" s="8">
        <f ca="1">_xll.HLV5r3.Analytics.Miscellaneous.Zero2DF(_xll.HLV5r3.Analytics.Miscellaneous.LinearInterp(Peturbed_QZ,$K169,1,Z$1),ZeroCompFreq,'PDH Calc'!$K169/365)</f>
        <v>1</v>
      </c>
      <c r="AA169" s="8">
        <f ca="1">_xll.HLV5r3.Analytics.Miscellaneous.Zero2DF(_xll.HLV5r3.Analytics.Miscellaneous.LinearInterp(Peturbed_QZ,$K169,1,AA$1),ZeroCompFreq,'PDH Calc'!$K169/365)</f>
        <v>1</v>
      </c>
      <c r="AB169" s="8">
        <f ca="1">_xll.HLV5r3.Analytics.Miscellaneous.Zero2DF(_xll.HLV5r3.Analytics.Miscellaneous.LinearInterp(Peturbed_QZ,$K169,1,AB$1),ZeroCompFreq,'PDH Calc'!$K169/365)</f>
        <v>1</v>
      </c>
      <c r="AC169" s="8">
        <f ca="1">_xll.HLV5r3.Analytics.Miscellaneous.Zero2DF(_xll.HLV5r3.Analytics.Miscellaneous.LinearInterp(Peturbed_QZ,$K169,1,AC$1),ZeroCompFreq,'PDH Calc'!$K169/365)</f>
        <v>1</v>
      </c>
      <c r="AD169" s="8">
        <f ca="1">_xll.HLV5r3.Analytics.Miscellaneous.Zero2DF(_xll.HLV5r3.Analytics.Miscellaneous.LinearInterp(Peturbed_QZ,$K169,1,AD$1),ZeroCompFreq,'PDH Calc'!$K169/365)</f>
        <v>1</v>
      </c>
      <c r="AE169" s="8">
        <f ca="1">_xll.HLV5r3.Analytics.Miscellaneous.Zero2DF(_xll.HLV5r3.Analytics.Miscellaneous.LinearInterp(Peturbed_QZ,$K169,1,AE$1),ZeroCompFreq,'PDH Calc'!$K169/365)</f>
        <v>1</v>
      </c>
      <c r="AF169" s="8">
        <f ca="1">_xll.HLV5r3.Analytics.Miscellaneous.Zero2DF(_xll.HLV5r3.Analytics.Miscellaneous.LinearInterp(Peturbed_QZ,$K169,1,AF$1),ZeroCompFreq,'PDH Calc'!$K169/365)</f>
        <v>1</v>
      </c>
      <c r="AG169" s="8">
        <f ca="1">_xll.HLV5r3.Analytics.Miscellaneous.Zero2DF(_xll.HLV5r3.Analytics.Miscellaneous.LinearInterp(Peturbed_QZ,$K169,1,AG$1),ZeroCompFreq,'PDH Calc'!$K169/365)</f>
        <v>1</v>
      </c>
      <c r="AH169" s="8">
        <f ca="1">_xll.HLV5r3.Analytics.Miscellaneous.Zero2DF(_xll.HLV5r3.Analytics.Miscellaneous.LinearInterp(Peturbed_QZ,$K169,1,AH$1),ZeroCompFreq,'PDH Calc'!$K169/365)</f>
        <v>1</v>
      </c>
      <c r="AI169" s="8">
        <f ca="1">_xll.HLV5r3.Analytics.Miscellaneous.Zero2DF(_xll.HLV5r3.Analytics.Miscellaneous.LinearInterp(Peturbed_QZ,$K169,1,AI$1),ZeroCompFreq,'PDH Calc'!$K169/365)</f>
        <v>1</v>
      </c>
      <c r="AJ169" s="8">
        <f ca="1">_xll.HLV5r3.Analytics.Miscellaneous.Zero2DF(_xll.HLV5r3.Analytics.Miscellaneous.LinearInterp(Peturbed_QZ,$K169,1,AJ$1),ZeroCompFreq,'PDH Calc'!$K169/365)</f>
        <v>1</v>
      </c>
      <c r="AK169" s="8">
        <f ca="1">_xll.HLV5r3.Analytics.Miscellaneous.Zero2DF(_xll.HLV5r3.Analytics.Miscellaneous.LinearInterp(Peturbed_QZ,$K169,1,AK$1),ZeroCompFreq,'PDH Calc'!$K169/365)</f>
        <v>1</v>
      </c>
    </row>
    <row r="170" spans="1:37">
      <c r="A170" s="4"/>
      <c r="B170" s="6"/>
      <c r="F170" s="11"/>
      <c r="G170" s="6"/>
      <c r="H170" s="20"/>
      <c r="I170" s="21"/>
      <c r="J170" s="26"/>
      <c r="K170" s="6">
        <f t="shared" ca="1" si="9"/>
        <v>0</v>
      </c>
      <c r="L170" s="8">
        <f ca="1">_xll.HLV5r3.Analytics.Miscellaneous.Zero2DF(_xll.HLV5r3.Analytics.Miscellaneous.LinearInterp(Peturbed_QZ,$K170,1,L$1),ZeroCompFreq,'PDH Calc'!$K170/365)</f>
        <v>1</v>
      </c>
      <c r="M170" s="8">
        <f ca="1">_xll.HLV5r3.Analytics.Miscellaneous.Zero2DF(_xll.HLV5r3.Analytics.Miscellaneous.LinearInterp(Peturbed_QZ,$K170,1,M$1),ZeroCompFreq,'PDH Calc'!$K170/365)</f>
        <v>1</v>
      </c>
      <c r="N170" s="8">
        <f ca="1">_xll.HLV5r3.Analytics.Miscellaneous.Zero2DF(_xll.HLV5r3.Analytics.Miscellaneous.LinearInterp(Peturbed_QZ,$K170,1,N$1),ZeroCompFreq,'PDH Calc'!$K170/365)</f>
        <v>1</v>
      </c>
      <c r="O170" s="8">
        <f ca="1">_xll.HLV5r3.Analytics.Miscellaneous.Zero2DF(_xll.HLV5r3.Analytics.Miscellaneous.LinearInterp(Peturbed_QZ,$K170,1,O$1),ZeroCompFreq,'PDH Calc'!$K170/365)</f>
        <v>1</v>
      </c>
      <c r="P170" s="8">
        <f ca="1">_xll.HLV5r3.Analytics.Miscellaneous.Zero2DF(_xll.HLV5r3.Analytics.Miscellaneous.LinearInterp(Peturbed_QZ,$K170,1,P$1),ZeroCompFreq,'PDH Calc'!$K170/365)</f>
        <v>1</v>
      </c>
      <c r="Q170" s="8">
        <f ca="1">_xll.HLV5r3.Analytics.Miscellaneous.Zero2DF(_xll.HLV5r3.Analytics.Miscellaneous.LinearInterp(Peturbed_QZ,$K170,1,Q$1),ZeroCompFreq,'PDH Calc'!$K170/365)</f>
        <v>1</v>
      </c>
      <c r="R170" s="8">
        <f ca="1">_xll.HLV5r3.Analytics.Miscellaneous.Zero2DF(_xll.HLV5r3.Analytics.Miscellaneous.LinearInterp(Peturbed_QZ,$K170,1,R$1),ZeroCompFreq,'PDH Calc'!$K170/365)</f>
        <v>1</v>
      </c>
      <c r="S170" s="8">
        <f ca="1">_xll.HLV5r3.Analytics.Miscellaneous.Zero2DF(_xll.HLV5r3.Analytics.Miscellaneous.LinearInterp(Peturbed_QZ,$K170,1,S$1),ZeroCompFreq,'PDH Calc'!$K170/365)</f>
        <v>1</v>
      </c>
      <c r="T170" s="8">
        <f ca="1">_xll.HLV5r3.Analytics.Miscellaneous.Zero2DF(_xll.HLV5r3.Analytics.Miscellaneous.LinearInterp(Peturbed_QZ,$K170,1,T$1),ZeroCompFreq,'PDH Calc'!$K170/365)</f>
        <v>1</v>
      </c>
      <c r="U170" s="8">
        <f ca="1">_xll.HLV5r3.Analytics.Miscellaneous.Zero2DF(_xll.HLV5r3.Analytics.Miscellaneous.LinearInterp(Peturbed_QZ,$K170,1,U$1),ZeroCompFreq,'PDH Calc'!$K170/365)</f>
        <v>1</v>
      </c>
      <c r="V170" s="8">
        <f ca="1">_xll.HLV5r3.Analytics.Miscellaneous.Zero2DF(_xll.HLV5r3.Analytics.Miscellaneous.LinearInterp(Peturbed_QZ,$K170,1,V$1),ZeroCompFreq,'PDH Calc'!$K170/365)</f>
        <v>1</v>
      </c>
      <c r="W170" s="8">
        <f ca="1">_xll.HLV5r3.Analytics.Miscellaneous.Zero2DF(_xll.HLV5r3.Analytics.Miscellaneous.LinearInterp(Peturbed_QZ,$K170,1,W$1),ZeroCompFreq,'PDH Calc'!$K170/365)</f>
        <v>1</v>
      </c>
      <c r="X170" s="8">
        <f ca="1">_xll.HLV5r3.Analytics.Miscellaneous.Zero2DF(_xll.HLV5r3.Analytics.Miscellaneous.LinearInterp(Peturbed_QZ,$K170,1,X$1),ZeroCompFreq,'PDH Calc'!$K170/365)</f>
        <v>1</v>
      </c>
      <c r="Y170" s="8">
        <f ca="1">_xll.HLV5r3.Analytics.Miscellaneous.Zero2DF(_xll.HLV5r3.Analytics.Miscellaneous.LinearInterp(Peturbed_QZ,$K170,1,Y$1),ZeroCompFreq,'PDH Calc'!$K170/365)</f>
        <v>1</v>
      </c>
      <c r="Z170" s="8">
        <f ca="1">_xll.HLV5r3.Analytics.Miscellaneous.Zero2DF(_xll.HLV5r3.Analytics.Miscellaneous.LinearInterp(Peturbed_QZ,$K170,1,Z$1),ZeroCompFreq,'PDH Calc'!$K170/365)</f>
        <v>1</v>
      </c>
      <c r="AA170" s="8">
        <f ca="1">_xll.HLV5r3.Analytics.Miscellaneous.Zero2DF(_xll.HLV5r3.Analytics.Miscellaneous.LinearInterp(Peturbed_QZ,$K170,1,AA$1),ZeroCompFreq,'PDH Calc'!$K170/365)</f>
        <v>1</v>
      </c>
      <c r="AB170" s="8">
        <f ca="1">_xll.HLV5r3.Analytics.Miscellaneous.Zero2DF(_xll.HLV5r3.Analytics.Miscellaneous.LinearInterp(Peturbed_QZ,$K170,1,AB$1),ZeroCompFreq,'PDH Calc'!$K170/365)</f>
        <v>1</v>
      </c>
      <c r="AC170" s="8">
        <f ca="1">_xll.HLV5r3.Analytics.Miscellaneous.Zero2DF(_xll.HLV5r3.Analytics.Miscellaneous.LinearInterp(Peturbed_QZ,$K170,1,AC$1),ZeroCompFreq,'PDH Calc'!$K170/365)</f>
        <v>1</v>
      </c>
      <c r="AD170" s="8">
        <f ca="1">_xll.HLV5r3.Analytics.Miscellaneous.Zero2DF(_xll.HLV5r3.Analytics.Miscellaneous.LinearInterp(Peturbed_QZ,$K170,1,AD$1),ZeroCompFreq,'PDH Calc'!$K170/365)</f>
        <v>1</v>
      </c>
      <c r="AE170" s="8">
        <f ca="1">_xll.HLV5r3.Analytics.Miscellaneous.Zero2DF(_xll.HLV5r3.Analytics.Miscellaneous.LinearInterp(Peturbed_QZ,$K170,1,AE$1),ZeroCompFreq,'PDH Calc'!$K170/365)</f>
        <v>1</v>
      </c>
      <c r="AF170" s="8">
        <f ca="1">_xll.HLV5r3.Analytics.Miscellaneous.Zero2DF(_xll.HLV5r3.Analytics.Miscellaneous.LinearInterp(Peturbed_QZ,$K170,1,AF$1),ZeroCompFreq,'PDH Calc'!$K170/365)</f>
        <v>1</v>
      </c>
      <c r="AG170" s="8">
        <f ca="1">_xll.HLV5r3.Analytics.Miscellaneous.Zero2DF(_xll.HLV5r3.Analytics.Miscellaneous.LinearInterp(Peturbed_QZ,$K170,1,AG$1),ZeroCompFreq,'PDH Calc'!$K170/365)</f>
        <v>1</v>
      </c>
      <c r="AH170" s="8">
        <f ca="1">_xll.HLV5r3.Analytics.Miscellaneous.Zero2DF(_xll.HLV5r3.Analytics.Miscellaneous.LinearInterp(Peturbed_QZ,$K170,1,AH$1),ZeroCompFreq,'PDH Calc'!$K170/365)</f>
        <v>1</v>
      </c>
      <c r="AI170" s="8">
        <f ca="1">_xll.HLV5r3.Analytics.Miscellaneous.Zero2DF(_xll.HLV5r3.Analytics.Miscellaneous.LinearInterp(Peturbed_QZ,$K170,1,AI$1),ZeroCompFreq,'PDH Calc'!$K170/365)</f>
        <v>1</v>
      </c>
      <c r="AJ170" s="8">
        <f ca="1">_xll.HLV5r3.Analytics.Miscellaneous.Zero2DF(_xll.HLV5r3.Analytics.Miscellaneous.LinearInterp(Peturbed_QZ,$K170,1,AJ$1),ZeroCompFreq,'PDH Calc'!$K170/365)</f>
        <v>1</v>
      </c>
      <c r="AK170" s="8">
        <f ca="1">_xll.HLV5r3.Analytics.Miscellaneous.Zero2DF(_xll.HLV5r3.Analytics.Miscellaneous.LinearInterp(Peturbed_QZ,$K170,1,AK$1),ZeroCompFreq,'PDH Calc'!$K170/365)</f>
        <v>1</v>
      </c>
    </row>
    <row r="171" spans="1:37">
      <c r="A171" s="4"/>
      <c r="B171" s="6"/>
      <c r="F171" s="11"/>
      <c r="G171" s="6"/>
      <c r="H171" s="20"/>
      <c r="I171" s="21"/>
      <c r="J171" s="26"/>
      <c r="K171" s="6">
        <f t="shared" ca="1" si="9"/>
        <v>0</v>
      </c>
      <c r="L171" s="8">
        <f ca="1">_xll.HLV5r3.Analytics.Miscellaneous.Zero2DF(_xll.HLV5r3.Analytics.Miscellaneous.LinearInterp(Peturbed_QZ,$K171,1,L$1),ZeroCompFreq,'PDH Calc'!$K171/365)</f>
        <v>1</v>
      </c>
      <c r="M171" s="8">
        <f ca="1">_xll.HLV5r3.Analytics.Miscellaneous.Zero2DF(_xll.HLV5r3.Analytics.Miscellaneous.LinearInterp(Peturbed_QZ,$K171,1,M$1),ZeroCompFreq,'PDH Calc'!$K171/365)</f>
        <v>1</v>
      </c>
      <c r="N171" s="8">
        <f ca="1">_xll.HLV5r3.Analytics.Miscellaneous.Zero2DF(_xll.HLV5r3.Analytics.Miscellaneous.LinearInterp(Peturbed_QZ,$K171,1,N$1),ZeroCompFreq,'PDH Calc'!$K171/365)</f>
        <v>1</v>
      </c>
      <c r="O171" s="8">
        <f ca="1">_xll.HLV5r3.Analytics.Miscellaneous.Zero2DF(_xll.HLV5r3.Analytics.Miscellaneous.LinearInterp(Peturbed_QZ,$K171,1,O$1),ZeroCompFreq,'PDH Calc'!$K171/365)</f>
        <v>1</v>
      </c>
      <c r="P171" s="8">
        <f ca="1">_xll.HLV5r3.Analytics.Miscellaneous.Zero2DF(_xll.HLV5r3.Analytics.Miscellaneous.LinearInterp(Peturbed_QZ,$K171,1,P$1),ZeroCompFreq,'PDH Calc'!$K171/365)</f>
        <v>1</v>
      </c>
      <c r="Q171" s="8">
        <f ca="1">_xll.HLV5r3.Analytics.Miscellaneous.Zero2DF(_xll.HLV5r3.Analytics.Miscellaneous.LinearInterp(Peturbed_QZ,$K171,1,Q$1),ZeroCompFreq,'PDH Calc'!$K171/365)</f>
        <v>1</v>
      </c>
      <c r="R171" s="8">
        <f ca="1">_xll.HLV5r3.Analytics.Miscellaneous.Zero2DF(_xll.HLV5r3.Analytics.Miscellaneous.LinearInterp(Peturbed_QZ,$K171,1,R$1),ZeroCompFreq,'PDH Calc'!$K171/365)</f>
        <v>1</v>
      </c>
      <c r="S171" s="8">
        <f ca="1">_xll.HLV5r3.Analytics.Miscellaneous.Zero2DF(_xll.HLV5r3.Analytics.Miscellaneous.LinearInterp(Peturbed_QZ,$K171,1,S$1),ZeroCompFreq,'PDH Calc'!$K171/365)</f>
        <v>1</v>
      </c>
      <c r="T171" s="8">
        <f ca="1">_xll.HLV5r3.Analytics.Miscellaneous.Zero2DF(_xll.HLV5r3.Analytics.Miscellaneous.LinearInterp(Peturbed_QZ,$K171,1,T$1),ZeroCompFreq,'PDH Calc'!$K171/365)</f>
        <v>1</v>
      </c>
      <c r="U171" s="8">
        <f ca="1">_xll.HLV5r3.Analytics.Miscellaneous.Zero2DF(_xll.HLV5r3.Analytics.Miscellaneous.LinearInterp(Peturbed_QZ,$K171,1,U$1),ZeroCompFreq,'PDH Calc'!$K171/365)</f>
        <v>1</v>
      </c>
      <c r="V171" s="8">
        <f ca="1">_xll.HLV5r3.Analytics.Miscellaneous.Zero2DF(_xll.HLV5r3.Analytics.Miscellaneous.LinearInterp(Peturbed_QZ,$K171,1,V$1),ZeroCompFreq,'PDH Calc'!$K171/365)</f>
        <v>1</v>
      </c>
      <c r="W171" s="8">
        <f ca="1">_xll.HLV5r3.Analytics.Miscellaneous.Zero2DF(_xll.HLV5r3.Analytics.Miscellaneous.LinearInterp(Peturbed_QZ,$K171,1,W$1),ZeroCompFreq,'PDH Calc'!$K171/365)</f>
        <v>1</v>
      </c>
      <c r="X171" s="8">
        <f ca="1">_xll.HLV5r3.Analytics.Miscellaneous.Zero2DF(_xll.HLV5r3.Analytics.Miscellaneous.LinearInterp(Peturbed_QZ,$K171,1,X$1),ZeroCompFreq,'PDH Calc'!$K171/365)</f>
        <v>1</v>
      </c>
      <c r="Y171" s="8">
        <f ca="1">_xll.HLV5r3.Analytics.Miscellaneous.Zero2DF(_xll.HLV5r3.Analytics.Miscellaneous.LinearInterp(Peturbed_QZ,$K171,1,Y$1),ZeroCompFreq,'PDH Calc'!$K171/365)</f>
        <v>1</v>
      </c>
      <c r="Z171" s="8">
        <f ca="1">_xll.HLV5r3.Analytics.Miscellaneous.Zero2DF(_xll.HLV5r3.Analytics.Miscellaneous.LinearInterp(Peturbed_QZ,$K171,1,Z$1),ZeroCompFreq,'PDH Calc'!$K171/365)</f>
        <v>1</v>
      </c>
      <c r="AA171" s="8">
        <f ca="1">_xll.HLV5r3.Analytics.Miscellaneous.Zero2DF(_xll.HLV5r3.Analytics.Miscellaneous.LinearInterp(Peturbed_QZ,$K171,1,AA$1),ZeroCompFreq,'PDH Calc'!$K171/365)</f>
        <v>1</v>
      </c>
      <c r="AB171" s="8">
        <f ca="1">_xll.HLV5r3.Analytics.Miscellaneous.Zero2DF(_xll.HLV5r3.Analytics.Miscellaneous.LinearInterp(Peturbed_QZ,$K171,1,AB$1),ZeroCompFreq,'PDH Calc'!$K171/365)</f>
        <v>1</v>
      </c>
      <c r="AC171" s="8">
        <f ca="1">_xll.HLV5r3.Analytics.Miscellaneous.Zero2DF(_xll.HLV5r3.Analytics.Miscellaneous.LinearInterp(Peturbed_QZ,$K171,1,AC$1),ZeroCompFreq,'PDH Calc'!$K171/365)</f>
        <v>1</v>
      </c>
      <c r="AD171" s="8">
        <f ca="1">_xll.HLV5r3.Analytics.Miscellaneous.Zero2DF(_xll.HLV5r3.Analytics.Miscellaneous.LinearInterp(Peturbed_QZ,$K171,1,AD$1),ZeroCompFreq,'PDH Calc'!$K171/365)</f>
        <v>1</v>
      </c>
      <c r="AE171" s="8">
        <f ca="1">_xll.HLV5r3.Analytics.Miscellaneous.Zero2DF(_xll.HLV5r3.Analytics.Miscellaneous.LinearInterp(Peturbed_QZ,$K171,1,AE$1),ZeroCompFreq,'PDH Calc'!$K171/365)</f>
        <v>1</v>
      </c>
      <c r="AF171" s="8">
        <f ca="1">_xll.HLV5r3.Analytics.Miscellaneous.Zero2DF(_xll.HLV5r3.Analytics.Miscellaneous.LinearInterp(Peturbed_QZ,$K171,1,AF$1),ZeroCompFreq,'PDH Calc'!$K171/365)</f>
        <v>1</v>
      </c>
      <c r="AG171" s="8">
        <f ca="1">_xll.HLV5r3.Analytics.Miscellaneous.Zero2DF(_xll.HLV5r3.Analytics.Miscellaneous.LinearInterp(Peturbed_QZ,$K171,1,AG$1),ZeroCompFreq,'PDH Calc'!$K171/365)</f>
        <v>1</v>
      </c>
      <c r="AH171" s="8">
        <f ca="1">_xll.HLV5r3.Analytics.Miscellaneous.Zero2DF(_xll.HLV5r3.Analytics.Miscellaneous.LinearInterp(Peturbed_QZ,$K171,1,AH$1),ZeroCompFreq,'PDH Calc'!$K171/365)</f>
        <v>1</v>
      </c>
      <c r="AI171" s="8">
        <f ca="1">_xll.HLV5r3.Analytics.Miscellaneous.Zero2DF(_xll.HLV5r3.Analytics.Miscellaneous.LinearInterp(Peturbed_QZ,$K171,1,AI$1),ZeroCompFreq,'PDH Calc'!$K171/365)</f>
        <v>1</v>
      </c>
      <c r="AJ171" s="8">
        <f ca="1">_xll.HLV5r3.Analytics.Miscellaneous.Zero2DF(_xll.HLV5r3.Analytics.Miscellaneous.LinearInterp(Peturbed_QZ,$K171,1,AJ$1),ZeroCompFreq,'PDH Calc'!$K171/365)</f>
        <v>1</v>
      </c>
      <c r="AK171" s="8">
        <f ca="1">_xll.HLV5r3.Analytics.Miscellaneous.Zero2DF(_xll.HLV5r3.Analytics.Miscellaneous.LinearInterp(Peturbed_QZ,$K171,1,AK$1),ZeroCompFreq,'PDH Calc'!$K171/365)</f>
        <v>1</v>
      </c>
    </row>
    <row r="172" spans="1:37">
      <c r="A172" s="4"/>
      <c r="B172" s="6"/>
      <c r="F172" s="11"/>
      <c r="G172" s="6"/>
      <c r="H172" s="20"/>
      <c r="I172" s="21"/>
      <c r="J172" s="26"/>
      <c r="K172" s="6">
        <f t="shared" ca="1" si="9"/>
        <v>0</v>
      </c>
      <c r="L172" s="8">
        <f ca="1">_xll.HLV5r3.Analytics.Miscellaneous.Zero2DF(_xll.HLV5r3.Analytics.Miscellaneous.LinearInterp(Peturbed_QZ,$K172,1,L$1),ZeroCompFreq,'PDH Calc'!$K172/365)</f>
        <v>1</v>
      </c>
      <c r="M172" s="8">
        <f ca="1">_xll.HLV5r3.Analytics.Miscellaneous.Zero2DF(_xll.HLV5r3.Analytics.Miscellaneous.LinearInterp(Peturbed_QZ,$K172,1,M$1),ZeroCompFreq,'PDH Calc'!$K172/365)</f>
        <v>1</v>
      </c>
      <c r="N172" s="8">
        <f ca="1">_xll.HLV5r3.Analytics.Miscellaneous.Zero2DF(_xll.HLV5r3.Analytics.Miscellaneous.LinearInterp(Peturbed_QZ,$K172,1,N$1),ZeroCompFreq,'PDH Calc'!$K172/365)</f>
        <v>1</v>
      </c>
      <c r="O172" s="8">
        <f ca="1">_xll.HLV5r3.Analytics.Miscellaneous.Zero2DF(_xll.HLV5r3.Analytics.Miscellaneous.LinearInterp(Peturbed_QZ,$K172,1,O$1),ZeroCompFreq,'PDH Calc'!$K172/365)</f>
        <v>1</v>
      </c>
      <c r="P172" s="8">
        <f ca="1">_xll.HLV5r3.Analytics.Miscellaneous.Zero2DF(_xll.HLV5r3.Analytics.Miscellaneous.LinearInterp(Peturbed_QZ,$K172,1,P$1),ZeroCompFreq,'PDH Calc'!$K172/365)</f>
        <v>1</v>
      </c>
      <c r="Q172" s="8">
        <f ca="1">_xll.HLV5r3.Analytics.Miscellaneous.Zero2DF(_xll.HLV5r3.Analytics.Miscellaneous.LinearInterp(Peturbed_QZ,$K172,1,Q$1),ZeroCompFreq,'PDH Calc'!$K172/365)</f>
        <v>1</v>
      </c>
      <c r="R172" s="8">
        <f ca="1">_xll.HLV5r3.Analytics.Miscellaneous.Zero2DF(_xll.HLV5r3.Analytics.Miscellaneous.LinearInterp(Peturbed_QZ,$K172,1,R$1),ZeroCompFreq,'PDH Calc'!$K172/365)</f>
        <v>1</v>
      </c>
      <c r="S172" s="8">
        <f ca="1">_xll.HLV5r3.Analytics.Miscellaneous.Zero2DF(_xll.HLV5r3.Analytics.Miscellaneous.LinearInterp(Peturbed_QZ,$K172,1,S$1),ZeroCompFreq,'PDH Calc'!$K172/365)</f>
        <v>1</v>
      </c>
      <c r="T172" s="8">
        <f ca="1">_xll.HLV5r3.Analytics.Miscellaneous.Zero2DF(_xll.HLV5r3.Analytics.Miscellaneous.LinearInterp(Peturbed_QZ,$K172,1,T$1),ZeroCompFreq,'PDH Calc'!$K172/365)</f>
        <v>1</v>
      </c>
      <c r="U172" s="8">
        <f ca="1">_xll.HLV5r3.Analytics.Miscellaneous.Zero2DF(_xll.HLV5r3.Analytics.Miscellaneous.LinearInterp(Peturbed_QZ,$K172,1,U$1),ZeroCompFreq,'PDH Calc'!$K172/365)</f>
        <v>1</v>
      </c>
      <c r="V172" s="8">
        <f ca="1">_xll.HLV5r3.Analytics.Miscellaneous.Zero2DF(_xll.HLV5r3.Analytics.Miscellaneous.LinearInterp(Peturbed_QZ,$K172,1,V$1),ZeroCompFreq,'PDH Calc'!$K172/365)</f>
        <v>1</v>
      </c>
      <c r="W172" s="8">
        <f ca="1">_xll.HLV5r3.Analytics.Miscellaneous.Zero2DF(_xll.HLV5r3.Analytics.Miscellaneous.LinearInterp(Peturbed_QZ,$K172,1,W$1),ZeroCompFreq,'PDH Calc'!$K172/365)</f>
        <v>1</v>
      </c>
      <c r="X172" s="8">
        <f ca="1">_xll.HLV5r3.Analytics.Miscellaneous.Zero2DF(_xll.HLV5r3.Analytics.Miscellaneous.LinearInterp(Peturbed_QZ,$K172,1,X$1),ZeroCompFreq,'PDH Calc'!$K172/365)</f>
        <v>1</v>
      </c>
      <c r="Y172" s="8">
        <f ca="1">_xll.HLV5r3.Analytics.Miscellaneous.Zero2DF(_xll.HLV5r3.Analytics.Miscellaneous.LinearInterp(Peturbed_QZ,$K172,1,Y$1),ZeroCompFreq,'PDH Calc'!$K172/365)</f>
        <v>1</v>
      </c>
      <c r="Z172" s="8">
        <f ca="1">_xll.HLV5r3.Analytics.Miscellaneous.Zero2DF(_xll.HLV5r3.Analytics.Miscellaneous.LinearInterp(Peturbed_QZ,$K172,1,Z$1),ZeroCompFreq,'PDH Calc'!$K172/365)</f>
        <v>1</v>
      </c>
      <c r="AA172" s="8">
        <f ca="1">_xll.HLV5r3.Analytics.Miscellaneous.Zero2DF(_xll.HLV5r3.Analytics.Miscellaneous.LinearInterp(Peturbed_QZ,$K172,1,AA$1),ZeroCompFreq,'PDH Calc'!$K172/365)</f>
        <v>1</v>
      </c>
      <c r="AB172" s="8">
        <f ca="1">_xll.HLV5r3.Analytics.Miscellaneous.Zero2DF(_xll.HLV5r3.Analytics.Miscellaneous.LinearInterp(Peturbed_QZ,$K172,1,AB$1),ZeroCompFreq,'PDH Calc'!$K172/365)</f>
        <v>1</v>
      </c>
      <c r="AC172" s="8">
        <f ca="1">_xll.HLV5r3.Analytics.Miscellaneous.Zero2DF(_xll.HLV5r3.Analytics.Miscellaneous.LinearInterp(Peturbed_QZ,$K172,1,AC$1),ZeroCompFreq,'PDH Calc'!$K172/365)</f>
        <v>1</v>
      </c>
      <c r="AD172" s="8">
        <f ca="1">_xll.HLV5r3.Analytics.Miscellaneous.Zero2DF(_xll.HLV5r3.Analytics.Miscellaneous.LinearInterp(Peturbed_QZ,$K172,1,AD$1),ZeroCompFreq,'PDH Calc'!$K172/365)</f>
        <v>1</v>
      </c>
      <c r="AE172" s="8">
        <f ca="1">_xll.HLV5r3.Analytics.Miscellaneous.Zero2DF(_xll.HLV5r3.Analytics.Miscellaneous.LinearInterp(Peturbed_QZ,$K172,1,AE$1),ZeroCompFreq,'PDH Calc'!$K172/365)</f>
        <v>1</v>
      </c>
      <c r="AF172" s="8">
        <f ca="1">_xll.HLV5r3.Analytics.Miscellaneous.Zero2DF(_xll.HLV5r3.Analytics.Miscellaneous.LinearInterp(Peturbed_QZ,$K172,1,AF$1),ZeroCompFreq,'PDH Calc'!$K172/365)</f>
        <v>1</v>
      </c>
      <c r="AG172" s="8">
        <f ca="1">_xll.HLV5r3.Analytics.Miscellaneous.Zero2DF(_xll.HLV5r3.Analytics.Miscellaneous.LinearInterp(Peturbed_QZ,$K172,1,AG$1),ZeroCompFreq,'PDH Calc'!$K172/365)</f>
        <v>1</v>
      </c>
      <c r="AH172" s="8">
        <f ca="1">_xll.HLV5r3.Analytics.Miscellaneous.Zero2DF(_xll.HLV5r3.Analytics.Miscellaneous.LinearInterp(Peturbed_QZ,$K172,1,AH$1),ZeroCompFreq,'PDH Calc'!$K172/365)</f>
        <v>1</v>
      </c>
      <c r="AI172" s="8">
        <f ca="1">_xll.HLV5r3.Analytics.Miscellaneous.Zero2DF(_xll.HLV5r3.Analytics.Miscellaneous.LinearInterp(Peturbed_QZ,$K172,1,AI$1),ZeroCompFreq,'PDH Calc'!$K172/365)</f>
        <v>1</v>
      </c>
      <c r="AJ172" s="8">
        <f ca="1">_xll.HLV5r3.Analytics.Miscellaneous.Zero2DF(_xll.HLV5r3.Analytics.Miscellaneous.LinearInterp(Peturbed_QZ,$K172,1,AJ$1),ZeroCompFreq,'PDH Calc'!$K172/365)</f>
        <v>1</v>
      </c>
      <c r="AK172" s="8">
        <f ca="1">_xll.HLV5r3.Analytics.Miscellaneous.Zero2DF(_xll.HLV5r3.Analytics.Miscellaneous.LinearInterp(Peturbed_QZ,$K172,1,AK$1),ZeroCompFreq,'PDH Calc'!$K172/365)</f>
        <v>1</v>
      </c>
    </row>
    <row r="173" spans="1:37">
      <c r="A173" s="4"/>
      <c r="B173" s="6"/>
      <c r="F173" s="11"/>
      <c r="G173" s="6"/>
      <c r="H173" s="20"/>
      <c r="I173" s="21"/>
      <c r="J173" s="26"/>
      <c r="K173" s="6">
        <f t="shared" ca="1" si="9"/>
        <v>0</v>
      </c>
      <c r="L173" s="8">
        <f ca="1">_xll.HLV5r3.Analytics.Miscellaneous.Zero2DF(_xll.HLV5r3.Analytics.Miscellaneous.LinearInterp(Peturbed_QZ,$K173,1,L$1),ZeroCompFreq,'PDH Calc'!$K173/365)</f>
        <v>1</v>
      </c>
      <c r="M173" s="8">
        <f ca="1">_xll.HLV5r3.Analytics.Miscellaneous.Zero2DF(_xll.HLV5r3.Analytics.Miscellaneous.LinearInterp(Peturbed_QZ,$K173,1,M$1),ZeroCompFreq,'PDH Calc'!$K173/365)</f>
        <v>1</v>
      </c>
      <c r="N173" s="8">
        <f ca="1">_xll.HLV5r3.Analytics.Miscellaneous.Zero2DF(_xll.HLV5r3.Analytics.Miscellaneous.LinearInterp(Peturbed_QZ,$K173,1,N$1),ZeroCompFreq,'PDH Calc'!$K173/365)</f>
        <v>1</v>
      </c>
      <c r="O173" s="8">
        <f ca="1">_xll.HLV5r3.Analytics.Miscellaneous.Zero2DF(_xll.HLV5r3.Analytics.Miscellaneous.LinearInterp(Peturbed_QZ,$K173,1,O$1),ZeroCompFreq,'PDH Calc'!$K173/365)</f>
        <v>1</v>
      </c>
      <c r="P173" s="8">
        <f ca="1">_xll.HLV5r3.Analytics.Miscellaneous.Zero2DF(_xll.HLV5r3.Analytics.Miscellaneous.LinearInterp(Peturbed_QZ,$K173,1,P$1),ZeroCompFreq,'PDH Calc'!$K173/365)</f>
        <v>1</v>
      </c>
      <c r="Q173" s="8">
        <f ca="1">_xll.HLV5r3.Analytics.Miscellaneous.Zero2DF(_xll.HLV5r3.Analytics.Miscellaneous.LinearInterp(Peturbed_QZ,$K173,1,Q$1),ZeroCompFreq,'PDH Calc'!$K173/365)</f>
        <v>1</v>
      </c>
      <c r="R173" s="8">
        <f ca="1">_xll.HLV5r3.Analytics.Miscellaneous.Zero2DF(_xll.HLV5r3.Analytics.Miscellaneous.LinearInterp(Peturbed_QZ,$K173,1,R$1),ZeroCompFreq,'PDH Calc'!$K173/365)</f>
        <v>1</v>
      </c>
      <c r="S173" s="8">
        <f ca="1">_xll.HLV5r3.Analytics.Miscellaneous.Zero2DF(_xll.HLV5r3.Analytics.Miscellaneous.LinearInterp(Peturbed_QZ,$K173,1,S$1),ZeroCompFreq,'PDH Calc'!$K173/365)</f>
        <v>1</v>
      </c>
      <c r="T173" s="8">
        <f ca="1">_xll.HLV5r3.Analytics.Miscellaneous.Zero2DF(_xll.HLV5r3.Analytics.Miscellaneous.LinearInterp(Peturbed_QZ,$K173,1,T$1),ZeroCompFreq,'PDH Calc'!$K173/365)</f>
        <v>1</v>
      </c>
      <c r="U173" s="8">
        <f ca="1">_xll.HLV5r3.Analytics.Miscellaneous.Zero2DF(_xll.HLV5r3.Analytics.Miscellaneous.LinearInterp(Peturbed_QZ,$K173,1,U$1),ZeroCompFreq,'PDH Calc'!$K173/365)</f>
        <v>1</v>
      </c>
      <c r="V173" s="8">
        <f ca="1">_xll.HLV5r3.Analytics.Miscellaneous.Zero2DF(_xll.HLV5r3.Analytics.Miscellaneous.LinearInterp(Peturbed_QZ,$K173,1,V$1),ZeroCompFreq,'PDH Calc'!$K173/365)</f>
        <v>1</v>
      </c>
      <c r="W173" s="8">
        <f ca="1">_xll.HLV5r3.Analytics.Miscellaneous.Zero2DF(_xll.HLV5r3.Analytics.Miscellaneous.LinearInterp(Peturbed_QZ,$K173,1,W$1),ZeroCompFreq,'PDH Calc'!$K173/365)</f>
        <v>1</v>
      </c>
      <c r="X173" s="8">
        <f ca="1">_xll.HLV5r3.Analytics.Miscellaneous.Zero2DF(_xll.HLV5r3.Analytics.Miscellaneous.LinearInterp(Peturbed_QZ,$K173,1,X$1),ZeroCompFreq,'PDH Calc'!$K173/365)</f>
        <v>1</v>
      </c>
      <c r="Y173" s="8">
        <f ca="1">_xll.HLV5r3.Analytics.Miscellaneous.Zero2DF(_xll.HLV5r3.Analytics.Miscellaneous.LinearInterp(Peturbed_QZ,$K173,1,Y$1),ZeroCompFreq,'PDH Calc'!$K173/365)</f>
        <v>1</v>
      </c>
      <c r="Z173" s="8">
        <f ca="1">_xll.HLV5r3.Analytics.Miscellaneous.Zero2DF(_xll.HLV5r3.Analytics.Miscellaneous.LinearInterp(Peturbed_QZ,$K173,1,Z$1),ZeroCompFreq,'PDH Calc'!$K173/365)</f>
        <v>1</v>
      </c>
      <c r="AA173" s="8">
        <f ca="1">_xll.HLV5r3.Analytics.Miscellaneous.Zero2DF(_xll.HLV5r3.Analytics.Miscellaneous.LinearInterp(Peturbed_QZ,$K173,1,AA$1),ZeroCompFreq,'PDH Calc'!$K173/365)</f>
        <v>1</v>
      </c>
      <c r="AB173" s="8">
        <f ca="1">_xll.HLV5r3.Analytics.Miscellaneous.Zero2DF(_xll.HLV5r3.Analytics.Miscellaneous.LinearInterp(Peturbed_QZ,$K173,1,AB$1),ZeroCompFreq,'PDH Calc'!$K173/365)</f>
        <v>1</v>
      </c>
      <c r="AC173" s="8">
        <f ca="1">_xll.HLV5r3.Analytics.Miscellaneous.Zero2DF(_xll.HLV5r3.Analytics.Miscellaneous.LinearInterp(Peturbed_QZ,$K173,1,AC$1),ZeroCompFreq,'PDH Calc'!$K173/365)</f>
        <v>1</v>
      </c>
      <c r="AD173" s="8">
        <f ca="1">_xll.HLV5r3.Analytics.Miscellaneous.Zero2DF(_xll.HLV5r3.Analytics.Miscellaneous.LinearInterp(Peturbed_QZ,$K173,1,AD$1),ZeroCompFreq,'PDH Calc'!$K173/365)</f>
        <v>1</v>
      </c>
      <c r="AE173" s="8">
        <f ca="1">_xll.HLV5r3.Analytics.Miscellaneous.Zero2DF(_xll.HLV5r3.Analytics.Miscellaneous.LinearInterp(Peturbed_QZ,$K173,1,AE$1),ZeroCompFreq,'PDH Calc'!$K173/365)</f>
        <v>1</v>
      </c>
      <c r="AF173" s="8">
        <f ca="1">_xll.HLV5r3.Analytics.Miscellaneous.Zero2DF(_xll.HLV5r3.Analytics.Miscellaneous.LinearInterp(Peturbed_QZ,$K173,1,AF$1),ZeroCompFreq,'PDH Calc'!$K173/365)</f>
        <v>1</v>
      </c>
      <c r="AG173" s="8">
        <f ca="1">_xll.HLV5r3.Analytics.Miscellaneous.Zero2DF(_xll.HLV5r3.Analytics.Miscellaneous.LinearInterp(Peturbed_QZ,$K173,1,AG$1),ZeroCompFreq,'PDH Calc'!$K173/365)</f>
        <v>1</v>
      </c>
      <c r="AH173" s="8">
        <f ca="1">_xll.HLV5r3.Analytics.Miscellaneous.Zero2DF(_xll.HLV5r3.Analytics.Miscellaneous.LinearInterp(Peturbed_QZ,$K173,1,AH$1),ZeroCompFreq,'PDH Calc'!$K173/365)</f>
        <v>1</v>
      </c>
      <c r="AI173" s="8">
        <f ca="1">_xll.HLV5r3.Analytics.Miscellaneous.Zero2DF(_xll.HLV5r3.Analytics.Miscellaneous.LinearInterp(Peturbed_QZ,$K173,1,AI$1),ZeroCompFreq,'PDH Calc'!$K173/365)</f>
        <v>1</v>
      </c>
      <c r="AJ173" s="8">
        <f ca="1">_xll.HLV5r3.Analytics.Miscellaneous.Zero2DF(_xll.HLV5r3.Analytics.Miscellaneous.LinearInterp(Peturbed_QZ,$K173,1,AJ$1),ZeroCompFreq,'PDH Calc'!$K173/365)</f>
        <v>1</v>
      </c>
      <c r="AK173" s="8">
        <f ca="1">_xll.HLV5r3.Analytics.Miscellaneous.Zero2DF(_xll.HLV5r3.Analytics.Miscellaneous.LinearInterp(Peturbed_QZ,$K173,1,AK$1),ZeroCompFreq,'PDH Calc'!$K173/365)</f>
        <v>1</v>
      </c>
    </row>
    <row r="174" spans="1:37">
      <c r="A174" s="4"/>
      <c r="B174" s="6"/>
      <c r="F174" s="11"/>
      <c r="G174" s="6"/>
      <c r="H174" s="20"/>
      <c r="I174" s="21"/>
      <c r="J174" s="26"/>
      <c r="K174" s="6">
        <f t="shared" ca="1" si="9"/>
        <v>0</v>
      </c>
      <c r="L174" s="8">
        <f ca="1">_xll.HLV5r3.Analytics.Miscellaneous.Zero2DF(_xll.HLV5r3.Analytics.Miscellaneous.LinearInterp(Peturbed_QZ,$K174,1,L$1),ZeroCompFreq,'PDH Calc'!$K174/365)</f>
        <v>1</v>
      </c>
      <c r="M174" s="8">
        <f ca="1">_xll.HLV5r3.Analytics.Miscellaneous.Zero2DF(_xll.HLV5r3.Analytics.Miscellaneous.LinearInterp(Peturbed_QZ,$K174,1,M$1),ZeroCompFreq,'PDH Calc'!$K174/365)</f>
        <v>1</v>
      </c>
      <c r="N174" s="8">
        <f ca="1">_xll.HLV5r3.Analytics.Miscellaneous.Zero2DF(_xll.HLV5r3.Analytics.Miscellaneous.LinearInterp(Peturbed_QZ,$K174,1,N$1),ZeroCompFreq,'PDH Calc'!$K174/365)</f>
        <v>1</v>
      </c>
      <c r="O174" s="8">
        <f ca="1">_xll.HLV5r3.Analytics.Miscellaneous.Zero2DF(_xll.HLV5r3.Analytics.Miscellaneous.LinearInterp(Peturbed_QZ,$K174,1,O$1),ZeroCompFreq,'PDH Calc'!$K174/365)</f>
        <v>1</v>
      </c>
      <c r="P174" s="8">
        <f ca="1">_xll.HLV5r3.Analytics.Miscellaneous.Zero2DF(_xll.HLV5r3.Analytics.Miscellaneous.LinearInterp(Peturbed_QZ,$K174,1,P$1),ZeroCompFreq,'PDH Calc'!$K174/365)</f>
        <v>1</v>
      </c>
      <c r="Q174" s="8">
        <f ca="1">_xll.HLV5r3.Analytics.Miscellaneous.Zero2DF(_xll.HLV5r3.Analytics.Miscellaneous.LinearInterp(Peturbed_QZ,$K174,1,Q$1),ZeroCompFreq,'PDH Calc'!$K174/365)</f>
        <v>1</v>
      </c>
      <c r="R174" s="8">
        <f ca="1">_xll.HLV5r3.Analytics.Miscellaneous.Zero2DF(_xll.HLV5r3.Analytics.Miscellaneous.LinearInterp(Peturbed_QZ,$K174,1,R$1),ZeroCompFreq,'PDH Calc'!$K174/365)</f>
        <v>1</v>
      </c>
      <c r="S174" s="8">
        <f ca="1">_xll.HLV5r3.Analytics.Miscellaneous.Zero2DF(_xll.HLV5r3.Analytics.Miscellaneous.LinearInterp(Peturbed_QZ,$K174,1,S$1),ZeroCompFreq,'PDH Calc'!$K174/365)</f>
        <v>1</v>
      </c>
      <c r="T174" s="8">
        <f ca="1">_xll.HLV5r3.Analytics.Miscellaneous.Zero2DF(_xll.HLV5r3.Analytics.Miscellaneous.LinearInterp(Peturbed_QZ,$K174,1,T$1),ZeroCompFreq,'PDH Calc'!$K174/365)</f>
        <v>1</v>
      </c>
      <c r="U174" s="8">
        <f ca="1">_xll.HLV5r3.Analytics.Miscellaneous.Zero2DF(_xll.HLV5r3.Analytics.Miscellaneous.LinearInterp(Peturbed_QZ,$K174,1,U$1),ZeroCompFreq,'PDH Calc'!$K174/365)</f>
        <v>1</v>
      </c>
      <c r="V174" s="8">
        <f ca="1">_xll.HLV5r3.Analytics.Miscellaneous.Zero2DF(_xll.HLV5r3.Analytics.Miscellaneous.LinearInterp(Peturbed_QZ,$K174,1,V$1),ZeroCompFreq,'PDH Calc'!$K174/365)</f>
        <v>1</v>
      </c>
      <c r="W174" s="8">
        <f ca="1">_xll.HLV5r3.Analytics.Miscellaneous.Zero2DF(_xll.HLV5r3.Analytics.Miscellaneous.LinearInterp(Peturbed_QZ,$K174,1,W$1),ZeroCompFreq,'PDH Calc'!$K174/365)</f>
        <v>1</v>
      </c>
      <c r="X174" s="8">
        <f ca="1">_xll.HLV5r3.Analytics.Miscellaneous.Zero2DF(_xll.HLV5r3.Analytics.Miscellaneous.LinearInterp(Peturbed_QZ,$K174,1,X$1),ZeroCompFreq,'PDH Calc'!$K174/365)</f>
        <v>1</v>
      </c>
      <c r="Y174" s="8">
        <f ca="1">_xll.HLV5r3.Analytics.Miscellaneous.Zero2DF(_xll.HLV5r3.Analytics.Miscellaneous.LinearInterp(Peturbed_QZ,$K174,1,Y$1),ZeroCompFreq,'PDH Calc'!$K174/365)</f>
        <v>1</v>
      </c>
      <c r="Z174" s="8">
        <f ca="1">_xll.HLV5r3.Analytics.Miscellaneous.Zero2DF(_xll.HLV5r3.Analytics.Miscellaneous.LinearInterp(Peturbed_QZ,$K174,1,Z$1),ZeroCompFreq,'PDH Calc'!$K174/365)</f>
        <v>1</v>
      </c>
      <c r="AA174" s="8">
        <f ca="1">_xll.HLV5r3.Analytics.Miscellaneous.Zero2DF(_xll.HLV5r3.Analytics.Miscellaneous.LinearInterp(Peturbed_QZ,$K174,1,AA$1),ZeroCompFreq,'PDH Calc'!$K174/365)</f>
        <v>1</v>
      </c>
      <c r="AB174" s="8">
        <f ca="1">_xll.HLV5r3.Analytics.Miscellaneous.Zero2DF(_xll.HLV5r3.Analytics.Miscellaneous.LinearInterp(Peturbed_QZ,$K174,1,AB$1),ZeroCompFreq,'PDH Calc'!$K174/365)</f>
        <v>1</v>
      </c>
      <c r="AC174" s="8">
        <f ca="1">_xll.HLV5r3.Analytics.Miscellaneous.Zero2DF(_xll.HLV5r3.Analytics.Miscellaneous.LinearInterp(Peturbed_QZ,$K174,1,AC$1),ZeroCompFreq,'PDH Calc'!$K174/365)</f>
        <v>1</v>
      </c>
      <c r="AD174" s="8">
        <f ca="1">_xll.HLV5r3.Analytics.Miscellaneous.Zero2DF(_xll.HLV5r3.Analytics.Miscellaneous.LinearInterp(Peturbed_QZ,$K174,1,AD$1),ZeroCompFreq,'PDH Calc'!$K174/365)</f>
        <v>1</v>
      </c>
      <c r="AE174" s="8">
        <f ca="1">_xll.HLV5r3.Analytics.Miscellaneous.Zero2DF(_xll.HLV5r3.Analytics.Miscellaneous.LinearInterp(Peturbed_QZ,$K174,1,AE$1),ZeroCompFreq,'PDH Calc'!$K174/365)</f>
        <v>1</v>
      </c>
      <c r="AF174" s="8">
        <f ca="1">_xll.HLV5r3.Analytics.Miscellaneous.Zero2DF(_xll.HLV5r3.Analytics.Miscellaneous.LinearInterp(Peturbed_QZ,$K174,1,AF$1),ZeroCompFreq,'PDH Calc'!$K174/365)</f>
        <v>1</v>
      </c>
      <c r="AG174" s="8">
        <f ca="1">_xll.HLV5r3.Analytics.Miscellaneous.Zero2DF(_xll.HLV5r3.Analytics.Miscellaneous.LinearInterp(Peturbed_QZ,$K174,1,AG$1),ZeroCompFreq,'PDH Calc'!$K174/365)</f>
        <v>1</v>
      </c>
      <c r="AH174" s="8">
        <f ca="1">_xll.HLV5r3.Analytics.Miscellaneous.Zero2DF(_xll.HLV5r3.Analytics.Miscellaneous.LinearInterp(Peturbed_QZ,$K174,1,AH$1),ZeroCompFreq,'PDH Calc'!$K174/365)</f>
        <v>1</v>
      </c>
      <c r="AI174" s="8">
        <f ca="1">_xll.HLV5r3.Analytics.Miscellaneous.Zero2DF(_xll.HLV5r3.Analytics.Miscellaneous.LinearInterp(Peturbed_QZ,$K174,1,AI$1),ZeroCompFreq,'PDH Calc'!$K174/365)</f>
        <v>1</v>
      </c>
      <c r="AJ174" s="8">
        <f ca="1">_xll.HLV5r3.Analytics.Miscellaneous.Zero2DF(_xll.HLV5r3.Analytics.Miscellaneous.LinearInterp(Peturbed_QZ,$K174,1,AJ$1),ZeroCompFreq,'PDH Calc'!$K174/365)</f>
        <v>1</v>
      </c>
      <c r="AK174" s="8">
        <f ca="1">_xll.HLV5r3.Analytics.Miscellaneous.Zero2DF(_xll.HLV5r3.Analytics.Miscellaneous.LinearInterp(Peturbed_QZ,$K174,1,AK$1),ZeroCompFreq,'PDH Calc'!$K174/365)</f>
        <v>1</v>
      </c>
    </row>
    <row r="175" spans="1:37">
      <c r="A175" s="4"/>
      <c r="B175" s="6"/>
      <c r="F175" s="11"/>
      <c r="G175" s="6"/>
      <c r="H175" s="20"/>
      <c r="I175" s="21"/>
      <c r="J175" s="26"/>
      <c r="K175" s="6">
        <f t="shared" ca="1" si="9"/>
        <v>0</v>
      </c>
      <c r="L175" s="8">
        <f ca="1">_xll.HLV5r3.Analytics.Miscellaneous.Zero2DF(_xll.HLV5r3.Analytics.Miscellaneous.LinearInterp(Peturbed_QZ,$K175,1,L$1),ZeroCompFreq,'PDH Calc'!$K175/365)</f>
        <v>1</v>
      </c>
      <c r="M175" s="8">
        <f ca="1">_xll.HLV5r3.Analytics.Miscellaneous.Zero2DF(_xll.HLV5r3.Analytics.Miscellaneous.LinearInterp(Peturbed_QZ,$K175,1,M$1),ZeroCompFreq,'PDH Calc'!$K175/365)</f>
        <v>1</v>
      </c>
      <c r="N175" s="8">
        <f ca="1">_xll.HLV5r3.Analytics.Miscellaneous.Zero2DF(_xll.HLV5r3.Analytics.Miscellaneous.LinearInterp(Peturbed_QZ,$K175,1,N$1),ZeroCompFreq,'PDH Calc'!$K175/365)</f>
        <v>1</v>
      </c>
      <c r="O175" s="8">
        <f ca="1">_xll.HLV5r3.Analytics.Miscellaneous.Zero2DF(_xll.HLV5r3.Analytics.Miscellaneous.LinearInterp(Peturbed_QZ,$K175,1,O$1),ZeroCompFreq,'PDH Calc'!$K175/365)</f>
        <v>1</v>
      </c>
      <c r="P175" s="8">
        <f ca="1">_xll.HLV5r3.Analytics.Miscellaneous.Zero2DF(_xll.HLV5r3.Analytics.Miscellaneous.LinearInterp(Peturbed_QZ,$K175,1,P$1),ZeroCompFreq,'PDH Calc'!$K175/365)</f>
        <v>1</v>
      </c>
      <c r="Q175" s="8">
        <f ca="1">_xll.HLV5r3.Analytics.Miscellaneous.Zero2DF(_xll.HLV5r3.Analytics.Miscellaneous.LinearInterp(Peturbed_QZ,$K175,1,Q$1),ZeroCompFreq,'PDH Calc'!$K175/365)</f>
        <v>1</v>
      </c>
      <c r="R175" s="8">
        <f ca="1">_xll.HLV5r3.Analytics.Miscellaneous.Zero2DF(_xll.HLV5r3.Analytics.Miscellaneous.LinearInterp(Peturbed_QZ,$K175,1,R$1),ZeroCompFreq,'PDH Calc'!$K175/365)</f>
        <v>1</v>
      </c>
      <c r="S175" s="8">
        <f ca="1">_xll.HLV5r3.Analytics.Miscellaneous.Zero2DF(_xll.HLV5r3.Analytics.Miscellaneous.LinearInterp(Peturbed_QZ,$K175,1,S$1),ZeroCompFreq,'PDH Calc'!$K175/365)</f>
        <v>1</v>
      </c>
      <c r="T175" s="8">
        <f ca="1">_xll.HLV5r3.Analytics.Miscellaneous.Zero2DF(_xll.HLV5r3.Analytics.Miscellaneous.LinearInterp(Peturbed_QZ,$K175,1,T$1),ZeroCompFreq,'PDH Calc'!$K175/365)</f>
        <v>1</v>
      </c>
      <c r="U175" s="8">
        <f ca="1">_xll.HLV5r3.Analytics.Miscellaneous.Zero2DF(_xll.HLV5r3.Analytics.Miscellaneous.LinearInterp(Peturbed_QZ,$K175,1,U$1),ZeroCompFreq,'PDH Calc'!$K175/365)</f>
        <v>1</v>
      </c>
      <c r="V175" s="8">
        <f ca="1">_xll.HLV5r3.Analytics.Miscellaneous.Zero2DF(_xll.HLV5r3.Analytics.Miscellaneous.LinearInterp(Peturbed_QZ,$K175,1,V$1),ZeroCompFreq,'PDH Calc'!$K175/365)</f>
        <v>1</v>
      </c>
      <c r="W175" s="8">
        <f ca="1">_xll.HLV5r3.Analytics.Miscellaneous.Zero2DF(_xll.HLV5r3.Analytics.Miscellaneous.LinearInterp(Peturbed_QZ,$K175,1,W$1),ZeroCompFreq,'PDH Calc'!$K175/365)</f>
        <v>1</v>
      </c>
      <c r="X175" s="8">
        <f ca="1">_xll.HLV5r3.Analytics.Miscellaneous.Zero2DF(_xll.HLV5r3.Analytics.Miscellaneous.LinearInterp(Peturbed_QZ,$K175,1,X$1),ZeroCompFreq,'PDH Calc'!$K175/365)</f>
        <v>1</v>
      </c>
      <c r="Y175" s="8">
        <f ca="1">_xll.HLV5r3.Analytics.Miscellaneous.Zero2DF(_xll.HLV5r3.Analytics.Miscellaneous.LinearInterp(Peturbed_QZ,$K175,1,Y$1),ZeroCompFreq,'PDH Calc'!$K175/365)</f>
        <v>1</v>
      </c>
      <c r="Z175" s="8">
        <f ca="1">_xll.HLV5r3.Analytics.Miscellaneous.Zero2DF(_xll.HLV5r3.Analytics.Miscellaneous.LinearInterp(Peturbed_QZ,$K175,1,Z$1),ZeroCompFreq,'PDH Calc'!$K175/365)</f>
        <v>1</v>
      </c>
      <c r="AA175" s="8">
        <f ca="1">_xll.HLV5r3.Analytics.Miscellaneous.Zero2DF(_xll.HLV5r3.Analytics.Miscellaneous.LinearInterp(Peturbed_QZ,$K175,1,AA$1),ZeroCompFreq,'PDH Calc'!$K175/365)</f>
        <v>1</v>
      </c>
      <c r="AB175" s="8">
        <f ca="1">_xll.HLV5r3.Analytics.Miscellaneous.Zero2DF(_xll.HLV5r3.Analytics.Miscellaneous.LinearInterp(Peturbed_QZ,$K175,1,AB$1),ZeroCompFreq,'PDH Calc'!$K175/365)</f>
        <v>1</v>
      </c>
      <c r="AC175" s="8">
        <f ca="1">_xll.HLV5r3.Analytics.Miscellaneous.Zero2DF(_xll.HLV5r3.Analytics.Miscellaneous.LinearInterp(Peturbed_QZ,$K175,1,AC$1),ZeroCompFreq,'PDH Calc'!$K175/365)</f>
        <v>1</v>
      </c>
      <c r="AD175" s="8">
        <f ca="1">_xll.HLV5r3.Analytics.Miscellaneous.Zero2DF(_xll.HLV5r3.Analytics.Miscellaneous.LinearInterp(Peturbed_QZ,$K175,1,AD$1),ZeroCompFreq,'PDH Calc'!$K175/365)</f>
        <v>1</v>
      </c>
      <c r="AE175" s="8">
        <f ca="1">_xll.HLV5r3.Analytics.Miscellaneous.Zero2DF(_xll.HLV5r3.Analytics.Miscellaneous.LinearInterp(Peturbed_QZ,$K175,1,AE$1),ZeroCompFreq,'PDH Calc'!$K175/365)</f>
        <v>1</v>
      </c>
      <c r="AF175" s="8">
        <f ca="1">_xll.HLV5r3.Analytics.Miscellaneous.Zero2DF(_xll.HLV5r3.Analytics.Miscellaneous.LinearInterp(Peturbed_QZ,$K175,1,AF$1),ZeroCompFreq,'PDH Calc'!$K175/365)</f>
        <v>1</v>
      </c>
      <c r="AG175" s="8">
        <f ca="1">_xll.HLV5r3.Analytics.Miscellaneous.Zero2DF(_xll.HLV5r3.Analytics.Miscellaneous.LinearInterp(Peturbed_QZ,$K175,1,AG$1),ZeroCompFreq,'PDH Calc'!$K175/365)</f>
        <v>1</v>
      </c>
      <c r="AH175" s="8">
        <f ca="1">_xll.HLV5r3.Analytics.Miscellaneous.Zero2DF(_xll.HLV5r3.Analytics.Miscellaneous.LinearInterp(Peturbed_QZ,$K175,1,AH$1),ZeroCompFreq,'PDH Calc'!$K175/365)</f>
        <v>1</v>
      </c>
      <c r="AI175" s="8">
        <f ca="1">_xll.HLV5r3.Analytics.Miscellaneous.Zero2DF(_xll.HLV5r3.Analytics.Miscellaneous.LinearInterp(Peturbed_QZ,$K175,1,AI$1),ZeroCompFreq,'PDH Calc'!$K175/365)</f>
        <v>1</v>
      </c>
      <c r="AJ175" s="8">
        <f ca="1">_xll.HLV5r3.Analytics.Miscellaneous.Zero2DF(_xll.HLV5r3.Analytics.Miscellaneous.LinearInterp(Peturbed_QZ,$K175,1,AJ$1),ZeroCompFreq,'PDH Calc'!$K175/365)</f>
        <v>1</v>
      </c>
      <c r="AK175" s="8">
        <f ca="1">_xll.HLV5r3.Analytics.Miscellaneous.Zero2DF(_xll.HLV5r3.Analytics.Miscellaneous.LinearInterp(Peturbed_QZ,$K175,1,AK$1),ZeroCompFreq,'PDH Calc'!$K175/365)</f>
        <v>1</v>
      </c>
    </row>
    <row r="176" spans="1:37">
      <c r="A176" s="4"/>
      <c r="B176" s="6"/>
      <c r="F176" s="11"/>
      <c r="G176" s="6"/>
      <c r="H176" s="20"/>
      <c r="I176" s="21"/>
      <c r="J176" s="26"/>
      <c r="K176" s="6">
        <f t="shared" ca="1" si="9"/>
        <v>0</v>
      </c>
      <c r="L176" s="8">
        <f ca="1">_xll.HLV5r3.Analytics.Miscellaneous.Zero2DF(_xll.HLV5r3.Analytics.Miscellaneous.LinearInterp(Peturbed_QZ,$K176,1,L$1),ZeroCompFreq,'PDH Calc'!$K176/365)</f>
        <v>1</v>
      </c>
      <c r="M176" s="8">
        <f ca="1">_xll.HLV5r3.Analytics.Miscellaneous.Zero2DF(_xll.HLV5r3.Analytics.Miscellaneous.LinearInterp(Peturbed_QZ,$K176,1,M$1),ZeroCompFreq,'PDH Calc'!$K176/365)</f>
        <v>1</v>
      </c>
      <c r="N176" s="8">
        <f ca="1">_xll.HLV5r3.Analytics.Miscellaneous.Zero2DF(_xll.HLV5r3.Analytics.Miscellaneous.LinearInterp(Peturbed_QZ,$K176,1,N$1),ZeroCompFreq,'PDH Calc'!$K176/365)</f>
        <v>1</v>
      </c>
      <c r="O176" s="8">
        <f ca="1">_xll.HLV5r3.Analytics.Miscellaneous.Zero2DF(_xll.HLV5r3.Analytics.Miscellaneous.LinearInterp(Peturbed_QZ,$K176,1,O$1),ZeroCompFreq,'PDH Calc'!$K176/365)</f>
        <v>1</v>
      </c>
      <c r="P176" s="8">
        <f ca="1">_xll.HLV5r3.Analytics.Miscellaneous.Zero2DF(_xll.HLV5r3.Analytics.Miscellaneous.LinearInterp(Peturbed_QZ,$K176,1,P$1),ZeroCompFreq,'PDH Calc'!$K176/365)</f>
        <v>1</v>
      </c>
      <c r="Q176" s="8">
        <f ca="1">_xll.HLV5r3.Analytics.Miscellaneous.Zero2DF(_xll.HLV5r3.Analytics.Miscellaneous.LinearInterp(Peturbed_QZ,$K176,1,Q$1),ZeroCompFreq,'PDH Calc'!$K176/365)</f>
        <v>1</v>
      </c>
      <c r="R176" s="8">
        <f ca="1">_xll.HLV5r3.Analytics.Miscellaneous.Zero2DF(_xll.HLV5r3.Analytics.Miscellaneous.LinearInterp(Peturbed_QZ,$K176,1,R$1),ZeroCompFreq,'PDH Calc'!$K176/365)</f>
        <v>1</v>
      </c>
      <c r="S176" s="8">
        <f ca="1">_xll.HLV5r3.Analytics.Miscellaneous.Zero2DF(_xll.HLV5r3.Analytics.Miscellaneous.LinearInterp(Peturbed_QZ,$K176,1,S$1),ZeroCompFreq,'PDH Calc'!$K176/365)</f>
        <v>1</v>
      </c>
      <c r="T176" s="8">
        <f ca="1">_xll.HLV5r3.Analytics.Miscellaneous.Zero2DF(_xll.HLV5r3.Analytics.Miscellaneous.LinearInterp(Peturbed_QZ,$K176,1,T$1),ZeroCompFreq,'PDH Calc'!$K176/365)</f>
        <v>1</v>
      </c>
      <c r="U176" s="8">
        <f ca="1">_xll.HLV5r3.Analytics.Miscellaneous.Zero2DF(_xll.HLV5r3.Analytics.Miscellaneous.LinearInterp(Peturbed_QZ,$K176,1,U$1),ZeroCompFreq,'PDH Calc'!$K176/365)</f>
        <v>1</v>
      </c>
      <c r="V176" s="8">
        <f ca="1">_xll.HLV5r3.Analytics.Miscellaneous.Zero2DF(_xll.HLV5r3.Analytics.Miscellaneous.LinearInterp(Peturbed_QZ,$K176,1,V$1),ZeroCompFreq,'PDH Calc'!$K176/365)</f>
        <v>1</v>
      </c>
      <c r="W176" s="8">
        <f ca="1">_xll.HLV5r3.Analytics.Miscellaneous.Zero2DF(_xll.HLV5r3.Analytics.Miscellaneous.LinearInterp(Peturbed_QZ,$K176,1,W$1),ZeroCompFreq,'PDH Calc'!$K176/365)</f>
        <v>1</v>
      </c>
      <c r="X176" s="8">
        <f ca="1">_xll.HLV5r3.Analytics.Miscellaneous.Zero2DF(_xll.HLV5r3.Analytics.Miscellaneous.LinearInterp(Peturbed_QZ,$K176,1,X$1),ZeroCompFreq,'PDH Calc'!$K176/365)</f>
        <v>1</v>
      </c>
      <c r="Y176" s="8">
        <f ca="1">_xll.HLV5r3.Analytics.Miscellaneous.Zero2DF(_xll.HLV5r3.Analytics.Miscellaneous.LinearInterp(Peturbed_QZ,$K176,1,Y$1),ZeroCompFreq,'PDH Calc'!$K176/365)</f>
        <v>1</v>
      </c>
      <c r="Z176" s="8">
        <f ca="1">_xll.HLV5r3.Analytics.Miscellaneous.Zero2DF(_xll.HLV5r3.Analytics.Miscellaneous.LinearInterp(Peturbed_QZ,$K176,1,Z$1),ZeroCompFreq,'PDH Calc'!$K176/365)</f>
        <v>1</v>
      </c>
      <c r="AA176" s="8">
        <f ca="1">_xll.HLV5r3.Analytics.Miscellaneous.Zero2DF(_xll.HLV5r3.Analytics.Miscellaneous.LinearInterp(Peturbed_QZ,$K176,1,AA$1),ZeroCompFreq,'PDH Calc'!$K176/365)</f>
        <v>1</v>
      </c>
      <c r="AB176" s="8">
        <f ca="1">_xll.HLV5r3.Analytics.Miscellaneous.Zero2DF(_xll.HLV5r3.Analytics.Miscellaneous.LinearInterp(Peturbed_QZ,$K176,1,AB$1),ZeroCompFreq,'PDH Calc'!$K176/365)</f>
        <v>1</v>
      </c>
      <c r="AC176" s="8">
        <f ca="1">_xll.HLV5r3.Analytics.Miscellaneous.Zero2DF(_xll.HLV5r3.Analytics.Miscellaneous.LinearInterp(Peturbed_QZ,$K176,1,AC$1),ZeroCompFreq,'PDH Calc'!$K176/365)</f>
        <v>1</v>
      </c>
      <c r="AD176" s="8">
        <f ca="1">_xll.HLV5r3.Analytics.Miscellaneous.Zero2DF(_xll.HLV5r3.Analytics.Miscellaneous.LinearInterp(Peturbed_QZ,$K176,1,AD$1),ZeroCompFreq,'PDH Calc'!$K176/365)</f>
        <v>1</v>
      </c>
      <c r="AE176" s="8">
        <f ca="1">_xll.HLV5r3.Analytics.Miscellaneous.Zero2DF(_xll.HLV5r3.Analytics.Miscellaneous.LinearInterp(Peturbed_QZ,$K176,1,AE$1),ZeroCompFreq,'PDH Calc'!$K176/365)</f>
        <v>1</v>
      </c>
      <c r="AF176" s="8">
        <f ca="1">_xll.HLV5r3.Analytics.Miscellaneous.Zero2DF(_xll.HLV5r3.Analytics.Miscellaneous.LinearInterp(Peturbed_QZ,$K176,1,AF$1),ZeroCompFreq,'PDH Calc'!$K176/365)</f>
        <v>1</v>
      </c>
      <c r="AG176" s="8">
        <f ca="1">_xll.HLV5r3.Analytics.Miscellaneous.Zero2DF(_xll.HLV5r3.Analytics.Miscellaneous.LinearInterp(Peturbed_QZ,$K176,1,AG$1),ZeroCompFreq,'PDH Calc'!$K176/365)</f>
        <v>1</v>
      </c>
      <c r="AH176" s="8">
        <f ca="1">_xll.HLV5r3.Analytics.Miscellaneous.Zero2DF(_xll.HLV5r3.Analytics.Miscellaneous.LinearInterp(Peturbed_QZ,$K176,1,AH$1),ZeroCompFreq,'PDH Calc'!$K176/365)</f>
        <v>1</v>
      </c>
      <c r="AI176" s="8">
        <f ca="1">_xll.HLV5r3.Analytics.Miscellaneous.Zero2DF(_xll.HLV5r3.Analytics.Miscellaneous.LinearInterp(Peturbed_QZ,$K176,1,AI$1),ZeroCompFreq,'PDH Calc'!$K176/365)</f>
        <v>1</v>
      </c>
      <c r="AJ176" s="8">
        <f ca="1">_xll.HLV5r3.Analytics.Miscellaneous.Zero2DF(_xll.HLV5r3.Analytics.Miscellaneous.LinearInterp(Peturbed_QZ,$K176,1,AJ$1),ZeroCompFreq,'PDH Calc'!$K176/365)</f>
        <v>1</v>
      </c>
      <c r="AK176" s="8">
        <f ca="1">_xll.HLV5r3.Analytics.Miscellaneous.Zero2DF(_xll.HLV5r3.Analytics.Miscellaneous.LinearInterp(Peturbed_QZ,$K176,1,AK$1),ZeroCompFreq,'PDH Calc'!$K176/365)</f>
        <v>1</v>
      </c>
    </row>
    <row r="177" spans="1:37">
      <c r="A177" s="4"/>
      <c r="B177" s="6"/>
      <c r="F177" s="11"/>
      <c r="G177" s="6"/>
      <c r="H177" s="20"/>
      <c r="I177" s="21"/>
      <c r="J177" s="26"/>
      <c r="K177" s="6">
        <f t="shared" ca="1" si="9"/>
        <v>0</v>
      </c>
      <c r="L177" s="8">
        <f ca="1">_xll.HLV5r3.Analytics.Miscellaneous.Zero2DF(_xll.HLV5r3.Analytics.Miscellaneous.LinearInterp(Peturbed_QZ,$K177,1,L$1),ZeroCompFreq,'PDH Calc'!$K177/365)</f>
        <v>1</v>
      </c>
      <c r="M177" s="8">
        <f ca="1">_xll.HLV5r3.Analytics.Miscellaneous.Zero2DF(_xll.HLV5r3.Analytics.Miscellaneous.LinearInterp(Peturbed_QZ,$K177,1,M$1),ZeroCompFreq,'PDH Calc'!$K177/365)</f>
        <v>1</v>
      </c>
      <c r="N177" s="8">
        <f ca="1">_xll.HLV5r3.Analytics.Miscellaneous.Zero2DF(_xll.HLV5r3.Analytics.Miscellaneous.LinearInterp(Peturbed_QZ,$K177,1,N$1),ZeroCompFreq,'PDH Calc'!$K177/365)</f>
        <v>1</v>
      </c>
      <c r="O177" s="8">
        <f ca="1">_xll.HLV5r3.Analytics.Miscellaneous.Zero2DF(_xll.HLV5r3.Analytics.Miscellaneous.LinearInterp(Peturbed_QZ,$K177,1,O$1),ZeroCompFreq,'PDH Calc'!$K177/365)</f>
        <v>1</v>
      </c>
      <c r="P177" s="8">
        <f ca="1">_xll.HLV5r3.Analytics.Miscellaneous.Zero2DF(_xll.HLV5r3.Analytics.Miscellaneous.LinearInterp(Peturbed_QZ,$K177,1,P$1),ZeroCompFreq,'PDH Calc'!$K177/365)</f>
        <v>1</v>
      </c>
      <c r="Q177" s="8">
        <f ca="1">_xll.HLV5r3.Analytics.Miscellaneous.Zero2DF(_xll.HLV5r3.Analytics.Miscellaneous.LinearInterp(Peturbed_QZ,$K177,1,Q$1),ZeroCompFreq,'PDH Calc'!$K177/365)</f>
        <v>1</v>
      </c>
      <c r="R177" s="8">
        <f ca="1">_xll.HLV5r3.Analytics.Miscellaneous.Zero2DF(_xll.HLV5r3.Analytics.Miscellaneous.LinearInterp(Peturbed_QZ,$K177,1,R$1),ZeroCompFreq,'PDH Calc'!$K177/365)</f>
        <v>1</v>
      </c>
      <c r="S177" s="8">
        <f ca="1">_xll.HLV5r3.Analytics.Miscellaneous.Zero2DF(_xll.HLV5r3.Analytics.Miscellaneous.LinearInterp(Peturbed_QZ,$K177,1,S$1),ZeroCompFreq,'PDH Calc'!$K177/365)</f>
        <v>1</v>
      </c>
      <c r="T177" s="8">
        <f ca="1">_xll.HLV5r3.Analytics.Miscellaneous.Zero2DF(_xll.HLV5r3.Analytics.Miscellaneous.LinearInterp(Peturbed_QZ,$K177,1,T$1),ZeroCompFreq,'PDH Calc'!$K177/365)</f>
        <v>1</v>
      </c>
      <c r="U177" s="8">
        <f ca="1">_xll.HLV5r3.Analytics.Miscellaneous.Zero2DF(_xll.HLV5r3.Analytics.Miscellaneous.LinearInterp(Peturbed_QZ,$K177,1,U$1),ZeroCompFreq,'PDH Calc'!$K177/365)</f>
        <v>1</v>
      </c>
      <c r="V177" s="8">
        <f ca="1">_xll.HLV5r3.Analytics.Miscellaneous.Zero2DF(_xll.HLV5r3.Analytics.Miscellaneous.LinearInterp(Peturbed_QZ,$K177,1,V$1),ZeroCompFreq,'PDH Calc'!$K177/365)</f>
        <v>1</v>
      </c>
      <c r="W177" s="8">
        <f ca="1">_xll.HLV5r3.Analytics.Miscellaneous.Zero2DF(_xll.HLV5r3.Analytics.Miscellaneous.LinearInterp(Peturbed_QZ,$K177,1,W$1),ZeroCompFreq,'PDH Calc'!$K177/365)</f>
        <v>1</v>
      </c>
      <c r="X177" s="8">
        <f ca="1">_xll.HLV5r3.Analytics.Miscellaneous.Zero2DF(_xll.HLV5r3.Analytics.Miscellaneous.LinearInterp(Peturbed_QZ,$K177,1,X$1),ZeroCompFreq,'PDH Calc'!$K177/365)</f>
        <v>1</v>
      </c>
      <c r="Y177" s="8">
        <f ca="1">_xll.HLV5r3.Analytics.Miscellaneous.Zero2DF(_xll.HLV5r3.Analytics.Miscellaneous.LinearInterp(Peturbed_QZ,$K177,1,Y$1),ZeroCompFreq,'PDH Calc'!$K177/365)</f>
        <v>1</v>
      </c>
      <c r="Z177" s="8">
        <f ca="1">_xll.HLV5r3.Analytics.Miscellaneous.Zero2DF(_xll.HLV5r3.Analytics.Miscellaneous.LinearInterp(Peturbed_QZ,$K177,1,Z$1),ZeroCompFreq,'PDH Calc'!$K177/365)</f>
        <v>1</v>
      </c>
      <c r="AA177" s="8">
        <f ca="1">_xll.HLV5r3.Analytics.Miscellaneous.Zero2DF(_xll.HLV5r3.Analytics.Miscellaneous.LinearInterp(Peturbed_QZ,$K177,1,AA$1),ZeroCompFreq,'PDH Calc'!$K177/365)</f>
        <v>1</v>
      </c>
      <c r="AB177" s="8">
        <f ca="1">_xll.HLV5r3.Analytics.Miscellaneous.Zero2DF(_xll.HLV5r3.Analytics.Miscellaneous.LinearInterp(Peturbed_QZ,$K177,1,AB$1),ZeroCompFreq,'PDH Calc'!$K177/365)</f>
        <v>1</v>
      </c>
      <c r="AC177" s="8">
        <f ca="1">_xll.HLV5r3.Analytics.Miscellaneous.Zero2DF(_xll.HLV5r3.Analytics.Miscellaneous.LinearInterp(Peturbed_QZ,$K177,1,AC$1),ZeroCompFreq,'PDH Calc'!$K177/365)</f>
        <v>1</v>
      </c>
      <c r="AD177" s="8">
        <f ca="1">_xll.HLV5r3.Analytics.Miscellaneous.Zero2DF(_xll.HLV5r3.Analytics.Miscellaneous.LinearInterp(Peturbed_QZ,$K177,1,AD$1),ZeroCompFreq,'PDH Calc'!$K177/365)</f>
        <v>1</v>
      </c>
      <c r="AE177" s="8">
        <f ca="1">_xll.HLV5r3.Analytics.Miscellaneous.Zero2DF(_xll.HLV5r3.Analytics.Miscellaneous.LinearInterp(Peturbed_QZ,$K177,1,AE$1),ZeroCompFreq,'PDH Calc'!$K177/365)</f>
        <v>1</v>
      </c>
      <c r="AF177" s="8">
        <f ca="1">_xll.HLV5r3.Analytics.Miscellaneous.Zero2DF(_xll.HLV5r3.Analytics.Miscellaneous.LinearInterp(Peturbed_QZ,$K177,1,AF$1),ZeroCompFreq,'PDH Calc'!$K177/365)</f>
        <v>1</v>
      </c>
      <c r="AG177" s="8">
        <f ca="1">_xll.HLV5r3.Analytics.Miscellaneous.Zero2DF(_xll.HLV5r3.Analytics.Miscellaneous.LinearInterp(Peturbed_QZ,$K177,1,AG$1),ZeroCompFreq,'PDH Calc'!$K177/365)</f>
        <v>1</v>
      </c>
      <c r="AH177" s="8">
        <f ca="1">_xll.HLV5r3.Analytics.Miscellaneous.Zero2DF(_xll.HLV5r3.Analytics.Miscellaneous.LinearInterp(Peturbed_QZ,$K177,1,AH$1),ZeroCompFreq,'PDH Calc'!$K177/365)</f>
        <v>1</v>
      </c>
      <c r="AI177" s="8">
        <f ca="1">_xll.HLV5r3.Analytics.Miscellaneous.Zero2DF(_xll.HLV5r3.Analytics.Miscellaneous.LinearInterp(Peturbed_QZ,$K177,1,AI$1),ZeroCompFreq,'PDH Calc'!$K177/365)</f>
        <v>1</v>
      </c>
      <c r="AJ177" s="8">
        <f ca="1">_xll.HLV5r3.Analytics.Miscellaneous.Zero2DF(_xll.HLV5r3.Analytics.Miscellaneous.LinearInterp(Peturbed_QZ,$K177,1,AJ$1),ZeroCompFreq,'PDH Calc'!$K177/365)</f>
        <v>1</v>
      </c>
      <c r="AK177" s="8">
        <f ca="1">_xll.HLV5r3.Analytics.Miscellaneous.Zero2DF(_xll.HLV5r3.Analytics.Miscellaneous.LinearInterp(Peturbed_QZ,$K177,1,AK$1),ZeroCompFreq,'PDH Calc'!$K177/365)</f>
        <v>1</v>
      </c>
    </row>
    <row r="178" spans="1:37">
      <c r="A178" s="4"/>
      <c r="B178" s="6"/>
      <c r="F178" s="11"/>
      <c r="G178" s="6"/>
      <c r="H178" s="20"/>
      <c r="I178" s="21"/>
      <c r="J178" s="26"/>
      <c r="K178" s="6">
        <f t="shared" ca="1" si="9"/>
        <v>0</v>
      </c>
      <c r="L178" s="8">
        <f ca="1">_xll.HLV5r3.Analytics.Miscellaneous.Zero2DF(_xll.HLV5r3.Analytics.Miscellaneous.LinearInterp(Peturbed_QZ,$K178,1,L$1),ZeroCompFreq,'PDH Calc'!$K178/365)</f>
        <v>1</v>
      </c>
      <c r="M178" s="8">
        <f ca="1">_xll.HLV5r3.Analytics.Miscellaneous.Zero2DF(_xll.HLV5r3.Analytics.Miscellaneous.LinearInterp(Peturbed_QZ,$K178,1,M$1),ZeroCompFreq,'PDH Calc'!$K178/365)</f>
        <v>1</v>
      </c>
      <c r="N178" s="8">
        <f ca="1">_xll.HLV5r3.Analytics.Miscellaneous.Zero2DF(_xll.HLV5r3.Analytics.Miscellaneous.LinearInterp(Peturbed_QZ,$K178,1,N$1),ZeroCompFreq,'PDH Calc'!$K178/365)</f>
        <v>1</v>
      </c>
      <c r="O178" s="8">
        <f ca="1">_xll.HLV5r3.Analytics.Miscellaneous.Zero2DF(_xll.HLV5r3.Analytics.Miscellaneous.LinearInterp(Peturbed_QZ,$K178,1,O$1),ZeroCompFreq,'PDH Calc'!$K178/365)</f>
        <v>1</v>
      </c>
      <c r="P178" s="8">
        <f ca="1">_xll.HLV5r3.Analytics.Miscellaneous.Zero2DF(_xll.HLV5r3.Analytics.Miscellaneous.LinearInterp(Peturbed_QZ,$K178,1,P$1),ZeroCompFreq,'PDH Calc'!$K178/365)</f>
        <v>1</v>
      </c>
      <c r="Q178" s="8">
        <f ca="1">_xll.HLV5r3.Analytics.Miscellaneous.Zero2DF(_xll.HLV5r3.Analytics.Miscellaneous.LinearInterp(Peturbed_QZ,$K178,1,Q$1),ZeroCompFreq,'PDH Calc'!$K178/365)</f>
        <v>1</v>
      </c>
      <c r="R178" s="8">
        <f ca="1">_xll.HLV5r3.Analytics.Miscellaneous.Zero2DF(_xll.HLV5r3.Analytics.Miscellaneous.LinearInterp(Peturbed_QZ,$K178,1,R$1),ZeroCompFreq,'PDH Calc'!$K178/365)</f>
        <v>1</v>
      </c>
      <c r="S178" s="8">
        <f ca="1">_xll.HLV5r3.Analytics.Miscellaneous.Zero2DF(_xll.HLV5r3.Analytics.Miscellaneous.LinearInterp(Peturbed_QZ,$K178,1,S$1),ZeroCompFreq,'PDH Calc'!$K178/365)</f>
        <v>1</v>
      </c>
      <c r="T178" s="8">
        <f ca="1">_xll.HLV5r3.Analytics.Miscellaneous.Zero2DF(_xll.HLV5r3.Analytics.Miscellaneous.LinearInterp(Peturbed_QZ,$K178,1,T$1),ZeroCompFreq,'PDH Calc'!$K178/365)</f>
        <v>1</v>
      </c>
      <c r="U178" s="8">
        <f ca="1">_xll.HLV5r3.Analytics.Miscellaneous.Zero2DF(_xll.HLV5r3.Analytics.Miscellaneous.LinearInterp(Peturbed_QZ,$K178,1,U$1),ZeroCompFreq,'PDH Calc'!$K178/365)</f>
        <v>1</v>
      </c>
      <c r="V178" s="8">
        <f ca="1">_xll.HLV5r3.Analytics.Miscellaneous.Zero2DF(_xll.HLV5r3.Analytics.Miscellaneous.LinearInterp(Peturbed_QZ,$K178,1,V$1),ZeroCompFreq,'PDH Calc'!$K178/365)</f>
        <v>1</v>
      </c>
      <c r="W178" s="8">
        <f ca="1">_xll.HLV5r3.Analytics.Miscellaneous.Zero2DF(_xll.HLV5r3.Analytics.Miscellaneous.LinearInterp(Peturbed_QZ,$K178,1,W$1),ZeroCompFreq,'PDH Calc'!$K178/365)</f>
        <v>1</v>
      </c>
      <c r="X178" s="8">
        <f ca="1">_xll.HLV5r3.Analytics.Miscellaneous.Zero2DF(_xll.HLV5r3.Analytics.Miscellaneous.LinearInterp(Peturbed_QZ,$K178,1,X$1),ZeroCompFreq,'PDH Calc'!$K178/365)</f>
        <v>1</v>
      </c>
      <c r="Y178" s="8">
        <f ca="1">_xll.HLV5r3.Analytics.Miscellaneous.Zero2DF(_xll.HLV5r3.Analytics.Miscellaneous.LinearInterp(Peturbed_QZ,$K178,1,Y$1),ZeroCompFreq,'PDH Calc'!$K178/365)</f>
        <v>1</v>
      </c>
      <c r="Z178" s="8">
        <f ca="1">_xll.HLV5r3.Analytics.Miscellaneous.Zero2DF(_xll.HLV5r3.Analytics.Miscellaneous.LinearInterp(Peturbed_QZ,$K178,1,Z$1),ZeroCompFreq,'PDH Calc'!$K178/365)</f>
        <v>1</v>
      </c>
      <c r="AA178" s="8">
        <f ca="1">_xll.HLV5r3.Analytics.Miscellaneous.Zero2DF(_xll.HLV5r3.Analytics.Miscellaneous.LinearInterp(Peturbed_QZ,$K178,1,AA$1),ZeroCompFreq,'PDH Calc'!$K178/365)</f>
        <v>1</v>
      </c>
      <c r="AB178" s="8">
        <f ca="1">_xll.HLV5r3.Analytics.Miscellaneous.Zero2DF(_xll.HLV5r3.Analytics.Miscellaneous.LinearInterp(Peturbed_QZ,$K178,1,AB$1),ZeroCompFreq,'PDH Calc'!$K178/365)</f>
        <v>1</v>
      </c>
      <c r="AC178" s="8">
        <f ca="1">_xll.HLV5r3.Analytics.Miscellaneous.Zero2DF(_xll.HLV5r3.Analytics.Miscellaneous.LinearInterp(Peturbed_QZ,$K178,1,AC$1),ZeroCompFreq,'PDH Calc'!$K178/365)</f>
        <v>1</v>
      </c>
      <c r="AD178" s="8">
        <f ca="1">_xll.HLV5r3.Analytics.Miscellaneous.Zero2DF(_xll.HLV5r3.Analytics.Miscellaneous.LinearInterp(Peturbed_QZ,$K178,1,AD$1),ZeroCompFreq,'PDH Calc'!$K178/365)</f>
        <v>1</v>
      </c>
      <c r="AE178" s="8">
        <f ca="1">_xll.HLV5r3.Analytics.Miscellaneous.Zero2DF(_xll.HLV5r3.Analytics.Miscellaneous.LinearInterp(Peturbed_QZ,$K178,1,AE$1),ZeroCompFreq,'PDH Calc'!$K178/365)</f>
        <v>1</v>
      </c>
      <c r="AF178" s="8">
        <f ca="1">_xll.HLV5r3.Analytics.Miscellaneous.Zero2DF(_xll.HLV5r3.Analytics.Miscellaneous.LinearInterp(Peturbed_QZ,$K178,1,AF$1),ZeroCompFreq,'PDH Calc'!$K178/365)</f>
        <v>1</v>
      </c>
      <c r="AG178" s="8">
        <f ca="1">_xll.HLV5r3.Analytics.Miscellaneous.Zero2DF(_xll.HLV5r3.Analytics.Miscellaneous.LinearInterp(Peturbed_QZ,$K178,1,AG$1),ZeroCompFreq,'PDH Calc'!$K178/365)</f>
        <v>1</v>
      </c>
      <c r="AH178" s="8">
        <f ca="1">_xll.HLV5r3.Analytics.Miscellaneous.Zero2DF(_xll.HLV5r3.Analytics.Miscellaneous.LinearInterp(Peturbed_QZ,$K178,1,AH$1),ZeroCompFreq,'PDH Calc'!$K178/365)</f>
        <v>1</v>
      </c>
      <c r="AI178" s="8">
        <f ca="1">_xll.HLV5r3.Analytics.Miscellaneous.Zero2DF(_xll.HLV5r3.Analytics.Miscellaneous.LinearInterp(Peturbed_QZ,$K178,1,AI$1),ZeroCompFreq,'PDH Calc'!$K178/365)</f>
        <v>1</v>
      </c>
      <c r="AJ178" s="8">
        <f ca="1">_xll.HLV5r3.Analytics.Miscellaneous.Zero2DF(_xll.HLV5r3.Analytics.Miscellaneous.LinearInterp(Peturbed_QZ,$K178,1,AJ$1),ZeroCompFreq,'PDH Calc'!$K178/365)</f>
        <v>1</v>
      </c>
      <c r="AK178" s="8">
        <f ca="1">_xll.HLV5r3.Analytics.Miscellaneous.Zero2DF(_xll.HLV5r3.Analytics.Miscellaneous.LinearInterp(Peturbed_QZ,$K178,1,AK$1),ZeroCompFreq,'PDH Calc'!$K178/365)</f>
        <v>1</v>
      </c>
    </row>
    <row r="179" spans="1:37">
      <c r="A179" s="4"/>
      <c r="B179" s="6"/>
      <c r="F179" s="11"/>
      <c r="G179" s="6"/>
      <c r="H179" s="20"/>
      <c r="I179" s="21"/>
      <c r="J179" s="26"/>
      <c r="K179" s="6">
        <f t="shared" ca="1" si="9"/>
        <v>0</v>
      </c>
      <c r="L179" s="8">
        <f ca="1">_xll.HLV5r3.Analytics.Miscellaneous.Zero2DF(_xll.HLV5r3.Analytics.Miscellaneous.LinearInterp(Peturbed_QZ,$K179,1,L$1),ZeroCompFreq,'PDH Calc'!$K179/365)</f>
        <v>1</v>
      </c>
      <c r="M179" s="8">
        <f ca="1">_xll.HLV5r3.Analytics.Miscellaneous.Zero2DF(_xll.HLV5r3.Analytics.Miscellaneous.LinearInterp(Peturbed_QZ,$K179,1,M$1),ZeroCompFreq,'PDH Calc'!$K179/365)</f>
        <v>1</v>
      </c>
      <c r="N179" s="8">
        <f ca="1">_xll.HLV5r3.Analytics.Miscellaneous.Zero2DF(_xll.HLV5r3.Analytics.Miscellaneous.LinearInterp(Peturbed_QZ,$K179,1,N$1),ZeroCompFreq,'PDH Calc'!$K179/365)</f>
        <v>1</v>
      </c>
      <c r="O179" s="8">
        <f ca="1">_xll.HLV5r3.Analytics.Miscellaneous.Zero2DF(_xll.HLV5r3.Analytics.Miscellaneous.LinearInterp(Peturbed_QZ,$K179,1,O$1),ZeroCompFreq,'PDH Calc'!$K179/365)</f>
        <v>1</v>
      </c>
      <c r="P179" s="8">
        <f ca="1">_xll.HLV5r3.Analytics.Miscellaneous.Zero2DF(_xll.HLV5r3.Analytics.Miscellaneous.LinearInterp(Peturbed_QZ,$K179,1,P$1),ZeroCompFreq,'PDH Calc'!$K179/365)</f>
        <v>1</v>
      </c>
      <c r="Q179" s="8">
        <f ca="1">_xll.HLV5r3.Analytics.Miscellaneous.Zero2DF(_xll.HLV5r3.Analytics.Miscellaneous.LinearInterp(Peturbed_QZ,$K179,1,Q$1),ZeroCompFreq,'PDH Calc'!$K179/365)</f>
        <v>1</v>
      </c>
      <c r="R179" s="8">
        <f ca="1">_xll.HLV5r3.Analytics.Miscellaneous.Zero2DF(_xll.HLV5r3.Analytics.Miscellaneous.LinearInterp(Peturbed_QZ,$K179,1,R$1),ZeroCompFreq,'PDH Calc'!$K179/365)</f>
        <v>1</v>
      </c>
      <c r="S179" s="8">
        <f ca="1">_xll.HLV5r3.Analytics.Miscellaneous.Zero2DF(_xll.HLV5r3.Analytics.Miscellaneous.LinearInterp(Peturbed_QZ,$K179,1,S$1),ZeroCompFreq,'PDH Calc'!$K179/365)</f>
        <v>1</v>
      </c>
      <c r="T179" s="8">
        <f ca="1">_xll.HLV5r3.Analytics.Miscellaneous.Zero2DF(_xll.HLV5r3.Analytics.Miscellaneous.LinearInterp(Peturbed_QZ,$K179,1,T$1),ZeroCompFreq,'PDH Calc'!$K179/365)</f>
        <v>1</v>
      </c>
      <c r="U179" s="8">
        <f ca="1">_xll.HLV5r3.Analytics.Miscellaneous.Zero2DF(_xll.HLV5r3.Analytics.Miscellaneous.LinearInterp(Peturbed_QZ,$K179,1,U$1),ZeroCompFreq,'PDH Calc'!$K179/365)</f>
        <v>1</v>
      </c>
      <c r="V179" s="8">
        <f ca="1">_xll.HLV5r3.Analytics.Miscellaneous.Zero2DF(_xll.HLV5r3.Analytics.Miscellaneous.LinearInterp(Peturbed_QZ,$K179,1,V$1),ZeroCompFreq,'PDH Calc'!$K179/365)</f>
        <v>1</v>
      </c>
      <c r="W179" s="8">
        <f ca="1">_xll.HLV5r3.Analytics.Miscellaneous.Zero2DF(_xll.HLV5r3.Analytics.Miscellaneous.LinearInterp(Peturbed_QZ,$K179,1,W$1),ZeroCompFreq,'PDH Calc'!$K179/365)</f>
        <v>1</v>
      </c>
      <c r="X179" s="8">
        <f ca="1">_xll.HLV5r3.Analytics.Miscellaneous.Zero2DF(_xll.HLV5r3.Analytics.Miscellaneous.LinearInterp(Peturbed_QZ,$K179,1,X$1),ZeroCompFreq,'PDH Calc'!$K179/365)</f>
        <v>1</v>
      </c>
      <c r="Y179" s="8">
        <f ca="1">_xll.HLV5r3.Analytics.Miscellaneous.Zero2DF(_xll.HLV5r3.Analytics.Miscellaneous.LinearInterp(Peturbed_QZ,$K179,1,Y$1),ZeroCompFreq,'PDH Calc'!$K179/365)</f>
        <v>1</v>
      </c>
      <c r="Z179" s="8">
        <f ca="1">_xll.HLV5r3.Analytics.Miscellaneous.Zero2DF(_xll.HLV5r3.Analytics.Miscellaneous.LinearInterp(Peturbed_QZ,$K179,1,Z$1),ZeroCompFreq,'PDH Calc'!$K179/365)</f>
        <v>1</v>
      </c>
      <c r="AA179" s="8">
        <f ca="1">_xll.HLV5r3.Analytics.Miscellaneous.Zero2DF(_xll.HLV5r3.Analytics.Miscellaneous.LinearInterp(Peturbed_QZ,$K179,1,AA$1),ZeroCompFreq,'PDH Calc'!$K179/365)</f>
        <v>1</v>
      </c>
      <c r="AB179" s="8">
        <f ca="1">_xll.HLV5r3.Analytics.Miscellaneous.Zero2DF(_xll.HLV5r3.Analytics.Miscellaneous.LinearInterp(Peturbed_QZ,$K179,1,AB$1),ZeroCompFreq,'PDH Calc'!$K179/365)</f>
        <v>1</v>
      </c>
      <c r="AC179" s="8">
        <f ca="1">_xll.HLV5r3.Analytics.Miscellaneous.Zero2DF(_xll.HLV5r3.Analytics.Miscellaneous.LinearInterp(Peturbed_QZ,$K179,1,AC$1),ZeroCompFreq,'PDH Calc'!$K179/365)</f>
        <v>1</v>
      </c>
      <c r="AD179" s="8">
        <f ca="1">_xll.HLV5r3.Analytics.Miscellaneous.Zero2DF(_xll.HLV5r3.Analytics.Miscellaneous.LinearInterp(Peturbed_QZ,$K179,1,AD$1),ZeroCompFreq,'PDH Calc'!$K179/365)</f>
        <v>1</v>
      </c>
      <c r="AE179" s="8">
        <f ca="1">_xll.HLV5r3.Analytics.Miscellaneous.Zero2DF(_xll.HLV5r3.Analytics.Miscellaneous.LinearInterp(Peturbed_QZ,$K179,1,AE$1),ZeroCompFreq,'PDH Calc'!$K179/365)</f>
        <v>1</v>
      </c>
      <c r="AF179" s="8">
        <f ca="1">_xll.HLV5r3.Analytics.Miscellaneous.Zero2DF(_xll.HLV5r3.Analytics.Miscellaneous.LinearInterp(Peturbed_QZ,$K179,1,AF$1),ZeroCompFreq,'PDH Calc'!$K179/365)</f>
        <v>1</v>
      </c>
      <c r="AG179" s="8">
        <f ca="1">_xll.HLV5r3.Analytics.Miscellaneous.Zero2DF(_xll.HLV5r3.Analytics.Miscellaneous.LinearInterp(Peturbed_QZ,$K179,1,AG$1),ZeroCompFreq,'PDH Calc'!$K179/365)</f>
        <v>1</v>
      </c>
      <c r="AH179" s="8">
        <f ca="1">_xll.HLV5r3.Analytics.Miscellaneous.Zero2DF(_xll.HLV5r3.Analytics.Miscellaneous.LinearInterp(Peturbed_QZ,$K179,1,AH$1),ZeroCompFreq,'PDH Calc'!$K179/365)</f>
        <v>1</v>
      </c>
      <c r="AI179" s="8">
        <f ca="1">_xll.HLV5r3.Analytics.Miscellaneous.Zero2DF(_xll.HLV5r3.Analytics.Miscellaneous.LinearInterp(Peturbed_QZ,$K179,1,AI$1),ZeroCompFreq,'PDH Calc'!$K179/365)</f>
        <v>1</v>
      </c>
      <c r="AJ179" s="8">
        <f ca="1">_xll.HLV5r3.Analytics.Miscellaneous.Zero2DF(_xll.HLV5r3.Analytics.Miscellaneous.LinearInterp(Peturbed_QZ,$K179,1,AJ$1),ZeroCompFreq,'PDH Calc'!$K179/365)</f>
        <v>1</v>
      </c>
      <c r="AK179" s="8">
        <f ca="1">_xll.HLV5r3.Analytics.Miscellaneous.Zero2DF(_xll.HLV5r3.Analytics.Miscellaneous.LinearInterp(Peturbed_QZ,$K179,1,AK$1),ZeroCompFreq,'PDH Calc'!$K179/365)</f>
        <v>1</v>
      </c>
    </row>
    <row r="180" spans="1:37">
      <c r="A180" s="4"/>
      <c r="B180" s="6"/>
      <c r="F180" s="11"/>
      <c r="G180" s="6"/>
      <c r="H180" s="20"/>
      <c r="I180" s="21"/>
      <c r="J180" s="26"/>
      <c r="K180" s="6">
        <f t="shared" ca="1" si="9"/>
        <v>0</v>
      </c>
      <c r="L180" s="8">
        <f ca="1">_xll.HLV5r3.Analytics.Miscellaneous.Zero2DF(_xll.HLV5r3.Analytics.Miscellaneous.LinearInterp(Peturbed_QZ,$K180,1,L$1),ZeroCompFreq,'PDH Calc'!$K180/365)</f>
        <v>1</v>
      </c>
      <c r="M180" s="8">
        <f ca="1">_xll.HLV5r3.Analytics.Miscellaneous.Zero2DF(_xll.HLV5r3.Analytics.Miscellaneous.LinearInterp(Peturbed_QZ,$K180,1,M$1),ZeroCompFreq,'PDH Calc'!$K180/365)</f>
        <v>1</v>
      </c>
      <c r="N180" s="8">
        <f ca="1">_xll.HLV5r3.Analytics.Miscellaneous.Zero2DF(_xll.HLV5r3.Analytics.Miscellaneous.LinearInterp(Peturbed_QZ,$K180,1,N$1),ZeroCompFreq,'PDH Calc'!$K180/365)</f>
        <v>1</v>
      </c>
      <c r="O180" s="8">
        <f ca="1">_xll.HLV5r3.Analytics.Miscellaneous.Zero2DF(_xll.HLV5r3.Analytics.Miscellaneous.LinearInterp(Peturbed_QZ,$K180,1,O$1),ZeroCompFreq,'PDH Calc'!$K180/365)</f>
        <v>1</v>
      </c>
      <c r="P180" s="8">
        <f ca="1">_xll.HLV5r3.Analytics.Miscellaneous.Zero2DF(_xll.HLV5r3.Analytics.Miscellaneous.LinearInterp(Peturbed_QZ,$K180,1,P$1),ZeroCompFreq,'PDH Calc'!$K180/365)</f>
        <v>1</v>
      </c>
      <c r="Q180" s="8">
        <f ca="1">_xll.HLV5r3.Analytics.Miscellaneous.Zero2DF(_xll.HLV5r3.Analytics.Miscellaneous.LinearInterp(Peturbed_QZ,$K180,1,Q$1),ZeroCompFreq,'PDH Calc'!$K180/365)</f>
        <v>1</v>
      </c>
      <c r="R180" s="8">
        <f ca="1">_xll.HLV5r3.Analytics.Miscellaneous.Zero2DF(_xll.HLV5r3.Analytics.Miscellaneous.LinearInterp(Peturbed_QZ,$K180,1,R$1),ZeroCompFreq,'PDH Calc'!$K180/365)</f>
        <v>1</v>
      </c>
      <c r="S180" s="8">
        <f ca="1">_xll.HLV5r3.Analytics.Miscellaneous.Zero2DF(_xll.HLV5r3.Analytics.Miscellaneous.LinearInterp(Peturbed_QZ,$K180,1,S$1),ZeroCompFreq,'PDH Calc'!$K180/365)</f>
        <v>1</v>
      </c>
      <c r="T180" s="8">
        <f ca="1">_xll.HLV5r3.Analytics.Miscellaneous.Zero2DF(_xll.HLV5r3.Analytics.Miscellaneous.LinearInterp(Peturbed_QZ,$K180,1,T$1),ZeroCompFreq,'PDH Calc'!$K180/365)</f>
        <v>1</v>
      </c>
      <c r="U180" s="8">
        <f ca="1">_xll.HLV5r3.Analytics.Miscellaneous.Zero2DF(_xll.HLV5r3.Analytics.Miscellaneous.LinearInterp(Peturbed_QZ,$K180,1,U$1),ZeroCompFreq,'PDH Calc'!$K180/365)</f>
        <v>1</v>
      </c>
      <c r="V180" s="8">
        <f ca="1">_xll.HLV5r3.Analytics.Miscellaneous.Zero2DF(_xll.HLV5r3.Analytics.Miscellaneous.LinearInterp(Peturbed_QZ,$K180,1,V$1),ZeroCompFreq,'PDH Calc'!$K180/365)</f>
        <v>1</v>
      </c>
      <c r="W180" s="8">
        <f ca="1">_xll.HLV5r3.Analytics.Miscellaneous.Zero2DF(_xll.HLV5r3.Analytics.Miscellaneous.LinearInterp(Peturbed_QZ,$K180,1,W$1),ZeroCompFreq,'PDH Calc'!$K180/365)</f>
        <v>1</v>
      </c>
      <c r="X180" s="8">
        <f ca="1">_xll.HLV5r3.Analytics.Miscellaneous.Zero2DF(_xll.HLV5r3.Analytics.Miscellaneous.LinearInterp(Peturbed_QZ,$K180,1,X$1),ZeroCompFreq,'PDH Calc'!$K180/365)</f>
        <v>1</v>
      </c>
      <c r="Y180" s="8">
        <f ca="1">_xll.HLV5r3.Analytics.Miscellaneous.Zero2DF(_xll.HLV5r3.Analytics.Miscellaneous.LinearInterp(Peturbed_QZ,$K180,1,Y$1),ZeroCompFreq,'PDH Calc'!$K180/365)</f>
        <v>1</v>
      </c>
      <c r="Z180" s="8">
        <f ca="1">_xll.HLV5r3.Analytics.Miscellaneous.Zero2DF(_xll.HLV5r3.Analytics.Miscellaneous.LinearInterp(Peturbed_QZ,$K180,1,Z$1),ZeroCompFreq,'PDH Calc'!$K180/365)</f>
        <v>1</v>
      </c>
      <c r="AA180" s="8">
        <f ca="1">_xll.HLV5r3.Analytics.Miscellaneous.Zero2DF(_xll.HLV5r3.Analytics.Miscellaneous.LinearInterp(Peturbed_QZ,$K180,1,AA$1),ZeroCompFreq,'PDH Calc'!$K180/365)</f>
        <v>1</v>
      </c>
      <c r="AB180" s="8">
        <f ca="1">_xll.HLV5r3.Analytics.Miscellaneous.Zero2DF(_xll.HLV5r3.Analytics.Miscellaneous.LinearInterp(Peturbed_QZ,$K180,1,AB$1),ZeroCompFreq,'PDH Calc'!$K180/365)</f>
        <v>1</v>
      </c>
      <c r="AC180" s="8">
        <f ca="1">_xll.HLV5r3.Analytics.Miscellaneous.Zero2DF(_xll.HLV5r3.Analytics.Miscellaneous.LinearInterp(Peturbed_QZ,$K180,1,AC$1),ZeroCompFreq,'PDH Calc'!$K180/365)</f>
        <v>1</v>
      </c>
      <c r="AD180" s="8">
        <f ca="1">_xll.HLV5r3.Analytics.Miscellaneous.Zero2DF(_xll.HLV5r3.Analytics.Miscellaneous.LinearInterp(Peturbed_QZ,$K180,1,AD$1),ZeroCompFreq,'PDH Calc'!$K180/365)</f>
        <v>1</v>
      </c>
      <c r="AE180" s="8">
        <f ca="1">_xll.HLV5r3.Analytics.Miscellaneous.Zero2DF(_xll.HLV5r3.Analytics.Miscellaneous.LinearInterp(Peturbed_QZ,$K180,1,AE$1),ZeroCompFreq,'PDH Calc'!$K180/365)</f>
        <v>1</v>
      </c>
      <c r="AF180" s="8">
        <f ca="1">_xll.HLV5r3.Analytics.Miscellaneous.Zero2DF(_xll.HLV5r3.Analytics.Miscellaneous.LinearInterp(Peturbed_QZ,$K180,1,AF$1),ZeroCompFreq,'PDH Calc'!$K180/365)</f>
        <v>1</v>
      </c>
      <c r="AG180" s="8">
        <f ca="1">_xll.HLV5r3.Analytics.Miscellaneous.Zero2DF(_xll.HLV5r3.Analytics.Miscellaneous.LinearInterp(Peturbed_QZ,$K180,1,AG$1),ZeroCompFreq,'PDH Calc'!$K180/365)</f>
        <v>1</v>
      </c>
      <c r="AH180" s="8">
        <f ca="1">_xll.HLV5r3.Analytics.Miscellaneous.Zero2DF(_xll.HLV5r3.Analytics.Miscellaneous.LinearInterp(Peturbed_QZ,$K180,1,AH$1),ZeroCompFreq,'PDH Calc'!$K180/365)</f>
        <v>1</v>
      </c>
      <c r="AI180" s="8">
        <f ca="1">_xll.HLV5r3.Analytics.Miscellaneous.Zero2DF(_xll.HLV5r3.Analytics.Miscellaneous.LinearInterp(Peturbed_QZ,$K180,1,AI$1),ZeroCompFreq,'PDH Calc'!$K180/365)</f>
        <v>1</v>
      </c>
      <c r="AJ180" s="8">
        <f ca="1">_xll.HLV5r3.Analytics.Miscellaneous.Zero2DF(_xll.HLV5r3.Analytics.Miscellaneous.LinearInterp(Peturbed_QZ,$K180,1,AJ$1),ZeroCompFreq,'PDH Calc'!$K180/365)</f>
        <v>1</v>
      </c>
      <c r="AK180" s="8">
        <f ca="1">_xll.HLV5r3.Analytics.Miscellaneous.Zero2DF(_xll.HLV5r3.Analytics.Miscellaneous.LinearInterp(Peturbed_QZ,$K180,1,AK$1),ZeroCompFreq,'PDH Calc'!$K180/365)</f>
        <v>1</v>
      </c>
    </row>
    <row r="181" spans="1:37">
      <c r="A181" s="4"/>
      <c r="B181" s="6"/>
      <c r="F181" s="11"/>
      <c r="G181" s="6"/>
      <c r="H181" s="20"/>
      <c r="I181" s="21"/>
      <c r="J181" s="26"/>
      <c r="K181" s="6">
        <f t="shared" ca="1" si="9"/>
        <v>0</v>
      </c>
      <c r="L181" s="8">
        <f ca="1">_xll.HLV5r3.Analytics.Miscellaneous.Zero2DF(_xll.HLV5r3.Analytics.Miscellaneous.LinearInterp(Peturbed_QZ,$K181,1,L$1),ZeroCompFreq,'PDH Calc'!$K181/365)</f>
        <v>1</v>
      </c>
      <c r="M181" s="8">
        <f ca="1">_xll.HLV5r3.Analytics.Miscellaneous.Zero2DF(_xll.HLV5r3.Analytics.Miscellaneous.LinearInterp(Peturbed_QZ,$K181,1,M$1),ZeroCompFreq,'PDH Calc'!$K181/365)</f>
        <v>1</v>
      </c>
      <c r="N181" s="8">
        <f ca="1">_xll.HLV5r3.Analytics.Miscellaneous.Zero2DF(_xll.HLV5r3.Analytics.Miscellaneous.LinearInterp(Peturbed_QZ,$K181,1,N$1),ZeroCompFreq,'PDH Calc'!$K181/365)</f>
        <v>1</v>
      </c>
      <c r="O181" s="8">
        <f ca="1">_xll.HLV5r3.Analytics.Miscellaneous.Zero2DF(_xll.HLV5r3.Analytics.Miscellaneous.LinearInterp(Peturbed_QZ,$K181,1,O$1),ZeroCompFreq,'PDH Calc'!$K181/365)</f>
        <v>1</v>
      </c>
      <c r="P181" s="8">
        <f ca="1">_xll.HLV5r3.Analytics.Miscellaneous.Zero2DF(_xll.HLV5r3.Analytics.Miscellaneous.LinearInterp(Peturbed_QZ,$K181,1,P$1),ZeroCompFreq,'PDH Calc'!$K181/365)</f>
        <v>1</v>
      </c>
      <c r="Q181" s="8">
        <f ca="1">_xll.HLV5r3.Analytics.Miscellaneous.Zero2DF(_xll.HLV5r3.Analytics.Miscellaneous.LinearInterp(Peturbed_QZ,$K181,1,Q$1),ZeroCompFreq,'PDH Calc'!$K181/365)</f>
        <v>1</v>
      </c>
      <c r="R181" s="8">
        <f ca="1">_xll.HLV5r3.Analytics.Miscellaneous.Zero2DF(_xll.HLV5r3.Analytics.Miscellaneous.LinearInterp(Peturbed_QZ,$K181,1,R$1),ZeroCompFreq,'PDH Calc'!$K181/365)</f>
        <v>1</v>
      </c>
      <c r="S181" s="8">
        <f ca="1">_xll.HLV5r3.Analytics.Miscellaneous.Zero2DF(_xll.HLV5r3.Analytics.Miscellaneous.LinearInterp(Peturbed_QZ,$K181,1,S$1),ZeroCompFreq,'PDH Calc'!$K181/365)</f>
        <v>1</v>
      </c>
      <c r="T181" s="8">
        <f ca="1">_xll.HLV5r3.Analytics.Miscellaneous.Zero2DF(_xll.HLV5r3.Analytics.Miscellaneous.LinearInterp(Peturbed_QZ,$K181,1,T$1),ZeroCompFreq,'PDH Calc'!$K181/365)</f>
        <v>1</v>
      </c>
      <c r="U181" s="8">
        <f ca="1">_xll.HLV5r3.Analytics.Miscellaneous.Zero2DF(_xll.HLV5r3.Analytics.Miscellaneous.LinearInterp(Peturbed_QZ,$K181,1,U$1),ZeroCompFreq,'PDH Calc'!$K181/365)</f>
        <v>1</v>
      </c>
      <c r="V181" s="8">
        <f ca="1">_xll.HLV5r3.Analytics.Miscellaneous.Zero2DF(_xll.HLV5r3.Analytics.Miscellaneous.LinearInterp(Peturbed_QZ,$K181,1,V$1),ZeroCompFreq,'PDH Calc'!$K181/365)</f>
        <v>1</v>
      </c>
      <c r="W181" s="8">
        <f ca="1">_xll.HLV5r3.Analytics.Miscellaneous.Zero2DF(_xll.HLV5r3.Analytics.Miscellaneous.LinearInterp(Peturbed_QZ,$K181,1,W$1),ZeroCompFreq,'PDH Calc'!$K181/365)</f>
        <v>1</v>
      </c>
      <c r="X181" s="8">
        <f ca="1">_xll.HLV5r3.Analytics.Miscellaneous.Zero2DF(_xll.HLV5r3.Analytics.Miscellaneous.LinearInterp(Peturbed_QZ,$K181,1,X$1),ZeroCompFreq,'PDH Calc'!$K181/365)</f>
        <v>1</v>
      </c>
      <c r="Y181" s="8">
        <f ca="1">_xll.HLV5r3.Analytics.Miscellaneous.Zero2DF(_xll.HLV5r3.Analytics.Miscellaneous.LinearInterp(Peturbed_QZ,$K181,1,Y$1),ZeroCompFreq,'PDH Calc'!$K181/365)</f>
        <v>1</v>
      </c>
      <c r="Z181" s="8">
        <f ca="1">_xll.HLV5r3.Analytics.Miscellaneous.Zero2DF(_xll.HLV5r3.Analytics.Miscellaneous.LinearInterp(Peturbed_QZ,$K181,1,Z$1),ZeroCompFreq,'PDH Calc'!$K181/365)</f>
        <v>1</v>
      </c>
      <c r="AA181" s="8">
        <f ca="1">_xll.HLV5r3.Analytics.Miscellaneous.Zero2DF(_xll.HLV5r3.Analytics.Miscellaneous.LinearInterp(Peturbed_QZ,$K181,1,AA$1),ZeroCompFreq,'PDH Calc'!$K181/365)</f>
        <v>1</v>
      </c>
      <c r="AB181" s="8">
        <f ca="1">_xll.HLV5r3.Analytics.Miscellaneous.Zero2DF(_xll.HLV5r3.Analytics.Miscellaneous.LinearInterp(Peturbed_QZ,$K181,1,AB$1),ZeroCompFreq,'PDH Calc'!$K181/365)</f>
        <v>1</v>
      </c>
      <c r="AC181" s="8">
        <f ca="1">_xll.HLV5r3.Analytics.Miscellaneous.Zero2DF(_xll.HLV5r3.Analytics.Miscellaneous.LinearInterp(Peturbed_QZ,$K181,1,AC$1),ZeroCompFreq,'PDH Calc'!$K181/365)</f>
        <v>1</v>
      </c>
      <c r="AD181" s="8">
        <f ca="1">_xll.HLV5r3.Analytics.Miscellaneous.Zero2DF(_xll.HLV5r3.Analytics.Miscellaneous.LinearInterp(Peturbed_QZ,$K181,1,AD$1),ZeroCompFreq,'PDH Calc'!$K181/365)</f>
        <v>1</v>
      </c>
      <c r="AE181" s="8">
        <f ca="1">_xll.HLV5r3.Analytics.Miscellaneous.Zero2DF(_xll.HLV5r3.Analytics.Miscellaneous.LinearInterp(Peturbed_QZ,$K181,1,AE$1),ZeroCompFreq,'PDH Calc'!$K181/365)</f>
        <v>1</v>
      </c>
      <c r="AF181" s="8">
        <f ca="1">_xll.HLV5r3.Analytics.Miscellaneous.Zero2DF(_xll.HLV5r3.Analytics.Miscellaneous.LinearInterp(Peturbed_QZ,$K181,1,AF$1),ZeroCompFreq,'PDH Calc'!$K181/365)</f>
        <v>1</v>
      </c>
      <c r="AG181" s="8">
        <f ca="1">_xll.HLV5r3.Analytics.Miscellaneous.Zero2DF(_xll.HLV5r3.Analytics.Miscellaneous.LinearInterp(Peturbed_QZ,$K181,1,AG$1),ZeroCompFreq,'PDH Calc'!$K181/365)</f>
        <v>1</v>
      </c>
      <c r="AH181" s="8">
        <f ca="1">_xll.HLV5r3.Analytics.Miscellaneous.Zero2DF(_xll.HLV5r3.Analytics.Miscellaneous.LinearInterp(Peturbed_QZ,$K181,1,AH$1),ZeroCompFreq,'PDH Calc'!$K181/365)</f>
        <v>1</v>
      </c>
      <c r="AI181" s="8">
        <f ca="1">_xll.HLV5r3.Analytics.Miscellaneous.Zero2DF(_xll.HLV5r3.Analytics.Miscellaneous.LinearInterp(Peturbed_QZ,$K181,1,AI$1),ZeroCompFreq,'PDH Calc'!$K181/365)</f>
        <v>1</v>
      </c>
      <c r="AJ181" s="8">
        <f ca="1">_xll.HLV5r3.Analytics.Miscellaneous.Zero2DF(_xll.HLV5r3.Analytics.Miscellaneous.LinearInterp(Peturbed_QZ,$K181,1,AJ$1),ZeroCompFreq,'PDH Calc'!$K181/365)</f>
        <v>1</v>
      </c>
      <c r="AK181" s="8">
        <f ca="1">_xll.HLV5r3.Analytics.Miscellaneous.Zero2DF(_xll.HLV5r3.Analytics.Miscellaneous.LinearInterp(Peturbed_QZ,$K181,1,AK$1),ZeroCompFreq,'PDH Calc'!$K181/365)</f>
        <v>1</v>
      </c>
    </row>
    <row r="182" spans="1:37">
      <c r="A182" s="4"/>
      <c r="B182" s="6"/>
      <c r="F182" s="11"/>
      <c r="G182" s="6"/>
      <c r="H182" s="20"/>
      <c r="I182" s="21"/>
      <c r="J182" s="26"/>
      <c r="K182" s="6">
        <f t="shared" ca="1" si="9"/>
        <v>0</v>
      </c>
      <c r="L182" s="8">
        <f ca="1">_xll.HLV5r3.Analytics.Miscellaneous.Zero2DF(_xll.HLV5r3.Analytics.Miscellaneous.LinearInterp(Peturbed_QZ,$K182,1,L$1),ZeroCompFreq,'PDH Calc'!$K182/365)</f>
        <v>1</v>
      </c>
      <c r="M182" s="8">
        <f ca="1">_xll.HLV5r3.Analytics.Miscellaneous.Zero2DF(_xll.HLV5r3.Analytics.Miscellaneous.LinearInterp(Peturbed_QZ,$K182,1,M$1),ZeroCompFreq,'PDH Calc'!$K182/365)</f>
        <v>1</v>
      </c>
      <c r="N182" s="8">
        <f ca="1">_xll.HLV5r3.Analytics.Miscellaneous.Zero2DF(_xll.HLV5r3.Analytics.Miscellaneous.LinearInterp(Peturbed_QZ,$K182,1,N$1),ZeroCompFreq,'PDH Calc'!$K182/365)</f>
        <v>1</v>
      </c>
      <c r="O182" s="8">
        <f ca="1">_xll.HLV5r3.Analytics.Miscellaneous.Zero2DF(_xll.HLV5r3.Analytics.Miscellaneous.LinearInterp(Peturbed_QZ,$K182,1,O$1),ZeroCompFreq,'PDH Calc'!$K182/365)</f>
        <v>1</v>
      </c>
      <c r="P182" s="8">
        <f ca="1">_xll.HLV5r3.Analytics.Miscellaneous.Zero2DF(_xll.HLV5r3.Analytics.Miscellaneous.LinearInterp(Peturbed_QZ,$K182,1,P$1),ZeroCompFreq,'PDH Calc'!$K182/365)</f>
        <v>1</v>
      </c>
      <c r="Q182" s="8">
        <f ca="1">_xll.HLV5r3.Analytics.Miscellaneous.Zero2DF(_xll.HLV5r3.Analytics.Miscellaneous.LinearInterp(Peturbed_QZ,$K182,1,Q$1),ZeroCompFreq,'PDH Calc'!$K182/365)</f>
        <v>1</v>
      </c>
      <c r="R182" s="8">
        <f ca="1">_xll.HLV5r3.Analytics.Miscellaneous.Zero2DF(_xll.HLV5r3.Analytics.Miscellaneous.LinearInterp(Peturbed_QZ,$K182,1,R$1),ZeroCompFreq,'PDH Calc'!$K182/365)</f>
        <v>1</v>
      </c>
      <c r="S182" s="8">
        <f ca="1">_xll.HLV5r3.Analytics.Miscellaneous.Zero2DF(_xll.HLV5r3.Analytics.Miscellaneous.LinearInterp(Peturbed_QZ,$K182,1,S$1),ZeroCompFreq,'PDH Calc'!$K182/365)</f>
        <v>1</v>
      </c>
      <c r="T182" s="8">
        <f ca="1">_xll.HLV5r3.Analytics.Miscellaneous.Zero2DF(_xll.HLV5r3.Analytics.Miscellaneous.LinearInterp(Peturbed_QZ,$K182,1,T$1),ZeroCompFreq,'PDH Calc'!$K182/365)</f>
        <v>1</v>
      </c>
      <c r="U182" s="8">
        <f ca="1">_xll.HLV5r3.Analytics.Miscellaneous.Zero2DF(_xll.HLV5r3.Analytics.Miscellaneous.LinearInterp(Peturbed_QZ,$K182,1,U$1),ZeroCompFreq,'PDH Calc'!$K182/365)</f>
        <v>1</v>
      </c>
      <c r="V182" s="8">
        <f ca="1">_xll.HLV5r3.Analytics.Miscellaneous.Zero2DF(_xll.HLV5r3.Analytics.Miscellaneous.LinearInterp(Peturbed_QZ,$K182,1,V$1),ZeroCompFreq,'PDH Calc'!$K182/365)</f>
        <v>1</v>
      </c>
      <c r="W182" s="8">
        <f ca="1">_xll.HLV5r3.Analytics.Miscellaneous.Zero2DF(_xll.HLV5r3.Analytics.Miscellaneous.LinearInterp(Peturbed_QZ,$K182,1,W$1),ZeroCompFreq,'PDH Calc'!$K182/365)</f>
        <v>1</v>
      </c>
      <c r="X182" s="8">
        <f ca="1">_xll.HLV5r3.Analytics.Miscellaneous.Zero2DF(_xll.HLV5r3.Analytics.Miscellaneous.LinearInterp(Peturbed_QZ,$K182,1,X$1),ZeroCompFreq,'PDH Calc'!$K182/365)</f>
        <v>1</v>
      </c>
      <c r="Y182" s="8">
        <f ca="1">_xll.HLV5r3.Analytics.Miscellaneous.Zero2DF(_xll.HLV5r3.Analytics.Miscellaneous.LinearInterp(Peturbed_QZ,$K182,1,Y$1),ZeroCompFreq,'PDH Calc'!$K182/365)</f>
        <v>1</v>
      </c>
      <c r="Z182" s="8">
        <f ca="1">_xll.HLV5r3.Analytics.Miscellaneous.Zero2DF(_xll.HLV5r3.Analytics.Miscellaneous.LinearInterp(Peturbed_QZ,$K182,1,Z$1),ZeroCompFreq,'PDH Calc'!$K182/365)</f>
        <v>1</v>
      </c>
      <c r="AA182" s="8">
        <f ca="1">_xll.HLV5r3.Analytics.Miscellaneous.Zero2DF(_xll.HLV5r3.Analytics.Miscellaneous.LinearInterp(Peturbed_QZ,$K182,1,AA$1),ZeroCompFreq,'PDH Calc'!$K182/365)</f>
        <v>1</v>
      </c>
      <c r="AB182" s="8">
        <f ca="1">_xll.HLV5r3.Analytics.Miscellaneous.Zero2DF(_xll.HLV5r3.Analytics.Miscellaneous.LinearInterp(Peturbed_QZ,$K182,1,AB$1),ZeroCompFreq,'PDH Calc'!$K182/365)</f>
        <v>1</v>
      </c>
      <c r="AC182" s="8">
        <f ca="1">_xll.HLV5r3.Analytics.Miscellaneous.Zero2DF(_xll.HLV5r3.Analytics.Miscellaneous.LinearInterp(Peturbed_QZ,$K182,1,AC$1),ZeroCompFreq,'PDH Calc'!$K182/365)</f>
        <v>1</v>
      </c>
      <c r="AD182" s="8">
        <f ca="1">_xll.HLV5r3.Analytics.Miscellaneous.Zero2DF(_xll.HLV5r3.Analytics.Miscellaneous.LinearInterp(Peturbed_QZ,$K182,1,AD$1),ZeroCompFreq,'PDH Calc'!$K182/365)</f>
        <v>1</v>
      </c>
      <c r="AE182" s="8">
        <f ca="1">_xll.HLV5r3.Analytics.Miscellaneous.Zero2DF(_xll.HLV5r3.Analytics.Miscellaneous.LinearInterp(Peturbed_QZ,$K182,1,AE$1),ZeroCompFreq,'PDH Calc'!$K182/365)</f>
        <v>1</v>
      </c>
      <c r="AF182" s="8">
        <f ca="1">_xll.HLV5r3.Analytics.Miscellaneous.Zero2DF(_xll.HLV5r3.Analytics.Miscellaneous.LinearInterp(Peturbed_QZ,$K182,1,AF$1),ZeroCompFreq,'PDH Calc'!$K182/365)</f>
        <v>1</v>
      </c>
      <c r="AG182" s="8">
        <f ca="1">_xll.HLV5r3.Analytics.Miscellaneous.Zero2DF(_xll.HLV5r3.Analytics.Miscellaneous.LinearInterp(Peturbed_QZ,$K182,1,AG$1),ZeroCompFreq,'PDH Calc'!$K182/365)</f>
        <v>1</v>
      </c>
      <c r="AH182" s="8">
        <f ca="1">_xll.HLV5r3.Analytics.Miscellaneous.Zero2DF(_xll.HLV5r3.Analytics.Miscellaneous.LinearInterp(Peturbed_QZ,$K182,1,AH$1),ZeroCompFreq,'PDH Calc'!$K182/365)</f>
        <v>1</v>
      </c>
      <c r="AI182" s="8">
        <f ca="1">_xll.HLV5r3.Analytics.Miscellaneous.Zero2DF(_xll.HLV5r3.Analytics.Miscellaneous.LinearInterp(Peturbed_QZ,$K182,1,AI$1),ZeroCompFreq,'PDH Calc'!$K182/365)</f>
        <v>1</v>
      </c>
      <c r="AJ182" s="8">
        <f ca="1">_xll.HLV5r3.Analytics.Miscellaneous.Zero2DF(_xll.HLV5r3.Analytics.Miscellaneous.LinearInterp(Peturbed_QZ,$K182,1,AJ$1),ZeroCompFreq,'PDH Calc'!$K182/365)</f>
        <v>1</v>
      </c>
      <c r="AK182" s="8">
        <f ca="1">_xll.HLV5r3.Analytics.Miscellaneous.Zero2DF(_xll.HLV5r3.Analytics.Miscellaneous.LinearInterp(Peturbed_QZ,$K182,1,AK$1),ZeroCompFreq,'PDH Calc'!$K182/365)</f>
        <v>1</v>
      </c>
    </row>
    <row r="183" spans="1:37">
      <c r="A183" s="4"/>
      <c r="B183" s="6"/>
      <c r="F183" s="11"/>
      <c r="G183" s="6"/>
      <c r="H183" s="20"/>
      <c r="I183" s="21"/>
      <c r="J183" s="26"/>
      <c r="K183" s="6">
        <f t="shared" ca="1" si="9"/>
        <v>0</v>
      </c>
      <c r="L183" s="8">
        <f ca="1">_xll.HLV5r3.Analytics.Miscellaneous.Zero2DF(_xll.HLV5r3.Analytics.Miscellaneous.LinearInterp(Peturbed_QZ,$K183,1,L$1),ZeroCompFreq,'PDH Calc'!$K183/365)</f>
        <v>1</v>
      </c>
      <c r="M183" s="8">
        <f ca="1">_xll.HLV5r3.Analytics.Miscellaneous.Zero2DF(_xll.HLV5r3.Analytics.Miscellaneous.LinearInterp(Peturbed_QZ,$K183,1,M$1),ZeroCompFreq,'PDH Calc'!$K183/365)</f>
        <v>1</v>
      </c>
      <c r="N183" s="8">
        <f ca="1">_xll.HLV5r3.Analytics.Miscellaneous.Zero2DF(_xll.HLV5r3.Analytics.Miscellaneous.LinearInterp(Peturbed_QZ,$K183,1,N$1),ZeroCompFreq,'PDH Calc'!$K183/365)</f>
        <v>1</v>
      </c>
      <c r="O183" s="8">
        <f ca="1">_xll.HLV5r3.Analytics.Miscellaneous.Zero2DF(_xll.HLV5r3.Analytics.Miscellaneous.LinearInterp(Peturbed_QZ,$K183,1,O$1),ZeroCompFreq,'PDH Calc'!$K183/365)</f>
        <v>1</v>
      </c>
      <c r="P183" s="8">
        <f ca="1">_xll.HLV5r3.Analytics.Miscellaneous.Zero2DF(_xll.HLV5r3.Analytics.Miscellaneous.LinearInterp(Peturbed_QZ,$K183,1,P$1),ZeroCompFreq,'PDH Calc'!$K183/365)</f>
        <v>1</v>
      </c>
      <c r="Q183" s="8">
        <f ca="1">_xll.HLV5r3.Analytics.Miscellaneous.Zero2DF(_xll.HLV5r3.Analytics.Miscellaneous.LinearInterp(Peturbed_QZ,$K183,1,Q$1),ZeroCompFreq,'PDH Calc'!$K183/365)</f>
        <v>1</v>
      </c>
      <c r="R183" s="8">
        <f ca="1">_xll.HLV5r3.Analytics.Miscellaneous.Zero2DF(_xll.HLV5r3.Analytics.Miscellaneous.LinearInterp(Peturbed_QZ,$K183,1,R$1),ZeroCompFreq,'PDH Calc'!$K183/365)</f>
        <v>1</v>
      </c>
      <c r="S183" s="8">
        <f ca="1">_xll.HLV5r3.Analytics.Miscellaneous.Zero2DF(_xll.HLV5r3.Analytics.Miscellaneous.LinearInterp(Peturbed_QZ,$K183,1,S$1),ZeroCompFreq,'PDH Calc'!$K183/365)</f>
        <v>1</v>
      </c>
      <c r="T183" s="8">
        <f ca="1">_xll.HLV5r3.Analytics.Miscellaneous.Zero2DF(_xll.HLV5r3.Analytics.Miscellaneous.LinearInterp(Peturbed_QZ,$K183,1,T$1),ZeroCompFreq,'PDH Calc'!$K183/365)</f>
        <v>1</v>
      </c>
      <c r="U183" s="8">
        <f ca="1">_xll.HLV5r3.Analytics.Miscellaneous.Zero2DF(_xll.HLV5r3.Analytics.Miscellaneous.LinearInterp(Peturbed_QZ,$K183,1,U$1),ZeroCompFreq,'PDH Calc'!$K183/365)</f>
        <v>1</v>
      </c>
      <c r="V183" s="8">
        <f ca="1">_xll.HLV5r3.Analytics.Miscellaneous.Zero2DF(_xll.HLV5r3.Analytics.Miscellaneous.LinearInterp(Peturbed_QZ,$K183,1,V$1),ZeroCompFreq,'PDH Calc'!$K183/365)</f>
        <v>1</v>
      </c>
      <c r="W183" s="8">
        <f ca="1">_xll.HLV5r3.Analytics.Miscellaneous.Zero2DF(_xll.HLV5r3.Analytics.Miscellaneous.LinearInterp(Peturbed_QZ,$K183,1,W$1),ZeroCompFreq,'PDH Calc'!$K183/365)</f>
        <v>1</v>
      </c>
      <c r="X183" s="8">
        <f ca="1">_xll.HLV5r3.Analytics.Miscellaneous.Zero2DF(_xll.HLV5r3.Analytics.Miscellaneous.LinearInterp(Peturbed_QZ,$K183,1,X$1),ZeroCompFreq,'PDH Calc'!$K183/365)</f>
        <v>1</v>
      </c>
      <c r="Y183" s="8">
        <f ca="1">_xll.HLV5r3.Analytics.Miscellaneous.Zero2DF(_xll.HLV5r3.Analytics.Miscellaneous.LinearInterp(Peturbed_QZ,$K183,1,Y$1),ZeroCompFreq,'PDH Calc'!$K183/365)</f>
        <v>1</v>
      </c>
      <c r="Z183" s="8">
        <f ca="1">_xll.HLV5r3.Analytics.Miscellaneous.Zero2DF(_xll.HLV5r3.Analytics.Miscellaneous.LinearInterp(Peturbed_QZ,$K183,1,Z$1),ZeroCompFreq,'PDH Calc'!$K183/365)</f>
        <v>1</v>
      </c>
      <c r="AA183" s="8">
        <f ca="1">_xll.HLV5r3.Analytics.Miscellaneous.Zero2DF(_xll.HLV5r3.Analytics.Miscellaneous.LinearInterp(Peturbed_QZ,$K183,1,AA$1),ZeroCompFreq,'PDH Calc'!$K183/365)</f>
        <v>1</v>
      </c>
      <c r="AB183" s="8">
        <f ca="1">_xll.HLV5r3.Analytics.Miscellaneous.Zero2DF(_xll.HLV5r3.Analytics.Miscellaneous.LinearInterp(Peturbed_QZ,$K183,1,AB$1),ZeroCompFreq,'PDH Calc'!$K183/365)</f>
        <v>1</v>
      </c>
      <c r="AC183" s="8">
        <f ca="1">_xll.HLV5r3.Analytics.Miscellaneous.Zero2DF(_xll.HLV5r3.Analytics.Miscellaneous.LinearInterp(Peturbed_QZ,$K183,1,AC$1),ZeroCompFreq,'PDH Calc'!$K183/365)</f>
        <v>1</v>
      </c>
      <c r="AD183" s="8">
        <f ca="1">_xll.HLV5r3.Analytics.Miscellaneous.Zero2DF(_xll.HLV5r3.Analytics.Miscellaneous.LinearInterp(Peturbed_QZ,$K183,1,AD$1),ZeroCompFreq,'PDH Calc'!$K183/365)</f>
        <v>1</v>
      </c>
      <c r="AE183" s="8">
        <f ca="1">_xll.HLV5r3.Analytics.Miscellaneous.Zero2DF(_xll.HLV5r3.Analytics.Miscellaneous.LinearInterp(Peturbed_QZ,$K183,1,AE$1),ZeroCompFreq,'PDH Calc'!$K183/365)</f>
        <v>1</v>
      </c>
      <c r="AF183" s="8">
        <f ca="1">_xll.HLV5r3.Analytics.Miscellaneous.Zero2DF(_xll.HLV5r3.Analytics.Miscellaneous.LinearInterp(Peturbed_QZ,$K183,1,AF$1),ZeroCompFreq,'PDH Calc'!$K183/365)</f>
        <v>1</v>
      </c>
      <c r="AG183" s="8">
        <f ca="1">_xll.HLV5r3.Analytics.Miscellaneous.Zero2DF(_xll.HLV5r3.Analytics.Miscellaneous.LinearInterp(Peturbed_QZ,$K183,1,AG$1),ZeroCompFreq,'PDH Calc'!$K183/365)</f>
        <v>1</v>
      </c>
      <c r="AH183" s="8">
        <f ca="1">_xll.HLV5r3.Analytics.Miscellaneous.Zero2DF(_xll.HLV5r3.Analytics.Miscellaneous.LinearInterp(Peturbed_QZ,$K183,1,AH$1),ZeroCompFreq,'PDH Calc'!$K183/365)</f>
        <v>1</v>
      </c>
      <c r="AI183" s="8">
        <f ca="1">_xll.HLV5r3.Analytics.Miscellaneous.Zero2DF(_xll.HLV5r3.Analytics.Miscellaneous.LinearInterp(Peturbed_QZ,$K183,1,AI$1),ZeroCompFreq,'PDH Calc'!$K183/365)</f>
        <v>1</v>
      </c>
      <c r="AJ183" s="8">
        <f ca="1">_xll.HLV5r3.Analytics.Miscellaneous.Zero2DF(_xll.HLV5r3.Analytics.Miscellaneous.LinearInterp(Peturbed_QZ,$K183,1,AJ$1),ZeroCompFreq,'PDH Calc'!$K183/365)</f>
        <v>1</v>
      </c>
      <c r="AK183" s="8">
        <f ca="1">_xll.HLV5r3.Analytics.Miscellaneous.Zero2DF(_xll.HLV5r3.Analytics.Miscellaneous.LinearInterp(Peturbed_QZ,$K183,1,AK$1),ZeroCompFreq,'PDH Calc'!$K183/365)</f>
        <v>1</v>
      </c>
    </row>
    <row r="184" spans="1:37">
      <c r="A184" s="4"/>
      <c r="B184" s="6"/>
      <c r="F184" s="11"/>
      <c r="G184" s="6"/>
      <c r="H184" s="20"/>
      <c r="I184" s="21"/>
      <c r="J184" s="26"/>
      <c r="K184" s="6">
        <f t="shared" ca="1" si="9"/>
        <v>0</v>
      </c>
      <c r="L184" s="8">
        <f ca="1">_xll.HLV5r3.Analytics.Miscellaneous.Zero2DF(_xll.HLV5r3.Analytics.Miscellaneous.LinearInterp(Peturbed_QZ,$K184,1,L$1),ZeroCompFreq,'PDH Calc'!$K184/365)</f>
        <v>1</v>
      </c>
      <c r="M184" s="8">
        <f ca="1">_xll.HLV5r3.Analytics.Miscellaneous.Zero2DF(_xll.HLV5r3.Analytics.Miscellaneous.LinearInterp(Peturbed_QZ,$K184,1,M$1),ZeroCompFreq,'PDH Calc'!$K184/365)</f>
        <v>1</v>
      </c>
      <c r="N184" s="8">
        <f ca="1">_xll.HLV5r3.Analytics.Miscellaneous.Zero2DF(_xll.HLV5r3.Analytics.Miscellaneous.LinearInterp(Peturbed_QZ,$K184,1,N$1),ZeroCompFreq,'PDH Calc'!$K184/365)</f>
        <v>1</v>
      </c>
      <c r="O184" s="8">
        <f ca="1">_xll.HLV5r3.Analytics.Miscellaneous.Zero2DF(_xll.HLV5r3.Analytics.Miscellaneous.LinearInterp(Peturbed_QZ,$K184,1,O$1),ZeroCompFreq,'PDH Calc'!$K184/365)</f>
        <v>1</v>
      </c>
      <c r="P184" s="8">
        <f ca="1">_xll.HLV5r3.Analytics.Miscellaneous.Zero2DF(_xll.HLV5r3.Analytics.Miscellaneous.LinearInterp(Peturbed_QZ,$K184,1,P$1),ZeroCompFreq,'PDH Calc'!$K184/365)</f>
        <v>1</v>
      </c>
      <c r="Q184" s="8">
        <f ca="1">_xll.HLV5r3.Analytics.Miscellaneous.Zero2DF(_xll.HLV5r3.Analytics.Miscellaneous.LinearInterp(Peturbed_QZ,$K184,1,Q$1),ZeroCompFreq,'PDH Calc'!$K184/365)</f>
        <v>1</v>
      </c>
      <c r="R184" s="8">
        <f ca="1">_xll.HLV5r3.Analytics.Miscellaneous.Zero2DF(_xll.HLV5r3.Analytics.Miscellaneous.LinearInterp(Peturbed_QZ,$K184,1,R$1),ZeroCompFreq,'PDH Calc'!$K184/365)</f>
        <v>1</v>
      </c>
      <c r="S184" s="8">
        <f ca="1">_xll.HLV5r3.Analytics.Miscellaneous.Zero2DF(_xll.HLV5r3.Analytics.Miscellaneous.LinearInterp(Peturbed_QZ,$K184,1,S$1),ZeroCompFreq,'PDH Calc'!$K184/365)</f>
        <v>1</v>
      </c>
      <c r="T184" s="8">
        <f ca="1">_xll.HLV5r3.Analytics.Miscellaneous.Zero2DF(_xll.HLV5r3.Analytics.Miscellaneous.LinearInterp(Peturbed_QZ,$K184,1,T$1),ZeroCompFreq,'PDH Calc'!$K184/365)</f>
        <v>1</v>
      </c>
      <c r="U184" s="8">
        <f ca="1">_xll.HLV5r3.Analytics.Miscellaneous.Zero2DF(_xll.HLV5r3.Analytics.Miscellaneous.LinearInterp(Peturbed_QZ,$K184,1,U$1),ZeroCompFreq,'PDH Calc'!$K184/365)</f>
        <v>1</v>
      </c>
      <c r="V184" s="8">
        <f ca="1">_xll.HLV5r3.Analytics.Miscellaneous.Zero2DF(_xll.HLV5r3.Analytics.Miscellaneous.LinearInterp(Peturbed_QZ,$K184,1,V$1),ZeroCompFreq,'PDH Calc'!$K184/365)</f>
        <v>1</v>
      </c>
      <c r="W184" s="8">
        <f ca="1">_xll.HLV5r3.Analytics.Miscellaneous.Zero2DF(_xll.HLV5r3.Analytics.Miscellaneous.LinearInterp(Peturbed_QZ,$K184,1,W$1),ZeroCompFreq,'PDH Calc'!$K184/365)</f>
        <v>1</v>
      </c>
      <c r="X184" s="8">
        <f ca="1">_xll.HLV5r3.Analytics.Miscellaneous.Zero2DF(_xll.HLV5r3.Analytics.Miscellaneous.LinearInterp(Peturbed_QZ,$K184,1,X$1),ZeroCompFreq,'PDH Calc'!$K184/365)</f>
        <v>1</v>
      </c>
      <c r="Y184" s="8">
        <f ca="1">_xll.HLV5r3.Analytics.Miscellaneous.Zero2DF(_xll.HLV5r3.Analytics.Miscellaneous.LinearInterp(Peturbed_QZ,$K184,1,Y$1),ZeroCompFreq,'PDH Calc'!$K184/365)</f>
        <v>1</v>
      </c>
      <c r="Z184" s="8">
        <f ca="1">_xll.HLV5r3.Analytics.Miscellaneous.Zero2DF(_xll.HLV5r3.Analytics.Miscellaneous.LinearInterp(Peturbed_QZ,$K184,1,Z$1),ZeroCompFreq,'PDH Calc'!$K184/365)</f>
        <v>1</v>
      </c>
      <c r="AA184" s="8">
        <f ca="1">_xll.HLV5r3.Analytics.Miscellaneous.Zero2DF(_xll.HLV5r3.Analytics.Miscellaneous.LinearInterp(Peturbed_QZ,$K184,1,AA$1),ZeroCompFreq,'PDH Calc'!$K184/365)</f>
        <v>1</v>
      </c>
      <c r="AB184" s="8">
        <f ca="1">_xll.HLV5r3.Analytics.Miscellaneous.Zero2DF(_xll.HLV5r3.Analytics.Miscellaneous.LinearInterp(Peturbed_QZ,$K184,1,AB$1),ZeroCompFreq,'PDH Calc'!$K184/365)</f>
        <v>1</v>
      </c>
      <c r="AC184" s="8">
        <f ca="1">_xll.HLV5r3.Analytics.Miscellaneous.Zero2DF(_xll.HLV5r3.Analytics.Miscellaneous.LinearInterp(Peturbed_QZ,$K184,1,AC$1),ZeroCompFreq,'PDH Calc'!$K184/365)</f>
        <v>1</v>
      </c>
      <c r="AD184" s="8">
        <f ca="1">_xll.HLV5r3.Analytics.Miscellaneous.Zero2DF(_xll.HLV5r3.Analytics.Miscellaneous.LinearInterp(Peturbed_QZ,$K184,1,AD$1),ZeroCompFreq,'PDH Calc'!$K184/365)</f>
        <v>1</v>
      </c>
      <c r="AE184" s="8">
        <f ca="1">_xll.HLV5r3.Analytics.Miscellaneous.Zero2DF(_xll.HLV5r3.Analytics.Miscellaneous.LinearInterp(Peturbed_QZ,$K184,1,AE$1),ZeroCompFreq,'PDH Calc'!$K184/365)</f>
        <v>1</v>
      </c>
      <c r="AF184" s="8">
        <f ca="1">_xll.HLV5r3.Analytics.Miscellaneous.Zero2DF(_xll.HLV5r3.Analytics.Miscellaneous.LinearInterp(Peturbed_QZ,$K184,1,AF$1),ZeroCompFreq,'PDH Calc'!$K184/365)</f>
        <v>1</v>
      </c>
      <c r="AG184" s="8">
        <f ca="1">_xll.HLV5r3.Analytics.Miscellaneous.Zero2DF(_xll.HLV5r3.Analytics.Miscellaneous.LinearInterp(Peturbed_QZ,$K184,1,AG$1),ZeroCompFreq,'PDH Calc'!$K184/365)</f>
        <v>1</v>
      </c>
      <c r="AH184" s="8">
        <f ca="1">_xll.HLV5r3.Analytics.Miscellaneous.Zero2DF(_xll.HLV5r3.Analytics.Miscellaneous.LinearInterp(Peturbed_QZ,$K184,1,AH$1),ZeroCompFreq,'PDH Calc'!$K184/365)</f>
        <v>1</v>
      </c>
      <c r="AI184" s="8">
        <f ca="1">_xll.HLV5r3.Analytics.Miscellaneous.Zero2DF(_xll.HLV5r3.Analytics.Miscellaneous.LinearInterp(Peturbed_QZ,$K184,1,AI$1),ZeroCompFreq,'PDH Calc'!$K184/365)</f>
        <v>1</v>
      </c>
      <c r="AJ184" s="8">
        <f ca="1">_xll.HLV5r3.Analytics.Miscellaneous.Zero2DF(_xll.HLV5r3.Analytics.Miscellaneous.LinearInterp(Peturbed_QZ,$K184,1,AJ$1),ZeroCompFreq,'PDH Calc'!$K184/365)</f>
        <v>1</v>
      </c>
      <c r="AK184" s="8">
        <f ca="1">_xll.HLV5r3.Analytics.Miscellaneous.Zero2DF(_xll.HLV5r3.Analytics.Miscellaneous.LinearInterp(Peturbed_QZ,$K184,1,AK$1),ZeroCompFreq,'PDH Calc'!$K184/365)</f>
        <v>1</v>
      </c>
    </row>
    <row r="185" spans="1:37">
      <c r="A185" s="4"/>
      <c r="B185" s="6"/>
      <c r="F185" s="11"/>
      <c r="G185" s="6"/>
      <c r="H185" s="20"/>
      <c r="I185" s="21"/>
      <c r="J185" s="26"/>
      <c r="K185" s="6">
        <f t="shared" ca="1" si="9"/>
        <v>0</v>
      </c>
      <c r="L185" s="8">
        <f ca="1">_xll.HLV5r3.Analytics.Miscellaneous.Zero2DF(_xll.HLV5r3.Analytics.Miscellaneous.LinearInterp(Peturbed_QZ,$K185,1,L$1),ZeroCompFreq,'PDH Calc'!$K185/365)</f>
        <v>1</v>
      </c>
      <c r="M185" s="8">
        <f ca="1">_xll.HLV5r3.Analytics.Miscellaneous.Zero2DF(_xll.HLV5r3.Analytics.Miscellaneous.LinearInterp(Peturbed_QZ,$K185,1,M$1),ZeroCompFreq,'PDH Calc'!$K185/365)</f>
        <v>1</v>
      </c>
      <c r="N185" s="8">
        <f ca="1">_xll.HLV5r3.Analytics.Miscellaneous.Zero2DF(_xll.HLV5r3.Analytics.Miscellaneous.LinearInterp(Peturbed_QZ,$K185,1,N$1),ZeroCompFreq,'PDH Calc'!$K185/365)</f>
        <v>1</v>
      </c>
      <c r="O185" s="8">
        <f ca="1">_xll.HLV5r3.Analytics.Miscellaneous.Zero2DF(_xll.HLV5r3.Analytics.Miscellaneous.LinearInterp(Peturbed_QZ,$K185,1,O$1),ZeroCompFreq,'PDH Calc'!$K185/365)</f>
        <v>1</v>
      </c>
      <c r="P185" s="8">
        <f ca="1">_xll.HLV5r3.Analytics.Miscellaneous.Zero2DF(_xll.HLV5r3.Analytics.Miscellaneous.LinearInterp(Peturbed_QZ,$K185,1,P$1),ZeroCompFreq,'PDH Calc'!$K185/365)</f>
        <v>1</v>
      </c>
      <c r="Q185" s="8">
        <f ca="1">_xll.HLV5r3.Analytics.Miscellaneous.Zero2DF(_xll.HLV5r3.Analytics.Miscellaneous.LinearInterp(Peturbed_QZ,$K185,1,Q$1),ZeroCompFreq,'PDH Calc'!$K185/365)</f>
        <v>1</v>
      </c>
      <c r="R185" s="8">
        <f ca="1">_xll.HLV5r3.Analytics.Miscellaneous.Zero2DF(_xll.HLV5r3.Analytics.Miscellaneous.LinearInterp(Peturbed_QZ,$K185,1,R$1),ZeroCompFreq,'PDH Calc'!$K185/365)</f>
        <v>1</v>
      </c>
      <c r="S185" s="8">
        <f ca="1">_xll.HLV5r3.Analytics.Miscellaneous.Zero2DF(_xll.HLV5r3.Analytics.Miscellaneous.LinearInterp(Peturbed_QZ,$K185,1,S$1),ZeroCompFreq,'PDH Calc'!$K185/365)</f>
        <v>1</v>
      </c>
      <c r="T185" s="8">
        <f ca="1">_xll.HLV5r3.Analytics.Miscellaneous.Zero2DF(_xll.HLV5r3.Analytics.Miscellaneous.LinearInterp(Peturbed_QZ,$K185,1,T$1),ZeroCompFreq,'PDH Calc'!$K185/365)</f>
        <v>1</v>
      </c>
      <c r="U185" s="8">
        <f ca="1">_xll.HLV5r3.Analytics.Miscellaneous.Zero2DF(_xll.HLV5r3.Analytics.Miscellaneous.LinearInterp(Peturbed_QZ,$K185,1,U$1),ZeroCompFreq,'PDH Calc'!$K185/365)</f>
        <v>1</v>
      </c>
      <c r="V185" s="8">
        <f ca="1">_xll.HLV5r3.Analytics.Miscellaneous.Zero2DF(_xll.HLV5r3.Analytics.Miscellaneous.LinearInterp(Peturbed_QZ,$K185,1,V$1),ZeroCompFreq,'PDH Calc'!$K185/365)</f>
        <v>1</v>
      </c>
      <c r="W185" s="8">
        <f ca="1">_xll.HLV5r3.Analytics.Miscellaneous.Zero2DF(_xll.HLV5r3.Analytics.Miscellaneous.LinearInterp(Peturbed_QZ,$K185,1,W$1),ZeroCompFreq,'PDH Calc'!$K185/365)</f>
        <v>1</v>
      </c>
      <c r="X185" s="8">
        <f ca="1">_xll.HLV5r3.Analytics.Miscellaneous.Zero2DF(_xll.HLV5r3.Analytics.Miscellaneous.LinearInterp(Peturbed_QZ,$K185,1,X$1),ZeroCompFreq,'PDH Calc'!$K185/365)</f>
        <v>1</v>
      </c>
      <c r="Y185" s="8">
        <f ca="1">_xll.HLV5r3.Analytics.Miscellaneous.Zero2DF(_xll.HLV5r3.Analytics.Miscellaneous.LinearInterp(Peturbed_QZ,$K185,1,Y$1),ZeroCompFreq,'PDH Calc'!$K185/365)</f>
        <v>1</v>
      </c>
      <c r="Z185" s="8">
        <f ca="1">_xll.HLV5r3.Analytics.Miscellaneous.Zero2DF(_xll.HLV5r3.Analytics.Miscellaneous.LinearInterp(Peturbed_QZ,$K185,1,Z$1),ZeroCompFreq,'PDH Calc'!$K185/365)</f>
        <v>1</v>
      </c>
      <c r="AA185" s="8">
        <f ca="1">_xll.HLV5r3.Analytics.Miscellaneous.Zero2DF(_xll.HLV5r3.Analytics.Miscellaneous.LinearInterp(Peturbed_QZ,$K185,1,AA$1),ZeroCompFreq,'PDH Calc'!$K185/365)</f>
        <v>1</v>
      </c>
      <c r="AB185" s="8">
        <f ca="1">_xll.HLV5r3.Analytics.Miscellaneous.Zero2DF(_xll.HLV5r3.Analytics.Miscellaneous.LinearInterp(Peturbed_QZ,$K185,1,AB$1),ZeroCompFreq,'PDH Calc'!$K185/365)</f>
        <v>1</v>
      </c>
      <c r="AC185" s="8">
        <f ca="1">_xll.HLV5r3.Analytics.Miscellaneous.Zero2DF(_xll.HLV5r3.Analytics.Miscellaneous.LinearInterp(Peturbed_QZ,$K185,1,AC$1),ZeroCompFreq,'PDH Calc'!$K185/365)</f>
        <v>1</v>
      </c>
      <c r="AD185" s="8">
        <f ca="1">_xll.HLV5r3.Analytics.Miscellaneous.Zero2DF(_xll.HLV5r3.Analytics.Miscellaneous.LinearInterp(Peturbed_QZ,$K185,1,AD$1),ZeroCompFreq,'PDH Calc'!$K185/365)</f>
        <v>1</v>
      </c>
      <c r="AE185" s="8">
        <f ca="1">_xll.HLV5r3.Analytics.Miscellaneous.Zero2DF(_xll.HLV5r3.Analytics.Miscellaneous.LinearInterp(Peturbed_QZ,$K185,1,AE$1),ZeroCompFreq,'PDH Calc'!$K185/365)</f>
        <v>1</v>
      </c>
      <c r="AF185" s="8">
        <f ca="1">_xll.HLV5r3.Analytics.Miscellaneous.Zero2DF(_xll.HLV5r3.Analytics.Miscellaneous.LinearInterp(Peturbed_QZ,$K185,1,AF$1),ZeroCompFreq,'PDH Calc'!$K185/365)</f>
        <v>1</v>
      </c>
      <c r="AG185" s="8">
        <f ca="1">_xll.HLV5r3.Analytics.Miscellaneous.Zero2DF(_xll.HLV5r3.Analytics.Miscellaneous.LinearInterp(Peturbed_QZ,$K185,1,AG$1),ZeroCompFreq,'PDH Calc'!$K185/365)</f>
        <v>1</v>
      </c>
      <c r="AH185" s="8">
        <f ca="1">_xll.HLV5r3.Analytics.Miscellaneous.Zero2DF(_xll.HLV5r3.Analytics.Miscellaneous.LinearInterp(Peturbed_QZ,$K185,1,AH$1),ZeroCompFreq,'PDH Calc'!$K185/365)</f>
        <v>1</v>
      </c>
      <c r="AI185" s="8">
        <f ca="1">_xll.HLV5r3.Analytics.Miscellaneous.Zero2DF(_xll.HLV5r3.Analytics.Miscellaneous.LinearInterp(Peturbed_QZ,$K185,1,AI$1),ZeroCompFreq,'PDH Calc'!$K185/365)</f>
        <v>1</v>
      </c>
      <c r="AJ185" s="8">
        <f ca="1">_xll.HLV5r3.Analytics.Miscellaneous.Zero2DF(_xll.HLV5r3.Analytics.Miscellaneous.LinearInterp(Peturbed_QZ,$K185,1,AJ$1),ZeroCompFreq,'PDH Calc'!$K185/365)</f>
        <v>1</v>
      </c>
      <c r="AK185" s="8">
        <f ca="1">_xll.HLV5r3.Analytics.Miscellaneous.Zero2DF(_xll.HLV5r3.Analytics.Miscellaneous.LinearInterp(Peturbed_QZ,$K185,1,AK$1),ZeroCompFreq,'PDH Calc'!$K185/365)</f>
        <v>1</v>
      </c>
    </row>
    <row r="186" spans="1:37">
      <c r="A186" s="4"/>
      <c r="B186" s="6"/>
      <c r="F186" s="11"/>
      <c r="G186" s="6"/>
      <c r="H186" s="20"/>
      <c r="I186" s="21"/>
      <c r="J186" s="26"/>
      <c r="K186" s="6">
        <f t="shared" ca="1" si="9"/>
        <v>0</v>
      </c>
      <c r="L186" s="8">
        <f ca="1">_xll.HLV5r3.Analytics.Miscellaneous.Zero2DF(_xll.HLV5r3.Analytics.Miscellaneous.LinearInterp(Peturbed_QZ,$K186,1,L$1),ZeroCompFreq,'PDH Calc'!$K186/365)</f>
        <v>1</v>
      </c>
      <c r="M186" s="8">
        <f ca="1">_xll.HLV5r3.Analytics.Miscellaneous.Zero2DF(_xll.HLV5r3.Analytics.Miscellaneous.LinearInterp(Peturbed_QZ,$K186,1,M$1),ZeroCompFreq,'PDH Calc'!$K186/365)</f>
        <v>1</v>
      </c>
      <c r="N186" s="8">
        <f ca="1">_xll.HLV5r3.Analytics.Miscellaneous.Zero2DF(_xll.HLV5r3.Analytics.Miscellaneous.LinearInterp(Peturbed_QZ,$K186,1,N$1),ZeroCompFreq,'PDH Calc'!$K186/365)</f>
        <v>1</v>
      </c>
      <c r="O186" s="8">
        <f ca="1">_xll.HLV5r3.Analytics.Miscellaneous.Zero2DF(_xll.HLV5r3.Analytics.Miscellaneous.LinearInterp(Peturbed_QZ,$K186,1,O$1),ZeroCompFreq,'PDH Calc'!$K186/365)</f>
        <v>1</v>
      </c>
      <c r="P186" s="8">
        <f ca="1">_xll.HLV5r3.Analytics.Miscellaneous.Zero2DF(_xll.HLV5r3.Analytics.Miscellaneous.LinearInterp(Peturbed_QZ,$K186,1,P$1),ZeroCompFreq,'PDH Calc'!$K186/365)</f>
        <v>1</v>
      </c>
      <c r="Q186" s="8">
        <f ca="1">_xll.HLV5r3.Analytics.Miscellaneous.Zero2DF(_xll.HLV5r3.Analytics.Miscellaneous.LinearInterp(Peturbed_QZ,$K186,1,Q$1),ZeroCompFreq,'PDH Calc'!$K186/365)</f>
        <v>1</v>
      </c>
      <c r="R186" s="8">
        <f ca="1">_xll.HLV5r3.Analytics.Miscellaneous.Zero2DF(_xll.HLV5r3.Analytics.Miscellaneous.LinearInterp(Peturbed_QZ,$K186,1,R$1),ZeroCompFreq,'PDH Calc'!$K186/365)</f>
        <v>1</v>
      </c>
      <c r="S186" s="8">
        <f ca="1">_xll.HLV5r3.Analytics.Miscellaneous.Zero2DF(_xll.HLV5r3.Analytics.Miscellaneous.LinearInterp(Peturbed_QZ,$K186,1,S$1),ZeroCompFreq,'PDH Calc'!$K186/365)</f>
        <v>1</v>
      </c>
      <c r="T186" s="8">
        <f ca="1">_xll.HLV5r3.Analytics.Miscellaneous.Zero2DF(_xll.HLV5r3.Analytics.Miscellaneous.LinearInterp(Peturbed_QZ,$K186,1,T$1),ZeroCompFreq,'PDH Calc'!$K186/365)</f>
        <v>1</v>
      </c>
      <c r="U186" s="8">
        <f ca="1">_xll.HLV5r3.Analytics.Miscellaneous.Zero2DF(_xll.HLV5r3.Analytics.Miscellaneous.LinearInterp(Peturbed_QZ,$K186,1,U$1),ZeroCompFreq,'PDH Calc'!$K186/365)</f>
        <v>1</v>
      </c>
      <c r="V186" s="8">
        <f ca="1">_xll.HLV5r3.Analytics.Miscellaneous.Zero2DF(_xll.HLV5r3.Analytics.Miscellaneous.LinearInterp(Peturbed_QZ,$K186,1,V$1),ZeroCompFreq,'PDH Calc'!$K186/365)</f>
        <v>1</v>
      </c>
      <c r="W186" s="8">
        <f ca="1">_xll.HLV5r3.Analytics.Miscellaneous.Zero2DF(_xll.HLV5r3.Analytics.Miscellaneous.LinearInterp(Peturbed_QZ,$K186,1,W$1),ZeroCompFreq,'PDH Calc'!$K186/365)</f>
        <v>1</v>
      </c>
      <c r="X186" s="8">
        <f ca="1">_xll.HLV5r3.Analytics.Miscellaneous.Zero2DF(_xll.HLV5r3.Analytics.Miscellaneous.LinearInterp(Peturbed_QZ,$K186,1,X$1),ZeroCompFreq,'PDH Calc'!$K186/365)</f>
        <v>1</v>
      </c>
      <c r="Y186" s="8">
        <f ca="1">_xll.HLV5r3.Analytics.Miscellaneous.Zero2DF(_xll.HLV5r3.Analytics.Miscellaneous.LinearInterp(Peturbed_QZ,$K186,1,Y$1),ZeroCompFreq,'PDH Calc'!$K186/365)</f>
        <v>1</v>
      </c>
      <c r="Z186" s="8">
        <f ca="1">_xll.HLV5r3.Analytics.Miscellaneous.Zero2DF(_xll.HLV5r3.Analytics.Miscellaneous.LinearInterp(Peturbed_QZ,$K186,1,Z$1),ZeroCompFreq,'PDH Calc'!$K186/365)</f>
        <v>1</v>
      </c>
      <c r="AA186" s="8">
        <f ca="1">_xll.HLV5r3.Analytics.Miscellaneous.Zero2DF(_xll.HLV5r3.Analytics.Miscellaneous.LinearInterp(Peturbed_QZ,$K186,1,AA$1),ZeroCompFreq,'PDH Calc'!$K186/365)</f>
        <v>1</v>
      </c>
      <c r="AB186" s="8">
        <f ca="1">_xll.HLV5r3.Analytics.Miscellaneous.Zero2DF(_xll.HLV5r3.Analytics.Miscellaneous.LinearInterp(Peturbed_QZ,$K186,1,AB$1),ZeroCompFreq,'PDH Calc'!$K186/365)</f>
        <v>1</v>
      </c>
      <c r="AC186" s="8">
        <f ca="1">_xll.HLV5r3.Analytics.Miscellaneous.Zero2DF(_xll.HLV5r3.Analytics.Miscellaneous.LinearInterp(Peturbed_QZ,$K186,1,AC$1),ZeroCompFreq,'PDH Calc'!$K186/365)</f>
        <v>1</v>
      </c>
      <c r="AD186" s="8">
        <f ca="1">_xll.HLV5r3.Analytics.Miscellaneous.Zero2DF(_xll.HLV5r3.Analytics.Miscellaneous.LinearInterp(Peturbed_QZ,$K186,1,AD$1),ZeroCompFreq,'PDH Calc'!$K186/365)</f>
        <v>1</v>
      </c>
      <c r="AE186" s="8">
        <f ca="1">_xll.HLV5r3.Analytics.Miscellaneous.Zero2DF(_xll.HLV5r3.Analytics.Miscellaneous.LinearInterp(Peturbed_QZ,$K186,1,AE$1),ZeroCompFreq,'PDH Calc'!$K186/365)</f>
        <v>1</v>
      </c>
      <c r="AF186" s="8">
        <f ca="1">_xll.HLV5r3.Analytics.Miscellaneous.Zero2DF(_xll.HLV5r3.Analytics.Miscellaneous.LinearInterp(Peturbed_QZ,$K186,1,AF$1),ZeroCompFreq,'PDH Calc'!$K186/365)</f>
        <v>1</v>
      </c>
      <c r="AG186" s="8">
        <f ca="1">_xll.HLV5r3.Analytics.Miscellaneous.Zero2DF(_xll.HLV5r3.Analytics.Miscellaneous.LinearInterp(Peturbed_QZ,$K186,1,AG$1),ZeroCompFreq,'PDH Calc'!$K186/365)</f>
        <v>1</v>
      </c>
      <c r="AH186" s="8">
        <f ca="1">_xll.HLV5r3.Analytics.Miscellaneous.Zero2DF(_xll.HLV5r3.Analytics.Miscellaneous.LinearInterp(Peturbed_QZ,$K186,1,AH$1),ZeroCompFreq,'PDH Calc'!$K186/365)</f>
        <v>1</v>
      </c>
      <c r="AI186" s="8">
        <f ca="1">_xll.HLV5r3.Analytics.Miscellaneous.Zero2DF(_xll.HLV5r3.Analytics.Miscellaneous.LinearInterp(Peturbed_QZ,$K186,1,AI$1),ZeroCompFreq,'PDH Calc'!$K186/365)</f>
        <v>1</v>
      </c>
      <c r="AJ186" s="8">
        <f ca="1">_xll.HLV5r3.Analytics.Miscellaneous.Zero2DF(_xll.HLV5r3.Analytics.Miscellaneous.LinearInterp(Peturbed_QZ,$K186,1,AJ$1),ZeroCompFreq,'PDH Calc'!$K186/365)</f>
        <v>1</v>
      </c>
      <c r="AK186" s="8">
        <f ca="1">_xll.HLV5r3.Analytics.Miscellaneous.Zero2DF(_xll.HLV5r3.Analytics.Miscellaneous.LinearInterp(Peturbed_QZ,$K186,1,AK$1),ZeroCompFreq,'PDH Calc'!$K186/365)</f>
        <v>1</v>
      </c>
    </row>
    <row r="187" spans="1:37">
      <c r="A187" s="4"/>
      <c r="B187" s="6"/>
      <c r="F187" s="11"/>
      <c r="G187" s="6"/>
      <c r="H187" s="20"/>
      <c r="I187" s="21"/>
      <c r="J187" s="26"/>
      <c r="K187" s="6">
        <f t="shared" ca="1" si="9"/>
        <v>0</v>
      </c>
      <c r="L187" s="8">
        <f ca="1">_xll.HLV5r3.Analytics.Miscellaneous.Zero2DF(_xll.HLV5r3.Analytics.Miscellaneous.LinearInterp(Peturbed_QZ,$K187,1,L$1),ZeroCompFreq,'PDH Calc'!$K187/365)</f>
        <v>1</v>
      </c>
      <c r="M187" s="8">
        <f ca="1">_xll.HLV5r3.Analytics.Miscellaneous.Zero2DF(_xll.HLV5r3.Analytics.Miscellaneous.LinearInterp(Peturbed_QZ,$K187,1,M$1),ZeroCompFreq,'PDH Calc'!$K187/365)</f>
        <v>1</v>
      </c>
      <c r="N187" s="8">
        <f ca="1">_xll.HLV5r3.Analytics.Miscellaneous.Zero2DF(_xll.HLV5r3.Analytics.Miscellaneous.LinearInterp(Peturbed_QZ,$K187,1,N$1),ZeroCompFreq,'PDH Calc'!$K187/365)</f>
        <v>1</v>
      </c>
      <c r="O187" s="8">
        <f ca="1">_xll.HLV5r3.Analytics.Miscellaneous.Zero2DF(_xll.HLV5r3.Analytics.Miscellaneous.LinearInterp(Peturbed_QZ,$K187,1,O$1),ZeroCompFreq,'PDH Calc'!$K187/365)</f>
        <v>1</v>
      </c>
      <c r="P187" s="8">
        <f ca="1">_xll.HLV5r3.Analytics.Miscellaneous.Zero2DF(_xll.HLV5r3.Analytics.Miscellaneous.LinearInterp(Peturbed_QZ,$K187,1,P$1),ZeroCompFreq,'PDH Calc'!$K187/365)</f>
        <v>1</v>
      </c>
      <c r="Q187" s="8">
        <f ca="1">_xll.HLV5r3.Analytics.Miscellaneous.Zero2DF(_xll.HLV5r3.Analytics.Miscellaneous.LinearInterp(Peturbed_QZ,$K187,1,Q$1),ZeroCompFreq,'PDH Calc'!$K187/365)</f>
        <v>1</v>
      </c>
      <c r="R187" s="8">
        <f ca="1">_xll.HLV5r3.Analytics.Miscellaneous.Zero2DF(_xll.HLV5r3.Analytics.Miscellaneous.LinearInterp(Peturbed_QZ,$K187,1,R$1),ZeroCompFreq,'PDH Calc'!$K187/365)</f>
        <v>1</v>
      </c>
      <c r="S187" s="8">
        <f ca="1">_xll.HLV5r3.Analytics.Miscellaneous.Zero2DF(_xll.HLV5r3.Analytics.Miscellaneous.LinearInterp(Peturbed_QZ,$K187,1,S$1),ZeroCompFreq,'PDH Calc'!$K187/365)</f>
        <v>1</v>
      </c>
      <c r="T187" s="8">
        <f ca="1">_xll.HLV5r3.Analytics.Miscellaneous.Zero2DF(_xll.HLV5r3.Analytics.Miscellaneous.LinearInterp(Peturbed_QZ,$K187,1,T$1),ZeroCompFreq,'PDH Calc'!$K187/365)</f>
        <v>1</v>
      </c>
      <c r="U187" s="8">
        <f ca="1">_xll.HLV5r3.Analytics.Miscellaneous.Zero2DF(_xll.HLV5r3.Analytics.Miscellaneous.LinearInterp(Peturbed_QZ,$K187,1,U$1),ZeroCompFreq,'PDH Calc'!$K187/365)</f>
        <v>1</v>
      </c>
      <c r="V187" s="8">
        <f ca="1">_xll.HLV5r3.Analytics.Miscellaneous.Zero2DF(_xll.HLV5r3.Analytics.Miscellaneous.LinearInterp(Peturbed_QZ,$K187,1,V$1),ZeroCompFreq,'PDH Calc'!$K187/365)</f>
        <v>1</v>
      </c>
      <c r="W187" s="8">
        <f ca="1">_xll.HLV5r3.Analytics.Miscellaneous.Zero2DF(_xll.HLV5r3.Analytics.Miscellaneous.LinearInterp(Peturbed_QZ,$K187,1,W$1),ZeroCompFreq,'PDH Calc'!$K187/365)</f>
        <v>1</v>
      </c>
      <c r="X187" s="8">
        <f ca="1">_xll.HLV5r3.Analytics.Miscellaneous.Zero2DF(_xll.HLV5r3.Analytics.Miscellaneous.LinearInterp(Peturbed_QZ,$K187,1,X$1),ZeroCompFreq,'PDH Calc'!$K187/365)</f>
        <v>1</v>
      </c>
      <c r="Y187" s="8">
        <f ca="1">_xll.HLV5r3.Analytics.Miscellaneous.Zero2DF(_xll.HLV5r3.Analytics.Miscellaneous.LinearInterp(Peturbed_QZ,$K187,1,Y$1),ZeroCompFreq,'PDH Calc'!$K187/365)</f>
        <v>1</v>
      </c>
      <c r="Z187" s="8">
        <f ca="1">_xll.HLV5r3.Analytics.Miscellaneous.Zero2DF(_xll.HLV5r3.Analytics.Miscellaneous.LinearInterp(Peturbed_QZ,$K187,1,Z$1),ZeroCompFreq,'PDH Calc'!$K187/365)</f>
        <v>1</v>
      </c>
      <c r="AA187" s="8">
        <f ca="1">_xll.HLV5r3.Analytics.Miscellaneous.Zero2DF(_xll.HLV5r3.Analytics.Miscellaneous.LinearInterp(Peturbed_QZ,$K187,1,AA$1),ZeroCompFreq,'PDH Calc'!$K187/365)</f>
        <v>1</v>
      </c>
      <c r="AB187" s="8">
        <f ca="1">_xll.HLV5r3.Analytics.Miscellaneous.Zero2DF(_xll.HLV5r3.Analytics.Miscellaneous.LinearInterp(Peturbed_QZ,$K187,1,AB$1),ZeroCompFreq,'PDH Calc'!$K187/365)</f>
        <v>1</v>
      </c>
      <c r="AC187" s="8">
        <f ca="1">_xll.HLV5r3.Analytics.Miscellaneous.Zero2DF(_xll.HLV5r3.Analytics.Miscellaneous.LinearInterp(Peturbed_QZ,$K187,1,AC$1),ZeroCompFreq,'PDH Calc'!$K187/365)</f>
        <v>1</v>
      </c>
      <c r="AD187" s="8">
        <f ca="1">_xll.HLV5r3.Analytics.Miscellaneous.Zero2DF(_xll.HLV5r3.Analytics.Miscellaneous.LinearInterp(Peturbed_QZ,$K187,1,AD$1),ZeroCompFreq,'PDH Calc'!$K187/365)</f>
        <v>1</v>
      </c>
      <c r="AE187" s="8">
        <f ca="1">_xll.HLV5r3.Analytics.Miscellaneous.Zero2DF(_xll.HLV5r3.Analytics.Miscellaneous.LinearInterp(Peturbed_QZ,$K187,1,AE$1),ZeroCompFreq,'PDH Calc'!$K187/365)</f>
        <v>1</v>
      </c>
      <c r="AF187" s="8">
        <f ca="1">_xll.HLV5r3.Analytics.Miscellaneous.Zero2DF(_xll.HLV5r3.Analytics.Miscellaneous.LinearInterp(Peturbed_QZ,$K187,1,AF$1),ZeroCompFreq,'PDH Calc'!$K187/365)</f>
        <v>1</v>
      </c>
      <c r="AG187" s="8">
        <f ca="1">_xll.HLV5r3.Analytics.Miscellaneous.Zero2DF(_xll.HLV5r3.Analytics.Miscellaneous.LinearInterp(Peturbed_QZ,$K187,1,AG$1),ZeroCompFreq,'PDH Calc'!$K187/365)</f>
        <v>1</v>
      </c>
      <c r="AH187" s="8">
        <f ca="1">_xll.HLV5r3.Analytics.Miscellaneous.Zero2DF(_xll.HLV5r3.Analytics.Miscellaneous.LinearInterp(Peturbed_QZ,$K187,1,AH$1),ZeroCompFreq,'PDH Calc'!$K187/365)</f>
        <v>1</v>
      </c>
      <c r="AI187" s="8">
        <f ca="1">_xll.HLV5r3.Analytics.Miscellaneous.Zero2DF(_xll.HLV5r3.Analytics.Miscellaneous.LinearInterp(Peturbed_QZ,$K187,1,AI$1),ZeroCompFreq,'PDH Calc'!$K187/365)</f>
        <v>1</v>
      </c>
      <c r="AJ187" s="8">
        <f ca="1">_xll.HLV5r3.Analytics.Miscellaneous.Zero2DF(_xll.HLV5r3.Analytics.Miscellaneous.LinearInterp(Peturbed_QZ,$K187,1,AJ$1),ZeroCompFreq,'PDH Calc'!$K187/365)</f>
        <v>1</v>
      </c>
      <c r="AK187" s="8">
        <f ca="1">_xll.HLV5r3.Analytics.Miscellaneous.Zero2DF(_xll.HLV5r3.Analytics.Miscellaneous.LinearInterp(Peturbed_QZ,$K187,1,AK$1),ZeroCompFreq,'PDH Calc'!$K187/365)</f>
        <v>1</v>
      </c>
    </row>
    <row r="188" spans="1:37">
      <c r="A188" s="4"/>
      <c r="B188" s="6"/>
      <c r="F188" s="11"/>
      <c r="G188" s="6"/>
      <c r="H188" s="20"/>
      <c r="I188" s="21"/>
      <c r="J188" s="26"/>
      <c r="K188" s="6">
        <f t="shared" ca="1" si="9"/>
        <v>0</v>
      </c>
      <c r="L188" s="8">
        <f ca="1">_xll.HLV5r3.Analytics.Miscellaneous.Zero2DF(_xll.HLV5r3.Analytics.Miscellaneous.LinearInterp(Peturbed_QZ,$K188,1,L$1),ZeroCompFreq,'PDH Calc'!$K188/365)</f>
        <v>1</v>
      </c>
      <c r="M188" s="8">
        <f ca="1">_xll.HLV5r3.Analytics.Miscellaneous.Zero2DF(_xll.HLV5r3.Analytics.Miscellaneous.LinearInterp(Peturbed_QZ,$K188,1,M$1),ZeroCompFreq,'PDH Calc'!$K188/365)</f>
        <v>1</v>
      </c>
      <c r="N188" s="8">
        <f ca="1">_xll.HLV5r3.Analytics.Miscellaneous.Zero2DF(_xll.HLV5r3.Analytics.Miscellaneous.LinearInterp(Peturbed_QZ,$K188,1,N$1),ZeroCompFreq,'PDH Calc'!$K188/365)</f>
        <v>1</v>
      </c>
      <c r="O188" s="8">
        <f ca="1">_xll.HLV5r3.Analytics.Miscellaneous.Zero2DF(_xll.HLV5r3.Analytics.Miscellaneous.LinearInterp(Peturbed_QZ,$K188,1,O$1),ZeroCompFreq,'PDH Calc'!$K188/365)</f>
        <v>1</v>
      </c>
      <c r="P188" s="8">
        <f ca="1">_xll.HLV5r3.Analytics.Miscellaneous.Zero2DF(_xll.HLV5r3.Analytics.Miscellaneous.LinearInterp(Peturbed_QZ,$K188,1,P$1),ZeroCompFreq,'PDH Calc'!$K188/365)</f>
        <v>1</v>
      </c>
      <c r="Q188" s="8">
        <f ca="1">_xll.HLV5r3.Analytics.Miscellaneous.Zero2DF(_xll.HLV5r3.Analytics.Miscellaneous.LinearInterp(Peturbed_QZ,$K188,1,Q$1),ZeroCompFreq,'PDH Calc'!$K188/365)</f>
        <v>1</v>
      </c>
      <c r="R188" s="8">
        <f ca="1">_xll.HLV5r3.Analytics.Miscellaneous.Zero2DF(_xll.HLV5r3.Analytics.Miscellaneous.LinearInterp(Peturbed_QZ,$K188,1,R$1),ZeroCompFreq,'PDH Calc'!$K188/365)</f>
        <v>1</v>
      </c>
      <c r="S188" s="8">
        <f ca="1">_xll.HLV5r3.Analytics.Miscellaneous.Zero2DF(_xll.HLV5r3.Analytics.Miscellaneous.LinearInterp(Peturbed_QZ,$K188,1,S$1),ZeroCompFreq,'PDH Calc'!$K188/365)</f>
        <v>1</v>
      </c>
      <c r="T188" s="8">
        <f ca="1">_xll.HLV5r3.Analytics.Miscellaneous.Zero2DF(_xll.HLV5r3.Analytics.Miscellaneous.LinearInterp(Peturbed_QZ,$K188,1,T$1),ZeroCompFreq,'PDH Calc'!$K188/365)</f>
        <v>1</v>
      </c>
      <c r="U188" s="8">
        <f ca="1">_xll.HLV5r3.Analytics.Miscellaneous.Zero2DF(_xll.HLV5r3.Analytics.Miscellaneous.LinearInterp(Peturbed_QZ,$K188,1,U$1),ZeroCompFreq,'PDH Calc'!$K188/365)</f>
        <v>1</v>
      </c>
      <c r="V188" s="8">
        <f ca="1">_xll.HLV5r3.Analytics.Miscellaneous.Zero2DF(_xll.HLV5r3.Analytics.Miscellaneous.LinearInterp(Peturbed_QZ,$K188,1,V$1),ZeroCompFreq,'PDH Calc'!$K188/365)</f>
        <v>1</v>
      </c>
      <c r="W188" s="8">
        <f ca="1">_xll.HLV5r3.Analytics.Miscellaneous.Zero2DF(_xll.HLV5r3.Analytics.Miscellaneous.LinearInterp(Peturbed_QZ,$K188,1,W$1),ZeroCompFreq,'PDH Calc'!$K188/365)</f>
        <v>1</v>
      </c>
      <c r="X188" s="8">
        <f ca="1">_xll.HLV5r3.Analytics.Miscellaneous.Zero2DF(_xll.HLV5r3.Analytics.Miscellaneous.LinearInterp(Peturbed_QZ,$K188,1,X$1),ZeroCompFreq,'PDH Calc'!$K188/365)</f>
        <v>1</v>
      </c>
      <c r="Y188" s="8">
        <f ca="1">_xll.HLV5r3.Analytics.Miscellaneous.Zero2DF(_xll.HLV5r3.Analytics.Miscellaneous.LinearInterp(Peturbed_QZ,$K188,1,Y$1),ZeroCompFreq,'PDH Calc'!$K188/365)</f>
        <v>1</v>
      </c>
      <c r="Z188" s="8">
        <f ca="1">_xll.HLV5r3.Analytics.Miscellaneous.Zero2DF(_xll.HLV5r3.Analytics.Miscellaneous.LinearInterp(Peturbed_QZ,$K188,1,Z$1),ZeroCompFreq,'PDH Calc'!$K188/365)</f>
        <v>1</v>
      </c>
      <c r="AA188" s="8">
        <f ca="1">_xll.HLV5r3.Analytics.Miscellaneous.Zero2DF(_xll.HLV5r3.Analytics.Miscellaneous.LinearInterp(Peturbed_QZ,$K188,1,AA$1),ZeroCompFreq,'PDH Calc'!$K188/365)</f>
        <v>1</v>
      </c>
      <c r="AB188" s="8">
        <f ca="1">_xll.HLV5r3.Analytics.Miscellaneous.Zero2DF(_xll.HLV5r3.Analytics.Miscellaneous.LinearInterp(Peturbed_QZ,$K188,1,AB$1),ZeroCompFreq,'PDH Calc'!$K188/365)</f>
        <v>1</v>
      </c>
      <c r="AC188" s="8">
        <f ca="1">_xll.HLV5r3.Analytics.Miscellaneous.Zero2DF(_xll.HLV5r3.Analytics.Miscellaneous.LinearInterp(Peturbed_QZ,$K188,1,AC$1),ZeroCompFreq,'PDH Calc'!$K188/365)</f>
        <v>1</v>
      </c>
      <c r="AD188" s="8">
        <f ca="1">_xll.HLV5r3.Analytics.Miscellaneous.Zero2DF(_xll.HLV5r3.Analytics.Miscellaneous.LinearInterp(Peturbed_QZ,$K188,1,AD$1),ZeroCompFreq,'PDH Calc'!$K188/365)</f>
        <v>1</v>
      </c>
      <c r="AE188" s="8">
        <f ca="1">_xll.HLV5r3.Analytics.Miscellaneous.Zero2DF(_xll.HLV5r3.Analytics.Miscellaneous.LinearInterp(Peturbed_QZ,$K188,1,AE$1),ZeroCompFreq,'PDH Calc'!$K188/365)</f>
        <v>1</v>
      </c>
      <c r="AF188" s="8">
        <f ca="1">_xll.HLV5r3.Analytics.Miscellaneous.Zero2DF(_xll.HLV5r3.Analytics.Miscellaneous.LinearInterp(Peturbed_QZ,$K188,1,AF$1),ZeroCompFreq,'PDH Calc'!$K188/365)</f>
        <v>1</v>
      </c>
      <c r="AG188" s="8">
        <f ca="1">_xll.HLV5r3.Analytics.Miscellaneous.Zero2DF(_xll.HLV5r3.Analytics.Miscellaneous.LinearInterp(Peturbed_QZ,$K188,1,AG$1),ZeroCompFreq,'PDH Calc'!$K188/365)</f>
        <v>1</v>
      </c>
      <c r="AH188" s="8">
        <f ca="1">_xll.HLV5r3.Analytics.Miscellaneous.Zero2DF(_xll.HLV5r3.Analytics.Miscellaneous.LinearInterp(Peturbed_QZ,$K188,1,AH$1),ZeroCompFreq,'PDH Calc'!$K188/365)</f>
        <v>1</v>
      </c>
      <c r="AI188" s="8">
        <f ca="1">_xll.HLV5r3.Analytics.Miscellaneous.Zero2DF(_xll.HLV5r3.Analytics.Miscellaneous.LinearInterp(Peturbed_QZ,$K188,1,AI$1),ZeroCompFreq,'PDH Calc'!$K188/365)</f>
        <v>1</v>
      </c>
      <c r="AJ188" s="8">
        <f ca="1">_xll.HLV5r3.Analytics.Miscellaneous.Zero2DF(_xll.HLV5r3.Analytics.Miscellaneous.LinearInterp(Peturbed_QZ,$K188,1,AJ$1),ZeroCompFreq,'PDH Calc'!$K188/365)</f>
        <v>1</v>
      </c>
      <c r="AK188" s="8">
        <f ca="1">_xll.HLV5r3.Analytics.Miscellaneous.Zero2DF(_xll.HLV5r3.Analytics.Miscellaneous.LinearInterp(Peturbed_QZ,$K188,1,AK$1),ZeroCompFreq,'PDH Calc'!$K188/365)</f>
        <v>1</v>
      </c>
    </row>
    <row r="189" spans="1:37">
      <c r="A189" s="4"/>
      <c r="B189" s="6"/>
      <c r="F189" s="11"/>
      <c r="G189" s="6"/>
      <c r="H189" s="20"/>
      <c r="I189" s="21"/>
      <c r="J189" s="26"/>
      <c r="K189" s="6">
        <f t="shared" ca="1" si="9"/>
        <v>0</v>
      </c>
      <c r="L189" s="8">
        <f ca="1">_xll.HLV5r3.Analytics.Miscellaneous.Zero2DF(_xll.HLV5r3.Analytics.Miscellaneous.LinearInterp(Peturbed_QZ,$K189,1,L$1),ZeroCompFreq,'PDH Calc'!$K189/365)</f>
        <v>1</v>
      </c>
      <c r="M189" s="8">
        <f ca="1">_xll.HLV5r3.Analytics.Miscellaneous.Zero2DF(_xll.HLV5r3.Analytics.Miscellaneous.LinearInterp(Peturbed_QZ,$K189,1,M$1),ZeroCompFreq,'PDH Calc'!$K189/365)</f>
        <v>1</v>
      </c>
      <c r="N189" s="8">
        <f ca="1">_xll.HLV5r3.Analytics.Miscellaneous.Zero2DF(_xll.HLV5r3.Analytics.Miscellaneous.LinearInterp(Peturbed_QZ,$K189,1,N$1),ZeroCompFreq,'PDH Calc'!$K189/365)</f>
        <v>1</v>
      </c>
      <c r="O189" s="8">
        <f ca="1">_xll.HLV5r3.Analytics.Miscellaneous.Zero2DF(_xll.HLV5r3.Analytics.Miscellaneous.LinearInterp(Peturbed_QZ,$K189,1,O$1),ZeroCompFreq,'PDH Calc'!$K189/365)</f>
        <v>1</v>
      </c>
      <c r="P189" s="8">
        <f ca="1">_xll.HLV5r3.Analytics.Miscellaneous.Zero2DF(_xll.HLV5r3.Analytics.Miscellaneous.LinearInterp(Peturbed_QZ,$K189,1,P$1),ZeroCompFreq,'PDH Calc'!$K189/365)</f>
        <v>1</v>
      </c>
      <c r="Q189" s="8">
        <f ca="1">_xll.HLV5r3.Analytics.Miscellaneous.Zero2DF(_xll.HLV5r3.Analytics.Miscellaneous.LinearInterp(Peturbed_QZ,$K189,1,Q$1),ZeroCompFreq,'PDH Calc'!$K189/365)</f>
        <v>1</v>
      </c>
      <c r="R189" s="8">
        <f ca="1">_xll.HLV5r3.Analytics.Miscellaneous.Zero2DF(_xll.HLV5r3.Analytics.Miscellaneous.LinearInterp(Peturbed_QZ,$K189,1,R$1),ZeroCompFreq,'PDH Calc'!$K189/365)</f>
        <v>1</v>
      </c>
      <c r="S189" s="8">
        <f ca="1">_xll.HLV5r3.Analytics.Miscellaneous.Zero2DF(_xll.HLV5r3.Analytics.Miscellaneous.LinearInterp(Peturbed_QZ,$K189,1,S$1),ZeroCompFreq,'PDH Calc'!$K189/365)</f>
        <v>1</v>
      </c>
      <c r="T189" s="8">
        <f ca="1">_xll.HLV5r3.Analytics.Miscellaneous.Zero2DF(_xll.HLV5r3.Analytics.Miscellaneous.LinearInterp(Peturbed_QZ,$K189,1,T$1),ZeroCompFreq,'PDH Calc'!$K189/365)</f>
        <v>1</v>
      </c>
      <c r="U189" s="8">
        <f ca="1">_xll.HLV5r3.Analytics.Miscellaneous.Zero2DF(_xll.HLV5r3.Analytics.Miscellaneous.LinearInterp(Peturbed_QZ,$K189,1,U$1),ZeroCompFreq,'PDH Calc'!$K189/365)</f>
        <v>1</v>
      </c>
      <c r="V189" s="8">
        <f ca="1">_xll.HLV5r3.Analytics.Miscellaneous.Zero2DF(_xll.HLV5r3.Analytics.Miscellaneous.LinearInterp(Peturbed_QZ,$K189,1,V$1),ZeroCompFreq,'PDH Calc'!$K189/365)</f>
        <v>1</v>
      </c>
      <c r="W189" s="8">
        <f ca="1">_xll.HLV5r3.Analytics.Miscellaneous.Zero2DF(_xll.HLV5r3.Analytics.Miscellaneous.LinearInterp(Peturbed_QZ,$K189,1,W$1),ZeroCompFreq,'PDH Calc'!$K189/365)</f>
        <v>1</v>
      </c>
      <c r="X189" s="8">
        <f ca="1">_xll.HLV5r3.Analytics.Miscellaneous.Zero2DF(_xll.HLV5r3.Analytics.Miscellaneous.LinearInterp(Peturbed_QZ,$K189,1,X$1),ZeroCompFreq,'PDH Calc'!$K189/365)</f>
        <v>1</v>
      </c>
      <c r="Y189" s="8">
        <f ca="1">_xll.HLV5r3.Analytics.Miscellaneous.Zero2DF(_xll.HLV5r3.Analytics.Miscellaneous.LinearInterp(Peturbed_QZ,$K189,1,Y$1),ZeroCompFreq,'PDH Calc'!$K189/365)</f>
        <v>1</v>
      </c>
      <c r="Z189" s="8">
        <f ca="1">_xll.HLV5r3.Analytics.Miscellaneous.Zero2DF(_xll.HLV5r3.Analytics.Miscellaneous.LinearInterp(Peturbed_QZ,$K189,1,Z$1),ZeroCompFreq,'PDH Calc'!$K189/365)</f>
        <v>1</v>
      </c>
      <c r="AA189" s="8">
        <f ca="1">_xll.HLV5r3.Analytics.Miscellaneous.Zero2DF(_xll.HLV5r3.Analytics.Miscellaneous.LinearInterp(Peturbed_QZ,$K189,1,AA$1),ZeroCompFreq,'PDH Calc'!$K189/365)</f>
        <v>1</v>
      </c>
      <c r="AB189" s="8">
        <f ca="1">_xll.HLV5r3.Analytics.Miscellaneous.Zero2DF(_xll.HLV5r3.Analytics.Miscellaneous.LinearInterp(Peturbed_QZ,$K189,1,AB$1),ZeroCompFreq,'PDH Calc'!$K189/365)</f>
        <v>1</v>
      </c>
      <c r="AC189" s="8">
        <f ca="1">_xll.HLV5r3.Analytics.Miscellaneous.Zero2DF(_xll.HLV5r3.Analytics.Miscellaneous.LinearInterp(Peturbed_QZ,$K189,1,AC$1),ZeroCompFreq,'PDH Calc'!$K189/365)</f>
        <v>1</v>
      </c>
      <c r="AD189" s="8">
        <f ca="1">_xll.HLV5r3.Analytics.Miscellaneous.Zero2DF(_xll.HLV5r3.Analytics.Miscellaneous.LinearInterp(Peturbed_QZ,$K189,1,AD$1),ZeroCompFreq,'PDH Calc'!$K189/365)</f>
        <v>1</v>
      </c>
      <c r="AE189" s="8">
        <f ca="1">_xll.HLV5r3.Analytics.Miscellaneous.Zero2DF(_xll.HLV5r3.Analytics.Miscellaneous.LinearInterp(Peturbed_QZ,$K189,1,AE$1),ZeroCompFreq,'PDH Calc'!$K189/365)</f>
        <v>1</v>
      </c>
      <c r="AF189" s="8">
        <f ca="1">_xll.HLV5r3.Analytics.Miscellaneous.Zero2DF(_xll.HLV5r3.Analytics.Miscellaneous.LinearInterp(Peturbed_QZ,$K189,1,AF$1),ZeroCompFreq,'PDH Calc'!$K189/365)</f>
        <v>1</v>
      </c>
      <c r="AG189" s="8">
        <f ca="1">_xll.HLV5r3.Analytics.Miscellaneous.Zero2DF(_xll.HLV5r3.Analytics.Miscellaneous.LinearInterp(Peturbed_QZ,$K189,1,AG$1),ZeroCompFreq,'PDH Calc'!$K189/365)</f>
        <v>1</v>
      </c>
      <c r="AH189" s="8">
        <f ca="1">_xll.HLV5r3.Analytics.Miscellaneous.Zero2DF(_xll.HLV5r3.Analytics.Miscellaneous.LinearInterp(Peturbed_QZ,$K189,1,AH$1),ZeroCompFreq,'PDH Calc'!$K189/365)</f>
        <v>1</v>
      </c>
      <c r="AI189" s="8">
        <f ca="1">_xll.HLV5r3.Analytics.Miscellaneous.Zero2DF(_xll.HLV5r3.Analytics.Miscellaneous.LinearInterp(Peturbed_QZ,$K189,1,AI$1),ZeroCompFreq,'PDH Calc'!$K189/365)</f>
        <v>1</v>
      </c>
      <c r="AJ189" s="8">
        <f ca="1">_xll.HLV5r3.Analytics.Miscellaneous.Zero2DF(_xll.HLV5r3.Analytics.Miscellaneous.LinearInterp(Peturbed_QZ,$K189,1,AJ$1),ZeroCompFreq,'PDH Calc'!$K189/365)</f>
        <v>1</v>
      </c>
      <c r="AK189" s="8">
        <f ca="1">_xll.HLV5r3.Analytics.Miscellaneous.Zero2DF(_xll.HLV5r3.Analytics.Miscellaneous.LinearInterp(Peturbed_QZ,$K189,1,AK$1),ZeroCompFreq,'PDH Calc'!$K189/365)</f>
        <v>1</v>
      </c>
    </row>
    <row r="190" spans="1:37">
      <c r="A190" s="4"/>
      <c r="B190" s="6"/>
      <c r="F190" s="11"/>
      <c r="G190" s="6"/>
      <c r="H190" s="20"/>
      <c r="I190" s="21"/>
      <c r="J190" s="26"/>
      <c r="K190" s="6">
        <f t="shared" ca="1" si="9"/>
        <v>0</v>
      </c>
      <c r="L190" s="8">
        <f ca="1">_xll.HLV5r3.Analytics.Miscellaneous.Zero2DF(_xll.HLV5r3.Analytics.Miscellaneous.LinearInterp(Peturbed_QZ,$K190,1,L$1),ZeroCompFreq,'PDH Calc'!$K190/365)</f>
        <v>1</v>
      </c>
      <c r="M190" s="8">
        <f ca="1">_xll.HLV5r3.Analytics.Miscellaneous.Zero2DF(_xll.HLV5r3.Analytics.Miscellaneous.LinearInterp(Peturbed_QZ,$K190,1,M$1),ZeroCompFreq,'PDH Calc'!$K190/365)</f>
        <v>1</v>
      </c>
      <c r="N190" s="8">
        <f ca="1">_xll.HLV5r3.Analytics.Miscellaneous.Zero2DF(_xll.HLV5r3.Analytics.Miscellaneous.LinearInterp(Peturbed_QZ,$K190,1,N$1),ZeroCompFreq,'PDH Calc'!$K190/365)</f>
        <v>1</v>
      </c>
      <c r="O190" s="8">
        <f ca="1">_xll.HLV5r3.Analytics.Miscellaneous.Zero2DF(_xll.HLV5r3.Analytics.Miscellaneous.LinearInterp(Peturbed_QZ,$K190,1,O$1),ZeroCompFreq,'PDH Calc'!$K190/365)</f>
        <v>1</v>
      </c>
      <c r="P190" s="8">
        <f ca="1">_xll.HLV5r3.Analytics.Miscellaneous.Zero2DF(_xll.HLV5r3.Analytics.Miscellaneous.LinearInterp(Peturbed_QZ,$K190,1,P$1),ZeroCompFreq,'PDH Calc'!$K190/365)</f>
        <v>1</v>
      </c>
      <c r="Q190" s="8">
        <f ca="1">_xll.HLV5r3.Analytics.Miscellaneous.Zero2DF(_xll.HLV5r3.Analytics.Miscellaneous.LinearInterp(Peturbed_QZ,$K190,1,Q$1),ZeroCompFreq,'PDH Calc'!$K190/365)</f>
        <v>1</v>
      </c>
      <c r="R190" s="8">
        <f ca="1">_xll.HLV5r3.Analytics.Miscellaneous.Zero2DF(_xll.HLV5r3.Analytics.Miscellaneous.LinearInterp(Peturbed_QZ,$K190,1,R$1),ZeroCompFreq,'PDH Calc'!$K190/365)</f>
        <v>1</v>
      </c>
      <c r="S190" s="8">
        <f ca="1">_xll.HLV5r3.Analytics.Miscellaneous.Zero2DF(_xll.HLV5r3.Analytics.Miscellaneous.LinearInterp(Peturbed_QZ,$K190,1,S$1),ZeroCompFreq,'PDH Calc'!$K190/365)</f>
        <v>1</v>
      </c>
      <c r="T190" s="8">
        <f ca="1">_xll.HLV5r3.Analytics.Miscellaneous.Zero2DF(_xll.HLV5r3.Analytics.Miscellaneous.LinearInterp(Peturbed_QZ,$K190,1,T$1),ZeroCompFreq,'PDH Calc'!$K190/365)</f>
        <v>1</v>
      </c>
      <c r="U190" s="8">
        <f ca="1">_xll.HLV5r3.Analytics.Miscellaneous.Zero2DF(_xll.HLV5r3.Analytics.Miscellaneous.LinearInterp(Peturbed_QZ,$K190,1,U$1),ZeroCompFreq,'PDH Calc'!$K190/365)</f>
        <v>1</v>
      </c>
      <c r="V190" s="8">
        <f ca="1">_xll.HLV5r3.Analytics.Miscellaneous.Zero2DF(_xll.HLV5r3.Analytics.Miscellaneous.LinearInterp(Peturbed_QZ,$K190,1,V$1),ZeroCompFreq,'PDH Calc'!$K190/365)</f>
        <v>1</v>
      </c>
      <c r="W190" s="8">
        <f ca="1">_xll.HLV5r3.Analytics.Miscellaneous.Zero2DF(_xll.HLV5r3.Analytics.Miscellaneous.LinearInterp(Peturbed_QZ,$K190,1,W$1),ZeroCompFreq,'PDH Calc'!$K190/365)</f>
        <v>1</v>
      </c>
      <c r="X190" s="8">
        <f ca="1">_xll.HLV5r3.Analytics.Miscellaneous.Zero2DF(_xll.HLV5r3.Analytics.Miscellaneous.LinearInterp(Peturbed_QZ,$K190,1,X$1),ZeroCompFreq,'PDH Calc'!$K190/365)</f>
        <v>1</v>
      </c>
      <c r="Y190" s="8">
        <f ca="1">_xll.HLV5r3.Analytics.Miscellaneous.Zero2DF(_xll.HLV5r3.Analytics.Miscellaneous.LinearInterp(Peturbed_QZ,$K190,1,Y$1),ZeroCompFreq,'PDH Calc'!$K190/365)</f>
        <v>1</v>
      </c>
      <c r="Z190" s="8">
        <f ca="1">_xll.HLV5r3.Analytics.Miscellaneous.Zero2DF(_xll.HLV5r3.Analytics.Miscellaneous.LinearInterp(Peturbed_QZ,$K190,1,Z$1),ZeroCompFreq,'PDH Calc'!$K190/365)</f>
        <v>1</v>
      </c>
      <c r="AA190" s="8">
        <f ca="1">_xll.HLV5r3.Analytics.Miscellaneous.Zero2DF(_xll.HLV5r3.Analytics.Miscellaneous.LinearInterp(Peturbed_QZ,$K190,1,AA$1),ZeroCompFreq,'PDH Calc'!$K190/365)</f>
        <v>1</v>
      </c>
      <c r="AB190" s="8">
        <f ca="1">_xll.HLV5r3.Analytics.Miscellaneous.Zero2DF(_xll.HLV5r3.Analytics.Miscellaneous.LinearInterp(Peturbed_QZ,$K190,1,AB$1),ZeroCompFreq,'PDH Calc'!$K190/365)</f>
        <v>1</v>
      </c>
      <c r="AC190" s="8">
        <f ca="1">_xll.HLV5r3.Analytics.Miscellaneous.Zero2DF(_xll.HLV5r3.Analytics.Miscellaneous.LinearInterp(Peturbed_QZ,$K190,1,AC$1),ZeroCompFreq,'PDH Calc'!$K190/365)</f>
        <v>1</v>
      </c>
      <c r="AD190" s="8">
        <f ca="1">_xll.HLV5r3.Analytics.Miscellaneous.Zero2DF(_xll.HLV5r3.Analytics.Miscellaneous.LinearInterp(Peturbed_QZ,$K190,1,AD$1),ZeroCompFreq,'PDH Calc'!$K190/365)</f>
        <v>1</v>
      </c>
      <c r="AE190" s="8">
        <f ca="1">_xll.HLV5r3.Analytics.Miscellaneous.Zero2DF(_xll.HLV5r3.Analytics.Miscellaneous.LinearInterp(Peturbed_QZ,$K190,1,AE$1),ZeroCompFreq,'PDH Calc'!$K190/365)</f>
        <v>1</v>
      </c>
      <c r="AF190" s="8">
        <f ca="1">_xll.HLV5r3.Analytics.Miscellaneous.Zero2DF(_xll.HLV5r3.Analytics.Miscellaneous.LinearInterp(Peturbed_QZ,$K190,1,AF$1),ZeroCompFreq,'PDH Calc'!$K190/365)</f>
        <v>1</v>
      </c>
      <c r="AG190" s="8">
        <f ca="1">_xll.HLV5r3.Analytics.Miscellaneous.Zero2DF(_xll.HLV5r3.Analytics.Miscellaneous.LinearInterp(Peturbed_QZ,$K190,1,AG$1),ZeroCompFreq,'PDH Calc'!$K190/365)</f>
        <v>1</v>
      </c>
      <c r="AH190" s="8">
        <f ca="1">_xll.HLV5r3.Analytics.Miscellaneous.Zero2DF(_xll.HLV5r3.Analytics.Miscellaneous.LinearInterp(Peturbed_QZ,$K190,1,AH$1),ZeroCompFreq,'PDH Calc'!$K190/365)</f>
        <v>1</v>
      </c>
      <c r="AI190" s="8">
        <f ca="1">_xll.HLV5r3.Analytics.Miscellaneous.Zero2DF(_xll.HLV5r3.Analytics.Miscellaneous.LinearInterp(Peturbed_QZ,$K190,1,AI$1),ZeroCompFreq,'PDH Calc'!$K190/365)</f>
        <v>1</v>
      </c>
      <c r="AJ190" s="8">
        <f ca="1">_xll.HLV5r3.Analytics.Miscellaneous.Zero2DF(_xll.HLV5r3.Analytics.Miscellaneous.LinearInterp(Peturbed_QZ,$K190,1,AJ$1),ZeroCompFreq,'PDH Calc'!$K190/365)</f>
        <v>1</v>
      </c>
      <c r="AK190" s="8">
        <f ca="1">_xll.HLV5r3.Analytics.Miscellaneous.Zero2DF(_xll.HLV5r3.Analytics.Miscellaneous.LinearInterp(Peturbed_QZ,$K190,1,AK$1),ZeroCompFreq,'PDH Calc'!$K190/365)</f>
        <v>1</v>
      </c>
    </row>
    <row r="191" spans="1:37">
      <c r="A191" s="4"/>
      <c r="B191" s="6"/>
      <c r="F191" s="11"/>
      <c r="G191" s="6"/>
      <c r="H191" s="20"/>
      <c r="I191" s="21"/>
      <c r="J191" s="26"/>
      <c r="K191" s="6">
        <f t="shared" ca="1" si="9"/>
        <v>0</v>
      </c>
      <c r="L191" s="8">
        <f ca="1">_xll.HLV5r3.Analytics.Miscellaneous.Zero2DF(_xll.HLV5r3.Analytics.Miscellaneous.LinearInterp(Peturbed_QZ,$K191,1,L$1),ZeroCompFreq,'PDH Calc'!$K191/365)</f>
        <v>1</v>
      </c>
      <c r="M191" s="8">
        <f ca="1">_xll.HLV5r3.Analytics.Miscellaneous.Zero2DF(_xll.HLV5r3.Analytics.Miscellaneous.LinearInterp(Peturbed_QZ,$K191,1,M$1),ZeroCompFreq,'PDH Calc'!$K191/365)</f>
        <v>1</v>
      </c>
      <c r="N191" s="8">
        <f ca="1">_xll.HLV5r3.Analytics.Miscellaneous.Zero2DF(_xll.HLV5r3.Analytics.Miscellaneous.LinearInterp(Peturbed_QZ,$K191,1,N$1),ZeroCompFreq,'PDH Calc'!$K191/365)</f>
        <v>1</v>
      </c>
      <c r="O191" s="8">
        <f ca="1">_xll.HLV5r3.Analytics.Miscellaneous.Zero2DF(_xll.HLV5r3.Analytics.Miscellaneous.LinearInterp(Peturbed_QZ,$K191,1,O$1),ZeroCompFreq,'PDH Calc'!$K191/365)</f>
        <v>1</v>
      </c>
      <c r="P191" s="8">
        <f ca="1">_xll.HLV5r3.Analytics.Miscellaneous.Zero2DF(_xll.HLV5r3.Analytics.Miscellaneous.LinearInterp(Peturbed_QZ,$K191,1,P$1),ZeroCompFreq,'PDH Calc'!$K191/365)</f>
        <v>1</v>
      </c>
      <c r="Q191" s="8">
        <f ca="1">_xll.HLV5r3.Analytics.Miscellaneous.Zero2DF(_xll.HLV5r3.Analytics.Miscellaneous.LinearInterp(Peturbed_QZ,$K191,1,Q$1),ZeroCompFreq,'PDH Calc'!$K191/365)</f>
        <v>1</v>
      </c>
      <c r="R191" s="8">
        <f ca="1">_xll.HLV5r3.Analytics.Miscellaneous.Zero2DF(_xll.HLV5r3.Analytics.Miscellaneous.LinearInterp(Peturbed_QZ,$K191,1,R$1),ZeroCompFreq,'PDH Calc'!$K191/365)</f>
        <v>1</v>
      </c>
      <c r="S191" s="8">
        <f ca="1">_xll.HLV5r3.Analytics.Miscellaneous.Zero2DF(_xll.HLV5r3.Analytics.Miscellaneous.LinearInterp(Peturbed_QZ,$K191,1,S$1),ZeroCompFreq,'PDH Calc'!$K191/365)</f>
        <v>1</v>
      </c>
      <c r="T191" s="8">
        <f ca="1">_xll.HLV5r3.Analytics.Miscellaneous.Zero2DF(_xll.HLV5r3.Analytics.Miscellaneous.LinearInterp(Peturbed_QZ,$K191,1,T$1),ZeroCompFreq,'PDH Calc'!$K191/365)</f>
        <v>1</v>
      </c>
      <c r="U191" s="8">
        <f ca="1">_xll.HLV5r3.Analytics.Miscellaneous.Zero2DF(_xll.HLV5r3.Analytics.Miscellaneous.LinearInterp(Peturbed_QZ,$K191,1,U$1),ZeroCompFreq,'PDH Calc'!$K191/365)</f>
        <v>1</v>
      </c>
      <c r="V191" s="8">
        <f ca="1">_xll.HLV5r3.Analytics.Miscellaneous.Zero2DF(_xll.HLV5r3.Analytics.Miscellaneous.LinearInterp(Peturbed_QZ,$K191,1,V$1),ZeroCompFreq,'PDH Calc'!$K191/365)</f>
        <v>1</v>
      </c>
      <c r="W191" s="8">
        <f ca="1">_xll.HLV5r3.Analytics.Miscellaneous.Zero2DF(_xll.HLV5r3.Analytics.Miscellaneous.LinearInterp(Peturbed_QZ,$K191,1,W$1),ZeroCompFreq,'PDH Calc'!$K191/365)</f>
        <v>1</v>
      </c>
      <c r="X191" s="8">
        <f ca="1">_xll.HLV5r3.Analytics.Miscellaneous.Zero2DF(_xll.HLV5r3.Analytics.Miscellaneous.LinearInterp(Peturbed_QZ,$K191,1,X$1),ZeroCompFreq,'PDH Calc'!$K191/365)</f>
        <v>1</v>
      </c>
      <c r="Y191" s="8">
        <f ca="1">_xll.HLV5r3.Analytics.Miscellaneous.Zero2DF(_xll.HLV5r3.Analytics.Miscellaneous.LinearInterp(Peturbed_QZ,$K191,1,Y$1),ZeroCompFreq,'PDH Calc'!$K191/365)</f>
        <v>1</v>
      </c>
      <c r="Z191" s="8">
        <f ca="1">_xll.HLV5r3.Analytics.Miscellaneous.Zero2DF(_xll.HLV5r3.Analytics.Miscellaneous.LinearInterp(Peturbed_QZ,$K191,1,Z$1),ZeroCompFreq,'PDH Calc'!$K191/365)</f>
        <v>1</v>
      </c>
      <c r="AA191" s="8">
        <f ca="1">_xll.HLV5r3.Analytics.Miscellaneous.Zero2DF(_xll.HLV5r3.Analytics.Miscellaneous.LinearInterp(Peturbed_QZ,$K191,1,AA$1),ZeroCompFreq,'PDH Calc'!$K191/365)</f>
        <v>1</v>
      </c>
      <c r="AB191" s="8">
        <f ca="1">_xll.HLV5r3.Analytics.Miscellaneous.Zero2DF(_xll.HLV5r3.Analytics.Miscellaneous.LinearInterp(Peturbed_QZ,$K191,1,AB$1),ZeroCompFreq,'PDH Calc'!$K191/365)</f>
        <v>1</v>
      </c>
      <c r="AC191" s="8">
        <f ca="1">_xll.HLV5r3.Analytics.Miscellaneous.Zero2DF(_xll.HLV5r3.Analytics.Miscellaneous.LinearInterp(Peturbed_QZ,$K191,1,AC$1),ZeroCompFreq,'PDH Calc'!$K191/365)</f>
        <v>1</v>
      </c>
      <c r="AD191" s="8">
        <f ca="1">_xll.HLV5r3.Analytics.Miscellaneous.Zero2DF(_xll.HLV5r3.Analytics.Miscellaneous.LinearInterp(Peturbed_QZ,$K191,1,AD$1),ZeroCompFreq,'PDH Calc'!$K191/365)</f>
        <v>1</v>
      </c>
      <c r="AE191" s="8">
        <f ca="1">_xll.HLV5r3.Analytics.Miscellaneous.Zero2DF(_xll.HLV5r3.Analytics.Miscellaneous.LinearInterp(Peturbed_QZ,$K191,1,AE$1),ZeroCompFreq,'PDH Calc'!$K191/365)</f>
        <v>1</v>
      </c>
      <c r="AF191" s="8">
        <f ca="1">_xll.HLV5r3.Analytics.Miscellaneous.Zero2DF(_xll.HLV5r3.Analytics.Miscellaneous.LinearInterp(Peturbed_QZ,$K191,1,AF$1),ZeroCompFreq,'PDH Calc'!$K191/365)</f>
        <v>1</v>
      </c>
      <c r="AG191" s="8">
        <f ca="1">_xll.HLV5r3.Analytics.Miscellaneous.Zero2DF(_xll.HLV5r3.Analytics.Miscellaneous.LinearInterp(Peturbed_QZ,$K191,1,AG$1),ZeroCompFreq,'PDH Calc'!$K191/365)</f>
        <v>1</v>
      </c>
      <c r="AH191" s="8">
        <f ca="1">_xll.HLV5r3.Analytics.Miscellaneous.Zero2DF(_xll.HLV5r3.Analytics.Miscellaneous.LinearInterp(Peturbed_QZ,$K191,1,AH$1),ZeroCompFreq,'PDH Calc'!$K191/365)</f>
        <v>1</v>
      </c>
      <c r="AI191" s="8">
        <f ca="1">_xll.HLV5r3.Analytics.Miscellaneous.Zero2DF(_xll.HLV5r3.Analytics.Miscellaneous.LinearInterp(Peturbed_QZ,$K191,1,AI$1),ZeroCompFreq,'PDH Calc'!$K191/365)</f>
        <v>1</v>
      </c>
      <c r="AJ191" s="8">
        <f ca="1">_xll.HLV5r3.Analytics.Miscellaneous.Zero2DF(_xll.HLV5r3.Analytics.Miscellaneous.LinearInterp(Peturbed_QZ,$K191,1,AJ$1),ZeroCompFreq,'PDH Calc'!$K191/365)</f>
        <v>1</v>
      </c>
      <c r="AK191" s="8">
        <f ca="1">_xll.HLV5r3.Analytics.Miscellaneous.Zero2DF(_xll.HLV5r3.Analytics.Miscellaneous.LinearInterp(Peturbed_QZ,$K191,1,AK$1),ZeroCompFreq,'PDH Calc'!$K191/365)</f>
        <v>1</v>
      </c>
    </row>
    <row r="192" spans="1:37">
      <c r="A192" s="4"/>
      <c r="B192" s="6"/>
      <c r="F192" s="11"/>
      <c r="G192" s="6"/>
      <c r="H192" s="20"/>
      <c r="I192" s="21"/>
      <c r="J192" s="26"/>
      <c r="K192" s="6">
        <f t="shared" ca="1" si="9"/>
        <v>0</v>
      </c>
      <c r="L192" s="8">
        <f ca="1">_xll.HLV5r3.Analytics.Miscellaneous.Zero2DF(_xll.HLV5r3.Analytics.Miscellaneous.LinearInterp(Peturbed_QZ,$K192,1,L$1),ZeroCompFreq,'PDH Calc'!$K192/365)</f>
        <v>1</v>
      </c>
      <c r="M192" s="8">
        <f ca="1">_xll.HLV5r3.Analytics.Miscellaneous.Zero2DF(_xll.HLV5r3.Analytics.Miscellaneous.LinearInterp(Peturbed_QZ,$K192,1,M$1),ZeroCompFreq,'PDH Calc'!$K192/365)</f>
        <v>1</v>
      </c>
      <c r="N192" s="8">
        <f ca="1">_xll.HLV5r3.Analytics.Miscellaneous.Zero2DF(_xll.HLV5r3.Analytics.Miscellaneous.LinearInterp(Peturbed_QZ,$K192,1,N$1),ZeroCompFreq,'PDH Calc'!$K192/365)</f>
        <v>1</v>
      </c>
      <c r="O192" s="8">
        <f ca="1">_xll.HLV5r3.Analytics.Miscellaneous.Zero2DF(_xll.HLV5r3.Analytics.Miscellaneous.LinearInterp(Peturbed_QZ,$K192,1,O$1),ZeroCompFreq,'PDH Calc'!$K192/365)</f>
        <v>1</v>
      </c>
      <c r="P192" s="8">
        <f ca="1">_xll.HLV5r3.Analytics.Miscellaneous.Zero2DF(_xll.HLV5r3.Analytics.Miscellaneous.LinearInterp(Peturbed_QZ,$K192,1,P$1),ZeroCompFreq,'PDH Calc'!$K192/365)</f>
        <v>1</v>
      </c>
      <c r="Q192" s="8">
        <f ca="1">_xll.HLV5r3.Analytics.Miscellaneous.Zero2DF(_xll.HLV5r3.Analytics.Miscellaneous.LinearInterp(Peturbed_QZ,$K192,1,Q$1),ZeroCompFreq,'PDH Calc'!$K192/365)</f>
        <v>1</v>
      </c>
      <c r="R192" s="8">
        <f ca="1">_xll.HLV5r3.Analytics.Miscellaneous.Zero2DF(_xll.HLV5r3.Analytics.Miscellaneous.LinearInterp(Peturbed_QZ,$K192,1,R$1),ZeroCompFreq,'PDH Calc'!$K192/365)</f>
        <v>1</v>
      </c>
      <c r="S192" s="8">
        <f ca="1">_xll.HLV5r3.Analytics.Miscellaneous.Zero2DF(_xll.HLV5r3.Analytics.Miscellaneous.LinearInterp(Peturbed_QZ,$K192,1,S$1),ZeroCompFreq,'PDH Calc'!$K192/365)</f>
        <v>1</v>
      </c>
      <c r="T192" s="8">
        <f ca="1">_xll.HLV5r3.Analytics.Miscellaneous.Zero2DF(_xll.HLV5r3.Analytics.Miscellaneous.LinearInterp(Peturbed_QZ,$K192,1,T$1),ZeroCompFreq,'PDH Calc'!$K192/365)</f>
        <v>1</v>
      </c>
      <c r="U192" s="8">
        <f ca="1">_xll.HLV5r3.Analytics.Miscellaneous.Zero2DF(_xll.HLV5r3.Analytics.Miscellaneous.LinearInterp(Peturbed_QZ,$K192,1,U$1),ZeroCompFreq,'PDH Calc'!$K192/365)</f>
        <v>1</v>
      </c>
      <c r="V192" s="8">
        <f ca="1">_xll.HLV5r3.Analytics.Miscellaneous.Zero2DF(_xll.HLV5r3.Analytics.Miscellaneous.LinearInterp(Peturbed_QZ,$K192,1,V$1),ZeroCompFreq,'PDH Calc'!$K192/365)</f>
        <v>1</v>
      </c>
      <c r="W192" s="8">
        <f ca="1">_xll.HLV5r3.Analytics.Miscellaneous.Zero2DF(_xll.HLV5r3.Analytics.Miscellaneous.LinearInterp(Peturbed_QZ,$K192,1,W$1),ZeroCompFreq,'PDH Calc'!$K192/365)</f>
        <v>1</v>
      </c>
      <c r="X192" s="8">
        <f ca="1">_xll.HLV5r3.Analytics.Miscellaneous.Zero2DF(_xll.HLV5r3.Analytics.Miscellaneous.LinearInterp(Peturbed_QZ,$K192,1,X$1),ZeroCompFreq,'PDH Calc'!$K192/365)</f>
        <v>1</v>
      </c>
      <c r="Y192" s="8">
        <f ca="1">_xll.HLV5r3.Analytics.Miscellaneous.Zero2DF(_xll.HLV5r3.Analytics.Miscellaneous.LinearInterp(Peturbed_QZ,$K192,1,Y$1),ZeroCompFreq,'PDH Calc'!$K192/365)</f>
        <v>1</v>
      </c>
      <c r="Z192" s="8">
        <f ca="1">_xll.HLV5r3.Analytics.Miscellaneous.Zero2DF(_xll.HLV5r3.Analytics.Miscellaneous.LinearInterp(Peturbed_QZ,$K192,1,Z$1),ZeroCompFreq,'PDH Calc'!$K192/365)</f>
        <v>1</v>
      </c>
      <c r="AA192" s="8">
        <f ca="1">_xll.HLV5r3.Analytics.Miscellaneous.Zero2DF(_xll.HLV5r3.Analytics.Miscellaneous.LinearInterp(Peturbed_QZ,$K192,1,AA$1),ZeroCompFreq,'PDH Calc'!$K192/365)</f>
        <v>1</v>
      </c>
      <c r="AB192" s="8">
        <f ca="1">_xll.HLV5r3.Analytics.Miscellaneous.Zero2DF(_xll.HLV5r3.Analytics.Miscellaneous.LinearInterp(Peturbed_QZ,$K192,1,AB$1),ZeroCompFreq,'PDH Calc'!$K192/365)</f>
        <v>1</v>
      </c>
      <c r="AC192" s="8">
        <f ca="1">_xll.HLV5r3.Analytics.Miscellaneous.Zero2DF(_xll.HLV5r3.Analytics.Miscellaneous.LinearInterp(Peturbed_QZ,$K192,1,AC$1),ZeroCompFreq,'PDH Calc'!$K192/365)</f>
        <v>1</v>
      </c>
      <c r="AD192" s="8">
        <f ca="1">_xll.HLV5r3.Analytics.Miscellaneous.Zero2DF(_xll.HLV5r3.Analytics.Miscellaneous.LinearInterp(Peturbed_QZ,$K192,1,AD$1),ZeroCompFreq,'PDH Calc'!$K192/365)</f>
        <v>1</v>
      </c>
      <c r="AE192" s="8">
        <f ca="1">_xll.HLV5r3.Analytics.Miscellaneous.Zero2DF(_xll.HLV5r3.Analytics.Miscellaneous.LinearInterp(Peturbed_QZ,$K192,1,AE$1),ZeroCompFreq,'PDH Calc'!$K192/365)</f>
        <v>1</v>
      </c>
      <c r="AF192" s="8">
        <f ca="1">_xll.HLV5r3.Analytics.Miscellaneous.Zero2DF(_xll.HLV5r3.Analytics.Miscellaneous.LinearInterp(Peturbed_QZ,$K192,1,AF$1),ZeroCompFreq,'PDH Calc'!$K192/365)</f>
        <v>1</v>
      </c>
      <c r="AG192" s="8">
        <f ca="1">_xll.HLV5r3.Analytics.Miscellaneous.Zero2DF(_xll.HLV5r3.Analytics.Miscellaneous.LinearInterp(Peturbed_QZ,$K192,1,AG$1),ZeroCompFreq,'PDH Calc'!$K192/365)</f>
        <v>1</v>
      </c>
      <c r="AH192" s="8">
        <f ca="1">_xll.HLV5r3.Analytics.Miscellaneous.Zero2DF(_xll.HLV5r3.Analytics.Miscellaneous.LinearInterp(Peturbed_QZ,$K192,1,AH$1),ZeroCompFreq,'PDH Calc'!$K192/365)</f>
        <v>1</v>
      </c>
      <c r="AI192" s="8">
        <f ca="1">_xll.HLV5r3.Analytics.Miscellaneous.Zero2DF(_xll.HLV5r3.Analytics.Miscellaneous.LinearInterp(Peturbed_QZ,$K192,1,AI$1),ZeroCompFreq,'PDH Calc'!$K192/365)</f>
        <v>1</v>
      </c>
      <c r="AJ192" s="8">
        <f ca="1">_xll.HLV5r3.Analytics.Miscellaneous.Zero2DF(_xll.HLV5r3.Analytics.Miscellaneous.LinearInterp(Peturbed_QZ,$K192,1,AJ$1),ZeroCompFreq,'PDH Calc'!$K192/365)</f>
        <v>1</v>
      </c>
      <c r="AK192" s="8">
        <f ca="1">_xll.HLV5r3.Analytics.Miscellaneous.Zero2DF(_xll.HLV5r3.Analytics.Miscellaneous.LinearInterp(Peturbed_QZ,$K192,1,AK$1),ZeroCompFreq,'PDH Calc'!$K192/365)</f>
        <v>1</v>
      </c>
    </row>
    <row r="193" spans="1:37">
      <c r="A193" s="4"/>
      <c r="B193" s="6"/>
      <c r="F193" s="11"/>
      <c r="G193" s="6"/>
      <c r="H193" s="20"/>
      <c r="I193" s="21"/>
      <c r="J193" s="26"/>
      <c r="K193" s="6">
        <f t="shared" ca="1" si="9"/>
        <v>0</v>
      </c>
      <c r="L193" s="8">
        <f ca="1">_xll.HLV5r3.Analytics.Miscellaneous.Zero2DF(_xll.HLV5r3.Analytics.Miscellaneous.LinearInterp(Peturbed_QZ,$K193,1,L$1),ZeroCompFreq,'PDH Calc'!$K193/365)</f>
        <v>1</v>
      </c>
      <c r="M193" s="8">
        <f ca="1">_xll.HLV5r3.Analytics.Miscellaneous.Zero2DF(_xll.HLV5r3.Analytics.Miscellaneous.LinearInterp(Peturbed_QZ,$K193,1,M$1),ZeroCompFreq,'PDH Calc'!$K193/365)</f>
        <v>1</v>
      </c>
      <c r="N193" s="8">
        <f ca="1">_xll.HLV5r3.Analytics.Miscellaneous.Zero2DF(_xll.HLV5r3.Analytics.Miscellaneous.LinearInterp(Peturbed_QZ,$K193,1,N$1),ZeroCompFreq,'PDH Calc'!$K193/365)</f>
        <v>1</v>
      </c>
      <c r="O193" s="8">
        <f ca="1">_xll.HLV5r3.Analytics.Miscellaneous.Zero2DF(_xll.HLV5r3.Analytics.Miscellaneous.LinearInterp(Peturbed_QZ,$K193,1,O$1),ZeroCompFreq,'PDH Calc'!$K193/365)</f>
        <v>1</v>
      </c>
      <c r="P193" s="8">
        <f ca="1">_xll.HLV5r3.Analytics.Miscellaneous.Zero2DF(_xll.HLV5r3.Analytics.Miscellaneous.LinearInterp(Peturbed_QZ,$K193,1,P$1),ZeroCompFreq,'PDH Calc'!$K193/365)</f>
        <v>1</v>
      </c>
      <c r="Q193" s="8">
        <f ca="1">_xll.HLV5r3.Analytics.Miscellaneous.Zero2DF(_xll.HLV5r3.Analytics.Miscellaneous.LinearInterp(Peturbed_QZ,$K193,1,Q$1),ZeroCompFreq,'PDH Calc'!$K193/365)</f>
        <v>1</v>
      </c>
      <c r="R193" s="8">
        <f ca="1">_xll.HLV5r3.Analytics.Miscellaneous.Zero2DF(_xll.HLV5r3.Analytics.Miscellaneous.LinearInterp(Peturbed_QZ,$K193,1,R$1),ZeroCompFreq,'PDH Calc'!$K193/365)</f>
        <v>1</v>
      </c>
      <c r="S193" s="8">
        <f ca="1">_xll.HLV5r3.Analytics.Miscellaneous.Zero2DF(_xll.HLV5r3.Analytics.Miscellaneous.LinearInterp(Peturbed_QZ,$K193,1,S$1),ZeroCompFreq,'PDH Calc'!$K193/365)</f>
        <v>1</v>
      </c>
      <c r="T193" s="8">
        <f ca="1">_xll.HLV5r3.Analytics.Miscellaneous.Zero2DF(_xll.HLV5r3.Analytics.Miscellaneous.LinearInterp(Peturbed_QZ,$K193,1,T$1),ZeroCompFreq,'PDH Calc'!$K193/365)</f>
        <v>1</v>
      </c>
      <c r="U193" s="8">
        <f ca="1">_xll.HLV5r3.Analytics.Miscellaneous.Zero2DF(_xll.HLV5r3.Analytics.Miscellaneous.LinearInterp(Peturbed_QZ,$K193,1,U$1),ZeroCompFreq,'PDH Calc'!$K193/365)</f>
        <v>1</v>
      </c>
      <c r="V193" s="8">
        <f ca="1">_xll.HLV5r3.Analytics.Miscellaneous.Zero2DF(_xll.HLV5r3.Analytics.Miscellaneous.LinearInterp(Peturbed_QZ,$K193,1,V$1),ZeroCompFreq,'PDH Calc'!$K193/365)</f>
        <v>1</v>
      </c>
      <c r="W193" s="8">
        <f ca="1">_xll.HLV5r3.Analytics.Miscellaneous.Zero2DF(_xll.HLV5r3.Analytics.Miscellaneous.LinearInterp(Peturbed_QZ,$K193,1,W$1),ZeroCompFreq,'PDH Calc'!$K193/365)</f>
        <v>1</v>
      </c>
      <c r="X193" s="8">
        <f ca="1">_xll.HLV5r3.Analytics.Miscellaneous.Zero2DF(_xll.HLV5r3.Analytics.Miscellaneous.LinearInterp(Peturbed_QZ,$K193,1,X$1),ZeroCompFreq,'PDH Calc'!$K193/365)</f>
        <v>1</v>
      </c>
      <c r="Y193" s="8">
        <f ca="1">_xll.HLV5r3.Analytics.Miscellaneous.Zero2DF(_xll.HLV5r3.Analytics.Miscellaneous.LinearInterp(Peturbed_QZ,$K193,1,Y$1),ZeroCompFreq,'PDH Calc'!$K193/365)</f>
        <v>1</v>
      </c>
      <c r="Z193" s="8">
        <f ca="1">_xll.HLV5r3.Analytics.Miscellaneous.Zero2DF(_xll.HLV5r3.Analytics.Miscellaneous.LinearInterp(Peturbed_QZ,$K193,1,Z$1),ZeroCompFreq,'PDH Calc'!$K193/365)</f>
        <v>1</v>
      </c>
      <c r="AA193" s="8">
        <f ca="1">_xll.HLV5r3.Analytics.Miscellaneous.Zero2DF(_xll.HLV5r3.Analytics.Miscellaneous.LinearInterp(Peturbed_QZ,$K193,1,AA$1),ZeroCompFreq,'PDH Calc'!$K193/365)</f>
        <v>1</v>
      </c>
      <c r="AB193" s="8">
        <f ca="1">_xll.HLV5r3.Analytics.Miscellaneous.Zero2DF(_xll.HLV5r3.Analytics.Miscellaneous.LinearInterp(Peturbed_QZ,$K193,1,AB$1),ZeroCompFreq,'PDH Calc'!$K193/365)</f>
        <v>1</v>
      </c>
      <c r="AC193" s="8">
        <f ca="1">_xll.HLV5r3.Analytics.Miscellaneous.Zero2DF(_xll.HLV5r3.Analytics.Miscellaneous.LinearInterp(Peturbed_QZ,$K193,1,AC$1),ZeroCompFreq,'PDH Calc'!$K193/365)</f>
        <v>1</v>
      </c>
      <c r="AD193" s="8">
        <f ca="1">_xll.HLV5r3.Analytics.Miscellaneous.Zero2DF(_xll.HLV5r3.Analytics.Miscellaneous.LinearInterp(Peturbed_QZ,$K193,1,AD$1),ZeroCompFreq,'PDH Calc'!$K193/365)</f>
        <v>1</v>
      </c>
      <c r="AE193" s="8">
        <f ca="1">_xll.HLV5r3.Analytics.Miscellaneous.Zero2DF(_xll.HLV5r3.Analytics.Miscellaneous.LinearInterp(Peturbed_QZ,$K193,1,AE$1),ZeroCompFreq,'PDH Calc'!$K193/365)</f>
        <v>1</v>
      </c>
      <c r="AF193" s="8">
        <f ca="1">_xll.HLV5r3.Analytics.Miscellaneous.Zero2DF(_xll.HLV5r3.Analytics.Miscellaneous.LinearInterp(Peturbed_QZ,$K193,1,AF$1),ZeroCompFreq,'PDH Calc'!$K193/365)</f>
        <v>1</v>
      </c>
      <c r="AG193" s="8">
        <f ca="1">_xll.HLV5r3.Analytics.Miscellaneous.Zero2DF(_xll.HLV5r3.Analytics.Miscellaneous.LinearInterp(Peturbed_QZ,$K193,1,AG$1),ZeroCompFreq,'PDH Calc'!$K193/365)</f>
        <v>1</v>
      </c>
      <c r="AH193" s="8">
        <f ca="1">_xll.HLV5r3.Analytics.Miscellaneous.Zero2DF(_xll.HLV5r3.Analytics.Miscellaneous.LinearInterp(Peturbed_QZ,$K193,1,AH$1),ZeroCompFreq,'PDH Calc'!$K193/365)</f>
        <v>1</v>
      </c>
      <c r="AI193" s="8">
        <f ca="1">_xll.HLV5r3.Analytics.Miscellaneous.Zero2DF(_xll.HLV5r3.Analytics.Miscellaneous.LinearInterp(Peturbed_QZ,$K193,1,AI$1),ZeroCompFreq,'PDH Calc'!$K193/365)</f>
        <v>1</v>
      </c>
      <c r="AJ193" s="8">
        <f ca="1">_xll.HLV5r3.Analytics.Miscellaneous.Zero2DF(_xll.HLV5r3.Analytics.Miscellaneous.LinearInterp(Peturbed_QZ,$K193,1,AJ$1),ZeroCompFreq,'PDH Calc'!$K193/365)</f>
        <v>1</v>
      </c>
      <c r="AK193" s="8">
        <f ca="1">_xll.HLV5r3.Analytics.Miscellaneous.Zero2DF(_xll.HLV5r3.Analytics.Miscellaneous.LinearInterp(Peturbed_QZ,$K193,1,AK$1),ZeroCompFreq,'PDH Calc'!$K193/365)</f>
        <v>1</v>
      </c>
    </row>
    <row r="194" spans="1:37">
      <c r="A194" s="4"/>
      <c r="B194" s="6"/>
      <c r="F194" s="11"/>
      <c r="G194" s="6"/>
      <c r="H194" s="20"/>
      <c r="I194" s="21"/>
      <c r="J194" s="26"/>
      <c r="K194" s="6">
        <f t="shared" ca="1" si="9"/>
        <v>0</v>
      </c>
      <c r="L194" s="8">
        <f ca="1">_xll.HLV5r3.Analytics.Miscellaneous.Zero2DF(_xll.HLV5r3.Analytics.Miscellaneous.LinearInterp(Peturbed_QZ,$K194,1,L$1),ZeroCompFreq,'PDH Calc'!$K194/365)</f>
        <v>1</v>
      </c>
      <c r="M194" s="8">
        <f ca="1">_xll.HLV5r3.Analytics.Miscellaneous.Zero2DF(_xll.HLV5r3.Analytics.Miscellaneous.LinearInterp(Peturbed_QZ,$K194,1,M$1),ZeroCompFreq,'PDH Calc'!$K194/365)</f>
        <v>1</v>
      </c>
      <c r="N194" s="8">
        <f ca="1">_xll.HLV5r3.Analytics.Miscellaneous.Zero2DF(_xll.HLV5r3.Analytics.Miscellaneous.LinearInterp(Peturbed_QZ,$K194,1,N$1),ZeroCompFreq,'PDH Calc'!$K194/365)</f>
        <v>1</v>
      </c>
      <c r="O194" s="8">
        <f ca="1">_xll.HLV5r3.Analytics.Miscellaneous.Zero2DF(_xll.HLV5r3.Analytics.Miscellaneous.LinearInterp(Peturbed_QZ,$K194,1,O$1),ZeroCompFreq,'PDH Calc'!$K194/365)</f>
        <v>1</v>
      </c>
      <c r="P194" s="8">
        <f ca="1">_xll.HLV5r3.Analytics.Miscellaneous.Zero2DF(_xll.HLV5r3.Analytics.Miscellaneous.LinearInterp(Peturbed_QZ,$K194,1,P$1),ZeroCompFreq,'PDH Calc'!$K194/365)</f>
        <v>1</v>
      </c>
      <c r="Q194" s="8">
        <f ca="1">_xll.HLV5r3.Analytics.Miscellaneous.Zero2DF(_xll.HLV5r3.Analytics.Miscellaneous.LinearInterp(Peturbed_QZ,$K194,1,Q$1),ZeroCompFreq,'PDH Calc'!$K194/365)</f>
        <v>1</v>
      </c>
      <c r="R194" s="8">
        <f ca="1">_xll.HLV5r3.Analytics.Miscellaneous.Zero2DF(_xll.HLV5r3.Analytics.Miscellaneous.LinearInterp(Peturbed_QZ,$K194,1,R$1),ZeroCompFreq,'PDH Calc'!$K194/365)</f>
        <v>1</v>
      </c>
      <c r="S194" s="8">
        <f ca="1">_xll.HLV5r3.Analytics.Miscellaneous.Zero2DF(_xll.HLV5r3.Analytics.Miscellaneous.LinearInterp(Peturbed_QZ,$K194,1,S$1),ZeroCompFreq,'PDH Calc'!$K194/365)</f>
        <v>1</v>
      </c>
      <c r="T194" s="8">
        <f ca="1">_xll.HLV5r3.Analytics.Miscellaneous.Zero2DF(_xll.HLV5r3.Analytics.Miscellaneous.LinearInterp(Peturbed_QZ,$K194,1,T$1),ZeroCompFreq,'PDH Calc'!$K194/365)</f>
        <v>1</v>
      </c>
      <c r="U194" s="8">
        <f ca="1">_xll.HLV5r3.Analytics.Miscellaneous.Zero2DF(_xll.HLV5r3.Analytics.Miscellaneous.LinearInterp(Peturbed_QZ,$K194,1,U$1),ZeroCompFreq,'PDH Calc'!$K194/365)</f>
        <v>1</v>
      </c>
      <c r="V194" s="8">
        <f ca="1">_xll.HLV5r3.Analytics.Miscellaneous.Zero2DF(_xll.HLV5r3.Analytics.Miscellaneous.LinearInterp(Peturbed_QZ,$K194,1,V$1),ZeroCompFreq,'PDH Calc'!$K194/365)</f>
        <v>1</v>
      </c>
      <c r="W194" s="8">
        <f ca="1">_xll.HLV5r3.Analytics.Miscellaneous.Zero2DF(_xll.HLV5r3.Analytics.Miscellaneous.LinearInterp(Peturbed_QZ,$K194,1,W$1),ZeroCompFreq,'PDH Calc'!$K194/365)</f>
        <v>1</v>
      </c>
      <c r="X194" s="8">
        <f ca="1">_xll.HLV5r3.Analytics.Miscellaneous.Zero2DF(_xll.HLV5r3.Analytics.Miscellaneous.LinearInterp(Peturbed_QZ,$K194,1,X$1),ZeroCompFreq,'PDH Calc'!$K194/365)</f>
        <v>1</v>
      </c>
      <c r="Y194" s="8">
        <f ca="1">_xll.HLV5r3.Analytics.Miscellaneous.Zero2DF(_xll.HLV5r3.Analytics.Miscellaneous.LinearInterp(Peturbed_QZ,$K194,1,Y$1),ZeroCompFreq,'PDH Calc'!$K194/365)</f>
        <v>1</v>
      </c>
      <c r="Z194" s="8">
        <f ca="1">_xll.HLV5r3.Analytics.Miscellaneous.Zero2DF(_xll.HLV5r3.Analytics.Miscellaneous.LinearInterp(Peturbed_QZ,$K194,1,Z$1),ZeroCompFreq,'PDH Calc'!$K194/365)</f>
        <v>1</v>
      </c>
      <c r="AA194" s="8">
        <f ca="1">_xll.HLV5r3.Analytics.Miscellaneous.Zero2DF(_xll.HLV5r3.Analytics.Miscellaneous.LinearInterp(Peturbed_QZ,$K194,1,AA$1),ZeroCompFreq,'PDH Calc'!$K194/365)</f>
        <v>1</v>
      </c>
      <c r="AB194" s="8">
        <f ca="1">_xll.HLV5r3.Analytics.Miscellaneous.Zero2DF(_xll.HLV5r3.Analytics.Miscellaneous.LinearInterp(Peturbed_QZ,$K194,1,AB$1),ZeroCompFreq,'PDH Calc'!$K194/365)</f>
        <v>1</v>
      </c>
      <c r="AC194" s="8">
        <f ca="1">_xll.HLV5r3.Analytics.Miscellaneous.Zero2DF(_xll.HLV5r3.Analytics.Miscellaneous.LinearInterp(Peturbed_QZ,$K194,1,AC$1),ZeroCompFreq,'PDH Calc'!$K194/365)</f>
        <v>1</v>
      </c>
      <c r="AD194" s="8">
        <f ca="1">_xll.HLV5r3.Analytics.Miscellaneous.Zero2DF(_xll.HLV5r3.Analytics.Miscellaneous.LinearInterp(Peturbed_QZ,$K194,1,AD$1),ZeroCompFreq,'PDH Calc'!$K194/365)</f>
        <v>1</v>
      </c>
      <c r="AE194" s="8">
        <f ca="1">_xll.HLV5r3.Analytics.Miscellaneous.Zero2DF(_xll.HLV5r3.Analytics.Miscellaneous.LinearInterp(Peturbed_QZ,$K194,1,AE$1),ZeroCompFreq,'PDH Calc'!$K194/365)</f>
        <v>1</v>
      </c>
      <c r="AF194" s="8">
        <f ca="1">_xll.HLV5r3.Analytics.Miscellaneous.Zero2DF(_xll.HLV5r3.Analytics.Miscellaneous.LinearInterp(Peturbed_QZ,$K194,1,AF$1),ZeroCompFreq,'PDH Calc'!$K194/365)</f>
        <v>1</v>
      </c>
      <c r="AG194" s="8">
        <f ca="1">_xll.HLV5r3.Analytics.Miscellaneous.Zero2DF(_xll.HLV5r3.Analytics.Miscellaneous.LinearInterp(Peturbed_QZ,$K194,1,AG$1),ZeroCompFreq,'PDH Calc'!$K194/365)</f>
        <v>1</v>
      </c>
      <c r="AH194" s="8">
        <f ca="1">_xll.HLV5r3.Analytics.Miscellaneous.Zero2DF(_xll.HLV5r3.Analytics.Miscellaneous.LinearInterp(Peturbed_QZ,$K194,1,AH$1),ZeroCompFreq,'PDH Calc'!$K194/365)</f>
        <v>1</v>
      </c>
      <c r="AI194" s="8">
        <f ca="1">_xll.HLV5r3.Analytics.Miscellaneous.Zero2DF(_xll.HLV5r3.Analytics.Miscellaneous.LinearInterp(Peturbed_QZ,$K194,1,AI$1),ZeroCompFreq,'PDH Calc'!$K194/365)</f>
        <v>1</v>
      </c>
      <c r="AJ194" s="8">
        <f ca="1">_xll.HLV5r3.Analytics.Miscellaneous.Zero2DF(_xll.HLV5r3.Analytics.Miscellaneous.LinearInterp(Peturbed_QZ,$K194,1,AJ$1),ZeroCompFreq,'PDH Calc'!$K194/365)</f>
        <v>1</v>
      </c>
      <c r="AK194" s="8">
        <f ca="1">_xll.HLV5r3.Analytics.Miscellaneous.Zero2DF(_xll.HLV5r3.Analytics.Miscellaneous.LinearInterp(Peturbed_QZ,$K194,1,AK$1),ZeroCompFreq,'PDH Calc'!$K194/365)</f>
        <v>1</v>
      </c>
    </row>
    <row r="195" spans="1:37">
      <c r="A195" s="4"/>
      <c r="B195" s="6"/>
      <c r="F195" s="11"/>
      <c r="G195" s="6"/>
      <c r="H195" s="20"/>
      <c r="I195" s="21"/>
      <c r="J195" s="26"/>
      <c r="K195" s="6">
        <f t="shared" ca="1" si="9"/>
        <v>0</v>
      </c>
      <c r="L195" s="8">
        <f ca="1">_xll.HLV5r3.Analytics.Miscellaneous.Zero2DF(_xll.HLV5r3.Analytics.Miscellaneous.LinearInterp(Peturbed_QZ,$K195,1,L$1),ZeroCompFreq,'PDH Calc'!$K195/365)</f>
        <v>1</v>
      </c>
      <c r="M195" s="8">
        <f ca="1">_xll.HLV5r3.Analytics.Miscellaneous.Zero2DF(_xll.HLV5r3.Analytics.Miscellaneous.LinearInterp(Peturbed_QZ,$K195,1,M$1),ZeroCompFreq,'PDH Calc'!$K195/365)</f>
        <v>1</v>
      </c>
      <c r="N195" s="8">
        <f ca="1">_xll.HLV5r3.Analytics.Miscellaneous.Zero2DF(_xll.HLV5r3.Analytics.Miscellaneous.LinearInterp(Peturbed_QZ,$K195,1,N$1),ZeroCompFreq,'PDH Calc'!$K195/365)</f>
        <v>1</v>
      </c>
      <c r="O195" s="8">
        <f ca="1">_xll.HLV5r3.Analytics.Miscellaneous.Zero2DF(_xll.HLV5r3.Analytics.Miscellaneous.LinearInterp(Peturbed_QZ,$K195,1,O$1),ZeroCompFreq,'PDH Calc'!$K195/365)</f>
        <v>1</v>
      </c>
      <c r="P195" s="8">
        <f ca="1">_xll.HLV5r3.Analytics.Miscellaneous.Zero2DF(_xll.HLV5r3.Analytics.Miscellaneous.LinearInterp(Peturbed_QZ,$K195,1,P$1),ZeroCompFreq,'PDH Calc'!$K195/365)</f>
        <v>1</v>
      </c>
      <c r="Q195" s="8">
        <f ca="1">_xll.HLV5r3.Analytics.Miscellaneous.Zero2DF(_xll.HLV5r3.Analytics.Miscellaneous.LinearInterp(Peturbed_QZ,$K195,1,Q$1),ZeroCompFreq,'PDH Calc'!$K195/365)</f>
        <v>1</v>
      </c>
      <c r="R195" s="8">
        <f ca="1">_xll.HLV5r3.Analytics.Miscellaneous.Zero2DF(_xll.HLV5r3.Analytics.Miscellaneous.LinearInterp(Peturbed_QZ,$K195,1,R$1),ZeroCompFreq,'PDH Calc'!$K195/365)</f>
        <v>1</v>
      </c>
      <c r="S195" s="8">
        <f ca="1">_xll.HLV5r3.Analytics.Miscellaneous.Zero2DF(_xll.HLV5r3.Analytics.Miscellaneous.LinearInterp(Peturbed_QZ,$K195,1,S$1),ZeroCompFreq,'PDH Calc'!$K195/365)</f>
        <v>1</v>
      </c>
      <c r="T195" s="8">
        <f ca="1">_xll.HLV5r3.Analytics.Miscellaneous.Zero2DF(_xll.HLV5r3.Analytics.Miscellaneous.LinearInterp(Peturbed_QZ,$K195,1,T$1),ZeroCompFreq,'PDH Calc'!$K195/365)</f>
        <v>1</v>
      </c>
      <c r="U195" s="8">
        <f ca="1">_xll.HLV5r3.Analytics.Miscellaneous.Zero2DF(_xll.HLV5r3.Analytics.Miscellaneous.LinearInterp(Peturbed_QZ,$K195,1,U$1),ZeroCompFreq,'PDH Calc'!$K195/365)</f>
        <v>1</v>
      </c>
      <c r="V195" s="8">
        <f ca="1">_xll.HLV5r3.Analytics.Miscellaneous.Zero2DF(_xll.HLV5r3.Analytics.Miscellaneous.LinearInterp(Peturbed_QZ,$K195,1,V$1),ZeroCompFreq,'PDH Calc'!$K195/365)</f>
        <v>1</v>
      </c>
      <c r="W195" s="8">
        <f ca="1">_xll.HLV5r3.Analytics.Miscellaneous.Zero2DF(_xll.HLV5r3.Analytics.Miscellaneous.LinearInterp(Peturbed_QZ,$K195,1,W$1),ZeroCompFreq,'PDH Calc'!$K195/365)</f>
        <v>1</v>
      </c>
      <c r="X195" s="8">
        <f ca="1">_xll.HLV5r3.Analytics.Miscellaneous.Zero2DF(_xll.HLV5r3.Analytics.Miscellaneous.LinearInterp(Peturbed_QZ,$K195,1,X$1),ZeroCompFreq,'PDH Calc'!$K195/365)</f>
        <v>1</v>
      </c>
      <c r="Y195" s="8">
        <f ca="1">_xll.HLV5r3.Analytics.Miscellaneous.Zero2DF(_xll.HLV5r3.Analytics.Miscellaneous.LinearInterp(Peturbed_QZ,$K195,1,Y$1),ZeroCompFreq,'PDH Calc'!$K195/365)</f>
        <v>1</v>
      </c>
      <c r="Z195" s="8">
        <f ca="1">_xll.HLV5r3.Analytics.Miscellaneous.Zero2DF(_xll.HLV5r3.Analytics.Miscellaneous.LinearInterp(Peturbed_QZ,$K195,1,Z$1),ZeroCompFreq,'PDH Calc'!$K195/365)</f>
        <v>1</v>
      </c>
      <c r="AA195" s="8">
        <f ca="1">_xll.HLV5r3.Analytics.Miscellaneous.Zero2DF(_xll.HLV5r3.Analytics.Miscellaneous.LinearInterp(Peturbed_QZ,$K195,1,AA$1),ZeroCompFreq,'PDH Calc'!$K195/365)</f>
        <v>1</v>
      </c>
      <c r="AB195" s="8">
        <f ca="1">_xll.HLV5r3.Analytics.Miscellaneous.Zero2DF(_xll.HLV5r3.Analytics.Miscellaneous.LinearInterp(Peturbed_QZ,$K195,1,AB$1),ZeroCompFreq,'PDH Calc'!$K195/365)</f>
        <v>1</v>
      </c>
      <c r="AC195" s="8">
        <f ca="1">_xll.HLV5r3.Analytics.Miscellaneous.Zero2DF(_xll.HLV5r3.Analytics.Miscellaneous.LinearInterp(Peturbed_QZ,$K195,1,AC$1),ZeroCompFreq,'PDH Calc'!$K195/365)</f>
        <v>1</v>
      </c>
      <c r="AD195" s="8">
        <f ca="1">_xll.HLV5r3.Analytics.Miscellaneous.Zero2DF(_xll.HLV5r3.Analytics.Miscellaneous.LinearInterp(Peturbed_QZ,$K195,1,AD$1),ZeroCompFreq,'PDH Calc'!$K195/365)</f>
        <v>1</v>
      </c>
      <c r="AE195" s="8">
        <f ca="1">_xll.HLV5r3.Analytics.Miscellaneous.Zero2DF(_xll.HLV5r3.Analytics.Miscellaneous.LinearInterp(Peturbed_QZ,$K195,1,AE$1),ZeroCompFreq,'PDH Calc'!$K195/365)</f>
        <v>1</v>
      </c>
      <c r="AF195" s="8">
        <f ca="1">_xll.HLV5r3.Analytics.Miscellaneous.Zero2DF(_xll.HLV5r3.Analytics.Miscellaneous.LinearInterp(Peturbed_QZ,$K195,1,AF$1),ZeroCompFreq,'PDH Calc'!$K195/365)</f>
        <v>1</v>
      </c>
      <c r="AG195" s="8">
        <f ca="1">_xll.HLV5r3.Analytics.Miscellaneous.Zero2DF(_xll.HLV5r3.Analytics.Miscellaneous.LinearInterp(Peturbed_QZ,$K195,1,AG$1),ZeroCompFreq,'PDH Calc'!$K195/365)</f>
        <v>1</v>
      </c>
      <c r="AH195" s="8">
        <f ca="1">_xll.HLV5r3.Analytics.Miscellaneous.Zero2DF(_xll.HLV5r3.Analytics.Miscellaneous.LinearInterp(Peturbed_QZ,$K195,1,AH$1),ZeroCompFreq,'PDH Calc'!$K195/365)</f>
        <v>1</v>
      </c>
      <c r="AI195" s="8">
        <f ca="1">_xll.HLV5r3.Analytics.Miscellaneous.Zero2DF(_xll.HLV5r3.Analytics.Miscellaneous.LinearInterp(Peturbed_QZ,$K195,1,AI$1),ZeroCompFreq,'PDH Calc'!$K195/365)</f>
        <v>1</v>
      </c>
      <c r="AJ195" s="8">
        <f ca="1">_xll.HLV5r3.Analytics.Miscellaneous.Zero2DF(_xll.HLV5r3.Analytics.Miscellaneous.LinearInterp(Peturbed_QZ,$K195,1,AJ$1),ZeroCompFreq,'PDH Calc'!$K195/365)</f>
        <v>1</v>
      </c>
      <c r="AK195" s="8">
        <f ca="1">_xll.HLV5r3.Analytics.Miscellaneous.Zero2DF(_xll.HLV5r3.Analytics.Miscellaneous.LinearInterp(Peturbed_QZ,$K195,1,AK$1),ZeroCompFreq,'PDH Calc'!$K195/365)</f>
        <v>1</v>
      </c>
    </row>
    <row r="196" spans="1:37">
      <c r="A196" s="4"/>
      <c r="B196" s="6"/>
      <c r="F196" s="11"/>
      <c r="G196" s="6"/>
      <c r="H196" s="20"/>
      <c r="I196" s="21"/>
      <c r="J196" s="26"/>
      <c r="K196" s="6">
        <f t="shared" ca="1" si="9"/>
        <v>0</v>
      </c>
      <c r="L196" s="8">
        <f ca="1">_xll.HLV5r3.Analytics.Miscellaneous.Zero2DF(_xll.HLV5r3.Analytics.Miscellaneous.LinearInterp(Peturbed_QZ,$K196,1,L$1),ZeroCompFreq,'PDH Calc'!$K196/365)</f>
        <v>1</v>
      </c>
      <c r="M196" s="8">
        <f ca="1">_xll.HLV5r3.Analytics.Miscellaneous.Zero2DF(_xll.HLV5r3.Analytics.Miscellaneous.LinearInterp(Peturbed_QZ,$K196,1,M$1),ZeroCompFreq,'PDH Calc'!$K196/365)</f>
        <v>1</v>
      </c>
      <c r="N196" s="8">
        <f ca="1">_xll.HLV5r3.Analytics.Miscellaneous.Zero2DF(_xll.HLV5r3.Analytics.Miscellaneous.LinearInterp(Peturbed_QZ,$K196,1,N$1),ZeroCompFreq,'PDH Calc'!$K196/365)</f>
        <v>1</v>
      </c>
      <c r="O196" s="8">
        <f ca="1">_xll.HLV5r3.Analytics.Miscellaneous.Zero2DF(_xll.HLV5r3.Analytics.Miscellaneous.LinearInterp(Peturbed_QZ,$K196,1,O$1),ZeroCompFreq,'PDH Calc'!$K196/365)</f>
        <v>1</v>
      </c>
      <c r="P196" s="8">
        <f ca="1">_xll.HLV5r3.Analytics.Miscellaneous.Zero2DF(_xll.HLV5r3.Analytics.Miscellaneous.LinearInterp(Peturbed_QZ,$K196,1,P$1),ZeroCompFreq,'PDH Calc'!$K196/365)</f>
        <v>1</v>
      </c>
      <c r="Q196" s="8">
        <f ca="1">_xll.HLV5r3.Analytics.Miscellaneous.Zero2DF(_xll.HLV5r3.Analytics.Miscellaneous.LinearInterp(Peturbed_QZ,$K196,1,Q$1),ZeroCompFreq,'PDH Calc'!$K196/365)</f>
        <v>1</v>
      </c>
      <c r="R196" s="8">
        <f ca="1">_xll.HLV5r3.Analytics.Miscellaneous.Zero2DF(_xll.HLV5r3.Analytics.Miscellaneous.LinearInterp(Peturbed_QZ,$K196,1,R$1),ZeroCompFreq,'PDH Calc'!$K196/365)</f>
        <v>1</v>
      </c>
      <c r="S196" s="8">
        <f ca="1">_xll.HLV5r3.Analytics.Miscellaneous.Zero2DF(_xll.HLV5r3.Analytics.Miscellaneous.LinearInterp(Peturbed_QZ,$K196,1,S$1),ZeroCompFreq,'PDH Calc'!$K196/365)</f>
        <v>1</v>
      </c>
      <c r="T196" s="8">
        <f ca="1">_xll.HLV5r3.Analytics.Miscellaneous.Zero2DF(_xll.HLV5r3.Analytics.Miscellaneous.LinearInterp(Peturbed_QZ,$K196,1,T$1),ZeroCompFreq,'PDH Calc'!$K196/365)</f>
        <v>1</v>
      </c>
      <c r="U196" s="8">
        <f ca="1">_xll.HLV5r3.Analytics.Miscellaneous.Zero2DF(_xll.HLV5r3.Analytics.Miscellaneous.LinearInterp(Peturbed_QZ,$K196,1,U$1),ZeroCompFreq,'PDH Calc'!$K196/365)</f>
        <v>1</v>
      </c>
      <c r="V196" s="8">
        <f ca="1">_xll.HLV5r3.Analytics.Miscellaneous.Zero2DF(_xll.HLV5r3.Analytics.Miscellaneous.LinearInterp(Peturbed_QZ,$K196,1,V$1),ZeroCompFreq,'PDH Calc'!$K196/365)</f>
        <v>1</v>
      </c>
      <c r="W196" s="8">
        <f ca="1">_xll.HLV5r3.Analytics.Miscellaneous.Zero2DF(_xll.HLV5r3.Analytics.Miscellaneous.LinearInterp(Peturbed_QZ,$K196,1,W$1),ZeroCompFreq,'PDH Calc'!$K196/365)</f>
        <v>1</v>
      </c>
      <c r="X196" s="8">
        <f ca="1">_xll.HLV5r3.Analytics.Miscellaneous.Zero2DF(_xll.HLV5r3.Analytics.Miscellaneous.LinearInterp(Peturbed_QZ,$K196,1,X$1),ZeroCompFreq,'PDH Calc'!$K196/365)</f>
        <v>1</v>
      </c>
      <c r="Y196" s="8">
        <f ca="1">_xll.HLV5r3.Analytics.Miscellaneous.Zero2DF(_xll.HLV5r3.Analytics.Miscellaneous.LinearInterp(Peturbed_QZ,$K196,1,Y$1),ZeroCompFreq,'PDH Calc'!$K196/365)</f>
        <v>1</v>
      </c>
      <c r="Z196" s="8">
        <f ca="1">_xll.HLV5r3.Analytics.Miscellaneous.Zero2DF(_xll.HLV5r3.Analytics.Miscellaneous.LinearInterp(Peturbed_QZ,$K196,1,Z$1),ZeroCompFreq,'PDH Calc'!$K196/365)</f>
        <v>1</v>
      </c>
      <c r="AA196" s="8">
        <f ca="1">_xll.HLV5r3.Analytics.Miscellaneous.Zero2DF(_xll.HLV5r3.Analytics.Miscellaneous.LinearInterp(Peturbed_QZ,$K196,1,AA$1),ZeroCompFreq,'PDH Calc'!$K196/365)</f>
        <v>1</v>
      </c>
      <c r="AB196" s="8">
        <f ca="1">_xll.HLV5r3.Analytics.Miscellaneous.Zero2DF(_xll.HLV5r3.Analytics.Miscellaneous.LinearInterp(Peturbed_QZ,$K196,1,AB$1),ZeroCompFreq,'PDH Calc'!$K196/365)</f>
        <v>1</v>
      </c>
      <c r="AC196" s="8">
        <f ca="1">_xll.HLV5r3.Analytics.Miscellaneous.Zero2DF(_xll.HLV5r3.Analytics.Miscellaneous.LinearInterp(Peturbed_QZ,$K196,1,AC$1),ZeroCompFreq,'PDH Calc'!$K196/365)</f>
        <v>1</v>
      </c>
      <c r="AD196" s="8">
        <f ca="1">_xll.HLV5r3.Analytics.Miscellaneous.Zero2DF(_xll.HLV5r3.Analytics.Miscellaneous.LinearInterp(Peturbed_QZ,$K196,1,AD$1),ZeroCompFreq,'PDH Calc'!$K196/365)</f>
        <v>1</v>
      </c>
      <c r="AE196" s="8">
        <f ca="1">_xll.HLV5r3.Analytics.Miscellaneous.Zero2DF(_xll.HLV5r3.Analytics.Miscellaneous.LinearInterp(Peturbed_QZ,$K196,1,AE$1),ZeroCompFreq,'PDH Calc'!$K196/365)</f>
        <v>1</v>
      </c>
      <c r="AF196" s="8">
        <f ca="1">_xll.HLV5r3.Analytics.Miscellaneous.Zero2DF(_xll.HLV5r3.Analytics.Miscellaneous.LinearInterp(Peturbed_QZ,$K196,1,AF$1),ZeroCompFreq,'PDH Calc'!$K196/365)</f>
        <v>1</v>
      </c>
      <c r="AG196" s="8">
        <f ca="1">_xll.HLV5r3.Analytics.Miscellaneous.Zero2DF(_xll.HLV5r3.Analytics.Miscellaneous.LinearInterp(Peturbed_QZ,$K196,1,AG$1),ZeroCompFreq,'PDH Calc'!$K196/365)</f>
        <v>1</v>
      </c>
      <c r="AH196" s="8">
        <f ca="1">_xll.HLV5r3.Analytics.Miscellaneous.Zero2DF(_xll.HLV5r3.Analytics.Miscellaneous.LinearInterp(Peturbed_QZ,$K196,1,AH$1),ZeroCompFreq,'PDH Calc'!$K196/365)</f>
        <v>1</v>
      </c>
      <c r="AI196" s="8">
        <f ca="1">_xll.HLV5r3.Analytics.Miscellaneous.Zero2DF(_xll.HLV5r3.Analytics.Miscellaneous.LinearInterp(Peturbed_QZ,$K196,1,AI$1),ZeroCompFreq,'PDH Calc'!$K196/365)</f>
        <v>1</v>
      </c>
      <c r="AJ196" s="8">
        <f ca="1">_xll.HLV5r3.Analytics.Miscellaneous.Zero2DF(_xll.HLV5r3.Analytics.Miscellaneous.LinearInterp(Peturbed_QZ,$K196,1,AJ$1),ZeroCompFreq,'PDH Calc'!$K196/365)</f>
        <v>1</v>
      </c>
      <c r="AK196" s="8">
        <f ca="1">_xll.HLV5r3.Analytics.Miscellaneous.Zero2DF(_xll.HLV5r3.Analytics.Miscellaneous.LinearInterp(Peturbed_QZ,$K196,1,AK$1),ZeroCompFreq,'PDH Calc'!$K196/365)</f>
        <v>1</v>
      </c>
    </row>
    <row r="197" spans="1:37">
      <c r="A197" s="4"/>
      <c r="B197" s="6"/>
      <c r="F197" s="11"/>
      <c r="G197" s="6"/>
      <c r="H197" s="20"/>
      <c r="I197" s="21"/>
      <c r="J197" s="26"/>
      <c r="K197" s="6">
        <f t="shared" ca="1" si="9"/>
        <v>0</v>
      </c>
      <c r="L197" s="8">
        <f ca="1">_xll.HLV5r3.Analytics.Miscellaneous.Zero2DF(_xll.HLV5r3.Analytics.Miscellaneous.LinearInterp(Peturbed_QZ,$K197,1,L$1),ZeroCompFreq,'PDH Calc'!$K197/365)</f>
        <v>1</v>
      </c>
      <c r="M197" s="8">
        <f ca="1">_xll.HLV5r3.Analytics.Miscellaneous.Zero2DF(_xll.HLV5r3.Analytics.Miscellaneous.LinearInterp(Peturbed_QZ,$K197,1,M$1),ZeroCompFreq,'PDH Calc'!$K197/365)</f>
        <v>1</v>
      </c>
      <c r="N197" s="8">
        <f ca="1">_xll.HLV5r3.Analytics.Miscellaneous.Zero2DF(_xll.HLV5r3.Analytics.Miscellaneous.LinearInterp(Peturbed_QZ,$K197,1,N$1),ZeroCompFreq,'PDH Calc'!$K197/365)</f>
        <v>1</v>
      </c>
      <c r="O197" s="8">
        <f ca="1">_xll.HLV5r3.Analytics.Miscellaneous.Zero2DF(_xll.HLV5r3.Analytics.Miscellaneous.LinearInterp(Peturbed_QZ,$K197,1,O$1),ZeroCompFreq,'PDH Calc'!$K197/365)</f>
        <v>1</v>
      </c>
      <c r="P197" s="8">
        <f ca="1">_xll.HLV5r3.Analytics.Miscellaneous.Zero2DF(_xll.HLV5r3.Analytics.Miscellaneous.LinearInterp(Peturbed_QZ,$K197,1,P$1),ZeroCompFreq,'PDH Calc'!$K197/365)</f>
        <v>1</v>
      </c>
      <c r="Q197" s="8">
        <f ca="1">_xll.HLV5r3.Analytics.Miscellaneous.Zero2DF(_xll.HLV5r3.Analytics.Miscellaneous.LinearInterp(Peturbed_QZ,$K197,1,Q$1),ZeroCompFreq,'PDH Calc'!$K197/365)</f>
        <v>1</v>
      </c>
      <c r="R197" s="8">
        <f ca="1">_xll.HLV5r3.Analytics.Miscellaneous.Zero2DF(_xll.HLV5r3.Analytics.Miscellaneous.LinearInterp(Peturbed_QZ,$K197,1,R$1),ZeroCompFreq,'PDH Calc'!$K197/365)</f>
        <v>1</v>
      </c>
      <c r="S197" s="8">
        <f ca="1">_xll.HLV5r3.Analytics.Miscellaneous.Zero2DF(_xll.HLV5r3.Analytics.Miscellaneous.LinearInterp(Peturbed_QZ,$K197,1,S$1),ZeroCompFreq,'PDH Calc'!$K197/365)</f>
        <v>1</v>
      </c>
      <c r="T197" s="8">
        <f ca="1">_xll.HLV5r3.Analytics.Miscellaneous.Zero2DF(_xll.HLV5r3.Analytics.Miscellaneous.LinearInterp(Peturbed_QZ,$K197,1,T$1),ZeroCompFreq,'PDH Calc'!$K197/365)</f>
        <v>1</v>
      </c>
      <c r="U197" s="8">
        <f ca="1">_xll.HLV5r3.Analytics.Miscellaneous.Zero2DF(_xll.HLV5r3.Analytics.Miscellaneous.LinearInterp(Peturbed_QZ,$K197,1,U$1),ZeroCompFreq,'PDH Calc'!$K197/365)</f>
        <v>1</v>
      </c>
      <c r="V197" s="8">
        <f ca="1">_xll.HLV5r3.Analytics.Miscellaneous.Zero2DF(_xll.HLV5r3.Analytics.Miscellaneous.LinearInterp(Peturbed_QZ,$K197,1,V$1),ZeroCompFreq,'PDH Calc'!$K197/365)</f>
        <v>1</v>
      </c>
      <c r="W197" s="8">
        <f ca="1">_xll.HLV5r3.Analytics.Miscellaneous.Zero2DF(_xll.HLV5r3.Analytics.Miscellaneous.LinearInterp(Peturbed_QZ,$K197,1,W$1),ZeroCompFreq,'PDH Calc'!$K197/365)</f>
        <v>1</v>
      </c>
      <c r="X197" s="8">
        <f ca="1">_xll.HLV5r3.Analytics.Miscellaneous.Zero2DF(_xll.HLV5r3.Analytics.Miscellaneous.LinearInterp(Peturbed_QZ,$K197,1,X$1),ZeroCompFreq,'PDH Calc'!$K197/365)</f>
        <v>1</v>
      </c>
      <c r="Y197" s="8">
        <f ca="1">_xll.HLV5r3.Analytics.Miscellaneous.Zero2DF(_xll.HLV5r3.Analytics.Miscellaneous.LinearInterp(Peturbed_QZ,$K197,1,Y$1),ZeroCompFreq,'PDH Calc'!$K197/365)</f>
        <v>1</v>
      </c>
      <c r="Z197" s="8">
        <f ca="1">_xll.HLV5r3.Analytics.Miscellaneous.Zero2DF(_xll.HLV5r3.Analytics.Miscellaneous.LinearInterp(Peturbed_QZ,$K197,1,Z$1),ZeroCompFreq,'PDH Calc'!$K197/365)</f>
        <v>1</v>
      </c>
      <c r="AA197" s="8">
        <f ca="1">_xll.HLV5r3.Analytics.Miscellaneous.Zero2DF(_xll.HLV5r3.Analytics.Miscellaneous.LinearInterp(Peturbed_QZ,$K197,1,AA$1),ZeroCompFreq,'PDH Calc'!$K197/365)</f>
        <v>1</v>
      </c>
      <c r="AB197" s="8">
        <f ca="1">_xll.HLV5r3.Analytics.Miscellaneous.Zero2DF(_xll.HLV5r3.Analytics.Miscellaneous.LinearInterp(Peturbed_QZ,$K197,1,AB$1),ZeroCompFreq,'PDH Calc'!$K197/365)</f>
        <v>1</v>
      </c>
      <c r="AC197" s="8">
        <f ca="1">_xll.HLV5r3.Analytics.Miscellaneous.Zero2DF(_xll.HLV5r3.Analytics.Miscellaneous.LinearInterp(Peturbed_QZ,$K197,1,AC$1),ZeroCompFreq,'PDH Calc'!$K197/365)</f>
        <v>1</v>
      </c>
      <c r="AD197" s="8">
        <f ca="1">_xll.HLV5r3.Analytics.Miscellaneous.Zero2DF(_xll.HLV5r3.Analytics.Miscellaneous.LinearInterp(Peturbed_QZ,$K197,1,AD$1),ZeroCompFreq,'PDH Calc'!$K197/365)</f>
        <v>1</v>
      </c>
      <c r="AE197" s="8">
        <f ca="1">_xll.HLV5r3.Analytics.Miscellaneous.Zero2DF(_xll.HLV5r3.Analytics.Miscellaneous.LinearInterp(Peturbed_QZ,$K197,1,AE$1),ZeroCompFreq,'PDH Calc'!$K197/365)</f>
        <v>1</v>
      </c>
      <c r="AF197" s="8">
        <f ca="1">_xll.HLV5r3.Analytics.Miscellaneous.Zero2DF(_xll.HLV5r3.Analytics.Miscellaneous.LinearInterp(Peturbed_QZ,$K197,1,AF$1),ZeroCompFreq,'PDH Calc'!$K197/365)</f>
        <v>1</v>
      </c>
      <c r="AG197" s="8">
        <f ca="1">_xll.HLV5r3.Analytics.Miscellaneous.Zero2DF(_xll.HLV5r3.Analytics.Miscellaneous.LinearInterp(Peturbed_QZ,$K197,1,AG$1),ZeroCompFreq,'PDH Calc'!$K197/365)</f>
        <v>1</v>
      </c>
      <c r="AH197" s="8">
        <f ca="1">_xll.HLV5r3.Analytics.Miscellaneous.Zero2DF(_xll.HLV5r3.Analytics.Miscellaneous.LinearInterp(Peturbed_QZ,$K197,1,AH$1),ZeroCompFreq,'PDH Calc'!$K197/365)</f>
        <v>1</v>
      </c>
      <c r="AI197" s="8">
        <f ca="1">_xll.HLV5r3.Analytics.Miscellaneous.Zero2DF(_xll.HLV5r3.Analytics.Miscellaneous.LinearInterp(Peturbed_QZ,$K197,1,AI$1),ZeroCompFreq,'PDH Calc'!$K197/365)</f>
        <v>1</v>
      </c>
      <c r="AJ197" s="8">
        <f ca="1">_xll.HLV5r3.Analytics.Miscellaneous.Zero2DF(_xll.HLV5r3.Analytics.Miscellaneous.LinearInterp(Peturbed_QZ,$K197,1,AJ$1),ZeroCompFreq,'PDH Calc'!$K197/365)</f>
        <v>1</v>
      </c>
      <c r="AK197" s="8">
        <f ca="1">_xll.HLV5r3.Analytics.Miscellaneous.Zero2DF(_xll.HLV5r3.Analytics.Miscellaneous.LinearInterp(Peturbed_QZ,$K197,1,AK$1),ZeroCompFreq,'PDH Calc'!$K197/365)</f>
        <v>1</v>
      </c>
    </row>
    <row r="198" spans="1:37">
      <c r="A198" s="4"/>
      <c r="B198" s="6"/>
      <c r="F198" s="11"/>
      <c r="G198" s="6"/>
      <c r="H198" s="20"/>
      <c r="I198" s="21"/>
      <c r="J198" s="26"/>
      <c r="K198" s="6">
        <f t="shared" ca="1" si="9"/>
        <v>0</v>
      </c>
      <c r="L198" s="8">
        <f ca="1">_xll.HLV5r3.Analytics.Miscellaneous.Zero2DF(_xll.HLV5r3.Analytics.Miscellaneous.LinearInterp(Peturbed_QZ,$K198,1,L$1),ZeroCompFreq,'PDH Calc'!$K198/365)</f>
        <v>1</v>
      </c>
      <c r="M198" s="8">
        <f ca="1">_xll.HLV5r3.Analytics.Miscellaneous.Zero2DF(_xll.HLV5r3.Analytics.Miscellaneous.LinearInterp(Peturbed_QZ,$K198,1,M$1),ZeroCompFreq,'PDH Calc'!$K198/365)</f>
        <v>1</v>
      </c>
      <c r="N198" s="8">
        <f ca="1">_xll.HLV5r3.Analytics.Miscellaneous.Zero2DF(_xll.HLV5r3.Analytics.Miscellaneous.LinearInterp(Peturbed_QZ,$K198,1,N$1),ZeroCompFreq,'PDH Calc'!$K198/365)</f>
        <v>1</v>
      </c>
      <c r="O198" s="8">
        <f ca="1">_xll.HLV5r3.Analytics.Miscellaneous.Zero2DF(_xll.HLV5r3.Analytics.Miscellaneous.LinearInterp(Peturbed_QZ,$K198,1,O$1),ZeroCompFreq,'PDH Calc'!$K198/365)</f>
        <v>1</v>
      </c>
      <c r="P198" s="8">
        <f ca="1">_xll.HLV5r3.Analytics.Miscellaneous.Zero2DF(_xll.HLV5r3.Analytics.Miscellaneous.LinearInterp(Peturbed_QZ,$K198,1,P$1),ZeroCompFreq,'PDH Calc'!$K198/365)</f>
        <v>1</v>
      </c>
      <c r="Q198" s="8">
        <f ca="1">_xll.HLV5r3.Analytics.Miscellaneous.Zero2DF(_xll.HLV5r3.Analytics.Miscellaneous.LinearInterp(Peturbed_QZ,$K198,1,Q$1),ZeroCompFreq,'PDH Calc'!$K198/365)</f>
        <v>1</v>
      </c>
      <c r="R198" s="8">
        <f ca="1">_xll.HLV5r3.Analytics.Miscellaneous.Zero2DF(_xll.HLV5r3.Analytics.Miscellaneous.LinearInterp(Peturbed_QZ,$K198,1,R$1),ZeroCompFreq,'PDH Calc'!$K198/365)</f>
        <v>1</v>
      </c>
      <c r="S198" s="8">
        <f ca="1">_xll.HLV5r3.Analytics.Miscellaneous.Zero2DF(_xll.HLV5r3.Analytics.Miscellaneous.LinearInterp(Peturbed_QZ,$K198,1,S$1),ZeroCompFreq,'PDH Calc'!$K198/365)</f>
        <v>1</v>
      </c>
      <c r="T198" s="8">
        <f ca="1">_xll.HLV5r3.Analytics.Miscellaneous.Zero2DF(_xll.HLV5r3.Analytics.Miscellaneous.LinearInterp(Peturbed_QZ,$K198,1,T$1),ZeroCompFreq,'PDH Calc'!$K198/365)</f>
        <v>1</v>
      </c>
      <c r="U198" s="8">
        <f ca="1">_xll.HLV5r3.Analytics.Miscellaneous.Zero2DF(_xll.HLV5r3.Analytics.Miscellaneous.LinearInterp(Peturbed_QZ,$K198,1,U$1),ZeroCompFreq,'PDH Calc'!$K198/365)</f>
        <v>1</v>
      </c>
      <c r="V198" s="8">
        <f ca="1">_xll.HLV5r3.Analytics.Miscellaneous.Zero2DF(_xll.HLV5r3.Analytics.Miscellaneous.LinearInterp(Peturbed_QZ,$K198,1,V$1),ZeroCompFreq,'PDH Calc'!$K198/365)</f>
        <v>1</v>
      </c>
      <c r="W198" s="8">
        <f ca="1">_xll.HLV5r3.Analytics.Miscellaneous.Zero2DF(_xll.HLV5r3.Analytics.Miscellaneous.LinearInterp(Peturbed_QZ,$K198,1,W$1),ZeroCompFreq,'PDH Calc'!$K198/365)</f>
        <v>1</v>
      </c>
      <c r="X198" s="8">
        <f ca="1">_xll.HLV5r3.Analytics.Miscellaneous.Zero2DF(_xll.HLV5r3.Analytics.Miscellaneous.LinearInterp(Peturbed_QZ,$K198,1,X$1),ZeroCompFreq,'PDH Calc'!$K198/365)</f>
        <v>1</v>
      </c>
      <c r="Y198" s="8">
        <f ca="1">_xll.HLV5r3.Analytics.Miscellaneous.Zero2DF(_xll.HLV5r3.Analytics.Miscellaneous.LinearInterp(Peturbed_QZ,$K198,1,Y$1),ZeroCompFreq,'PDH Calc'!$K198/365)</f>
        <v>1</v>
      </c>
      <c r="Z198" s="8">
        <f ca="1">_xll.HLV5r3.Analytics.Miscellaneous.Zero2DF(_xll.HLV5r3.Analytics.Miscellaneous.LinearInterp(Peturbed_QZ,$K198,1,Z$1),ZeroCompFreq,'PDH Calc'!$K198/365)</f>
        <v>1</v>
      </c>
      <c r="AA198" s="8">
        <f ca="1">_xll.HLV5r3.Analytics.Miscellaneous.Zero2DF(_xll.HLV5r3.Analytics.Miscellaneous.LinearInterp(Peturbed_QZ,$K198,1,AA$1),ZeroCompFreq,'PDH Calc'!$K198/365)</f>
        <v>1</v>
      </c>
      <c r="AB198" s="8">
        <f ca="1">_xll.HLV5r3.Analytics.Miscellaneous.Zero2DF(_xll.HLV5r3.Analytics.Miscellaneous.LinearInterp(Peturbed_QZ,$K198,1,AB$1),ZeroCompFreq,'PDH Calc'!$K198/365)</f>
        <v>1</v>
      </c>
      <c r="AC198" s="8">
        <f ca="1">_xll.HLV5r3.Analytics.Miscellaneous.Zero2DF(_xll.HLV5r3.Analytics.Miscellaneous.LinearInterp(Peturbed_QZ,$K198,1,AC$1),ZeroCompFreq,'PDH Calc'!$K198/365)</f>
        <v>1</v>
      </c>
      <c r="AD198" s="8">
        <f ca="1">_xll.HLV5r3.Analytics.Miscellaneous.Zero2DF(_xll.HLV5r3.Analytics.Miscellaneous.LinearInterp(Peturbed_QZ,$K198,1,AD$1),ZeroCompFreq,'PDH Calc'!$K198/365)</f>
        <v>1</v>
      </c>
      <c r="AE198" s="8">
        <f ca="1">_xll.HLV5r3.Analytics.Miscellaneous.Zero2DF(_xll.HLV5r3.Analytics.Miscellaneous.LinearInterp(Peturbed_QZ,$K198,1,AE$1),ZeroCompFreq,'PDH Calc'!$K198/365)</f>
        <v>1</v>
      </c>
      <c r="AF198" s="8">
        <f ca="1">_xll.HLV5r3.Analytics.Miscellaneous.Zero2DF(_xll.HLV5r3.Analytics.Miscellaneous.LinearInterp(Peturbed_QZ,$K198,1,AF$1),ZeroCompFreq,'PDH Calc'!$K198/365)</f>
        <v>1</v>
      </c>
      <c r="AG198" s="8">
        <f ca="1">_xll.HLV5r3.Analytics.Miscellaneous.Zero2DF(_xll.HLV5r3.Analytics.Miscellaneous.LinearInterp(Peturbed_QZ,$K198,1,AG$1),ZeroCompFreq,'PDH Calc'!$K198/365)</f>
        <v>1</v>
      </c>
      <c r="AH198" s="8">
        <f ca="1">_xll.HLV5r3.Analytics.Miscellaneous.Zero2DF(_xll.HLV5r3.Analytics.Miscellaneous.LinearInterp(Peturbed_QZ,$K198,1,AH$1),ZeroCompFreq,'PDH Calc'!$K198/365)</f>
        <v>1</v>
      </c>
      <c r="AI198" s="8">
        <f ca="1">_xll.HLV5r3.Analytics.Miscellaneous.Zero2DF(_xll.HLV5r3.Analytics.Miscellaneous.LinearInterp(Peturbed_QZ,$K198,1,AI$1),ZeroCompFreq,'PDH Calc'!$K198/365)</f>
        <v>1</v>
      </c>
      <c r="AJ198" s="8">
        <f ca="1">_xll.HLV5r3.Analytics.Miscellaneous.Zero2DF(_xll.HLV5r3.Analytics.Miscellaneous.LinearInterp(Peturbed_QZ,$K198,1,AJ$1),ZeroCompFreq,'PDH Calc'!$K198/365)</f>
        <v>1</v>
      </c>
      <c r="AK198" s="8">
        <f ca="1">_xll.HLV5r3.Analytics.Miscellaneous.Zero2DF(_xll.HLV5r3.Analytics.Miscellaneous.LinearInterp(Peturbed_QZ,$K198,1,AK$1),ZeroCompFreq,'PDH Calc'!$K198/365)</f>
        <v>1</v>
      </c>
    </row>
    <row r="199" spans="1:37">
      <c r="A199" s="4"/>
      <c r="B199" s="6"/>
      <c r="F199" s="11"/>
      <c r="G199" s="6"/>
      <c r="H199" s="20"/>
      <c r="I199" s="21"/>
      <c r="J199" s="26"/>
      <c r="K199" s="6">
        <f t="shared" ca="1" si="9"/>
        <v>0</v>
      </c>
      <c r="L199" s="8">
        <f ca="1">_xll.HLV5r3.Analytics.Miscellaneous.Zero2DF(_xll.HLV5r3.Analytics.Miscellaneous.LinearInterp(Peturbed_QZ,$K199,1,L$1),ZeroCompFreq,'PDH Calc'!$K199/365)</f>
        <v>1</v>
      </c>
      <c r="M199" s="8">
        <f ca="1">_xll.HLV5r3.Analytics.Miscellaneous.Zero2DF(_xll.HLV5r3.Analytics.Miscellaneous.LinearInterp(Peturbed_QZ,$K199,1,M$1),ZeroCompFreq,'PDH Calc'!$K199/365)</f>
        <v>1</v>
      </c>
      <c r="N199" s="8">
        <f ca="1">_xll.HLV5r3.Analytics.Miscellaneous.Zero2DF(_xll.HLV5r3.Analytics.Miscellaneous.LinearInterp(Peturbed_QZ,$K199,1,N$1),ZeroCompFreq,'PDH Calc'!$K199/365)</f>
        <v>1</v>
      </c>
      <c r="O199" s="8">
        <f ca="1">_xll.HLV5r3.Analytics.Miscellaneous.Zero2DF(_xll.HLV5r3.Analytics.Miscellaneous.LinearInterp(Peturbed_QZ,$K199,1,O$1),ZeroCompFreq,'PDH Calc'!$K199/365)</f>
        <v>1</v>
      </c>
      <c r="P199" s="8">
        <f ca="1">_xll.HLV5r3.Analytics.Miscellaneous.Zero2DF(_xll.HLV5r3.Analytics.Miscellaneous.LinearInterp(Peturbed_QZ,$K199,1,P$1),ZeroCompFreq,'PDH Calc'!$K199/365)</f>
        <v>1</v>
      </c>
      <c r="Q199" s="8">
        <f ca="1">_xll.HLV5r3.Analytics.Miscellaneous.Zero2DF(_xll.HLV5r3.Analytics.Miscellaneous.LinearInterp(Peturbed_QZ,$K199,1,Q$1),ZeroCompFreq,'PDH Calc'!$K199/365)</f>
        <v>1</v>
      </c>
      <c r="R199" s="8">
        <f ca="1">_xll.HLV5r3.Analytics.Miscellaneous.Zero2DF(_xll.HLV5r3.Analytics.Miscellaneous.LinearInterp(Peturbed_QZ,$K199,1,R$1),ZeroCompFreq,'PDH Calc'!$K199/365)</f>
        <v>1</v>
      </c>
      <c r="S199" s="8">
        <f ca="1">_xll.HLV5r3.Analytics.Miscellaneous.Zero2DF(_xll.HLV5r3.Analytics.Miscellaneous.LinearInterp(Peturbed_QZ,$K199,1,S$1),ZeroCompFreq,'PDH Calc'!$K199/365)</f>
        <v>1</v>
      </c>
      <c r="T199" s="8">
        <f ca="1">_xll.HLV5r3.Analytics.Miscellaneous.Zero2DF(_xll.HLV5r3.Analytics.Miscellaneous.LinearInterp(Peturbed_QZ,$K199,1,T$1),ZeroCompFreq,'PDH Calc'!$K199/365)</f>
        <v>1</v>
      </c>
      <c r="U199" s="8">
        <f ca="1">_xll.HLV5r3.Analytics.Miscellaneous.Zero2DF(_xll.HLV5r3.Analytics.Miscellaneous.LinearInterp(Peturbed_QZ,$K199,1,U$1),ZeroCompFreq,'PDH Calc'!$K199/365)</f>
        <v>1</v>
      </c>
      <c r="V199" s="8">
        <f ca="1">_xll.HLV5r3.Analytics.Miscellaneous.Zero2DF(_xll.HLV5r3.Analytics.Miscellaneous.LinearInterp(Peturbed_QZ,$K199,1,V$1),ZeroCompFreq,'PDH Calc'!$K199/365)</f>
        <v>1</v>
      </c>
      <c r="W199" s="8">
        <f ca="1">_xll.HLV5r3.Analytics.Miscellaneous.Zero2DF(_xll.HLV5r3.Analytics.Miscellaneous.LinearInterp(Peturbed_QZ,$K199,1,W$1),ZeroCompFreq,'PDH Calc'!$K199/365)</f>
        <v>1</v>
      </c>
      <c r="X199" s="8">
        <f ca="1">_xll.HLV5r3.Analytics.Miscellaneous.Zero2DF(_xll.HLV5r3.Analytics.Miscellaneous.LinearInterp(Peturbed_QZ,$K199,1,X$1),ZeroCompFreq,'PDH Calc'!$K199/365)</f>
        <v>1</v>
      </c>
      <c r="Y199" s="8">
        <f ca="1">_xll.HLV5r3.Analytics.Miscellaneous.Zero2DF(_xll.HLV5r3.Analytics.Miscellaneous.LinearInterp(Peturbed_QZ,$K199,1,Y$1),ZeroCompFreq,'PDH Calc'!$K199/365)</f>
        <v>1</v>
      </c>
      <c r="Z199" s="8">
        <f ca="1">_xll.HLV5r3.Analytics.Miscellaneous.Zero2DF(_xll.HLV5r3.Analytics.Miscellaneous.LinearInterp(Peturbed_QZ,$K199,1,Z$1),ZeroCompFreq,'PDH Calc'!$K199/365)</f>
        <v>1</v>
      </c>
      <c r="AA199" s="8">
        <f ca="1">_xll.HLV5r3.Analytics.Miscellaneous.Zero2DF(_xll.HLV5r3.Analytics.Miscellaneous.LinearInterp(Peturbed_QZ,$K199,1,AA$1),ZeroCompFreq,'PDH Calc'!$K199/365)</f>
        <v>1</v>
      </c>
      <c r="AB199" s="8">
        <f ca="1">_xll.HLV5r3.Analytics.Miscellaneous.Zero2DF(_xll.HLV5r3.Analytics.Miscellaneous.LinearInterp(Peturbed_QZ,$K199,1,AB$1),ZeroCompFreq,'PDH Calc'!$K199/365)</f>
        <v>1</v>
      </c>
      <c r="AC199" s="8">
        <f ca="1">_xll.HLV5r3.Analytics.Miscellaneous.Zero2DF(_xll.HLV5r3.Analytics.Miscellaneous.LinearInterp(Peturbed_QZ,$K199,1,AC$1),ZeroCompFreq,'PDH Calc'!$K199/365)</f>
        <v>1</v>
      </c>
      <c r="AD199" s="8">
        <f ca="1">_xll.HLV5r3.Analytics.Miscellaneous.Zero2DF(_xll.HLV5r3.Analytics.Miscellaneous.LinearInterp(Peturbed_QZ,$K199,1,AD$1),ZeroCompFreq,'PDH Calc'!$K199/365)</f>
        <v>1</v>
      </c>
      <c r="AE199" s="8">
        <f ca="1">_xll.HLV5r3.Analytics.Miscellaneous.Zero2DF(_xll.HLV5r3.Analytics.Miscellaneous.LinearInterp(Peturbed_QZ,$K199,1,AE$1),ZeroCompFreq,'PDH Calc'!$K199/365)</f>
        <v>1</v>
      </c>
      <c r="AF199" s="8">
        <f ca="1">_xll.HLV5r3.Analytics.Miscellaneous.Zero2DF(_xll.HLV5r3.Analytics.Miscellaneous.LinearInterp(Peturbed_QZ,$K199,1,AF$1),ZeroCompFreq,'PDH Calc'!$K199/365)</f>
        <v>1</v>
      </c>
      <c r="AG199" s="8">
        <f ca="1">_xll.HLV5r3.Analytics.Miscellaneous.Zero2DF(_xll.HLV5r3.Analytics.Miscellaneous.LinearInterp(Peturbed_QZ,$K199,1,AG$1),ZeroCompFreq,'PDH Calc'!$K199/365)</f>
        <v>1</v>
      </c>
      <c r="AH199" s="8">
        <f ca="1">_xll.HLV5r3.Analytics.Miscellaneous.Zero2DF(_xll.HLV5r3.Analytics.Miscellaneous.LinearInterp(Peturbed_QZ,$K199,1,AH$1),ZeroCompFreq,'PDH Calc'!$K199/365)</f>
        <v>1</v>
      </c>
      <c r="AI199" s="8">
        <f ca="1">_xll.HLV5r3.Analytics.Miscellaneous.Zero2DF(_xll.HLV5r3.Analytics.Miscellaneous.LinearInterp(Peturbed_QZ,$K199,1,AI$1),ZeroCompFreq,'PDH Calc'!$K199/365)</f>
        <v>1</v>
      </c>
      <c r="AJ199" s="8">
        <f ca="1">_xll.HLV5r3.Analytics.Miscellaneous.Zero2DF(_xll.HLV5r3.Analytics.Miscellaneous.LinearInterp(Peturbed_QZ,$K199,1,AJ$1),ZeroCompFreq,'PDH Calc'!$K199/365)</f>
        <v>1</v>
      </c>
      <c r="AK199" s="8">
        <f ca="1">_xll.HLV5r3.Analytics.Miscellaneous.Zero2DF(_xll.HLV5r3.Analytics.Miscellaneous.LinearInterp(Peturbed_QZ,$K199,1,AK$1),ZeroCompFreq,'PDH Calc'!$K199/365)</f>
        <v>1</v>
      </c>
    </row>
    <row r="200" spans="1:37">
      <c r="A200" s="4"/>
      <c r="B200" s="6"/>
      <c r="F200" s="11"/>
      <c r="G200" s="6"/>
      <c r="H200" s="20"/>
      <c r="I200" s="21"/>
      <c r="J200" s="26"/>
      <c r="K200" s="6">
        <f t="shared" ca="1" si="9"/>
        <v>0</v>
      </c>
      <c r="L200" s="8">
        <f ca="1">_xll.HLV5r3.Analytics.Miscellaneous.Zero2DF(_xll.HLV5r3.Analytics.Miscellaneous.LinearInterp(Peturbed_QZ,$K200,1,L$1),ZeroCompFreq,'PDH Calc'!$K200/365)</f>
        <v>1</v>
      </c>
      <c r="M200" s="8">
        <f ca="1">_xll.HLV5r3.Analytics.Miscellaneous.Zero2DF(_xll.HLV5r3.Analytics.Miscellaneous.LinearInterp(Peturbed_QZ,$K200,1,M$1),ZeroCompFreq,'PDH Calc'!$K200/365)</f>
        <v>1</v>
      </c>
      <c r="N200" s="8">
        <f ca="1">_xll.HLV5r3.Analytics.Miscellaneous.Zero2DF(_xll.HLV5r3.Analytics.Miscellaneous.LinearInterp(Peturbed_QZ,$K200,1,N$1),ZeroCompFreq,'PDH Calc'!$K200/365)</f>
        <v>1</v>
      </c>
      <c r="O200" s="8">
        <f ca="1">_xll.HLV5r3.Analytics.Miscellaneous.Zero2DF(_xll.HLV5r3.Analytics.Miscellaneous.LinearInterp(Peturbed_QZ,$K200,1,O$1),ZeroCompFreq,'PDH Calc'!$K200/365)</f>
        <v>1</v>
      </c>
      <c r="P200" s="8">
        <f ca="1">_xll.HLV5r3.Analytics.Miscellaneous.Zero2DF(_xll.HLV5r3.Analytics.Miscellaneous.LinearInterp(Peturbed_QZ,$K200,1,P$1),ZeroCompFreq,'PDH Calc'!$K200/365)</f>
        <v>1</v>
      </c>
      <c r="Q200" s="8">
        <f ca="1">_xll.HLV5r3.Analytics.Miscellaneous.Zero2DF(_xll.HLV5r3.Analytics.Miscellaneous.LinearInterp(Peturbed_QZ,$K200,1,Q$1),ZeroCompFreq,'PDH Calc'!$K200/365)</f>
        <v>1</v>
      </c>
      <c r="R200" s="8">
        <f ca="1">_xll.HLV5r3.Analytics.Miscellaneous.Zero2DF(_xll.HLV5r3.Analytics.Miscellaneous.LinearInterp(Peturbed_QZ,$K200,1,R$1),ZeroCompFreq,'PDH Calc'!$K200/365)</f>
        <v>1</v>
      </c>
      <c r="S200" s="8">
        <f ca="1">_xll.HLV5r3.Analytics.Miscellaneous.Zero2DF(_xll.HLV5r3.Analytics.Miscellaneous.LinearInterp(Peturbed_QZ,$K200,1,S$1),ZeroCompFreq,'PDH Calc'!$K200/365)</f>
        <v>1</v>
      </c>
      <c r="T200" s="8">
        <f ca="1">_xll.HLV5r3.Analytics.Miscellaneous.Zero2DF(_xll.HLV5r3.Analytics.Miscellaneous.LinearInterp(Peturbed_QZ,$K200,1,T$1),ZeroCompFreq,'PDH Calc'!$K200/365)</f>
        <v>1</v>
      </c>
      <c r="U200" s="8">
        <f ca="1">_xll.HLV5r3.Analytics.Miscellaneous.Zero2DF(_xll.HLV5r3.Analytics.Miscellaneous.LinearInterp(Peturbed_QZ,$K200,1,U$1),ZeroCompFreq,'PDH Calc'!$K200/365)</f>
        <v>1</v>
      </c>
      <c r="V200" s="8">
        <f ca="1">_xll.HLV5r3.Analytics.Miscellaneous.Zero2DF(_xll.HLV5r3.Analytics.Miscellaneous.LinearInterp(Peturbed_QZ,$K200,1,V$1),ZeroCompFreq,'PDH Calc'!$K200/365)</f>
        <v>1</v>
      </c>
      <c r="W200" s="8">
        <f ca="1">_xll.HLV5r3.Analytics.Miscellaneous.Zero2DF(_xll.HLV5r3.Analytics.Miscellaneous.LinearInterp(Peturbed_QZ,$K200,1,W$1),ZeroCompFreq,'PDH Calc'!$K200/365)</f>
        <v>1</v>
      </c>
      <c r="X200" s="8">
        <f ca="1">_xll.HLV5r3.Analytics.Miscellaneous.Zero2DF(_xll.HLV5r3.Analytics.Miscellaneous.LinearInterp(Peturbed_QZ,$K200,1,X$1),ZeroCompFreq,'PDH Calc'!$K200/365)</f>
        <v>1</v>
      </c>
      <c r="Y200" s="8">
        <f ca="1">_xll.HLV5r3.Analytics.Miscellaneous.Zero2DF(_xll.HLV5r3.Analytics.Miscellaneous.LinearInterp(Peturbed_QZ,$K200,1,Y$1),ZeroCompFreq,'PDH Calc'!$K200/365)</f>
        <v>1</v>
      </c>
      <c r="Z200" s="8">
        <f ca="1">_xll.HLV5r3.Analytics.Miscellaneous.Zero2DF(_xll.HLV5r3.Analytics.Miscellaneous.LinearInterp(Peturbed_QZ,$K200,1,Z$1),ZeroCompFreq,'PDH Calc'!$K200/365)</f>
        <v>1</v>
      </c>
      <c r="AA200" s="8">
        <f ca="1">_xll.HLV5r3.Analytics.Miscellaneous.Zero2DF(_xll.HLV5r3.Analytics.Miscellaneous.LinearInterp(Peturbed_QZ,$K200,1,AA$1),ZeroCompFreq,'PDH Calc'!$K200/365)</f>
        <v>1</v>
      </c>
      <c r="AB200" s="8">
        <f ca="1">_xll.HLV5r3.Analytics.Miscellaneous.Zero2DF(_xll.HLV5r3.Analytics.Miscellaneous.LinearInterp(Peturbed_QZ,$K200,1,AB$1),ZeroCompFreq,'PDH Calc'!$K200/365)</f>
        <v>1</v>
      </c>
      <c r="AC200" s="8">
        <f ca="1">_xll.HLV5r3.Analytics.Miscellaneous.Zero2DF(_xll.HLV5r3.Analytics.Miscellaneous.LinearInterp(Peturbed_QZ,$K200,1,AC$1),ZeroCompFreq,'PDH Calc'!$K200/365)</f>
        <v>1</v>
      </c>
      <c r="AD200" s="8">
        <f ca="1">_xll.HLV5r3.Analytics.Miscellaneous.Zero2DF(_xll.HLV5r3.Analytics.Miscellaneous.LinearInterp(Peturbed_QZ,$K200,1,AD$1),ZeroCompFreq,'PDH Calc'!$K200/365)</f>
        <v>1</v>
      </c>
      <c r="AE200" s="8">
        <f ca="1">_xll.HLV5r3.Analytics.Miscellaneous.Zero2DF(_xll.HLV5r3.Analytics.Miscellaneous.LinearInterp(Peturbed_QZ,$K200,1,AE$1),ZeroCompFreq,'PDH Calc'!$K200/365)</f>
        <v>1</v>
      </c>
      <c r="AF200" s="8">
        <f ca="1">_xll.HLV5r3.Analytics.Miscellaneous.Zero2DF(_xll.HLV5r3.Analytics.Miscellaneous.LinearInterp(Peturbed_QZ,$K200,1,AF$1),ZeroCompFreq,'PDH Calc'!$K200/365)</f>
        <v>1</v>
      </c>
      <c r="AG200" s="8">
        <f ca="1">_xll.HLV5r3.Analytics.Miscellaneous.Zero2DF(_xll.HLV5r3.Analytics.Miscellaneous.LinearInterp(Peturbed_QZ,$K200,1,AG$1),ZeroCompFreq,'PDH Calc'!$K200/365)</f>
        <v>1</v>
      </c>
      <c r="AH200" s="8">
        <f ca="1">_xll.HLV5r3.Analytics.Miscellaneous.Zero2DF(_xll.HLV5r3.Analytics.Miscellaneous.LinearInterp(Peturbed_QZ,$K200,1,AH$1),ZeroCompFreq,'PDH Calc'!$K200/365)</f>
        <v>1</v>
      </c>
      <c r="AI200" s="8">
        <f ca="1">_xll.HLV5r3.Analytics.Miscellaneous.Zero2DF(_xll.HLV5r3.Analytics.Miscellaneous.LinearInterp(Peturbed_QZ,$K200,1,AI$1),ZeroCompFreq,'PDH Calc'!$K200/365)</f>
        <v>1</v>
      </c>
      <c r="AJ200" s="8">
        <f ca="1">_xll.HLV5r3.Analytics.Miscellaneous.Zero2DF(_xll.HLV5r3.Analytics.Miscellaneous.LinearInterp(Peturbed_QZ,$K200,1,AJ$1),ZeroCompFreq,'PDH Calc'!$K200/365)</f>
        <v>1</v>
      </c>
      <c r="AK200" s="8">
        <f ca="1">_xll.HLV5r3.Analytics.Miscellaneous.Zero2DF(_xll.HLV5r3.Analytics.Miscellaneous.LinearInterp(Peturbed_QZ,$K200,1,AK$1),ZeroCompFreq,'PDH Calc'!$K200/365)</f>
        <v>1</v>
      </c>
    </row>
    <row r="201" spans="1:37">
      <c r="A201" s="4"/>
      <c r="B201" s="6"/>
      <c r="F201" s="11"/>
      <c r="G201" s="6"/>
      <c r="H201" s="20"/>
      <c r="I201" s="21"/>
      <c r="J201" s="26"/>
      <c r="K201" s="6">
        <f t="shared" ca="1" si="9"/>
        <v>0</v>
      </c>
      <c r="L201" s="8">
        <f ca="1">_xll.HLV5r3.Analytics.Miscellaneous.Zero2DF(_xll.HLV5r3.Analytics.Miscellaneous.LinearInterp(Peturbed_QZ,$K201,1,L$1),ZeroCompFreq,'PDH Calc'!$K201/365)</f>
        <v>1</v>
      </c>
      <c r="M201" s="8">
        <f ca="1">_xll.HLV5r3.Analytics.Miscellaneous.Zero2DF(_xll.HLV5r3.Analytics.Miscellaneous.LinearInterp(Peturbed_QZ,$K201,1,M$1),ZeroCompFreq,'PDH Calc'!$K201/365)</f>
        <v>1</v>
      </c>
      <c r="N201" s="8">
        <f ca="1">_xll.HLV5r3.Analytics.Miscellaneous.Zero2DF(_xll.HLV5r3.Analytics.Miscellaneous.LinearInterp(Peturbed_QZ,$K201,1,N$1),ZeroCompFreq,'PDH Calc'!$K201/365)</f>
        <v>1</v>
      </c>
      <c r="O201" s="8">
        <f ca="1">_xll.HLV5r3.Analytics.Miscellaneous.Zero2DF(_xll.HLV5r3.Analytics.Miscellaneous.LinearInterp(Peturbed_QZ,$K201,1,O$1),ZeroCompFreq,'PDH Calc'!$K201/365)</f>
        <v>1</v>
      </c>
      <c r="P201" s="8">
        <f ca="1">_xll.HLV5r3.Analytics.Miscellaneous.Zero2DF(_xll.HLV5r3.Analytics.Miscellaneous.LinearInterp(Peturbed_QZ,$K201,1,P$1),ZeroCompFreq,'PDH Calc'!$K201/365)</f>
        <v>1</v>
      </c>
      <c r="Q201" s="8">
        <f ca="1">_xll.HLV5r3.Analytics.Miscellaneous.Zero2DF(_xll.HLV5r3.Analytics.Miscellaneous.LinearInterp(Peturbed_QZ,$K201,1,Q$1),ZeroCompFreq,'PDH Calc'!$K201/365)</f>
        <v>1</v>
      </c>
      <c r="R201" s="8">
        <f ca="1">_xll.HLV5r3.Analytics.Miscellaneous.Zero2DF(_xll.HLV5r3.Analytics.Miscellaneous.LinearInterp(Peturbed_QZ,$K201,1,R$1),ZeroCompFreq,'PDH Calc'!$K201/365)</f>
        <v>1</v>
      </c>
      <c r="S201" s="8">
        <f ca="1">_xll.HLV5r3.Analytics.Miscellaneous.Zero2DF(_xll.HLV5r3.Analytics.Miscellaneous.LinearInterp(Peturbed_QZ,$K201,1,S$1),ZeroCompFreq,'PDH Calc'!$K201/365)</f>
        <v>1</v>
      </c>
      <c r="T201" s="8">
        <f ca="1">_xll.HLV5r3.Analytics.Miscellaneous.Zero2DF(_xll.HLV5r3.Analytics.Miscellaneous.LinearInterp(Peturbed_QZ,$K201,1,T$1),ZeroCompFreq,'PDH Calc'!$K201/365)</f>
        <v>1</v>
      </c>
      <c r="U201" s="8">
        <f ca="1">_xll.HLV5r3.Analytics.Miscellaneous.Zero2DF(_xll.HLV5r3.Analytics.Miscellaneous.LinearInterp(Peturbed_QZ,$K201,1,U$1),ZeroCompFreq,'PDH Calc'!$K201/365)</f>
        <v>1</v>
      </c>
      <c r="V201" s="8">
        <f ca="1">_xll.HLV5r3.Analytics.Miscellaneous.Zero2DF(_xll.HLV5r3.Analytics.Miscellaneous.LinearInterp(Peturbed_QZ,$K201,1,V$1),ZeroCompFreq,'PDH Calc'!$K201/365)</f>
        <v>1</v>
      </c>
      <c r="W201" s="8">
        <f ca="1">_xll.HLV5r3.Analytics.Miscellaneous.Zero2DF(_xll.HLV5r3.Analytics.Miscellaneous.LinearInterp(Peturbed_QZ,$K201,1,W$1),ZeroCompFreq,'PDH Calc'!$K201/365)</f>
        <v>1</v>
      </c>
      <c r="X201" s="8">
        <f ca="1">_xll.HLV5r3.Analytics.Miscellaneous.Zero2DF(_xll.HLV5r3.Analytics.Miscellaneous.LinearInterp(Peturbed_QZ,$K201,1,X$1),ZeroCompFreq,'PDH Calc'!$K201/365)</f>
        <v>1</v>
      </c>
      <c r="Y201" s="8">
        <f ca="1">_xll.HLV5r3.Analytics.Miscellaneous.Zero2DF(_xll.HLV5r3.Analytics.Miscellaneous.LinearInterp(Peturbed_QZ,$K201,1,Y$1),ZeroCompFreq,'PDH Calc'!$K201/365)</f>
        <v>1</v>
      </c>
      <c r="Z201" s="8">
        <f ca="1">_xll.HLV5r3.Analytics.Miscellaneous.Zero2DF(_xll.HLV5r3.Analytics.Miscellaneous.LinearInterp(Peturbed_QZ,$K201,1,Z$1),ZeroCompFreq,'PDH Calc'!$K201/365)</f>
        <v>1</v>
      </c>
      <c r="AA201" s="8">
        <f ca="1">_xll.HLV5r3.Analytics.Miscellaneous.Zero2DF(_xll.HLV5r3.Analytics.Miscellaneous.LinearInterp(Peturbed_QZ,$K201,1,AA$1),ZeroCompFreq,'PDH Calc'!$K201/365)</f>
        <v>1</v>
      </c>
      <c r="AB201" s="8">
        <f ca="1">_xll.HLV5r3.Analytics.Miscellaneous.Zero2DF(_xll.HLV5r3.Analytics.Miscellaneous.LinearInterp(Peturbed_QZ,$K201,1,AB$1),ZeroCompFreq,'PDH Calc'!$K201/365)</f>
        <v>1</v>
      </c>
      <c r="AC201" s="8">
        <f ca="1">_xll.HLV5r3.Analytics.Miscellaneous.Zero2DF(_xll.HLV5r3.Analytics.Miscellaneous.LinearInterp(Peturbed_QZ,$K201,1,AC$1),ZeroCompFreq,'PDH Calc'!$K201/365)</f>
        <v>1</v>
      </c>
      <c r="AD201" s="8">
        <f ca="1">_xll.HLV5r3.Analytics.Miscellaneous.Zero2DF(_xll.HLV5r3.Analytics.Miscellaneous.LinearInterp(Peturbed_QZ,$K201,1,AD$1),ZeroCompFreq,'PDH Calc'!$K201/365)</f>
        <v>1</v>
      </c>
      <c r="AE201" s="8">
        <f ca="1">_xll.HLV5r3.Analytics.Miscellaneous.Zero2DF(_xll.HLV5r3.Analytics.Miscellaneous.LinearInterp(Peturbed_QZ,$K201,1,AE$1),ZeroCompFreq,'PDH Calc'!$K201/365)</f>
        <v>1</v>
      </c>
      <c r="AF201" s="8">
        <f ca="1">_xll.HLV5r3.Analytics.Miscellaneous.Zero2DF(_xll.HLV5r3.Analytics.Miscellaneous.LinearInterp(Peturbed_QZ,$K201,1,AF$1),ZeroCompFreq,'PDH Calc'!$K201/365)</f>
        <v>1</v>
      </c>
      <c r="AG201" s="8">
        <f ca="1">_xll.HLV5r3.Analytics.Miscellaneous.Zero2DF(_xll.HLV5r3.Analytics.Miscellaneous.LinearInterp(Peturbed_QZ,$K201,1,AG$1),ZeroCompFreq,'PDH Calc'!$K201/365)</f>
        <v>1</v>
      </c>
      <c r="AH201" s="8">
        <f ca="1">_xll.HLV5r3.Analytics.Miscellaneous.Zero2DF(_xll.HLV5r3.Analytics.Miscellaneous.LinearInterp(Peturbed_QZ,$K201,1,AH$1),ZeroCompFreq,'PDH Calc'!$K201/365)</f>
        <v>1</v>
      </c>
      <c r="AI201" s="8">
        <f ca="1">_xll.HLV5r3.Analytics.Miscellaneous.Zero2DF(_xll.HLV5r3.Analytics.Miscellaneous.LinearInterp(Peturbed_QZ,$K201,1,AI$1),ZeroCompFreq,'PDH Calc'!$K201/365)</f>
        <v>1</v>
      </c>
      <c r="AJ201" s="8">
        <f ca="1">_xll.HLV5r3.Analytics.Miscellaneous.Zero2DF(_xll.HLV5r3.Analytics.Miscellaneous.LinearInterp(Peturbed_QZ,$K201,1,AJ$1),ZeroCompFreq,'PDH Calc'!$K201/365)</f>
        <v>1</v>
      </c>
      <c r="AK201" s="8">
        <f ca="1">_xll.HLV5r3.Analytics.Miscellaneous.Zero2DF(_xll.HLV5r3.Analytics.Miscellaneous.LinearInterp(Peturbed_QZ,$K201,1,AK$1),ZeroCompFreq,'PDH Calc'!$K201/365)</f>
        <v>1</v>
      </c>
    </row>
    <row r="202" spans="1:37">
      <c r="A202" s="4"/>
      <c r="B202" s="6"/>
      <c r="F202" s="11"/>
      <c r="G202" s="6"/>
      <c r="H202" s="20"/>
      <c r="I202" s="21"/>
      <c r="J202" s="26"/>
      <c r="K202" s="6">
        <f t="shared" ca="1" si="9"/>
        <v>0</v>
      </c>
      <c r="L202" s="8">
        <f ca="1">_xll.HLV5r3.Analytics.Miscellaneous.Zero2DF(_xll.HLV5r3.Analytics.Miscellaneous.LinearInterp(Peturbed_QZ,$K202,1,L$1),ZeroCompFreq,'PDH Calc'!$K202/365)</f>
        <v>1</v>
      </c>
      <c r="M202" s="8">
        <f ca="1">_xll.HLV5r3.Analytics.Miscellaneous.Zero2DF(_xll.HLV5r3.Analytics.Miscellaneous.LinearInterp(Peturbed_QZ,$K202,1,M$1),ZeroCompFreq,'PDH Calc'!$K202/365)</f>
        <v>1</v>
      </c>
      <c r="N202" s="8">
        <f ca="1">_xll.HLV5r3.Analytics.Miscellaneous.Zero2DF(_xll.HLV5r3.Analytics.Miscellaneous.LinearInterp(Peturbed_QZ,$K202,1,N$1),ZeroCompFreq,'PDH Calc'!$K202/365)</f>
        <v>1</v>
      </c>
      <c r="O202" s="8">
        <f ca="1">_xll.HLV5r3.Analytics.Miscellaneous.Zero2DF(_xll.HLV5r3.Analytics.Miscellaneous.LinearInterp(Peturbed_QZ,$K202,1,O$1),ZeroCompFreq,'PDH Calc'!$K202/365)</f>
        <v>1</v>
      </c>
      <c r="P202" s="8">
        <f ca="1">_xll.HLV5r3.Analytics.Miscellaneous.Zero2DF(_xll.HLV5r3.Analytics.Miscellaneous.LinearInterp(Peturbed_QZ,$K202,1,P$1),ZeroCompFreq,'PDH Calc'!$K202/365)</f>
        <v>1</v>
      </c>
      <c r="Q202" s="8">
        <f ca="1">_xll.HLV5r3.Analytics.Miscellaneous.Zero2DF(_xll.HLV5r3.Analytics.Miscellaneous.LinearInterp(Peturbed_QZ,$K202,1,Q$1),ZeroCompFreq,'PDH Calc'!$K202/365)</f>
        <v>1</v>
      </c>
      <c r="R202" s="8">
        <f ca="1">_xll.HLV5r3.Analytics.Miscellaneous.Zero2DF(_xll.HLV5r3.Analytics.Miscellaneous.LinearInterp(Peturbed_QZ,$K202,1,R$1),ZeroCompFreq,'PDH Calc'!$K202/365)</f>
        <v>1</v>
      </c>
      <c r="S202" s="8">
        <f ca="1">_xll.HLV5r3.Analytics.Miscellaneous.Zero2DF(_xll.HLV5r3.Analytics.Miscellaneous.LinearInterp(Peturbed_QZ,$K202,1,S$1),ZeroCompFreq,'PDH Calc'!$K202/365)</f>
        <v>1</v>
      </c>
      <c r="T202" s="8">
        <f ca="1">_xll.HLV5r3.Analytics.Miscellaneous.Zero2DF(_xll.HLV5r3.Analytics.Miscellaneous.LinearInterp(Peturbed_QZ,$K202,1,T$1),ZeroCompFreq,'PDH Calc'!$K202/365)</f>
        <v>1</v>
      </c>
      <c r="U202" s="8">
        <f ca="1">_xll.HLV5r3.Analytics.Miscellaneous.Zero2DF(_xll.HLV5r3.Analytics.Miscellaneous.LinearInterp(Peturbed_QZ,$K202,1,U$1),ZeroCompFreq,'PDH Calc'!$K202/365)</f>
        <v>1</v>
      </c>
      <c r="V202" s="8">
        <f ca="1">_xll.HLV5r3.Analytics.Miscellaneous.Zero2DF(_xll.HLV5r3.Analytics.Miscellaneous.LinearInterp(Peturbed_QZ,$K202,1,V$1),ZeroCompFreq,'PDH Calc'!$K202/365)</f>
        <v>1</v>
      </c>
      <c r="W202" s="8">
        <f ca="1">_xll.HLV5r3.Analytics.Miscellaneous.Zero2DF(_xll.HLV5r3.Analytics.Miscellaneous.LinearInterp(Peturbed_QZ,$K202,1,W$1),ZeroCompFreq,'PDH Calc'!$K202/365)</f>
        <v>1</v>
      </c>
      <c r="X202" s="8">
        <f ca="1">_xll.HLV5r3.Analytics.Miscellaneous.Zero2DF(_xll.HLV5r3.Analytics.Miscellaneous.LinearInterp(Peturbed_QZ,$K202,1,X$1),ZeroCompFreq,'PDH Calc'!$K202/365)</f>
        <v>1</v>
      </c>
      <c r="Y202" s="8">
        <f ca="1">_xll.HLV5r3.Analytics.Miscellaneous.Zero2DF(_xll.HLV5r3.Analytics.Miscellaneous.LinearInterp(Peturbed_QZ,$K202,1,Y$1),ZeroCompFreq,'PDH Calc'!$K202/365)</f>
        <v>1</v>
      </c>
      <c r="Z202" s="8">
        <f ca="1">_xll.HLV5r3.Analytics.Miscellaneous.Zero2DF(_xll.HLV5r3.Analytics.Miscellaneous.LinearInterp(Peturbed_QZ,$K202,1,Z$1),ZeroCompFreq,'PDH Calc'!$K202/365)</f>
        <v>1</v>
      </c>
      <c r="AA202" s="8">
        <f ca="1">_xll.HLV5r3.Analytics.Miscellaneous.Zero2DF(_xll.HLV5r3.Analytics.Miscellaneous.LinearInterp(Peturbed_QZ,$K202,1,AA$1),ZeroCompFreq,'PDH Calc'!$K202/365)</f>
        <v>1</v>
      </c>
      <c r="AB202" s="8">
        <f ca="1">_xll.HLV5r3.Analytics.Miscellaneous.Zero2DF(_xll.HLV5r3.Analytics.Miscellaneous.LinearInterp(Peturbed_QZ,$K202,1,AB$1),ZeroCompFreq,'PDH Calc'!$K202/365)</f>
        <v>1</v>
      </c>
      <c r="AC202" s="8">
        <f ca="1">_xll.HLV5r3.Analytics.Miscellaneous.Zero2DF(_xll.HLV5r3.Analytics.Miscellaneous.LinearInterp(Peturbed_QZ,$K202,1,AC$1),ZeroCompFreq,'PDH Calc'!$K202/365)</f>
        <v>1</v>
      </c>
      <c r="AD202" s="8">
        <f ca="1">_xll.HLV5r3.Analytics.Miscellaneous.Zero2DF(_xll.HLV5r3.Analytics.Miscellaneous.LinearInterp(Peturbed_QZ,$K202,1,AD$1),ZeroCompFreq,'PDH Calc'!$K202/365)</f>
        <v>1</v>
      </c>
      <c r="AE202" s="8">
        <f ca="1">_xll.HLV5r3.Analytics.Miscellaneous.Zero2DF(_xll.HLV5r3.Analytics.Miscellaneous.LinearInterp(Peturbed_QZ,$K202,1,AE$1),ZeroCompFreq,'PDH Calc'!$K202/365)</f>
        <v>1</v>
      </c>
      <c r="AF202" s="8">
        <f ca="1">_xll.HLV5r3.Analytics.Miscellaneous.Zero2DF(_xll.HLV5r3.Analytics.Miscellaneous.LinearInterp(Peturbed_QZ,$K202,1,AF$1),ZeroCompFreq,'PDH Calc'!$K202/365)</f>
        <v>1</v>
      </c>
      <c r="AG202" s="8">
        <f ca="1">_xll.HLV5r3.Analytics.Miscellaneous.Zero2DF(_xll.HLV5r3.Analytics.Miscellaneous.LinearInterp(Peturbed_QZ,$K202,1,AG$1),ZeroCompFreq,'PDH Calc'!$K202/365)</f>
        <v>1</v>
      </c>
      <c r="AH202" s="8">
        <f ca="1">_xll.HLV5r3.Analytics.Miscellaneous.Zero2DF(_xll.HLV5r3.Analytics.Miscellaneous.LinearInterp(Peturbed_QZ,$K202,1,AH$1),ZeroCompFreq,'PDH Calc'!$K202/365)</f>
        <v>1</v>
      </c>
      <c r="AI202" s="8">
        <f ca="1">_xll.HLV5r3.Analytics.Miscellaneous.Zero2DF(_xll.HLV5r3.Analytics.Miscellaneous.LinearInterp(Peturbed_QZ,$K202,1,AI$1),ZeroCompFreq,'PDH Calc'!$K202/365)</f>
        <v>1</v>
      </c>
      <c r="AJ202" s="8">
        <f ca="1">_xll.HLV5r3.Analytics.Miscellaneous.Zero2DF(_xll.HLV5r3.Analytics.Miscellaneous.LinearInterp(Peturbed_QZ,$K202,1,AJ$1),ZeroCompFreq,'PDH Calc'!$K202/365)</f>
        <v>1</v>
      </c>
      <c r="AK202" s="8">
        <f ca="1">_xll.HLV5r3.Analytics.Miscellaneous.Zero2DF(_xll.HLV5r3.Analytics.Miscellaneous.LinearInterp(Peturbed_QZ,$K202,1,AK$1),ZeroCompFreq,'PDH Calc'!$K202/365)</f>
        <v>1</v>
      </c>
    </row>
    <row r="203" spans="1:37">
      <c r="A203" s="4"/>
      <c r="B203" s="6"/>
      <c r="F203" s="11"/>
      <c r="G203" s="6"/>
      <c r="H203" s="20"/>
      <c r="I203" s="21"/>
      <c r="J203" s="26"/>
      <c r="K203" s="6">
        <f t="shared" ca="1" si="9"/>
        <v>0</v>
      </c>
      <c r="L203" s="8">
        <f ca="1">_xll.HLV5r3.Analytics.Miscellaneous.Zero2DF(_xll.HLV5r3.Analytics.Miscellaneous.LinearInterp(Peturbed_QZ,$K203,1,L$1),ZeroCompFreq,'PDH Calc'!$K203/365)</f>
        <v>1</v>
      </c>
      <c r="M203" s="8">
        <f ca="1">_xll.HLV5r3.Analytics.Miscellaneous.Zero2DF(_xll.HLV5r3.Analytics.Miscellaneous.LinearInterp(Peturbed_QZ,$K203,1,M$1),ZeroCompFreq,'PDH Calc'!$K203/365)</f>
        <v>1</v>
      </c>
      <c r="N203" s="8">
        <f ca="1">_xll.HLV5r3.Analytics.Miscellaneous.Zero2DF(_xll.HLV5r3.Analytics.Miscellaneous.LinearInterp(Peturbed_QZ,$K203,1,N$1),ZeroCompFreq,'PDH Calc'!$K203/365)</f>
        <v>1</v>
      </c>
      <c r="O203" s="8">
        <f ca="1">_xll.HLV5r3.Analytics.Miscellaneous.Zero2DF(_xll.HLV5r3.Analytics.Miscellaneous.LinearInterp(Peturbed_QZ,$K203,1,O$1),ZeroCompFreq,'PDH Calc'!$K203/365)</f>
        <v>1</v>
      </c>
      <c r="P203" s="8">
        <f ca="1">_xll.HLV5r3.Analytics.Miscellaneous.Zero2DF(_xll.HLV5r3.Analytics.Miscellaneous.LinearInterp(Peturbed_QZ,$K203,1,P$1),ZeroCompFreq,'PDH Calc'!$K203/365)</f>
        <v>1</v>
      </c>
      <c r="Q203" s="8">
        <f ca="1">_xll.HLV5r3.Analytics.Miscellaneous.Zero2DF(_xll.HLV5r3.Analytics.Miscellaneous.LinearInterp(Peturbed_QZ,$K203,1,Q$1),ZeroCompFreq,'PDH Calc'!$K203/365)</f>
        <v>1</v>
      </c>
      <c r="R203" s="8">
        <f ca="1">_xll.HLV5r3.Analytics.Miscellaneous.Zero2DF(_xll.HLV5r3.Analytics.Miscellaneous.LinearInterp(Peturbed_QZ,$K203,1,R$1),ZeroCompFreq,'PDH Calc'!$K203/365)</f>
        <v>1</v>
      </c>
      <c r="S203" s="8">
        <f ca="1">_xll.HLV5r3.Analytics.Miscellaneous.Zero2DF(_xll.HLV5r3.Analytics.Miscellaneous.LinearInterp(Peturbed_QZ,$K203,1,S$1),ZeroCompFreq,'PDH Calc'!$K203/365)</f>
        <v>1</v>
      </c>
      <c r="T203" s="8">
        <f ca="1">_xll.HLV5r3.Analytics.Miscellaneous.Zero2DF(_xll.HLV5r3.Analytics.Miscellaneous.LinearInterp(Peturbed_QZ,$K203,1,T$1),ZeroCompFreq,'PDH Calc'!$K203/365)</f>
        <v>1</v>
      </c>
      <c r="U203" s="8">
        <f ca="1">_xll.HLV5r3.Analytics.Miscellaneous.Zero2DF(_xll.HLV5r3.Analytics.Miscellaneous.LinearInterp(Peturbed_QZ,$K203,1,U$1),ZeroCompFreq,'PDH Calc'!$K203/365)</f>
        <v>1</v>
      </c>
      <c r="V203" s="8">
        <f ca="1">_xll.HLV5r3.Analytics.Miscellaneous.Zero2DF(_xll.HLV5r3.Analytics.Miscellaneous.LinearInterp(Peturbed_QZ,$K203,1,V$1),ZeroCompFreq,'PDH Calc'!$K203/365)</f>
        <v>1</v>
      </c>
      <c r="W203" s="8">
        <f ca="1">_xll.HLV5r3.Analytics.Miscellaneous.Zero2DF(_xll.HLV5r3.Analytics.Miscellaneous.LinearInterp(Peturbed_QZ,$K203,1,W$1),ZeroCompFreq,'PDH Calc'!$K203/365)</f>
        <v>1</v>
      </c>
      <c r="X203" s="8">
        <f ca="1">_xll.HLV5r3.Analytics.Miscellaneous.Zero2DF(_xll.HLV5r3.Analytics.Miscellaneous.LinearInterp(Peturbed_QZ,$K203,1,X$1),ZeroCompFreq,'PDH Calc'!$K203/365)</f>
        <v>1</v>
      </c>
      <c r="Y203" s="8">
        <f ca="1">_xll.HLV5r3.Analytics.Miscellaneous.Zero2DF(_xll.HLV5r3.Analytics.Miscellaneous.LinearInterp(Peturbed_QZ,$K203,1,Y$1),ZeroCompFreq,'PDH Calc'!$K203/365)</f>
        <v>1</v>
      </c>
      <c r="Z203" s="8">
        <f ca="1">_xll.HLV5r3.Analytics.Miscellaneous.Zero2DF(_xll.HLV5r3.Analytics.Miscellaneous.LinearInterp(Peturbed_QZ,$K203,1,Z$1),ZeroCompFreq,'PDH Calc'!$K203/365)</f>
        <v>1</v>
      </c>
      <c r="AA203" s="8">
        <f ca="1">_xll.HLV5r3.Analytics.Miscellaneous.Zero2DF(_xll.HLV5r3.Analytics.Miscellaneous.LinearInterp(Peturbed_QZ,$K203,1,AA$1),ZeroCompFreq,'PDH Calc'!$K203/365)</f>
        <v>1</v>
      </c>
      <c r="AB203" s="8">
        <f ca="1">_xll.HLV5r3.Analytics.Miscellaneous.Zero2DF(_xll.HLV5r3.Analytics.Miscellaneous.LinearInterp(Peturbed_QZ,$K203,1,AB$1),ZeroCompFreq,'PDH Calc'!$K203/365)</f>
        <v>1</v>
      </c>
      <c r="AC203" s="8">
        <f ca="1">_xll.HLV5r3.Analytics.Miscellaneous.Zero2DF(_xll.HLV5r3.Analytics.Miscellaneous.LinearInterp(Peturbed_QZ,$K203,1,AC$1),ZeroCompFreq,'PDH Calc'!$K203/365)</f>
        <v>1</v>
      </c>
      <c r="AD203" s="8">
        <f ca="1">_xll.HLV5r3.Analytics.Miscellaneous.Zero2DF(_xll.HLV5r3.Analytics.Miscellaneous.LinearInterp(Peturbed_QZ,$K203,1,AD$1),ZeroCompFreq,'PDH Calc'!$K203/365)</f>
        <v>1</v>
      </c>
      <c r="AE203" s="8">
        <f ca="1">_xll.HLV5r3.Analytics.Miscellaneous.Zero2DF(_xll.HLV5r3.Analytics.Miscellaneous.LinearInterp(Peturbed_QZ,$K203,1,AE$1),ZeroCompFreq,'PDH Calc'!$K203/365)</f>
        <v>1</v>
      </c>
      <c r="AF203" s="8">
        <f ca="1">_xll.HLV5r3.Analytics.Miscellaneous.Zero2DF(_xll.HLV5r3.Analytics.Miscellaneous.LinearInterp(Peturbed_QZ,$K203,1,AF$1),ZeroCompFreq,'PDH Calc'!$K203/365)</f>
        <v>1</v>
      </c>
      <c r="AG203" s="8">
        <f ca="1">_xll.HLV5r3.Analytics.Miscellaneous.Zero2DF(_xll.HLV5r3.Analytics.Miscellaneous.LinearInterp(Peturbed_QZ,$K203,1,AG$1),ZeroCompFreq,'PDH Calc'!$K203/365)</f>
        <v>1</v>
      </c>
      <c r="AH203" s="8">
        <f ca="1">_xll.HLV5r3.Analytics.Miscellaneous.Zero2DF(_xll.HLV5r3.Analytics.Miscellaneous.LinearInterp(Peturbed_QZ,$K203,1,AH$1),ZeroCompFreq,'PDH Calc'!$K203/365)</f>
        <v>1</v>
      </c>
      <c r="AI203" s="8">
        <f ca="1">_xll.HLV5r3.Analytics.Miscellaneous.Zero2DF(_xll.HLV5r3.Analytics.Miscellaneous.LinearInterp(Peturbed_QZ,$K203,1,AI$1),ZeroCompFreq,'PDH Calc'!$K203/365)</f>
        <v>1</v>
      </c>
      <c r="AJ203" s="8">
        <f ca="1">_xll.HLV5r3.Analytics.Miscellaneous.Zero2DF(_xll.HLV5r3.Analytics.Miscellaneous.LinearInterp(Peturbed_QZ,$K203,1,AJ$1),ZeroCompFreq,'PDH Calc'!$K203/365)</f>
        <v>1</v>
      </c>
      <c r="AK203" s="8">
        <f ca="1">_xll.HLV5r3.Analytics.Miscellaneous.Zero2DF(_xll.HLV5r3.Analytics.Miscellaneous.LinearInterp(Peturbed_QZ,$K203,1,AK$1),ZeroCompFreq,'PDH Calc'!$K203/365)</f>
        <v>1</v>
      </c>
    </row>
    <row r="204" spans="1:37">
      <c r="A204" s="4"/>
      <c r="B204" s="6"/>
      <c r="F204" s="11"/>
      <c r="G204" s="6"/>
      <c r="H204" s="20"/>
      <c r="I204" s="21"/>
      <c r="J204" s="26"/>
      <c r="K204" s="6">
        <f t="shared" ca="1" si="9"/>
        <v>0</v>
      </c>
      <c r="L204" s="8">
        <f ca="1">_xll.HLV5r3.Analytics.Miscellaneous.Zero2DF(_xll.HLV5r3.Analytics.Miscellaneous.LinearInterp(Peturbed_QZ,$K204,1,L$1),ZeroCompFreq,'PDH Calc'!$K204/365)</f>
        <v>1</v>
      </c>
      <c r="M204" s="8">
        <f ca="1">_xll.HLV5r3.Analytics.Miscellaneous.Zero2DF(_xll.HLV5r3.Analytics.Miscellaneous.LinearInterp(Peturbed_QZ,$K204,1,M$1),ZeroCompFreq,'PDH Calc'!$K204/365)</f>
        <v>1</v>
      </c>
      <c r="N204" s="8">
        <f ca="1">_xll.HLV5r3.Analytics.Miscellaneous.Zero2DF(_xll.HLV5r3.Analytics.Miscellaneous.LinearInterp(Peturbed_QZ,$K204,1,N$1),ZeroCompFreq,'PDH Calc'!$K204/365)</f>
        <v>1</v>
      </c>
      <c r="O204" s="8">
        <f ca="1">_xll.HLV5r3.Analytics.Miscellaneous.Zero2DF(_xll.HLV5r3.Analytics.Miscellaneous.LinearInterp(Peturbed_QZ,$K204,1,O$1),ZeroCompFreq,'PDH Calc'!$K204/365)</f>
        <v>1</v>
      </c>
      <c r="P204" s="8">
        <f ca="1">_xll.HLV5r3.Analytics.Miscellaneous.Zero2DF(_xll.HLV5r3.Analytics.Miscellaneous.LinearInterp(Peturbed_QZ,$K204,1,P$1),ZeroCompFreq,'PDH Calc'!$K204/365)</f>
        <v>1</v>
      </c>
      <c r="Q204" s="8">
        <f ca="1">_xll.HLV5r3.Analytics.Miscellaneous.Zero2DF(_xll.HLV5r3.Analytics.Miscellaneous.LinearInterp(Peturbed_QZ,$K204,1,Q$1),ZeroCompFreq,'PDH Calc'!$K204/365)</f>
        <v>1</v>
      </c>
      <c r="R204" s="8">
        <f ca="1">_xll.HLV5r3.Analytics.Miscellaneous.Zero2DF(_xll.HLV5r3.Analytics.Miscellaneous.LinearInterp(Peturbed_QZ,$K204,1,R$1),ZeroCompFreq,'PDH Calc'!$K204/365)</f>
        <v>1</v>
      </c>
      <c r="S204" s="8">
        <f ca="1">_xll.HLV5r3.Analytics.Miscellaneous.Zero2DF(_xll.HLV5r3.Analytics.Miscellaneous.LinearInterp(Peturbed_QZ,$K204,1,S$1),ZeroCompFreq,'PDH Calc'!$K204/365)</f>
        <v>1</v>
      </c>
      <c r="T204" s="8">
        <f ca="1">_xll.HLV5r3.Analytics.Miscellaneous.Zero2DF(_xll.HLV5r3.Analytics.Miscellaneous.LinearInterp(Peturbed_QZ,$K204,1,T$1),ZeroCompFreq,'PDH Calc'!$K204/365)</f>
        <v>1</v>
      </c>
      <c r="U204" s="8">
        <f ca="1">_xll.HLV5r3.Analytics.Miscellaneous.Zero2DF(_xll.HLV5r3.Analytics.Miscellaneous.LinearInterp(Peturbed_QZ,$K204,1,U$1),ZeroCompFreq,'PDH Calc'!$K204/365)</f>
        <v>1</v>
      </c>
      <c r="V204" s="8">
        <f ca="1">_xll.HLV5r3.Analytics.Miscellaneous.Zero2DF(_xll.HLV5r3.Analytics.Miscellaneous.LinearInterp(Peturbed_QZ,$K204,1,V$1),ZeroCompFreq,'PDH Calc'!$K204/365)</f>
        <v>1</v>
      </c>
      <c r="W204" s="8">
        <f ca="1">_xll.HLV5r3.Analytics.Miscellaneous.Zero2DF(_xll.HLV5r3.Analytics.Miscellaneous.LinearInterp(Peturbed_QZ,$K204,1,W$1),ZeroCompFreq,'PDH Calc'!$K204/365)</f>
        <v>1</v>
      </c>
      <c r="X204" s="8">
        <f ca="1">_xll.HLV5r3.Analytics.Miscellaneous.Zero2DF(_xll.HLV5r3.Analytics.Miscellaneous.LinearInterp(Peturbed_QZ,$K204,1,X$1),ZeroCompFreq,'PDH Calc'!$K204/365)</f>
        <v>1</v>
      </c>
      <c r="Y204" s="8">
        <f ca="1">_xll.HLV5r3.Analytics.Miscellaneous.Zero2DF(_xll.HLV5r3.Analytics.Miscellaneous.LinearInterp(Peturbed_QZ,$K204,1,Y$1),ZeroCompFreq,'PDH Calc'!$K204/365)</f>
        <v>1</v>
      </c>
      <c r="Z204" s="8">
        <f ca="1">_xll.HLV5r3.Analytics.Miscellaneous.Zero2DF(_xll.HLV5r3.Analytics.Miscellaneous.LinearInterp(Peturbed_QZ,$K204,1,Z$1),ZeroCompFreq,'PDH Calc'!$K204/365)</f>
        <v>1</v>
      </c>
      <c r="AA204" s="8">
        <f ca="1">_xll.HLV5r3.Analytics.Miscellaneous.Zero2DF(_xll.HLV5r3.Analytics.Miscellaneous.LinearInterp(Peturbed_QZ,$K204,1,AA$1),ZeroCompFreq,'PDH Calc'!$K204/365)</f>
        <v>1</v>
      </c>
      <c r="AB204" s="8">
        <f ca="1">_xll.HLV5r3.Analytics.Miscellaneous.Zero2DF(_xll.HLV5r3.Analytics.Miscellaneous.LinearInterp(Peturbed_QZ,$K204,1,AB$1),ZeroCompFreq,'PDH Calc'!$K204/365)</f>
        <v>1</v>
      </c>
      <c r="AC204" s="8">
        <f ca="1">_xll.HLV5r3.Analytics.Miscellaneous.Zero2DF(_xll.HLV5r3.Analytics.Miscellaneous.LinearInterp(Peturbed_QZ,$K204,1,AC$1),ZeroCompFreq,'PDH Calc'!$K204/365)</f>
        <v>1</v>
      </c>
      <c r="AD204" s="8">
        <f ca="1">_xll.HLV5r3.Analytics.Miscellaneous.Zero2DF(_xll.HLV5r3.Analytics.Miscellaneous.LinearInterp(Peturbed_QZ,$K204,1,AD$1),ZeroCompFreq,'PDH Calc'!$K204/365)</f>
        <v>1</v>
      </c>
      <c r="AE204" s="8">
        <f ca="1">_xll.HLV5r3.Analytics.Miscellaneous.Zero2DF(_xll.HLV5r3.Analytics.Miscellaneous.LinearInterp(Peturbed_QZ,$K204,1,AE$1),ZeroCompFreq,'PDH Calc'!$K204/365)</f>
        <v>1</v>
      </c>
      <c r="AF204" s="8">
        <f ca="1">_xll.HLV5r3.Analytics.Miscellaneous.Zero2DF(_xll.HLV5r3.Analytics.Miscellaneous.LinearInterp(Peturbed_QZ,$K204,1,AF$1),ZeroCompFreq,'PDH Calc'!$K204/365)</f>
        <v>1</v>
      </c>
      <c r="AG204" s="8">
        <f ca="1">_xll.HLV5r3.Analytics.Miscellaneous.Zero2DF(_xll.HLV5r3.Analytics.Miscellaneous.LinearInterp(Peturbed_QZ,$K204,1,AG$1),ZeroCompFreq,'PDH Calc'!$K204/365)</f>
        <v>1</v>
      </c>
      <c r="AH204" s="8">
        <f ca="1">_xll.HLV5r3.Analytics.Miscellaneous.Zero2DF(_xll.HLV5r3.Analytics.Miscellaneous.LinearInterp(Peturbed_QZ,$K204,1,AH$1),ZeroCompFreq,'PDH Calc'!$K204/365)</f>
        <v>1</v>
      </c>
      <c r="AI204" s="8">
        <f ca="1">_xll.HLV5r3.Analytics.Miscellaneous.Zero2DF(_xll.HLV5r3.Analytics.Miscellaneous.LinearInterp(Peturbed_QZ,$K204,1,AI$1),ZeroCompFreq,'PDH Calc'!$K204/365)</f>
        <v>1</v>
      </c>
      <c r="AJ204" s="8">
        <f ca="1">_xll.HLV5r3.Analytics.Miscellaneous.Zero2DF(_xll.HLV5r3.Analytics.Miscellaneous.LinearInterp(Peturbed_QZ,$K204,1,AJ$1),ZeroCompFreq,'PDH Calc'!$K204/365)</f>
        <v>1</v>
      </c>
      <c r="AK204" s="8">
        <f ca="1">_xll.HLV5r3.Analytics.Miscellaneous.Zero2DF(_xll.HLV5r3.Analytics.Miscellaneous.LinearInterp(Peturbed_QZ,$K204,1,AK$1),ZeroCompFreq,'PDH Calc'!$K204/365)</f>
        <v>1</v>
      </c>
    </row>
    <row r="205" spans="1:37">
      <c r="A205" s="4"/>
      <c r="B205" s="6"/>
      <c r="F205" s="11"/>
      <c r="G205" s="6"/>
      <c r="H205" s="20"/>
      <c r="I205" s="21"/>
      <c r="J205" s="26"/>
      <c r="K205" s="6">
        <f t="shared" ca="1" si="9"/>
        <v>0</v>
      </c>
      <c r="L205" s="8">
        <f ca="1">_xll.HLV5r3.Analytics.Miscellaneous.Zero2DF(_xll.HLV5r3.Analytics.Miscellaneous.LinearInterp(Peturbed_QZ,$K205,1,L$1),ZeroCompFreq,'PDH Calc'!$K205/365)</f>
        <v>1</v>
      </c>
      <c r="M205" s="8">
        <f ca="1">_xll.HLV5r3.Analytics.Miscellaneous.Zero2DF(_xll.HLV5r3.Analytics.Miscellaneous.LinearInterp(Peturbed_QZ,$K205,1,M$1),ZeroCompFreq,'PDH Calc'!$K205/365)</f>
        <v>1</v>
      </c>
      <c r="N205" s="8">
        <f ca="1">_xll.HLV5r3.Analytics.Miscellaneous.Zero2DF(_xll.HLV5r3.Analytics.Miscellaneous.LinearInterp(Peturbed_QZ,$K205,1,N$1),ZeroCompFreq,'PDH Calc'!$K205/365)</f>
        <v>1</v>
      </c>
      <c r="O205" s="8">
        <f ca="1">_xll.HLV5r3.Analytics.Miscellaneous.Zero2DF(_xll.HLV5r3.Analytics.Miscellaneous.LinearInterp(Peturbed_QZ,$K205,1,O$1),ZeroCompFreq,'PDH Calc'!$K205/365)</f>
        <v>1</v>
      </c>
      <c r="P205" s="8">
        <f ca="1">_xll.HLV5r3.Analytics.Miscellaneous.Zero2DF(_xll.HLV5r3.Analytics.Miscellaneous.LinearInterp(Peturbed_QZ,$K205,1,P$1),ZeroCompFreq,'PDH Calc'!$K205/365)</f>
        <v>1</v>
      </c>
      <c r="Q205" s="8">
        <f ca="1">_xll.HLV5r3.Analytics.Miscellaneous.Zero2DF(_xll.HLV5r3.Analytics.Miscellaneous.LinearInterp(Peturbed_QZ,$K205,1,Q$1),ZeroCompFreq,'PDH Calc'!$K205/365)</f>
        <v>1</v>
      </c>
      <c r="R205" s="8">
        <f ca="1">_xll.HLV5r3.Analytics.Miscellaneous.Zero2DF(_xll.HLV5r3.Analytics.Miscellaneous.LinearInterp(Peturbed_QZ,$K205,1,R$1),ZeroCompFreq,'PDH Calc'!$K205/365)</f>
        <v>1</v>
      </c>
      <c r="S205" s="8">
        <f ca="1">_xll.HLV5r3.Analytics.Miscellaneous.Zero2DF(_xll.HLV5r3.Analytics.Miscellaneous.LinearInterp(Peturbed_QZ,$K205,1,S$1),ZeroCompFreq,'PDH Calc'!$K205/365)</f>
        <v>1</v>
      </c>
      <c r="T205" s="8">
        <f ca="1">_xll.HLV5r3.Analytics.Miscellaneous.Zero2DF(_xll.HLV5r3.Analytics.Miscellaneous.LinearInterp(Peturbed_QZ,$K205,1,T$1),ZeroCompFreq,'PDH Calc'!$K205/365)</f>
        <v>1</v>
      </c>
      <c r="U205" s="8">
        <f ca="1">_xll.HLV5r3.Analytics.Miscellaneous.Zero2DF(_xll.HLV5r3.Analytics.Miscellaneous.LinearInterp(Peturbed_QZ,$K205,1,U$1),ZeroCompFreq,'PDH Calc'!$K205/365)</f>
        <v>1</v>
      </c>
      <c r="V205" s="8">
        <f ca="1">_xll.HLV5r3.Analytics.Miscellaneous.Zero2DF(_xll.HLV5r3.Analytics.Miscellaneous.LinearInterp(Peturbed_QZ,$K205,1,V$1),ZeroCompFreq,'PDH Calc'!$K205/365)</f>
        <v>1</v>
      </c>
      <c r="W205" s="8">
        <f ca="1">_xll.HLV5r3.Analytics.Miscellaneous.Zero2DF(_xll.HLV5r3.Analytics.Miscellaneous.LinearInterp(Peturbed_QZ,$K205,1,W$1),ZeroCompFreq,'PDH Calc'!$K205/365)</f>
        <v>1</v>
      </c>
      <c r="X205" s="8">
        <f ca="1">_xll.HLV5r3.Analytics.Miscellaneous.Zero2DF(_xll.HLV5r3.Analytics.Miscellaneous.LinearInterp(Peturbed_QZ,$K205,1,X$1),ZeroCompFreq,'PDH Calc'!$K205/365)</f>
        <v>1</v>
      </c>
      <c r="Y205" s="8">
        <f ca="1">_xll.HLV5r3.Analytics.Miscellaneous.Zero2DF(_xll.HLV5r3.Analytics.Miscellaneous.LinearInterp(Peturbed_QZ,$K205,1,Y$1),ZeroCompFreq,'PDH Calc'!$K205/365)</f>
        <v>1</v>
      </c>
      <c r="Z205" s="8">
        <f ca="1">_xll.HLV5r3.Analytics.Miscellaneous.Zero2DF(_xll.HLV5r3.Analytics.Miscellaneous.LinearInterp(Peturbed_QZ,$K205,1,Z$1),ZeroCompFreq,'PDH Calc'!$K205/365)</f>
        <v>1</v>
      </c>
      <c r="AA205" s="8">
        <f ca="1">_xll.HLV5r3.Analytics.Miscellaneous.Zero2DF(_xll.HLV5r3.Analytics.Miscellaneous.LinearInterp(Peturbed_QZ,$K205,1,AA$1),ZeroCompFreq,'PDH Calc'!$K205/365)</f>
        <v>1</v>
      </c>
      <c r="AB205" s="8">
        <f ca="1">_xll.HLV5r3.Analytics.Miscellaneous.Zero2DF(_xll.HLV5r3.Analytics.Miscellaneous.LinearInterp(Peturbed_QZ,$K205,1,AB$1),ZeroCompFreq,'PDH Calc'!$K205/365)</f>
        <v>1</v>
      </c>
      <c r="AC205" s="8">
        <f ca="1">_xll.HLV5r3.Analytics.Miscellaneous.Zero2DF(_xll.HLV5r3.Analytics.Miscellaneous.LinearInterp(Peturbed_QZ,$K205,1,AC$1),ZeroCompFreq,'PDH Calc'!$K205/365)</f>
        <v>1</v>
      </c>
      <c r="AD205" s="8">
        <f ca="1">_xll.HLV5r3.Analytics.Miscellaneous.Zero2DF(_xll.HLV5r3.Analytics.Miscellaneous.LinearInterp(Peturbed_QZ,$K205,1,AD$1),ZeroCompFreq,'PDH Calc'!$K205/365)</f>
        <v>1</v>
      </c>
      <c r="AE205" s="8">
        <f ca="1">_xll.HLV5r3.Analytics.Miscellaneous.Zero2DF(_xll.HLV5r3.Analytics.Miscellaneous.LinearInterp(Peturbed_QZ,$K205,1,AE$1),ZeroCompFreq,'PDH Calc'!$K205/365)</f>
        <v>1</v>
      </c>
      <c r="AF205" s="8">
        <f ca="1">_xll.HLV5r3.Analytics.Miscellaneous.Zero2DF(_xll.HLV5r3.Analytics.Miscellaneous.LinearInterp(Peturbed_QZ,$K205,1,AF$1),ZeroCompFreq,'PDH Calc'!$K205/365)</f>
        <v>1</v>
      </c>
      <c r="AG205" s="8">
        <f ca="1">_xll.HLV5r3.Analytics.Miscellaneous.Zero2DF(_xll.HLV5r3.Analytics.Miscellaneous.LinearInterp(Peturbed_QZ,$K205,1,AG$1),ZeroCompFreq,'PDH Calc'!$K205/365)</f>
        <v>1</v>
      </c>
      <c r="AH205" s="8">
        <f ca="1">_xll.HLV5r3.Analytics.Miscellaneous.Zero2DF(_xll.HLV5r3.Analytics.Miscellaneous.LinearInterp(Peturbed_QZ,$K205,1,AH$1),ZeroCompFreq,'PDH Calc'!$K205/365)</f>
        <v>1</v>
      </c>
      <c r="AI205" s="8">
        <f ca="1">_xll.HLV5r3.Analytics.Miscellaneous.Zero2DF(_xll.HLV5r3.Analytics.Miscellaneous.LinearInterp(Peturbed_QZ,$K205,1,AI$1),ZeroCompFreq,'PDH Calc'!$K205/365)</f>
        <v>1</v>
      </c>
      <c r="AJ205" s="8">
        <f ca="1">_xll.HLV5r3.Analytics.Miscellaneous.Zero2DF(_xll.HLV5r3.Analytics.Miscellaneous.LinearInterp(Peturbed_QZ,$K205,1,AJ$1),ZeroCompFreq,'PDH Calc'!$K205/365)</f>
        <v>1</v>
      </c>
      <c r="AK205" s="8">
        <f ca="1">_xll.HLV5r3.Analytics.Miscellaneous.Zero2DF(_xll.HLV5r3.Analytics.Miscellaneous.LinearInterp(Peturbed_QZ,$K205,1,AK$1),ZeroCompFreq,'PDH Calc'!$K205/365)</f>
        <v>1</v>
      </c>
    </row>
    <row r="206" spans="1:37">
      <c r="A206" s="4"/>
      <c r="B206" s="6"/>
      <c r="F206" s="11"/>
      <c r="G206" s="6"/>
      <c r="H206" s="20"/>
      <c r="I206" s="21"/>
      <c r="J206" s="26"/>
      <c r="K206" s="6">
        <f t="shared" ca="1" si="9"/>
        <v>0</v>
      </c>
      <c r="L206" s="8">
        <f ca="1">_xll.HLV5r3.Analytics.Miscellaneous.Zero2DF(_xll.HLV5r3.Analytics.Miscellaneous.LinearInterp(Peturbed_QZ,$K206,1,L$1),ZeroCompFreq,'PDH Calc'!$K206/365)</f>
        <v>1</v>
      </c>
      <c r="M206" s="8">
        <f ca="1">_xll.HLV5r3.Analytics.Miscellaneous.Zero2DF(_xll.HLV5r3.Analytics.Miscellaneous.LinearInterp(Peturbed_QZ,$K206,1,M$1),ZeroCompFreq,'PDH Calc'!$K206/365)</f>
        <v>1</v>
      </c>
      <c r="N206" s="8">
        <f ca="1">_xll.HLV5r3.Analytics.Miscellaneous.Zero2DF(_xll.HLV5r3.Analytics.Miscellaneous.LinearInterp(Peturbed_QZ,$K206,1,N$1),ZeroCompFreq,'PDH Calc'!$K206/365)</f>
        <v>1</v>
      </c>
      <c r="O206" s="8">
        <f ca="1">_xll.HLV5r3.Analytics.Miscellaneous.Zero2DF(_xll.HLV5r3.Analytics.Miscellaneous.LinearInterp(Peturbed_QZ,$K206,1,O$1),ZeroCompFreq,'PDH Calc'!$K206/365)</f>
        <v>1</v>
      </c>
      <c r="P206" s="8">
        <f ca="1">_xll.HLV5r3.Analytics.Miscellaneous.Zero2DF(_xll.HLV5r3.Analytics.Miscellaneous.LinearInterp(Peturbed_QZ,$K206,1,P$1),ZeroCompFreq,'PDH Calc'!$K206/365)</f>
        <v>1</v>
      </c>
      <c r="Q206" s="8">
        <f ca="1">_xll.HLV5r3.Analytics.Miscellaneous.Zero2DF(_xll.HLV5r3.Analytics.Miscellaneous.LinearInterp(Peturbed_QZ,$K206,1,Q$1),ZeroCompFreq,'PDH Calc'!$K206/365)</f>
        <v>1</v>
      </c>
      <c r="R206" s="8">
        <f ca="1">_xll.HLV5r3.Analytics.Miscellaneous.Zero2DF(_xll.HLV5r3.Analytics.Miscellaneous.LinearInterp(Peturbed_QZ,$K206,1,R$1),ZeroCompFreq,'PDH Calc'!$K206/365)</f>
        <v>1</v>
      </c>
      <c r="S206" s="8">
        <f ca="1">_xll.HLV5r3.Analytics.Miscellaneous.Zero2DF(_xll.HLV5r3.Analytics.Miscellaneous.LinearInterp(Peturbed_QZ,$K206,1,S$1),ZeroCompFreq,'PDH Calc'!$K206/365)</f>
        <v>1</v>
      </c>
      <c r="T206" s="8">
        <f ca="1">_xll.HLV5r3.Analytics.Miscellaneous.Zero2DF(_xll.HLV5r3.Analytics.Miscellaneous.LinearInterp(Peturbed_QZ,$K206,1,T$1),ZeroCompFreq,'PDH Calc'!$K206/365)</f>
        <v>1</v>
      </c>
      <c r="U206" s="8">
        <f ca="1">_xll.HLV5r3.Analytics.Miscellaneous.Zero2DF(_xll.HLV5r3.Analytics.Miscellaneous.LinearInterp(Peturbed_QZ,$K206,1,U$1),ZeroCompFreq,'PDH Calc'!$K206/365)</f>
        <v>1</v>
      </c>
      <c r="V206" s="8">
        <f ca="1">_xll.HLV5r3.Analytics.Miscellaneous.Zero2DF(_xll.HLV5r3.Analytics.Miscellaneous.LinearInterp(Peturbed_QZ,$K206,1,V$1),ZeroCompFreq,'PDH Calc'!$K206/365)</f>
        <v>1</v>
      </c>
      <c r="W206" s="8">
        <f ca="1">_xll.HLV5r3.Analytics.Miscellaneous.Zero2DF(_xll.HLV5r3.Analytics.Miscellaneous.LinearInterp(Peturbed_QZ,$K206,1,W$1),ZeroCompFreq,'PDH Calc'!$K206/365)</f>
        <v>1</v>
      </c>
      <c r="X206" s="8">
        <f ca="1">_xll.HLV5r3.Analytics.Miscellaneous.Zero2DF(_xll.HLV5r3.Analytics.Miscellaneous.LinearInterp(Peturbed_QZ,$K206,1,X$1),ZeroCompFreq,'PDH Calc'!$K206/365)</f>
        <v>1</v>
      </c>
      <c r="Y206" s="8">
        <f ca="1">_xll.HLV5r3.Analytics.Miscellaneous.Zero2DF(_xll.HLV5r3.Analytics.Miscellaneous.LinearInterp(Peturbed_QZ,$K206,1,Y$1),ZeroCompFreq,'PDH Calc'!$K206/365)</f>
        <v>1</v>
      </c>
      <c r="Z206" s="8">
        <f ca="1">_xll.HLV5r3.Analytics.Miscellaneous.Zero2DF(_xll.HLV5r3.Analytics.Miscellaneous.LinearInterp(Peturbed_QZ,$K206,1,Z$1),ZeroCompFreq,'PDH Calc'!$K206/365)</f>
        <v>1</v>
      </c>
      <c r="AA206" s="8">
        <f ca="1">_xll.HLV5r3.Analytics.Miscellaneous.Zero2DF(_xll.HLV5r3.Analytics.Miscellaneous.LinearInterp(Peturbed_QZ,$K206,1,AA$1),ZeroCompFreq,'PDH Calc'!$K206/365)</f>
        <v>1</v>
      </c>
      <c r="AB206" s="8">
        <f ca="1">_xll.HLV5r3.Analytics.Miscellaneous.Zero2DF(_xll.HLV5r3.Analytics.Miscellaneous.LinearInterp(Peturbed_QZ,$K206,1,AB$1),ZeroCompFreq,'PDH Calc'!$K206/365)</f>
        <v>1</v>
      </c>
      <c r="AC206" s="8">
        <f ca="1">_xll.HLV5r3.Analytics.Miscellaneous.Zero2DF(_xll.HLV5r3.Analytics.Miscellaneous.LinearInterp(Peturbed_QZ,$K206,1,AC$1),ZeroCompFreq,'PDH Calc'!$K206/365)</f>
        <v>1</v>
      </c>
      <c r="AD206" s="8">
        <f ca="1">_xll.HLV5r3.Analytics.Miscellaneous.Zero2DF(_xll.HLV5r3.Analytics.Miscellaneous.LinearInterp(Peturbed_QZ,$K206,1,AD$1),ZeroCompFreq,'PDH Calc'!$K206/365)</f>
        <v>1</v>
      </c>
      <c r="AE206" s="8">
        <f ca="1">_xll.HLV5r3.Analytics.Miscellaneous.Zero2DF(_xll.HLV5r3.Analytics.Miscellaneous.LinearInterp(Peturbed_QZ,$K206,1,AE$1),ZeroCompFreq,'PDH Calc'!$K206/365)</f>
        <v>1</v>
      </c>
      <c r="AF206" s="8">
        <f ca="1">_xll.HLV5r3.Analytics.Miscellaneous.Zero2DF(_xll.HLV5r3.Analytics.Miscellaneous.LinearInterp(Peturbed_QZ,$K206,1,AF$1),ZeroCompFreq,'PDH Calc'!$K206/365)</f>
        <v>1</v>
      </c>
      <c r="AG206" s="8">
        <f ca="1">_xll.HLV5r3.Analytics.Miscellaneous.Zero2DF(_xll.HLV5r3.Analytics.Miscellaneous.LinearInterp(Peturbed_QZ,$K206,1,AG$1),ZeroCompFreq,'PDH Calc'!$K206/365)</f>
        <v>1</v>
      </c>
      <c r="AH206" s="8">
        <f ca="1">_xll.HLV5r3.Analytics.Miscellaneous.Zero2DF(_xll.HLV5r3.Analytics.Miscellaneous.LinearInterp(Peturbed_QZ,$K206,1,AH$1),ZeroCompFreq,'PDH Calc'!$K206/365)</f>
        <v>1</v>
      </c>
      <c r="AI206" s="8">
        <f ca="1">_xll.HLV5r3.Analytics.Miscellaneous.Zero2DF(_xll.HLV5r3.Analytics.Miscellaneous.LinearInterp(Peturbed_QZ,$K206,1,AI$1),ZeroCompFreq,'PDH Calc'!$K206/365)</f>
        <v>1</v>
      </c>
      <c r="AJ206" s="8">
        <f ca="1">_xll.HLV5r3.Analytics.Miscellaneous.Zero2DF(_xll.HLV5r3.Analytics.Miscellaneous.LinearInterp(Peturbed_QZ,$K206,1,AJ$1),ZeroCompFreq,'PDH Calc'!$K206/365)</f>
        <v>1</v>
      </c>
      <c r="AK206" s="8">
        <f ca="1">_xll.HLV5r3.Analytics.Miscellaneous.Zero2DF(_xll.HLV5r3.Analytics.Miscellaneous.LinearInterp(Peturbed_QZ,$K206,1,AK$1),ZeroCompFreq,'PDH Calc'!$K206/365)</f>
        <v>1</v>
      </c>
    </row>
    <row r="207" spans="1:37">
      <c r="A207" s="4"/>
      <c r="B207" s="6"/>
      <c r="F207" s="11"/>
      <c r="G207" s="6"/>
      <c r="H207" s="20"/>
      <c r="I207" s="21"/>
      <c r="J207" s="26"/>
      <c r="K207" s="6">
        <f t="shared" ca="1" si="9"/>
        <v>0</v>
      </c>
      <c r="L207" s="8">
        <f ca="1">_xll.HLV5r3.Analytics.Miscellaneous.Zero2DF(_xll.HLV5r3.Analytics.Miscellaneous.LinearInterp(Peturbed_QZ,$K207,1,L$1),ZeroCompFreq,'PDH Calc'!$K207/365)</f>
        <v>1</v>
      </c>
      <c r="M207" s="8">
        <f ca="1">_xll.HLV5r3.Analytics.Miscellaneous.Zero2DF(_xll.HLV5r3.Analytics.Miscellaneous.LinearInterp(Peturbed_QZ,$K207,1,M$1),ZeroCompFreq,'PDH Calc'!$K207/365)</f>
        <v>1</v>
      </c>
      <c r="N207" s="8">
        <f ca="1">_xll.HLV5r3.Analytics.Miscellaneous.Zero2DF(_xll.HLV5r3.Analytics.Miscellaneous.LinearInterp(Peturbed_QZ,$K207,1,N$1),ZeroCompFreq,'PDH Calc'!$K207/365)</f>
        <v>1</v>
      </c>
      <c r="O207" s="8">
        <f ca="1">_xll.HLV5r3.Analytics.Miscellaneous.Zero2DF(_xll.HLV5r3.Analytics.Miscellaneous.LinearInterp(Peturbed_QZ,$K207,1,O$1),ZeroCompFreq,'PDH Calc'!$K207/365)</f>
        <v>1</v>
      </c>
      <c r="P207" s="8">
        <f ca="1">_xll.HLV5r3.Analytics.Miscellaneous.Zero2DF(_xll.HLV5r3.Analytics.Miscellaneous.LinearInterp(Peturbed_QZ,$K207,1,P$1),ZeroCompFreq,'PDH Calc'!$K207/365)</f>
        <v>1</v>
      </c>
      <c r="Q207" s="8">
        <f ca="1">_xll.HLV5r3.Analytics.Miscellaneous.Zero2DF(_xll.HLV5r3.Analytics.Miscellaneous.LinearInterp(Peturbed_QZ,$K207,1,Q$1),ZeroCompFreq,'PDH Calc'!$K207/365)</f>
        <v>1</v>
      </c>
      <c r="R207" s="8">
        <f ca="1">_xll.HLV5r3.Analytics.Miscellaneous.Zero2DF(_xll.HLV5r3.Analytics.Miscellaneous.LinearInterp(Peturbed_QZ,$K207,1,R$1),ZeroCompFreq,'PDH Calc'!$K207/365)</f>
        <v>1</v>
      </c>
      <c r="S207" s="8">
        <f ca="1">_xll.HLV5r3.Analytics.Miscellaneous.Zero2DF(_xll.HLV5r3.Analytics.Miscellaneous.LinearInterp(Peturbed_QZ,$K207,1,S$1),ZeroCompFreq,'PDH Calc'!$K207/365)</f>
        <v>1</v>
      </c>
      <c r="T207" s="8">
        <f ca="1">_xll.HLV5r3.Analytics.Miscellaneous.Zero2DF(_xll.HLV5r3.Analytics.Miscellaneous.LinearInterp(Peturbed_QZ,$K207,1,T$1),ZeroCompFreq,'PDH Calc'!$K207/365)</f>
        <v>1</v>
      </c>
      <c r="U207" s="8">
        <f ca="1">_xll.HLV5r3.Analytics.Miscellaneous.Zero2DF(_xll.HLV5r3.Analytics.Miscellaneous.LinearInterp(Peturbed_QZ,$K207,1,U$1),ZeroCompFreq,'PDH Calc'!$K207/365)</f>
        <v>1</v>
      </c>
      <c r="V207" s="8">
        <f ca="1">_xll.HLV5r3.Analytics.Miscellaneous.Zero2DF(_xll.HLV5r3.Analytics.Miscellaneous.LinearInterp(Peturbed_QZ,$K207,1,V$1),ZeroCompFreq,'PDH Calc'!$K207/365)</f>
        <v>1</v>
      </c>
      <c r="W207" s="8">
        <f ca="1">_xll.HLV5r3.Analytics.Miscellaneous.Zero2DF(_xll.HLV5r3.Analytics.Miscellaneous.LinearInterp(Peturbed_QZ,$K207,1,W$1),ZeroCompFreq,'PDH Calc'!$K207/365)</f>
        <v>1</v>
      </c>
      <c r="X207" s="8">
        <f ca="1">_xll.HLV5r3.Analytics.Miscellaneous.Zero2DF(_xll.HLV5r3.Analytics.Miscellaneous.LinearInterp(Peturbed_QZ,$K207,1,X$1),ZeroCompFreq,'PDH Calc'!$K207/365)</f>
        <v>1</v>
      </c>
      <c r="Y207" s="8">
        <f ca="1">_xll.HLV5r3.Analytics.Miscellaneous.Zero2DF(_xll.HLV5r3.Analytics.Miscellaneous.LinearInterp(Peturbed_QZ,$K207,1,Y$1),ZeroCompFreq,'PDH Calc'!$K207/365)</f>
        <v>1</v>
      </c>
      <c r="Z207" s="8">
        <f ca="1">_xll.HLV5r3.Analytics.Miscellaneous.Zero2DF(_xll.HLV5r3.Analytics.Miscellaneous.LinearInterp(Peturbed_QZ,$K207,1,Z$1),ZeroCompFreq,'PDH Calc'!$K207/365)</f>
        <v>1</v>
      </c>
      <c r="AA207" s="8">
        <f ca="1">_xll.HLV5r3.Analytics.Miscellaneous.Zero2DF(_xll.HLV5r3.Analytics.Miscellaneous.LinearInterp(Peturbed_QZ,$K207,1,AA$1),ZeroCompFreq,'PDH Calc'!$K207/365)</f>
        <v>1</v>
      </c>
      <c r="AB207" s="8">
        <f ca="1">_xll.HLV5r3.Analytics.Miscellaneous.Zero2DF(_xll.HLV5r3.Analytics.Miscellaneous.LinearInterp(Peturbed_QZ,$K207,1,AB$1),ZeroCompFreq,'PDH Calc'!$K207/365)</f>
        <v>1</v>
      </c>
      <c r="AC207" s="8">
        <f ca="1">_xll.HLV5r3.Analytics.Miscellaneous.Zero2DF(_xll.HLV5r3.Analytics.Miscellaneous.LinearInterp(Peturbed_QZ,$K207,1,AC$1),ZeroCompFreq,'PDH Calc'!$K207/365)</f>
        <v>1</v>
      </c>
      <c r="AD207" s="8">
        <f ca="1">_xll.HLV5r3.Analytics.Miscellaneous.Zero2DF(_xll.HLV5r3.Analytics.Miscellaneous.LinearInterp(Peturbed_QZ,$K207,1,AD$1),ZeroCompFreq,'PDH Calc'!$K207/365)</f>
        <v>1</v>
      </c>
      <c r="AE207" s="8">
        <f ca="1">_xll.HLV5r3.Analytics.Miscellaneous.Zero2DF(_xll.HLV5r3.Analytics.Miscellaneous.LinearInterp(Peturbed_QZ,$K207,1,AE$1),ZeroCompFreq,'PDH Calc'!$K207/365)</f>
        <v>1</v>
      </c>
      <c r="AF207" s="8">
        <f ca="1">_xll.HLV5r3.Analytics.Miscellaneous.Zero2DF(_xll.HLV5r3.Analytics.Miscellaneous.LinearInterp(Peturbed_QZ,$K207,1,AF$1),ZeroCompFreq,'PDH Calc'!$K207/365)</f>
        <v>1</v>
      </c>
      <c r="AG207" s="8">
        <f ca="1">_xll.HLV5r3.Analytics.Miscellaneous.Zero2DF(_xll.HLV5r3.Analytics.Miscellaneous.LinearInterp(Peturbed_QZ,$K207,1,AG$1),ZeroCompFreq,'PDH Calc'!$K207/365)</f>
        <v>1</v>
      </c>
      <c r="AH207" s="8">
        <f ca="1">_xll.HLV5r3.Analytics.Miscellaneous.Zero2DF(_xll.HLV5r3.Analytics.Miscellaneous.LinearInterp(Peturbed_QZ,$K207,1,AH$1),ZeroCompFreq,'PDH Calc'!$K207/365)</f>
        <v>1</v>
      </c>
      <c r="AI207" s="8">
        <f ca="1">_xll.HLV5r3.Analytics.Miscellaneous.Zero2DF(_xll.HLV5r3.Analytics.Miscellaneous.LinearInterp(Peturbed_QZ,$K207,1,AI$1),ZeroCompFreq,'PDH Calc'!$K207/365)</f>
        <v>1</v>
      </c>
      <c r="AJ207" s="8">
        <f ca="1">_xll.HLV5r3.Analytics.Miscellaneous.Zero2DF(_xll.HLV5r3.Analytics.Miscellaneous.LinearInterp(Peturbed_QZ,$K207,1,AJ$1),ZeroCompFreq,'PDH Calc'!$K207/365)</f>
        <v>1</v>
      </c>
      <c r="AK207" s="8">
        <f ca="1">_xll.HLV5r3.Analytics.Miscellaneous.Zero2DF(_xll.HLV5r3.Analytics.Miscellaneous.LinearInterp(Peturbed_QZ,$K207,1,AK$1),ZeroCompFreq,'PDH Calc'!$K207/365)</f>
        <v>1</v>
      </c>
    </row>
    <row r="208" spans="1:37">
      <c r="A208" s="4"/>
      <c r="B208" s="6"/>
      <c r="F208" s="11"/>
      <c r="G208" s="6"/>
      <c r="H208" s="20"/>
      <c r="I208" s="21"/>
      <c r="J208" s="26"/>
      <c r="K208" s="6">
        <f t="shared" ca="1" si="9"/>
        <v>0</v>
      </c>
      <c r="L208" s="8">
        <f ca="1">_xll.HLV5r3.Analytics.Miscellaneous.Zero2DF(_xll.HLV5r3.Analytics.Miscellaneous.LinearInterp(Peturbed_QZ,$K208,1,L$1),ZeroCompFreq,'PDH Calc'!$K208/365)</f>
        <v>1</v>
      </c>
      <c r="M208" s="8">
        <f ca="1">_xll.HLV5r3.Analytics.Miscellaneous.Zero2DF(_xll.HLV5r3.Analytics.Miscellaneous.LinearInterp(Peturbed_QZ,$K208,1,M$1),ZeroCompFreq,'PDH Calc'!$K208/365)</f>
        <v>1</v>
      </c>
      <c r="N208" s="8">
        <f ca="1">_xll.HLV5r3.Analytics.Miscellaneous.Zero2DF(_xll.HLV5r3.Analytics.Miscellaneous.LinearInterp(Peturbed_QZ,$K208,1,N$1),ZeroCompFreq,'PDH Calc'!$K208/365)</f>
        <v>1</v>
      </c>
      <c r="O208" s="8">
        <f ca="1">_xll.HLV5r3.Analytics.Miscellaneous.Zero2DF(_xll.HLV5r3.Analytics.Miscellaneous.LinearInterp(Peturbed_QZ,$K208,1,O$1),ZeroCompFreq,'PDH Calc'!$K208/365)</f>
        <v>1</v>
      </c>
      <c r="P208" s="8">
        <f ca="1">_xll.HLV5r3.Analytics.Miscellaneous.Zero2DF(_xll.HLV5r3.Analytics.Miscellaneous.LinearInterp(Peturbed_QZ,$K208,1,P$1),ZeroCompFreq,'PDH Calc'!$K208/365)</f>
        <v>1</v>
      </c>
      <c r="Q208" s="8">
        <f ca="1">_xll.HLV5r3.Analytics.Miscellaneous.Zero2DF(_xll.HLV5r3.Analytics.Miscellaneous.LinearInterp(Peturbed_QZ,$K208,1,Q$1),ZeroCompFreq,'PDH Calc'!$K208/365)</f>
        <v>1</v>
      </c>
      <c r="R208" s="8">
        <f ca="1">_xll.HLV5r3.Analytics.Miscellaneous.Zero2DF(_xll.HLV5r3.Analytics.Miscellaneous.LinearInterp(Peturbed_QZ,$K208,1,R$1),ZeroCompFreq,'PDH Calc'!$K208/365)</f>
        <v>1</v>
      </c>
      <c r="S208" s="8">
        <f ca="1">_xll.HLV5r3.Analytics.Miscellaneous.Zero2DF(_xll.HLV5r3.Analytics.Miscellaneous.LinearInterp(Peturbed_QZ,$K208,1,S$1),ZeroCompFreq,'PDH Calc'!$K208/365)</f>
        <v>1</v>
      </c>
      <c r="T208" s="8">
        <f ca="1">_xll.HLV5r3.Analytics.Miscellaneous.Zero2DF(_xll.HLV5r3.Analytics.Miscellaneous.LinearInterp(Peturbed_QZ,$K208,1,T$1),ZeroCompFreq,'PDH Calc'!$K208/365)</f>
        <v>1</v>
      </c>
      <c r="U208" s="8">
        <f ca="1">_xll.HLV5r3.Analytics.Miscellaneous.Zero2DF(_xll.HLV5r3.Analytics.Miscellaneous.LinearInterp(Peturbed_QZ,$K208,1,U$1),ZeroCompFreq,'PDH Calc'!$K208/365)</f>
        <v>1</v>
      </c>
      <c r="V208" s="8">
        <f ca="1">_xll.HLV5r3.Analytics.Miscellaneous.Zero2DF(_xll.HLV5r3.Analytics.Miscellaneous.LinearInterp(Peturbed_QZ,$K208,1,V$1),ZeroCompFreq,'PDH Calc'!$K208/365)</f>
        <v>1</v>
      </c>
      <c r="W208" s="8">
        <f ca="1">_xll.HLV5r3.Analytics.Miscellaneous.Zero2DF(_xll.HLV5r3.Analytics.Miscellaneous.LinearInterp(Peturbed_QZ,$K208,1,W$1),ZeroCompFreq,'PDH Calc'!$K208/365)</f>
        <v>1</v>
      </c>
      <c r="X208" s="8">
        <f ca="1">_xll.HLV5r3.Analytics.Miscellaneous.Zero2DF(_xll.HLV5r3.Analytics.Miscellaneous.LinearInterp(Peturbed_QZ,$K208,1,X$1),ZeroCompFreq,'PDH Calc'!$K208/365)</f>
        <v>1</v>
      </c>
      <c r="Y208" s="8">
        <f ca="1">_xll.HLV5r3.Analytics.Miscellaneous.Zero2DF(_xll.HLV5r3.Analytics.Miscellaneous.LinearInterp(Peturbed_QZ,$K208,1,Y$1),ZeroCompFreq,'PDH Calc'!$K208/365)</f>
        <v>1</v>
      </c>
      <c r="Z208" s="8">
        <f ca="1">_xll.HLV5r3.Analytics.Miscellaneous.Zero2DF(_xll.HLV5r3.Analytics.Miscellaneous.LinearInterp(Peturbed_QZ,$K208,1,Z$1),ZeroCompFreq,'PDH Calc'!$K208/365)</f>
        <v>1</v>
      </c>
      <c r="AA208" s="8">
        <f ca="1">_xll.HLV5r3.Analytics.Miscellaneous.Zero2DF(_xll.HLV5r3.Analytics.Miscellaneous.LinearInterp(Peturbed_QZ,$K208,1,AA$1),ZeroCompFreq,'PDH Calc'!$K208/365)</f>
        <v>1</v>
      </c>
      <c r="AB208" s="8">
        <f ca="1">_xll.HLV5r3.Analytics.Miscellaneous.Zero2DF(_xll.HLV5r3.Analytics.Miscellaneous.LinearInterp(Peturbed_QZ,$K208,1,AB$1),ZeroCompFreq,'PDH Calc'!$K208/365)</f>
        <v>1</v>
      </c>
      <c r="AC208" s="8">
        <f ca="1">_xll.HLV5r3.Analytics.Miscellaneous.Zero2DF(_xll.HLV5r3.Analytics.Miscellaneous.LinearInterp(Peturbed_QZ,$K208,1,AC$1),ZeroCompFreq,'PDH Calc'!$K208/365)</f>
        <v>1</v>
      </c>
      <c r="AD208" s="8">
        <f ca="1">_xll.HLV5r3.Analytics.Miscellaneous.Zero2DF(_xll.HLV5r3.Analytics.Miscellaneous.LinearInterp(Peturbed_QZ,$K208,1,AD$1),ZeroCompFreq,'PDH Calc'!$K208/365)</f>
        <v>1</v>
      </c>
      <c r="AE208" s="8">
        <f ca="1">_xll.HLV5r3.Analytics.Miscellaneous.Zero2DF(_xll.HLV5r3.Analytics.Miscellaneous.LinearInterp(Peturbed_QZ,$K208,1,AE$1),ZeroCompFreq,'PDH Calc'!$K208/365)</f>
        <v>1</v>
      </c>
      <c r="AF208" s="8">
        <f ca="1">_xll.HLV5r3.Analytics.Miscellaneous.Zero2DF(_xll.HLV5r3.Analytics.Miscellaneous.LinearInterp(Peturbed_QZ,$K208,1,AF$1),ZeroCompFreq,'PDH Calc'!$K208/365)</f>
        <v>1</v>
      </c>
      <c r="AG208" s="8">
        <f ca="1">_xll.HLV5r3.Analytics.Miscellaneous.Zero2DF(_xll.HLV5r3.Analytics.Miscellaneous.LinearInterp(Peturbed_QZ,$K208,1,AG$1),ZeroCompFreq,'PDH Calc'!$K208/365)</f>
        <v>1</v>
      </c>
      <c r="AH208" s="8">
        <f ca="1">_xll.HLV5r3.Analytics.Miscellaneous.Zero2DF(_xll.HLV5r3.Analytics.Miscellaneous.LinearInterp(Peturbed_QZ,$K208,1,AH$1),ZeroCompFreq,'PDH Calc'!$K208/365)</f>
        <v>1</v>
      </c>
      <c r="AI208" s="8">
        <f ca="1">_xll.HLV5r3.Analytics.Miscellaneous.Zero2DF(_xll.HLV5r3.Analytics.Miscellaneous.LinearInterp(Peturbed_QZ,$K208,1,AI$1),ZeroCompFreq,'PDH Calc'!$K208/365)</f>
        <v>1</v>
      </c>
      <c r="AJ208" s="8">
        <f ca="1">_xll.HLV5r3.Analytics.Miscellaneous.Zero2DF(_xll.HLV5r3.Analytics.Miscellaneous.LinearInterp(Peturbed_QZ,$K208,1,AJ$1),ZeroCompFreq,'PDH Calc'!$K208/365)</f>
        <v>1</v>
      </c>
      <c r="AK208" s="8">
        <f ca="1">_xll.HLV5r3.Analytics.Miscellaneous.Zero2DF(_xll.HLV5r3.Analytics.Miscellaneous.LinearInterp(Peturbed_QZ,$K208,1,AK$1),ZeroCompFreq,'PDH Calc'!$K208/365)</f>
        <v>1</v>
      </c>
    </row>
    <row r="209" spans="1:37">
      <c r="A209" s="4"/>
      <c r="B209" s="6"/>
      <c r="F209" s="11"/>
      <c r="G209" s="6"/>
      <c r="H209" s="20"/>
      <c r="I209" s="21"/>
      <c r="J209" s="26"/>
      <c r="K209" s="6">
        <f t="shared" ca="1" si="9"/>
        <v>0</v>
      </c>
      <c r="L209" s="8">
        <f ca="1">_xll.HLV5r3.Analytics.Miscellaneous.Zero2DF(_xll.HLV5r3.Analytics.Miscellaneous.LinearInterp(Peturbed_QZ,$K209,1,L$1),ZeroCompFreq,'PDH Calc'!$K209/365)</f>
        <v>1</v>
      </c>
      <c r="M209" s="8">
        <f ca="1">_xll.HLV5r3.Analytics.Miscellaneous.Zero2DF(_xll.HLV5r3.Analytics.Miscellaneous.LinearInterp(Peturbed_QZ,$K209,1,M$1),ZeroCompFreq,'PDH Calc'!$K209/365)</f>
        <v>1</v>
      </c>
      <c r="N209" s="8">
        <f ca="1">_xll.HLV5r3.Analytics.Miscellaneous.Zero2DF(_xll.HLV5r3.Analytics.Miscellaneous.LinearInterp(Peturbed_QZ,$K209,1,N$1),ZeroCompFreq,'PDH Calc'!$K209/365)</f>
        <v>1</v>
      </c>
      <c r="O209" s="8">
        <f ca="1">_xll.HLV5r3.Analytics.Miscellaneous.Zero2DF(_xll.HLV5r3.Analytics.Miscellaneous.LinearInterp(Peturbed_QZ,$K209,1,O$1),ZeroCompFreq,'PDH Calc'!$K209/365)</f>
        <v>1</v>
      </c>
      <c r="P209" s="8">
        <f ca="1">_xll.HLV5r3.Analytics.Miscellaneous.Zero2DF(_xll.HLV5r3.Analytics.Miscellaneous.LinearInterp(Peturbed_QZ,$K209,1,P$1),ZeroCompFreq,'PDH Calc'!$K209/365)</f>
        <v>1</v>
      </c>
      <c r="Q209" s="8">
        <f ca="1">_xll.HLV5r3.Analytics.Miscellaneous.Zero2DF(_xll.HLV5r3.Analytics.Miscellaneous.LinearInterp(Peturbed_QZ,$K209,1,Q$1),ZeroCompFreq,'PDH Calc'!$K209/365)</f>
        <v>1</v>
      </c>
      <c r="R209" s="8">
        <f ca="1">_xll.HLV5r3.Analytics.Miscellaneous.Zero2DF(_xll.HLV5r3.Analytics.Miscellaneous.LinearInterp(Peturbed_QZ,$K209,1,R$1),ZeroCompFreq,'PDH Calc'!$K209/365)</f>
        <v>1</v>
      </c>
      <c r="S209" s="8">
        <f ca="1">_xll.HLV5r3.Analytics.Miscellaneous.Zero2DF(_xll.HLV5r3.Analytics.Miscellaneous.LinearInterp(Peturbed_QZ,$K209,1,S$1),ZeroCompFreq,'PDH Calc'!$K209/365)</f>
        <v>1</v>
      </c>
      <c r="T209" s="8">
        <f ca="1">_xll.HLV5r3.Analytics.Miscellaneous.Zero2DF(_xll.HLV5r3.Analytics.Miscellaneous.LinearInterp(Peturbed_QZ,$K209,1,T$1),ZeroCompFreq,'PDH Calc'!$K209/365)</f>
        <v>1</v>
      </c>
      <c r="U209" s="8">
        <f ca="1">_xll.HLV5r3.Analytics.Miscellaneous.Zero2DF(_xll.HLV5r3.Analytics.Miscellaneous.LinearInterp(Peturbed_QZ,$K209,1,U$1),ZeroCompFreq,'PDH Calc'!$K209/365)</f>
        <v>1</v>
      </c>
      <c r="V209" s="8">
        <f ca="1">_xll.HLV5r3.Analytics.Miscellaneous.Zero2DF(_xll.HLV5r3.Analytics.Miscellaneous.LinearInterp(Peturbed_QZ,$K209,1,V$1),ZeroCompFreq,'PDH Calc'!$K209/365)</f>
        <v>1</v>
      </c>
      <c r="W209" s="8">
        <f ca="1">_xll.HLV5r3.Analytics.Miscellaneous.Zero2DF(_xll.HLV5r3.Analytics.Miscellaneous.LinearInterp(Peturbed_QZ,$K209,1,W$1),ZeroCompFreq,'PDH Calc'!$K209/365)</f>
        <v>1</v>
      </c>
      <c r="X209" s="8">
        <f ca="1">_xll.HLV5r3.Analytics.Miscellaneous.Zero2DF(_xll.HLV5r3.Analytics.Miscellaneous.LinearInterp(Peturbed_QZ,$K209,1,X$1),ZeroCompFreq,'PDH Calc'!$K209/365)</f>
        <v>1</v>
      </c>
      <c r="Y209" s="8">
        <f ca="1">_xll.HLV5r3.Analytics.Miscellaneous.Zero2DF(_xll.HLV5r3.Analytics.Miscellaneous.LinearInterp(Peturbed_QZ,$K209,1,Y$1),ZeroCompFreq,'PDH Calc'!$K209/365)</f>
        <v>1</v>
      </c>
      <c r="Z209" s="8">
        <f ca="1">_xll.HLV5r3.Analytics.Miscellaneous.Zero2DF(_xll.HLV5r3.Analytics.Miscellaneous.LinearInterp(Peturbed_QZ,$K209,1,Z$1),ZeroCompFreq,'PDH Calc'!$K209/365)</f>
        <v>1</v>
      </c>
      <c r="AA209" s="8">
        <f ca="1">_xll.HLV5r3.Analytics.Miscellaneous.Zero2DF(_xll.HLV5r3.Analytics.Miscellaneous.LinearInterp(Peturbed_QZ,$K209,1,AA$1),ZeroCompFreq,'PDH Calc'!$K209/365)</f>
        <v>1</v>
      </c>
      <c r="AB209" s="8">
        <f ca="1">_xll.HLV5r3.Analytics.Miscellaneous.Zero2DF(_xll.HLV5r3.Analytics.Miscellaneous.LinearInterp(Peturbed_QZ,$K209,1,AB$1),ZeroCompFreq,'PDH Calc'!$K209/365)</f>
        <v>1</v>
      </c>
      <c r="AC209" s="8">
        <f ca="1">_xll.HLV5r3.Analytics.Miscellaneous.Zero2DF(_xll.HLV5r3.Analytics.Miscellaneous.LinearInterp(Peturbed_QZ,$K209,1,AC$1),ZeroCompFreq,'PDH Calc'!$K209/365)</f>
        <v>1</v>
      </c>
      <c r="AD209" s="8">
        <f ca="1">_xll.HLV5r3.Analytics.Miscellaneous.Zero2DF(_xll.HLV5r3.Analytics.Miscellaneous.LinearInterp(Peturbed_QZ,$K209,1,AD$1),ZeroCompFreq,'PDH Calc'!$K209/365)</f>
        <v>1</v>
      </c>
      <c r="AE209" s="8">
        <f ca="1">_xll.HLV5r3.Analytics.Miscellaneous.Zero2DF(_xll.HLV5r3.Analytics.Miscellaneous.LinearInterp(Peturbed_QZ,$K209,1,AE$1),ZeroCompFreq,'PDH Calc'!$K209/365)</f>
        <v>1</v>
      </c>
      <c r="AF209" s="8">
        <f ca="1">_xll.HLV5r3.Analytics.Miscellaneous.Zero2DF(_xll.HLV5r3.Analytics.Miscellaneous.LinearInterp(Peturbed_QZ,$K209,1,AF$1),ZeroCompFreq,'PDH Calc'!$K209/365)</f>
        <v>1</v>
      </c>
      <c r="AG209" s="8">
        <f ca="1">_xll.HLV5r3.Analytics.Miscellaneous.Zero2DF(_xll.HLV5r3.Analytics.Miscellaneous.LinearInterp(Peturbed_QZ,$K209,1,AG$1),ZeroCompFreq,'PDH Calc'!$K209/365)</f>
        <v>1</v>
      </c>
      <c r="AH209" s="8">
        <f ca="1">_xll.HLV5r3.Analytics.Miscellaneous.Zero2DF(_xll.HLV5r3.Analytics.Miscellaneous.LinearInterp(Peturbed_QZ,$K209,1,AH$1),ZeroCompFreq,'PDH Calc'!$K209/365)</f>
        <v>1</v>
      </c>
      <c r="AI209" s="8">
        <f ca="1">_xll.HLV5r3.Analytics.Miscellaneous.Zero2DF(_xll.HLV5r3.Analytics.Miscellaneous.LinearInterp(Peturbed_QZ,$K209,1,AI$1),ZeroCompFreq,'PDH Calc'!$K209/365)</f>
        <v>1</v>
      </c>
      <c r="AJ209" s="8">
        <f ca="1">_xll.HLV5r3.Analytics.Miscellaneous.Zero2DF(_xll.HLV5r3.Analytics.Miscellaneous.LinearInterp(Peturbed_QZ,$K209,1,AJ$1),ZeroCompFreq,'PDH Calc'!$K209/365)</f>
        <v>1</v>
      </c>
      <c r="AK209" s="8">
        <f ca="1">_xll.HLV5r3.Analytics.Miscellaneous.Zero2DF(_xll.HLV5r3.Analytics.Miscellaneous.LinearInterp(Peturbed_QZ,$K209,1,AK$1),ZeroCompFreq,'PDH Calc'!$K209/365)</f>
        <v>1</v>
      </c>
    </row>
    <row r="210" spans="1:37">
      <c r="A210" s="4"/>
      <c r="B210" s="6"/>
      <c r="F210" s="11"/>
      <c r="G210" s="6"/>
      <c r="H210" s="20"/>
      <c r="I210" s="21"/>
      <c r="J210" s="26"/>
      <c r="K210" s="6">
        <f t="shared" ca="1" si="9"/>
        <v>0</v>
      </c>
      <c r="L210" s="8">
        <f ca="1">_xll.HLV5r3.Analytics.Miscellaneous.Zero2DF(_xll.HLV5r3.Analytics.Miscellaneous.LinearInterp(Peturbed_QZ,$K210,1,L$1),ZeroCompFreq,'PDH Calc'!$K210/365)</f>
        <v>1</v>
      </c>
      <c r="M210" s="8">
        <f ca="1">_xll.HLV5r3.Analytics.Miscellaneous.Zero2DF(_xll.HLV5r3.Analytics.Miscellaneous.LinearInterp(Peturbed_QZ,$K210,1,M$1),ZeroCompFreq,'PDH Calc'!$K210/365)</f>
        <v>1</v>
      </c>
      <c r="N210" s="8">
        <f ca="1">_xll.HLV5r3.Analytics.Miscellaneous.Zero2DF(_xll.HLV5r3.Analytics.Miscellaneous.LinearInterp(Peturbed_QZ,$K210,1,N$1),ZeroCompFreq,'PDH Calc'!$K210/365)</f>
        <v>1</v>
      </c>
      <c r="O210" s="8">
        <f ca="1">_xll.HLV5r3.Analytics.Miscellaneous.Zero2DF(_xll.HLV5r3.Analytics.Miscellaneous.LinearInterp(Peturbed_QZ,$K210,1,O$1),ZeroCompFreq,'PDH Calc'!$K210/365)</f>
        <v>1</v>
      </c>
      <c r="P210" s="8">
        <f ca="1">_xll.HLV5r3.Analytics.Miscellaneous.Zero2DF(_xll.HLV5r3.Analytics.Miscellaneous.LinearInterp(Peturbed_QZ,$K210,1,P$1),ZeroCompFreq,'PDH Calc'!$K210/365)</f>
        <v>1</v>
      </c>
      <c r="Q210" s="8">
        <f ca="1">_xll.HLV5r3.Analytics.Miscellaneous.Zero2DF(_xll.HLV5r3.Analytics.Miscellaneous.LinearInterp(Peturbed_QZ,$K210,1,Q$1),ZeroCompFreq,'PDH Calc'!$K210/365)</f>
        <v>1</v>
      </c>
      <c r="R210" s="8">
        <f ca="1">_xll.HLV5r3.Analytics.Miscellaneous.Zero2DF(_xll.HLV5r3.Analytics.Miscellaneous.LinearInterp(Peturbed_QZ,$K210,1,R$1),ZeroCompFreq,'PDH Calc'!$K210/365)</f>
        <v>1</v>
      </c>
      <c r="S210" s="8">
        <f ca="1">_xll.HLV5r3.Analytics.Miscellaneous.Zero2DF(_xll.HLV5r3.Analytics.Miscellaneous.LinearInterp(Peturbed_QZ,$K210,1,S$1),ZeroCompFreq,'PDH Calc'!$K210/365)</f>
        <v>1</v>
      </c>
      <c r="T210" s="8">
        <f ca="1">_xll.HLV5r3.Analytics.Miscellaneous.Zero2DF(_xll.HLV5r3.Analytics.Miscellaneous.LinearInterp(Peturbed_QZ,$K210,1,T$1),ZeroCompFreq,'PDH Calc'!$K210/365)</f>
        <v>1</v>
      </c>
      <c r="U210" s="8">
        <f ca="1">_xll.HLV5r3.Analytics.Miscellaneous.Zero2DF(_xll.HLV5r3.Analytics.Miscellaneous.LinearInterp(Peturbed_QZ,$K210,1,U$1),ZeroCompFreq,'PDH Calc'!$K210/365)</f>
        <v>1</v>
      </c>
      <c r="V210" s="8">
        <f ca="1">_xll.HLV5r3.Analytics.Miscellaneous.Zero2DF(_xll.HLV5r3.Analytics.Miscellaneous.LinearInterp(Peturbed_QZ,$K210,1,V$1),ZeroCompFreq,'PDH Calc'!$K210/365)</f>
        <v>1</v>
      </c>
      <c r="W210" s="8">
        <f ca="1">_xll.HLV5r3.Analytics.Miscellaneous.Zero2DF(_xll.HLV5r3.Analytics.Miscellaneous.LinearInterp(Peturbed_QZ,$K210,1,W$1),ZeroCompFreq,'PDH Calc'!$K210/365)</f>
        <v>1</v>
      </c>
      <c r="X210" s="8">
        <f ca="1">_xll.HLV5r3.Analytics.Miscellaneous.Zero2DF(_xll.HLV5r3.Analytics.Miscellaneous.LinearInterp(Peturbed_QZ,$K210,1,X$1),ZeroCompFreq,'PDH Calc'!$K210/365)</f>
        <v>1</v>
      </c>
      <c r="Y210" s="8">
        <f ca="1">_xll.HLV5r3.Analytics.Miscellaneous.Zero2DF(_xll.HLV5r3.Analytics.Miscellaneous.LinearInterp(Peturbed_QZ,$K210,1,Y$1),ZeroCompFreq,'PDH Calc'!$K210/365)</f>
        <v>1</v>
      </c>
      <c r="Z210" s="8">
        <f ca="1">_xll.HLV5r3.Analytics.Miscellaneous.Zero2DF(_xll.HLV5r3.Analytics.Miscellaneous.LinearInterp(Peturbed_QZ,$K210,1,Z$1),ZeroCompFreq,'PDH Calc'!$K210/365)</f>
        <v>1</v>
      </c>
      <c r="AA210" s="8">
        <f ca="1">_xll.HLV5r3.Analytics.Miscellaneous.Zero2DF(_xll.HLV5r3.Analytics.Miscellaneous.LinearInterp(Peturbed_QZ,$K210,1,AA$1),ZeroCompFreq,'PDH Calc'!$K210/365)</f>
        <v>1</v>
      </c>
      <c r="AB210" s="8">
        <f ca="1">_xll.HLV5r3.Analytics.Miscellaneous.Zero2DF(_xll.HLV5r3.Analytics.Miscellaneous.LinearInterp(Peturbed_QZ,$K210,1,AB$1),ZeroCompFreq,'PDH Calc'!$K210/365)</f>
        <v>1</v>
      </c>
      <c r="AC210" s="8">
        <f ca="1">_xll.HLV5r3.Analytics.Miscellaneous.Zero2DF(_xll.HLV5r3.Analytics.Miscellaneous.LinearInterp(Peturbed_QZ,$K210,1,AC$1),ZeroCompFreq,'PDH Calc'!$K210/365)</f>
        <v>1</v>
      </c>
      <c r="AD210" s="8">
        <f ca="1">_xll.HLV5r3.Analytics.Miscellaneous.Zero2DF(_xll.HLV5r3.Analytics.Miscellaneous.LinearInterp(Peturbed_QZ,$K210,1,AD$1),ZeroCompFreq,'PDH Calc'!$K210/365)</f>
        <v>1</v>
      </c>
      <c r="AE210" s="8">
        <f ca="1">_xll.HLV5r3.Analytics.Miscellaneous.Zero2DF(_xll.HLV5r3.Analytics.Miscellaneous.LinearInterp(Peturbed_QZ,$K210,1,AE$1),ZeroCompFreq,'PDH Calc'!$K210/365)</f>
        <v>1</v>
      </c>
      <c r="AF210" s="8">
        <f ca="1">_xll.HLV5r3.Analytics.Miscellaneous.Zero2DF(_xll.HLV5r3.Analytics.Miscellaneous.LinearInterp(Peturbed_QZ,$K210,1,AF$1),ZeroCompFreq,'PDH Calc'!$K210/365)</f>
        <v>1</v>
      </c>
      <c r="AG210" s="8">
        <f ca="1">_xll.HLV5r3.Analytics.Miscellaneous.Zero2DF(_xll.HLV5r3.Analytics.Miscellaneous.LinearInterp(Peturbed_QZ,$K210,1,AG$1),ZeroCompFreq,'PDH Calc'!$K210/365)</f>
        <v>1</v>
      </c>
      <c r="AH210" s="8">
        <f ca="1">_xll.HLV5r3.Analytics.Miscellaneous.Zero2DF(_xll.HLV5r3.Analytics.Miscellaneous.LinearInterp(Peturbed_QZ,$K210,1,AH$1),ZeroCompFreq,'PDH Calc'!$K210/365)</f>
        <v>1</v>
      </c>
      <c r="AI210" s="8">
        <f ca="1">_xll.HLV5r3.Analytics.Miscellaneous.Zero2DF(_xll.HLV5r3.Analytics.Miscellaneous.LinearInterp(Peturbed_QZ,$K210,1,AI$1),ZeroCompFreq,'PDH Calc'!$K210/365)</f>
        <v>1</v>
      </c>
      <c r="AJ210" s="8">
        <f ca="1">_xll.HLV5r3.Analytics.Miscellaneous.Zero2DF(_xll.HLV5r3.Analytics.Miscellaneous.LinearInterp(Peturbed_QZ,$K210,1,AJ$1),ZeroCompFreq,'PDH Calc'!$K210/365)</f>
        <v>1</v>
      </c>
      <c r="AK210" s="8">
        <f ca="1">_xll.HLV5r3.Analytics.Miscellaneous.Zero2DF(_xll.HLV5r3.Analytics.Miscellaneous.LinearInterp(Peturbed_QZ,$K210,1,AK$1),ZeroCompFreq,'PDH Calc'!$K210/365)</f>
        <v>1</v>
      </c>
    </row>
    <row r="211" spans="1:37">
      <c r="A211" s="4"/>
      <c r="B211" s="6"/>
      <c r="F211" s="11"/>
      <c r="G211" s="6"/>
      <c r="H211" s="20"/>
      <c r="I211" s="21"/>
      <c r="J211" s="26"/>
      <c r="K211" s="6">
        <f t="shared" ca="1" si="9"/>
        <v>0</v>
      </c>
      <c r="L211" s="8">
        <f ca="1">_xll.HLV5r3.Analytics.Miscellaneous.Zero2DF(_xll.HLV5r3.Analytics.Miscellaneous.LinearInterp(Peturbed_QZ,$K211,1,L$1),ZeroCompFreq,'PDH Calc'!$K211/365)</f>
        <v>1</v>
      </c>
      <c r="M211" s="8">
        <f ca="1">_xll.HLV5r3.Analytics.Miscellaneous.Zero2DF(_xll.HLV5r3.Analytics.Miscellaneous.LinearInterp(Peturbed_QZ,$K211,1,M$1),ZeroCompFreq,'PDH Calc'!$K211/365)</f>
        <v>1</v>
      </c>
      <c r="N211" s="8">
        <f ca="1">_xll.HLV5r3.Analytics.Miscellaneous.Zero2DF(_xll.HLV5r3.Analytics.Miscellaneous.LinearInterp(Peturbed_QZ,$K211,1,N$1),ZeroCompFreq,'PDH Calc'!$K211/365)</f>
        <v>1</v>
      </c>
      <c r="O211" s="8">
        <f ca="1">_xll.HLV5r3.Analytics.Miscellaneous.Zero2DF(_xll.HLV5r3.Analytics.Miscellaneous.LinearInterp(Peturbed_QZ,$K211,1,O$1),ZeroCompFreq,'PDH Calc'!$K211/365)</f>
        <v>1</v>
      </c>
      <c r="P211" s="8">
        <f ca="1">_xll.HLV5r3.Analytics.Miscellaneous.Zero2DF(_xll.HLV5r3.Analytics.Miscellaneous.LinearInterp(Peturbed_QZ,$K211,1,P$1),ZeroCompFreq,'PDH Calc'!$K211/365)</f>
        <v>1</v>
      </c>
      <c r="Q211" s="8">
        <f ca="1">_xll.HLV5r3.Analytics.Miscellaneous.Zero2DF(_xll.HLV5r3.Analytics.Miscellaneous.LinearInterp(Peturbed_QZ,$K211,1,Q$1),ZeroCompFreq,'PDH Calc'!$K211/365)</f>
        <v>1</v>
      </c>
      <c r="R211" s="8">
        <f ca="1">_xll.HLV5r3.Analytics.Miscellaneous.Zero2DF(_xll.HLV5r3.Analytics.Miscellaneous.LinearInterp(Peturbed_QZ,$K211,1,R$1),ZeroCompFreq,'PDH Calc'!$K211/365)</f>
        <v>1</v>
      </c>
      <c r="S211" s="8">
        <f ca="1">_xll.HLV5r3.Analytics.Miscellaneous.Zero2DF(_xll.HLV5r3.Analytics.Miscellaneous.LinearInterp(Peturbed_QZ,$K211,1,S$1),ZeroCompFreq,'PDH Calc'!$K211/365)</f>
        <v>1</v>
      </c>
      <c r="T211" s="8">
        <f ca="1">_xll.HLV5r3.Analytics.Miscellaneous.Zero2DF(_xll.HLV5r3.Analytics.Miscellaneous.LinearInterp(Peturbed_QZ,$K211,1,T$1),ZeroCompFreq,'PDH Calc'!$K211/365)</f>
        <v>1</v>
      </c>
      <c r="U211" s="8">
        <f ca="1">_xll.HLV5r3.Analytics.Miscellaneous.Zero2DF(_xll.HLV5r3.Analytics.Miscellaneous.LinearInterp(Peturbed_QZ,$K211,1,U$1),ZeroCompFreq,'PDH Calc'!$K211/365)</f>
        <v>1</v>
      </c>
      <c r="V211" s="8">
        <f ca="1">_xll.HLV5r3.Analytics.Miscellaneous.Zero2DF(_xll.HLV5r3.Analytics.Miscellaneous.LinearInterp(Peturbed_QZ,$K211,1,V$1),ZeroCompFreq,'PDH Calc'!$K211/365)</f>
        <v>1</v>
      </c>
      <c r="W211" s="8">
        <f ca="1">_xll.HLV5r3.Analytics.Miscellaneous.Zero2DF(_xll.HLV5r3.Analytics.Miscellaneous.LinearInterp(Peturbed_QZ,$K211,1,W$1),ZeroCompFreq,'PDH Calc'!$K211/365)</f>
        <v>1</v>
      </c>
      <c r="X211" s="8">
        <f ca="1">_xll.HLV5r3.Analytics.Miscellaneous.Zero2DF(_xll.HLV5r3.Analytics.Miscellaneous.LinearInterp(Peturbed_QZ,$K211,1,X$1),ZeroCompFreq,'PDH Calc'!$K211/365)</f>
        <v>1</v>
      </c>
      <c r="Y211" s="8">
        <f ca="1">_xll.HLV5r3.Analytics.Miscellaneous.Zero2DF(_xll.HLV5r3.Analytics.Miscellaneous.LinearInterp(Peturbed_QZ,$K211,1,Y$1),ZeroCompFreq,'PDH Calc'!$K211/365)</f>
        <v>1</v>
      </c>
      <c r="Z211" s="8">
        <f ca="1">_xll.HLV5r3.Analytics.Miscellaneous.Zero2DF(_xll.HLV5r3.Analytics.Miscellaneous.LinearInterp(Peturbed_QZ,$K211,1,Z$1),ZeroCompFreq,'PDH Calc'!$K211/365)</f>
        <v>1</v>
      </c>
      <c r="AA211" s="8">
        <f ca="1">_xll.HLV5r3.Analytics.Miscellaneous.Zero2DF(_xll.HLV5r3.Analytics.Miscellaneous.LinearInterp(Peturbed_QZ,$K211,1,AA$1),ZeroCompFreq,'PDH Calc'!$K211/365)</f>
        <v>1</v>
      </c>
      <c r="AB211" s="8">
        <f ca="1">_xll.HLV5r3.Analytics.Miscellaneous.Zero2DF(_xll.HLV5r3.Analytics.Miscellaneous.LinearInterp(Peturbed_QZ,$K211,1,AB$1),ZeroCompFreq,'PDH Calc'!$K211/365)</f>
        <v>1</v>
      </c>
      <c r="AC211" s="8">
        <f ca="1">_xll.HLV5r3.Analytics.Miscellaneous.Zero2DF(_xll.HLV5r3.Analytics.Miscellaneous.LinearInterp(Peturbed_QZ,$K211,1,AC$1),ZeroCompFreq,'PDH Calc'!$K211/365)</f>
        <v>1</v>
      </c>
      <c r="AD211" s="8">
        <f ca="1">_xll.HLV5r3.Analytics.Miscellaneous.Zero2DF(_xll.HLV5r3.Analytics.Miscellaneous.LinearInterp(Peturbed_QZ,$K211,1,AD$1),ZeroCompFreq,'PDH Calc'!$K211/365)</f>
        <v>1</v>
      </c>
      <c r="AE211" s="8">
        <f ca="1">_xll.HLV5r3.Analytics.Miscellaneous.Zero2DF(_xll.HLV5r3.Analytics.Miscellaneous.LinearInterp(Peturbed_QZ,$K211,1,AE$1),ZeroCompFreq,'PDH Calc'!$K211/365)</f>
        <v>1</v>
      </c>
      <c r="AF211" s="8">
        <f ca="1">_xll.HLV5r3.Analytics.Miscellaneous.Zero2DF(_xll.HLV5r3.Analytics.Miscellaneous.LinearInterp(Peturbed_QZ,$K211,1,AF$1),ZeroCompFreq,'PDH Calc'!$K211/365)</f>
        <v>1</v>
      </c>
      <c r="AG211" s="8">
        <f ca="1">_xll.HLV5r3.Analytics.Miscellaneous.Zero2DF(_xll.HLV5r3.Analytics.Miscellaneous.LinearInterp(Peturbed_QZ,$K211,1,AG$1),ZeroCompFreq,'PDH Calc'!$K211/365)</f>
        <v>1</v>
      </c>
      <c r="AH211" s="8">
        <f ca="1">_xll.HLV5r3.Analytics.Miscellaneous.Zero2DF(_xll.HLV5r3.Analytics.Miscellaneous.LinearInterp(Peturbed_QZ,$K211,1,AH$1),ZeroCompFreq,'PDH Calc'!$K211/365)</f>
        <v>1</v>
      </c>
      <c r="AI211" s="8">
        <f ca="1">_xll.HLV5r3.Analytics.Miscellaneous.Zero2DF(_xll.HLV5r3.Analytics.Miscellaneous.LinearInterp(Peturbed_QZ,$K211,1,AI$1),ZeroCompFreq,'PDH Calc'!$K211/365)</f>
        <v>1</v>
      </c>
      <c r="AJ211" s="8">
        <f ca="1">_xll.HLV5r3.Analytics.Miscellaneous.Zero2DF(_xll.HLV5r3.Analytics.Miscellaneous.LinearInterp(Peturbed_QZ,$K211,1,AJ$1),ZeroCompFreq,'PDH Calc'!$K211/365)</f>
        <v>1</v>
      </c>
      <c r="AK211" s="8">
        <f ca="1">_xll.HLV5r3.Analytics.Miscellaneous.Zero2DF(_xll.HLV5r3.Analytics.Miscellaneous.LinearInterp(Peturbed_QZ,$K211,1,AK$1),ZeroCompFreq,'PDH Calc'!$K211/365)</f>
        <v>1</v>
      </c>
    </row>
    <row r="212" spans="1:37">
      <c r="A212" s="4"/>
      <c r="B212" s="6"/>
      <c r="F212" s="11"/>
      <c r="G212" s="6"/>
      <c r="H212" s="20"/>
      <c r="I212" s="21"/>
      <c r="J212" s="26"/>
      <c r="K212" s="6">
        <f t="shared" ca="1" si="9"/>
        <v>0</v>
      </c>
      <c r="L212" s="8">
        <f ca="1">_xll.HLV5r3.Analytics.Miscellaneous.Zero2DF(_xll.HLV5r3.Analytics.Miscellaneous.LinearInterp(Peturbed_QZ,$K212,1,L$1),ZeroCompFreq,'PDH Calc'!$K212/365)</f>
        <v>1</v>
      </c>
      <c r="M212" s="8">
        <f ca="1">_xll.HLV5r3.Analytics.Miscellaneous.Zero2DF(_xll.HLV5r3.Analytics.Miscellaneous.LinearInterp(Peturbed_QZ,$K212,1,M$1),ZeroCompFreq,'PDH Calc'!$K212/365)</f>
        <v>1</v>
      </c>
      <c r="N212" s="8">
        <f ca="1">_xll.HLV5r3.Analytics.Miscellaneous.Zero2DF(_xll.HLV5r3.Analytics.Miscellaneous.LinearInterp(Peturbed_QZ,$K212,1,N$1),ZeroCompFreq,'PDH Calc'!$K212/365)</f>
        <v>1</v>
      </c>
      <c r="O212" s="8">
        <f ca="1">_xll.HLV5r3.Analytics.Miscellaneous.Zero2DF(_xll.HLV5r3.Analytics.Miscellaneous.LinearInterp(Peturbed_QZ,$K212,1,O$1),ZeroCompFreq,'PDH Calc'!$K212/365)</f>
        <v>1</v>
      </c>
      <c r="P212" s="8">
        <f ca="1">_xll.HLV5r3.Analytics.Miscellaneous.Zero2DF(_xll.HLV5r3.Analytics.Miscellaneous.LinearInterp(Peturbed_QZ,$K212,1,P$1),ZeroCompFreq,'PDH Calc'!$K212/365)</f>
        <v>1</v>
      </c>
      <c r="Q212" s="8">
        <f ca="1">_xll.HLV5r3.Analytics.Miscellaneous.Zero2DF(_xll.HLV5r3.Analytics.Miscellaneous.LinearInterp(Peturbed_QZ,$K212,1,Q$1),ZeroCompFreq,'PDH Calc'!$K212/365)</f>
        <v>1</v>
      </c>
      <c r="R212" s="8">
        <f ca="1">_xll.HLV5r3.Analytics.Miscellaneous.Zero2DF(_xll.HLV5r3.Analytics.Miscellaneous.LinearInterp(Peturbed_QZ,$K212,1,R$1),ZeroCompFreq,'PDH Calc'!$K212/365)</f>
        <v>1</v>
      </c>
      <c r="S212" s="8">
        <f ca="1">_xll.HLV5r3.Analytics.Miscellaneous.Zero2DF(_xll.HLV5r3.Analytics.Miscellaneous.LinearInterp(Peturbed_QZ,$K212,1,S$1),ZeroCompFreq,'PDH Calc'!$K212/365)</f>
        <v>1</v>
      </c>
      <c r="T212" s="8">
        <f ca="1">_xll.HLV5r3.Analytics.Miscellaneous.Zero2DF(_xll.HLV5r3.Analytics.Miscellaneous.LinearInterp(Peturbed_QZ,$K212,1,T$1),ZeroCompFreq,'PDH Calc'!$K212/365)</f>
        <v>1</v>
      </c>
      <c r="U212" s="8">
        <f ca="1">_xll.HLV5r3.Analytics.Miscellaneous.Zero2DF(_xll.HLV5r3.Analytics.Miscellaneous.LinearInterp(Peturbed_QZ,$K212,1,U$1),ZeroCompFreq,'PDH Calc'!$K212/365)</f>
        <v>1</v>
      </c>
      <c r="V212" s="8">
        <f ca="1">_xll.HLV5r3.Analytics.Miscellaneous.Zero2DF(_xll.HLV5r3.Analytics.Miscellaneous.LinearInterp(Peturbed_QZ,$K212,1,V$1),ZeroCompFreq,'PDH Calc'!$K212/365)</f>
        <v>1</v>
      </c>
      <c r="W212" s="8">
        <f ca="1">_xll.HLV5r3.Analytics.Miscellaneous.Zero2DF(_xll.HLV5r3.Analytics.Miscellaneous.LinearInterp(Peturbed_QZ,$K212,1,W$1),ZeroCompFreq,'PDH Calc'!$K212/365)</f>
        <v>1</v>
      </c>
      <c r="X212" s="8">
        <f ca="1">_xll.HLV5r3.Analytics.Miscellaneous.Zero2DF(_xll.HLV5r3.Analytics.Miscellaneous.LinearInterp(Peturbed_QZ,$K212,1,X$1),ZeroCompFreq,'PDH Calc'!$K212/365)</f>
        <v>1</v>
      </c>
      <c r="Y212" s="8">
        <f ca="1">_xll.HLV5r3.Analytics.Miscellaneous.Zero2DF(_xll.HLV5r3.Analytics.Miscellaneous.LinearInterp(Peturbed_QZ,$K212,1,Y$1),ZeroCompFreq,'PDH Calc'!$K212/365)</f>
        <v>1</v>
      </c>
      <c r="Z212" s="8">
        <f ca="1">_xll.HLV5r3.Analytics.Miscellaneous.Zero2DF(_xll.HLV5r3.Analytics.Miscellaneous.LinearInterp(Peturbed_QZ,$K212,1,Z$1),ZeroCompFreq,'PDH Calc'!$K212/365)</f>
        <v>1</v>
      </c>
      <c r="AA212" s="8">
        <f ca="1">_xll.HLV5r3.Analytics.Miscellaneous.Zero2DF(_xll.HLV5r3.Analytics.Miscellaneous.LinearInterp(Peturbed_QZ,$K212,1,AA$1),ZeroCompFreq,'PDH Calc'!$K212/365)</f>
        <v>1</v>
      </c>
      <c r="AB212" s="8">
        <f ca="1">_xll.HLV5r3.Analytics.Miscellaneous.Zero2DF(_xll.HLV5r3.Analytics.Miscellaneous.LinearInterp(Peturbed_QZ,$K212,1,AB$1),ZeroCompFreq,'PDH Calc'!$K212/365)</f>
        <v>1</v>
      </c>
      <c r="AC212" s="8">
        <f ca="1">_xll.HLV5r3.Analytics.Miscellaneous.Zero2DF(_xll.HLV5r3.Analytics.Miscellaneous.LinearInterp(Peturbed_QZ,$K212,1,AC$1),ZeroCompFreq,'PDH Calc'!$K212/365)</f>
        <v>1</v>
      </c>
      <c r="AD212" s="8">
        <f ca="1">_xll.HLV5r3.Analytics.Miscellaneous.Zero2DF(_xll.HLV5r3.Analytics.Miscellaneous.LinearInterp(Peturbed_QZ,$K212,1,AD$1),ZeroCompFreq,'PDH Calc'!$K212/365)</f>
        <v>1</v>
      </c>
      <c r="AE212" s="8">
        <f ca="1">_xll.HLV5r3.Analytics.Miscellaneous.Zero2DF(_xll.HLV5r3.Analytics.Miscellaneous.LinearInterp(Peturbed_QZ,$K212,1,AE$1),ZeroCompFreq,'PDH Calc'!$K212/365)</f>
        <v>1</v>
      </c>
      <c r="AF212" s="8">
        <f ca="1">_xll.HLV5r3.Analytics.Miscellaneous.Zero2DF(_xll.HLV5r3.Analytics.Miscellaneous.LinearInterp(Peturbed_QZ,$K212,1,AF$1),ZeroCompFreq,'PDH Calc'!$K212/365)</f>
        <v>1</v>
      </c>
      <c r="AG212" s="8">
        <f ca="1">_xll.HLV5r3.Analytics.Miscellaneous.Zero2DF(_xll.HLV5r3.Analytics.Miscellaneous.LinearInterp(Peturbed_QZ,$K212,1,AG$1),ZeroCompFreq,'PDH Calc'!$K212/365)</f>
        <v>1</v>
      </c>
      <c r="AH212" s="8">
        <f ca="1">_xll.HLV5r3.Analytics.Miscellaneous.Zero2DF(_xll.HLV5r3.Analytics.Miscellaneous.LinearInterp(Peturbed_QZ,$K212,1,AH$1),ZeroCompFreq,'PDH Calc'!$K212/365)</f>
        <v>1</v>
      </c>
      <c r="AI212" s="8">
        <f ca="1">_xll.HLV5r3.Analytics.Miscellaneous.Zero2DF(_xll.HLV5r3.Analytics.Miscellaneous.LinearInterp(Peturbed_QZ,$K212,1,AI$1),ZeroCompFreq,'PDH Calc'!$K212/365)</f>
        <v>1</v>
      </c>
      <c r="AJ212" s="8">
        <f ca="1">_xll.HLV5r3.Analytics.Miscellaneous.Zero2DF(_xll.HLV5r3.Analytics.Miscellaneous.LinearInterp(Peturbed_QZ,$K212,1,AJ$1),ZeroCompFreq,'PDH Calc'!$K212/365)</f>
        <v>1</v>
      </c>
      <c r="AK212" s="8">
        <f ca="1">_xll.HLV5r3.Analytics.Miscellaneous.Zero2DF(_xll.HLV5r3.Analytics.Miscellaneous.LinearInterp(Peturbed_QZ,$K212,1,AK$1),ZeroCompFreq,'PDH Calc'!$K212/365)</f>
        <v>1</v>
      </c>
    </row>
    <row r="213" spans="1:37">
      <c r="A213" s="4"/>
      <c r="B213" s="6"/>
      <c r="F213" s="11"/>
      <c r="G213" s="6"/>
      <c r="H213" s="20"/>
      <c r="I213" s="21"/>
      <c r="J213" s="26"/>
      <c r="K213" s="6">
        <f t="shared" ca="1" si="9"/>
        <v>0</v>
      </c>
      <c r="L213" s="8">
        <f ca="1">_xll.HLV5r3.Analytics.Miscellaneous.Zero2DF(_xll.HLV5r3.Analytics.Miscellaneous.LinearInterp(Peturbed_QZ,$K213,1,L$1),ZeroCompFreq,'PDH Calc'!$K213/365)</f>
        <v>1</v>
      </c>
      <c r="M213" s="8">
        <f ca="1">_xll.HLV5r3.Analytics.Miscellaneous.Zero2DF(_xll.HLV5r3.Analytics.Miscellaneous.LinearInterp(Peturbed_QZ,$K213,1,M$1),ZeroCompFreq,'PDH Calc'!$K213/365)</f>
        <v>1</v>
      </c>
      <c r="N213" s="8">
        <f ca="1">_xll.HLV5r3.Analytics.Miscellaneous.Zero2DF(_xll.HLV5r3.Analytics.Miscellaneous.LinearInterp(Peturbed_QZ,$K213,1,N$1),ZeroCompFreq,'PDH Calc'!$K213/365)</f>
        <v>1</v>
      </c>
      <c r="O213" s="8">
        <f ca="1">_xll.HLV5r3.Analytics.Miscellaneous.Zero2DF(_xll.HLV5r3.Analytics.Miscellaneous.LinearInterp(Peturbed_QZ,$K213,1,O$1),ZeroCompFreq,'PDH Calc'!$K213/365)</f>
        <v>1</v>
      </c>
      <c r="P213" s="8">
        <f ca="1">_xll.HLV5r3.Analytics.Miscellaneous.Zero2DF(_xll.HLV5r3.Analytics.Miscellaneous.LinearInterp(Peturbed_QZ,$K213,1,P$1),ZeroCompFreq,'PDH Calc'!$K213/365)</f>
        <v>1</v>
      </c>
      <c r="Q213" s="8">
        <f ca="1">_xll.HLV5r3.Analytics.Miscellaneous.Zero2DF(_xll.HLV5r3.Analytics.Miscellaneous.LinearInterp(Peturbed_QZ,$K213,1,Q$1),ZeroCompFreq,'PDH Calc'!$K213/365)</f>
        <v>1</v>
      </c>
      <c r="R213" s="8">
        <f ca="1">_xll.HLV5r3.Analytics.Miscellaneous.Zero2DF(_xll.HLV5r3.Analytics.Miscellaneous.LinearInterp(Peturbed_QZ,$K213,1,R$1),ZeroCompFreq,'PDH Calc'!$K213/365)</f>
        <v>1</v>
      </c>
      <c r="S213" s="8">
        <f ca="1">_xll.HLV5r3.Analytics.Miscellaneous.Zero2DF(_xll.HLV5r3.Analytics.Miscellaneous.LinearInterp(Peturbed_QZ,$K213,1,S$1),ZeroCompFreq,'PDH Calc'!$K213/365)</f>
        <v>1</v>
      </c>
      <c r="T213" s="8">
        <f ca="1">_xll.HLV5r3.Analytics.Miscellaneous.Zero2DF(_xll.HLV5r3.Analytics.Miscellaneous.LinearInterp(Peturbed_QZ,$K213,1,T$1),ZeroCompFreq,'PDH Calc'!$K213/365)</f>
        <v>1</v>
      </c>
      <c r="U213" s="8">
        <f ca="1">_xll.HLV5r3.Analytics.Miscellaneous.Zero2DF(_xll.HLV5r3.Analytics.Miscellaneous.LinearInterp(Peturbed_QZ,$K213,1,U$1),ZeroCompFreq,'PDH Calc'!$K213/365)</f>
        <v>1</v>
      </c>
      <c r="V213" s="8">
        <f ca="1">_xll.HLV5r3.Analytics.Miscellaneous.Zero2DF(_xll.HLV5r3.Analytics.Miscellaneous.LinearInterp(Peturbed_QZ,$K213,1,V$1),ZeroCompFreq,'PDH Calc'!$K213/365)</f>
        <v>1</v>
      </c>
      <c r="W213" s="8">
        <f ca="1">_xll.HLV5r3.Analytics.Miscellaneous.Zero2DF(_xll.HLV5r3.Analytics.Miscellaneous.LinearInterp(Peturbed_QZ,$K213,1,W$1),ZeroCompFreq,'PDH Calc'!$K213/365)</f>
        <v>1</v>
      </c>
      <c r="X213" s="8">
        <f ca="1">_xll.HLV5r3.Analytics.Miscellaneous.Zero2DF(_xll.HLV5r3.Analytics.Miscellaneous.LinearInterp(Peturbed_QZ,$K213,1,X$1),ZeroCompFreq,'PDH Calc'!$K213/365)</f>
        <v>1</v>
      </c>
      <c r="Y213" s="8">
        <f ca="1">_xll.HLV5r3.Analytics.Miscellaneous.Zero2DF(_xll.HLV5r3.Analytics.Miscellaneous.LinearInterp(Peturbed_QZ,$K213,1,Y$1),ZeroCompFreq,'PDH Calc'!$K213/365)</f>
        <v>1</v>
      </c>
      <c r="Z213" s="8">
        <f ca="1">_xll.HLV5r3.Analytics.Miscellaneous.Zero2DF(_xll.HLV5r3.Analytics.Miscellaneous.LinearInterp(Peturbed_QZ,$K213,1,Z$1),ZeroCompFreq,'PDH Calc'!$K213/365)</f>
        <v>1</v>
      </c>
      <c r="AA213" s="8">
        <f ca="1">_xll.HLV5r3.Analytics.Miscellaneous.Zero2DF(_xll.HLV5r3.Analytics.Miscellaneous.LinearInterp(Peturbed_QZ,$K213,1,AA$1),ZeroCompFreq,'PDH Calc'!$K213/365)</f>
        <v>1</v>
      </c>
      <c r="AB213" s="8">
        <f ca="1">_xll.HLV5r3.Analytics.Miscellaneous.Zero2DF(_xll.HLV5r3.Analytics.Miscellaneous.LinearInterp(Peturbed_QZ,$K213,1,AB$1),ZeroCompFreq,'PDH Calc'!$K213/365)</f>
        <v>1</v>
      </c>
      <c r="AC213" s="8">
        <f ca="1">_xll.HLV5r3.Analytics.Miscellaneous.Zero2DF(_xll.HLV5r3.Analytics.Miscellaneous.LinearInterp(Peturbed_QZ,$K213,1,AC$1),ZeroCompFreq,'PDH Calc'!$K213/365)</f>
        <v>1</v>
      </c>
      <c r="AD213" s="8">
        <f ca="1">_xll.HLV5r3.Analytics.Miscellaneous.Zero2DF(_xll.HLV5r3.Analytics.Miscellaneous.LinearInterp(Peturbed_QZ,$K213,1,AD$1),ZeroCompFreq,'PDH Calc'!$K213/365)</f>
        <v>1</v>
      </c>
      <c r="AE213" s="8">
        <f ca="1">_xll.HLV5r3.Analytics.Miscellaneous.Zero2DF(_xll.HLV5r3.Analytics.Miscellaneous.LinearInterp(Peturbed_QZ,$K213,1,AE$1),ZeroCompFreq,'PDH Calc'!$K213/365)</f>
        <v>1</v>
      </c>
      <c r="AF213" s="8">
        <f ca="1">_xll.HLV5r3.Analytics.Miscellaneous.Zero2DF(_xll.HLV5r3.Analytics.Miscellaneous.LinearInterp(Peturbed_QZ,$K213,1,AF$1),ZeroCompFreq,'PDH Calc'!$K213/365)</f>
        <v>1</v>
      </c>
      <c r="AG213" s="8">
        <f ca="1">_xll.HLV5r3.Analytics.Miscellaneous.Zero2DF(_xll.HLV5r3.Analytics.Miscellaneous.LinearInterp(Peturbed_QZ,$K213,1,AG$1),ZeroCompFreq,'PDH Calc'!$K213/365)</f>
        <v>1</v>
      </c>
      <c r="AH213" s="8">
        <f ca="1">_xll.HLV5r3.Analytics.Miscellaneous.Zero2DF(_xll.HLV5r3.Analytics.Miscellaneous.LinearInterp(Peturbed_QZ,$K213,1,AH$1),ZeroCompFreq,'PDH Calc'!$K213/365)</f>
        <v>1</v>
      </c>
      <c r="AI213" s="8">
        <f ca="1">_xll.HLV5r3.Analytics.Miscellaneous.Zero2DF(_xll.HLV5r3.Analytics.Miscellaneous.LinearInterp(Peturbed_QZ,$K213,1,AI$1),ZeroCompFreq,'PDH Calc'!$K213/365)</f>
        <v>1</v>
      </c>
      <c r="AJ213" s="8">
        <f ca="1">_xll.HLV5r3.Analytics.Miscellaneous.Zero2DF(_xll.HLV5r3.Analytics.Miscellaneous.LinearInterp(Peturbed_QZ,$K213,1,AJ$1),ZeroCompFreq,'PDH Calc'!$K213/365)</f>
        <v>1</v>
      </c>
      <c r="AK213" s="8">
        <f ca="1">_xll.HLV5r3.Analytics.Miscellaneous.Zero2DF(_xll.HLV5r3.Analytics.Miscellaneous.LinearInterp(Peturbed_QZ,$K213,1,AK$1),ZeroCompFreq,'PDH Calc'!$K213/365)</f>
        <v>1</v>
      </c>
    </row>
    <row r="214" spans="1:37">
      <c r="A214" s="4"/>
      <c r="B214" s="6"/>
      <c r="F214" s="11"/>
      <c r="G214" s="6"/>
      <c r="H214" s="20"/>
      <c r="I214" s="21"/>
      <c r="J214" s="26"/>
      <c r="K214" s="6">
        <f t="shared" ca="1" si="9"/>
        <v>0</v>
      </c>
      <c r="L214" s="8">
        <f ca="1">_xll.HLV5r3.Analytics.Miscellaneous.Zero2DF(_xll.HLV5r3.Analytics.Miscellaneous.LinearInterp(Peturbed_QZ,$K214,1,L$1),ZeroCompFreq,'PDH Calc'!$K214/365)</f>
        <v>1</v>
      </c>
      <c r="M214" s="8">
        <f ca="1">_xll.HLV5r3.Analytics.Miscellaneous.Zero2DF(_xll.HLV5r3.Analytics.Miscellaneous.LinearInterp(Peturbed_QZ,$K214,1,M$1),ZeroCompFreq,'PDH Calc'!$K214/365)</f>
        <v>1</v>
      </c>
      <c r="N214" s="8">
        <f ca="1">_xll.HLV5r3.Analytics.Miscellaneous.Zero2DF(_xll.HLV5r3.Analytics.Miscellaneous.LinearInterp(Peturbed_QZ,$K214,1,N$1),ZeroCompFreq,'PDH Calc'!$K214/365)</f>
        <v>1</v>
      </c>
      <c r="O214" s="8">
        <f ca="1">_xll.HLV5r3.Analytics.Miscellaneous.Zero2DF(_xll.HLV5r3.Analytics.Miscellaneous.LinearInterp(Peturbed_QZ,$K214,1,O$1),ZeroCompFreq,'PDH Calc'!$K214/365)</f>
        <v>1</v>
      </c>
      <c r="P214" s="8">
        <f ca="1">_xll.HLV5r3.Analytics.Miscellaneous.Zero2DF(_xll.HLV5r3.Analytics.Miscellaneous.LinearInterp(Peturbed_QZ,$K214,1,P$1),ZeroCompFreq,'PDH Calc'!$K214/365)</f>
        <v>1</v>
      </c>
      <c r="Q214" s="8">
        <f ca="1">_xll.HLV5r3.Analytics.Miscellaneous.Zero2DF(_xll.HLV5r3.Analytics.Miscellaneous.LinearInterp(Peturbed_QZ,$K214,1,Q$1),ZeroCompFreq,'PDH Calc'!$K214/365)</f>
        <v>1</v>
      </c>
      <c r="R214" s="8">
        <f ca="1">_xll.HLV5r3.Analytics.Miscellaneous.Zero2DF(_xll.HLV5r3.Analytics.Miscellaneous.LinearInterp(Peturbed_QZ,$K214,1,R$1),ZeroCompFreq,'PDH Calc'!$K214/365)</f>
        <v>1</v>
      </c>
      <c r="S214" s="8">
        <f ca="1">_xll.HLV5r3.Analytics.Miscellaneous.Zero2DF(_xll.HLV5r3.Analytics.Miscellaneous.LinearInterp(Peturbed_QZ,$K214,1,S$1),ZeroCompFreq,'PDH Calc'!$K214/365)</f>
        <v>1</v>
      </c>
      <c r="T214" s="8">
        <f ca="1">_xll.HLV5r3.Analytics.Miscellaneous.Zero2DF(_xll.HLV5r3.Analytics.Miscellaneous.LinearInterp(Peturbed_QZ,$K214,1,T$1),ZeroCompFreq,'PDH Calc'!$K214/365)</f>
        <v>1</v>
      </c>
      <c r="U214" s="8">
        <f ca="1">_xll.HLV5r3.Analytics.Miscellaneous.Zero2DF(_xll.HLV5r3.Analytics.Miscellaneous.LinearInterp(Peturbed_QZ,$K214,1,U$1),ZeroCompFreq,'PDH Calc'!$K214/365)</f>
        <v>1</v>
      </c>
      <c r="V214" s="8">
        <f ca="1">_xll.HLV5r3.Analytics.Miscellaneous.Zero2DF(_xll.HLV5r3.Analytics.Miscellaneous.LinearInterp(Peturbed_QZ,$K214,1,V$1),ZeroCompFreq,'PDH Calc'!$K214/365)</f>
        <v>1</v>
      </c>
      <c r="W214" s="8">
        <f ca="1">_xll.HLV5r3.Analytics.Miscellaneous.Zero2DF(_xll.HLV5r3.Analytics.Miscellaneous.LinearInterp(Peturbed_QZ,$K214,1,W$1),ZeroCompFreq,'PDH Calc'!$K214/365)</f>
        <v>1</v>
      </c>
      <c r="X214" s="8">
        <f ca="1">_xll.HLV5r3.Analytics.Miscellaneous.Zero2DF(_xll.HLV5r3.Analytics.Miscellaneous.LinearInterp(Peturbed_QZ,$K214,1,X$1),ZeroCompFreq,'PDH Calc'!$K214/365)</f>
        <v>1</v>
      </c>
      <c r="Y214" s="8">
        <f ca="1">_xll.HLV5r3.Analytics.Miscellaneous.Zero2DF(_xll.HLV5r3.Analytics.Miscellaneous.LinearInterp(Peturbed_QZ,$K214,1,Y$1),ZeroCompFreq,'PDH Calc'!$K214/365)</f>
        <v>1</v>
      </c>
      <c r="Z214" s="8">
        <f ca="1">_xll.HLV5r3.Analytics.Miscellaneous.Zero2DF(_xll.HLV5r3.Analytics.Miscellaneous.LinearInterp(Peturbed_QZ,$K214,1,Z$1),ZeroCompFreq,'PDH Calc'!$K214/365)</f>
        <v>1</v>
      </c>
      <c r="AA214" s="8">
        <f ca="1">_xll.HLV5r3.Analytics.Miscellaneous.Zero2DF(_xll.HLV5r3.Analytics.Miscellaneous.LinearInterp(Peturbed_QZ,$K214,1,AA$1),ZeroCompFreq,'PDH Calc'!$K214/365)</f>
        <v>1</v>
      </c>
      <c r="AB214" s="8">
        <f ca="1">_xll.HLV5r3.Analytics.Miscellaneous.Zero2DF(_xll.HLV5r3.Analytics.Miscellaneous.LinearInterp(Peturbed_QZ,$K214,1,AB$1),ZeroCompFreq,'PDH Calc'!$K214/365)</f>
        <v>1</v>
      </c>
      <c r="AC214" s="8">
        <f ca="1">_xll.HLV5r3.Analytics.Miscellaneous.Zero2DF(_xll.HLV5r3.Analytics.Miscellaneous.LinearInterp(Peturbed_QZ,$K214,1,AC$1),ZeroCompFreq,'PDH Calc'!$K214/365)</f>
        <v>1</v>
      </c>
      <c r="AD214" s="8">
        <f ca="1">_xll.HLV5r3.Analytics.Miscellaneous.Zero2DF(_xll.HLV5r3.Analytics.Miscellaneous.LinearInterp(Peturbed_QZ,$K214,1,AD$1),ZeroCompFreq,'PDH Calc'!$K214/365)</f>
        <v>1</v>
      </c>
      <c r="AE214" s="8">
        <f ca="1">_xll.HLV5r3.Analytics.Miscellaneous.Zero2DF(_xll.HLV5r3.Analytics.Miscellaneous.LinearInterp(Peturbed_QZ,$K214,1,AE$1),ZeroCompFreq,'PDH Calc'!$K214/365)</f>
        <v>1</v>
      </c>
      <c r="AF214" s="8">
        <f ca="1">_xll.HLV5r3.Analytics.Miscellaneous.Zero2DF(_xll.HLV5r3.Analytics.Miscellaneous.LinearInterp(Peturbed_QZ,$K214,1,AF$1),ZeroCompFreq,'PDH Calc'!$K214/365)</f>
        <v>1</v>
      </c>
      <c r="AG214" s="8">
        <f ca="1">_xll.HLV5r3.Analytics.Miscellaneous.Zero2DF(_xll.HLV5r3.Analytics.Miscellaneous.LinearInterp(Peturbed_QZ,$K214,1,AG$1),ZeroCompFreq,'PDH Calc'!$K214/365)</f>
        <v>1</v>
      </c>
      <c r="AH214" s="8">
        <f ca="1">_xll.HLV5r3.Analytics.Miscellaneous.Zero2DF(_xll.HLV5r3.Analytics.Miscellaneous.LinearInterp(Peturbed_QZ,$K214,1,AH$1),ZeroCompFreq,'PDH Calc'!$K214/365)</f>
        <v>1</v>
      </c>
      <c r="AI214" s="8">
        <f ca="1">_xll.HLV5r3.Analytics.Miscellaneous.Zero2DF(_xll.HLV5r3.Analytics.Miscellaneous.LinearInterp(Peturbed_QZ,$K214,1,AI$1),ZeroCompFreq,'PDH Calc'!$K214/365)</f>
        <v>1</v>
      </c>
      <c r="AJ214" s="8">
        <f ca="1">_xll.HLV5r3.Analytics.Miscellaneous.Zero2DF(_xll.HLV5r3.Analytics.Miscellaneous.LinearInterp(Peturbed_QZ,$K214,1,AJ$1),ZeroCompFreq,'PDH Calc'!$K214/365)</f>
        <v>1</v>
      </c>
      <c r="AK214" s="8">
        <f ca="1">_xll.HLV5r3.Analytics.Miscellaneous.Zero2DF(_xll.HLV5r3.Analytics.Miscellaneous.LinearInterp(Peturbed_QZ,$K214,1,AK$1),ZeroCompFreq,'PDH Calc'!$K214/365)</f>
        <v>1</v>
      </c>
    </row>
    <row r="215" spans="1:37">
      <c r="A215" s="4"/>
      <c r="B215" s="6"/>
      <c r="F215" s="11"/>
      <c r="G215" s="6"/>
      <c r="H215" s="20"/>
      <c r="I215" s="21"/>
      <c r="J215" s="26"/>
      <c r="K215" s="6">
        <f t="shared" ca="1" si="9"/>
        <v>0</v>
      </c>
      <c r="L215" s="8">
        <f ca="1">_xll.HLV5r3.Analytics.Miscellaneous.Zero2DF(_xll.HLV5r3.Analytics.Miscellaneous.LinearInterp(Peturbed_QZ,$K215,1,L$1),ZeroCompFreq,'PDH Calc'!$K215/365)</f>
        <v>1</v>
      </c>
      <c r="M215" s="8">
        <f ca="1">_xll.HLV5r3.Analytics.Miscellaneous.Zero2DF(_xll.HLV5r3.Analytics.Miscellaneous.LinearInterp(Peturbed_QZ,$K215,1,M$1),ZeroCompFreq,'PDH Calc'!$K215/365)</f>
        <v>1</v>
      </c>
      <c r="N215" s="8">
        <f ca="1">_xll.HLV5r3.Analytics.Miscellaneous.Zero2DF(_xll.HLV5r3.Analytics.Miscellaneous.LinearInterp(Peturbed_QZ,$K215,1,N$1),ZeroCompFreq,'PDH Calc'!$K215/365)</f>
        <v>1</v>
      </c>
      <c r="O215" s="8">
        <f ca="1">_xll.HLV5r3.Analytics.Miscellaneous.Zero2DF(_xll.HLV5r3.Analytics.Miscellaneous.LinearInterp(Peturbed_QZ,$K215,1,O$1),ZeroCompFreq,'PDH Calc'!$K215/365)</f>
        <v>1</v>
      </c>
      <c r="P215" s="8">
        <f ca="1">_xll.HLV5r3.Analytics.Miscellaneous.Zero2DF(_xll.HLV5r3.Analytics.Miscellaneous.LinearInterp(Peturbed_QZ,$K215,1,P$1),ZeroCompFreq,'PDH Calc'!$K215/365)</f>
        <v>1</v>
      </c>
      <c r="Q215" s="8">
        <f ca="1">_xll.HLV5r3.Analytics.Miscellaneous.Zero2DF(_xll.HLV5r3.Analytics.Miscellaneous.LinearInterp(Peturbed_QZ,$K215,1,Q$1),ZeroCompFreq,'PDH Calc'!$K215/365)</f>
        <v>1</v>
      </c>
      <c r="R215" s="8">
        <f ca="1">_xll.HLV5r3.Analytics.Miscellaneous.Zero2DF(_xll.HLV5r3.Analytics.Miscellaneous.LinearInterp(Peturbed_QZ,$K215,1,R$1),ZeroCompFreq,'PDH Calc'!$K215/365)</f>
        <v>1</v>
      </c>
      <c r="S215" s="8">
        <f ca="1">_xll.HLV5r3.Analytics.Miscellaneous.Zero2DF(_xll.HLV5r3.Analytics.Miscellaneous.LinearInterp(Peturbed_QZ,$K215,1,S$1),ZeroCompFreq,'PDH Calc'!$K215/365)</f>
        <v>1</v>
      </c>
      <c r="T215" s="8">
        <f ca="1">_xll.HLV5r3.Analytics.Miscellaneous.Zero2DF(_xll.HLV5r3.Analytics.Miscellaneous.LinearInterp(Peturbed_QZ,$K215,1,T$1),ZeroCompFreq,'PDH Calc'!$K215/365)</f>
        <v>1</v>
      </c>
      <c r="U215" s="8">
        <f ca="1">_xll.HLV5r3.Analytics.Miscellaneous.Zero2DF(_xll.HLV5r3.Analytics.Miscellaneous.LinearInterp(Peturbed_QZ,$K215,1,U$1),ZeroCompFreq,'PDH Calc'!$K215/365)</f>
        <v>1</v>
      </c>
      <c r="V215" s="8">
        <f ca="1">_xll.HLV5r3.Analytics.Miscellaneous.Zero2DF(_xll.HLV5r3.Analytics.Miscellaneous.LinearInterp(Peturbed_QZ,$K215,1,V$1),ZeroCompFreq,'PDH Calc'!$K215/365)</f>
        <v>1</v>
      </c>
      <c r="W215" s="8">
        <f ca="1">_xll.HLV5r3.Analytics.Miscellaneous.Zero2DF(_xll.HLV5r3.Analytics.Miscellaneous.LinearInterp(Peturbed_QZ,$K215,1,W$1),ZeroCompFreq,'PDH Calc'!$K215/365)</f>
        <v>1</v>
      </c>
      <c r="X215" s="8">
        <f ca="1">_xll.HLV5r3.Analytics.Miscellaneous.Zero2DF(_xll.HLV5r3.Analytics.Miscellaneous.LinearInterp(Peturbed_QZ,$K215,1,X$1),ZeroCompFreq,'PDH Calc'!$K215/365)</f>
        <v>1</v>
      </c>
      <c r="Y215" s="8">
        <f ca="1">_xll.HLV5r3.Analytics.Miscellaneous.Zero2DF(_xll.HLV5r3.Analytics.Miscellaneous.LinearInterp(Peturbed_QZ,$K215,1,Y$1),ZeroCompFreq,'PDH Calc'!$K215/365)</f>
        <v>1</v>
      </c>
      <c r="Z215" s="8">
        <f ca="1">_xll.HLV5r3.Analytics.Miscellaneous.Zero2DF(_xll.HLV5r3.Analytics.Miscellaneous.LinearInterp(Peturbed_QZ,$K215,1,Z$1),ZeroCompFreq,'PDH Calc'!$K215/365)</f>
        <v>1</v>
      </c>
      <c r="AA215" s="8">
        <f ca="1">_xll.HLV5r3.Analytics.Miscellaneous.Zero2DF(_xll.HLV5r3.Analytics.Miscellaneous.LinearInterp(Peturbed_QZ,$K215,1,AA$1),ZeroCompFreq,'PDH Calc'!$K215/365)</f>
        <v>1</v>
      </c>
      <c r="AB215" s="8">
        <f ca="1">_xll.HLV5r3.Analytics.Miscellaneous.Zero2DF(_xll.HLV5r3.Analytics.Miscellaneous.LinearInterp(Peturbed_QZ,$K215,1,AB$1),ZeroCompFreq,'PDH Calc'!$K215/365)</f>
        <v>1</v>
      </c>
      <c r="AC215" s="8">
        <f ca="1">_xll.HLV5r3.Analytics.Miscellaneous.Zero2DF(_xll.HLV5r3.Analytics.Miscellaneous.LinearInterp(Peturbed_QZ,$K215,1,AC$1),ZeroCompFreq,'PDH Calc'!$K215/365)</f>
        <v>1</v>
      </c>
      <c r="AD215" s="8">
        <f ca="1">_xll.HLV5r3.Analytics.Miscellaneous.Zero2DF(_xll.HLV5r3.Analytics.Miscellaneous.LinearInterp(Peturbed_QZ,$K215,1,AD$1),ZeroCompFreq,'PDH Calc'!$K215/365)</f>
        <v>1</v>
      </c>
      <c r="AE215" s="8">
        <f ca="1">_xll.HLV5r3.Analytics.Miscellaneous.Zero2DF(_xll.HLV5r3.Analytics.Miscellaneous.LinearInterp(Peturbed_QZ,$K215,1,AE$1),ZeroCompFreq,'PDH Calc'!$K215/365)</f>
        <v>1</v>
      </c>
      <c r="AF215" s="8">
        <f ca="1">_xll.HLV5r3.Analytics.Miscellaneous.Zero2DF(_xll.HLV5r3.Analytics.Miscellaneous.LinearInterp(Peturbed_QZ,$K215,1,AF$1),ZeroCompFreq,'PDH Calc'!$K215/365)</f>
        <v>1</v>
      </c>
      <c r="AG215" s="8">
        <f ca="1">_xll.HLV5r3.Analytics.Miscellaneous.Zero2DF(_xll.HLV5r3.Analytics.Miscellaneous.LinearInterp(Peturbed_QZ,$K215,1,AG$1),ZeroCompFreq,'PDH Calc'!$K215/365)</f>
        <v>1</v>
      </c>
      <c r="AH215" s="8">
        <f ca="1">_xll.HLV5r3.Analytics.Miscellaneous.Zero2DF(_xll.HLV5r3.Analytics.Miscellaneous.LinearInterp(Peturbed_QZ,$K215,1,AH$1),ZeroCompFreq,'PDH Calc'!$K215/365)</f>
        <v>1</v>
      </c>
      <c r="AI215" s="8">
        <f ca="1">_xll.HLV5r3.Analytics.Miscellaneous.Zero2DF(_xll.HLV5r3.Analytics.Miscellaneous.LinearInterp(Peturbed_QZ,$K215,1,AI$1),ZeroCompFreq,'PDH Calc'!$K215/365)</f>
        <v>1</v>
      </c>
      <c r="AJ215" s="8">
        <f ca="1">_xll.HLV5r3.Analytics.Miscellaneous.Zero2DF(_xll.HLV5r3.Analytics.Miscellaneous.LinearInterp(Peturbed_QZ,$K215,1,AJ$1),ZeroCompFreq,'PDH Calc'!$K215/365)</f>
        <v>1</v>
      </c>
      <c r="AK215" s="8">
        <f ca="1">_xll.HLV5r3.Analytics.Miscellaneous.Zero2DF(_xll.HLV5r3.Analytics.Miscellaneous.LinearInterp(Peturbed_QZ,$K215,1,AK$1),ZeroCompFreq,'PDH Calc'!$K215/365)</f>
        <v>1</v>
      </c>
    </row>
    <row r="216" spans="1:37">
      <c r="A216" s="4"/>
      <c r="B216" s="6"/>
      <c r="F216" s="11"/>
      <c r="G216" s="6"/>
      <c r="H216" s="20"/>
      <c r="I216" s="21"/>
      <c r="J216" s="26"/>
      <c r="K216" s="6">
        <f t="shared" ca="1" si="9"/>
        <v>0</v>
      </c>
      <c r="L216" s="8">
        <f ca="1">_xll.HLV5r3.Analytics.Miscellaneous.Zero2DF(_xll.HLV5r3.Analytics.Miscellaneous.LinearInterp(Peturbed_QZ,$K216,1,L$1),ZeroCompFreq,'PDH Calc'!$K216/365)</f>
        <v>1</v>
      </c>
      <c r="M216" s="8">
        <f ca="1">_xll.HLV5r3.Analytics.Miscellaneous.Zero2DF(_xll.HLV5r3.Analytics.Miscellaneous.LinearInterp(Peturbed_QZ,$K216,1,M$1),ZeroCompFreq,'PDH Calc'!$K216/365)</f>
        <v>1</v>
      </c>
      <c r="N216" s="8">
        <f ca="1">_xll.HLV5r3.Analytics.Miscellaneous.Zero2DF(_xll.HLV5r3.Analytics.Miscellaneous.LinearInterp(Peturbed_QZ,$K216,1,N$1),ZeroCompFreq,'PDH Calc'!$K216/365)</f>
        <v>1</v>
      </c>
      <c r="O216" s="8">
        <f ca="1">_xll.HLV5r3.Analytics.Miscellaneous.Zero2DF(_xll.HLV5r3.Analytics.Miscellaneous.LinearInterp(Peturbed_QZ,$K216,1,O$1),ZeroCompFreq,'PDH Calc'!$K216/365)</f>
        <v>1</v>
      </c>
      <c r="P216" s="8">
        <f ca="1">_xll.HLV5r3.Analytics.Miscellaneous.Zero2DF(_xll.HLV5r3.Analytics.Miscellaneous.LinearInterp(Peturbed_QZ,$K216,1,P$1),ZeroCompFreq,'PDH Calc'!$K216/365)</f>
        <v>1</v>
      </c>
      <c r="Q216" s="8">
        <f ca="1">_xll.HLV5r3.Analytics.Miscellaneous.Zero2DF(_xll.HLV5r3.Analytics.Miscellaneous.LinearInterp(Peturbed_QZ,$K216,1,Q$1),ZeroCompFreq,'PDH Calc'!$K216/365)</f>
        <v>1</v>
      </c>
      <c r="R216" s="8">
        <f ca="1">_xll.HLV5r3.Analytics.Miscellaneous.Zero2DF(_xll.HLV5r3.Analytics.Miscellaneous.LinearInterp(Peturbed_QZ,$K216,1,R$1),ZeroCompFreq,'PDH Calc'!$K216/365)</f>
        <v>1</v>
      </c>
      <c r="S216" s="8">
        <f ca="1">_xll.HLV5r3.Analytics.Miscellaneous.Zero2DF(_xll.HLV5r3.Analytics.Miscellaneous.LinearInterp(Peturbed_QZ,$K216,1,S$1),ZeroCompFreq,'PDH Calc'!$K216/365)</f>
        <v>1</v>
      </c>
      <c r="T216" s="8">
        <f ca="1">_xll.HLV5r3.Analytics.Miscellaneous.Zero2DF(_xll.HLV5r3.Analytics.Miscellaneous.LinearInterp(Peturbed_QZ,$K216,1,T$1),ZeroCompFreq,'PDH Calc'!$K216/365)</f>
        <v>1</v>
      </c>
      <c r="U216" s="8">
        <f ca="1">_xll.HLV5r3.Analytics.Miscellaneous.Zero2DF(_xll.HLV5r3.Analytics.Miscellaneous.LinearInterp(Peturbed_QZ,$K216,1,U$1),ZeroCompFreq,'PDH Calc'!$K216/365)</f>
        <v>1</v>
      </c>
      <c r="V216" s="8">
        <f ca="1">_xll.HLV5r3.Analytics.Miscellaneous.Zero2DF(_xll.HLV5r3.Analytics.Miscellaneous.LinearInterp(Peturbed_QZ,$K216,1,V$1),ZeroCompFreq,'PDH Calc'!$K216/365)</f>
        <v>1</v>
      </c>
      <c r="W216" s="8">
        <f ca="1">_xll.HLV5r3.Analytics.Miscellaneous.Zero2DF(_xll.HLV5r3.Analytics.Miscellaneous.LinearInterp(Peturbed_QZ,$K216,1,W$1),ZeroCompFreq,'PDH Calc'!$K216/365)</f>
        <v>1</v>
      </c>
      <c r="X216" s="8">
        <f ca="1">_xll.HLV5r3.Analytics.Miscellaneous.Zero2DF(_xll.HLV5r3.Analytics.Miscellaneous.LinearInterp(Peturbed_QZ,$K216,1,X$1),ZeroCompFreq,'PDH Calc'!$K216/365)</f>
        <v>1</v>
      </c>
      <c r="Y216" s="8">
        <f ca="1">_xll.HLV5r3.Analytics.Miscellaneous.Zero2DF(_xll.HLV5r3.Analytics.Miscellaneous.LinearInterp(Peturbed_QZ,$K216,1,Y$1),ZeroCompFreq,'PDH Calc'!$K216/365)</f>
        <v>1</v>
      </c>
      <c r="Z216" s="8">
        <f ca="1">_xll.HLV5r3.Analytics.Miscellaneous.Zero2DF(_xll.HLV5r3.Analytics.Miscellaneous.LinearInterp(Peturbed_QZ,$K216,1,Z$1),ZeroCompFreq,'PDH Calc'!$K216/365)</f>
        <v>1</v>
      </c>
      <c r="AA216" s="8">
        <f ca="1">_xll.HLV5r3.Analytics.Miscellaneous.Zero2DF(_xll.HLV5r3.Analytics.Miscellaneous.LinearInterp(Peturbed_QZ,$K216,1,AA$1),ZeroCompFreq,'PDH Calc'!$K216/365)</f>
        <v>1</v>
      </c>
      <c r="AB216" s="8">
        <f ca="1">_xll.HLV5r3.Analytics.Miscellaneous.Zero2DF(_xll.HLV5r3.Analytics.Miscellaneous.LinearInterp(Peturbed_QZ,$K216,1,AB$1),ZeroCompFreq,'PDH Calc'!$K216/365)</f>
        <v>1</v>
      </c>
      <c r="AC216" s="8">
        <f ca="1">_xll.HLV5r3.Analytics.Miscellaneous.Zero2DF(_xll.HLV5r3.Analytics.Miscellaneous.LinearInterp(Peturbed_QZ,$K216,1,AC$1),ZeroCompFreq,'PDH Calc'!$K216/365)</f>
        <v>1</v>
      </c>
      <c r="AD216" s="8">
        <f ca="1">_xll.HLV5r3.Analytics.Miscellaneous.Zero2DF(_xll.HLV5r3.Analytics.Miscellaneous.LinearInterp(Peturbed_QZ,$K216,1,AD$1),ZeroCompFreq,'PDH Calc'!$K216/365)</f>
        <v>1</v>
      </c>
      <c r="AE216" s="8">
        <f ca="1">_xll.HLV5r3.Analytics.Miscellaneous.Zero2DF(_xll.HLV5r3.Analytics.Miscellaneous.LinearInterp(Peturbed_QZ,$K216,1,AE$1),ZeroCompFreq,'PDH Calc'!$K216/365)</f>
        <v>1</v>
      </c>
      <c r="AF216" s="8">
        <f ca="1">_xll.HLV5r3.Analytics.Miscellaneous.Zero2DF(_xll.HLV5r3.Analytics.Miscellaneous.LinearInterp(Peturbed_QZ,$K216,1,AF$1),ZeroCompFreq,'PDH Calc'!$K216/365)</f>
        <v>1</v>
      </c>
      <c r="AG216" s="8">
        <f ca="1">_xll.HLV5r3.Analytics.Miscellaneous.Zero2DF(_xll.HLV5r3.Analytics.Miscellaneous.LinearInterp(Peturbed_QZ,$K216,1,AG$1),ZeroCompFreq,'PDH Calc'!$K216/365)</f>
        <v>1</v>
      </c>
      <c r="AH216" s="8">
        <f ca="1">_xll.HLV5r3.Analytics.Miscellaneous.Zero2DF(_xll.HLV5r3.Analytics.Miscellaneous.LinearInterp(Peturbed_QZ,$K216,1,AH$1),ZeroCompFreq,'PDH Calc'!$K216/365)</f>
        <v>1</v>
      </c>
      <c r="AI216" s="8">
        <f ca="1">_xll.HLV5r3.Analytics.Miscellaneous.Zero2DF(_xll.HLV5r3.Analytics.Miscellaneous.LinearInterp(Peturbed_QZ,$K216,1,AI$1),ZeroCompFreq,'PDH Calc'!$K216/365)</f>
        <v>1</v>
      </c>
      <c r="AJ216" s="8">
        <f ca="1">_xll.HLV5r3.Analytics.Miscellaneous.Zero2DF(_xll.HLV5r3.Analytics.Miscellaneous.LinearInterp(Peturbed_QZ,$K216,1,AJ$1),ZeroCompFreq,'PDH Calc'!$K216/365)</f>
        <v>1</v>
      </c>
      <c r="AK216" s="8">
        <f ca="1">_xll.HLV5r3.Analytics.Miscellaneous.Zero2DF(_xll.HLV5r3.Analytics.Miscellaneous.LinearInterp(Peturbed_QZ,$K216,1,AK$1),ZeroCompFreq,'PDH Calc'!$K216/365)</f>
        <v>1</v>
      </c>
    </row>
    <row r="217" spans="1:37">
      <c r="A217" s="4"/>
      <c r="B217" s="6"/>
      <c r="F217" s="11"/>
      <c r="G217" s="6"/>
      <c r="H217" s="20"/>
      <c r="I217" s="21"/>
      <c r="J217" s="26"/>
      <c r="K217" s="6">
        <f t="shared" ca="1" si="9"/>
        <v>0</v>
      </c>
      <c r="L217" s="8">
        <f ca="1">_xll.HLV5r3.Analytics.Miscellaneous.Zero2DF(_xll.HLV5r3.Analytics.Miscellaneous.LinearInterp(Peturbed_QZ,$K217,1,L$1),ZeroCompFreq,'PDH Calc'!$K217/365)</f>
        <v>1</v>
      </c>
      <c r="M217" s="8">
        <f ca="1">_xll.HLV5r3.Analytics.Miscellaneous.Zero2DF(_xll.HLV5r3.Analytics.Miscellaneous.LinearInterp(Peturbed_QZ,$K217,1,M$1),ZeroCompFreq,'PDH Calc'!$K217/365)</f>
        <v>1</v>
      </c>
      <c r="N217" s="8">
        <f ca="1">_xll.HLV5r3.Analytics.Miscellaneous.Zero2DF(_xll.HLV5r3.Analytics.Miscellaneous.LinearInterp(Peturbed_QZ,$K217,1,N$1),ZeroCompFreq,'PDH Calc'!$K217/365)</f>
        <v>1</v>
      </c>
      <c r="O217" s="8">
        <f ca="1">_xll.HLV5r3.Analytics.Miscellaneous.Zero2DF(_xll.HLV5r3.Analytics.Miscellaneous.LinearInterp(Peturbed_QZ,$K217,1,O$1),ZeroCompFreq,'PDH Calc'!$K217/365)</f>
        <v>1</v>
      </c>
      <c r="P217" s="8">
        <f ca="1">_xll.HLV5r3.Analytics.Miscellaneous.Zero2DF(_xll.HLV5r3.Analytics.Miscellaneous.LinearInterp(Peturbed_QZ,$K217,1,P$1),ZeroCompFreq,'PDH Calc'!$K217/365)</f>
        <v>1</v>
      </c>
      <c r="Q217" s="8">
        <f ca="1">_xll.HLV5r3.Analytics.Miscellaneous.Zero2DF(_xll.HLV5r3.Analytics.Miscellaneous.LinearInterp(Peturbed_QZ,$K217,1,Q$1),ZeroCompFreq,'PDH Calc'!$K217/365)</f>
        <v>1</v>
      </c>
      <c r="R217" s="8">
        <f ca="1">_xll.HLV5r3.Analytics.Miscellaneous.Zero2DF(_xll.HLV5r3.Analytics.Miscellaneous.LinearInterp(Peturbed_QZ,$K217,1,R$1),ZeroCompFreq,'PDH Calc'!$K217/365)</f>
        <v>1</v>
      </c>
      <c r="S217" s="8">
        <f ca="1">_xll.HLV5r3.Analytics.Miscellaneous.Zero2DF(_xll.HLV5r3.Analytics.Miscellaneous.LinearInterp(Peturbed_QZ,$K217,1,S$1),ZeroCompFreq,'PDH Calc'!$K217/365)</f>
        <v>1</v>
      </c>
      <c r="T217" s="8">
        <f ca="1">_xll.HLV5r3.Analytics.Miscellaneous.Zero2DF(_xll.HLV5r3.Analytics.Miscellaneous.LinearInterp(Peturbed_QZ,$K217,1,T$1),ZeroCompFreq,'PDH Calc'!$K217/365)</f>
        <v>1</v>
      </c>
      <c r="U217" s="8">
        <f ca="1">_xll.HLV5r3.Analytics.Miscellaneous.Zero2DF(_xll.HLV5r3.Analytics.Miscellaneous.LinearInterp(Peturbed_QZ,$K217,1,U$1),ZeroCompFreq,'PDH Calc'!$K217/365)</f>
        <v>1</v>
      </c>
      <c r="V217" s="8">
        <f ca="1">_xll.HLV5r3.Analytics.Miscellaneous.Zero2DF(_xll.HLV5r3.Analytics.Miscellaneous.LinearInterp(Peturbed_QZ,$K217,1,V$1),ZeroCompFreq,'PDH Calc'!$K217/365)</f>
        <v>1</v>
      </c>
      <c r="W217" s="8">
        <f ca="1">_xll.HLV5r3.Analytics.Miscellaneous.Zero2DF(_xll.HLV5r3.Analytics.Miscellaneous.LinearInterp(Peturbed_QZ,$K217,1,W$1),ZeroCompFreq,'PDH Calc'!$K217/365)</f>
        <v>1</v>
      </c>
      <c r="X217" s="8">
        <f ca="1">_xll.HLV5r3.Analytics.Miscellaneous.Zero2DF(_xll.HLV5r3.Analytics.Miscellaneous.LinearInterp(Peturbed_QZ,$K217,1,X$1),ZeroCompFreq,'PDH Calc'!$K217/365)</f>
        <v>1</v>
      </c>
      <c r="Y217" s="8">
        <f ca="1">_xll.HLV5r3.Analytics.Miscellaneous.Zero2DF(_xll.HLV5r3.Analytics.Miscellaneous.LinearInterp(Peturbed_QZ,$K217,1,Y$1),ZeroCompFreq,'PDH Calc'!$K217/365)</f>
        <v>1</v>
      </c>
      <c r="Z217" s="8">
        <f ca="1">_xll.HLV5r3.Analytics.Miscellaneous.Zero2DF(_xll.HLV5r3.Analytics.Miscellaneous.LinearInterp(Peturbed_QZ,$K217,1,Z$1),ZeroCompFreq,'PDH Calc'!$K217/365)</f>
        <v>1</v>
      </c>
      <c r="AA217" s="8">
        <f ca="1">_xll.HLV5r3.Analytics.Miscellaneous.Zero2DF(_xll.HLV5r3.Analytics.Miscellaneous.LinearInterp(Peturbed_QZ,$K217,1,AA$1),ZeroCompFreq,'PDH Calc'!$K217/365)</f>
        <v>1</v>
      </c>
      <c r="AB217" s="8">
        <f ca="1">_xll.HLV5r3.Analytics.Miscellaneous.Zero2DF(_xll.HLV5r3.Analytics.Miscellaneous.LinearInterp(Peturbed_QZ,$K217,1,AB$1),ZeroCompFreq,'PDH Calc'!$K217/365)</f>
        <v>1</v>
      </c>
      <c r="AC217" s="8">
        <f ca="1">_xll.HLV5r3.Analytics.Miscellaneous.Zero2DF(_xll.HLV5r3.Analytics.Miscellaneous.LinearInterp(Peturbed_QZ,$K217,1,AC$1),ZeroCompFreq,'PDH Calc'!$K217/365)</f>
        <v>1</v>
      </c>
      <c r="AD217" s="8">
        <f ca="1">_xll.HLV5r3.Analytics.Miscellaneous.Zero2DF(_xll.HLV5r3.Analytics.Miscellaneous.LinearInterp(Peturbed_QZ,$K217,1,AD$1),ZeroCompFreq,'PDH Calc'!$K217/365)</f>
        <v>1</v>
      </c>
      <c r="AE217" s="8">
        <f ca="1">_xll.HLV5r3.Analytics.Miscellaneous.Zero2DF(_xll.HLV5r3.Analytics.Miscellaneous.LinearInterp(Peturbed_QZ,$K217,1,AE$1),ZeroCompFreq,'PDH Calc'!$K217/365)</f>
        <v>1</v>
      </c>
      <c r="AF217" s="8">
        <f ca="1">_xll.HLV5r3.Analytics.Miscellaneous.Zero2DF(_xll.HLV5r3.Analytics.Miscellaneous.LinearInterp(Peturbed_QZ,$K217,1,AF$1),ZeroCompFreq,'PDH Calc'!$K217/365)</f>
        <v>1</v>
      </c>
      <c r="AG217" s="8">
        <f ca="1">_xll.HLV5r3.Analytics.Miscellaneous.Zero2DF(_xll.HLV5r3.Analytics.Miscellaneous.LinearInterp(Peturbed_QZ,$K217,1,AG$1),ZeroCompFreq,'PDH Calc'!$K217/365)</f>
        <v>1</v>
      </c>
      <c r="AH217" s="8">
        <f ca="1">_xll.HLV5r3.Analytics.Miscellaneous.Zero2DF(_xll.HLV5r3.Analytics.Miscellaneous.LinearInterp(Peturbed_QZ,$K217,1,AH$1),ZeroCompFreq,'PDH Calc'!$K217/365)</f>
        <v>1</v>
      </c>
      <c r="AI217" s="8">
        <f ca="1">_xll.HLV5r3.Analytics.Miscellaneous.Zero2DF(_xll.HLV5r3.Analytics.Miscellaneous.LinearInterp(Peturbed_QZ,$K217,1,AI$1),ZeroCompFreq,'PDH Calc'!$K217/365)</f>
        <v>1</v>
      </c>
      <c r="AJ217" s="8">
        <f ca="1">_xll.HLV5r3.Analytics.Miscellaneous.Zero2DF(_xll.HLV5r3.Analytics.Miscellaneous.LinearInterp(Peturbed_QZ,$K217,1,AJ$1),ZeroCompFreq,'PDH Calc'!$K217/365)</f>
        <v>1</v>
      </c>
      <c r="AK217" s="8">
        <f ca="1">_xll.HLV5r3.Analytics.Miscellaneous.Zero2DF(_xll.HLV5r3.Analytics.Miscellaneous.LinearInterp(Peturbed_QZ,$K217,1,AK$1),ZeroCompFreq,'PDH Calc'!$K217/365)</f>
        <v>1</v>
      </c>
    </row>
    <row r="218" spans="1:37">
      <c r="A218" s="4"/>
      <c r="B218" s="6"/>
      <c r="F218" s="11"/>
      <c r="G218" s="6"/>
      <c r="H218" s="20"/>
      <c r="I218" s="21"/>
      <c r="J218" s="26"/>
      <c r="K218" s="6">
        <f t="shared" ca="1" si="9"/>
        <v>0</v>
      </c>
      <c r="L218" s="8">
        <f ca="1">_xll.HLV5r3.Analytics.Miscellaneous.Zero2DF(_xll.HLV5r3.Analytics.Miscellaneous.LinearInterp(Peturbed_QZ,$K218,1,L$1),ZeroCompFreq,'PDH Calc'!$K218/365)</f>
        <v>1</v>
      </c>
      <c r="M218" s="8">
        <f ca="1">_xll.HLV5r3.Analytics.Miscellaneous.Zero2DF(_xll.HLV5r3.Analytics.Miscellaneous.LinearInterp(Peturbed_QZ,$K218,1,M$1),ZeroCompFreq,'PDH Calc'!$K218/365)</f>
        <v>1</v>
      </c>
      <c r="N218" s="8">
        <f ca="1">_xll.HLV5r3.Analytics.Miscellaneous.Zero2DF(_xll.HLV5r3.Analytics.Miscellaneous.LinearInterp(Peturbed_QZ,$K218,1,N$1),ZeroCompFreq,'PDH Calc'!$K218/365)</f>
        <v>1</v>
      </c>
      <c r="O218" s="8">
        <f ca="1">_xll.HLV5r3.Analytics.Miscellaneous.Zero2DF(_xll.HLV5r3.Analytics.Miscellaneous.LinearInterp(Peturbed_QZ,$K218,1,O$1),ZeroCompFreq,'PDH Calc'!$K218/365)</f>
        <v>1</v>
      </c>
      <c r="P218" s="8">
        <f ca="1">_xll.HLV5r3.Analytics.Miscellaneous.Zero2DF(_xll.HLV5r3.Analytics.Miscellaneous.LinearInterp(Peturbed_QZ,$K218,1,P$1),ZeroCompFreq,'PDH Calc'!$K218/365)</f>
        <v>1</v>
      </c>
      <c r="Q218" s="8">
        <f ca="1">_xll.HLV5r3.Analytics.Miscellaneous.Zero2DF(_xll.HLV5r3.Analytics.Miscellaneous.LinearInterp(Peturbed_QZ,$K218,1,Q$1),ZeroCompFreq,'PDH Calc'!$K218/365)</f>
        <v>1</v>
      </c>
      <c r="R218" s="8">
        <f ca="1">_xll.HLV5r3.Analytics.Miscellaneous.Zero2DF(_xll.HLV5r3.Analytics.Miscellaneous.LinearInterp(Peturbed_QZ,$K218,1,R$1),ZeroCompFreq,'PDH Calc'!$K218/365)</f>
        <v>1</v>
      </c>
      <c r="S218" s="8">
        <f ca="1">_xll.HLV5r3.Analytics.Miscellaneous.Zero2DF(_xll.HLV5r3.Analytics.Miscellaneous.LinearInterp(Peturbed_QZ,$K218,1,S$1),ZeroCompFreq,'PDH Calc'!$K218/365)</f>
        <v>1</v>
      </c>
      <c r="T218" s="8">
        <f ca="1">_xll.HLV5r3.Analytics.Miscellaneous.Zero2DF(_xll.HLV5r3.Analytics.Miscellaneous.LinearInterp(Peturbed_QZ,$K218,1,T$1),ZeroCompFreq,'PDH Calc'!$K218/365)</f>
        <v>1</v>
      </c>
      <c r="U218" s="8">
        <f ca="1">_xll.HLV5r3.Analytics.Miscellaneous.Zero2DF(_xll.HLV5r3.Analytics.Miscellaneous.LinearInterp(Peturbed_QZ,$K218,1,U$1),ZeroCompFreq,'PDH Calc'!$K218/365)</f>
        <v>1</v>
      </c>
      <c r="V218" s="8">
        <f ca="1">_xll.HLV5r3.Analytics.Miscellaneous.Zero2DF(_xll.HLV5r3.Analytics.Miscellaneous.LinearInterp(Peturbed_QZ,$K218,1,V$1),ZeroCompFreq,'PDH Calc'!$K218/365)</f>
        <v>1</v>
      </c>
      <c r="W218" s="8">
        <f ca="1">_xll.HLV5r3.Analytics.Miscellaneous.Zero2DF(_xll.HLV5r3.Analytics.Miscellaneous.LinearInterp(Peturbed_QZ,$K218,1,W$1),ZeroCompFreq,'PDH Calc'!$K218/365)</f>
        <v>1</v>
      </c>
      <c r="X218" s="8">
        <f ca="1">_xll.HLV5r3.Analytics.Miscellaneous.Zero2DF(_xll.HLV5r3.Analytics.Miscellaneous.LinearInterp(Peturbed_QZ,$K218,1,X$1),ZeroCompFreq,'PDH Calc'!$K218/365)</f>
        <v>1</v>
      </c>
      <c r="Y218" s="8">
        <f ca="1">_xll.HLV5r3.Analytics.Miscellaneous.Zero2DF(_xll.HLV5r3.Analytics.Miscellaneous.LinearInterp(Peturbed_QZ,$K218,1,Y$1),ZeroCompFreq,'PDH Calc'!$K218/365)</f>
        <v>1</v>
      </c>
      <c r="Z218" s="8">
        <f ca="1">_xll.HLV5r3.Analytics.Miscellaneous.Zero2DF(_xll.HLV5r3.Analytics.Miscellaneous.LinearInterp(Peturbed_QZ,$K218,1,Z$1),ZeroCompFreq,'PDH Calc'!$K218/365)</f>
        <v>1</v>
      </c>
      <c r="AA218" s="8">
        <f ca="1">_xll.HLV5r3.Analytics.Miscellaneous.Zero2DF(_xll.HLV5r3.Analytics.Miscellaneous.LinearInterp(Peturbed_QZ,$K218,1,AA$1),ZeroCompFreq,'PDH Calc'!$K218/365)</f>
        <v>1</v>
      </c>
      <c r="AB218" s="8">
        <f ca="1">_xll.HLV5r3.Analytics.Miscellaneous.Zero2DF(_xll.HLV5r3.Analytics.Miscellaneous.LinearInterp(Peturbed_QZ,$K218,1,AB$1),ZeroCompFreq,'PDH Calc'!$K218/365)</f>
        <v>1</v>
      </c>
      <c r="AC218" s="8">
        <f ca="1">_xll.HLV5r3.Analytics.Miscellaneous.Zero2DF(_xll.HLV5r3.Analytics.Miscellaneous.LinearInterp(Peturbed_QZ,$K218,1,AC$1),ZeroCompFreq,'PDH Calc'!$K218/365)</f>
        <v>1</v>
      </c>
      <c r="AD218" s="8">
        <f ca="1">_xll.HLV5r3.Analytics.Miscellaneous.Zero2DF(_xll.HLV5r3.Analytics.Miscellaneous.LinearInterp(Peturbed_QZ,$K218,1,AD$1),ZeroCompFreq,'PDH Calc'!$K218/365)</f>
        <v>1</v>
      </c>
      <c r="AE218" s="8">
        <f ca="1">_xll.HLV5r3.Analytics.Miscellaneous.Zero2DF(_xll.HLV5r3.Analytics.Miscellaneous.LinearInterp(Peturbed_QZ,$K218,1,AE$1),ZeroCompFreq,'PDH Calc'!$K218/365)</f>
        <v>1</v>
      </c>
      <c r="AF218" s="8">
        <f ca="1">_xll.HLV5r3.Analytics.Miscellaneous.Zero2DF(_xll.HLV5r3.Analytics.Miscellaneous.LinearInterp(Peturbed_QZ,$K218,1,AF$1),ZeroCompFreq,'PDH Calc'!$K218/365)</f>
        <v>1</v>
      </c>
      <c r="AG218" s="8">
        <f ca="1">_xll.HLV5r3.Analytics.Miscellaneous.Zero2DF(_xll.HLV5r3.Analytics.Miscellaneous.LinearInterp(Peturbed_QZ,$K218,1,AG$1),ZeroCompFreq,'PDH Calc'!$K218/365)</f>
        <v>1</v>
      </c>
      <c r="AH218" s="8">
        <f ca="1">_xll.HLV5r3.Analytics.Miscellaneous.Zero2DF(_xll.HLV5r3.Analytics.Miscellaneous.LinearInterp(Peturbed_QZ,$K218,1,AH$1),ZeroCompFreq,'PDH Calc'!$K218/365)</f>
        <v>1</v>
      </c>
      <c r="AI218" s="8">
        <f ca="1">_xll.HLV5r3.Analytics.Miscellaneous.Zero2DF(_xll.HLV5r3.Analytics.Miscellaneous.LinearInterp(Peturbed_QZ,$K218,1,AI$1),ZeroCompFreq,'PDH Calc'!$K218/365)</f>
        <v>1</v>
      </c>
      <c r="AJ218" s="8">
        <f ca="1">_xll.HLV5r3.Analytics.Miscellaneous.Zero2DF(_xll.HLV5r3.Analytics.Miscellaneous.LinearInterp(Peturbed_QZ,$K218,1,AJ$1),ZeroCompFreq,'PDH Calc'!$K218/365)</f>
        <v>1</v>
      </c>
      <c r="AK218" s="8">
        <f ca="1">_xll.HLV5r3.Analytics.Miscellaneous.Zero2DF(_xll.HLV5r3.Analytics.Miscellaneous.LinearInterp(Peturbed_QZ,$K218,1,AK$1),ZeroCompFreq,'PDH Calc'!$K218/365)</f>
        <v>1</v>
      </c>
    </row>
    <row r="219" spans="1:37">
      <c r="A219" s="4"/>
      <c r="B219" s="6"/>
      <c r="F219" s="11"/>
      <c r="G219" s="6"/>
      <c r="H219" s="20"/>
      <c r="I219" s="21"/>
      <c r="J219" s="26"/>
      <c r="K219" s="6">
        <f t="shared" ref="K219:K282" ca="1" si="10">(H219-Calc_Date)*ISNUMBER(H219)</f>
        <v>0</v>
      </c>
      <c r="L219" s="8">
        <f ca="1">_xll.HLV5r3.Analytics.Miscellaneous.Zero2DF(_xll.HLV5r3.Analytics.Miscellaneous.LinearInterp(Peturbed_QZ,$K219,1,L$1),ZeroCompFreq,'PDH Calc'!$K219/365)</f>
        <v>1</v>
      </c>
      <c r="M219" s="8">
        <f ca="1">_xll.HLV5r3.Analytics.Miscellaneous.Zero2DF(_xll.HLV5r3.Analytics.Miscellaneous.LinearInterp(Peturbed_QZ,$K219,1,M$1),ZeroCompFreq,'PDH Calc'!$K219/365)</f>
        <v>1</v>
      </c>
      <c r="N219" s="8">
        <f ca="1">_xll.HLV5r3.Analytics.Miscellaneous.Zero2DF(_xll.HLV5r3.Analytics.Miscellaneous.LinearInterp(Peturbed_QZ,$K219,1,N$1),ZeroCompFreq,'PDH Calc'!$K219/365)</f>
        <v>1</v>
      </c>
      <c r="O219" s="8">
        <f ca="1">_xll.HLV5r3.Analytics.Miscellaneous.Zero2DF(_xll.HLV5r3.Analytics.Miscellaneous.LinearInterp(Peturbed_QZ,$K219,1,O$1),ZeroCompFreq,'PDH Calc'!$K219/365)</f>
        <v>1</v>
      </c>
      <c r="P219" s="8">
        <f ca="1">_xll.HLV5r3.Analytics.Miscellaneous.Zero2DF(_xll.HLV5r3.Analytics.Miscellaneous.LinearInterp(Peturbed_QZ,$K219,1,P$1),ZeroCompFreq,'PDH Calc'!$K219/365)</f>
        <v>1</v>
      </c>
      <c r="Q219" s="8">
        <f ca="1">_xll.HLV5r3.Analytics.Miscellaneous.Zero2DF(_xll.HLV5r3.Analytics.Miscellaneous.LinearInterp(Peturbed_QZ,$K219,1,Q$1),ZeroCompFreq,'PDH Calc'!$K219/365)</f>
        <v>1</v>
      </c>
      <c r="R219" s="8">
        <f ca="1">_xll.HLV5r3.Analytics.Miscellaneous.Zero2DF(_xll.HLV5r3.Analytics.Miscellaneous.LinearInterp(Peturbed_QZ,$K219,1,R$1),ZeroCompFreq,'PDH Calc'!$K219/365)</f>
        <v>1</v>
      </c>
      <c r="S219" s="8">
        <f ca="1">_xll.HLV5r3.Analytics.Miscellaneous.Zero2DF(_xll.HLV5r3.Analytics.Miscellaneous.LinearInterp(Peturbed_QZ,$K219,1,S$1),ZeroCompFreq,'PDH Calc'!$K219/365)</f>
        <v>1</v>
      </c>
      <c r="T219" s="8">
        <f ca="1">_xll.HLV5r3.Analytics.Miscellaneous.Zero2DF(_xll.HLV5r3.Analytics.Miscellaneous.LinearInterp(Peturbed_QZ,$K219,1,T$1),ZeroCompFreq,'PDH Calc'!$K219/365)</f>
        <v>1</v>
      </c>
      <c r="U219" s="8">
        <f ca="1">_xll.HLV5r3.Analytics.Miscellaneous.Zero2DF(_xll.HLV5r3.Analytics.Miscellaneous.LinearInterp(Peturbed_QZ,$K219,1,U$1),ZeroCompFreq,'PDH Calc'!$K219/365)</f>
        <v>1</v>
      </c>
      <c r="V219" s="8">
        <f ca="1">_xll.HLV5r3.Analytics.Miscellaneous.Zero2DF(_xll.HLV5r3.Analytics.Miscellaneous.LinearInterp(Peturbed_QZ,$K219,1,V$1),ZeroCompFreq,'PDH Calc'!$K219/365)</f>
        <v>1</v>
      </c>
      <c r="W219" s="8">
        <f ca="1">_xll.HLV5r3.Analytics.Miscellaneous.Zero2DF(_xll.HLV5r3.Analytics.Miscellaneous.LinearInterp(Peturbed_QZ,$K219,1,W$1),ZeroCompFreq,'PDH Calc'!$K219/365)</f>
        <v>1</v>
      </c>
      <c r="X219" s="8">
        <f ca="1">_xll.HLV5r3.Analytics.Miscellaneous.Zero2DF(_xll.HLV5r3.Analytics.Miscellaneous.LinearInterp(Peturbed_QZ,$K219,1,X$1),ZeroCompFreq,'PDH Calc'!$K219/365)</f>
        <v>1</v>
      </c>
      <c r="Y219" s="8">
        <f ca="1">_xll.HLV5r3.Analytics.Miscellaneous.Zero2DF(_xll.HLV5r3.Analytics.Miscellaneous.LinearInterp(Peturbed_QZ,$K219,1,Y$1),ZeroCompFreq,'PDH Calc'!$K219/365)</f>
        <v>1</v>
      </c>
      <c r="Z219" s="8">
        <f ca="1">_xll.HLV5r3.Analytics.Miscellaneous.Zero2DF(_xll.HLV5r3.Analytics.Miscellaneous.LinearInterp(Peturbed_QZ,$K219,1,Z$1),ZeroCompFreq,'PDH Calc'!$K219/365)</f>
        <v>1</v>
      </c>
      <c r="AA219" s="8">
        <f ca="1">_xll.HLV5r3.Analytics.Miscellaneous.Zero2DF(_xll.HLV5r3.Analytics.Miscellaneous.LinearInterp(Peturbed_QZ,$K219,1,AA$1),ZeroCompFreq,'PDH Calc'!$K219/365)</f>
        <v>1</v>
      </c>
      <c r="AB219" s="8">
        <f ca="1">_xll.HLV5r3.Analytics.Miscellaneous.Zero2DF(_xll.HLV5r3.Analytics.Miscellaneous.LinearInterp(Peturbed_QZ,$K219,1,AB$1),ZeroCompFreq,'PDH Calc'!$K219/365)</f>
        <v>1</v>
      </c>
      <c r="AC219" s="8">
        <f ca="1">_xll.HLV5r3.Analytics.Miscellaneous.Zero2DF(_xll.HLV5r3.Analytics.Miscellaneous.LinearInterp(Peturbed_QZ,$K219,1,AC$1),ZeroCompFreq,'PDH Calc'!$K219/365)</f>
        <v>1</v>
      </c>
      <c r="AD219" s="8">
        <f ca="1">_xll.HLV5r3.Analytics.Miscellaneous.Zero2DF(_xll.HLV5r3.Analytics.Miscellaneous.LinearInterp(Peturbed_QZ,$K219,1,AD$1),ZeroCompFreq,'PDH Calc'!$K219/365)</f>
        <v>1</v>
      </c>
      <c r="AE219" s="8">
        <f ca="1">_xll.HLV5r3.Analytics.Miscellaneous.Zero2DF(_xll.HLV5r3.Analytics.Miscellaneous.LinearInterp(Peturbed_QZ,$K219,1,AE$1),ZeroCompFreq,'PDH Calc'!$K219/365)</f>
        <v>1</v>
      </c>
      <c r="AF219" s="8">
        <f ca="1">_xll.HLV5r3.Analytics.Miscellaneous.Zero2DF(_xll.HLV5r3.Analytics.Miscellaneous.LinearInterp(Peturbed_QZ,$K219,1,AF$1),ZeroCompFreq,'PDH Calc'!$K219/365)</f>
        <v>1</v>
      </c>
      <c r="AG219" s="8">
        <f ca="1">_xll.HLV5r3.Analytics.Miscellaneous.Zero2DF(_xll.HLV5r3.Analytics.Miscellaneous.LinearInterp(Peturbed_QZ,$K219,1,AG$1),ZeroCompFreq,'PDH Calc'!$K219/365)</f>
        <v>1</v>
      </c>
      <c r="AH219" s="8">
        <f ca="1">_xll.HLV5r3.Analytics.Miscellaneous.Zero2DF(_xll.HLV5r3.Analytics.Miscellaneous.LinearInterp(Peturbed_QZ,$K219,1,AH$1),ZeroCompFreq,'PDH Calc'!$K219/365)</f>
        <v>1</v>
      </c>
      <c r="AI219" s="8">
        <f ca="1">_xll.HLV5r3.Analytics.Miscellaneous.Zero2DF(_xll.HLV5r3.Analytics.Miscellaneous.LinearInterp(Peturbed_QZ,$K219,1,AI$1),ZeroCompFreq,'PDH Calc'!$K219/365)</f>
        <v>1</v>
      </c>
      <c r="AJ219" s="8">
        <f ca="1">_xll.HLV5r3.Analytics.Miscellaneous.Zero2DF(_xll.HLV5r3.Analytics.Miscellaneous.LinearInterp(Peturbed_QZ,$K219,1,AJ$1),ZeroCompFreq,'PDH Calc'!$K219/365)</f>
        <v>1</v>
      </c>
      <c r="AK219" s="8">
        <f ca="1">_xll.HLV5r3.Analytics.Miscellaneous.Zero2DF(_xll.HLV5r3.Analytics.Miscellaneous.LinearInterp(Peturbed_QZ,$K219,1,AK$1),ZeroCompFreq,'PDH Calc'!$K219/365)</f>
        <v>1</v>
      </c>
    </row>
    <row r="220" spans="1:37">
      <c r="A220" s="4"/>
      <c r="B220" s="6"/>
      <c r="F220" s="11"/>
      <c r="G220" s="6"/>
      <c r="H220" s="20"/>
      <c r="I220" s="21"/>
      <c r="J220" s="26"/>
      <c r="K220" s="6">
        <f t="shared" ca="1" si="10"/>
        <v>0</v>
      </c>
      <c r="L220" s="8">
        <f ca="1">_xll.HLV5r3.Analytics.Miscellaneous.Zero2DF(_xll.HLV5r3.Analytics.Miscellaneous.LinearInterp(Peturbed_QZ,$K220,1,L$1),ZeroCompFreq,'PDH Calc'!$K220/365)</f>
        <v>1</v>
      </c>
      <c r="M220" s="8">
        <f ca="1">_xll.HLV5r3.Analytics.Miscellaneous.Zero2DF(_xll.HLV5r3.Analytics.Miscellaneous.LinearInterp(Peturbed_QZ,$K220,1,M$1),ZeroCompFreq,'PDH Calc'!$K220/365)</f>
        <v>1</v>
      </c>
      <c r="N220" s="8">
        <f ca="1">_xll.HLV5r3.Analytics.Miscellaneous.Zero2DF(_xll.HLV5r3.Analytics.Miscellaneous.LinearInterp(Peturbed_QZ,$K220,1,N$1),ZeroCompFreq,'PDH Calc'!$K220/365)</f>
        <v>1</v>
      </c>
      <c r="O220" s="8">
        <f ca="1">_xll.HLV5r3.Analytics.Miscellaneous.Zero2DF(_xll.HLV5r3.Analytics.Miscellaneous.LinearInterp(Peturbed_QZ,$K220,1,O$1),ZeroCompFreq,'PDH Calc'!$K220/365)</f>
        <v>1</v>
      </c>
      <c r="P220" s="8">
        <f ca="1">_xll.HLV5r3.Analytics.Miscellaneous.Zero2DF(_xll.HLV5r3.Analytics.Miscellaneous.LinearInterp(Peturbed_QZ,$K220,1,P$1),ZeroCompFreq,'PDH Calc'!$K220/365)</f>
        <v>1</v>
      </c>
      <c r="Q220" s="8">
        <f ca="1">_xll.HLV5r3.Analytics.Miscellaneous.Zero2DF(_xll.HLV5r3.Analytics.Miscellaneous.LinearInterp(Peturbed_QZ,$K220,1,Q$1),ZeroCompFreq,'PDH Calc'!$K220/365)</f>
        <v>1</v>
      </c>
      <c r="R220" s="8">
        <f ca="1">_xll.HLV5r3.Analytics.Miscellaneous.Zero2DF(_xll.HLV5r3.Analytics.Miscellaneous.LinearInterp(Peturbed_QZ,$K220,1,R$1),ZeroCompFreq,'PDH Calc'!$K220/365)</f>
        <v>1</v>
      </c>
      <c r="S220" s="8">
        <f ca="1">_xll.HLV5r3.Analytics.Miscellaneous.Zero2DF(_xll.HLV5r3.Analytics.Miscellaneous.LinearInterp(Peturbed_QZ,$K220,1,S$1),ZeroCompFreq,'PDH Calc'!$K220/365)</f>
        <v>1</v>
      </c>
      <c r="T220" s="8">
        <f ca="1">_xll.HLV5r3.Analytics.Miscellaneous.Zero2DF(_xll.HLV5r3.Analytics.Miscellaneous.LinearInterp(Peturbed_QZ,$K220,1,T$1),ZeroCompFreq,'PDH Calc'!$K220/365)</f>
        <v>1</v>
      </c>
      <c r="U220" s="8">
        <f ca="1">_xll.HLV5r3.Analytics.Miscellaneous.Zero2DF(_xll.HLV5r3.Analytics.Miscellaneous.LinearInterp(Peturbed_QZ,$K220,1,U$1),ZeroCompFreq,'PDH Calc'!$K220/365)</f>
        <v>1</v>
      </c>
      <c r="V220" s="8">
        <f ca="1">_xll.HLV5r3.Analytics.Miscellaneous.Zero2DF(_xll.HLV5r3.Analytics.Miscellaneous.LinearInterp(Peturbed_QZ,$K220,1,V$1),ZeroCompFreq,'PDH Calc'!$K220/365)</f>
        <v>1</v>
      </c>
      <c r="W220" s="8">
        <f ca="1">_xll.HLV5r3.Analytics.Miscellaneous.Zero2DF(_xll.HLV5r3.Analytics.Miscellaneous.LinearInterp(Peturbed_QZ,$K220,1,W$1),ZeroCompFreq,'PDH Calc'!$K220/365)</f>
        <v>1</v>
      </c>
      <c r="X220" s="8">
        <f ca="1">_xll.HLV5r3.Analytics.Miscellaneous.Zero2DF(_xll.HLV5r3.Analytics.Miscellaneous.LinearInterp(Peturbed_QZ,$K220,1,X$1),ZeroCompFreq,'PDH Calc'!$K220/365)</f>
        <v>1</v>
      </c>
      <c r="Y220" s="8">
        <f ca="1">_xll.HLV5r3.Analytics.Miscellaneous.Zero2DF(_xll.HLV5r3.Analytics.Miscellaneous.LinearInterp(Peturbed_QZ,$K220,1,Y$1),ZeroCompFreq,'PDH Calc'!$K220/365)</f>
        <v>1</v>
      </c>
      <c r="Z220" s="8">
        <f ca="1">_xll.HLV5r3.Analytics.Miscellaneous.Zero2DF(_xll.HLV5r3.Analytics.Miscellaneous.LinearInterp(Peturbed_QZ,$K220,1,Z$1),ZeroCompFreq,'PDH Calc'!$K220/365)</f>
        <v>1</v>
      </c>
      <c r="AA220" s="8">
        <f ca="1">_xll.HLV5r3.Analytics.Miscellaneous.Zero2DF(_xll.HLV5r3.Analytics.Miscellaneous.LinearInterp(Peturbed_QZ,$K220,1,AA$1),ZeroCompFreq,'PDH Calc'!$K220/365)</f>
        <v>1</v>
      </c>
      <c r="AB220" s="8">
        <f ca="1">_xll.HLV5r3.Analytics.Miscellaneous.Zero2DF(_xll.HLV5r3.Analytics.Miscellaneous.LinearInterp(Peturbed_QZ,$K220,1,AB$1),ZeroCompFreq,'PDH Calc'!$K220/365)</f>
        <v>1</v>
      </c>
      <c r="AC220" s="8">
        <f ca="1">_xll.HLV5r3.Analytics.Miscellaneous.Zero2DF(_xll.HLV5r3.Analytics.Miscellaneous.LinearInterp(Peturbed_QZ,$K220,1,AC$1),ZeroCompFreq,'PDH Calc'!$K220/365)</f>
        <v>1</v>
      </c>
      <c r="AD220" s="8">
        <f ca="1">_xll.HLV5r3.Analytics.Miscellaneous.Zero2DF(_xll.HLV5r3.Analytics.Miscellaneous.LinearInterp(Peturbed_QZ,$K220,1,AD$1),ZeroCompFreq,'PDH Calc'!$K220/365)</f>
        <v>1</v>
      </c>
      <c r="AE220" s="8">
        <f ca="1">_xll.HLV5r3.Analytics.Miscellaneous.Zero2DF(_xll.HLV5r3.Analytics.Miscellaneous.LinearInterp(Peturbed_QZ,$K220,1,AE$1),ZeroCompFreq,'PDH Calc'!$K220/365)</f>
        <v>1</v>
      </c>
      <c r="AF220" s="8">
        <f ca="1">_xll.HLV5r3.Analytics.Miscellaneous.Zero2DF(_xll.HLV5r3.Analytics.Miscellaneous.LinearInterp(Peturbed_QZ,$K220,1,AF$1),ZeroCompFreq,'PDH Calc'!$K220/365)</f>
        <v>1</v>
      </c>
      <c r="AG220" s="8">
        <f ca="1">_xll.HLV5r3.Analytics.Miscellaneous.Zero2DF(_xll.HLV5r3.Analytics.Miscellaneous.LinearInterp(Peturbed_QZ,$K220,1,AG$1),ZeroCompFreq,'PDH Calc'!$K220/365)</f>
        <v>1</v>
      </c>
      <c r="AH220" s="8">
        <f ca="1">_xll.HLV5r3.Analytics.Miscellaneous.Zero2DF(_xll.HLV5r3.Analytics.Miscellaneous.LinearInterp(Peturbed_QZ,$K220,1,AH$1),ZeroCompFreq,'PDH Calc'!$K220/365)</f>
        <v>1</v>
      </c>
      <c r="AI220" s="8">
        <f ca="1">_xll.HLV5r3.Analytics.Miscellaneous.Zero2DF(_xll.HLV5r3.Analytics.Miscellaneous.LinearInterp(Peturbed_QZ,$K220,1,AI$1),ZeroCompFreq,'PDH Calc'!$K220/365)</f>
        <v>1</v>
      </c>
      <c r="AJ220" s="8">
        <f ca="1">_xll.HLV5r3.Analytics.Miscellaneous.Zero2DF(_xll.HLV5r3.Analytics.Miscellaneous.LinearInterp(Peturbed_QZ,$K220,1,AJ$1),ZeroCompFreq,'PDH Calc'!$K220/365)</f>
        <v>1</v>
      </c>
      <c r="AK220" s="8">
        <f ca="1">_xll.HLV5r3.Analytics.Miscellaneous.Zero2DF(_xll.HLV5r3.Analytics.Miscellaneous.LinearInterp(Peturbed_QZ,$K220,1,AK$1),ZeroCompFreq,'PDH Calc'!$K220/365)</f>
        <v>1</v>
      </c>
    </row>
    <row r="221" spans="1:37">
      <c r="A221" s="4"/>
      <c r="B221" s="6"/>
      <c r="F221" s="11"/>
      <c r="G221" s="6"/>
      <c r="H221" s="20"/>
      <c r="I221" s="21"/>
      <c r="J221" s="26"/>
      <c r="K221" s="6">
        <f t="shared" ca="1" si="10"/>
        <v>0</v>
      </c>
      <c r="L221" s="8">
        <f ca="1">_xll.HLV5r3.Analytics.Miscellaneous.Zero2DF(_xll.HLV5r3.Analytics.Miscellaneous.LinearInterp(Peturbed_QZ,$K221,1,L$1),ZeroCompFreq,'PDH Calc'!$K221/365)</f>
        <v>1</v>
      </c>
      <c r="M221" s="8">
        <f ca="1">_xll.HLV5r3.Analytics.Miscellaneous.Zero2DF(_xll.HLV5r3.Analytics.Miscellaneous.LinearInterp(Peturbed_QZ,$K221,1,M$1),ZeroCompFreq,'PDH Calc'!$K221/365)</f>
        <v>1</v>
      </c>
      <c r="N221" s="8">
        <f ca="1">_xll.HLV5r3.Analytics.Miscellaneous.Zero2DF(_xll.HLV5r3.Analytics.Miscellaneous.LinearInterp(Peturbed_QZ,$K221,1,N$1),ZeroCompFreq,'PDH Calc'!$K221/365)</f>
        <v>1</v>
      </c>
      <c r="O221" s="8">
        <f ca="1">_xll.HLV5r3.Analytics.Miscellaneous.Zero2DF(_xll.HLV5r3.Analytics.Miscellaneous.LinearInterp(Peturbed_QZ,$K221,1,O$1),ZeroCompFreq,'PDH Calc'!$K221/365)</f>
        <v>1</v>
      </c>
      <c r="P221" s="8">
        <f ca="1">_xll.HLV5r3.Analytics.Miscellaneous.Zero2DF(_xll.HLV5r3.Analytics.Miscellaneous.LinearInterp(Peturbed_QZ,$K221,1,P$1),ZeroCompFreq,'PDH Calc'!$K221/365)</f>
        <v>1</v>
      </c>
      <c r="Q221" s="8">
        <f ca="1">_xll.HLV5r3.Analytics.Miscellaneous.Zero2DF(_xll.HLV5r3.Analytics.Miscellaneous.LinearInterp(Peturbed_QZ,$K221,1,Q$1),ZeroCompFreq,'PDH Calc'!$K221/365)</f>
        <v>1</v>
      </c>
      <c r="R221" s="8">
        <f ca="1">_xll.HLV5r3.Analytics.Miscellaneous.Zero2DF(_xll.HLV5r3.Analytics.Miscellaneous.LinearInterp(Peturbed_QZ,$K221,1,R$1),ZeroCompFreq,'PDH Calc'!$K221/365)</f>
        <v>1</v>
      </c>
      <c r="S221" s="8">
        <f ca="1">_xll.HLV5r3.Analytics.Miscellaneous.Zero2DF(_xll.HLV5r3.Analytics.Miscellaneous.LinearInterp(Peturbed_QZ,$K221,1,S$1),ZeroCompFreq,'PDH Calc'!$K221/365)</f>
        <v>1</v>
      </c>
      <c r="T221" s="8">
        <f ca="1">_xll.HLV5r3.Analytics.Miscellaneous.Zero2DF(_xll.HLV5r3.Analytics.Miscellaneous.LinearInterp(Peturbed_QZ,$K221,1,T$1),ZeroCompFreq,'PDH Calc'!$K221/365)</f>
        <v>1</v>
      </c>
      <c r="U221" s="8">
        <f ca="1">_xll.HLV5r3.Analytics.Miscellaneous.Zero2DF(_xll.HLV5r3.Analytics.Miscellaneous.LinearInterp(Peturbed_QZ,$K221,1,U$1),ZeroCompFreq,'PDH Calc'!$K221/365)</f>
        <v>1</v>
      </c>
      <c r="V221" s="8">
        <f ca="1">_xll.HLV5r3.Analytics.Miscellaneous.Zero2DF(_xll.HLV5r3.Analytics.Miscellaneous.LinearInterp(Peturbed_QZ,$K221,1,V$1),ZeroCompFreq,'PDH Calc'!$K221/365)</f>
        <v>1</v>
      </c>
      <c r="W221" s="8">
        <f ca="1">_xll.HLV5r3.Analytics.Miscellaneous.Zero2DF(_xll.HLV5r3.Analytics.Miscellaneous.LinearInterp(Peturbed_QZ,$K221,1,W$1),ZeroCompFreq,'PDH Calc'!$K221/365)</f>
        <v>1</v>
      </c>
      <c r="X221" s="8">
        <f ca="1">_xll.HLV5r3.Analytics.Miscellaneous.Zero2DF(_xll.HLV5r3.Analytics.Miscellaneous.LinearInterp(Peturbed_QZ,$K221,1,X$1),ZeroCompFreq,'PDH Calc'!$K221/365)</f>
        <v>1</v>
      </c>
      <c r="Y221" s="8">
        <f ca="1">_xll.HLV5r3.Analytics.Miscellaneous.Zero2DF(_xll.HLV5r3.Analytics.Miscellaneous.LinearInterp(Peturbed_QZ,$K221,1,Y$1),ZeroCompFreq,'PDH Calc'!$K221/365)</f>
        <v>1</v>
      </c>
      <c r="Z221" s="8">
        <f ca="1">_xll.HLV5r3.Analytics.Miscellaneous.Zero2DF(_xll.HLV5r3.Analytics.Miscellaneous.LinearInterp(Peturbed_QZ,$K221,1,Z$1),ZeroCompFreq,'PDH Calc'!$K221/365)</f>
        <v>1</v>
      </c>
      <c r="AA221" s="8">
        <f ca="1">_xll.HLV5r3.Analytics.Miscellaneous.Zero2DF(_xll.HLV5r3.Analytics.Miscellaneous.LinearInterp(Peturbed_QZ,$K221,1,AA$1),ZeroCompFreq,'PDH Calc'!$K221/365)</f>
        <v>1</v>
      </c>
      <c r="AB221" s="8">
        <f ca="1">_xll.HLV5r3.Analytics.Miscellaneous.Zero2DF(_xll.HLV5r3.Analytics.Miscellaneous.LinearInterp(Peturbed_QZ,$K221,1,AB$1),ZeroCompFreq,'PDH Calc'!$K221/365)</f>
        <v>1</v>
      </c>
      <c r="AC221" s="8">
        <f ca="1">_xll.HLV5r3.Analytics.Miscellaneous.Zero2DF(_xll.HLV5r3.Analytics.Miscellaneous.LinearInterp(Peturbed_QZ,$K221,1,AC$1),ZeroCompFreq,'PDH Calc'!$K221/365)</f>
        <v>1</v>
      </c>
      <c r="AD221" s="8">
        <f ca="1">_xll.HLV5r3.Analytics.Miscellaneous.Zero2DF(_xll.HLV5r3.Analytics.Miscellaneous.LinearInterp(Peturbed_QZ,$K221,1,AD$1),ZeroCompFreq,'PDH Calc'!$K221/365)</f>
        <v>1</v>
      </c>
      <c r="AE221" s="8">
        <f ca="1">_xll.HLV5r3.Analytics.Miscellaneous.Zero2DF(_xll.HLV5r3.Analytics.Miscellaneous.LinearInterp(Peturbed_QZ,$K221,1,AE$1),ZeroCompFreq,'PDH Calc'!$K221/365)</f>
        <v>1</v>
      </c>
      <c r="AF221" s="8">
        <f ca="1">_xll.HLV5r3.Analytics.Miscellaneous.Zero2DF(_xll.HLV5r3.Analytics.Miscellaneous.LinearInterp(Peturbed_QZ,$K221,1,AF$1),ZeroCompFreq,'PDH Calc'!$K221/365)</f>
        <v>1</v>
      </c>
      <c r="AG221" s="8">
        <f ca="1">_xll.HLV5r3.Analytics.Miscellaneous.Zero2DF(_xll.HLV5r3.Analytics.Miscellaneous.LinearInterp(Peturbed_QZ,$K221,1,AG$1),ZeroCompFreq,'PDH Calc'!$K221/365)</f>
        <v>1</v>
      </c>
      <c r="AH221" s="8">
        <f ca="1">_xll.HLV5r3.Analytics.Miscellaneous.Zero2DF(_xll.HLV5r3.Analytics.Miscellaneous.LinearInterp(Peturbed_QZ,$K221,1,AH$1),ZeroCompFreq,'PDH Calc'!$K221/365)</f>
        <v>1</v>
      </c>
      <c r="AI221" s="8">
        <f ca="1">_xll.HLV5r3.Analytics.Miscellaneous.Zero2DF(_xll.HLV5r3.Analytics.Miscellaneous.LinearInterp(Peturbed_QZ,$K221,1,AI$1),ZeroCompFreq,'PDH Calc'!$K221/365)</f>
        <v>1</v>
      </c>
      <c r="AJ221" s="8">
        <f ca="1">_xll.HLV5r3.Analytics.Miscellaneous.Zero2DF(_xll.HLV5r3.Analytics.Miscellaneous.LinearInterp(Peturbed_QZ,$K221,1,AJ$1),ZeroCompFreq,'PDH Calc'!$K221/365)</f>
        <v>1</v>
      </c>
      <c r="AK221" s="8">
        <f ca="1">_xll.HLV5r3.Analytics.Miscellaneous.Zero2DF(_xll.HLV5r3.Analytics.Miscellaneous.LinearInterp(Peturbed_QZ,$K221,1,AK$1),ZeroCompFreq,'PDH Calc'!$K221/365)</f>
        <v>1</v>
      </c>
    </row>
    <row r="222" spans="1:37">
      <c r="A222" s="4"/>
      <c r="B222" s="6"/>
      <c r="F222" s="11"/>
      <c r="G222" s="6"/>
      <c r="H222" s="20"/>
      <c r="I222" s="21"/>
      <c r="J222" s="26"/>
      <c r="K222" s="6">
        <f t="shared" ca="1" si="10"/>
        <v>0</v>
      </c>
      <c r="L222" s="8">
        <f ca="1">_xll.HLV5r3.Analytics.Miscellaneous.Zero2DF(_xll.HLV5r3.Analytics.Miscellaneous.LinearInterp(Peturbed_QZ,$K222,1,L$1),ZeroCompFreq,'PDH Calc'!$K222/365)</f>
        <v>1</v>
      </c>
      <c r="M222" s="8">
        <f ca="1">_xll.HLV5r3.Analytics.Miscellaneous.Zero2DF(_xll.HLV5r3.Analytics.Miscellaneous.LinearInterp(Peturbed_QZ,$K222,1,M$1),ZeroCompFreq,'PDH Calc'!$K222/365)</f>
        <v>1</v>
      </c>
      <c r="N222" s="8">
        <f ca="1">_xll.HLV5r3.Analytics.Miscellaneous.Zero2DF(_xll.HLV5r3.Analytics.Miscellaneous.LinearInterp(Peturbed_QZ,$K222,1,N$1),ZeroCompFreq,'PDH Calc'!$K222/365)</f>
        <v>1</v>
      </c>
      <c r="O222" s="8">
        <f ca="1">_xll.HLV5r3.Analytics.Miscellaneous.Zero2DF(_xll.HLV5r3.Analytics.Miscellaneous.LinearInterp(Peturbed_QZ,$K222,1,O$1),ZeroCompFreq,'PDH Calc'!$K222/365)</f>
        <v>1</v>
      </c>
      <c r="P222" s="8">
        <f ca="1">_xll.HLV5r3.Analytics.Miscellaneous.Zero2DF(_xll.HLV5r3.Analytics.Miscellaneous.LinearInterp(Peturbed_QZ,$K222,1,P$1),ZeroCompFreq,'PDH Calc'!$K222/365)</f>
        <v>1</v>
      </c>
      <c r="Q222" s="8">
        <f ca="1">_xll.HLV5r3.Analytics.Miscellaneous.Zero2DF(_xll.HLV5r3.Analytics.Miscellaneous.LinearInterp(Peturbed_QZ,$K222,1,Q$1),ZeroCompFreq,'PDH Calc'!$K222/365)</f>
        <v>1</v>
      </c>
      <c r="R222" s="8">
        <f ca="1">_xll.HLV5r3.Analytics.Miscellaneous.Zero2DF(_xll.HLV5r3.Analytics.Miscellaneous.LinearInterp(Peturbed_QZ,$K222,1,R$1),ZeroCompFreq,'PDH Calc'!$K222/365)</f>
        <v>1</v>
      </c>
      <c r="S222" s="8">
        <f ca="1">_xll.HLV5r3.Analytics.Miscellaneous.Zero2DF(_xll.HLV5r3.Analytics.Miscellaneous.LinearInterp(Peturbed_QZ,$K222,1,S$1),ZeroCompFreq,'PDH Calc'!$K222/365)</f>
        <v>1</v>
      </c>
      <c r="T222" s="8">
        <f ca="1">_xll.HLV5r3.Analytics.Miscellaneous.Zero2DF(_xll.HLV5r3.Analytics.Miscellaneous.LinearInterp(Peturbed_QZ,$K222,1,T$1),ZeroCompFreq,'PDH Calc'!$K222/365)</f>
        <v>1</v>
      </c>
      <c r="U222" s="8">
        <f ca="1">_xll.HLV5r3.Analytics.Miscellaneous.Zero2DF(_xll.HLV5r3.Analytics.Miscellaneous.LinearInterp(Peturbed_QZ,$K222,1,U$1),ZeroCompFreq,'PDH Calc'!$K222/365)</f>
        <v>1</v>
      </c>
      <c r="V222" s="8">
        <f ca="1">_xll.HLV5r3.Analytics.Miscellaneous.Zero2DF(_xll.HLV5r3.Analytics.Miscellaneous.LinearInterp(Peturbed_QZ,$K222,1,V$1),ZeroCompFreq,'PDH Calc'!$K222/365)</f>
        <v>1</v>
      </c>
      <c r="W222" s="8">
        <f ca="1">_xll.HLV5r3.Analytics.Miscellaneous.Zero2DF(_xll.HLV5r3.Analytics.Miscellaneous.LinearInterp(Peturbed_QZ,$K222,1,W$1),ZeroCompFreq,'PDH Calc'!$K222/365)</f>
        <v>1</v>
      </c>
      <c r="X222" s="8">
        <f ca="1">_xll.HLV5r3.Analytics.Miscellaneous.Zero2DF(_xll.HLV5r3.Analytics.Miscellaneous.LinearInterp(Peturbed_QZ,$K222,1,X$1),ZeroCompFreq,'PDH Calc'!$K222/365)</f>
        <v>1</v>
      </c>
      <c r="Y222" s="8">
        <f ca="1">_xll.HLV5r3.Analytics.Miscellaneous.Zero2DF(_xll.HLV5r3.Analytics.Miscellaneous.LinearInterp(Peturbed_QZ,$K222,1,Y$1),ZeroCompFreq,'PDH Calc'!$K222/365)</f>
        <v>1</v>
      </c>
      <c r="Z222" s="8">
        <f ca="1">_xll.HLV5r3.Analytics.Miscellaneous.Zero2DF(_xll.HLV5r3.Analytics.Miscellaneous.LinearInterp(Peturbed_QZ,$K222,1,Z$1),ZeroCompFreq,'PDH Calc'!$K222/365)</f>
        <v>1</v>
      </c>
      <c r="AA222" s="8">
        <f ca="1">_xll.HLV5r3.Analytics.Miscellaneous.Zero2DF(_xll.HLV5r3.Analytics.Miscellaneous.LinearInterp(Peturbed_QZ,$K222,1,AA$1),ZeroCompFreq,'PDH Calc'!$K222/365)</f>
        <v>1</v>
      </c>
      <c r="AB222" s="8">
        <f ca="1">_xll.HLV5r3.Analytics.Miscellaneous.Zero2DF(_xll.HLV5r3.Analytics.Miscellaneous.LinearInterp(Peturbed_QZ,$K222,1,AB$1),ZeroCompFreq,'PDH Calc'!$K222/365)</f>
        <v>1</v>
      </c>
      <c r="AC222" s="8">
        <f ca="1">_xll.HLV5r3.Analytics.Miscellaneous.Zero2DF(_xll.HLV5r3.Analytics.Miscellaneous.LinearInterp(Peturbed_QZ,$K222,1,AC$1),ZeroCompFreq,'PDH Calc'!$K222/365)</f>
        <v>1</v>
      </c>
      <c r="AD222" s="8">
        <f ca="1">_xll.HLV5r3.Analytics.Miscellaneous.Zero2DF(_xll.HLV5r3.Analytics.Miscellaneous.LinearInterp(Peturbed_QZ,$K222,1,AD$1),ZeroCompFreq,'PDH Calc'!$K222/365)</f>
        <v>1</v>
      </c>
      <c r="AE222" s="8">
        <f ca="1">_xll.HLV5r3.Analytics.Miscellaneous.Zero2DF(_xll.HLV5r3.Analytics.Miscellaneous.LinearInterp(Peturbed_QZ,$K222,1,AE$1),ZeroCompFreq,'PDH Calc'!$K222/365)</f>
        <v>1</v>
      </c>
      <c r="AF222" s="8">
        <f ca="1">_xll.HLV5r3.Analytics.Miscellaneous.Zero2DF(_xll.HLV5r3.Analytics.Miscellaneous.LinearInterp(Peturbed_QZ,$K222,1,AF$1),ZeroCompFreq,'PDH Calc'!$K222/365)</f>
        <v>1</v>
      </c>
      <c r="AG222" s="8">
        <f ca="1">_xll.HLV5r3.Analytics.Miscellaneous.Zero2DF(_xll.HLV5r3.Analytics.Miscellaneous.LinearInterp(Peturbed_QZ,$K222,1,AG$1),ZeroCompFreq,'PDH Calc'!$K222/365)</f>
        <v>1</v>
      </c>
      <c r="AH222" s="8">
        <f ca="1">_xll.HLV5r3.Analytics.Miscellaneous.Zero2DF(_xll.HLV5r3.Analytics.Miscellaneous.LinearInterp(Peturbed_QZ,$K222,1,AH$1),ZeroCompFreq,'PDH Calc'!$K222/365)</f>
        <v>1</v>
      </c>
      <c r="AI222" s="8">
        <f ca="1">_xll.HLV5r3.Analytics.Miscellaneous.Zero2DF(_xll.HLV5r3.Analytics.Miscellaneous.LinearInterp(Peturbed_QZ,$K222,1,AI$1),ZeroCompFreq,'PDH Calc'!$K222/365)</f>
        <v>1</v>
      </c>
      <c r="AJ222" s="8">
        <f ca="1">_xll.HLV5r3.Analytics.Miscellaneous.Zero2DF(_xll.HLV5r3.Analytics.Miscellaneous.LinearInterp(Peturbed_QZ,$K222,1,AJ$1),ZeroCompFreq,'PDH Calc'!$K222/365)</f>
        <v>1</v>
      </c>
      <c r="AK222" s="8">
        <f ca="1">_xll.HLV5r3.Analytics.Miscellaneous.Zero2DF(_xll.HLV5r3.Analytics.Miscellaneous.LinearInterp(Peturbed_QZ,$K222,1,AK$1),ZeroCompFreq,'PDH Calc'!$K222/365)</f>
        <v>1</v>
      </c>
    </row>
    <row r="223" spans="1:37">
      <c r="A223" s="4"/>
      <c r="B223" s="6"/>
      <c r="F223" s="11"/>
      <c r="G223" s="6"/>
      <c r="H223" s="20"/>
      <c r="I223" s="21"/>
      <c r="J223" s="26"/>
      <c r="K223" s="6">
        <f t="shared" ca="1" si="10"/>
        <v>0</v>
      </c>
      <c r="L223" s="8">
        <f ca="1">_xll.HLV5r3.Analytics.Miscellaneous.Zero2DF(_xll.HLV5r3.Analytics.Miscellaneous.LinearInterp(Peturbed_QZ,$K223,1,L$1),ZeroCompFreq,'PDH Calc'!$K223/365)</f>
        <v>1</v>
      </c>
      <c r="M223" s="8">
        <f ca="1">_xll.HLV5r3.Analytics.Miscellaneous.Zero2DF(_xll.HLV5r3.Analytics.Miscellaneous.LinearInterp(Peturbed_QZ,$K223,1,M$1),ZeroCompFreq,'PDH Calc'!$K223/365)</f>
        <v>1</v>
      </c>
      <c r="N223" s="8">
        <f ca="1">_xll.HLV5r3.Analytics.Miscellaneous.Zero2DF(_xll.HLV5r3.Analytics.Miscellaneous.LinearInterp(Peturbed_QZ,$K223,1,N$1),ZeroCompFreq,'PDH Calc'!$K223/365)</f>
        <v>1</v>
      </c>
      <c r="O223" s="8">
        <f ca="1">_xll.HLV5r3.Analytics.Miscellaneous.Zero2DF(_xll.HLV5r3.Analytics.Miscellaneous.LinearInterp(Peturbed_QZ,$K223,1,O$1),ZeroCompFreq,'PDH Calc'!$K223/365)</f>
        <v>1</v>
      </c>
      <c r="P223" s="8">
        <f ca="1">_xll.HLV5r3.Analytics.Miscellaneous.Zero2DF(_xll.HLV5r3.Analytics.Miscellaneous.LinearInterp(Peturbed_QZ,$K223,1,P$1),ZeroCompFreq,'PDH Calc'!$K223/365)</f>
        <v>1</v>
      </c>
      <c r="Q223" s="8">
        <f ca="1">_xll.HLV5r3.Analytics.Miscellaneous.Zero2DF(_xll.HLV5r3.Analytics.Miscellaneous.LinearInterp(Peturbed_QZ,$K223,1,Q$1),ZeroCompFreq,'PDH Calc'!$K223/365)</f>
        <v>1</v>
      </c>
      <c r="R223" s="8">
        <f ca="1">_xll.HLV5r3.Analytics.Miscellaneous.Zero2DF(_xll.HLV5r3.Analytics.Miscellaneous.LinearInterp(Peturbed_QZ,$K223,1,R$1),ZeroCompFreq,'PDH Calc'!$K223/365)</f>
        <v>1</v>
      </c>
      <c r="S223" s="8">
        <f ca="1">_xll.HLV5r3.Analytics.Miscellaneous.Zero2DF(_xll.HLV5r3.Analytics.Miscellaneous.LinearInterp(Peturbed_QZ,$K223,1,S$1),ZeroCompFreq,'PDH Calc'!$K223/365)</f>
        <v>1</v>
      </c>
      <c r="T223" s="8">
        <f ca="1">_xll.HLV5r3.Analytics.Miscellaneous.Zero2DF(_xll.HLV5r3.Analytics.Miscellaneous.LinearInterp(Peturbed_QZ,$K223,1,T$1),ZeroCompFreq,'PDH Calc'!$K223/365)</f>
        <v>1</v>
      </c>
      <c r="U223" s="8">
        <f ca="1">_xll.HLV5r3.Analytics.Miscellaneous.Zero2DF(_xll.HLV5r3.Analytics.Miscellaneous.LinearInterp(Peturbed_QZ,$K223,1,U$1),ZeroCompFreq,'PDH Calc'!$K223/365)</f>
        <v>1</v>
      </c>
      <c r="V223" s="8">
        <f ca="1">_xll.HLV5r3.Analytics.Miscellaneous.Zero2DF(_xll.HLV5r3.Analytics.Miscellaneous.LinearInterp(Peturbed_QZ,$K223,1,V$1),ZeroCompFreq,'PDH Calc'!$K223/365)</f>
        <v>1</v>
      </c>
      <c r="W223" s="8">
        <f ca="1">_xll.HLV5r3.Analytics.Miscellaneous.Zero2DF(_xll.HLV5r3.Analytics.Miscellaneous.LinearInterp(Peturbed_QZ,$K223,1,W$1),ZeroCompFreq,'PDH Calc'!$K223/365)</f>
        <v>1</v>
      </c>
      <c r="X223" s="8">
        <f ca="1">_xll.HLV5r3.Analytics.Miscellaneous.Zero2DF(_xll.HLV5r3.Analytics.Miscellaneous.LinearInterp(Peturbed_QZ,$K223,1,X$1),ZeroCompFreq,'PDH Calc'!$K223/365)</f>
        <v>1</v>
      </c>
      <c r="Y223" s="8">
        <f ca="1">_xll.HLV5r3.Analytics.Miscellaneous.Zero2DF(_xll.HLV5r3.Analytics.Miscellaneous.LinearInterp(Peturbed_QZ,$K223,1,Y$1),ZeroCompFreq,'PDH Calc'!$K223/365)</f>
        <v>1</v>
      </c>
      <c r="Z223" s="8">
        <f ca="1">_xll.HLV5r3.Analytics.Miscellaneous.Zero2DF(_xll.HLV5r3.Analytics.Miscellaneous.LinearInterp(Peturbed_QZ,$K223,1,Z$1),ZeroCompFreq,'PDH Calc'!$K223/365)</f>
        <v>1</v>
      </c>
      <c r="AA223" s="8">
        <f ca="1">_xll.HLV5r3.Analytics.Miscellaneous.Zero2DF(_xll.HLV5r3.Analytics.Miscellaneous.LinearInterp(Peturbed_QZ,$K223,1,AA$1),ZeroCompFreq,'PDH Calc'!$K223/365)</f>
        <v>1</v>
      </c>
      <c r="AB223" s="8">
        <f ca="1">_xll.HLV5r3.Analytics.Miscellaneous.Zero2DF(_xll.HLV5r3.Analytics.Miscellaneous.LinearInterp(Peturbed_QZ,$K223,1,AB$1),ZeroCompFreq,'PDH Calc'!$K223/365)</f>
        <v>1</v>
      </c>
      <c r="AC223" s="8">
        <f ca="1">_xll.HLV5r3.Analytics.Miscellaneous.Zero2DF(_xll.HLV5r3.Analytics.Miscellaneous.LinearInterp(Peturbed_QZ,$K223,1,AC$1),ZeroCompFreq,'PDH Calc'!$K223/365)</f>
        <v>1</v>
      </c>
      <c r="AD223" s="8">
        <f ca="1">_xll.HLV5r3.Analytics.Miscellaneous.Zero2DF(_xll.HLV5r3.Analytics.Miscellaneous.LinearInterp(Peturbed_QZ,$K223,1,AD$1),ZeroCompFreq,'PDH Calc'!$K223/365)</f>
        <v>1</v>
      </c>
      <c r="AE223" s="8">
        <f ca="1">_xll.HLV5r3.Analytics.Miscellaneous.Zero2DF(_xll.HLV5r3.Analytics.Miscellaneous.LinearInterp(Peturbed_QZ,$K223,1,AE$1),ZeroCompFreq,'PDH Calc'!$K223/365)</f>
        <v>1</v>
      </c>
      <c r="AF223" s="8">
        <f ca="1">_xll.HLV5r3.Analytics.Miscellaneous.Zero2DF(_xll.HLV5r3.Analytics.Miscellaneous.LinearInterp(Peturbed_QZ,$K223,1,AF$1),ZeroCompFreq,'PDH Calc'!$K223/365)</f>
        <v>1</v>
      </c>
      <c r="AG223" s="8">
        <f ca="1">_xll.HLV5r3.Analytics.Miscellaneous.Zero2DF(_xll.HLV5r3.Analytics.Miscellaneous.LinearInterp(Peturbed_QZ,$K223,1,AG$1),ZeroCompFreq,'PDH Calc'!$K223/365)</f>
        <v>1</v>
      </c>
      <c r="AH223" s="8">
        <f ca="1">_xll.HLV5r3.Analytics.Miscellaneous.Zero2DF(_xll.HLV5r3.Analytics.Miscellaneous.LinearInterp(Peturbed_QZ,$K223,1,AH$1),ZeroCompFreq,'PDH Calc'!$K223/365)</f>
        <v>1</v>
      </c>
      <c r="AI223" s="8">
        <f ca="1">_xll.HLV5r3.Analytics.Miscellaneous.Zero2DF(_xll.HLV5r3.Analytics.Miscellaneous.LinearInterp(Peturbed_QZ,$K223,1,AI$1),ZeroCompFreq,'PDH Calc'!$K223/365)</f>
        <v>1</v>
      </c>
      <c r="AJ223" s="8">
        <f ca="1">_xll.HLV5r3.Analytics.Miscellaneous.Zero2DF(_xll.HLV5r3.Analytics.Miscellaneous.LinearInterp(Peturbed_QZ,$K223,1,AJ$1),ZeroCompFreq,'PDH Calc'!$K223/365)</f>
        <v>1</v>
      </c>
      <c r="AK223" s="8">
        <f ca="1">_xll.HLV5r3.Analytics.Miscellaneous.Zero2DF(_xll.HLV5r3.Analytics.Miscellaneous.LinearInterp(Peturbed_QZ,$K223,1,AK$1),ZeroCompFreq,'PDH Calc'!$K223/365)</f>
        <v>1</v>
      </c>
    </row>
    <row r="224" spans="1:37">
      <c r="A224" s="4"/>
      <c r="B224" s="6"/>
      <c r="F224" s="11"/>
      <c r="G224" s="6"/>
      <c r="H224" s="20"/>
      <c r="I224" s="21"/>
      <c r="J224" s="26"/>
      <c r="K224" s="6">
        <f t="shared" ca="1" si="10"/>
        <v>0</v>
      </c>
      <c r="L224" s="8">
        <f ca="1">_xll.HLV5r3.Analytics.Miscellaneous.Zero2DF(_xll.HLV5r3.Analytics.Miscellaneous.LinearInterp(Peturbed_QZ,$K224,1,L$1),ZeroCompFreq,'PDH Calc'!$K224/365)</f>
        <v>1</v>
      </c>
      <c r="M224" s="8">
        <f ca="1">_xll.HLV5r3.Analytics.Miscellaneous.Zero2DF(_xll.HLV5r3.Analytics.Miscellaneous.LinearInterp(Peturbed_QZ,$K224,1,M$1),ZeroCompFreq,'PDH Calc'!$K224/365)</f>
        <v>1</v>
      </c>
      <c r="N224" s="8">
        <f ca="1">_xll.HLV5r3.Analytics.Miscellaneous.Zero2DF(_xll.HLV5r3.Analytics.Miscellaneous.LinearInterp(Peturbed_QZ,$K224,1,N$1),ZeroCompFreq,'PDH Calc'!$K224/365)</f>
        <v>1</v>
      </c>
      <c r="O224" s="8">
        <f ca="1">_xll.HLV5r3.Analytics.Miscellaneous.Zero2DF(_xll.HLV5r3.Analytics.Miscellaneous.LinearInterp(Peturbed_QZ,$K224,1,O$1),ZeroCompFreq,'PDH Calc'!$K224/365)</f>
        <v>1</v>
      </c>
      <c r="P224" s="8">
        <f ca="1">_xll.HLV5r3.Analytics.Miscellaneous.Zero2DF(_xll.HLV5r3.Analytics.Miscellaneous.LinearInterp(Peturbed_QZ,$K224,1,P$1),ZeroCompFreq,'PDH Calc'!$K224/365)</f>
        <v>1</v>
      </c>
      <c r="Q224" s="8">
        <f ca="1">_xll.HLV5r3.Analytics.Miscellaneous.Zero2DF(_xll.HLV5r3.Analytics.Miscellaneous.LinearInterp(Peturbed_QZ,$K224,1,Q$1),ZeroCompFreq,'PDH Calc'!$K224/365)</f>
        <v>1</v>
      </c>
      <c r="R224" s="8">
        <f ca="1">_xll.HLV5r3.Analytics.Miscellaneous.Zero2DF(_xll.HLV5r3.Analytics.Miscellaneous.LinearInterp(Peturbed_QZ,$K224,1,R$1),ZeroCompFreq,'PDH Calc'!$K224/365)</f>
        <v>1</v>
      </c>
      <c r="S224" s="8">
        <f ca="1">_xll.HLV5r3.Analytics.Miscellaneous.Zero2DF(_xll.HLV5r3.Analytics.Miscellaneous.LinearInterp(Peturbed_QZ,$K224,1,S$1),ZeroCompFreq,'PDH Calc'!$K224/365)</f>
        <v>1</v>
      </c>
      <c r="T224" s="8">
        <f ca="1">_xll.HLV5r3.Analytics.Miscellaneous.Zero2DF(_xll.HLV5r3.Analytics.Miscellaneous.LinearInterp(Peturbed_QZ,$K224,1,T$1),ZeroCompFreq,'PDH Calc'!$K224/365)</f>
        <v>1</v>
      </c>
      <c r="U224" s="8">
        <f ca="1">_xll.HLV5r3.Analytics.Miscellaneous.Zero2DF(_xll.HLV5r3.Analytics.Miscellaneous.LinearInterp(Peturbed_QZ,$K224,1,U$1),ZeroCompFreq,'PDH Calc'!$K224/365)</f>
        <v>1</v>
      </c>
      <c r="V224" s="8">
        <f ca="1">_xll.HLV5r3.Analytics.Miscellaneous.Zero2DF(_xll.HLV5r3.Analytics.Miscellaneous.LinearInterp(Peturbed_QZ,$K224,1,V$1),ZeroCompFreq,'PDH Calc'!$K224/365)</f>
        <v>1</v>
      </c>
      <c r="W224" s="8">
        <f ca="1">_xll.HLV5r3.Analytics.Miscellaneous.Zero2DF(_xll.HLV5r3.Analytics.Miscellaneous.LinearInterp(Peturbed_QZ,$K224,1,W$1),ZeroCompFreq,'PDH Calc'!$K224/365)</f>
        <v>1</v>
      </c>
      <c r="X224" s="8">
        <f ca="1">_xll.HLV5r3.Analytics.Miscellaneous.Zero2DF(_xll.HLV5r3.Analytics.Miscellaneous.LinearInterp(Peturbed_QZ,$K224,1,X$1),ZeroCompFreq,'PDH Calc'!$K224/365)</f>
        <v>1</v>
      </c>
      <c r="Y224" s="8">
        <f ca="1">_xll.HLV5r3.Analytics.Miscellaneous.Zero2DF(_xll.HLV5r3.Analytics.Miscellaneous.LinearInterp(Peturbed_QZ,$K224,1,Y$1),ZeroCompFreq,'PDH Calc'!$K224/365)</f>
        <v>1</v>
      </c>
      <c r="Z224" s="8">
        <f ca="1">_xll.HLV5r3.Analytics.Miscellaneous.Zero2DF(_xll.HLV5r3.Analytics.Miscellaneous.LinearInterp(Peturbed_QZ,$K224,1,Z$1),ZeroCompFreq,'PDH Calc'!$K224/365)</f>
        <v>1</v>
      </c>
      <c r="AA224" s="8">
        <f ca="1">_xll.HLV5r3.Analytics.Miscellaneous.Zero2DF(_xll.HLV5r3.Analytics.Miscellaneous.LinearInterp(Peturbed_QZ,$K224,1,AA$1),ZeroCompFreq,'PDH Calc'!$K224/365)</f>
        <v>1</v>
      </c>
      <c r="AB224" s="8">
        <f ca="1">_xll.HLV5r3.Analytics.Miscellaneous.Zero2DF(_xll.HLV5r3.Analytics.Miscellaneous.LinearInterp(Peturbed_QZ,$K224,1,AB$1),ZeroCompFreq,'PDH Calc'!$K224/365)</f>
        <v>1</v>
      </c>
      <c r="AC224" s="8">
        <f ca="1">_xll.HLV5r3.Analytics.Miscellaneous.Zero2DF(_xll.HLV5r3.Analytics.Miscellaneous.LinearInterp(Peturbed_QZ,$K224,1,AC$1),ZeroCompFreq,'PDH Calc'!$K224/365)</f>
        <v>1</v>
      </c>
      <c r="AD224" s="8">
        <f ca="1">_xll.HLV5r3.Analytics.Miscellaneous.Zero2DF(_xll.HLV5r3.Analytics.Miscellaneous.LinearInterp(Peturbed_QZ,$K224,1,AD$1),ZeroCompFreq,'PDH Calc'!$K224/365)</f>
        <v>1</v>
      </c>
      <c r="AE224" s="8">
        <f ca="1">_xll.HLV5r3.Analytics.Miscellaneous.Zero2DF(_xll.HLV5r3.Analytics.Miscellaneous.LinearInterp(Peturbed_QZ,$K224,1,AE$1),ZeroCompFreq,'PDH Calc'!$K224/365)</f>
        <v>1</v>
      </c>
      <c r="AF224" s="8">
        <f ca="1">_xll.HLV5r3.Analytics.Miscellaneous.Zero2DF(_xll.HLV5r3.Analytics.Miscellaneous.LinearInterp(Peturbed_QZ,$K224,1,AF$1),ZeroCompFreq,'PDH Calc'!$K224/365)</f>
        <v>1</v>
      </c>
      <c r="AG224" s="8">
        <f ca="1">_xll.HLV5r3.Analytics.Miscellaneous.Zero2DF(_xll.HLV5r3.Analytics.Miscellaneous.LinearInterp(Peturbed_QZ,$K224,1,AG$1),ZeroCompFreq,'PDH Calc'!$K224/365)</f>
        <v>1</v>
      </c>
      <c r="AH224" s="8">
        <f ca="1">_xll.HLV5r3.Analytics.Miscellaneous.Zero2DF(_xll.HLV5r3.Analytics.Miscellaneous.LinearInterp(Peturbed_QZ,$K224,1,AH$1),ZeroCompFreq,'PDH Calc'!$K224/365)</f>
        <v>1</v>
      </c>
      <c r="AI224" s="8">
        <f ca="1">_xll.HLV5r3.Analytics.Miscellaneous.Zero2DF(_xll.HLV5r3.Analytics.Miscellaneous.LinearInterp(Peturbed_QZ,$K224,1,AI$1),ZeroCompFreq,'PDH Calc'!$K224/365)</f>
        <v>1</v>
      </c>
      <c r="AJ224" s="8">
        <f ca="1">_xll.HLV5r3.Analytics.Miscellaneous.Zero2DF(_xll.HLV5r3.Analytics.Miscellaneous.LinearInterp(Peturbed_QZ,$K224,1,AJ$1),ZeroCompFreq,'PDH Calc'!$K224/365)</f>
        <v>1</v>
      </c>
      <c r="AK224" s="8">
        <f ca="1">_xll.HLV5r3.Analytics.Miscellaneous.Zero2DF(_xll.HLV5r3.Analytics.Miscellaneous.LinearInterp(Peturbed_QZ,$K224,1,AK$1),ZeroCompFreq,'PDH Calc'!$K224/365)</f>
        <v>1</v>
      </c>
    </row>
    <row r="225" spans="1:37">
      <c r="A225" s="4"/>
      <c r="B225" s="6"/>
      <c r="F225" s="11"/>
      <c r="G225" s="6"/>
      <c r="H225" s="20"/>
      <c r="I225" s="21"/>
      <c r="J225" s="26"/>
      <c r="K225" s="6">
        <f t="shared" ca="1" si="10"/>
        <v>0</v>
      </c>
      <c r="L225" s="8">
        <f ca="1">_xll.HLV5r3.Analytics.Miscellaneous.Zero2DF(_xll.HLV5r3.Analytics.Miscellaneous.LinearInterp(Peturbed_QZ,$K225,1,L$1),ZeroCompFreq,'PDH Calc'!$K225/365)</f>
        <v>1</v>
      </c>
      <c r="M225" s="8">
        <f ca="1">_xll.HLV5r3.Analytics.Miscellaneous.Zero2DF(_xll.HLV5r3.Analytics.Miscellaneous.LinearInterp(Peturbed_QZ,$K225,1,M$1),ZeroCompFreq,'PDH Calc'!$K225/365)</f>
        <v>1</v>
      </c>
      <c r="N225" s="8">
        <f ca="1">_xll.HLV5r3.Analytics.Miscellaneous.Zero2DF(_xll.HLV5r3.Analytics.Miscellaneous.LinearInterp(Peturbed_QZ,$K225,1,N$1),ZeroCompFreq,'PDH Calc'!$K225/365)</f>
        <v>1</v>
      </c>
      <c r="O225" s="8">
        <f ca="1">_xll.HLV5r3.Analytics.Miscellaneous.Zero2DF(_xll.HLV5r3.Analytics.Miscellaneous.LinearInterp(Peturbed_QZ,$K225,1,O$1),ZeroCompFreq,'PDH Calc'!$K225/365)</f>
        <v>1</v>
      </c>
      <c r="P225" s="8">
        <f ca="1">_xll.HLV5r3.Analytics.Miscellaneous.Zero2DF(_xll.HLV5r3.Analytics.Miscellaneous.LinearInterp(Peturbed_QZ,$K225,1,P$1),ZeroCompFreq,'PDH Calc'!$K225/365)</f>
        <v>1</v>
      </c>
      <c r="Q225" s="8">
        <f ca="1">_xll.HLV5r3.Analytics.Miscellaneous.Zero2DF(_xll.HLV5r3.Analytics.Miscellaneous.LinearInterp(Peturbed_QZ,$K225,1,Q$1),ZeroCompFreq,'PDH Calc'!$K225/365)</f>
        <v>1</v>
      </c>
      <c r="R225" s="8">
        <f ca="1">_xll.HLV5r3.Analytics.Miscellaneous.Zero2DF(_xll.HLV5r3.Analytics.Miscellaneous.LinearInterp(Peturbed_QZ,$K225,1,R$1),ZeroCompFreq,'PDH Calc'!$K225/365)</f>
        <v>1</v>
      </c>
      <c r="S225" s="8">
        <f ca="1">_xll.HLV5r3.Analytics.Miscellaneous.Zero2DF(_xll.HLV5r3.Analytics.Miscellaneous.LinearInterp(Peturbed_QZ,$K225,1,S$1),ZeroCompFreq,'PDH Calc'!$K225/365)</f>
        <v>1</v>
      </c>
      <c r="T225" s="8">
        <f ca="1">_xll.HLV5r3.Analytics.Miscellaneous.Zero2DF(_xll.HLV5r3.Analytics.Miscellaneous.LinearInterp(Peturbed_QZ,$K225,1,T$1),ZeroCompFreq,'PDH Calc'!$K225/365)</f>
        <v>1</v>
      </c>
      <c r="U225" s="8">
        <f ca="1">_xll.HLV5r3.Analytics.Miscellaneous.Zero2DF(_xll.HLV5r3.Analytics.Miscellaneous.LinearInterp(Peturbed_QZ,$K225,1,U$1),ZeroCompFreq,'PDH Calc'!$K225/365)</f>
        <v>1</v>
      </c>
      <c r="V225" s="8">
        <f ca="1">_xll.HLV5r3.Analytics.Miscellaneous.Zero2DF(_xll.HLV5r3.Analytics.Miscellaneous.LinearInterp(Peturbed_QZ,$K225,1,V$1),ZeroCompFreq,'PDH Calc'!$K225/365)</f>
        <v>1</v>
      </c>
      <c r="W225" s="8">
        <f ca="1">_xll.HLV5r3.Analytics.Miscellaneous.Zero2DF(_xll.HLV5r3.Analytics.Miscellaneous.LinearInterp(Peturbed_QZ,$K225,1,W$1),ZeroCompFreq,'PDH Calc'!$K225/365)</f>
        <v>1</v>
      </c>
      <c r="X225" s="8">
        <f ca="1">_xll.HLV5r3.Analytics.Miscellaneous.Zero2DF(_xll.HLV5r3.Analytics.Miscellaneous.LinearInterp(Peturbed_QZ,$K225,1,X$1),ZeroCompFreq,'PDH Calc'!$K225/365)</f>
        <v>1</v>
      </c>
      <c r="Y225" s="8">
        <f ca="1">_xll.HLV5r3.Analytics.Miscellaneous.Zero2DF(_xll.HLV5r3.Analytics.Miscellaneous.LinearInterp(Peturbed_QZ,$K225,1,Y$1),ZeroCompFreq,'PDH Calc'!$K225/365)</f>
        <v>1</v>
      </c>
      <c r="Z225" s="8">
        <f ca="1">_xll.HLV5r3.Analytics.Miscellaneous.Zero2DF(_xll.HLV5r3.Analytics.Miscellaneous.LinearInterp(Peturbed_QZ,$K225,1,Z$1),ZeroCompFreq,'PDH Calc'!$K225/365)</f>
        <v>1</v>
      </c>
      <c r="AA225" s="8">
        <f ca="1">_xll.HLV5r3.Analytics.Miscellaneous.Zero2DF(_xll.HLV5r3.Analytics.Miscellaneous.LinearInterp(Peturbed_QZ,$K225,1,AA$1),ZeroCompFreq,'PDH Calc'!$K225/365)</f>
        <v>1</v>
      </c>
      <c r="AB225" s="8">
        <f ca="1">_xll.HLV5r3.Analytics.Miscellaneous.Zero2DF(_xll.HLV5r3.Analytics.Miscellaneous.LinearInterp(Peturbed_QZ,$K225,1,AB$1),ZeroCompFreq,'PDH Calc'!$K225/365)</f>
        <v>1</v>
      </c>
      <c r="AC225" s="8">
        <f ca="1">_xll.HLV5r3.Analytics.Miscellaneous.Zero2DF(_xll.HLV5r3.Analytics.Miscellaneous.LinearInterp(Peturbed_QZ,$K225,1,AC$1),ZeroCompFreq,'PDH Calc'!$K225/365)</f>
        <v>1</v>
      </c>
      <c r="AD225" s="8">
        <f ca="1">_xll.HLV5r3.Analytics.Miscellaneous.Zero2DF(_xll.HLV5r3.Analytics.Miscellaneous.LinearInterp(Peturbed_QZ,$K225,1,AD$1),ZeroCompFreq,'PDH Calc'!$K225/365)</f>
        <v>1</v>
      </c>
      <c r="AE225" s="8">
        <f ca="1">_xll.HLV5r3.Analytics.Miscellaneous.Zero2DF(_xll.HLV5r3.Analytics.Miscellaneous.LinearInterp(Peturbed_QZ,$K225,1,AE$1),ZeroCompFreq,'PDH Calc'!$K225/365)</f>
        <v>1</v>
      </c>
      <c r="AF225" s="8">
        <f ca="1">_xll.HLV5r3.Analytics.Miscellaneous.Zero2DF(_xll.HLV5r3.Analytics.Miscellaneous.LinearInterp(Peturbed_QZ,$K225,1,AF$1),ZeroCompFreq,'PDH Calc'!$K225/365)</f>
        <v>1</v>
      </c>
      <c r="AG225" s="8">
        <f ca="1">_xll.HLV5r3.Analytics.Miscellaneous.Zero2DF(_xll.HLV5r3.Analytics.Miscellaneous.LinearInterp(Peturbed_QZ,$K225,1,AG$1),ZeroCompFreq,'PDH Calc'!$K225/365)</f>
        <v>1</v>
      </c>
      <c r="AH225" s="8">
        <f ca="1">_xll.HLV5r3.Analytics.Miscellaneous.Zero2DF(_xll.HLV5r3.Analytics.Miscellaneous.LinearInterp(Peturbed_QZ,$K225,1,AH$1),ZeroCompFreq,'PDH Calc'!$K225/365)</f>
        <v>1</v>
      </c>
      <c r="AI225" s="8">
        <f ca="1">_xll.HLV5r3.Analytics.Miscellaneous.Zero2DF(_xll.HLV5r3.Analytics.Miscellaneous.LinearInterp(Peturbed_QZ,$K225,1,AI$1),ZeroCompFreq,'PDH Calc'!$K225/365)</f>
        <v>1</v>
      </c>
      <c r="AJ225" s="8">
        <f ca="1">_xll.HLV5r3.Analytics.Miscellaneous.Zero2DF(_xll.HLV5r3.Analytics.Miscellaneous.LinearInterp(Peturbed_QZ,$K225,1,AJ$1),ZeroCompFreq,'PDH Calc'!$K225/365)</f>
        <v>1</v>
      </c>
      <c r="AK225" s="8">
        <f ca="1">_xll.HLV5r3.Analytics.Miscellaneous.Zero2DF(_xll.HLV5r3.Analytics.Miscellaneous.LinearInterp(Peturbed_QZ,$K225,1,AK$1),ZeroCompFreq,'PDH Calc'!$K225/365)</f>
        <v>1</v>
      </c>
    </row>
    <row r="226" spans="1:37">
      <c r="A226" s="4"/>
      <c r="B226" s="6"/>
      <c r="F226" s="11"/>
      <c r="G226" s="6"/>
      <c r="H226" s="20"/>
      <c r="I226" s="21"/>
      <c r="J226" s="26"/>
      <c r="K226" s="6">
        <f t="shared" ca="1" si="10"/>
        <v>0</v>
      </c>
      <c r="L226" s="8">
        <f ca="1">_xll.HLV5r3.Analytics.Miscellaneous.Zero2DF(_xll.HLV5r3.Analytics.Miscellaneous.LinearInterp(Peturbed_QZ,$K226,1,L$1),ZeroCompFreq,'PDH Calc'!$K226/365)</f>
        <v>1</v>
      </c>
      <c r="M226" s="8">
        <f ca="1">_xll.HLV5r3.Analytics.Miscellaneous.Zero2DF(_xll.HLV5r3.Analytics.Miscellaneous.LinearInterp(Peturbed_QZ,$K226,1,M$1),ZeroCompFreq,'PDH Calc'!$K226/365)</f>
        <v>1</v>
      </c>
      <c r="N226" s="8">
        <f ca="1">_xll.HLV5r3.Analytics.Miscellaneous.Zero2DF(_xll.HLV5r3.Analytics.Miscellaneous.LinearInterp(Peturbed_QZ,$K226,1,N$1),ZeroCompFreq,'PDH Calc'!$K226/365)</f>
        <v>1</v>
      </c>
      <c r="O226" s="8">
        <f ca="1">_xll.HLV5r3.Analytics.Miscellaneous.Zero2DF(_xll.HLV5r3.Analytics.Miscellaneous.LinearInterp(Peturbed_QZ,$K226,1,O$1),ZeroCompFreq,'PDH Calc'!$K226/365)</f>
        <v>1</v>
      </c>
      <c r="P226" s="8">
        <f ca="1">_xll.HLV5r3.Analytics.Miscellaneous.Zero2DF(_xll.HLV5r3.Analytics.Miscellaneous.LinearInterp(Peturbed_QZ,$K226,1,P$1),ZeroCompFreq,'PDH Calc'!$K226/365)</f>
        <v>1</v>
      </c>
      <c r="Q226" s="8">
        <f ca="1">_xll.HLV5r3.Analytics.Miscellaneous.Zero2DF(_xll.HLV5r3.Analytics.Miscellaneous.LinearInterp(Peturbed_QZ,$K226,1,Q$1),ZeroCompFreq,'PDH Calc'!$K226/365)</f>
        <v>1</v>
      </c>
      <c r="R226" s="8">
        <f ca="1">_xll.HLV5r3.Analytics.Miscellaneous.Zero2DF(_xll.HLV5r3.Analytics.Miscellaneous.LinearInterp(Peturbed_QZ,$K226,1,R$1),ZeroCompFreq,'PDH Calc'!$K226/365)</f>
        <v>1</v>
      </c>
      <c r="S226" s="8">
        <f ca="1">_xll.HLV5r3.Analytics.Miscellaneous.Zero2DF(_xll.HLV5r3.Analytics.Miscellaneous.LinearInterp(Peturbed_QZ,$K226,1,S$1),ZeroCompFreq,'PDH Calc'!$K226/365)</f>
        <v>1</v>
      </c>
      <c r="T226" s="8">
        <f ca="1">_xll.HLV5r3.Analytics.Miscellaneous.Zero2DF(_xll.HLV5r3.Analytics.Miscellaneous.LinearInterp(Peturbed_QZ,$K226,1,T$1),ZeroCompFreq,'PDH Calc'!$K226/365)</f>
        <v>1</v>
      </c>
      <c r="U226" s="8">
        <f ca="1">_xll.HLV5r3.Analytics.Miscellaneous.Zero2DF(_xll.HLV5r3.Analytics.Miscellaneous.LinearInterp(Peturbed_QZ,$K226,1,U$1),ZeroCompFreq,'PDH Calc'!$K226/365)</f>
        <v>1</v>
      </c>
      <c r="V226" s="8">
        <f ca="1">_xll.HLV5r3.Analytics.Miscellaneous.Zero2DF(_xll.HLV5r3.Analytics.Miscellaneous.LinearInterp(Peturbed_QZ,$K226,1,V$1),ZeroCompFreq,'PDH Calc'!$K226/365)</f>
        <v>1</v>
      </c>
      <c r="W226" s="8">
        <f ca="1">_xll.HLV5r3.Analytics.Miscellaneous.Zero2DF(_xll.HLV5r3.Analytics.Miscellaneous.LinearInterp(Peturbed_QZ,$K226,1,W$1),ZeroCompFreq,'PDH Calc'!$K226/365)</f>
        <v>1</v>
      </c>
      <c r="X226" s="8">
        <f ca="1">_xll.HLV5r3.Analytics.Miscellaneous.Zero2DF(_xll.HLV5r3.Analytics.Miscellaneous.LinearInterp(Peturbed_QZ,$K226,1,X$1),ZeroCompFreq,'PDH Calc'!$K226/365)</f>
        <v>1</v>
      </c>
      <c r="Y226" s="8">
        <f ca="1">_xll.HLV5r3.Analytics.Miscellaneous.Zero2DF(_xll.HLV5r3.Analytics.Miscellaneous.LinearInterp(Peturbed_QZ,$K226,1,Y$1),ZeroCompFreq,'PDH Calc'!$K226/365)</f>
        <v>1</v>
      </c>
      <c r="Z226" s="8">
        <f ca="1">_xll.HLV5r3.Analytics.Miscellaneous.Zero2DF(_xll.HLV5r3.Analytics.Miscellaneous.LinearInterp(Peturbed_QZ,$K226,1,Z$1),ZeroCompFreq,'PDH Calc'!$K226/365)</f>
        <v>1</v>
      </c>
      <c r="AA226" s="8">
        <f ca="1">_xll.HLV5r3.Analytics.Miscellaneous.Zero2DF(_xll.HLV5r3.Analytics.Miscellaneous.LinearInterp(Peturbed_QZ,$K226,1,AA$1),ZeroCompFreq,'PDH Calc'!$K226/365)</f>
        <v>1</v>
      </c>
      <c r="AB226" s="8">
        <f ca="1">_xll.HLV5r3.Analytics.Miscellaneous.Zero2DF(_xll.HLV5r3.Analytics.Miscellaneous.LinearInterp(Peturbed_QZ,$K226,1,AB$1),ZeroCompFreq,'PDH Calc'!$K226/365)</f>
        <v>1</v>
      </c>
      <c r="AC226" s="8">
        <f ca="1">_xll.HLV5r3.Analytics.Miscellaneous.Zero2DF(_xll.HLV5r3.Analytics.Miscellaneous.LinearInterp(Peturbed_QZ,$K226,1,AC$1),ZeroCompFreq,'PDH Calc'!$K226/365)</f>
        <v>1</v>
      </c>
      <c r="AD226" s="8">
        <f ca="1">_xll.HLV5r3.Analytics.Miscellaneous.Zero2DF(_xll.HLV5r3.Analytics.Miscellaneous.LinearInterp(Peturbed_QZ,$K226,1,AD$1),ZeroCompFreq,'PDH Calc'!$K226/365)</f>
        <v>1</v>
      </c>
      <c r="AE226" s="8">
        <f ca="1">_xll.HLV5r3.Analytics.Miscellaneous.Zero2DF(_xll.HLV5r3.Analytics.Miscellaneous.LinearInterp(Peturbed_QZ,$K226,1,AE$1),ZeroCompFreq,'PDH Calc'!$K226/365)</f>
        <v>1</v>
      </c>
      <c r="AF226" s="8">
        <f ca="1">_xll.HLV5r3.Analytics.Miscellaneous.Zero2DF(_xll.HLV5r3.Analytics.Miscellaneous.LinearInterp(Peturbed_QZ,$K226,1,AF$1),ZeroCompFreq,'PDH Calc'!$K226/365)</f>
        <v>1</v>
      </c>
      <c r="AG226" s="8">
        <f ca="1">_xll.HLV5r3.Analytics.Miscellaneous.Zero2DF(_xll.HLV5r3.Analytics.Miscellaneous.LinearInterp(Peturbed_QZ,$K226,1,AG$1),ZeroCompFreq,'PDH Calc'!$K226/365)</f>
        <v>1</v>
      </c>
      <c r="AH226" s="8">
        <f ca="1">_xll.HLV5r3.Analytics.Miscellaneous.Zero2DF(_xll.HLV5r3.Analytics.Miscellaneous.LinearInterp(Peturbed_QZ,$K226,1,AH$1),ZeroCompFreq,'PDH Calc'!$K226/365)</f>
        <v>1</v>
      </c>
      <c r="AI226" s="8">
        <f ca="1">_xll.HLV5r3.Analytics.Miscellaneous.Zero2DF(_xll.HLV5r3.Analytics.Miscellaneous.LinearInterp(Peturbed_QZ,$K226,1,AI$1),ZeroCompFreq,'PDH Calc'!$K226/365)</f>
        <v>1</v>
      </c>
      <c r="AJ226" s="8">
        <f ca="1">_xll.HLV5r3.Analytics.Miscellaneous.Zero2DF(_xll.HLV5r3.Analytics.Miscellaneous.LinearInterp(Peturbed_QZ,$K226,1,AJ$1),ZeroCompFreq,'PDH Calc'!$K226/365)</f>
        <v>1</v>
      </c>
      <c r="AK226" s="8">
        <f ca="1">_xll.HLV5r3.Analytics.Miscellaneous.Zero2DF(_xll.HLV5r3.Analytics.Miscellaneous.LinearInterp(Peturbed_QZ,$K226,1,AK$1),ZeroCompFreq,'PDH Calc'!$K226/365)</f>
        <v>1</v>
      </c>
    </row>
    <row r="227" spans="1:37">
      <c r="A227" s="4"/>
      <c r="B227" s="6"/>
      <c r="F227" s="11"/>
      <c r="G227" s="6"/>
      <c r="H227" s="20"/>
      <c r="I227" s="21"/>
      <c r="J227" s="26"/>
      <c r="K227" s="6">
        <f t="shared" ca="1" si="10"/>
        <v>0</v>
      </c>
      <c r="L227" s="8">
        <f ca="1">_xll.HLV5r3.Analytics.Miscellaneous.Zero2DF(_xll.HLV5r3.Analytics.Miscellaneous.LinearInterp(Peturbed_QZ,$K227,1,L$1),ZeroCompFreq,'PDH Calc'!$K227/365)</f>
        <v>1</v>
      </c>
      <c r="M227" s="8">
        <f ca="1">_xll.HLV5r3.Analytics.Miscellaneous.Zero2DF(_xll.HLV5r3.Analytics.Miscellaneous.LinearInterp(Peturbed_QZ,$K227,1,M$1),ZeroCompFreq,'PDH Calc'!$K227/365)</f>
        <v>1</v>
      </c>
      <c r="N227" s="8">
        <f ca="1">_xll.HLV5r3.Analytics.Miscellaneous.Zero2DF(_xll.HLV5r3.Analytics.Miscellaneous.LinearInterp(Peturbed_QZ,$K227,1,N$1),ZeroCompFreq,'PDH Calc'!$K227/365)</f>
        <v>1</v>
      </c>
      <c r="O227" s="8">
        <f ca="1">_xll.HLV5r3.Analytics.Miscellaneous.Zero2DF(_xll.HLV5r3.Analytics.Miscellaneous.LinearInterp(Peturbed_QZ,$K227,1,O$1),ZeroCompFreq,'PDH Calc'!$K227/365)</f>
        <v>1</v>
      </c>
      <c r="P227" s="8">
        <f ca="1">_xll.HLV5r3.Analytics.Miscellaneous.Zero2DF(_xll.HLV5r3.Analytics.Miscellaneous.LinearInterp(Peturbed_QZ,$K227,1,P$1),ZeroCompFreq,'PDH Calc'!$K227/365)</f>
        <v>1</v>
      </c>
      <c r="Q227" s="8">
        <f ca="1">_xll.HLV5r3.Analytics.Miscellaneous.Zero2DF(_xll.HLV5r3.Analytics.Miscellaneous.LinearInterp(Peturbed_QZ,$K227,1,Q$1),ZeroCompFreq,'PDH Calc'!$K227/365)</f>
        <v>1</v>
      </c>
      <c r="R227" s="8">
        <f ca="1">_xll.HLV5r3.Analytics.Miscellaneous.Zero2DF(_xll.HLV5r3.Analytics.Miscellaneous.LinearInterp(Peturbed_QZ,$K227,1,R$1),ZeroCompFreq,'PDH Calc'!$K227/365)</f>
        <v>1</v>
      </c>
      <c r="S227" s="8">
        <f ca="1">_xll.HLV5r3.Analytics.Miscellaneous.Zero2DF(_xll.HLV5r3.Analytics.Miscellaneous.LinearInterp(Peturbed_QZ,$K227,1,S$1),ZeroCompFreq,'PDH Calc'!$K227/365)</f>
        <v>1</v>
      </c>
      <c r="T227" s="8">
        <f ca="1">_xll.HLV5r3.Analytics.Miscellaneous.Zero2DF(_xll.HLV5r3.Analytics.Miscellaneous.LinearInterp(Peturbed_QZ,$K227,1,T$1),ZeroCompFreq,'PDH Calc'!$K227/365)</f>
        <v>1</v>
      </c>
      <c r="U227" s="8">
        <f ca="1">_xll.HLV5r3.Analytics.Miscellaneous.Zero2DF(_xll.HLV5r3.Analytics.Miscellaneous.LinearInterp(Peturbed_QZ,$K227,1,U$1),ZeroCompFreq,'PDH Calc'!$K227/365)</f>
        <v>1</v>
      </c>
      <c r="V227" s="8">
        <f ca="1">_xll.HLV5r3.Analytics.Miscellaneous.Zero2DF(_xll.HLV5r3.Analytics.Miscellaneous.LinearInterp(Peturbed_QZ,$K227,1,V$1),ZeroCompFreq,'PDH Calc'!$K227/365)</f>
        <v>1</v>
      </c>
      <c r="W227" s="8">
        <f ca="1">_xll.HLV5r3.Analytics.Miscellaneous.Zero2DF(_xll.HLV5r3.Analytics.Miscellaneous.LinearInterp(Peturbed_QZ,$K227,1,W$1),ZeroCompFreq,'PDH Calc'!$K227/365)</f>
        <v>1</v>
      </c>
      <c r="X227" s="8">
        <f ca="1">_xll.HLV5r3.Analytics.Miscellaneous.Zero2DF(_xll.HLV5r3.Analytics.Miscellaneous.LinearInterp(Peturbed_QZ,$K227,1,X$1),ZeroCompFreq,'PDH Calc'!$K227/365)</f>
        <v>1</v>
      </c>
      <c r="Y227" s="8">
        <f ca="1">_xll.HLV5r3.Analytics.Miscellaneous.Zero2DF(_xll.HLV5r3.Analytics.Miscellaneous.LinearInterp(Peturbed_QZ,$K227,1,Y$1),ZeroCompFreq,'PDH Calc'!$K227/365)</f>
        <v>1</v>
      </c>
      <c r="Z227" s="8">
        <f ca="1">_xll.HLV5r3.Analytics.Miscellaneous.Zero2DF(_xll.HLV5r3.Analytics.Miscellaneous.LinearInterp(Peturbed_QZ,$K227,1,Z$1),ZeroCompFreq,'PDH Calc'!$K227/365)</f>
        <v>1</v>
      </c>
      <c r="AA227" s="8">
        <f ca="1">_xll.HLV5r3.Analytics.Miscellaneous.Zero2DF(_xll.HLV5r3.Analytics.Miscellaneous.LinearInterp(Peturbed_QZ,$K227,1,AA$1),ZeroCompFreq,'PDH Calc'!$K227/365)</f>
        <v>1</v>
      </c>
      <c r="AB227" s="8">
        <f ca="1">_xll.HLV5r3.Analytics.Miscellaneous.Zero2DF(_xll.HLV5r3.Analytics.Miscellaneous.LinearInterp(Peturbed_QZ,$K227,1,AB$1),ZeroCompFreq,'PDH Calc'!$K227/365)</f>
        <v>1</v>
      </c>
      <c r="AC227" s="8">
        <f ca="1">_xll.HLV5r3.Analytics.Miscellaneous.Zero2DF(_xll.HLV5r3.Analytics.Miscellaneous.LinearInterp(Peturbed_QZ,$K227,1,AC$1),ZeroCompFreq,'PDH Calc'!$K227/365)</f>
        <v>1</v>
      </c>
      <c r="AD227" s="8">
        <f ca="1">_xll.HLV5r3.Analytics.Miscellaneous.Zero2DF(_xll.HLV5r3.Analytics.Miscellaneous.LinearInterp(Peturbed_QZ,$K227,1,AD$1),ZeroCompFreq,'PDH Calc'!$K227/365)</f>
        <v>1</v>
      </c>
      <c r="AE227" s="8">
        <f ca="1">_xll.HLV5r3.Analytics.Miscellaneous.Zero2DF(_xll.HLV5r3.Analytics.Miscellaneous.LinearInterp(Peturbed_QZ,$K227,1,AE$1),ZeroCompFreq,'PDH Calc'!$K227/365)</f>
        <v>1</v>
      </c>
      <c r="AF227" s="8">
        <f ca="1">_xll.HLV5r3.Analytics.Miscellaneous.Zero2DF(_xll.HLV5r3.Analytics.Miscellaneous.LinearInterp(Peturbed_QZ,$K227,1,AF$1),ZeroCompFreq,'PDH Calc'!$K227/365)</f>
        <v>1</v>
      </c>
      <c r="AG227" s="8">
        <f ca="1">_xll.HLV5r3.Analytics.Miscellaneous.Zero2DF(_xll.HLV5r3.Analytics.Miscellaneous.LinearInterp(Peturbed_QZ,$K227,1,AG$1),ZeroCompFreq,'PDH Calc'!$K227/365)</f>
        <v>1</v>
      </c>
      <c r="AH227" s="8">
        <f ca="1">_xll.HLV5r3.Analytics.Miscellaneous.Zero2DF(_xll.HLV5r3.Analytics.Miscellaneous.LinearInterp(Peturbed_QZ,$K227,1,AH$1),ZeroCompFreq,'PDH Calc'!$K227/365)</f>
        <v>1</v>
      </c>
      <c r="AI227" s="8">
        <f ca="1">_xll.HLV5r3.Analytics.Miscellaneous.Zero2DF(_xll.HLV5r3.Analytics.Miscellaneous.LinearInterp(Peturbed_QZ,$K227,1,AI$1),ZeroCompFreq,'PDH Calc'!$K227/365)</f>
        <v>1</v>
      </c>
      <c r="AJ227" s="8">
        <f ca="1">_xll.HLV5r3.Analytics.Miscellaneous.Zero2DF(_xll.HLV5r3.Analytics.Miscellaneous.LinearInterp(Peturbed_QZ,$K227,1,AJ$1),ZeroCompFreq,'PDH Calc'!$K227/365)</f>
        <v>1</v>
      </c>
      <c r="AK227" s="8">
        <f ca="1">_xll.HLV5r3.Analytics.Miscellaneous.Zero2DF(_xll.HLV5r3.Analytics.Miscellaneous.LinearInterp(Peturbed_QZ,$K227,1,AK$1),ZeroCompFreq,'PDH Calc'!$K227/365)</f>
        <v>1</v>
      </c>
    </row>
    <row r="228" spans="1:37">
      <c r="A228" s="4"/>
      <c r="B228" s="6"/>
      <c r="F228" s="11"/>
      <c r="G228" s="6"/>
      <c r="H228" s="20"/>
      <c r="I228" s="21"/>
      <c r="J228" s="26"/>
      <c r="K228" s="6">
        <f t="shared" ca="1" si="10"/>
        <v>0</v>
      </c>
      <c r="L228" s="8">
        <f ca="1">_xll.HLV5r3.Analytics.Miscellaneous.Zero2DF(_xll.HLV5r3.Analytics.Miscellaneous.LinearInterp(Peturbed_QZ,$K228,1,L$1),ZeroCompFreq,'PDH Calc'!$K228/365)</f>
        <v>1</v>
      </c>
      <c r="M228" s="8">
        <f ca="1">_xll.HLV5r3.Analytics.Miscellaneous.Zero2DF(_xll.HLV5r3.Analytics.Miscellaneous.LinearInterp(Peturbed_QZ,$K228,1,M$1),ZeroCompFreq,'PDH Calc'!$K228/365)</f>
        <v>1</v>
      </c>
      <c r="N228" s="8">
        <f ca="1">_xll.HLV5r3.Analytics.Miscellaneous.Zero2DF(_xll.HLV5r3.Analytics.Miscellaneous.LinearInterp(Peturbed_QZ,$K228,1,N$1),ZeroCompFreq,'PDH Calc'!$K228/365)</f>
        <v>1</v>
      </c>
      <c r="O228" s="8">
        <f ca="1">_xll.HLV5r3.Analytics.Miscellaneous.Zero2DF(_xll.HLV5r3.Analytics.Miscellaneous.LinearInterp(Peturbed_QZ,$K228,1,O$1),ZeroCompFreq,'PDH Calc'!$K228/365)</f>
        <v>1</v>
      </c>
      <c r="P228" s="8">
        <f ca="1">_xll.HLV5r3.Analytics.Miscellaneous.Zero2DF(_xll.HLV5r3.Analytics.Miscellaneous.LinearInterp(Peturbed_QZ,$K228,1,P$1),ZeroCompFreq,'PDH Calc'!$K228/365)</f>
        <v>1</v>
      </c>
      <c r="Q228" s="8">
        <f ca="1">_xll.HLV5r3.Analytics.Miscellaneous.Zero2DF(_xll.HLV5r3.Analytics.Miscellaneous.LinearInterp(Peturbed_QZ,$K228,1,Q$1),ZeroCompFreq,'PDH Calc'!$K228/365)</f>
        <v>1</v>
      </c>
      <c r="R228" s="8">
        <f ca="1">_xll.HLV5r3.Analytics.Miscellaneous.Zero2DF(_xll.HLV5r3.Analytics.Miscellaneous.LinearInterp(Peturbed_QZ,$K228,1,R$1),ZeroCompFreq,'PDH Calc'!$K228/365)</f>
        <v>1</v>
      </c>
      <c r="S228" s="8">
        <f ca="1">_xll.HLV5r3.Analytics.Miscellaneous.Zero2DF(_xll.HLV5r3.Analytics.Miscellaneous.LinearInterp(Peturbed_QZ,$K228,1,S$1),ZeroCompFreq,'PDH Calc'!$K228/365)</f>
        <v>1</v>
      </c>
      <c r="T228" s="8">
        <f ca="1">_xll.HLV5r3.Analytics.Miscellaneous.Zero2DF(_xll.HLV5r3.Analytics.Miscellaneous.LinearInterp(Peturbed_QZ,$K228,1,T$1),ZeroCompFreq,'PDH Calc'!$K228/365)</f>
        <v>1</v>
      </c>
      <c r="U228" s="8">
        <f ca="1">_xll.HLV5r3.Analytics.Miscellaneous.Zero2DF(_xll.HLV5r3.Analytics.Miscellaneous.LinearInterp(Peturbed_QZ,$K228,1,U$1),ZeroCompFreq,'PDH Calc'!$K228/365)</f>
        <v>1</v>
      </c>
      <c r="V228" s="8">
        <f ca="1">_xll.HLV5r3.Analytics.Miscellaneous.Zero2DF(_xll.HLV5r3.Analytics.Miscellaneous.LinearInterp(Peturbed_QZ,$K228,1,V$1),ZeroCompFreq,'PDH Calc'!$K228/365)</f>
        <v>1</v>
      </c>
      <c r="W228" s="8">
        <f ca="1">_xll.HLV5r3.Analytics.Miscellaneous.Zero2DF(_xll.HLV5r3.Analytics.Miscellaneous.LinearInterp(Peturbed_QZ,$K228,1,W$1),ZeroCompFreq,'PDH Calc'!$K228/365)</f>
        <v>1</v>
      </c>
      <c r="X228" s="8">
        <f ca="1">_xll.HLV5r3.Analytics.Miscellaneous.Zero2DF(_xll.HLV5r3.Analytics.Miscellaneous.LinearInterp(Peturbed_QZ,$K228,1,X$1),ZeroCompFreq,'PDH Calc'!$K228/365)</f>
        <v>1</v>
      </c>
      <c r="Y228" s="8">
        <f ca="1">_xll.HLV5r3.Analytics.Miscellaneous.Zero2DF(_xll.HLV5r3.Analytics.Miscellaneous.LinearInterp(Peturbed_QZ,$K228,1,Y$1),ZeroCompFreq,'PDH Calc'!$K228/365)</f>
        <v>1</v>
      </c>
      <c r="Z228" s="8">
        <f ca="1">_xll.HLV5r3.Analytics.Miscellaneous.Zero2DF(_xll.HLV5r3.Analytics.Miscellaneous.LinearInterp(Peturbed_QZ,$K228,1,Z$1),ZeroCompFreq,'PDH Calc'!$K228/365)</f>
        <v>1</v>
      </c>
      <c r="AA228" s="8">
        <f ca="1">_xll.HLV5r3.Analytics.Miscellaneous.Zero2DF(_xll.HLV5r3.Analytics.Miscellaneous.LinearInterp(Peturbed_QZ,$K228,1,AA$1),ZeroCompFreq,'PDH Calc'!$K228/365)</f>
        <v>1</v>
      </c>
      <c r="AB228" s="8">
        <f ca="1">_xll.HLV5r3.Analytics.Miscellaneous.Zero2DF(_xll.HLV5r3.Analytics.Miscellaneous.LinearInterp(Peturbed_QZ,$K228,1,AB$1),ZeroCompFreq,'PDH Calc'!$K228/365)</f>
        <v>1</v>
      </c>
      <c r="AC228" s="8">
        <f ca="1">_xll.HLV5r3.Analytics.Miscellaneous.Zero2DF(_xll.HLV5r3.Analytics.Miscellaneous.LinearInterp(Peturbed_QZ,$K228,1,AC$1),ZeroCompFreq,'PDH Calc'!$K228/365)</f>
        <v>1</v>
      </c>
      <c r="AD228" s="8">
        <f ca="1">_xll.HLV5r3.Analytics.Miscellaneous.Zero2DF(_xll.HLV5r3.Analytics.Miscellaneous.LinearInterp(Peturbed_QZ,$K228,1,AD$1),ZeroCompFreq,'PDH Calc'!$K228/365)</f>
        <v>1</v>
      </c>
      <c r="AE228" s="8">
        <f ca="1">_xll.HLV5r3.Analytics.Miscellaneous.Zero2DF(_xll.HLV5r3.Analytics.Miscellaneous.LinearInterp(Peturbed_QZ,$K228,1,AE$1),ZeroCompFreq,'PDH Calc'!$K228/365)</f>
        <v>1</v>
      </c>
      <c r="AF228" s="8">
        <f ca="1">_xll.HLV5r3.Analytics.Miscellaneous.Zero2DF(_xll.HLV5r3.Analytics.Miscellaneous.LinearInterp(Peturbed_QZ,$K228,1,AF$1),ZeroCompFreq,'PDH Calc'!$K228/365)</f>
        <v>1</v>
      </c>
      <c r="AG228" s="8">
        <f ca="1">_xll.HLV5r3.Analytics.Miscellaneous.Zero2DF(_xll.HLV5r3.Analytics.Miscellaneous.LinearInterp(Peturbed_QZ,$K228,1,AG$1),ZeroCompFreq,'PDH Calc'!$K228/365)</f>
        <v>1</v>
      </c>
      <c r="AH228" s="8">
        <f ca="1">_xll.HLV5r3.Analytics.Miscellaneous.Zero2DF(_xll.HLV5r3.Analytics.Miscellaneous.LinearInterp(Peturbed_QZ,$K228,1,AH$1),ZeroCompFreq,'PDH Calc'!$K228/365)</f>
        <v>1</v>
      </c>
      <c r="AI228" s="8">
        <f ca="1">_xll.HLV5r3.Analytics.Miscellaneous.Zero2DF(_xll.HLV5r3.Analytics.Miscellaneous.LinearInterp(Peturbed_QZ,$K228,1,AI$1),ZeroCompFreq,'PDH Calc'!$K228/365)</f>
        <v>1</v>
      </c>
      <c r="AJ228" s="8">
        <f ca="1">_xll.HLV5r3.Analytics.Miscellaneous.Zero2DF(_xll.HLV5r3.Analytics.Miscellaneous.LinearInterp(Peturbed_QZ,$K228,1,AJ$1),ZeroCompFreq,'PDH Calc'!$K228/365)</f>
        <v>1</v>
      </c>
      <c r="AK228" s="8">
        <f ca="1">_xll.HLV5r3.Analytics.Miscellaneous.Zero2DF(_xll.HLV5r3.Analytics.Miscellaneous.LinearInterp(Peturbed_QZ,$K228,1,AK$1),ZeroCompFreq,'PDH Calc'!$K228/365)</f>
        <v>1</v>
      </c>
    </row>
    <row r="229" spans="1:37">
      <c r="A229" s="4"/>
      <c r="B229" s="6"/>
      <c r="F229" s="11"/>
      <c r="G229" s="6"/>
      <c r="H229" s="20"/>
      <c r="I229" s="21"/>
      <c r="J229" s="26"/>
      <c r="K229" s="6">
        <f t="shared" ca="1" si="10"/>
        <v>0</v>
      </c>
      <c r="L229" s="8">
        <f ca="1">_xll.HLV5r3.Analytics.Miscellaneous.Zero2DF(_xll.HLV5r3.Analytics.Miscellaneous.LinearInterp(Peturbed_QZ,$K229,1,L$1),ZeroCompFreq,'PDH Calc'!$K229/365)</f>
        <v>1</v>
      </c>
      <c r="M229" s="8">
        <f ca="1">_xll.HLV5r3.Analytics.Miscellaneous.Zero2DF(_xll.HLV5r3.Analytics.Miscellaneous.LinearInterp(Peturbed_QZ,$K229,1,M$1),ZeroCompFreq,'PDH Calc'!$K229/365)</f>
        <v>1</v>
      </c>
      <c r="N229" s="8">
        <f ca="1">_xll.HLV5r3.Analytics.Miscellaneous.Zero2DF(_xll.HLV5r3.Analytics.Miscellaneous.LinearInterp(Peturbed_QZ,$K229,1,N$1),ZeroCompFreq,'PDH Calc'!$K229/365)</f>
        <v>1</v>
      </c>
      <c r="O229" s="8">
        <f ca="1">_xll.HLV5r3.Analytics.Miscellaneous.Zero2DF(_xll.HLV5r3.Analytics.Miscellaneous.LinearInterp(Peturbed_QZ,$K229,1,O$1),ZeroCompFreq,'PDH Calc'!$K229/365)</f>
        <v>1</v>
      </c>
      <c r="P229" s="8">
        <f ca="1">_xll.HLV5r3.Analytics.Miscellaneous.Zero2DF(_xll.HLV5r3.Analytics.Miscellaneous.LinearInterp(Peturbed_QZ,$K229,1,P$1),ZeroCompFreq,'PDH Calc'!$K229/365)</f>
        <v>1</v>
      </c>
      <c r="Q229" s="8">
        <f ca="1">_xll.HLV5r3.Analytics.Miscellaneous.Zero2DF(_xll.HLV5r3.Analytics.Miscellaneous.LinearInterp(Peturbed_QZ,$K229,1,Q$1),ZeroCompFreq,'PDH Calc'!$K229/365)</f>
        <v>1</v>
      </c>
      <c r="R229" s="8">
        <f ca="1">_xll.HLV5r3.Analytics.Miscellaneous.Zero2DF(_xll.HLV5r3.Analytics.Miscellaneous.LinearInterp(Peturbed_QZ,$K229,1,R$1),ZeroCompFreq,'PDH Calc'!$K229/365)</f>
        <v>1</v>
      </c>
      <c r="S229" s="8">
        <f ca="1">_xll.HLV5r3.Analytics.Miscellaneous.Zero2DF(_xll.HLV5r3.Analytics.Miscellaneous.LinearInterp(Peturbed_QZ,$K229,1,S$1),ZeroCompFreq,'PDH Calc'!$K229/365)</f>
        <v>1</v>
      </c>
      <c r="T229" s="8">
        <f ca="1">_xll.HLV5r3.Analytics.Miscellaneous.Zero2DF(_xll.HLV5r3.Analytics.Miscellaneous.LinearInterp(Peturbed_QZ,$K229,1,T$1),ZeroCompFreq,'PDH Calc'!$K229/365)</f>
        <v>1</v>
      </c>
      <c r="U229" s="8">
        <f ca="1">_xll.HLV5r3.Analytics.Miscellaneous.Zero2DF(_xll.HLV5r3.Analytics.Miscellaneous.LinearInterp(Peturbed_QZ,$K229,1,U$1),ZeroCompFreq,'PDH Calc'!$K229/365)</f>
        <v>1</v>
      </c>
      <c r="V229" s="8">
        <f ca="1">_xll.HLV5r3.Analytics.Miscellaneous.Zero2DF(_xll.HLV5r3.Analytics.Miscellaneous.LinearInterp(Peturbed_QZ,$K229,1,V$1),ZeroCompFreq,'PDH Calc'!$K229/365)</f>
        <v>1</v>
      </c>
      <c r="W229" s="8">
        <f ca="1">_xll.HLV5r3.Analytics.Miscellaneous.Zero2DF(_xll.HLV5r3.Analytics.Miscellaneous.LinearInterp(Peturbed_QZ,$K229,1,W$1),ZeroCompFreq,'PDH Calc'!$K229/365)</f>
        <v>1</v>
      </c>
      <c r="X229" s="8">
        <f ca="1">_xll.HLV5r3.Analytics.Miscellaneous.Zero2DF(_xll.HLV5r3.Analytics.Miscellaneous.LinearInterp(Peturbed_QZ,$K229,1,X$1),ZeroCompFreq,'PDH Calc'!$K229/365)</f>
        <v>1</v>
      </c>
      <c r="Y229" s="8">
        <f ca="1">_xll.HLV5r3.Analytics.Miscellaneous.Zero2DF(_xll.HLV5r3.Analytics.Miscellaneous.LinearInterp(Peturbed_QZ,$K229,1,Y$1),ZeroCompFreq,'PDH Calc'!$K229/365)</f>
        <v>1</v>
      </c>
      <c r="Z229" s="8">
        <f ca="1">_xll.HLV5r3.Analytics.Miscellaneous.Zero2DF(_xll.HLV5r3.Analytics.Miscellaneous.LinearInterp(Peturbed_QZ,$K229,1,Z$1),ZeroCompFreq,'PDH Calc'!$K229/365)</f>
        <v>1</v>
      </c>
      <c r="AA229" s="8">
        <f ca="1">_xll.HLV5r3.Analytics.Miscellaneous.Zero2DF(_xll.HLV5r3.Analytics.Miscellaneous.LinearInterp(Peturbed_QZ,$K229,1,AA$1),ZeroCompFreq,'PDH Calc'!$K229/365)</f>
        <v>1</v>
      </c>
      <c r="AB229" s="8">
        <f ca="1">_xll.HLV5r3.Analytics.Miscellaneous.Zero2DF(_xll.HLV5r3.Analytics.Miscellaneous.LinearInterp(Peturbed_QZ,$K229,1,AB$1),ZeroCompFreq,'PDH Calc'!$K229/365)</f>
        <v>1</v>
      </c>
      <c r="AC229" s="8">
        <f ca="1">_xll.HLV5r3.Analytics.Miscellaneous.Zero2DF(_xll.HLV5r3.Analytics.Miscellaneous.LinearInterp(Peturbed_QZ,$K229,1,AC$1),ZeroCompFreq,'PDH Calc'!$K229/365)</f>
        <v>1</v>
      </c>
      <c r="AD229" s="8">
        <f ca="1">_xll.HLV5r3.Analytics.Miscellaneous.Zero2DF(_xll.HLV5r3.Analytics.Miscellaneous.LinearInterp(Peturbed_QZ,$K229,1,AD$1),ZeroCompFreq,'PDH Calc'!$K229/365)</f>
        <v>1</v>
      </c>
      <c r="AE229" s="8">
        <f ca="1">_xll.HLV5r3.Analytics.Miscellaneous.Zero2DF(_xll.HLV5r3.Analytics.Miscellaneous.LinearInterp(Peturbed_QZ,$K229,1,AE$1),ZeroCompFreq,'PDH Calc'!$K229/365)</f>
        <v>1</v>
      </c>
      <c r="AF229" s="8">
        <f ca="1">_xll.HLV5r3.Analytics.Miscellaneous.Zero2DF(_xll.HLV5r3.Analytics.Miscellaneous.LinearInterp(Peturbed_QZ,$K229,1,AF$1),ZeroCompFreq,'PDH Calc'!$K229/365)</f>
        <v>1</v>
      </c>
      <c r="AG229" s="8">
        <f ca="1">_xll.HLV5r3.Analytics.Miscellaneous.Zero2DF(_xll.HLV5r3.Analytics.Miscellaneous.LinearInterp(Peturbed_QZ,$K229,1,AG$1),ZeroCompFreq,'PDH Calc'!$K229/365)</f>
        <v>1</v>
      </c>
      <c r="AH229" s="8">
        <f ca="1">_xll.HLV5r3.Analytics.Miscellaneous.Zero2DF(_xll.HLV5r3.Analytics.Miscellaneous.LinearInterp(Peturbed_QZ,$K229,1,AH$1),ZeroCompFreq,'PDH Calc'!$K229/365)</f>
        <v>1</v>
      </c>
      <c r="AI229" s="8">
        <f ca="1">_xll.HLV5r3.Analytics.Miscellaneous.Zero2DF(_xll.HLV5r3.Analytics.Miscellaneous.LinearInterp(Peturbed_QZ,$K229,1,AI$1),ZeroCompFreq,'PDH Calc'!$K229/365)</f>
        <v>1</v>
      </c>
      <c r="AJ229" s="8">
        <f ca="1">_xll.HLV5r3.Analytics.Miscellaneous.Zero2DF(_xll.HLV5r3.Analytics.Miscellaneous.LinearInterp(Peturbed_QZ,$K229,1,AJ$1),ZeroCompFreq,'PDH Calc'!$K229/365)</f>
        <v>1</v>
      </c>
      <c r="AK229" s="8">
        <f ca="1">_xll.HLV5r3.Analytics.Miscellaneous.Zero2DF(_xll.HLV5r3.Analytics.Miscellaneous.LinearInterp(Peturbed_QZ,$K229,1,AK$1),ZeroCompFreq,'PDH Calc'!$K229/365)</f>
        <v>1</v>
      </c>
    </row>
    <row r="230" spans="1:37">
      <c r="A230" s="4"/>
      <c r="B230" s="6"/>
      <c r="F230" s="11"/>
      <c r="G230" s="6"/>
      <c r="H230" s="20"/>
      <c r="I230" s="21"/>
      <c r="J230" s="26"/>
      <c r="K230" s="6">
        <f t="shared" ca="1" si="10"/>
        <v>0</v>
      </c>
      <c r="L230" s="8">
        <f ca="1">_xll.HLV5r3.Analytics.Miscellaneous.Zero2DF(_xll.HLV5r3.Analytics.Miscellaneous.LinearInterp(Peturbed_QZ,$K230,1,L$1),ZeroCompFreq,'PDH Calc'!$K230/365)</f>
        <v>1</v>
      </c>
      <c r="M230" s="8">
        <f ca="1">_xll.HLV5r3.Analytics.Miscellaneous.Zero2DF(_xll.HLV5r3.Analytics.Miscellaneous.LinearInterp(Peturbed_QZ,$K230,1,M$1),ZeroCompFreq,'PDH Calc'!$K230/365)</f>
        <v>1</v>
      </c>
      <c r="N230" s="8">
        <f ca="1">_xll.HLV5r3.Analytics.Miscellaneous.Zero2DF(_xll.HLV5r3.Analytics.Miscellaneous.LinearInterp(Peturbed_QZ,$K230,1,N$1),ZeroCompFreq,'PDH Calc'!$K230/365)</f>
        <v>1</v>
      </c>
      <c r="O230" s="8">
        <f ca="1">_xll.HLV5r3.Analytics.Miscellaneous.Zero2DF(_xll.HLV5r3.Analytics.Miscellaneous.LinearInterp(Peturbed_QZ,$K230,1,O$1),ZeroCompFreq,'PDH Calc'!$K230/365)</f>
        <v>1</v>
      </c>
      <c r="P230" s="8">
        <f ca="1">_xll.HLV5r3.Analytics.Miscellaneous.Zero2DF(_xll.HLV5r3.Analytics.Miscellaneous.LinearInterp(Peturbed_QZ,$K230,1,P$1),ZeroCompFreq,'PDH Calc'!$K230/365)</f>
        <v>1</v>
      </c>
      <c r="Q230" s="8">
        <f ca="1">_xll.HLV5r3.Analytics.Miscellaneous.Zero2DF(_xll.HLV5r3.Analytics.Miscellaneous.LinearInterp(Peturbed_QZ,$K230,1,Q$1),ZeroCompFreq,'PDH Calc'!$K230/365)</f>
        <v>1</v>
      </c>
      <c r="R230" s="8">
        <f ca="1">_xll.HLV5r3.Analytics.Miscellaneous.Zero2DF(_xll.HLV5r3.Analytics.Miscellaneous.LinearInterp(Peturbed_QZ,$K230,1,R$1),ZeroCompFreq,'PDH Calc'!$K230/365)</f>
        <v>1</v>
      </c>
      <c r="S230" s="8">
        <f ca="1">_xll.HLV5r3.Analytics.Miscellaneous.Zero2DF(_xll.HLV5r3.Analytics.Miscellaneous.LinearInterp(Peturbed_QZ,$K230,1,S$1),ZeroCompFreq,'PDH Calc'!$K230/365)</f>
        <v>1</v>
      </c>
      <c r="T230" s="8">
        <f ca="1">_xll.HLV5r3.Analytics.Miscellaneous.Zero2DF(_xll.HLV5r3.Analytics.Miscellaneous.LinearInterp(Peturbed_QZ,$K230,1,T$1),ZeroCompFreq,'PDH Calc'!$K230/365)</f>
        <v>1</v>
      </c>
      <c r="U230" s="8">
        <f ca="1">_xll.HLV5r3.Analytics.Miscellaneous.Zero2DF(_xll.HLV5r3.Analytics.Miscellaneous.LinearInterp(Peturbed_QZ,$K230,1,U$1),ZeroCompFreq,'PDH Calc'!$K230/365)</f>
        <v>1</v>
      </c>
      <c r="V230" s="8">
        <f ca="1">_xll.HLV5r3.Analytics.Miscellaneous.Zero2DF(_xll.HLV5r3.Analytics.Miscellaneous.LinearInterp(Peturbed_QZ,$K230,1,V$1),ZeroCompFreq,'PDH Calc'!$K230/365)</f>
        <v>1</v>
      </c>
      <c r="W230" s="8">
        <f ca="1">_xll.HLV5r3.Analytics.Miscellaneous.Zero2DF(_xll.HLV5r3.Analytics.Miscellaneous.LinearInterp(Peturbed_QZ,$K230,1,W$1),ZeroCompFreq,'PDH Calc'!$K230/365)</f>
        <v>1</v>
      </c>
      <c r="X230" s="8">
        <f ca="1">_xll.HLV5r3.Analytics.Miscellaneous.Zero2DF(_xll.HLV5r3.Analytics.Miscellaneous.LinearInterp(Peturbed_QZ,$K230,1,X$1),ZeroCompFreq,'PDH Calc'!$K230/365)</f>
        <v>1</v>
      </c>
      <c r="Y230" s="8">
        <f ca="1">_xll.HLV5r3.Analytics.Miscellaneous.Zero2DF(_xll.HLV5r3.Analytics.Miscellaneous.LinearInterp(Peturbed_QZ,$K230,1,Y$1),ZeroCompFreq,'PDH Calc'!$K230/365)</f>
        <v>1</v>
      </c>
      <c r="Z230" s="8">
        <f ca="1">_xll.HLV5r3.Analytics.Miscellaneous.Zero2DF(_xll.HLV5r3.Analytics.Miscellaneous.LinearInterp(Peturbed_QZ,$K230,1,Z$1),ZeroCompFreq,'PDH Calc'!$K230/365)</f>
        <v>1</v>
      </c>
      <c r="AA230" s="8">
        <f ca="1">_xll.HLV5r3.Analytics.Miscellaneous.Zero2DF(_xll.HLV5r3.Analytics.Miscellaneous.LinearInterp(Peturbed_QZ,$K230,1,AA$1),ZeroCompFreq,'PDH Calc'!$K230/365)</f>
        <v>1</v>
      </c>
      <c r="AB230" s="8">
        <f ca="1">_xll.HLV5r3.Analytics.Miscellaneous.Zero2DF(_xll.HLV5r3.Analytics.Miscellaneous.LinearInterp(Peturbed_QZ,$K230,1,AB$1),ZeroCompFreq,'PDH Calc'!$K230/365)</f>
        <v>1</v>
      </c>
      <c r="AC230" s="8">
        <f ca="1">_xll.HLV5r3.Analytics.Miscellaneous.Zero2DF(_xll.HLV5r3.Analytics.Miscellaneous.LinearInterp(Peturbed_QZ,$K230,1,AC$1),ZeroCompFreq,'PDH Calc'!$K230/365)</f>
        <v>1</v>
      </c>
      <c r="AD230" s="8">
        <f ca="1">_xll.HLV5r3.Analytics.Miscellaneous.Zero2DF(_xll.HLV5r3.Analytics.Miscellaneous.LinearInterp(Peturbed_QZ,$K230,1,AD$1),ZeroCompFreq,'PDH Calc'!$K230/365)</f>
        <v>1</v>
      </c>
      <c r="AE230" s="8">
        <f ca="1">_xll.HLV5r3.Analytics.Miscellaneous.Zero2DF(_xll.HLV5r3.Analytics.Miscellaneous.LinearInterp(Peturbed_QZ,$K230,1,AE$1),ZeroCompFreq,'PDH Calc'!$K230/365)</f>
        <v>1</v>
      </c>
      <c r="AF230" s="8">
        <f ca="1">_xll.HLV5r3.Analytics.Miscellaneous.Zero2DF(_xll.HLV5r3.Analytics.Miscellaneous.LinearInterp(Peturbed_QZ,$K230,1,AF$1),ZeroCompFreq,'PDH Calc'!$K230/365)</f>
        <v>1</v>
      </c>
      <c r="AG230" s="8">
        <f ca="1">_xll.HLV5r3.Analytics.Miscellaneous.Zero2DF(_xll.HLV5r3.Analytics.Miscellaneous.LinearInterp(Peturbed_QZ,$K230,1,AG$1),ZeroCompFreq,'PDH Calc'!$K230/365)</f>
        <v>1</v>
      </c>
      <c r="AH230" s="8">
        <f ca="1">_xll.HLV5r3.Analytics.Miscellaneous.Zero2DF(_xll.HLV5r3.Analytics.Miscellaneous.LinearInterp(Peturbed_QZ,$K230,1,AH$1),ZeroCompFreq,'PDH Calc'!$K230/365)</f>
        <v>1</v>
      </c>
      <c r="AI230" s="8">
        <f ca="1">_xll.HLV5r3.Analytics.Miscellaneous.Zero2DF(_xll.HLV5r3.Analytics.Miscellaneous.LinearInterp(Peturbed_QZ,$K230,1,AI$1),ZeroCompFreq,'PDH Calc'!$K230/365)</f>
        <v>1</v>
      </c>
      <c r="AJ230" s="8">
        <f ca="1">_xll.HLV5r3.Analytics.Miscellaneous.Zero2DF(_xll.HLV5r3.Analytics.Miscellaneous.LinearInterp(Peturbed_QZ,$K230,1,AJ$1),ZeroCompFreq,'PDH Calc'!$K230/365)</f>
        <v>1</v>
      </c>
      <c r="AK230" s="8">
        <f ca="1">_xll.HLV5r3.Analytics.Miscellaneous.Zero2DF(_xll.HLV5r3.Analytics.Miscellaneous.LinearInterp(Peturbed_QZ,$K230,1,AK$1),ZeroCompFreq,'PDH Calc'!$K230/365)</f>
        <v>1</v>
      </c>
    </row>
    <row r="231" spans="1:37">
      <c r="A231" s="4"/>
      <c r="B231" s="6"/>
      <c r="F231" s="11"/>
      <c r="G231" s="6"/>
      <c r="H231" s="20"/>
      <c r="I231" s="21"/>
      <c r="J231" s="26"/>
      <c r="K231" s="6">
        <f t="shared" ca="1" si="10"/>
        <v>0</v>
      </c>
      <c r="L231" s="8">
        <f ca="1">_xll.HLV5r3.Analytics.Miscellaneous.Zero2DF(_xll.HLV5r3.Analytics.Miscellaneous.LinearInterp(Peturbed_QZ,$K231,1,L$1),ZeroCompFreq,'PDH Calc'!$K231/365)</f>
        <v>1</v>
      </c>
      <c r="M231" s="8">
        <f ca="1">_xll.HLV5r3.Analytics.Miscellaneous.Zero2DF(_xll.HLV5r3.Analytics.Miscellaneous.LinearInterp(Peturbed_QZ,$K231,1,M$1),ZeroCompFreq,'PDH Calc'!$K231/365)</f>
        <v>1</v>
      </c>
      <c r="N231" s="8">
        <f ca="1">_xll.HLV5r3.Analytics.Miscellaneous.Zero2DF(_xll.HLV5r3.Analytics.Miscellaneous.LinearInterp(Peturbed_QZ,$K231,1,N$1),ZeroCompFreq,'PDH Calc'!$K231/365)</f>
        <v>1</v>
      </c>
      <c r="O231" s="8">
        <f ca="1">_xll.HLV5r3.Analytics.Miscellaneous.Zero2DF(_xll.HLV5r3.Analytics.Miscellaneous.LinearInterp(Peturbed_QZ,$K231,1,O$1),ZeroCompFreq,'PDH Calc'!$K231/365)</f>
        <v>1</v>
      </c>
      <c r="P231" s="8">
        <f ca="1">_xll.HLV5r3.Analytics.Miscellaneous.Zero2DF(_xll.HLV5r3.Analytics.Miscellaneous.LinearInterp(Peturbed_QZ,$K231,1,P$1),ZeroCompFreq,'PDH Calc'!$K231/365)</f>
        <v>1</v>
      </c>
      <c r="Q231" s="8">
        <f ca="1">_xll.HLV5r3.Analytics.Miscellaneous.Zero2DF(_xll.HLV5r3.Analytics.Miscellaneous.LinearInterp(Peturbed_QZ,$K231,1,Q$1),ZeroCompFreq,'PDH Calc'!$K231/365)</f>
        <v>1</v>
      </c>
      <c r="R231" s="8">
        <f ca="1">_xll.HLV5r3.Analytics.Miscellaneous.Zero2DF(_xll.HLV5r3.Analytics.Miscellaneous.LinearInterp(Peturbed_QZ,$K231,1,R$1),ZeroCompFreq,'PDH Calc'!$K231/365)</f>
        <v>1</v>
      </c>
      <c r="S231" s="8">
        <f ca="1">_xll.HLV5r3.Analytics.Miscellaneous.Zero2DF(_xll.HLV5r3.Analytics.Miscellaneous.LinearInterp(Peturbed_QZ,$K231,1,S$1),ZeroCompFreq,'PDH Calc'!$K231/365)</f>
        <v>1</v>
      </c>
      <c r="T231" s="8">
        <f ca="1">_xll.HLV5r3.Analytics.Miscellaneous.Zero2DF(_xll.HLV5r3.Analytics.Miscellaneous.LinearInterp(Peturbed_QZ,$K231,1,T$1),ZeroCompFreq,'PDH Calc'!$K231/365)</f>
        <v>1</v>
      </c>
      <c r="U231" s="8">
        <f ca="1">_xll.HLV5r3.Analytics.Miscellaneous.Zero2DF(_xll.HLV5r3.Analytics.Miscellaneous.LinearInterp(Peturbed_QZ,$K231,1,U$1),ZeroCompFreq,'PDH Calc'!$K231/365)</f>
        <v>1</v>
      </c>
      <c r="V231" s="8">
        <f ca="1">_xll.HLV5r3.Analytics.Miscellaneous.Zero2DF(_xll.HLV5r3.Analytics.Miscellaneous.LinearInterp(Peturbed_QZ,$K231,1,V$1),ZeroCompFreq,'PDH Calc'!$K231/365)</f>
        <v>1</v>
      </c>
      <c r="W231" s="8">
        <f ca="1">_xll.HLV5r3.Analytics.Miscellaneous.Zero2DF(_xll.HLV5r3.Analytics.Miscellaneous.LinearInterp(Peturbed_QZ,$K231,1,W$1),ZeroCompFreq,'PDH Calc'!$K231/365)</f>
        <v>1</v>
      </c>
      <c r="X231" s="8">
        <f ca="1">_xll.HLV5r3.Analytics.Miscellaneous.Zero2DF(_xll.HLV5r3.Analytics.Miscellaneous.LinearInterp(Peturbed_QZ,$K231,1,X$1),ZeroCompFreq,'PDH Calc'!$K231/365)</f>
        <v>1</v>
      </c>
      <c r="Y231" s="8">
        <f ca="1">_xll.HLV5r3.Analytics.Miscellaneous.Zero2DF(_xll.HLV5r3.Analytics.Miscellaneous.LinearInterp(Peturbed_QZ,$K231,1,Y$1),ZeroCompFreq,'PDH Calc'!$K231/365)</f>
        <v>1</v>
      </c>
      <c r="Z231" s="8">
        <f ca="1">_xll.HLV5r3.Analytics.Miscellaneous.Zero2DF(_xll.HLV5r3.Analytics.Miscellaneous.LinearInterp(Peturbed_QZ,$K231,1,Z$1),ZeroCompFreq,'PDH Calc'!$K231/365)</f>
        <v>1</v>
      </c>
      <c r="AA231" s="8">
        <f ca="1">_xll.HLV5r3.Analytics.Miscellaneous.Zero2DF(_xll.HLV5r3.Analytics.Miscellaneous.LinearInterp(Peturbed_QZ,$K231,1,AA$1),ZeroCompFreq,'PDH Calc'!$K231/365)</f>
        <v>1</v>
      </c>
      <c r="AB231" s="8">
        <f ca="1">_xll.HLV5r3.Analytics.Miscellaneous.Zero2DF(_xll.HLV5r3.Analytics.Miscellaneous.LinearInterp(Peturbed_QZ,$K231,1,AB$1),ZeroCompFreq,'PDH Calc'!$K231/365)</f>
        <v>1</v>
      </c>
      <c r="AC231" s="8">
        <f ca="1">_xll.HLV5r3.Analytics.Miscellaneous.Zero2DF(_xll.HLV5r3.Analytics.Miscellaneous.LinearInterp(Peturbed_QZ,$K231,1,AC$1),ZeroCompFreq,'PDH Calc'!$K231/365)</f>
        <v>1</v>
      </c>
      <c r="AD231" s="8">
        <f ca="1">_xll.HLV5r3.Analytics.Miscellaneous.Zero2DF(_xll.HLV5r3.Analytics.Miscellaneous.LinearInterp(Peturbed_QZ,$K231,1,AD$1),ZeroCompFreq,'PDH Calc'!$K231/365)</f>
        <v>1</v>
      </c>
      <c r="AE231" s="8">
        <f ca="1">_xll.HLV5r3.Analytics.Miscellaneous.Zero2DF(_xll.HLV5r3.Analytics.Miscellaneous.LinearInterp(Peturbed_QZ,$K231,1,AE$1),ZeroCompFreq,'PDH Calc'!$K231/365)</f>
        <v>1</v>
      </c>
      <c r="AF231" s="8">
        <f ca="1">_xll.HLV5r3.Analytics.Miscellaneous.Zero2DF(_xll.HLV5r3.Analytics.Miscellaneous.LinearInterp(Peturbed_QZ,$K231,1,AF$1),ZeroCompFreq,'PDH Calc'!$K231/365)</f>
        <v>1</v>
      </c>
      <c r="AG231" s="8">
        <f ca="1">_xll.HLV5r3.Analytics.Miscellaneous.Zero2DF(_xll.HLV5r3.Analytics.Miscellaneous.LinearInterp(Peturbed_QZ,$K231,1,AG$1),ZeroCompFreq,'PDH Calc'!$K231/365)</f>
        <v>1</v>
      </c>
      <c r="AH231" s="8">
        <f ca="1">_xll.HLV5r3.Analytics.Miscellaneous.Zero2DF(_xll.HLV5r3.Analytics.Miscellaneous.LinearInterp(Peturbed_QZ,$K231,1,AH$1),ZeroCompFreq,'PDH Calc'!$K231/365)</f>
        <v>1</v>
      </c>
      <c r="AI231" s="8">
        <f ca="1">_xll.HLV5r3.Analytics.Miscellaneous.Zero2DF(_xll.HLV5r3.Analytics.Miscellaneous.LinearInterp(Peturbed_QZ,$K231,1,AI$1),ZeroCompFreq,'PDH Calc'!$K231/365)</f>
        <v>1</v>
      </c>
      <c r="AJ231" s="8">
        <f ca="1">_xll.HLV5r3.Analytics.Miscellaneous.Zero2DF(_xll.HLV5r3.Analytics.Miscellaneous.LinearInterp(Peturbed_QZ,$K231,1,AJ$1),ZeroCompFreq,'PDH Calc'!$K231/365)</f>
        <v>1</v>
      </c>
      <c r="AK231" s="8">
        <f ca="1">_xll.HLV5r3.Analytics.Miscellaneous.Zero2DF(_xll.HLV5r3.Analytics.Miscellaneous.LinearInterp(Peturbed_QZ,$K231,1,AK$1),ZeroCompFreq,'PDH Calc'!$K231/365)</f>
        <v>1</v>
      </c>
    </row>
    <row r="232" spans="1:37">
      <c r="A232" s="4"/>
      <c r="B232" s="6"/>
      <c r="F232" s="11"/>
      <c r="G232" s="6"/>
      <c r="H232" s="20"/>
      <c r="I232" s="21"/>
      <c r="J232" s="26"/>
      <c r="K232" s="6">
        <f t="shared" ca="1" si="10"/>
        <v>0</v>
      </c>
      <c r="L232" s="8">
        <f ca="1">_xll.HLV5r3.Analytics.Miscellaneous.Zero2DF(_xll.HLV5r3.Analytics.Miscellaneous.LinearInterp(Peturbed_QZ,$K232,1,L$1),ZeroCompFreq,'PDH Calc'!$K232/365)</f>
        <v>1</v>
      </c>
      <c r="M232" s="8">
        <f ca="1">_xll.HLV5r3.Analytics.Miscellaneous.Zero2DF(_xll.HLV5r3.Analytics.Miscellaneous.LinearInterp(Peturbed_QZ,$K232,1,M$1),ZeroCompFreq,'PDH Calc'!$K232/365)</f>
        <v>1</v>
      </c>
      <c r="N232" s="8">
        <f ca="1">_xll.HLV5r3.Analytics.Miscellaneous.Zero2DF(_xll.HLV5r3.Analytics.Miscellaneous.LinearInterp(Peturbed_QZ,$K232,1,N$1),ZeroCompFreq,'PDH Calc'!$K232/365)</f>
        <v>1</v>
      </c>
      <c r="O232" s="8">
        <f ca="1">_xll.HLV5r3.Analytics.Miscellaneous.Zero2DF(_xll.HLV5r3.Analytics.Miscellaneous.LinearInterp(Peturbed_QZ,$K232,1,O$1),ZeroCompFreq,'PDH Calc'!$K232/365)</f>
        <v>1</v>
      </c>
      <c r="P232" s="8">
        <f ca="1">_xll.HLV5r3.Analytics.Miscellaneous.Zero2DF(_xll.HLV5r3.Analytics.Miscellaneous.LinearInterp(Peturbed_QZ,$K232,1,P$1),ZeroCompFreq,'PDH Calc'!$K232/365)</f>
        <v>1</v>
      </c>
      <c r="Q232" s="8">
        <f ca="1">_xll.HLV5r3.Analytics.Miscellaneous.Zero2DF(_xll.HLV5r3.Analytics.Miscellaneous.LinearInterp(Peturbed_QZ,$K232,1,Q$1),ZeroCompFreq,'PDH Calc'!$K232/365)</f>
        <v>1</v>
      </c>
      <c r="R232" s="8">
        <f ca="1">_xll.HLV5r3.Analytics.Miscellaneous.Zero2DF(_xll.HLV5r3.Analytics.Miscellaneous.LinearInterp(Peturbed_QZ,$K232,1,R$1),ZeroCompFreq,'PDH Calc'!$K232/365)</f>
        <v>1</v>
      </c>
      <c r="S232" s="8">
        <f ca="1">_xll.HLV5r3.Analytics.Miscellaneous.Zero2DF(_xll.HLV5r3.Analytics.Miscellaneous.LinearInterp(Peturbed_QZ,$K232,1,S$1),ZeroCompFreq,'PDH Calc'!$K232/365)</f>
        <v>1</v>
      </c>
      <c r="T232" s="8">
        <f ca="1">_xll.HLV5r3.Analytics.Miscellaneous.Zero2DF(_xll.HLV5r3.Analytics.Miscellaneous.LinearInterp(Peturbed_QZ,$K232,1,T$1),ZeroCompFreq,'PDH Calc'!$K232/365)</f>
        <v>1</v>
      </c>
      <c r="U232" s="8">
        <f ca="1">_xll.HLV5r3.Analytics.Miscellaneous.Zero2DF(_xll.HLV5r3.Analytics.Miscellaneous.LinearInterp(Peturbed_QZ,$K232,1,U$1),ZeroCompFreq,'PDH Calc'!$K232/365)</f>
        <v>1</v>
      </c>
      <c r="V232" s="8">
        <f ca="1">_xll.HLV5r3.Analytics.Miscellaneous.Zero2DF(_xll.HLV5r3.Analytics.Miscellaneous.LinearInterp(Peturbed_QZ,$K232,1,V$1),ZeroCompFreq,'PDH Calc'!$K232/365)</f>
        <v>1</v>
      </c>
      <c r="W232" s="8">
        <f ca="1">_xll.HLV5r3.Analytics.Miscellaneous.Zero2DF(_xll.HLV5r3.Analytics.Miscellaneous.LinearInterp(Peturbed_QZ,$K232,1,W$1),ZeroCompFreq,'PDH Calc'!$K232/365)</f>
        <v>1</v>
      </c>
      <c r="X232" s="8">
        <f ca="1">_xll.HLV5r3.Analytics.Miscellaneous.Zero2DF(_xll.HLV5r3.Analytics.Miscellaneous.LinearInterp(Peturbed_QZ,$K232,1,X$1),ZeroCompFreq,'PDH Calc'!$K232/365)</f>
        <v>1</v>
      </c>
      <c r="Y232" s="8">
        <f ca="1">_xll.HLV5r3.Analytics.Miscellaneous.Zero2DF(_xll.HLV5r3.Analytics.Miscellaneous.LinearInterp(Peturbed_QZ,$K232,1,Y$1),ZeroCompFreq,'PDH Calc'!$K232/365)</f>
        <v>1</v>
      </c>
      <c r="Z232" s="8">
        <f ca="1">_xll.HLV5r3.Analytics.Miscellaneous.Zero2DF(_xll.HLV5r3.Analytics.Miscellaneous.LinearInterp(Peturbed_QZ,$K232,1,Z$1),ZeroCompFreq,'PDH Calc'!$K232/365)</f>
        <v>1</v>
      </c>
      <c r="AA232" s="8">
        <f ca="1">_xll.HLV5r3.Analytics.Miscellaneous.Zero2DF(_xll.HLV5r3.Analytics.Miscellaneous.LinearInterp(Peturbed_QZ,$K232,1,AA$1),ZeroCompFreq,'PDH Calc'!$K232/365)</f>
        <v>1</v>
      </c>
      <c r="AB232" s="8">
        <f ca="1">_xll.HLV5r3.Analytics.Miscellaneous.Zero2DF(_xll.HLV5r3.Analytics.Miscellaneous.LinearInterp(Peturbed_QZ,$K232,1,AB$1),ZeroCompFreq,'PDH Calc'!$K232/365)</f>
        <v>1</v>
      </c>
      <c r="AC232" s="8">
        <f ca="1">_xll.HLV5r3.Analytics.Miscellaneous.Zero2DF(_xll.HLV5r3.Analytics.Miscellaneous.LinearInterp(Peturbed_QZ,$K232,1,AC$1),ZeroCompFreq,'PDH Calc'!$K232/365)</f>
        <v>1</v>
      </c>
      <c r="AD232" s="8">
        <f ca="1">_xll.HLV5r3.Analytics.Miscellaneous.Zero2DF(_xll.HLV5r3.Analytics.Miscellaneous.LinearInterp(Peturbed_QZ,$K232,1,AD$1),ZeroCompFreq,'PDH Calc'!$K232/365)</f>
        <v>1</v>
      </c>
      <c r="AE232" s="8">
        <f ca="1">_xll.HLV5r3.Analytics.Miscellaneous.Zero2DF(_xll.HLV5r3.Analytics.Miscellaneous.LinearInterp(Peturbed_QZ,$K232,1,AE$1),ZeroCompFreq,'PDH Calc'!$K232/365)</f>
        <v>1</v>
      </c>
      <c r="AF232" s="8">
        <f ca="1">_xll.HLV5r3.Analytics.Miscellaneous.Zero2DF(_xll.HLV5r3.Analytics.Miscellaneous.LinearInterp(Peturbed_QZ,$K232,1,AF$1),ZeroCompFreq,'PDH Calc'!$K232/365)</f>
        <v>1</v>
      </c>
      <c r="AG232" s="8">
        <f ca="1">_xll.HLV5r3.Analytics.Miscellaneous.Zero2DF(_xll.HLV5r3.Analytics.Miscellaneous.LinearInterp(Peturbed_QZ,$K232,1,AG$1),ZeroCompFreq,'PDH Calc'!$K232/365)</f>
        <v>1</v>
      </c>
      <c r="AH232" s="8">
        <f ca="1">_xll.HLV5r3.Analytics.Miscellaneous.Zero2DF(_xll.HLV5r3.Analytics.Miscellaneous.LinearInterp(Peturbed_QZ,$K232,1,AH$1),ZeroCompFreq,'PDH Calc'!$K232/365)</f>
        <v>1</v>
      </c>
      <c r="AI232" s="8">
        <f ca="1">_xll.HLV5r3.Analytics.Miscellaneous.Zero2DF(_xll.HLV5r3.Analytics.Miscellaneous.LinearInterp(Peturbed_QZ,$K232,1,AI$1),ZeroCompFreq,'PDH Calc'!$K232/365)</f>
        <v>1</v>
      </c>
      <c r="AJ232" s="8">
        <f ca="1">_xll.HLV5r3.Analytics.Miscellaneous.Zero2DF(_xll.HLV5r3.Analytics.Miscellaneous.LinearInterp(Peturbed_QZ,$K232,1,AJ$1),ZeroCompFreq,'PDH Calc'!$K232/365)</f>
        <v>1</v>
      </c>
      <c r="AK232" s="8">
        <f ca="1">_xll.HLV5r3.Analytics.Miscellaneous.Zero2DF(_xll.HLV5r3.Analytics.Miscellaneous.LinearInterp(Peturbed_QZ,$K232,1,AK$1),ZeroCompFreq,'PDH Calc'!$K232/365)</f>
        <v>1</v>
      </c>
    </row>
    <row r="233" spans="1:37">
      <c r="A233" s="4"/>
      <c r="B233" s="6"/>
      <c r="F233" s="11"/>
      <c r="G233" s="6"/>
      <c r="H233" s="20"/>
      <c r="I233" s="21"/>
      <c r="J233" s="26"/>
      <c r="K233" s="6">
        <f t="shared" ca="1" si="10"/>
        <v>0</v>
      </c>
      <c r="L233" s="8">
        <f ca="1">_xll.HLV5r3.Analytics.Miscellaneous.Zero2DF(_xll.HLV5r3.Analytics.Miscellaneous.LinearInterp(Peturbed_QZ,$K233,1,L$1),ZeroCompFreq,'PDH Calc'!$K233/365)</f>
        <v>1</v>
      </c>
      <c r="M233" s="8">
        <f ca="1">_xll.HLV5r3.Analytics.Miscellaneous.Zero2DF(_xll.HLV5r3.Analytics.Miscellaneous.LinearInterp(Peturbed_QZ,$K233,1,M$1),ZeroCompFreq,'PDH Calc'!$K233/365)</f>
        <v>1</v>
      </c>
      <c r="N233" s="8">
        <f ca="1">_xll.HLV5r3.Analytics.Miscellaneous.Zero2DF(_xll.HLV5r3.Analytics.Miscellaneous.LinearInterp(Peturbed_QZ,$K233,1,N$1),ZeroCompFreq,'PDH Calc'!$K233/365)</f>
        <v>1</v>
      </c>
      <c r="O233" s="8">
        <f ca="1">_xll.HLV5r3.Analytics.Miscellaneous.Zero2DF(_xll.HLV5r3.Analytics.Miscellaneous.LinearInterp(Peturbed_QZ,$K233,1,O$1),ZeroCompFreq,'PDH Calc'!$K233/365)</f>
        <v>1</v>
      </c>
      <c r="P233" s="8">
        <f ca="1">_xll.HLV5r3.Analytics.Miscellaneous.Zero2DF(_xll.HLV5r3.Analytics.Miscellaneous.LinearInterp(Peturbed_QZ,$K233,1,P$1),ZeroCompFreq,'PDH Calc'!$K233/365)</f>
        <v>1</v>
      </c>
      <c r="Q233" s="8">
        <f ca="1">_xll.HLV5r3.Analytics.Miscellaneous.Zero2DF(_xll.HLV5r3.Analytics.Miscellaneous.LinearInterp(Peturbed_QZ,$K233,1,Q$1),ZeroCompFreq,'PDH Calc'!$K233/365)</f>
        <v>1</v>
      </c>
      <c r="R233" s="8">
        <f ca="1">_xll.HLV5r3.Analytics.Miscellaneous.Zero2DF(_xll.HLV5r3.Analytics.Miscellaneous.LinearInterp(Peturbed_QZ,$K233,1,R$1),ZeroCompFreq,'PDH Calc'!$K233/365)</f>
        <v>1</v>
      </c>
      <c r="S233" s="8">
        <f ca="1">_xll.HLV5r3.Analytics.Miscellaneous.Zero2DF(_xll.HLV5r3.Analytics.Miscellaneous.LinearInterp(Peturbed_QZ,$K233,1,S$1),ZeroCompFreq,'PDH Calc'!$K233/365)</f>
        <v>1</v>
      </c>
      <c r="T233" s="8">
        <f ca="1">_xll.HLV5r3.Analytics.Miscellaneous.Zero2DF(_xll.HLV5r3.Analytics.Miscellaneous.LinearInterp(Peturbed_QZ,$K233,1,T$1),ZeroCompFreq,'PDH Calc'!$K233/365)</f>
        <v>1</v>
      </c>
      <c r="U233" s="8">
        <f ca="1">_xll.HLV5r3.Analytics.Miscellaneous.Zero2DF(_xll.HLV5r3.Analytics.Miscellaneous.LinearInterp(Peturbed_QZ,$K233,1,U$1),ZeroCompFreq,'PDH Calc'!$K233/365)</f>
        <v>1</v>
      </c>
      <c r="V233" s="8">
        <f ca="1">_xll.HLV5r3.Analytics.Miscellaneous.Zero2DF(_xll.HLV5r3.Analytics.Miscellaneous.LinearInterp(Peturbed_QZ,$K233,1,V$1),ZeroCompFreq,'PDH Calc'!$K233/365)</f>
        <v>1</v>
      </c>
      <c r="W233" s="8">
        <f ca="1">_xll.HLV5r3.Analytics.Miscellaneous.Zero2DF(_xll.HLV5r3.Analytics.Miscellaneous.LinearInterp(Peturbed_QZ,$K233,1,W$1),ZeroCompFreq,'PDH Calc'!$K233/365)</f>
        <v>1</v>
      </c>
      <c r="X233" s="8">
        <f ca="1">_xll.HLV5r3.Analytics.Miscellaneous.Zero2DF(_xll.HLV5r3.Analytics.Miscellaneous.LinearInterp(Peturbed_QZ,$K233,1,X$1),ZeroCompFreq,'PDH Calc'!$K233/365)</f>
        <v>1</v>
      </c>
      <c r="Y233" s="8">
        <f ca="1">_xll.HLV5r3.Analytics.Miscellaneous.Zero2DF(_xll.HLV5r3.Analytics.Miscellaneous.LinearInterp(Peturbed_QZ,$K233,1,Y$1),ZeroCompFreq,'PDH Calc'!$K233/365)</f>
        <v>1</v>
      </c>
      <c r="Z233" s="8">
        <f ca="1">_xll.HLV5r3.Analytics.Miscellaneous.Zero2DF(_xll.HLV5r3.Analytics.Miscellaneous.LinearInterp(Peturbed_QZ,$K233,1,Z$1),ZeroCompFreq,'PDH Calc'!$K233/365)</f>
        <v>1</v>
      </c>
      <c r="AA233" s="8">
        <f ca="1">_xll.HLV5r3.Analytics.Miscellaneous.Zero2DF(_xll.HLV5r3.Analytics.Miscellaneous.LinearInterp(Peturbed_QZ,$K233,1,AA$1),ZeroCompFreq,'PDH Calc'!$K233/365)</f>
        <v>1</v>
      </c>
      <c r="AB233" s="8">
        <f ca="1">_xll.HLV5r3.Analytics.Miscellaneous.Zero2DF(_xll.HLV5r3.Analytics.Miscellaneous.LinearInterp(Peturbed_QZ,$K233,1,AB$1),ZeroCompFreq,'PDH Calc'!$K233/365)</f>
        <v>1</v>
      </c>
      <c r="AC233" s="8">
        <f ca="1">_xll.HLV5r3.Analytics.Miscellaneous.Zero2DF(_xll.HLV5r3.Analytics.Miscellaneous.LinearInterp(Peturbed_QZ,$K233,1,AC$1),ZeroCompFreq,'PDH Calc'!$K233/365)</f>
        <v>1</v>
      </c>
      <c r="AD233" s="8">
        <f ca="1">_xll.HLV5r3.Analytics.Miscellaneous.Zero2DF(_xll.HLV5r3.Analytics.Miscellaneous.LinearInterp(Peturbed_QZ,$K233,1,AD$1),ZeroCompFreq,'PDH Calc'!$K233/365)</f>
        <v>1</v>
      </c>
      <c r="AE233" s="8">
        <f ca="1">_xll.HLV5r3.Analytics.Miscellaneous.Zero2DF(_xll.HLV5r3.Analytics.Miscellaneous.LinearInterp(Peturbed_QZ,$K233,1,AE$1),ZeroCompFreq,'PDH Calc'!$K233/365)</f>
        <v>1</v>
      </c>
      <c r="AF233" s="8">
        <f ca="1">_xll.HLV5r3.Analytics.Miscellaneous.Zero2DF(_xll.HLV5r3.Analytics.Miscellaneous.LinearInterp(Peturbed_QZ,$K233,1,AF$1),ZeroCompFreq,'PDH Calc'!$K233/365)</f>
        <v>1</v>
      </c>
      <c r="AG233" s="8">
        <f ca="1">_xll.HLV5r3.Analytics.Miscellaneous.Zero2DF(_xll.HLV5r3.Analytics.Miscellaneous.LinearInterp(Peturbed_QZ,$K233,1,AG$1),ZeroCompFreq,'PDH Calc'!$K233/365)</f>
        <v>1</v>
      </c>
      <c r="AH233" s="8">
        <f ca="1">_xll.HLV5r3.Analytics.Miscellaneous.Zero2DF(_xll.HLV5r3.Analytics.Miscellaneous.LinearInterp(Peturbed_QZ,$K233,1,AH$1),ZeroCompFreq,'PDH Calc'!$K233/365)</f>
        <v>1</v>
      </c>
      <c r="AI233" s="8">
        <f ca="1">_xll.HLV5r3.Analytics.Miscellaneous.Zero2DF(_xll.HLV5r3.Analytics.Miscellaneous.LinearInterp(Peturbed_QZ,$K233,1,AI$1),ZeroCompFreq,'PDH Calc'!$K233/365)</f>
        <v>1</v>
      </c>
      <c r="AJ233" s="8">
        <f ca="1">_xll.HLV5r3.Analytics.Miscellaneous.Zero2DF(_xll.HLV5r3.Analytics.Miscellaneous.LinearInterp(Peturbed_QZ,$K233,1,AJ$1),ZeroCompFreq,'PDH Calc'!$K233/365)</f>
        <v>1</v>
      </c>
      <c r="AK233" s="8">
        <f ca="1">_xll.HLV5r3.Analytics.Miscellaneous.Zero2DF(_xll.HLV5r3.Analytics.Miscellaneous.LinearInterp(Peturbed_QZ,$K233,1,AK$1),ZeroCompFreq,'PDH Calc'!$K233/365)</f>
        <v>1</v>
      </c>
    </row>
    <row r="234" spans="1:37">
      <c r="A234" s="4"/>
      <c r="B234" s="6"/>
      <c r="F234" s="11"/>
      <c r="G234" s="6"/>
      <c r="H234" s="20"/>
      <c r="I234" s="21"/>
      <c r="J234" s="26"/>
      <c r="K234" s="6">
        <f t="shared" ca="1" si="10"/>
        <v>0</v>
      </c>
      <c r="L234" s="8">
        <f ca="1">_xll.HLV5r3.Analytics.Miscellaneous.Zero2DF(_xll.HLV5r3.Analytics.Miscellaneous.LinearInterp(Peturbed_QZ,$K234,1,L$1),ZeroCompFreq,'PDH Calc'!$K234/365)</f>
        <v>1</v>
      </c>
      <c r="M234" s="8">
        <f ca="1">_xll.HLV5r3.Analytics.Miscellaneous.Zero2DF(_xll.HLV5r3.Analytics.Miscellaneous.LinearInterp(Peturbed_QZ,$K234,1,M$1),ZeroCompFreq,'PDH Calc'!$K234/365)</f>
        <v>1</v>
      </c>
      <c r="N234" s="8">
        <f ca="1">_xll.HLV5r3.Analytics.Miscellaneous.Zero2DF(_xll.HLV5r3.Analytics.Miscellaneous.LinearInterp(Peturbed_QZ,$K234,1,N$1),ZeroCompFreq,'PDH Calc'!$K234/365)</f>
        <v>1</v>
      </c>
      <c r="O234" s="8">
        <f ca="1">_xll.HLV5r3.Analytics.Miscellaneous.Zero2DF(_xll.HLV5r3.Analytics.Miscellaneous.LinearInterp(Peturbed_QZ,$K234,1,O$1),ZeroCompFreq,'PDH Calc'!$K234/365)</f>
        <v>1</v>
      </c>
      <c r="P234" s="8">
        <f ca="1">_xll.HLV5r3.Analytics.Miscellaneous.Zero2DF(_xll.HLV5r3.Analytics.Miscellaneous.LinearInterp(Peturbed_QZ,$K234,1,P$1),ZeroCompFreq,'PDH Calc'!$K234/365)</f>
        <v>1</v>
      </c>
      <c r="Q234" s="8">
        <f ca="1">_xll.HLV5r3.Analytics.Miscellaneous.Zero2DF(_xll.HLV5r3.Analytics.Miscellaneous.LinearInterp(Peturbed_QZ,$K234,1,Q$1),ZeroCompFreq,'PDH Calc'!$K234/365)</f>
        <v>1</v>
      </c>
      <c r="R234" s="8">
        <f ca="1">_xll.HLV5r3.Analytics.Miscellaneous.Zero2DF(_xll.HLV5r3.Analytics.Miscellaneous.LinearInterp(Peturbed_QZ,$K234,1,R$1),ZeroCompFreq,'PDH Calc'!$K234/365)</f>
        <v>1</v>
      </c>
      <c r="S234" s="8">
        <f ca="1">_xll.HLV5r3.Analytics.Miscellaneous.Zero2DF(_xll.HLV5r3.Analytics.Miscellaneous.LinearInterp(Peturbed_QZ,$K234,1,S$1),ZeroCompFreq,'PDH Calc'!$K234/365)</f>
        <v>1</v>
      </c>
      <c r="T234" s="8">
        <f ca="1">_xll.HLV5r3.Analytics.Miscellaneous.Zero2DF(_xll.HLV5r3.Analytics.Miscellaneous.LinearInterp(Peturbed_QZ,$K234,1,T$1),ZeroCompFreq,'PDH Calc'!$K234/365)</f>
        <v>1</v>
      </c>
      <c r="U234" s="8">
        <f ca="1">_xll.HLV5r3.Analytics.Miscellaneous.Zero2DF(_xll.HLV5r3.Analytics.Miscellaneous.LinearInterp(Peturbed_QZ,$K234,1,U$1),ZeroCompFreq,'PDH Calc'!$K234/365)</f>
        <v>1</v>
      </c>
      <c r="V234" s="8">
        <f ca="1">_xll.HLV5r3.Analytics.Miscellaneous.Zero2DF(_xll.HLV5r3.Analytics.Miscellaneous.LinearInterp(Peturbed_QZ,$K234,1,V$1),ZeroCompFreq,'PDH Calc'!$K234/365)</f>
        <v>1</v>
      </c>
      <c r="W234" s="8">
        <f ca="1">_xll.HLV5r3.Analytics.Miscellaneous.Zero2DF(_xll.HLV5r3.Analytics.Miscellaneous.LinearInterp(Peturbed_QZ,$K234,1,W$1),ZeroCompFreq,'PDH Calc'!$K234/365)</f>
        <v>1</v>
      </c>
      <c r="X234" s="8">
        <f ca="1">_xll.HLV5r3.Analytics.Miscellaneous.Zero2DF(_xll.HLV5r3.Analytics.Miscellaneous.LinearInterp(Peturbed_QZ,$K234,1,X$1),ZeroCompFreq,'PDH Calc'!$K234/365)</f>
        <v>1</v>
      </c>
      <c r="Y234" s="8">
        <f ca="1">_xll.HLV5r3.Analytics.Miscellaneous.Zero2DF(_xll.HLV5r3.Analytics.Miscellaneous.LinearInterp(Peturbed_QZ,$K234,1,Y$1),ZeroCompFreq,'PDH Calc'!$K234/365)</f>
        <v>1</v>
      </c>
      <c r="Z234" s="8">
        <f ca="1">_xll.HLV5r3.Analytics.Miscellaneous.Zero2DF(_xll.HLV5r3.Analytics.Miscellaneous.LinearInterp(Peturbed_QZ,$K234,1,Z$1),ZeroCompFreq,'PDH Calc'!$K234/365)</f>
        <v>1</v>
      </c>
      <c r="AA234" s="8">
        <f ca="1">_xll.HLV5r3.Analytics.Miscellaneous.Zero2DF(_xll.HLV5r3.Analytics.Miscellaneous.LinearInterp(Peturbed_QZ,$K234,1,AA$1),ZeroCompFreq,'PDH Calc'!$K234/365)</f>
        <v>1</v>
      </c>
      <c r="AB234" s="8">
        <f ca="1">_xll.HLV5r3.Analytics.Miscellaneous.Zero2DF(_xll.HLV5r3.Analytics.Miscellaneous.LinearInterp(Peturbed_QZ,$K234,1,AB$1),ZeroCompFreq,'PDH Calc'!$K234/365)</f>
        <v>1</v>
      </c>
      <c r="AC234" s="8">
        <f ca="1">_xll.HLV5r3.Analytics.Miscellaneous.Zero2DF(_xll.HLV5r3.Analytics.Miscellaneous.LinearInterp(Peturbed_QZ,$K234,1,AC$1),ZeroCompFreq,'PDH Calc'!$K234/365)</f>
        <v>1</v>
      </c>
      <c r="AD234" s="8">
        <f ca="1">_xll.HLV5r3.Analytics.Miscellaneous.Zero2DF(_xll.HLV5r3.Analytics.Miscellaneous.LinearInterp(Peturbed_QZ,$K234,1,AD$1),ZeroCompFreq,'PDH Calc'!$K234/365)</f>
        <v>1</v>
      </c>
      <c r="AE234" s="8">
        <f ca="1">_xll.HLV5r3.Analytics.Miscellaneous.Zero2DF(_xll.HLV5r3.Analytics.Miscellaneous.LinearInterp(Peturbed_QZ,$K234,1,AE$1),ZeroCompFreq,'PDH Calc'!$K234/365)</f>
        <v>1</v>
      </c>
      <c r="AF234" s="8">
        <f ca="1">_xll.HLV5r3.Analytics.Miscellaneous.Zero2DF(_xll.HLV5r3.Analytics.Miscellaneous.LinearInterp(Peturbed_QZ,$K234,1,AF$1),ZeroCompFreq,'PDH Calc'!$K234/365)</f>
        <v>1</v>
      </c>
      <c r="AG234" s="8">
        <f ca="1">_xll.HLV5r3.Analytics.Miscellaneous.Zero2DF(_xll.HLV5r3.Analytics.Miscellaneous.LinearInterp(Peturbed_QZ,$K234,1,AG$1),ZeroCompFreq,'PDH Calc'!$K234/365)</f>
        <v>1</v>
      </c>
      <c r="AH234" s="8">
        <f ca="1">_xll.HLV5r3.Analytics.Miscellaneous.Zero2DF(_xll.HLV5r3.Analytics.Miscellaneous.LinearInterp(Peturbed_QZ,$K234,1,AH$1),ZeroCompFreq,'PDH Calc'!$K234/365)</f>
        <v>1</v>
      </c>
      <c r="AI234" s="8">
        <f ca="1">_xll.HLV5r3.Analytics.Miscellaneous.Zero2DF(_xll.HLV5r3.Analytics.Miscellaneous.LinearInterp(Peturbed_QZ,$K234,1,AI$1),ZeroCompFreq,'PDH Calc'!$K234/365)</f>
        <v>1</v>
      </c>
      <c r="AJ234" s="8">
        <f ca="1">_xll.HLV5r3.Analytics.Miscellaneous.Zero2DF(_xll.HLV5r3.Analytics.Miscellaneous.LinearInterp(Peturbed_QZ,$K234,1,AJ$1),ZeroCompFreq,'PDH Calc'!$K234/365)</f>
        <v>1</v>
      </c>
      <c r="AK234" s="8">
        <f ca="1">_xll.HLV5r3.Analytics.Miscellaneous.Zero2DF(_xll.HLV5r3.Analytics.Miscellaneous.LinearInterp(Peturbed_QZ,$K234,1,AK$1),ZeroCompFreq,'PDH Calc'!$K234/365)</f>
        <v>1</v>
      </c>
    </row>
    <row r="235" spans="1:37">
      <c r="A235" s="4"/>
      <c r="B235" s="6"/>
      <c r="F235" s="11"/>
      <c r="G235" s="6"/>
      <c r="H235" s="20"/>
      <c r="I235" s="21"/>
      <c r="J235" s="26"/>
      <c r="K235" s="6">
        <f t="shared" ca="1" si="10"/>
        <v>0</v>
      </c>
      <c r="L235" s="8">
        <f ca="1">_xll.HLV5r3.Analytics.Miscellaneous.Zero2DF(_xll.HLV5r3.Analytics.Miscellaneous.LinearInterp(Peturbed_QZ,$K235,1,L$1),ZeroCompFreq,'PDH Calc'!$K235/365)</f>
        <v>1</v>
      </c>
      <c r="M235" s="8">
        <f ca="1">_xll.HLV5r3.Analytics.Miscellaneous.Zero2DF(_xll.HLV5r3.Analytics.Miscellaneous.LinearInterp(Peturbed_QZ,$K235,1,M$1),ZeroCompFreq,'PDH Calc'!$K235/365)</f>
        <v>1</v>
      </c>
      <c r="N235" s="8">
        <f ca="1">_xll.HLV5r3.Analytics.Miscellaneous.Zero2DF(_xll.HLV5r3.Analytics.Miscellaneous.LinearInterp(Peturbed_QZ,$K235,1,N$1),ZeroCompFreq,'PDH Calc'!$K235/365)</f>
        <v>1</v>
      </c>
      <c r="O235" s="8">
        <f ca="1">_xll.HLV5r3.Analytics.Miscellaneous.Zero2DF(_xll.HLV5r3.Analytics.Miscellaneous.LinearInterp(Peturbed_QZ,$K235,1,O$1),ZeroCompFreq,'PDH Calc'!$K235/365)</f>
        <v>1</v>
      </c>
      <c r="P235" s="8">
        <f ca="1">_xll.HLV5r3.Analytics.Miscellaneous.Zero2DF(_xll.HLV5r3.Analytics.Miscellaneous.LinearInterp(Peturbed_QZ,$K235,1,P$1),ZeroCompFreq,'PDH Calc'!$K235/365)</f>
        <v>1</v>
      </c>
      <c r="Q235" s="8">
        <f ca="1">_xll.HLV5r3.Analytics.Miscellaneous.Zero2DF(_xll.HLV5r3.Analytics.Miscellaneous.LinearInterp(Peturbed_QZ,$K235,1,Q$1),ZeroCompFreq,'PDH Calc'!$K235/365)</f>
        <v>1</v>
      </c>
      <c r="R235" s="8">
        <f ca="1">_xll.HLV5r3.Analytics.Miscellaneous.Zero2DF(_xll.HLV5r3.Analytics.Miscellaneous.LinearInterp(Peturbed_QZ,$K235,1,R$1),ZeroCompFreq,'PDH Calc'!$K235/365)</f>
        <v>1</v>
      </c>
      <c r="S235" s="8">
        <f ca="1">_xll.HLV5r3.Analytics.Miscellaneous.Zero2DF(_xll.HLV5r3.Analytics.Miscellaneous.LinearInterp(Peturbed_QZ,$K235,1,S$1),ZeroCompFreq,'PDH Calc'!$K235/365)</f>
        <v>1</v>
      </c>
      <c r="T235" s="8">
        <f ca="1">_xll.HLV5r3.Analytics.Miscellaneous.Zero2DF(_xll.HLV5r3.Analytics.Miscellaneous.LinearInterp(Peturbed_QZ,$K235,1,T$1),ZeroCompFreq,'PDH Calc'!$K235/365)</f>
        <v>1</v>
      </c>
      <c r="U235" s="8">
        <f ca="1">_xll.HLV5r3.Analytics.Miscellaneous.Zero2DF(_xll.HLV5r3.Analytics.Miscellaneous.LinearInterp(Peturbed_QZ,$K235,1,U$1),ZeroCompFreq,'PDH Calc'!$K235/365)</f>
        <v>1</v>
      </c>
      <c r="V235" s="8">
        <f ca="1">_xll.HLV5r3.Analytics.Miscellaneous.Zero2DF(_xll.HLV5r3.Analytics.Miscellaneous.LinearInterp(Peturbed_QZ,$K235,1,V$1),ZeroCompFreq,'PDH Calc'!$K235/365)</f>
        <v>1</v>
      </c>
      <c r="W235" s="8">
        <f ca="1">_xll.HLV5r3.Analytics.Miscellaneous.Zero2DF(_xll.HLV5r3.Analytics.Miscellaneous.LinearInterp(Peturbed_QZ,$K235,1,W$1),ZeroCompFreq,'PDH Calc'!$K235/365)</f>
        <v>1</v>
      </c>
      <c r="X235" s="8">
        <f ca="1">_xll.HLV5r3.Analytics.Miscellaneous.Zero2DF(_xll.HLV5r3.Analytics.Miscellaneous.LinearInterp(Peturbed_QZ,$K235,1,X$1),ZeroCompFreq,'PDH Calc'!$K235/365)</f>
        <v>1</v>
      </c>
      <c r="Y235" s="8">
        <f ca="1">_xll.HLV5r3.Analytics.Miscellaneous.Zero2DF(_xll.HLV5r3.Analytics.Miscellaneous.LinearInterp(Peturbed_QZ,$K235,1,Y$1),ZeroCompFreq,'PDH Calc'!$K235/365)</f>
        <v>1</v>
      </c>
      <c r="Z235" s="8">
        <f ca="1">_xll.HLV5r3.Analytics.Miscellaneous.Zero2DF(_xll.HLV5r3.Analytics.Miscellaneous.LinearInterp(Peturbed_QZ,$K235,1,Z$1),ZeroCompFreq,'PDH Calc'!$K235/365)</f>
        <v>1</v>
      </c>
      <c r="AA235" s="8">
        <f ca="1">_xll.HLV5r3.Analytics.Miscellaneous.Zero2DF(_xll.HLV5r3.Analytics.Miscellaneous.LinearInterp(Peturbed_QZ,$K235,1,AA$1),ZeroCompFreq,'PDH Calc'!$K235/365)</f>
        <v>1</v>
      </c>
      <c r="AB235" s="8">
        <f ca="1">_xll.HLV5r3.Analytics.Miscellaneous.Zero2DF(_xll.HLV5r3.Analytics.Miscellaneous.LinearInterp(Peturbed_QZ,$K235,1,AB$1),ZeroCompFreq,'PDH Calc'!$K235/365)</f>
        <v>1</v>
      </c>
      <c r="AC235" s="8">
        <f ca="1">_xll.HLV5r3.Analytics.Miscellaneous.Zero2DF(_xll.HLV5r3.Analytics.Miscellaneous.LinearInterp(Peturbed_QZ,$K235,1,AC$1),ZeroCompFreq,'PDH Calc'!$K235/365)</f>
        <v>1</v>
      </c>
      <c r="AD235" s="8">
        <f ca="1">_xll.HLV5r3.Analytics.Miscellaneous.Zero2DF(_xll.HLV5r3.Analytics.Miscellaneous.LinearInterp(Peturbed_QZ,$K235,1,AD$1),ZeroCompFreq,'PDH Calc'!$K235/365)</f>
        <v>1</v>
      </c>
      <c r="AE235" s="8">
        <f ca="1">_xll.HLV5r3.Analytics.Miscellaneous.Zero2DF(_xll.HLV5r3.Analytics.Miscellaneous.LinearInterp(Peturbed_QZ,$K235,1,AE$1),ZeroCompFreq,'PDH Calc'!$K235/365)</f>
        <v>1</v>
      </c>
      <c r="AF235" s="8">
        <f ca="1">_xll.HLV5r3.Analytics.Miscellaneous.Zero2DF(_xll.HLV5r3.Analytics.Miscellaneous.LinearInterp(Peturbed_QZ,$K235,1,AF$1),ZeroCompFreq,'PDH Calc'!$K235/365)</f>
        <v>1</v>
      </c>
      <c r="AG235" s="8">
        <f ca="1">_xll.HLV5r3.Analytics.Miscellaneous.Zero2DF(_xll.HLV5r3.Analytics.Miscellaneous.LinearInterp(Peturbed_QZ,$K235,1,AG$1),ZeroCompFreq,'PDH Calc'!$K235/365)</f>
        <v>1</v>
      </c>
      <c r="AH235" s="8">
        <f ca="1">_xll.HLV5r3.Analytics.Miscellaneous.Zero2DF(_xll.HLV5r3.Analytics.Miscellaneous.LinearInterp(Peturbed_QZ,$K235,1,AH$1),ZeroCompFreq,'PDH Calc'!$K235/365)</f>
        <v>1</v>
      </c>
      <c r="AI235" s="8">
        <f ca="1">_xll.HLV5r3.Analytics.Miscellaneous.Zero2DF(_xll.HLV5r3.Analytics.Miscellaneous.LinearInterp(Peturbed_QZ,$K235,1,AI$1),ZeroCompFreq,'PDH Calc'!$K235/365)</f>
        <v>1</v>
      </c>
      <c r="AJ235" s="8">
        <f ca="1">_xll.HLV5r3.Analytics.Miscellaneous.Zero2DF(_xll.HLV5r3.Analytics.Miscellaneous.LinearInterp(Peturbed_QZ,$K235,1,AJ$1),ZeroCompFreq,'PDH Calc'!$K235/365)</f>
        <v>1</v>
      </c>
      <c r="AK235" s="8">
        <f ca="1">_xll.HLV5r3.Analytics.Miscellaneous.Zero2DF(_xll.HLV5r3.Analytics.Miscellaneous.LinearInterp(Peturbed_QZ,$K235,1,AK$1),ZeroCompFreq,'PDH Calc'!$K235/365)</f>
        <v>1</v>
      </c>
    </row>
    <row r="236" spans="1:37">
      <c r="A236" s="4"/>
      <c r="B236" s="6"/>
      <c r="F236" s="11"/>
      <c r="G236" s="6"/>
      <c r="H236" s="20"/>
      <c r="I236" s="21"/>
      <c r="J236" s="26"/>
      <c r="K236" s="6">
        <f t="shared" ca="1" si="10"/>
        <v>0</v>
      </c>
      <c r="L236" s="8">
        <f ca="1">_xll.HLV5r3.Analytics.Miscellaneous.Zero2DF(_xll.HLV5r3.Analytics.Miscellaneous.LinearInterp(Peturbed_QZ,$K236,1,L$1),ZeroCompFreq,'PDH Calc'!$K236/365)</f>
        <v>1</v>
      </c>
      <c r="M236" s="8">
        <f ca="1">_xll.HLV5r3.Analytics.Miscellaneous.Zero2DF(_xll.HLV5r3.Analytics.Miscellaneous.LinearInterp(Peturbed_QZ,$K236,1,M$1),ZeroCompFreq,'PDH Calc'!$K236/365)</f>
        <v>1</v>
      </c>
      <c r="N236" s="8">
        <f ca="1">_xll.HLV5r3.Analytics.Miscellaneous.Zero2DF(_xll.HLV5r3.Analytics.Miscellaneous.LinearInterp(Peturbed_QZ,$K236,1,N$1),ZeroCompFreq,'PDH Calc'!$K236/365)</f>
        <v>1</v>
      </c>
      <c r="O236" s="8">
        <f ca="1">_xll.HLV5r3.Analytics.Miscellaneous.Zero2DF(_xll.HLV5r3.Analytics.Miscellaneous.LinearInterp(Peturbed_QZ,$K236,1,O$1),ZeroCompFreq,'PDH Calc'!$K236/365)</f>
        <v>1</v>
      </c>
      <c r="P236" s="8">
        <f ca="1">_xll.HLV5r3.Analytics.Miscellaneous.Zero2DF(_xll.HLV5r3.Analytics.Miscellaneous.LinearInterp(Peturbed_QZ,$K236,1,P$1),ZeroCompFreq,'PDH Calc'!$K236/365)</f>
        <v>1</v>
      </c>
      <c r="Q236" s="8">
        <f ca="1">_xll.HLV5r3.Analytics.Miscellaneous.Zero2DF(_xll.HLV5r3.Analytics.Miscellaneous.LinearInterp(Peturbed_QZ,$K236,1,Q$1),ZeroCompFreq,'PDH Calc'!$K236/365)</f>
        <v>1</v>
      </c>
      <c r="R236" s="8">
        <f ca="1">_xll.HLV5r3.Analytics.Miscellaneous.Zero2DF(_xll.HLV5r3.Analytics.Miscellaneous.LinearInterp(Peturbed_QZ,$K236,1,R$1),ZeroCompFreq,'PDH Calc'!$K236/365)</f>
        <v>1</v>
      </c>
      <c r="S236" s="8">
        <f ca="1">_xll.HLV5r3.Analytics.Miscellaneous.Zero2DF(_xll.HLV5r3.Analytics.Miscellaneous.LinearInterp(Peturbed_QZ,$K236,1,S$1),ZeroCompFreq,'PDH Calc'!$K236/365)</f>
        <v>1</v>
      </c>
      <c r="T236" s="8">
        <f ca="1">_xll.HLV5r3.Analytics.Miscellaneous.Zero2DF(_xll.HLV5r3.Analytics.Miscellaneous.LinearInterp(Peturbed_QZ,$K236,1,T$1),ZeroCompFreq,'PDH Calc'!$K236/365)</f>
        <v>1</v>
      </c>
      <c r="U236" s="8">
        <f ca="1">_xll.HLV5r3.Analytics.Miscellaneous.Zero2DF(_xll.HLV5r3.Analytics.Miscellaneous.LinearInterp(Peturbed_QZ,$K236,1,U$1),ZeroCompFreq,'PDH Calc'!$K236/365)</f>
        <v>1</v>
      </c>
      <c r="V236" s="8">
        <f ca="1">_xll.HLV5r3.Analytics.Miscellaneous.Zero2DF(_xll.HLV5r3.Analytics.Miscellaneous.LinearInterp(Peturbed_QZ,$K236,1,V$1),ZeroCompFreq,'PDH Calc'!$K236/365)</f>
        <v>1</v>
      </c>
      <c r="W236" s="8">
        <f ca="1">_xll.HLV5r3.Analytics.Miscellaneous.Zero2DF(_xll.HLV5r3.Analytics.Miscellaneous.LinearInterp(Peturbed_QZ,$K236,1,W$1),ZeroCompFreq,'PDH Calc'!$K236/365)</f>
        <v>1</v>
      </c>
      <c r="X236" s="8">
        <f ca="1">_xll.HLV5r3.Analytics.Miscellaneous.Zero2DF(_xll.HLV5r3.Analytics.Miscellaneous.LinearInterp(Peturbed_QZ,$K236,1,X$1),ZeroCompFreq,'PDH Calc'!$K236/365)</f>
        <v>1</v>
      </c>
      <c r="Y236" s="8">
        <f ca="1">_xll.HLV5r3.Analytics.Miscellaneous.Zero2DF(_xll.HLV5r3.Analytics.Miscellaneous.LinearInterp(Peturbed_QZ,$K236,1,Y$1),ZeroCompFreq,'PDH Calc'!$K236/365)</f>
        <v>1</v>
      </c>
      <c r="Z236" s="8">
        <f ca="1">_xll.HLV5r3.Analytics.Miscellaneous.Zero2DF(_xll.HLV5r3.Analytics.Miscellaneous.LinearInterp(Peturbed_QZ,$K236,1,Z$1),ZeroCompFreq,'PDH Calc'!$K236/365)</f>
        <v>1</v>
      </c>
      <c r="AA236" s="8">
        <f ca="1">_xll.HLV5r3.Analytics.Miscellaneous.Zero2DF(_xll.HLV5r3.Analytics.Miscellaneous.LinearInterp(Peturbed_QZ,$K236,1,AA$1),ZeroCompFreq,'PDH Calc'!$K236/365)</f>
        <v>1</v>
      </c>
      <c r="AB236" s="8">
        <f ca="1">_xll.HLV5r3.Analytics.Miscellaneous.Zero2DF(_xll.HLV5r3.Analytics.Miscellaneous.LinearInterp(Peturbed_QZ,$K236,1,AB$1),ZeroCompFreq,'PDH Calc'!$K236/365)</f>
        <v>1</v>
      </c>
      <c r="AC236" s="8">
        <f ca="1">_xll.HLV5r3.Analytics.Miscellaneous.Zero2DF(_xll.HLV5r3.Analytics.Miscellaneous.LinearInterp(Peturbed_QZ,$K236,1,AC$1),ZeroCompFreq,'PDH Calc'!$K236/365)</f>
        <v>1</v>
      </c>
      <c r="AD236" s="8">
        <f ca="1">_xll.HLV5r3.Analytics.Miscellaneous.Zero2DF(_xll.HLV5r3.Analytics.Miscellaneous.LinearInterp(Peturbed_QZ,$K236,1,AD$1),ZeroCompFreq,'PDH Calc'!$K236/365)</f>
        <v>1</v>
      </c>
      <c r="AE236" s="8">
        <f ca="1">_xll.HLV5r3.Analytics.Miscellaneous.Zero2DF(_xll.HLV5r3.Analytics.Miscellaneous.LinearInterp(Peturbed_QZ,$K236,1,AE$1),ZeroCompFreq,'PDH Calc'!$K236/365)</f>
        <v>1</v>
      </c>
      <c r="AF236" s="8">
        <f ca="1">_xll.HLV5r3.Analytics.Miscellaneous.Zero2DF(_xll.HLV5r3.Analytics.Miscellaneous.LinearInterp(Peturbed_QZ,$K236,1,AF$1),ZeroCompFreq,'PDH Calc'!$K236/365)</f>
        <v>1</v>
      </c>
      <c r="AG236" s="8">
        <f ca="1">_xll.HLV5r3.Analytics.Miscellaneous.Zero2DF(_xll.HLV5r3.Analytics.Miscellaneous.LinearInterp(Peturbed_QZ,$K236,1,AG$1),ZeroCompFreq,'PDH Calc'!$K236/365)</f>
        <v>1</v>
      </c>
      <c r="AH236" s="8">
        <f ca="1">_xll.HLV5r3.Analytics.Miscellaneous.Zero2DF(_xll.HLV5r3.Analytics.Miscellaneous.LinearInterp(Peturbed_QZ,$K236,1,AH$1),ZeroCompFreq,'PDH Calc'!$K236/365)</f>
        <v>1</v>
      </c>
      <c r="AI236" s="8">
        <f ca="1">_xll.HLV5r3.Analytics.Miscellaneous.Zero2DF(_xll.HLV5r3.Analytics.Miscellaneous.LinearInterp(Peturbed_QZ,$K236,1,AI$1),ZeroCompFreq,'PDH Calc'!$K236/365)</f>
        <v>1</v>
      </c>
      <c r="AJ236" s="8">
        <f ca="1">_xll.HLV5r3.Analytics.Miscellaneous.Zero2DF(_xll.HLV5r3.Analytics.Miscellaneous.LinearInterp(Peturbed_QZ,$K236,1,AJ$1),ZeroCompFreq,'PDH Calc'!$K236/365)</f>
        <v>1</v>
      </c>
      <c r="AK236" s="8">
        <f ca="1">_xll.HLV5r3.Analytics.Miscellaneous.Zero2DF(_xll.HLV5r3.Analytics.Miscellaneous.LinearInterp(Peturbed_QZ,$K236,1,AK$1),ZeroCompFreq,'PDH Calc'!$K236/365)</f>
        <v>1</v>
      </c>
    </row>
    <row r="237" spans="1:37">
      <c r="A237" s="4"/>
      <c r="B237" s="6"/>
      <c r="F237" s="11"/>
      <c r="G237" s="6"/>
      <c r="H237" s="20"/>
      <c r="I237" s="21"/>
      <c r="J237" s="26"/>
      <c r="K237" s="6">
        <f t="shared" ca="1" si="10"/>
        <v>0</v>
      </c>
      <c r="L237" s="8">
        <f ca="1">_xll.HLV5r3.Analytics.Miscellaneous.Zero2DF(_xll.HLV5r3.Analytics.Miscellaneous.LinearInterp(Peturbed_QZ,$K237,1,L$1),ZeroCompFreq,'PDH Calc'!$K237/365)</f>
        <v>1</v>
      </c>
      <c r="M237" s="8">
        <f ca="1">_xll.HLV5r3.Analytics.Miscellaneous.Zero2DF(_xll.HLV5r3.Analytics.Miscellaneous.LinearInterp(Peturbed_QZ,$K237,1,M$1),ZeroCompFreq,'PDH Calc'!$K237/365)</f>
        <v>1</v>
      </c>
      <c r="N237" s="8">
        <f ca="1">_xll.HLV5r3.Analytics.Miscellaneous.Zero2DF(_xll.HLV5r3.Analytics.Miscellaneous.LinearInterp(Peturbed_QZ,$K237,1,N$1),ZeroCompFreq,'PDH Calc'!$K237/365)</f>
        <v>1</v>
      </c>
      <c r="O237" s="8">
        <f ca="1">_xll.HLV5r3.Analytics.Miscellaneous.Zero2DF(_xll.HLV5r3.Analytics.Miscellaneous.LinearInterp(Peturbed_QZ,$K237,1,O$1),ZeroCompFreq,'PDH Calc'!$K237/365)</f>
        <v>1</v>
      </c>
      <c r="P237" s="8">
        <f ca="1">_xll.HLV5r3.Analytics.Miscellaneous.Zero2DF(_xll.HLV5r3.Analytics.Miscellaneous.LinearInterp(Peturbed_QZ,$K237,1,P$1),ZeroCompFreq,'PDH Calc'!$K237/365)</f>
        <v>1</v>
      </c>
      <c r="Q237" s="8">
        <f ca="1">_xll.HLV5r3.Analytics.Miscellaneous.Zero2DF(_xll.HLV5r3.Analytics.Miscellaneous.LinearInterp(Peturbed_QZ,$K237,1,Q$1),ZeroCompFreq,'PDH Calc'!$K237/365)</f>
        <v>1</v>
      </c>
      <c r="R237" s="8">
        <f ca="1">_xll.HLV5r3.Analytics.Miscellaneous.Zero2DF(_xll.HLV5r3.Analytics.Miscellaneous.LinearInterp(Peturbed_QZ,$K237,1,R$1),ZeroCompFreq,'PDH Calc'!$K237/365)</f>
        <v>1</v>
      </c>
      <c r="S237" s="8">
        <f ca="1">_xll.HLV5r3.Analytics.Miscellaneous.Zero2DF(_xll.HLV5r3.Analytics.Miscellaneous.LinearInterp(Peturbed_QZ,$K237,1,S$1),ZeroCompFreq,'PDH Calc'!$K237/365)</f>
        <v>1</v>
      </c>
      <c r="T237" s="8">
        <f ca="1">_xll.HLV5r3.Analytics.Miscellaneous.Zero2DF(_xll.HLV5r3.Analytics.Miscellaneous.LinearInterp(Peturbed_QZ,$K237,1,T$1),ZeroCompFreq,'PDH Calc'!$K237/365)</f>
        <v>1</v>
      </c>
      <c r="U237" s="8">
        <f ca="1">_xll.HLV5r3.Analytics.Miscellaneous.Zero2DF(_xll.HLV5r3.Analytics.Miscellaneous.LinearInterp(Peturbed_QZ,$K237,1,U$1),ZeroCompFreq,'PDH Calc'!$K237/365)</f>
        <v>1</v>
      </c>
      <c r="V237" s="8">
        <f ca="1">_xll.HLV5r3.Analytics.Miscellaneous.Zero2DF(_xll.HLV5r3.Analytics.Miscellaneous.LinearInterp(Peturbed_QZ,$K237,1,V$1),ZeroCompFreq,'PDH Calc'!$K237/365)</f>
        <v>1</v>
      </c>
      <c r="W237" s="8">
        <f ca="1">_xll.HLV5r3.Analytics.Miscellaneous.Zero2DF(_xll.HLV5r3.Analytics.Miscellaneous.LinearInterp(Peturbed_QZ,$K237,1,W$1),ZeroCompFreq,'PDH Calc'!$K237/365)</f>
        <v>1</v>
      </c>
      <c r="X237" s="8">
        <f ca="1">_xll.HLV5r3.Analytics.Miscellaneous.Zero2DF(_xll.HLV5r3.Analytics.Miscellaneous.LinearInterp(Peturbed_QZ,$K237,1,X$1),ZeroCompFreq,'PDH Calc'!$K237/365)</f>
        <v>1</v>
      </c>
      <c r="Y237" s="8">
        <f ca="1">_xll.HLV5r3.Analytics.Miscellaneous.Zero2DF(_xll.HLV5r3.Analytics.Miscellaneous.LinearInterp(Peturbed_QZ,$K237,1,Y$1),ZeroCompFreq,'PDH Calc'!$K237/365)</f>
        <v>1</v>
      </c>
      <c r="Z237" s="8">
        <f ca="1">_xll.HLV5r3.Analytics.Miscellaneous.Zero2DF(_xll.HLV5r3.Analytics.Miscellaneous.LinearInterp(Peturbed_QZ,$K237,1,Z$1),ZeroCompFreq,'PDH Calc'!$K237/365)</f>
        <v>1</v>
      </c>
      <c r="AA237" s="8">
        <f ca="1">_xll.HLV5r3.Analytics.Miscellaneous.Zero2DF(_xll.HLV5r3.Analytics.Miscellaneous.LinearInterp(Peturbed_QZ,$K237,1,AA$1),ZeroCompFreq,'PDH Calc'!$K237/365)</f>
        <v>1</v>
      </c>
      <c r="AB237" s="8">
        <f ca="1">_xll.HLV5r3.Analytics.Miscellaneous.Zero2DF(_xll.HLV5r3.Analytics.Miscellaneous.LinearInterp(Peturbed_QZ,$K237,1,AB$1),ZeroCompFreq,'PDH Calc'!$K237/365)</f>
        <v>1</v>
      </c>
      <c r="AC237" s="8">
        <f ca="1">_xll.HLV5r3.Analytics.Miscellaneous.Zero2DF(_xll.HLV5r3.Analytics.Miscellaneous.LinearInterp(Peturbed_QZ,$K237,1,AC$1),ZeroCompFreq,'PDH Calc'!$K237/365)</f>
        <v>1</v>
      </c>
      <c r="AD237" s="8">
        <f ca="1">_xll.HLV5r3.Analytics.Miscellaneous.Zero2DF(_xll.HLV5r3.Analytics.Miscellaneous.LinearInterp(Peturbed_QZ,$K237,1,AD$1),ZeroCompFreq,'PDH Calc'!$K237/365)</f>
        <v>1</v>
      </c>
      <c r="AE237" s="8">
        <f ca="1">_xll.HLV5r3.Analytics.Miscellaneous.Zero2DF(_xll.HLV5r3.Analytics.Miscellaneous.LinearInterp(Peturbed_QZ,$K237,1,AE$1),ZeroCompFreq,'PDH Calc'!$K237/365)</f>
        <v>1</v>
      </c>
      <c r="AF237" s="8">
        <f ca="1">_xll.HLV5r3.Analytics.Miscellaneous.Zero2DF(_xll.HLV5r3.Analytics.Miscellaneous.LinearInterp(Peturbed_QZ,$K237,1,AF$1),ZeroCompFreq,'PDH Calc'!$K237/365)</f>
        <v>1</v>
      </c>
      <c r="AG237" s="8">
        <f ca="1">_xll.HLV5r3.Analytics.Miscellaneous.Zero2DF(_xll.HLV5r3.Analytics.Miscellaneous.LinearInterp(Peturbed_QZ,$K237,1,AG$1),ZeroCompFreq,'PDH Calc'!$K237/365)</f>
        <v>1</v>
      </c>
      <c r="AH237" s="8">
        <f ca="1">_xll.HLV5r3.Analytics.Miscellaneous.Zero2DF(_xll.HLV5r3.Analytics.Miscellaneous.LinearInterp(Peturbed_QZ,$K237,1,AH$1),ZeroCompFreq,'PDH Calc'!$K237/365)</f>
        <v>1</v>
      </c>
      <c r="AI237" s="8">
        <f ca="1">_xll.HLV5r3.Analytics.Miscellaneous.Zero2DF(_xll.HLV5r3.Analytics.Miscellaneous.LinearInterp(Peturbed_QZ,$K237,1,AI$1),ZeroCompFreq,'PDH Calc'!$K237/365)</f>
        <v>1</v>
      </c>
      <c r="AJ237" s="8">
        <f ca="1">_xll.HLV5r3.Analytics.Miscellaneous.Zero2DF(_xll.HLV5r3.Analytics.Miscellaneous.LinearInterp(Peturbed_QZ,$K237,1,AJ$1),ZeroCompFreq,'PDH Calc'!$K237/365)</f>
        <v>1</v>
      </c>
      <c r="AK237" s="8">
        <f ca="1">_xll.HLV5r3.Analytics.Miscellaneous.Zero2DF(_xll.HLV5r3.Analytics.Miscellaneous.LinearInterp(Peturbed_QZ,$K237,1,AK$1),ZeroCompFreq,'PDH Calc'!$K237/365)</f>
        <v>1</v>
      </c>
    </row>
    <row r="238" spans="1:37">
      <c r="A238" s="4"/>
      <c r="B238" s="6"/>
      <c r="F238" s="11"/>
      <c r="G238" s="6"/>
      <c r="H238" s="20"/>
      <c r="I238" s="21"/>
      <c r="J238" s="26"/>
      <c r="K238" s="6">
        <f t="shared" ca="1" si="10"/>
        <v>0</v>
      </c>
      <c r="L238" s="8">
        <f ca="1">_xll.HLV5r3.Analytics.Miscellaneous.Zero2DF(_xll.HLV5r3.Analytics.Miscellaneous.LinearInterp(Peturbed_QZ,$K238,1,L$1),ZeroCompFreq,'PDH Calc'!$K238/365)</f>
        <v>1</v>
      </c>
      <c r="M238" s="8">
        <f ca="1">_xll.HLV5r3.Analytics.Miscellaneous.Zero2DF(_xll.HLV5r3.Analytics.Miscellaneous.LinearInterp(Peturbed_QZ,$K238,1,M$1),ZeroCompFreq,'PDH Calc'!$K238/365)</f>
        <v>1</v>
      </c>
      <c r="N238" s="8">
        <f ca="1">_xll.HLV5r3.Analytics.Miscellaneous.Zero2DF(_xll.HLV5r3.Analytics.Miscellaneous.LinearInterp(Peturbed_QZ,$K238,1,N$1),ZeroCompFreq,'PDH Calc'!$K238/365)</f>
        <v>1</v>
      </c>
      <c r="O238" s="8">
        <f ca="1">_xll.HLV5r3.Analytics.Miscellaneous.Zero2DF(_xll.HLV5r3.Analytics.Miscellaneous.LinearInterp(Peturbed_QZ,$K238,1,O$1),ZeroCompFreq,'PDH Calc'!$K238/365)</f>
        <v>1</v>
      </c>
      <c r="P238" s="8">
        <f ca="1">_xll.HLV5r3.Analytics.Miscellaneous.Zero2DF(_xll.HLV5r3.Analytics.Miscellaneous.LinearInterp(Peturbed_QZ,$K238,1,P$1),ZeroCompFreq,'PDH Calc'!$K238/365)</f>
        <v>1</v>
      </c>
      <c r="Q238" s="8">
        <f ca="1">_xll.HLV5r3.Analytics.Miscellaneous.Zero2DF(_xll.HLV5r3.Analytics.Miscellaneous.LinearInterp(Peturbed_QZ,$K238,1,Q$1),ZeroCompFreq,'PDH Calc'!$K238/365)</f>
        <v>1</v>
      </c>
      <c r="R238" s="8">
        <f ca="1">_xll.HLV5r3.Analytics.Miscellaneous.Zero2DF(_xll.HLV5r3.Analytics.Miscellaneous.LinearInterp(Peturbed_QZ,$K238,1,R$1),ZeroCompFreq,'PDH Calc'!$K238/365)</f>
        <v>1</v>
      </c>
      <c r="S238" s="8">
        <f ca="1">_xll.HLV5r3.Analytics.Miscellaneous.Zero2DF(_xll.HLV5r3.Analytics.Miscellaneous.LinearInterp(Peturbed_QZ,$K238,1,S$1),ZeroCompFreq,'PDH Calc'!$K238/365)</f>
        <v>1</v>
      </c>
      <c r="T238" s="8">
        <f ca="1">_xll.HLV5r3.Analytics.Miscellaneous.Zero2DF(_xll.HLV5r3.Analytics.Miscellaneous.LinearInterp(Peturbed_QZ,$K238,1,T$1),ZeroCompFreq,'PDH Calc'!$K238/365)</f>
        <v>1</v>
      </c>
      <c r="U238" s="8">
        <f ca="1">_xll.HLV5r3.Analytics.Miscellaneous.Zero2DF(_xll.HLV5r3.Analytics.Miscellaneous.LinearInterp(Peturbed_QZ,$K238,1,U$1),ZeroCompFreq,'PDH Calc'!$K238/365)</f>
        <v>1</v>
      </c>
      <c r="V238" s="8">
        <f ca="1">_xll.HLV5r3.Analytics.Miscellaneous.Zero2DF(_xll.HLV5r3.Analytics.Miscellaneous.LinearInterp(Peturbed_QZ,$K238,1,V$1),ZeroCompFreq,'PDH Calc'!$K238/365)</f>
        <v>1</v>
      </c>
      <c r="W238" s="8">
        <f ca="1">_xll.HLV5r3.Analytics.Miscellaneous.Zero2DF(_xll.HLV5r3.Analytics.Miscellaneous.LinearInterp(Peturbed_QZ,$K238,1,W$1),ZeroCompFreq,'PDH Calc'!$K238/365)</f>
        <v>1</v>
      </c>
      <c r="X238" s="8">
        <f ca="1">_xll.HLV5r3.Analytics.Miscellaneous.Zero2DF(_xll.HLV5r3.Analytics.Miscellaneous.LinearInterp(Peturbed_QZ,$K238,1,X$1),ZeroCompFreq,'PDH Calc'!$K238/365)</f>
        <v>1</v>
      </c>
      <c r="Y238" s="8">
        <f ca="1">_xll.HLV5r3.Analytics.Miscellaneous.Zero2DF(_xll.HLV5r3.Analytics.Miscellaneous.LinearInterp(Peturbed_QZ,$K238,1,Y$1),ZeroCompFreq,'PDH Calc'!$K238/365)</f>
        <v>1</v>
      </c>
      <c r="Z238" s="8">
        <f ca="1">_xll.HLV5r3.Analytics.Miscellaneous.Zero2DF(_xll.HLV5r3.Analytics.Miscellaneous.LinearInterp(Peturbed_QZ,$K238,1,Z$1),ZeroCompFreq,'PDH Calc'!$K238/365)</f>
        <v>1</v>
      </c>
      <c r="AA238" s="8">
        <f ca="1">_xll.HLV5r3.Analytics.Miscellaneous.Zero2DF(_xll.HLV5r3.Analytics.Miscellaneous.LinearInterp(Peturbed_QZ,$K238,1,AA$1),ZeroCompFreq,'PDH Calc'!$K238/365)</f>
        <v>1</v>
      </c>
      <c r="AB238" s="8">
        <f ca="1">_xll.HLV5r3.Analytics.Miscellaneous.Zero2DF(_xll.HLV5r3.Analytics.Miscellaneous.LinearInterp(Peturbed_QZ,$K238,1,AB$1),ZeroCompFreq,'PDH Calc'!$K238/365)</f>
        <v>1</v>
      </c>
      <c r="AC238" s="8">
        <f ca="1">_xll.HLV5r3.Analytics.Miscellaneous.Zero2DF(_xll.HLV5r3.Analytics.Miscellaneous.LinearInterp(Peturbed_QZ,$K238,1,AC$1),ZeroCompFreq,'PDH Calc'!$K238/365)</f>
        <v>1</v>
      </c>
      <c r="AD238" s="8">
        <f ca="1">_xll.HLV5r3.Analytics.Miscellaneous.Zero2DF(_xll.HLV5r3.Analytics.Miscellaneous.LinearInterp(Peturbed_QZ,$K238,1,AD$1),ZeroCompFreq,'PDH Calc'!$K238/365)</f>
        <v>1</v>
      </c>
      <c r="AE238" s="8">
        <f ca="1">_xll.HLV5r3.Analytics.Miscellaneous.Zero2DF(_xll.HLV5r3.Analytics.Miscellaneous.LinearInterp(Peturbed_QZ,$K238,1,AE$1),ZeroCompFreq,'PDH Calc'!$K238/365)</f>
        <v>1</v>
      </c>
      <c r="AF238" s="8">
        <f ca="1">_xll.HLV5r3.Analytics.Miscellaneous.Zero2DF(_xll.HLV5r3.Analytics.Miscellaneous.LinearInterp(Peturbed_QZ,$K238,1,AF$1),ZeroCompFreq,'PDH Calc'!$K238/365)</f>
        <v>1</v>
      </c>
      <c r="AG238" s="8">
        <f ca="1">_xll.HLV5r3.Analytics.Miscellaneous.Zero2DF(_xll.HLV5r3.Analytics.Miscellaneous.LinearInterp(Peturbed_QZ,$K238,1,AG$1),ZeroCompFreq,'PDH Calc'!$K238/365)</f>
        <v>1</v>
      </c>
      <c r="AH238" s="8">
        <f ca="1">_xll.HLV5r3.Analytics.Miscellaneous.Zero2DF(_xll.HLV5r3.Analytics.Miscellaneous.LinearInterp(Peturbed_QZ,$K238,1,AH$1),ZeroCompFreq,'PDH Calc'!$K238/365)</f>
        <v>1</v>
      </c>
      <c r="AI238" s="8">
        <f ca="1">_xll.HLV5r3.Analytics.Miscellaneous.Zero2DF(_xll.HLV5r3.Analytics.Miscellaneous.LinearInterp(Peturbed_QZ,$K238,1,AI$1),ZeroCompFreq,'PDH Calc'!$K238/365)</f>
        <v>1</v>
      </c>
      <c r="AJ238" s="8">
        <f ca="1">_xll.HLV5r3.Analytics.Miscellaneous.Zero2DF(_xll.HLV5r3.Analytics.Miscellaneous.LinearInterp(Peturbed_QZ,$K238,1,AJ$1),ZeroCompFreq,'PDH Calc'!$K238/365)</f>
        <v>1</v>
      </c>
      <c r="AK238" s="8">
        <f ca="1">_xll.HLV5r3.Analytics.Miscellaneous.Zero2DF(_xll.HLV5r3.Analytics.Miscellaneous.LinearInterp(Peturbed_QZ,$K238,1,AK$1),ZeroCompFreq,'PDH Calc'!$K238/365)</f>
        <v>1</v>
      </c>
    </row>
    <row r="239" spans="1:37">
      <c r="A239" s="4"/>
      <c r="B239" s="6"/>
      <c r="F239" s="11"/>
      <c r="G239" s="6"/>
      <c r="H239" s="20"/>
      <c r="I239" s="21"/>
      <c r="J239" s="26"/>
      <c r="K239" s="6">
        <f t="shared" ca="1" si="10"/>
        <v>0</v>
      </c>
      <c r="L239" s="8">
        <f ca="1">_xll.HLV5r3.Analytics.Miscellaneous.Zero2DF(_xll.HLV5r3.Analytics.Miscellaneous.LinearInterp(Peturbed_QZ,$K239,1,L$1),ZeroCompFreq,'PDH Calc'!$K239/365)</f>
        <v>1</v>
      </c>
      <c r="M239" s="8">
        <f ca="1">_xll.HLV5r3.Analytics.Miscellaneous.Zero2DF(_xll.HLV5r3.Analytics.Miscellaneous.LinearInterp(Peturbed_QZ,$K239,1,M$1),ZeroCompFreq,'PDH Calc'!$K239/365)</f>
        <v>1</v>
      </c>
      <c r="N239" s="8">
        <f ca="1">_xll.HLV5r3.Analytics.Miscellaneous.Zero2DF(_xll.HLV5r3.Analytics.Miscellaneous.LinearInterp(Peturbed_QZ,$K239,1,N$1),ZeroCompFreq,'PDH Calc'!$K239/365)</f>
        <v>1</v>
      </c>
      <c r="O239" s="8">
        <f ca="1">_xll.HLV5r3.Analytics.Miscellaneous.Zero2DF(_xll.HLV5r3.Analytics.Miscellaneous.LinearInterp(Peturbed_QZ,$K239,1,O$1),ZeroCompFreq,'PDH Calc'!$K239/365)</f>
        <v>1</v>
      </c>
      <c r="P239" s="8">
        <f ca="1">_xll.HLV5r3.Analytics.Miscellaneous.Zero2DF(_xll.HLV5r3.Analytics.Miscellaneous.LinearInterp(Peturbed_QZ,$K239,1,P$1),ZeroCompFreq,'PDH Calc'!$K239/365)</f>
        <v>1</v>
      </c>
      <c r="Q239" s="8">
        <f ca="1">_xll.HLV5r3.Analytics.Miscellaneous.Zero2DF(_xll.HLV5r3.Analytics.Miscellaneous.LinearInterp(Peturbed_QZ,$K239,1,Q$1),ZeroCompFreq,'PDH Calc'!$K239/365)</f>
        <v>1</v>
      </c>
      <c r="R239" s="8">
        <f ca="1">_xll.HLV5r3.Analytics.Miscellaneous.Zero2DF(_xll.HLV5r3.Analytics.Miscellaneous.LinearInterp(Peturbed_QZ,$K239,1,R$1),ZeroCompFreq,'PDH Calc'!$K239/365)</f>
        <v>1</v>
      </c>
      <c r="S239" s="8">
        <f ca="1">_xll.HLV5r3.Analytics.Miscellaneous.Zero2DF(_xll.HLV5r3.Analytics.Miscellaneous.LinearInterp(Peturbed_QZ,$K239,1,S$1),ZeroCompFreq,'PDH Calc'!$K239/365)</f>
        <v>1</v>
      </c>
      <c r="T239" s="8">
        <f ca="1">_xll.HLV5r3.Analytics.Miscellaneous.Zero2DF(_xll.HLV5r3.Analytics.Miscellaneous.LinearInterp(Peturbed_QZ,$K239,1,T$1),ZeroCompFreq,'PDH Calc'!$K239/365)</f>
        <v>1</v>
      </c>
      <c r="U239" s="8">
        <f ca="1">_xll.HLV5r3.Analytics.Miscellaneous.Zero2DF(_xll.HLV5r3.Analytics.Miscellaneous.LinearInterp(Peturbed_QZ,$K239,1,U$1),ZeroCompFreq,'PDH Calc'!$K239/365)</f>
        <v>1</v>
      </c>
      <c r="V239" s="8">
        <f ca="1">_xll.HLV5r3.Analytics.Miscellaneous.Zero2DF(_xll.HLV5r3.Analytics.Miscellaneous.LinearInterp(Peturbed_QZ,$K239,1,V$1),ZeroCompFreq,'PDH Calc'!$K239/365)</f>
        <v>1</v>
      </c>
      <c r="W239" s="8">
        <f ca="1">_xll.HLV5r3.Analytics.Miscellaneous.Zero2DF(_xll.HLV5r3.Analytics.Miscellaneous.LinearInterp(Peturbed_QZ,$K239,1,W$1),ZeroCompFreq,'PDH Calc'!$K239/365)</f>
        <v>1</v>
      </c>
      <c r="X239" s="8">
        <f ca="1">_xll.HLV5r3.Analytics.Miscellaneous.Zero2DF(_xll.HLV5r3.Analytics.Miscellaneous.LinearInterp(Peturbed_QZ,$K239,1,X$1),ZeroCompFreq,'PDH Calc'!$K239/365)</f>
        <v>1</v>
      </c>
      <c r="Y239" s="8">
        <f ca="1">_xll.HLV5r3.Analytics.Miscellaneous.Zero2DF(_xll.HLV5r3.Analytics.Miscellaneous.LinearInterp(Peturbed_QZ,$K239,1,Y$1),ZeroCompFreq,'PDH Calc'!$K239/365)</f>
        <v>1</v>
      </c>
      <c r="Z239" s="8">
        <f ca="1">_xll.HLV5r3.Analytics.Miscellaneous.Zero2DF(_xll.HLV5r3.Analytics.Miscellaneous.LinearInterp(Peturbed_QZ,$K239,1,Z$1),ZeroCompFreq,'PDH Calc'!$K239/365)</f>
        <v>1</v>
      </c>
      <c r="AA239" s="8">
        <f ca="1">_xll.HLV5r3.Analytics.Miscellaneous.Zero2DF(_xll.HLV5r3.Analytics.Miscellaneous.LinearInterp(Peturbed_QZ,$K239,1,AA$1),ZeroCompFreq,'PDH Calc'!$K239/365)</f>
        <v>1</v>
      </c>
      <c r="AB239" s="8">
        <f ca="1">_xll.HLV5r3.Analytics.Miscellaneous.Zero2DF(_xll.HLV5r3.Analytics.Miscellaneous.LinearInterp(Peturbed_QZ,$K239,1,AB$1),ZeroCompFreq,'PDH Calc'!$K239/365)</f>
        <v>1</v>
      </c>
      <c r="AC239" s="8">
        <f ca="1">_xll.HLV5r3.Analytics.Miscellaneous.Zero2DF(_xll.HLV5r3.Analytics.Miscellaneous.LinearInterp(Peturbed_QZ,$K239,1,AC$1),ZeroCompFreq,'PDH Calc'!$K239/365)</f>
        <v>1</v>
      </c>
      <c r="AD239" s="8">
        <f ca="1">_xll.HLV5r3.Analytics.Miscellaneous.Zero2DF(_xll.HLV5r3.Analytics.Miscellaneous.LinearInterp(Peturbed_QZ,$K239,1,AD$1),ZeroCompFreq,'PDH Calc'!$K239/365)</f>
        <v>1</v>
      </c>
      <c r="AE239" s="8">
        <f ca="1">_xll.HLV5r3.Analytics.Miscellaneous.Zero2DF(_xll.HLV5r3.Analytics.Miscellaneous.LinearInterp(Peturbed_QZ,$K239,1,AE$1),ZeroCompFreq,'PDH Calc'!$K239/365)</f>
        <v>1</v>
      </c>
      <c r="AF239" s="8">
        <f ca="1">_xll.HLV5r3.Analytics.Miscellaneous.Zero2DF(_xll.HLV5r3.Analytics.Miscellaneous.LinearInterp(Peturbed_QZ,$K239,1,AF$1),ZeroCompFreq,'PDH Calc'!$K239/365)</f>
        <v>1</v>
      </c>
      <c r="AG239" s="8">
        <f ca="1">_xll.HLV5r3.Analytics.Miscellaneous.Zero2DF(_xll.HLV5r3.Analytics.Miscellaneous.LinearInterp(Peturbed_QZ,$K239,1,AG$1),ZeroCompFreq,'PDH Calc'!$K239/365)</f>
        <v>1</v>
      </c>
      <c r="AH239" s="8">
        <f ca="1">_xll.HLV5r3.Analytics.Miscellaneous.Zero2DF(_xll.HLV5r3.Analytics.Miscellaneous.LinearInterp(Peturbed_QZ,$K239,1,AH$1),ZeroCompFreq,'PDH Calc'!$K239/365)</f>
        <v>1</v>
      </c>
      <c r="AI239" s="8">
        <f ca="1">_xll.HLV5r3.Analytics.Miscellaneous.Zero2DF(_xll.HLV5r3.Analytics.Miscellaneous.LinearInterp(Peturbed_QZ,$K239,1,AI$1),ZeroCompFreq,'PDH Calc'!$K239/365)</f>
        <v>1</v>
      </c>
      <c r="AJ239" s="8">
        <f ca="1">_xll.HLV5r3.Analytics.Miscellaneous.Zero2DF(_xll.HLV5r3.Analytics.Miscellaneous.LinearInterp(Peturbed_QZ,$K239,1,AJ$1),ZeroCompFreq,'PDH Calc'!$K239/365)</f>
        <v>1</v>
      </c>
      <c r="AK239" s="8">
        <f ca="1">_xll.HLV5r3.Analytics.Miscellaneous.Zero2DF(_xll.HLV5r3.Analytics.Miscellaneous.LinearInterp(Peturbed_QZ,$K239,1,AK$1),ZeroCompFreq,'PDH Calc'!$K239/365)</f>
        <v>1</v>
      </c>
    </row>
    <row r="240" spans="1:37">
      <c r="A240" s="4"/>
      <c r="B240" s="6"/>
      <c r="F240" s="11"/>
      <c r="G240" s="6"/>
      <c r="H240" s="20"/>
      <c r="I240" s="21"/>
      <c r="J240" s="26"/>
      <c r="K240" s="6">
        <f t="shared" ca="1" si="10"/>
        <v>0</v>
      </c>
      <c r="L240" s="8">
        <f ca="1">_xll.HLV5r3.Analytics.Miscellaneous.Zero2DF(_xll.HLV5r3.Analytics.Miscellaneous.LinearInterp(Peturbed_QZ,$K240,1,L$1),ZeroCompFreq,'PDH Calc'!$K240/365)</f>
        <v>1</v>
      </c>
      <c r="M240" s="8">
        <f ca="1">_xll.HLV5r3.Analytics.Miscellaneous.Zero2DF(_xll.HLV5r3.Analytics.Miscellaneous.LinearInterp(Peturbed_QZ,$K240,1,M$1),ZeroCompFreq,'PDH Calc'!$K240/365)</f>
        <v>1</v>
      </c>
      <c r="N240" s="8">
        <f ca="1">_xll.HLV5r3.Analytics.Miscellaneous.Zero2DF(_xll.HLV5r3.Analytics.Miscellaneous.LinearInterp(Peturbed_QZ,$K240,1,N$1),ZeroCompFreq,'PDH Calc'!$K240/365)</f>
        <v>1</v>
      </c>
      <c r="O240" s="8">
        <f ca="1">_xll.HLV5r3.Analytics.Miscellaneous.Zero2DF(_xll.HLV5r3.Analytics.Miscellaneous.LinearInterp(Peturbed_QZ,$K240,1,O$1),ZeroCompFreq,'PDH Calc'!$K240/365)</f>
        <v>1</v>
      </c>
      <c r="P240" s="8">
        <f ca="1">_xll.HLV5r3.Analytics.Miscellaneous.Zero2DF(_xll.HLV5r3.Analytics.Miscellaneous.LinearInterp(Peturbed_QZ,$K240,1,P$1),ZeroCompFreq,'PDH Calc'!$K240/365)</f>
        <v>1</v>
      </c>
      <c r="Q240" s="8">
        <f ca="1">_xll.HLV5r3.Analytics.Miscellaneous.Zero2DF(_xll.HLV5r3.Analytics.Miscellaneous.LinearInterp(Peturbed_QZ,$K240,1,Q$1),ZeroCompFreq,'PDH Calc'!$K240/365)</f>
        <v>1</v>
      </c>
      <c r="R240" s="8">
        <f ca="1">_xll.HLV5r3.Analytics.Miscellaneous.Zero2DF(_xll.HLV5r3.Analytics.Miscellaneous.LinearInterp(Peturbed_QZ,$K240,1,R$1),ZeroCompFreq,'PDH Calc'!$K240/365)</f>
        <v>1</v>
      </c>
      <c r="S240" s="8">
        <f ca="1">_xll.HLV5r3.Analytics.Miscellaneous.Zero2DF(_xll.HLV5r3.Analytics.Miscellaneous.LinearInterp(Peturbed_QZ,$K240,1,S$1),ZeroCompFreq,'PDH Calc'!$K240/365)</f>
        <v>1</v>
      </c>
      <c r="T240" s="8">
        <f ca="1">_xll.HLV5r3.Analytics.Miscellaneous.Zero2DF(_xll.HLV5r3.Analytics.Miscellaneous.LinearInterp(Peturbed_QZ,$K240,1,T$1),ZeroCompFreq,'PDH Calc'!$K240/365)</f>
        <v>1</v>
      </c>
      <c r="U240" s="8">
        <f ca="1">_xll.HLV5r3.Analytics.Miscellaneous.Zero2DF(_xll.HLV5r3.Analytics.Miscellaneous.LinearInterp(Peturbed_QZ,$K240,1,U$1),ZeroCompFreq,'PDH Calc'!$K240/365)</f>
        <v>1</v>
      </c>
      <c r="V240" s="8">
        <f ca="1">_xll.HLV5r3.Analytics.Miscellaneous.Zero2DF(_xll.HLV5r3.Analytics.Miscellaneous.LinearInterp(Peturbed_QZ,$K240,1,V$1),ZeroCompFreq,'PDH Calc'!$K240/365)</f>
        <v>1</v>
      </c>
      <c r="W240" s="8">
        <f ca="1">_xll.HLV5r3.Analytics.Miscellaneous.Zero2DF(_xll.HLV5r3.Analytics.Miscellaneous.LinearInterp(Peturbed_QZ,$K240,1,W$1),ZeroCompFreq,'PDH Calc'!$K240/365)</f>
        <v>1</v>
      </c>
      <c r="X240" s="8">
        <f ca="1">_xll.HLV5r3.Analytics.Miscellaneous.Zero2DF(_xll.HLV5r3.Analytics.Miscellaneous.LinearInterp(Peturbed_QZ,$K240,1,X$1),ZeroCompFreq,'PDH Calc'!$K240/365)</f>
        <v>1</v>
      </c>
      <c r="Y240" s="8">
        <f ca="1">_xll.HLV5r3.Analytics.Miscellaneous.Zero2DF(_xll.HLV5r3.Analytics.Miscellaneous.LinearInterp(Peturbed_QZ,$K240,1,Y$1),ZeroCompFreq,'PDH Calc'!$K240/365)</f>
        <v>1</v>
      </c>
      <c r="Z240" s="8">
        <f ca="1">_xll.HLV5r3.Analytics.Miscellaneous.Zero2DF(_xll.HLV5r3.Analytics.Miscellaneous.LinearInterp(Peturbed_QZ,$K240,1,Z$1),ZeroCompFreq,'PDH Calc'!$K240/365)</f>
        <v>1</v>
      </c>
      <c r="AA240" s="8">
        <f ca="1">_xll.HLV5r3.Analytics.Miscellaneous.Zero2DF(_xll.HLV5r3.Analytics.Miscellaneous.LinearInterp(Peturbed_QZ,$K240,1,AA$1),ZeroCompFreq,'PDH Calc'!$K240/365)</f>
        <v>1</v>
      </c>
      <c r="AB240" s="8">
        <f ca="1">_xll.HLV5r3.Analytics.Miscellaneous.Zero2DF(_xll.HLV5r3.Analytics.Miscellaneous.LinearInterp(Peturbed_QZ,$K240,1,AB$1),ZeroCompFreq,'PDH Calc'!$K240/365)</f>
        <v>1</v>
      </c>
      <c r="AC240" s="8">
        <f ca="1">_xll.HLV5r3.Analytics.Miscellaneous.Zero2DF(_xll.HLV5r3.Analytics.Miscellaneous.LinearInterp(Peturbed_QZ,$K240,1,AC$1),ZeroCompFreq,'PDH Calc'!$K240/365)</f>
        <v>1</v>
      </c>
      <c r="AD240" s="8">
        <f ca="1">_xll.HLV5r3.Analytics.Miscellaneous.Zero2DF(_xll.HLV5r3.Analytics.Miscellaneous.LinearInterp(Peturbed_QZ,$K240,1,AD$1),ZeroCompFreq,'PDH Calc'!$K240/365)</f>
        <v>1</v>
      </c>
      <c r="AE240" s="8">
        <f ca="1">_xll.HLV5r3.Analytics.Miscellaneous.Zero2DF(_xll.HLV5r3.Analytics.Miscellaneous.LinearInterp(Peturbed_QZ,$K240,1,AE$1),ZeroCompFreq,'PDH Calc'!$K240/365)</f>
        <v>1</v>
      </c>
      <c r="AF240" s="8">
        <f ca="1">_xll.HLV5r3.Analytics.Miscellaneous.Zero2DF(_xll.HLV5r3.Analytics.Miscellaneous.LinearInterp(Peturbed_QZ,$K240,1,AF$1),ZeroCompFreq,'PDH Calc'!$K240/365)</f>
        <v>1</v>
      </c>
      <c r="AG240" s="8">
        <f ca="1">_xll.HLV5r3.Analytics.Miscellaneous.Zero2DF(_xll.HLV5r3.Analytics.Miscellaneous.LinearInterp(Peturbed_QZ,$K240,1,AG$1),ZeroCompFreq,'PDH Calc'!$K240/365)</f>
        <v>1</v>
      </c>
      <c r="AH240" s="8">
        <f ca="1">_xll.HLV5r3.Analytics.Miscellaneous.Zero2DF(_xll.HLV5r3.Analytics.Miscellaneous.LinearInterp(Peturbed_QZ,$K240,1,AH$1),ZeroCompFreq,'PDH Calc'!$K240/365)</f>
        <v>1</v>
      </c>
      <c r="AI240" s="8">
        <f ca="1">_xll.HLV5r3.Analytics.Miscellaneous.Zero2DF(_xll.HLV5r3.Analytics.Miscellaneous.LinearInterp(Peturbed_QZ,$K240,1,AI$1),ZeroCompFreq,'PDH Calc'!$K240/365)</f>
        <v>1</v>
      </c>
      <c r="AJ240" s="8">
        <f ca="1">_xll.HLV5r3.Analytics.Miscellaneous.Zero2DF(_xll.HLV5r3.Analytics.Miscellaneous.LinearInterp(Peturbed_QZ,$K240,1,AJ$1),ZeroCompFreq,'PDH Calc'!$K240/365)</f>
        <v>1</v>
      </c>
      <c r="AK240" s="8">
        <f ca="1">_xll.HLV5r3.Analytics.Miscellaneous.Zero2DF(_xll.HLV5r3.Analytics.Miscellaneous.LinearInterp(Peturbed_QZ,$K240,1,AK$1),ZeroCompFreq,'PDH Calc'!$K240/365)</f>
        <v>1</v>
      </c>
    </row>
    <row r="241" spans="1:37">
      <c r="A241" s="4"/>
      <c r="B241" s="6"/>
      <c r="F241" s="11"/>
      <c r="G241" s="6"/>
      <c r="H241" s="20"/>
      <c r="I241" s="21"/>
      <c r="J241" s="26"/>
      <c r="K241" s="6">
        <f t="shared" ca="1" si="10"/>
        <v>0</v>
      </c>
      <c r="L241" s="8">
        <f ca="1">_xll.HLV5r3.Analytics.Miscellaneous.Zero2DF(_xll.HLV5r3.Analytics.Miscellaneous.LinearInterp(Peturbed_QZ,$K241,1,L$1),ZeroCompFreq,'PDH Calc'!$K241/365)</f>
        <v>1</v>
      </c>
      <c r="M241" s="8">
        <f ca="1">_xll.HLV5r3.Analytics.Miscellaneous.Zero2DF(_xll.HLV5r3.Analytics.Miscellaneous.LinearInterp(Peturbed_QZ,$K241,1,M$1),ZeroCompFreq,'PDH Calc'!$K241/365)</f>
        <v>1</v>
      </c>
      <c r="N241" s="8">
        <f ca="1">_xll.HLV5r3.Analytics.Miscellaneous.Zero2DF(_xll.HLV5r3.Analytics.Miscellaneous.LinearInterp(Peturbed_QZ,$K241,1,N$1),ZeroCompFreq,'PDH Calc'!$K241/365)</f>
        <v>1</v>
      </c>
      <c r="O241" s="8">
        <f ca="1">_xll.HLV5r3.Analytics.Miscellaneous.Zero2DF(_xll.HLV5r3.Analytics.Miscellaneous.LinearInterp(Peturbed_QZ,$K241,1,O$1),ZeroCompFreq,'PDH Calc'!$K241/365)</f>
        <v>1</v>
      </c>
      <c r="P241" s="8">
        <f ca="1">_xll.HLV5r3.Analytics.Miscellaneous.Zero2DF(_xll.HLV5r3.Analytics.Miscellaneous.LinearInterp(Peturbed_QZ,$K241,1,P$1),ZeroCompFreq,'PDH Calc'!$K241/365)</f>
        <v>1</v>
      </c>
      <c r="Q241" s="8">
        <f ca="1">_xll.HLV5r3.Analytics.Miscellaneous.Zero2DF(_xll.HLV5r3.Analytics.Miscellaneous.LinearInterp(Peturbed_QZ,$K241,1,Q$1),ZeroCompFreq,'PDH Calc'!$K241/365)</f>
        <v>1</v>
      </c>
      <c r="R241" s="8">
        <f ca="1">_xll.HLV5r3.Analytics.Miscellaneous.Zero2DF(_xll.HLV5r3.Analytics.Miscellaneous.LinearInterp(Peturbed_QZ,$K241,1,R$1),ZeroCompFreq,'PDH Calc'!$K241/365)</f>
        <v>1</v>
      </c>
      <c r="S241" s="8">
        <f ca="1">_xll.HLV5r3.Analytics.Miscellaneous.Zero2DF(_xll.HLV5r3.Analytics.Miscellaneous.LinearInterp(Peturbed_QZ,$K241,1,S$1),ZeroCompFreq,'PDH Calc'!$K241/365)</f>
        <v>1</v>
      </c>
      <c r="T241" s="8">
        <f ca="1">_xll.HLV5r3.Analytics.Miscellaneous.Zero2DF(_xll.HLV5r3.Analytics.Miscellaneous.LinearInterp(Peturbed_QZ,$K241,1,T$1),ZeroCompFreq,'PDH Calc'!$K241/365)</f>
        <v>1</v>
      </c>
      <c r="U241" s="8">
        <f ca="1">_xll.HLV5r3.Analytics.Miscellaneous.Zero2DF(_xll.HLV5r3.Analytics.Miscellaneous.LinearInterp(Peturbed_QZ,$K241,1,U$1),ZeroCompFreq,'PDH Calc'!$K241/365)</f>
        <v>1</v>
      </c>
      <c r="V241" s="8">
        <f ca="1">_xll.HLV5r3.Analytics.Miscellaneous.Zero2DF(_xll.HLV5r3.Analytics.Miscellaneous.LinearInterp(Peturbed_QZ,$K241,1,V$1),ZeroCompFreq,'PDH Calc'!$K241/365)</f>
        <v>1</v>
      </c>
      <c r="W241" s="8">
        <f ca="1">_xll.HLV5r3.Analytics.Miscellaneous.Zero2DF(_xll.HLV5r3.Analytics.Miscellaneous.LinearInterp(Peturbed_QZ,$K241,1,W$1),ZeroCompFreq,'PDH Calc'!$K241/365)</f>
        <v>1</v>
      </c>
      <c r="X241" s="8">
        <f ca="1">_xll.HLV5r3.Analytics.Miscellaneous.Zero2DF(_xll.HLV5r3.Analytics.Miscellaneous.LinearInterp(Peturbed_QZ,$K241,1,X$1),ZeroCompFreq,'PDH Calc'!$K241/365)</f>
        <v>1</v>
      </c>
      <c r="Y241" s="8">
        <f ca="1">_xll.HLV5r3.Analytics.Miscellaneous.Zero2DF(_xll.HLV5r3.Analytics.Miscellaneous.LinearInterp(Peturbed_QZ,$K241,1,Y$1),ZeroCompFreq,'PDH Calc'!$K241/365)</f>
        <v>1</v>
      </c>
      <c r="Z241" s="8">
        <f ca="1">_xll.HLV5r3.Analytics.Miscellaneous.Zero2DF(_xll.HLV5r3.Analytics.Miscellaneous.LinearInterp(Peturbed_QZ,$K241,1,Z$1),ZeroCompFreq,'PDH Calc'!$K241/365)</f>
        <v>1</v>
      </c>
      <c r="AA241" s="8">
        <f ca="1">_xll.HLV5r3.Analytics.Miscellaneous.Zero2DF(_xll.HLV5r3.Analytics.Miscellaneous.LinearInterp(Peturbed_QZ,$K241,1,AA$1),ZeroCompFreq,'PDH Calc'!$K241/365)</f>
        <v>1</v>
      </c>
      <c r="AB241" s="8">
        <f ca="1">_xll.HLV5r3.Analytics.Miscellaneous.Zero2DF(_xll.HLV5r3.Analytics.Miscellaneous.LinearInterp(Peturbed_QZ,$K241,1,AB$1),ZeroCompFreq,'PDH Calc'!$K241/365)</f>
        <v>1</v>
      </c>
      <c r="AC241" s="8">
        <f ca="1">_xll.HLV5r3.Analytics.Miscellaneous.Zero2DF(_xll.HLV5r3.Analytics.Miscellaneous.LinearInterp(Peturbed_QZ,$K241,1,AC$1),ZeroCompFreq,'PDH Calc'!$K241/365)</f>
        <v>1</v>
      </c>
      <c r="AD241" s="8">
        <f ca="1">_xll.HLV5r3.Analytics.Miscellaneous.Zero2DF(_xll.HLV5r3.Analytics.Miscellaneous.LinearInterp(Peturbed_QZ,$K241,1,AD$1),ZeroCompFreq,'PDH Calc'!$K241/365)</f>
        <v>1</v>
      </c>
      <c r="AE241" s="8">
        <f ca="1">_xll.HLV5r3.Analytics.Miscellaneous.Zero2DF(_xll.HLV5r3.Analytics.Miscellaneous.LinearInterp(Peturbed_QZ,$K241,1,AE$1),ZeroCompFreq,'PDH Calc'!$K241/365)</f>
        <v>1</v>
      </c>
      <c r="AF241" s="8">
        <f ca="1">_xll.HLV5r3.Analytics.Miscellaneous.Zero2DF(_xll.HLV5r3.Analytics.Miscellaneous.LinearInterp(Peturbed_QZ,$K241,1,AF$1),ZeroCompFreq,'PDH Calc'!$K241/365)</f>
        <v>1</v>
      </c>
      <c r="AG241" s="8">
        <f ca="1">_xll.HLV5r3.Analytics.Miscellaneous.Zero2DF(_xll.HLV5r3.Analytics.Miscellaneous.LinearInterp(Peturbed_QZ,$K241,1,AG$1),ZeroCompFreq,'PDH Calc'!$K241/365)</f>
        <v>1</v>
      </c>
      <c r="AH241" s="8">
        <f ca="1">_xll.HLV5r3.Analytics.Miscellaneous.Zero2DF(_xll.HLV5r3.Analytics.Miscellaneous.LinearInterp(Peturbed_QZ,$K241,1,AH$1),ZeroCompFreq,'PDH Calc'!$K241/365)</f>
        <v>1</v>
      </c>
      <c r="AI241" s="8">
        <f ca="1">_xll.HLV5r3.Analytics.Miscellaneous.Zero2DF(_xll.HLV5r3.Analytics.Miscellaneous.LinearInterp(Peturbed_QZ,$K241,1,AI$1),ZeroCompFreq,'PDH Calc'!$K241/365)</f>
        <v>1</v>
      </c>
      <c r="AJ241" s="8">
        <f ca="1">_xll.HLV5r3.Analytics.Miscellaneous.Zero2DF(_xll.HLV5r3.Analytics.Miscellaneous.LinearInterp(Peturbed_QZ,$K241,1,AJ$1),ZeroCompFreq,'PDH Calc'!$K241/365)</f>
        <v>1</v>
      </c>
      <c r="AK241" s="8">
        <f ca="1">_xll.HLV5r3.Analytics.Miscellaneous.Zero2DF(_xll.HLV5r3.Analytics.Miscellaneous.LinearInterp(Peturbed_QZ,$K241,1,AK$1),ZeroCompFreq,'PDH Calc'!$K241/365)</f>
        <v>1</v>
      </c>
    </row>
    <row r="242" spans="1:37">
      <c r="A242" s="4"/>
      <c r="B242" s="6"/>
      <c r="F242" s="11"/>
      <c r="G242" s="6"/>
      <c r="H242" s="20"/>
      <c r="I242" s="21"/>
      <c r="J242" s="26"/>
      <c r="K242" s="6">
        <f t="shared" ca="1" si="10"/>
        <v>0</v>
      </c>
      <c r="L242" s="8">
        <f ca="1">_xll.HLV5r3.Analytics.Miscellaneous.Zero2DF(_xll.HLV5r3.Analytics.Miscellaneous.LinearInterp(Peturbed_QZ,$K242,1,L$1),ZeroCompFreq,'PDH Calc'!$K242/365)</f>
        <v>1</v>
      </c>
      <c r="M242" s="8">
        <f ca="1">_xll.HLV5r3.Analytics.Miscellaneous.Zero2DF(_xll.HLV5r3.Analytics.Miscellaneous.LinearInterp(Peturbed_QZ,$K242,1,M$1),ZeroCompFreq,'PDH Calc'!$K242/365)</f>
        <v>1</v>
      </c>
      <c r="N242" s="8">
        <f ca="1">_xll.HLV5r3.Analytics.Miscellaneous.Zero2DF(_xll.HLV5r3.Analytics.Miscellaneous.LinearInterp(Peturbed_QZ,$K242,1,N$1),ZeroCompFreq,'PDH Calc'!$K242/365)</f>
        <v>1</v>
      </c>
      <c r="O242" s="8">
        <f ca="1">_xll.HLV5r3.Analytics.Miscellaneous.Zero2DF(_xll.HLV5r3.Analytics.Miscellaneous.LinearInterp(Peturbed_QZ,$K242,1,O$1),ZeroCompFreq,'PDH Calc'!$K242/365)</f>
        <v>1</v>
      </c>
      <c r="P242" s="8">
        <f ca="1">_xll.HLV5r3.Analytics.Miscellaneous.Zero2DF(_xll.HLV5r3.Analytics.Miscellaneous.LinearInterp(Peturbed_QZ,$K242,1,P$1),ZeroCompFreq,'PDH Calc'!$K242/365)</f>
        <v>1</v>
      </c>
      <c r="Q242" s="8">
        <f ca="1">_xll.HLV5r3.Analytics.Miscellaneous.Zero2DF(_xll.HLV5r3.Analytics.Miscellaneous.LinearInterp(Peturbed_QZ,$K242,1,Q$1),ZeroCompFreq,'PDH Calc'!$K242/365)</f>
        <v>1</v>
      </c>
      <c r="R242" s="8">
        <f ca="1">_xll.HLV5r3.Analytics.Miscellaneous.Zero2DF(_xll.HLV5r3.Analytics.Miscellaneous.LinearInterp(Peturbed_QZ,$K242,1,R$1),ZeroCompFreq,'PDH Calc'!$K242/365)</f>
        <v>1</v>
      </c>
      <c r="S242" s="8">
        <f ca="1">_xll.HLV5r3.Analytics.Miscellaneous.Zero2DF(_xll.HLV5r3.Analytics.Miscellaneous.LinearInterp(Peturbed_QZ,$K242,1,S$1),ZeroCompFreq,'PDH Calc'!$K242/365)</f>
        <v>1</v>
      </c>
      <c r="T242" s="8">
        <f ca="1">_xll.HLV5r3.Analytics.Miscellaneous.Zero2DF(_xll.HLV5r3.Analytics.Miscellaneous.LinearInterp(Peturbed_QZ,$K242,1,T$1),ZeroCompFreq,'PDH Calc'!$K242/365)</f>
        <v>1</v>
      </c>
      <c r="U242" s="8">
        <f ca="1">_xll.HLV5r3.Analytics.Miscellaneous.Zero2DF(_xll.HLV5r3.Analytics.Miscellaneous.LinearInterp(Peturbed_QZ,$K242,1,U$1),ZeroCompFreq,'PDH Calc'!$K242/365)</f>
        <v>1</v>
      </c>
      <c r="V242" s="8">
        <f ca="1">_xll.HLV5r3.Analytics.Miscellaneous.Zero2DF(_xll.HLV5r3.Analytics.Miscellaneous.LinearInterp(Peturbed_QZ,$K242,1,V$1),ZeroCompFreq,'PDH Calc'!$K242/365)</f>
        <v>1</v>
      </c>
      <c r="W242" s="8">
        <f ca="1">_xll.HLV5r3.Analytics.Miscellaneous.Zero2DF(_xll.HLV5r3.Analytics.Miscellaneous.LinearInterp(Peturbed_QZ,$K242,1,W$1),ZeroCompFreq,'PDH Calc'!$K242/365)</f>
        <v>1</v>
      </c>
      <c r="X242" s="8">
        <f ca="1">_xll.HLV5r3.Analytics.Miscellaneous.Zero2DF(_xll.HLV5r3.Analytics.Miscellaneous.LinearInterp(Peturbed_QZ,$K242,1,X$1),ZeroCompFreq,'PDH Calc'!$K242/365)</f>
        <v>1</v>
      </c>
      <c r="Y242" s="8">
        <f ca="1">_xll.HLV5r3.Analytics.Miscellaneous.Zero2DF(_xll.HLV5r3.Analytics.Miscellaneous.LinearInterp(Peturbed_QZ,$K242,1,Y$1),ZeroCompFreq,'PDH Calc'!$K242/365)</f>
        <v>1</v>
      </c>
      <c r="Z242" s="8">
        <f ca="1">_xll.HLV5r3.Analytics.Miscellaneous.Zero2DF(_xll.HLV5r3.Analytics.Miscellaneous.LinearInterp(Peturbed_QZ,$K242,1,Z$1),ZeroCompFreq,'PDH Calc'!$K242/365)</f>
        <v>1</v>
      </c>
      <c r="AA242" s="8">
        <f ca="1">_xll.HLV5r3.Analytics.Miscellaneous.Zero2DF(_xll.HLV5r3.Analytics.Miscellaneous.LinearInterp(Peturbed_QZ,$K242,1,AA$1),ZeroCompFreq,'PDH Calc'!$K242/365)</f>
        <v>1</v>
      </c>
      <c r="AB242" s="8">
        <f ca="1">_xll.HLV5r3.Analytics.Miscellaneous.Zero2DF(_xll.HLV5r3.Analytics.Miscellaneous.LinearInterp(Peturbed_QZ,$K242,1,AB$1),ZeroCompFreq,'PDH Calc'!$K242/365)</f>
        <v>1</v>
      </c>
      <c r="AC242" s="8">
        <f ca="1">_xll.HLV5r3.Analytics.Miscellaneous.Zero2DF(_xll.HLV5r3.Analytics.Miscellaneous.LinearInterp(Peturbed_QZ,$K242,1,AC$1),ZeroCompFreq,'PDH Calc'!$K242/365)</f>
        <v>1</v>
      </c>
      <c r="AD242" s="8">
        <f ca="1">_xll.HLV5r3.Analytics.Miscellaneous.Zero2DF(_xll.HLV5r3.Analytics.Miscellaneous.LinearInterp(Peturbed_QZ,$K242,1,AD$1),ZeroCompFreq,'PDH Calc'!$K242/365)</f>
        <v>1</v>
      </c>
      <c r="AE242" s="8">
        <f ca="1">_xll.HLV5r3.Analytics.Miscellaneous.Zero2DF(_xll.HLV5r3.Analytics.Miscellaneous.LinearInterp(Peturbed_QZ,$K242,1,AE$1),ZeroCompFreq,'PDH Calc'!$K242/365)</f>
        <v>1</v>
      </c>
      <c r="AF242" s="8">
        <f ca="1">_xll.HLV5r3.Analytics.Miscellaneous.Zero2DF(_xll.HLV5r3.Analytics.Miscellaneous.LinearInterp(Peturbed_QZ,$K242,1,AF$1),ZeroCompFreq,'PDH Calc'!$K242/365)</f>
        <v>1</v>
      </c>
      <c r="AG242" s="8">
        <f ca="1">_xll.HLV5r3.Analytics.Miscellaneous.Zero2DF(_xll.HLV5r3.Analytics.Miscellaneous.LinearInterp(Peturbed_QZ,$K242,1,AG$1),ZeroCompFreq,'PDH Calc'!$K242/365)</f>
        <v>1</v>
      </c>
      <c r="AH242" s="8">
        <f ca="1">_xll.HLV5r3.Analytics.Miscellaneous.Zero2DF(_xll.HLV5r3.Analytics.Miscellaneous.LinearInterp(Peturbed_QZ,$K242,1,AH$1),ZeroCompFreq,'PDH Calc'!$K242/365)</f>
        <v>1</v>
      </c>
      <c r="AI242" s="8">
        <f ca="1">_xll.HLV5r3.Analytics.Miscellaneous.Zero2DF(_xll.HLV5r3.Analytics.Miscellaneous.LinearInterp(Peturbed_QZ,$K242,1,AI$1),ZeroCompFreq,'PDH Calc'!$K242/365)</f>
        <v>1</v>
      </c>
      <c r="AJ242" s="8">
        <f ca="1">_xll.HLV5r3.Analytics.Miscellaneous.Zero2DF(_xll.HLV5r3.Analytics.Miscellaneous.LinearInterp(Peturbed_QZ,$K242,1,AJ$1),ZeroCompFreq,'PDH Calc'!$K242/365)</f>
        <v>1</v>
      </c>
      <c r="AK242" s="8">
        <f ca="1">_xll.HLV5r3.Analytics.Miscellaneous.Zero2DF(_xll.HLV5r3.Analytics.Miscellaneous.LinearInterp(Peturbed_QZ,$K242,1,AK$1),ZeroCompFreq,'PDH Calc'!$K242/365)</f>
        <v>1</v>
      </c>
    </row>
    <row r="243" spans="1:37">
      <c r="A243" s="4"/>
      <c r="B243" s="6"/>
      <c r="F243" s="11"/>
      <c r="G243" s="6"/>
      <c r="H243" s="20"/>
      <c r="I243" s="21"/>
      <c r="J243" s="26"/>
      <c r="K243" s="6">
        <f t="shared" ca="1" si="10"/>
        <v>0</v>
      </c>
      <c r="L243" s="8">
        <f ca="1">_xll.HLV5r3.Analytics.Miscellaneous.Zero2DF(_xll.HLV5r3.Analytics.Miscellaneous.LinearInterp(Peturbed_QZ,$K243,1,L$1),ZeroCompFreq,'PDH Calc'!$K243/365)</f>
        <v>1</v>
      </c>
      <c r="M243" s="8">
        <f ca="1">_xll.HLV5r3.Analytics.Miscellaneous.Zero2DF(_xll.HLV5r3.Analytics.Miscellaneous.LinearInterp(Peturbed_QZ,$K243,1,M$1),ZeroCompFreq,'PDH Calc'!$K243/365)</f>
        <v>1</v>
      </c>
      <c r="N243" s="8">
        <f ca="1">_xll.HLV5r3.Analytics.Miscellaneous.Zero2DF(_xll.HLV5r3.Analytics.Miscellaneous.LinearInterp(Peturbed_QZ,$K243,1,N$1),ZeroCompFreq,'PDH Calc'!$K243/365)</f>
        <v>1</v>
      </c>
      <c r="O243" s="8">
        <f ca="1">_xll.HLV5r3.Analytics.Miscellaneous.Zero2DF(_xll.HLV5r3.Analytics.Miscellaneous.LinearInterp(Peturbed_QZ,$K243,1,O$1),ZeroCompFreq,'PDH Calc'!$K243/365)</f>
        <v>1</v>
      </c>
      <c r="P243" s="8">
        <f ca="1">_xll.HLV5r3.Analytics.Miscellaneous.Zero2DF(_xll.HLV5r3.Analytics.Miscellaneous.LinearInterp(Peturbed_QZ,$K243,1,P$1),ZeroCompFreq,'PDH Calc'!$K243/365)</f>
        <v>1</v>
      </c>
      <c r="Q243" s="8">
        <f ca="1">_xll.HLV5r3.Analytics.Miscellaneous.Zero2DF(_xll.HLV5r3.Analytics.Miscellaneous.LinearInterp(Peturbed_QZ,$K243,1,Q$1),ZeroCompFreq,'PDH Calc'!$K243/365)</f>
        <v>1</v>
      </c>
      <c r="R243" s="8">
        <f ca="1">_xll.HLV5r3.Analytics.Miscellaneous.Zero2DF(_xll.HLV5r3.Analytics.Miscellaneous.LinearInterp(Peturbed_QZ,$K243,1,R$1),ZeroCompFreq,'PDH Calc'!$K243/365)</f>
        <v>1</v>
      </c>
      <c r="S243" s="8">
        <f ca="1">_xll.HLV5r3.Analytics.Miscellaneous.Zero2DF(_xll.HLV5r3.Analytics.Miscellaneous.LinearInterp(Peturbed_QZ,$K243,1,S$1),ZeroCompFreq,'PDH Calc'!$K243/365)</f>
        <v>1</v>
      </c>
      <c r="T243" s="8">
        <f ca="1">_xll.HLV5r3.Analytics.Miscellaneous.Zero2DF(_xll.HLV5r3.Analytics.Miscellaneous.LinearInterp(Peturbed_QZ,$K243,1,T$1),ZeroCompFreq,'PDH Calc'!$K243/365)</f>
        <v>1</v>
      </c>
      <c r="U243" s="8">
        <f ca="1">_xll.HLV5r3.Analytics.Miscellaneous.Zero2DF(_xll.HLV5r3.Analytics.Miscellaneous.LinearInterp(Peturbed_QZ,$K243,1,U$1),ZeroCompFreq,'PDH Calc'!$K243/365)</f>
        <v>1</v>
      </c>
      <c r="V243" s="8">
        <f ca="1">_xll.HLV5r3.Analytics.Miscellaneous.Zero2DF(_xll.HLV5r3.Analytics.Miscellaneous.LinearInterp(Peturbed_QZ,$K243,1,V$1),ZeroCompFreq,'PDH Calc'!$K243/365)</f>
        <v>1</v>
      </c>
      <c r="W243" s="8">
        <f ca="1">_xll.HLV5r3.Analytics.Miscellaneous.Zero2DF(_xll.HLV5r3.Analytics.Miscellaneous.LinearInterp(Peturbed_QZ,$K243,1,W$1),ZeroCompFreq,'PDH Calc'!$K243/365)</f>
        <v>1</v>
      </c>
      <c r="X243" s="8">
        <f ca="1">_xll.HLV5r3.Analytics.Miscellaneous.Zero2DF(_xll.HLV5r3.Analytics.Miscellaneous.LinearInterp(Peturbed_QZ,$K243,1,X$1),ZeroCompFreq,'PDH Calc'!$K243/365)</f>
        <v>1</v>
      </c>
      <c r="Y243" s="8">
        <f ca="1">_xll.HLV5r3.Analytics.Miscellaneous.Zero2DF(_xll.HLV5r3.Analytics.Miscellaneous.LinearInterp(Peturbed_QZ,$K243,1,Y$1),ZeroCompFreq,'PDH Calc'!$K243/365)</f>
        <v>1</v>
      </c>
      <c r="Z243" s="8">
        <f ca="1">_xll.HLV5r3.Analytics.Miscellaneous.Zero2DF(_xll.HLV5r3.Analytics.Miscellaneous.LinearInterp(Peturbed_QZ,$K243,1,Z$1),ZeroCompFreq,'PDH Calc'!$K243/365)</f>
        <v>1</v>
      </c>
      <c r="AA243" s="8">
        <f ca="1">_xll.HLV5r3.Analytics.Miscellaneous.Zero2DF(_xll.HLV5r3.Analytics.Miscellaneous.LinearInterp(Peturbed_QZ,$K243,1,AA$1),ZeroCompFreq,'PDH Calc'!$K243/365)</f>
        <v>1</v>
      </c>
      <c r="AB243" s="8">
        <f ca="1">_xll.HLV5r3.Analytics.Miscellaneous.Zero2DF(_xll.HLV5r3.Analytics.Miscellaneous.LinearInterp(Peturbed_QZ,$K243,1,AB$1),ZeroCompFreq,'PDH Calc'!$K243/365)</f>
        <v>1</v>
      </c>
      <c r="AC243" s="8">
        <f ca="1">_xll.HLV5r3.Analytics.Miscellaneous.Zero2DF(_xll.HLV5r3.Analytics.Miscellaneous.LinearInterp(Peturbed_QZ,$K243,1,AC$1),ZeroCompFreq,'PDH Calc'!$K243/365)</f>
        <v>1</v>
      </c>
      <c r="AD243" s="8">
        <f ca="1">_xll.HLV5r3.Analytics.Miscellaneous.Zero2DF(_xll.HLV5r3.Analytics.Miscellaneous.LinearInterp(Peturbed_QZ,$K243,1,AD$1),ZeroCompFreq,'PDH Calc'!$K243/365)</f>
        <v>1</v>
      </c>
      <c r="AE243" s="8">
        <f ca="1">_xll.HLV5r3.Analytics.Miscellaneous.Zero2DF(_xll.HLV5r3.Analytics.Miscellaneous.LinearInterp(Peturbed_QZ,$K243,1,AE$1),ZeroCompFreq,'PDH Calc'!$K243/365)</f>
        <v>1</v>
      </c>
      <c r="AF243" s="8">
        <f ca="1">_xll.HLV5r3.Analytics.Miscellaneous.Zero2DF(_xll.HLV5r3.Analytics.Miscellaneous.LinearInterp(Peturbed_QZ,$K243,1,AF$1),ZeroCompFreq,'PDH Calc'!$K243/365)</f>
        <v>1</v>
      </c>
      <c r="AG243" s="8">
        <f ca="1">_xll.HLV5r3.Analytics.Miscellaneous.Zero2DF(_xll.HLV5r3.Analytics.Miscellaneous.LinearInterp(Peturbed_QZ,$K243,1,AG$1),ZeroCompFreq,'PDH Calc'!$K243/365)</f>
        <v>1</v>
      </c>
      <c r="AH243" s="8">
        <f ca="1">_xll.HLV5r3.Analytics.Miscellaneous.Zero2DF(_xll.HLV5r3.Analytics.Miscellaneous.LinearInterp(Peturbed_QZ,$K243,1,AH$1),ZeroCompFreq,'PDH Calc'!$K243/365)</f>
        <v>1</v>
      </c>
      <c r="AI243" s="8">
        <f ca="1">_xll.HLV5r3.Analytics.Miscellaneous.Zero2DF(_xll.HLV5r3.Analytics.Miscellaneous.LinearInterp(Peturbed_QZ,$K243,1,AI$1),ZeroCompFreq,'PDH Calc'!$K243/365)</f>
        <v>1</v>
      </c>
      <c r="AJ243" s="8">
        <f ca="1">_xll.HLV5r3.Analytics.Miscellaneous.Zero2DF(_xll.HLV5r3.Analytics.Miscellaneous.LinearInterp(Peturbed_QZ,$K243,1,AJ$1),ZeroCompFreq,'PDH Calc'!$K243/365)</f>
        <v>1</v>
      </c>
      <c r="AK243" s="8">
        <f ca="1">_xll.HLV5r3.Analytics.Miscellaneous.Zero2DF(_xll.HLV5r3.Analytics.Miscellaneous.LinearInterp(Peturbed_QZ,$K243,1,AK$1),ZeroCompFreq,'PDH Calc'!$K243/365)</f>
        <v>1</v>
      </c>
    </row>
    <row r="244" spans="1:37">
      <c r="A244" s="4"/>
      <c r="B244" s="6"/>
      <c r="F244" s="11"/>
      <c r="G244" s="6"/>
      <c r="H244" s="20"/>
      <c r="I244" s="21"/>
      <c r="J244" s="26"/>
      <c r="K244" s="6">
        <f t="shared" ca="1" si="10"/>
        <v>0</v>
      </c>
      <c r="L244" s="8">
        <f ca="1">_xll.HLV5r3.Analytics.Miscellaneous.Zero2DF(_xll.HLV5r3.Analytics.Miscellaneous.LinearInterp(Peturbed_QZ,$K244,1,L$1),ZeroCompFreq,'PDH Calc'!$K244/365)</f>
        <v>1</v>
      </c>
      <c r="M244" s="8">
        <f ca="1">_xll.HLV5r3.Analytics.Miscellaneous.Zero2DF(_xll.HLV5r3.Analytics.Miscellaneous.LinearInterp(Peturbed_QZ,$K244,1,M$1),ZeroCompFreq,'PDH Calc'!$K244/365)</f>
        <v>1</v>
      </c>
      <c r="N244" s="8">
        <f ca="1">_xll.HLV5r3.Analytics.Miscellaneous.Zero2DF(_xll.HLV5r3.Analytics.Miscellaneous.LinearInterp(Peturbed_QZ,$K244,1,N$1),ZeroCompFreq,'PDH Calc'!$K244/365)</f>
        <v>1</v>
      </c>
      <c r="O244" s="8">
        <f ca="1">_xll.HLV5r3.Analytics.Miscellaneous.Zero2DF(_xll.HLV5r3.Analytics.Miscellaneous.LinearInterp(Peturbed_QZ,$K244,1,O$1),ZeroCompFreq,'PDH Calc'!$K244/365)</f>
        <v>1</v>
      </c>
      <c r="P244" s="8">
        <f ca="1">_xll.HLV5r3.Analytics.Miscellaneous.Zero2DF(_xll.HLV5r3.Analytics.Miscellaneous.LinearInterp(Peturbed_QZ,$K244,1,P$1),ZeroCompFreq,'PDH Calc'!$K244/365)</f>
        <v>1</v>
      </c>
      <c r="Q244" s="8">
        <f ca="1">_xll.HLV5r3.Analytics.Miscellaneous.Zero2DF(_xll.HLV5r3.Analytics.Miscellaneous.LinearInterp(Peturbed_QZ,$K244,1,Q$1),ZeroCompFreq,'PDH Calc'!$K244/365)</f>
        <v>1</v>
      </c>
      <c r="R244" s="8">
        <f ca="1">_xll.HLV5r3.Analytics.Miscellaneous.Zero2DF(_xll.HLV5r3.Analytics.Miscellaneous.LinearInterp(Peturbed_QZ,$K244,1,R$1),ZeroCompFreq,'PDH Calc'!$K244/365)</f>
        <v>1</v>
      </c>
      <c r="S244" s="8">
        <f ca="1">_xll.HLV5r3.Analytics.Miscellaneous.Zero2DF(_xll.HLV5r3.Analytics.Miscellaneous.LinearInterp(Peturbed_QZ,$K244,1,S$1),ZeroCompFreq,'PDH Calc'!$K244/365)</f>
        <v>1</v>
      </c>
      <c r="T244" s="8">
        <f ca="1">_xll.HLV5r3.Analytics.Miscellaneous.Zero2DF(_xll.HLV5r3.Analytics.Miscellaneous.LinearInterp(Peturbed_QZ,$K244,1,T$1),ZeroCompFreq,'PDH Calc'!$K244/365)</f>
        <v>1</v>
      </c>
      <c r="U244" s="8">
        <f ca="1">_xll.HLV5r3.Analytics.Miscellaneous.Zero2DF(_xll.HLV5r3.Analytics.Miscellaneous.LinearInterp(Peturbed_QZ,$K244,1,U$1),ZeroCompFreq,'PDH Calc'!$K244/365)</f>
        <v>1</v>
      </c>
      <c r="V244" s="8">
        <f ca="1">_xll.HLV5r3.Analytics.Miscellaneous.Zero2DF(_xll.HLV5r3.Analytics.Miscellaneous.LinearInterp(Peturbed_QZ,$K244,1,V$1),ZeroCompFreq,'PDH Calc'!$K244/365)</f>
        <v>1</v>
      </c>
      <c r="W244" s="8">
        <f ca="1">_xll.HLV5r3.Analytics.Miscellaneous.Zero2DF(_xll.HLV5r3.Analytics.Miscellaneous.LinearInterp(Peturbed_QZ,$K244,1,W$1),ZeroCompFreq,'PDH Calc'!$K244/365)</f>
        <v>1</v>
      </c>
      <c r="X244" s="8">
        <f ca="1">_xll.HLV5r3.Analytics.Miscellaneous.Zero2DF(_xll.HLV5r3.Analytics.Miscellaneous.LinearInterp(Peturbed_QZ,$K244,1,X$1),ZeroCompFreq,'PDH Calc'!$K244/365)</f>
        <v>1</v>
      </c>
      <c r="Y244" s="8">
        <f ca="1">_xll.HLV5r3.Analytics.Miscellaneous.Zero2DF(_xll.HLV5r3.Analytics.Miscellaneous.LinearInterp(Peturbed_QZ,$K244,1,Y$1),ZeroCompFreq,'PDH Calc'!$K244/365)</f>
        <v>1</v>
      </c>
      <c r="Z244" s="8">
        <f ca="1">_xll.HLV5r3.Analytics.Miscellaneous.Zero2DF(_xll.HLV5r3.Analytics.Miscellaneous.LinearInterp(Peturbed_QZ,$K244,1,Z$1),ZeroCompFreq,'PDH Calc'!$K244/365)</f>
        <v>1</v>
      </c>
      <c r="AA244" s="8">
        <f ca="1">_xll.HLV5r3.Analytics.Miscellaneous.Zero2DF(_xll.HLV5r3.Analytics.Miscellaneous.LinearInterp(Peturbed_QZ,$K244,1,AA$1),ZeroCompFreq,'PDH Calc'!$K244/365)</f>
        <v>1</v>
      </c>
      <c r="AB244" s="8">
        <f ca="1">_xll.HLV5r3.Analytics.Miscellaneous.Zero2DF(_xll.HLV5r3.Analytics.Miscellaneous.LinearInterp(Peturbed_QZ,$K244,1,AB$1),ZeroCompFreq,'PDH Calc'!$K244/365)</f>
        <v>1</v>
      </c>
      <c r="AC244" s="8">
        <f ca="1">_xll.HLV5r3.Analytics.Miscellaneous.Zero2DF(_xll.HLV5r3.Analytics.Miscellaneous.LinearInterp(Peturbed_QZ,$K244,1,AC$1),ZeroCompFreq,'PDH Calc'!$K244/365)</f>
        <v>1</v>
      </c>
      <c r="AD244" s="8">
        <f ca="1">_xll.HLV5r3.Analytics.Miscellaneous.Zero2DF(_xll.HLV5r3.Analytics.Miscellaneous.LinearInterp(Peturbed_QZ,$K244,1,AD$1),ZeroCompFreq,'PDH Calc'!$K244/365)</f>
        <v>1</v>
      </c>
      <c r="AE244" s="8">
        <f ca="1">_xll.HLV5r3.Analytics.Miscellaneous.Zero2DF(_xll.HLV5r3.Analytics.Miscellaneous.LinearInterp(Peturbed_QZ,$K244,1,AE$1),ZeroCompFreq,'PDH Calc'!$K244/365)</f>
        <v>1</v>
      </c>
      <c r="AF244" s="8">
        <f ca="1">_xll.HLV5r3.Analytics.Miscellaneous.Zero2DF(_xll.HLV5r3.Analytics.Miscellaneous.LinearInterp(Peturbed_QZ,$K244,1,AF$1),ZeroCompFreq,'PDH Calc'!$K244/365)</f>
        <v>1</v>
      </c>
      <c r="AG244" s="8">
        <f ca="1">_xll.HLV5r3.Analytics.Miscellaneous.Zero2DF(_xll.HLV5r3.Analytics.Miscellaneous.LinearInterp(Peturbed_QZ,$K244,1,AG$1),ZeroCompFreq,'PDH Calc'!$K244/365)</f>
        <v>1</v>
      </c>
      <c r="AH244" s="8">
        <f ca="1">_xll.HLV5r3.Analytics.Miscellaneous.Zero2DF(_xll.HLV5r3.Analytics.Miscellaneous.LinearInterp(Peturbed_QZ,$K244,1,AH$1),ZeroCompFreq,'PDH Calc'!$K244/365)</f>
        <v>1</v>
      </c>
      <c r="AI244" s="8">
        <f ca="1">_xll.HLV5r3.Analytics.Miscellaneous.Zero2DF(_xll.HLV5r3.Analytics.Miscellaneous.LinearInterp(Peturbed_QZ,$K244,1,AI$1),ZeroCompFreq,'PDH Calc'!$K244/365)</f>
        <v>1</v>
      </c>
      <c r="AJ244" s="8">
        <f ca="1">_xll.HLV5r3.Analytics.Miscellaneous.Zero2DF(_xll.HLV5r3.Analytics.Miscellaneous.LinearInterp(Peturbed_QZ,$K244,1,AJ$1),ZeroCompFreq,'PDH Calc'!$K244/365)</f>
        <v>1</v>
      </c>
      <c r="AK244" s="8">
        <f ca="1">_xll.HLV5r3.Analytics.Miscellaneous.Zero2DF(_xll.HLV5r3.Analytics.Miscellaneous.LinearInterp(Peturbed_QZ,$K244,1,AK$1),ZeroCompFreq,'PDH Calc'!$K244/365)</f>
        <v>1</v>
      </c>
    </row>
    <row r="245" spans="1:37">
      <c r="A245" s="4"/>
      <c r="B245" s="6"/>
      <c r="F245" s="11"/>
      <c r="G245" s="6"/>
      <c r="H245" s="20"/>
      <c r="I245" s="21"/>
      <c r="J245" s="26"/>
      <c r="K245" s="6">
        <f t="shared" ca="1" si="10"/>
        <v>0</v>
      </c>
      <c r="L245" s="8">
        <f ca="1">_xll.HLV5r3.Analytics.Miscellaneous.Zero2DF(_xll.HLV5r3.Analytics.Miscellaneous.LinearInterp(Peturbed_QZ,$K245,1,L$1),ZeroCompFreq,'PDH Calc'!$K245/365)</f>
        <v>1</v>
      </c>
      <c r="M245" s="8">
        <f ca="1">_xll.HLV5r3.Analytics.Miscellaneous.Zero2DF(_xll.HLV5r3.Analytics.Miscellaneous.LinearInterp(Peturbed_QZ,$K245,1,M$1),ZeroCompFreq,'PDH Calc'!$K245/365)</f>
        <v>1</v>
      </c>
      <c r="N245" s="8">
        <f ca="1">_xll.HLV5r3.Analytics.Miscellaneous.Zero2DF(_xll.HLV5r3.Analytics.Miscellaneous.LinearInterp(Peturbed_QZ,$K245,1,N$1),ZeroCompFreq,'PDH Calc'!$K245/365)</f>
        <v>1</v>
      </c>
      <c r="O245" s="8">
        <f ca="1">_xll.HLV5r3.Analytics.Miscellaneous.Zero2DF(_xll.HLV5r3.Analytics.Miscellaneous.LinearInterp(Peturbed_QZ,$K245,1,O$1),ZeroCompFreq,'PDH Calc'!$K245/365)</f>
        <v>1</v>
      </c>
      <c r="P245" s="8">
        <f ca="1">_xll.HLV5r3.Analytics.Miscellaneous.Zero2DF(_xll.HLV5r3.Analytics.Miscellaneous.LinearInterp(Peturbed_QZ,$K245,1,P$1),ZeroCompFreq,'PDH Calc'!$K245/365)</f>
        <v>1</v>
      </c>
      <c r="Q245" s="8">
        <f ca="1">_xll.HLV5r3.Analytics.Miscellaneous.Zero2DF(_xll.HLV5r3.Analytics.Miscellaneous.LinearInterp(Peturbed_QZ,$K245,1,Q$1),ZeroCompFreq,'PDH Calc'!$K245/365)</f>
        <v>1</v>
      </c>
      <c r="R245" s="8">
        <f ca="1">_xll.HLV5r3.Analytics.Miscellaneous.Zero2DF(_xll.HLV5r3.Analytics.Miscellaneous.LinearInterp(Peturbed_QZ,$K245,1,R$1),ZeroCompFreq,'PDH Calc'!$K245/365)</f>
        <v>1</v>
      </c>
      <c r="S245" s="8">
        <f ca="1">_xll.HLV5r3.Analytics.Miscellaneous.Zero2DF(_xll.HLV5r3.Analytics.Miscellaneous.LinearInterp(Peturbed_QZ,$K245,1,S$1),ZeroCompFreq,'PDH Calc'!$K245/365)</f>
        <v>1</v>
      </c>
      <c r="T245" s="8">
        <f ca="1">_xll.HLV5r3.Analytics.Miscellaneous.Zero2DF(_xll.HLV5r3.Analytics.Miscellaneous.LinearInterp(Peturbed_QZ,$K245,1,T$1),ZeroCompFreq,'PDH Calc'!$K245/365)</f>
        <v>1</v>
      </c>
      <c r="U245" s="8">
        <f ca="1">_xll.HLV5r3.Analytics.Miscellaneous.Zero2DF(_xll.HLV5r3.Analytics.Miscellaneous.LinearInterp(Peturbed_QZ,$K245,1,U$1),ZeroCompFreq,'PDH Calc'!$K245/365)</f>
        <v>1</v>
      </c>
      <c r="V245" s="8">
        <f ca="1">_xll.HLV5r3.Analytics.Miscellaneous.Zero2DF(_xll.HLV5r3.Analytics.Miscellaneous.LinearInterp(Peturbed_QZ,$K245,1,V$1),ZeroCompFreq,'PDH Calc'!$K245/365)</f>
        <v>1</v>
      </c>
      <c r="W245" s="8">
        <f ca="1">_xll.HLV5r3.Analytics.Miscellaneous.Zero2DF(_xll.HLV5r3.Analytics.Miscellaneous.LinearInterp(Peturbed_QZ,$K245,1,W$1),ZeroCompFreq,'PDH Calc'!$K245/365)</f>
        <v>1</v>
      </c>
      <c r="X245" s="8">
        <f ca="1">_xll.HLV5r3.Analytics.Miscellaneous.Zero2DF(_xll.HLV5r3.Analytics.Miscellaneous.LinearInterp(Peturbed_QZ,$K245,1,X$1),ZeroCompFreq,'PDH Calc'!$K245/365)</f>
        <v>1</v>
      </c>
      <c r="Y245" s="8">
        <f ca="1">_xll.HLV5r3.Analytics.Miscellaneous.Zero2DF(_xll.HLV5r3.Analytics.Miscellaneous.LinearInterp(Peturbed_QZ,$K245,1,Y$1),ZeroCompFreq,'PDH Calc'!$K245/365)</f>
        <v>1</v>
      </c>
      <c r="Z245" s="8">
        <f ca="1">_xll.HLV5r3.Analytics.Miscellaneous.Zero2DF(_xll.HLV5r3.Analytics.Miscellaneous.LinearInterp(Peturbed_QZ,$K245,1,Z$1),ZeroCompFreq,'PDH Calc'!$K245/365)</f>
        <v>1</v>
      </c>
      <c r="AA245" s="8">
        <f ca="1">_xll.HLV5r3.Analytics.Miscellaneous.Zero2DF(_xll.HLV5r3.Analytics.Miscellaneous.LinearInterp(Peturbed_QZ,$K245,1,AA$1),ZeroCompFreq,'PDH Calc'!$K245/365)</f>
        <v>1</v>
      </c>
      <c r="AB245" s="8">
        <f ca="1">_xll.HLV5r3.Analytics.Miscellaneous.Zero2DF(_xll.HLV5r3.Analytics.Miscellaneous.LinearInterp(Peturbed_QZ,$K245,1,AB$1),ZeroCompFreq,'PDH Calc'!$K245/365)</f>
        <v>1</v>
      </c>
      <c r="AC245" s="8">
        <f ca="1">_xll.HLV5r3.Analytics.Miscellaneous.Zero2DF(_xll.HLV5r3.Analytics.Miscellaneous.LinearInterp(Peturbed_QZ,$K245,1,AC$1),ZeroCompFreq,'PDH Calc'!$K245/365)</f>
        <v>1</v>
      </c>
      <c r="AD245" s="8">
        <f ca="1">_xll.HLV5r3.Analytics.Miscellaneous.Zero2DF(_xll.HLV5r3.Analytics.Miscellaneous.LinearInterp(Peturbed_QZ,$K245,1,AD$1),ZeroCompFreq,'PDH Calc'!$K245/365)</f>
        <v>1</v>
      </c>
      <c r="AE245" s="8">
        <f ca="1">_xll.HLV5r3.Analytics.Miscellaneous.Zero2DF(_xll.HLV5r3.Analytics.Miscellaneous.LinearInterp(Peturbed_QZ,$K245,1,AE$1),ZeroCompFreq,'PDH Calc'!$K245/365)</f>
        <v>1</v>
      </c>
      <c r="AF245" s="8">
        <f ca="1">_xll.HLV5r3.Analytics.Miscellaneous.Zero2DF(_xll.HLV5r3.Analytics.Miscellaneous.LinearInterp(Peturbed_QZ,$K245,1,AF$1),ZeroCompFreq,'PDH Calc'!$K245/365)</f>
        <v>1</v>
      </c>
      <c r="AG245" s="8">
        <f ca="1">_xll.HLV5r3.Analytics.Miscellaneous.Zero2DF(_xll.HLV5r3.Analytics.Miscellaneous.LinearInterp(Peturbed_QZ,$K245,1,AG$1),ZeroCompFreq,'PDH Calc'!$K245/365)</f>
        <v>1</v>
      </c>
      <c r="AH245" s="8">
        <f ca="1">_xll.HLV5r3.Analytics.Miscellaneous.Zero2DF(_xll.HLV5r3.Analytics.Miscellaneous.LinearInterp(Peturbed_QZ,$K245,1,AH$1),ZeroCompFreq,'PDH Calc'!$K245/365)</f>
        <v>1</v>
      </c>
      <c r="AI245" s="8">
        <f ca="1">_xll.HLV5r3.Analytics.Miscellaneous.Zero2DF(_xll.HLV5r3.Analytics.Miscellaneous.LinearInterp(Peturbed_QZ,$K245,1,AI$1),ZeroCompFreq,'PDH Calc'!$K245/365)</f>
        <v>1</v>
      </c>
      <c r="AJ245" s="8">
        <f ca="1">_xll.HLV5r3.Analytics.Miscellaneous.Zero2DF(_xll.HLV5r3.Analytics.Miscellaneous.LinearInterp(Peturbed_QZ,$K245,1,AJ$1),ZeroCompFreq,'PDH Calc'!$K245/365)</f>
        <v>1</v>
      </c>
      <c r="AK245" s="8">
        <f ca="1">_xll.HLV5r3.Analytics.Miscellaneous.Zero2DF(_xll.HLV5r3.Analytics.Miscellaneous.LinearInterp(Peturbed_QZ,$K245,1,AK$1),ZeroCompFreq,'PDH Calc'!$K245/365)</f>
        <v>1</v>
      </c>
    </row>
    <row r="246" spans="1:37">
      <c r="A246" s="4"/>
      <c r="B246" s="6"/>
      <c r="F246" s="11"/>
      <c r="G246" s="6"/>
      <c r="H246" s="20"/>
      <c r="I246" s="21"/>
      <c r="J246" s="26"/>
      <c r="K246" s="6">
        <f t="shared" ca="1" si="10"/>
        <v>0</v>
      </c>
      <c r="L246" s="8">
        <f ca="1">_xll.HLV5r3.Analytics.Miscellaneous.Zero2DF(_xll.HLV5r3.Analytics.Miscellaneous.LinearInterp(Peturbed_QZ,$K246,1,L$1),ZeroCompFreq,'PDH Calc'!$K246/365)</f>
        <v>1</v>
      </c>
      <c r="M246" s="8">
        <f ca="1">_xll.HLV5r3.Analytics.Miscellaneous.Zero2DF(_xll.HLV5r3.Analytics.Miscellaneous.LinearInterp(Peturbed_QZ,$K246,1,M$1),ZeroCompFreq,'PDH Calc'!$K246/365)</f>
        <v>1</v>
      </c>
      <c r="N246" s="8">
        <f ca="1">_xll.HLV5r3.Analytics.Miscellaneous.Zero2DF(_xll.HLV5r3.Analytics.Miscellaneous.LinearInterp(Peturbed_QZ,$K246,1,N$1),ZeroCompFreq,'PDH Calc'!$K246/365)</f>
        <v>1</v>
      </c>
      <c r="O246" s="8">
        <f ca="1">_xll.HLV5r3.Analytics.Miscellaneous.Zero2DF(_xll.HLV5r3.Analytics.Miscellaneous.LinearInterp(Peturbed_QZ,$K246,1,O$1),ZeroCompFreq,'PDH Calc'!$K246/365)</f>
        <v>1</v>
      </c>
      <c r="P246" s="8">
        <f ca="1">_xll.HLV5r3.Analytics.Miscellaneous.Zero2DF(_xll.HLV5r3.Analytics.Miscellaneous.LinearInterp(Peturbed_QZ,$K246,1,P$1),ZeroCompFreq,'PDH Calc'!$K246/365)</f>
        <v>1</v>
      </c>
      <c r="Q246" s="8">
        <f ca="1">_xll.HLV5r3.Analytics.Miscellaneous.Zero2DF(_xll.HLV5r3.Analytics.Miscellaneous.LinearInterp(Peturbed_QZ,$K246,1,Q$1),ZeroCompFreq,'PDH Calc'!$K246/365)</f>
        <v>1</v>
      </c>
      <c r="R246" s="8">
        <f ca="1">_xll.HLV5r3.Analytics.Miscellaneous.Zero2DF(_xll.HLV5r3.Analytics.Miscellaneous.LinearInterp(Peturbed_QZ,$K246,1,R$1),ZeroCompFreq,'PDH Calc'!$K246/365)</f>
        <v>1</v>
      </c>
      <c r="S246" s="8">
        <f ca="1">_xll.HLV5r3.Analytics.Miscellaneous.Zero2DF(_xll.HLV5r3.Analytics.Miscellaneous.LinearInterp(Peturbed_QZ,$K246,1,S$1),ZeroCompFreq,'PDH Calc'!$K246/365)</f>
        <v>1</v>
      </c>
      <c r="T246" s="8">
        <f ca="1">_xll.HLV5r3.Analytics.Miscellaneous.Zero2DF(_xll.HLV5r3.Analytics.Miscellaneous.LinearInterp(Peturbed_QZ,$K246,1,T$1),ZeroCompFreq,'PDH Calc'!$K246/365)</f>
        <v>1</v>
      </c>
      <c r="U246" s="8">
        <f ca="1">_xll.HLV5r3.Analytics.Miscellaneous.Zero2DF(_xll.HLV5r3.Analytics.Miscellaneous.LinearInterp(Peturbed_QZ,$K246,1,U$1),ZeroCompFreq,'PDH Calc'!$K246/365)</f>
        <v>1</v>
      </c>
      <c r="V246" s="8">
        <f ca="1">_xll.HLV5r3.Analytics.Miscellaneous.Zero2DF(_xll.HLV5r3.Analytics.Miscellaneous.LinearInterp(Peturbed_QZ,$K246,1,V$1),ZeroCompFreq,'PDH Calc'!$K246/365)</f>
        <v>1</v>
      </c>
      <c r="W246" s="8">
        <f ca="1">_xll.HLV5r3.Analytics.Miscellaneous.Zero2DF(_xll.HLV5r3.Analytics.Miscellaneous.LinearInterp(Peturbed_QZ,$K246,1,W$1),ZeroCompFreq,'PDH Calc'!$K246/365)</f>
        <v>1</v>
      </c>
      <c r="X246" s="8">
        <f ca="1">_xll.HLV5r3.Analytics.Miscellaneous.Zero2DF(_xll.HLV5r3.Analytics.Miscellaneous.LinearInterp(Peturbed_QZ,$K246,1,X$1),ZeroCompFreq,'PDH Calc'!$K246/365)</f>
        <v>1</v>
      </c>
      <c r="Y246" s="8">
        <f ca="1">_xll.HLV5r3.Analytics.Miscellaneous.Zero2DF(_xll.HLV5r3.Analytics.Miscellaneous.LinearInterp(Peturbed_QZ,$K246,1,Y$1),ZeroCompFreq,'PDH Calc'!$K246/365)</f>
        <v>1</v>
      </c>
      <c r="Z246" s="8">
        <f ca="1">_xll.HLV5r3.Analytics.Miscellaneous.Zero2DF(_xll.HLV5r3.Analytics.Miscellaneous.LinearInterp(Peturbed_QZ,$K246,1,Z$1),ZeroCompFreq,'PDH Calc'!$K246/365)</f>
        <v>1</v>
      </c>
      <c r="AA246" s="8">
        <f ca="1">_xll.HLV5r3.Analytics.Miscellaneous.Zero2DF(_xll.HLV5r3.Analytics.Miscellaneous.LinearInterp(Peturbed_QZ,$K246,1,AA$1),ZeroCompFreq,'PDH Calc'!$K246/365)</f>
        <v>1</v>
      </c>
      <c r="AB246" s="8">
        <f ca="1">_xll.HLV5r3.Analytics.Miscellaneous.Zero2DF(_xll.HLV5r3.Analytics.Miscellaneous.LinearInterp(Peturbed_QZ,$K246,1,AB$1),ZeroCompFreq,'PDH Calc'!$K246/365)</f>
        <v>1</v>
      </c>
      <c r="AC246" s="8">
        <f ca="1">_xll.HLV5r3.Analytics.Miscellaneous.Zero2DF(_xll.HLV5r3.Analytics.Miscellaneous.LinearInterp(Peturbed_QZ,$K246,1,AC$1),ZeroCompFreq,'PDH Calc'!$K246/365)</f>
        <v>1</v>
      </c>
      <c r="AD246" s="8">
        <f ca="1">_xll.HLV5r3.Analytics.Miscellaneous.Zero2DF(_xll.HLV5r3.Analytics.Miscellaneous.LinearInterp(Peturbed_QZ,$K246,1,AD$1),ZeroCompFreq,'PDH Calc'!$K246/365)</f>
        <v>1</v>
      </c>
      <c r="AE246" s="8">
        <f ca="1">_xll.HLV5r3.Analytics.Miscellaneous.Zero2DF(_xll.HLV5r3.Analytics.Miscellaneous.LinearInterp(Peturbed_QZ,$K246,1,AE$1),ZeroCompFreq,'PDH Calc'!$K246/365)</f>
        <v>1</v>
      </c>
      <c r="AF246" s="8">
        <f ca="1">_xll.HLV5r3.Analytics.Miscellaneous.Zero2DF(_xll.HLV5r3.Analytics.Miscellaneous.LinearInterp(Peturbed_QZ,$K246,1,AF$1),ZeroCompFreq,'PDH Calc'!$K246/365)</f>
        <v>1</v>
      </c>
      <c r="AG246" s="8">
        <f ca="1">_xll.HLV5r3.Analytics.Miscellaneous.Zero2DF(_xll.HLV5r3.Analytics.Miscellaneous.LinearInterp(Peturbed_QZ,$K246,1,AG$1),ZeroCompFreq,'PDH Calc'!$K246/365)</f>
        <v>1</v>
      </c>
      <c r="AH246" s="8">
        <f ca="1">_xll.HLV5r3.Analytics.Miscellaneous.Zero2DF(_xll.HLV5r3.Analytics.Miscellaneous.LinearInterp(Peturbed_QZ,$K246,1,AH$1),ZeroCompFreq,'PDH Calc'!$K246/365)</f>
        <v>1</v>
      </c>
      <c r="AI246" s="8">
        <f ca="1">_xll.HLV5r3.Analytics.Miscellaneous.Zero2DF(_xll.HLV5r3.Analytics.Miscellaneous.LinearInterp(Peturbed_QZ,$K246,1,AI$1),ZeroCompFreq,'PDH Calc'!$K246/365)</f>
        <v>1</v>
      </c>
      <c r="AJ246" s="8">
        <f ca="1">_xll.HLV5r3.Analytics.Miscellaneous.Zero2DF(_xll.HLV5r3.Analytics.Miscellaneous.LinearInterp(Peturbed_QZ,$K246,1,AJ$1),ZeroCompFreq,'PDH Calc'!$K246/365)</f>
        <v>1</v>
      </c>
      <c r="AK246" s="8">
        <f ca="1">_xll.HLV5r3.Analytics.Miscellaneous.Zero2DF(_xll.HLV5r3.Analytics.Miscellaneous.LinearInterp(Peturbed_QZ,$K246,1,AK$1),ZeroCompFreq,'PDH Calc'!$K246/365)</f>
        <v>1</v>
      </c>
    </row>
    <row r="247" spans="1:37">
      <c r="A247" s="4"/>
      <c r="B247" s="6"/>
      <c r="F247" s="11"/>
      <c r="G247" s="6"/>
      <c r="H247" s="20"/>
      <c r="I247" s="21"/>
      <c r="J247" s="26"/>
      <c r="K247" s="6">
        <f t="shared" ca="1" si="10"/>
        <v>0</v>
      </c>
      <c r="L247" s="8">
        <f ca="1">_xll.HLV5r3.Analytics.Miscellaneous.Zero2DF(_xll.HLV5r3.Analytics.Miscellaneous.LinearInterp(Peturbed_QZ,$K247,1,L$1),ZeroCompFreq,'PDH Calc'!$K247/365)</f>
        <v>1</v>
      </c>
      <c r="M247" s="8">
        <f ca="1">_xll.HLV5r3.Analytics.Miscellaneous.Zero2DF(_xll.HLV5r3.Analytics.Miscellaneous.LinearInterp(Peturbed_QZ,$K247,1,M$1),ZeroCompFreq,'PDH Calc'!$K247/365)</f>
        <v>1</v>
      </c>
      <c r="N247" s="8">
        <f ca="1">_xll.HLV5r3.Analytics.Miscellaneous.Zero2DF(_xll.HLV5r3.Analytics.Miscellaneous.LinearInterp(Peturbed_QZ,$K247,1,N$1),ZeroCompFreq,'PDH Calc'!$K247/365)</f>
        <v>1</v>
      </c>
      <c r="O247" s="8">
        <f ca="1">_xll.HLV5r3.Analytics.Miscellaneous.Zero2DF(_xll.HLV5r3.Analytics.Miscellaneous.LinearInterp(Peturbed_QZ,$K247,1,O$1),ZeroCompFreq,'PDH Calc'!$K247/365)</f>
        <v>1</v>
      </c>
      <c r="P247" s="8">
        <f ca="1">_xll.HLV5r3.Analytics.Miscellaneous.Zero2DF(_xll.HLV5r3.Analytics.Miscellaneous.LinearInterp(Peturbed_QZ,$K247,1,P$1),ZeroCompFreq,'PDH Calc'!$K247/365)</f>
        <v>1</v>
      </c>
      <c r="Q247" s="8">
        <f ca="1">_xll.HLV5r3.Analytics.Miscellaneous.Zero2DF(_xll.HLV5r3.Analytics.Miscellaneous.LinearInterp(Peturbed_QZ,$K247,1,Q$1),ZeroCompFreq,'PDH Calc'!$K247/365)</f>
        <v>1</v>
      </c>
      <c r="R247" s="8">
        <f ca="1">_xll.HLV5r3.Analytics.Miscellaneous.Zero2DF(_xll.HLV5r3.Analytics.Miscellaneous.LinearInterp(Peturbed_QZ,$K247,1,R$1),ZeroCompFreq,'PDH Calc'!$K247/365)</f>
        <v>1</v>
      </c>
      <c r="S247" s="8">
        <f ca="1">_xll.HLV5r3.Analytics.Miscellaneous.Zero2DF(_xll.HLV5r3.Analytics.Miscellaneous.LinearInterp(Peturbed_QZ,$K247,1,S$1),ZeroCompFreq,'PDH Calc'!$K247/365)</f>
        <v>1</v>
      </c>
      <c r="T247" s="8">
        <f ca="1">_xll.HLV5r3.Analytics.Miscellaneous.Zero2DF(_xll.HLV5r3.Analytics.Miscellaneous.LinearInterp(Peturbed_QZ,$K247,1,T$1),ZeroCompFreq,'PDH Calc'!$K247/365)</f>
        <v>1</v>
      </c>
      <c r="U247" s="8">
        <f ca="1">_xll.HLV5r3.Analytics.Miscellaneous.Zero2DF(_xll.HLV5r3.Analytics.Miscellaneous.LinearInterp(Peturbed_QZ,$K247,1,U$1),ZeroCompFreq,'PDH Calc'!$K247/365)</f>
        <v>1</v>
      </c>
      <c r="V247" s="8">
        <f ca="1">_xll.HLV5r3.Analytics.Miscellaneous.Zero2DF(_xll.HLV5r3.Analytics.Miscellaneous.LinearInterp(Peturbed_QZ,$K247,1,V$1),ZeroCompFreq,'PDH Calc'!$K247/365)</f>
        <v>1</v>
      </c>
      <c r="W247" s="8">
        <f ca="1">_xll.HLV5r3.Analytics.Miscellaneous.Zero2DF(_xll.HLV5r3.Analytics.Miscellaneous.LinearInterp(Peturbed_QZ,$K247,1,W$1),ZeroCompFreq,'PDH Calc'!$K247/365)</f>
        <v>1</v>
      </c>
      <c r="X247" s="8">
        <f ca="1">_xll.HLV5r3.Analytics.Miscellaneous.Zero2DF(_xll.HLV5r3.Analytics.Miscellaneous.LinearInterp(Peturbed_QZ,$K247,1,X$1),ZeroCompFreq,'PDH Calc'!$K247/365)</f>
        <v>1</v>
      </c>
      <c r="Y247" s="8">
        <f ca="1">_xll.HLV5r3.Analytics.Miscellaneous.Zero2DF(_xll.HLV5r3.Analytics.Miscellaneous.LinearInterp(Peturbed_QZ,$K247,1,Y$1),ZeroCompFreq,'PDH Calc'!$K247/365)</f>
        <v>1</v>
      </c>
      <c r="Z247" s="8">
        <f ca="1">_xll.HLV5r3.Analytics.Miscellaneous.Zero2DF(_xll.HLV5r3.Analytics.Miscellaneous.LinearInterp(Peturbed_QZ,$K247,1,Z$1),ZeroCompFreq,'PDH Calc'!$K247/365)</f>
        <v>1</v>
      </c>
      <c r="AA247" s="8">
        <f ca="1">_xll.HLV5r3.Analytics.Miscellaneous.Zero2DF(_xll.HLV5r3.Analytics.Miscellaneous.LinearInterp(Peturbed_QZ,$K247,1,AA$1),ZeroCompFreq,'PDH Calc'!$K247/365)</f>
        <v>1</v>
      </c>
      <c r="AB247" s="8">
        <f ca="1">_xll.HLV5r3.Analytics.Miscellaneous.Zero2DF(_xll.HLV5r3.Analytics.Miscellaneous.LinearInterp(Peturbed_QZ,$K247,1,AB$1),ZeroCompFreq,'PDH Calc'!$K247/365)</f>
        <v>1</v>
      </c>
      <c r="AC247" s="8">
        <f ca="1">_xll.HLV5r3.Analytics.Miscellaneous.Zero2DF(_xll.HLV5r3.Analytics.Miscellaneous.LinearInterp(Peturbed_QZ,$K247,1,AC$1),ZeroCompFreq,'PDH Calc'!$K247/365)</f>
        <v>1</v>
      </c>
      <c r="AD247" s="8">
        <f ca="1">_xll.HLV5r3.Analytics.Miscellaneous.Zero2DF(_xll.HLV5r3.Analytics.Miscellaneous.LinearInterp(Peturbed_QZ,$K247,1,AD$1),ZeroCompFreq,'PDH Calc'!$K247/365)</f>
        <v>1</v>
      </c>
      <c r="AE247" s="8">
        <f ca="1">_xll.HLV5r3.Analytics.Miscellaneous.Zero2DF(_xll.HLV5r3.Analytics.Miscellaneous.LinearInterp(Peturbed_QZ,$K247,1,AE$1),ZeroCompFreq,'PDH Calc'!$K247/365)</f>
        <v>1</v>
      </c>
      <c r="AF247" s="8">
        <f ca="1">_xll.HLV5r3.Analytics.Miscellaneous.Zero2DF(_xll.HLV5r3.Analytics.Miscellaneous.LinearInterp(Peturbed_QZ,$K247,1,AF$1),ZeroCompFreq,'PDH Calc'!$K247/365)</f>
        <v>1</v>
      </c>
      <c r="AG247" s="8">
        <f ca="1">_xll.HLV5r3.Analytics.Miscellaneous.Zero2DF(_xll.HLV5r3.Analytics.Miscellaneous.LinearInterp(Peturbed_QZ,$K247,1,AG$1),ZeroCompFreq,'PDH Calc'!$K247/365)</f>
        <v>1</v>
      </c>
      <c r="AH247" s="8">
        <f ca="1">_xll.HLV5r3.Analytics.Miscellaneous.Zero2DF(_xll.HLV5r3.Analytics.Miscellaneous.LinearInterp(Peturbed_QZ,$K247,1,AH$1),ZeroCompFreq,'PDH Calc'!$K247/365)</f>
        <v>1</v>
      </c>
      <c r="AI247" s="8">
        <f ca="1">_xll.HLV5r3.Analytics.Miscellaneous.Zero2DF(_xll.HLV5r3.Analytics.Miscellaneous.LinearInterp(Peturbed_QZ,$K247,1,AI$1),ZeroCompFreq,'PDH Calc'!$K247/365)</f>
        <v>1</v>
      </c>
      <c r="AJ247" s="8">
        <f ca="1">_xll.HLV5r3.Analytics.Miscellaneous.Zero2DF(_xll.HLV5r3.Analytics.Miscellaneous.LinearInterp(Peturbed_QZ,$K247,1,AJ$1),ZeroCompFreq,'PDH Calc'!$K247/365)</f>
        <v>1</v>
      </c>
      <c r="AK247" s="8">
        <f ca="1">_xll.HLV5r3.Analytics.Miscellaneous.Zero2DF(_xll.HLV5r3.Analytics.Miscellaneous.LinearInterp(Peturbed_QZ,$K247,1,AK$1),ZeroCompFreq,'PDH Calc'!$K247/365)</f>
        <v>1</v>
      </c>
    </row>
    <row r="248" spans="1:37">
      <c r="A248" s="4"/>
      <c r="B248" s="6"/>
      <c r="F248" s="11"/>
      <c r="G248" s="6"/>
      <c r="H248" s="20"/>
      <c r="I248" s="21"/>
      <c r="J248" s="26"/>
      <c r="K248" s="6">
        <f t="shared" ca="1" si="10"/>
        <v>0</v>
      </c>
      <c r="L248" s="8">
        <f ca="1">_xll.HLV5r3.Analytics.Miscellaneous.Zero2DF(_xll.HLV5r3.Analytics.Miscellaneous.LinearInterp(Peturbed_QZ,$K248,1,L$1),ZeroCompFreq,'PDH Calc'!$K248/365)</f>
        <v>1</v>
      </c>
      <c r="M248" s="8">
        <f ca="1">_xll.HLV5r3.Analytics.Miscellaneous.Zero2DF(_xll.HLV5r3.Analytics.Miscellaneous.LinearInterp(Peturbed_QZ,$K248,1,M$1),ZeroCompFreq,'PDH Calc'!$K248/365)</f>
        <v>1</v>
      </c>
      <c r="N248" s="8">
        <f ca="1">_xll.HLV5r3.Analytics.Miscellaneous.Zero2DF(_xll.HLV5r3.Analytics.Miscellaneous.LinearInterp(Peturbed_QZ,$K248,1,N$1),ZeroCompFreq,'PDH Calc'!$K248/365)</f>
        <v>1</v>
      </c>
      <c r="O248" s="8">
        <f ca="1">_xll.HLV5r3.Analytics.Miscellaneous.Zero2DF(_xll.HLV5r3.Analytics.Miscellaneous.LinearInterp(Peturbed_QZ,$K248,1,O$1),ZeroCompFreq,'PDH Calc'!$K248/365)</f>
        <v>1</v>
      </c>
      <c r="P248" s="8">
        <f ca="1">_xll.HLV5r3.Analytics.Miscellaneous.Zero2DF(_xll.HLV5r3.Analytics.Miscellaneous.LinearInterp(Peturbed_QZ,$K248,1,P$1),ZeroCompFreq,'PDH Calc'!$K248/365)</f>
        <v>1</v>
      </c>
      <c r="Q248" s="8">
        <f ca="1">_xll.HLV5r3.Analytics.Miscellaneous.Zero2DF(_xll.HLV5r3.Analytics.Miscellaneous.LinearInterp(Peturbed_QZ,$K248,1,Q$1),ZeroCompFreq,'PDH Calc'!$K248/365)</f>
        <v>1</v>
      </c>
      <c r="R248" s="8">
        <f ca="1">_xll.HLV5r3.Analytics.Miscellaneous.Zero2DF(_xll.HLV5r3.Analytics.Miscellaneous.LinearInterp(Peturbed_QZ,$K248,1,R$1),ZeroCompFreq,'PDH Calc'!$K248/365)</f>
        <v>1</v>
      </c>
      <c r="S248" s="8">
        <f ca="1">_xll.HLV5r3.Analytics.Miscellaneous.Zero2DF(_xll.HLV5r3.Analytics.Miscellaneous.LinearInterp(Peturbed_QZ,$K248,1,S$1),ZeroCompFreq,'PDH Calc'!$K248/365)</f>
        <v>1</v>
      </c>
      <c r="T248" s="8">
        <f ca="1">_xll.HLV5r3.Analytics.Miscellaneous.Zero2DF(_xll.HLV5r3.Analytics.Miscellaneous.LinearInterp(Peturbed_QZ,$K248,1,T$1),ZeroCompFreq,'PDH Calc'!$K248/365)</f>
        <v>1</v>
      </c>
      <c r="U248" s="8">
        <f ca="1">_xll.HLV5r3.Analytics.Miscellaneous.Zero2DF(_xll.HLV5r3.Analytics.Miscellaneous.LinearInterp(Peturbed_QZ,$K248,1,U$1),ZeroCompFreq,'PDH Calc'!$K248/365)</f>
        <v>1</v>
      </c>
      <c r="V248" s="8">
        <f ca="1">_xll.HLV5r3.Analytics.Miscellaneous.Zero2DF(_xll.HLV5r3.Analytics.Miscellaneous.LinearInterp(Peturbed_QZ,$K248,1,V$1),ZeroCompFreq,'PDH Calc'!$K248/365)</f>
        <v>1</v>
      </c>
      <c r="W248" s="8">
        <f ca="1">_xll.HLV5r3.Analytics.Miscellaneous.Zero2DF(_xll.HLV5r3.Analytics.Miscellaneous.LinearInterp(Peturbed_QZ,$K248,1,W$1),ZeroCompFreq,'PDH Calc'!$K248/365)</f>
        <v>1</v>
      </c>
      <c r="X248" s="8">
        <f ca="1">_xll.HLV5r3.Analytics.Miscellaneous.Zero2DF(_xll.HLV5r3.Analytics.Miscellaneous.LinearInterp(Peturbed_QZ,$K248,1,X$1),ZeroCompFreq,'PDH Calc'!$K248/365)</f>
        <v>1</v>
      </c>
      <c r="Y248" s="8">
        <f ca="1">_xll.HLV5r3.Analytics.Miscellaneous.Zero2DF(_xll.HLV5r3.Analytics.Miscellaneous.LinearInterp(Peturbed_QZ,$K248,1,Y$1),ZeroCompFreq,'PDH Calc'!$K248/365)</f>
        <v>1</v>
      </c>
      <c r="Z248" s="8">
        <f ca="1">_xll.HLV5r3.Analytics.Miscellaneous.Zero2DF(_xll.HLV5r3.Analytics.Miscellaneous.LinearInterp(Peturbed_QZ,$K248,1,Z$1),ZeroCompFreq,'PDH Calc'!$K248/365)</f>
        <v>1</v>
      </c>
      <c r="AA248" s="8">
        <f ca="1">_xll.HLV5r3.Analytics.Miscellaneous.Zero2DF(_xll.HLV5r3.Analytics.Miscellaneous.LinearInterp(Peturbed_QZ,$K248,1,AA$1),ZeroCompFreq,'PDH Calc'!$K248/365)</f>
        <v>1</v>
      </c>
      <c r="AB248" s="8">
        <f ca="1">_xll.HLV5r3.Analytics.Miscellaneous.Zero2DF(_xll.HLV5r3.Analytics.Miscellaneous.LinearInterp(Peturbed_QZ,$K248,1,AB$1),ZeroCompFreq,'PDH Calc'!$K248/365)</f>
        <v>1</v>
      </c>
      <c r="AC248" s="8">
        <f ca="1">_xll.HLV5r3.Analytics.Miscellaneous.Zero2DF(_xll.HLV5r3.Analytics.Miscellaneous.LinearInterp(Peturbed_QZ,$K248,1,AC$1),ZeroCompFreq,'PDH Calc'!$K248/365)</f>
        <v>1</v>
      </c>
      <c r="AD248" s="8">
        <f ca="1">_xll.HLV5r3.Analytics.Miscellaneous.Zero2DF(_xll.HLV5r3.Analytics.Miscellaneous.LinearInterp(Peturbed_QZ,$K248,1,AD$1),ZeroCompFreq,'PDH Calc'!$K248/365)</f>
        <v>1</v>
      </c>
      <c r="AE248" s="8">
        <f ca="1">_xll.HLV5r3.Analytics.Miscellaneous.Zero2DF(_xll.HLV5r3.Analytics.Miscellaneous.LinearInterp(Peturbed_QZ,$K248,1,AE$1),ZeroCompFreq,'PDH Calc'!$K248/365)</f>
        <v>1</v>
      </c>
      <c r="AF248" s="8">
        <f ca="1">_xll.HLV5r3.Analytics.Miscellaneous.Zero2DF(_xll.HLV5r3.Analytics.Miscellaneous.LinearInterp(Peturbed_QZ,$K248,1,AF$1),ZeroCompFreq,'PDH Calc'!$K248/365)</f>
        <v>1</v>
      </c>
      <c r="AG248" s="8">
        <f ca="1">_xll.HLV5r3.Analytics.Miscellaneous.Zero2DF(_xll.HLV5r3.Analytics.Miscellaneous.LinearInterp(Peturbed_QZ,$K248,1,AG$1),ZeroCompFreq,'PDH Calc'!$K248/365)</f>
        <v>1</v>
      </c>
      <c r="AH248" s="8">
        <f ca="1">_xll.HLV5r3.Analytics.Miscellaneous.Zero2DF(_xll.HLV5r3.Analytics.Miscellaneous.LinearInterp(Peturbed_QZ,$K248,1,AH$1),ZeroCompFreq,'PDH Calc'!$K248/365)</f>
        <v>1</v>
      </c>
      <c r="AI248" s="8">
        <f ca="1">_xll.HLV5r3.Analytics.Miscellaneous.Zero2DF(_xll.HLV5r3.Analytics.Miscellaneous.LinearInterp(Peturbed_QZ,$K248,1,AI$1),ZeroCompFreq,'PDH Calc'!$K248/365)</f>
        <v>1</v>
      </c>
      <c r="AJ248" s="8">
        <f ca="1">_xll.HLV5r3.Analytics.Miscellaneous.Zero2DF(_xll.HLV5r3.Analytics.Miscellaneous.LinearInterp(Peturbed_QZ,$K248,1,AJ$1),ZeroCompFreq,'PDH Calc'!$K248/365)</f>
        <v>1</v>
      </c>
      <c r="AK248" s="8">
        <f ca="1">_xll.HLV5r3.Analytics.Miscellaneous.Zero2DF(_xll.HLV5r3.Analytics.Miscellaneous.LinearInterp(Peturbed_QZ,$K248,1,AK$1),ZeroCompFreq,'PDH Calc'!$K248/365)</f>
        <v>1</v>
      </c>
    </row>
    <row r="249" spans="1:37">
      <c r="A249" s="4"/>
      <c r="B249" s="6"/>
      <c r="F249" s="11"/>
      <c r="G249" s="6"/>
      <c r="H249" s="20"/>
      <c r="I249" s="21"/>
      <c r="J249" s="26"/>
      <c r="K249" s="6">
        <f t="shared" ca="1" si="10"/>
        <v>0</v>
      </c>
      <c r="L249" s="8">
        <f ca="1">_xll.HLV5r3.Analytics.Miscellaneous.Zero2DF(_xll.HLV5r3.Analytics.Miscellaneous.LinearInterp(Peturbed_QZ,$K249,1,L$1),ZeroCompFreq,'PDH Calc'!$K249/365)</f>
        <v>1</v>
      </c>
      <c r="M249" s="8">
        <f ca="1">_xll.HLV5r3.Analytics.Miscellaneous.Zero2DF(_xll.HLV5r3.Analytics.Miscellaneous.LinearInterp(Peturbed_QZ,$K249,1,M$1),ZeroCompFreq,'PDH Calc'!$K249/365)</f>
        <v>1</v>
      </c>
      <c r="N249" s="8">
        <f ca="1">_xll.HLV5r3.Analytics.Miscellaneous.Zero2DF(_xll.HLV5r3.Analytics.Miscellaneous.LinearInterp(Peturbed_QZ,$K249,1,N$1),ZeroCompFreq,'PDH Calc'!$K249/365)</f>
        <v>1</v>
      </c>
      <c r="O249" s="8">
        <f ca="1">_xll.HLV5r3.Analytics.Miscellaneous.Zero2DF(_xll.HLV5r3.Analytics.Miscellaneous.LinearInterp(Peturbed_QZ,$K249,1,O$1),ZeroCompFreq,'PDH Calc'!$K249/365)</f>
        <v>1</v>
      </c>
      <c r="P249" s="8">
        <f ca="1">_xll.HLV5r3.Analytics.Miscellaneous.Zero2DF(_xll.HLV5r3.Analytics.Miscellaneous.LinearInterp(Peturbed_QZ,$K249,1,P$1),ZeroCompFreq,'PDH Calc'!$K249/365)</f>
        <v>1</v>
      </c>
      <c r="Q249" s="8">
        <f ca="1">_xll.HLV5r3.Analytics.Miscellaneous.Zero2DF(_xll.HLV5r3.Analytics.Miscellaneous.LinearInterp(Peturbed_QZ,$K249,1,Q$1),ZeroCompFreq,'PDH Calc'!$K249/365)</f>
        <v>1</v>
      </c>
      <c r="R249" s="8">
        <f ca="1">_xll.HLV5r3.Analytics.Miscellaneous.Zero2DF(_xll.HLV5r3.Analytics.Miscellaneous.LinearInterp(Peturbed_QZ,$K249,1,R$1),ZeroCompFreq,'PDH Calc'!$K249/365)</f>
        <v>1</v>
      </c>
      <c r="S249" s="8">
        <f ca="1">_xll.HLV5r3.Analytics.Miscellaneous.Zero2DF(_xll.HLV5r3.Analytics.Miscellaneous.LinearInterp(Peturbed_QZ,$K249,1,S$1),ZeroCompFreq,'PDH Calc'!$K249/365)</f>
        <v>1</v>
      </c>
      <c r="T249" s="8">
        <f ca="1">_xll.HLV5r3.Analytics.Miscellaneous.Zero2DF(_xll.HLV5r3.Analytics.Miscellaneous.LinearInterp(Peturbed_QZ,$K249,1,T$1),ZeroCompFreq,'PDH Calc'!$K249/365)</f>
        <v>1</v>
      </c>
      <c r="U249" s="8">
        <f ca="1">_xll.HLV5r3.Analytics.Miscellaneous.Zero2DF(_xll.HLV5r3.Analytics.Miscellaneous.LinearInterp(Peturbed_QZ,$K249,1,U$1),ZeroCompFreq,'PDH Calc'!$K249/365)</f>
        <v>1</v>
      </c>
      <c r="V249" s="8">
        <f ca="1">_xll.HLV5r3.Analytics.Miscellaneous.Zero2DF(_xll.HLV5r3.Analytics.Miscellaneous.LinearInterp(Peturbed_QZ,$K249,1,V$1),ZeroCompFreq,'PDH Calc'!$K249/365)</f>
        <v>1</v>
      </c>
      <c r="W249" s="8">
        <f ca="1">_xll.HLV5r3.Analytics.Miscellaneous.Zero2DF(_xll.HLV5r3.Analytics.Miscellaneous.LinearInterp(Peturbed_QZ,$K249,1,W$1),ZeroCompFreq,'PDH Calc'!$K249/365)</f>
        <v>1</v>
      </c>
      <c r="X249" s="8">
        <f ca="1">_xll.HLV5r3.Analytics.Miscellaneous.Zero2DF(_xll.HLV5r3.Analytics.Miscellaneous.LinearInterp(Peturbed_QZ,$K249,1,X$1),ZeroCompFreq,'PDH Calc'!$K249/365)</f>
        <v>1</v>
      </c>
      <c r="Y249" s="8">
        <f ca="1">_xll.HLV5r3.Analytics.Miscellaneous.Zero2DF(_xll.HLV5r3.Analytics.Miscellaneous.LinearInterp(Peturbed_QZ,$K249,1,Y$1),ZeroCompFreq,'PDH Calc'!$K249/365)</f>
        <v>1</v>
      </c>
      <c r="Z249" s="8">
        <f ca="1">_xll.HLV5r3.Analytics.Miscellaneous.Zero2DF(_xll.HLV5r3.Analytics.Miscellaneous.LinearInterp(Peturbed_QZ,$K249,1,Z$1),ZeroCompFreq,'PDH Calc'!$K249/365)</f>
        <v>1</v>
      </c>
      <c r="AA249" s="8">
        <f ca="1">_xll.HLV5r3.Analytics.Miscellaneous.Zero2DF(_xll.HLV5r3.Analytics.Miscellaneous.LinearInterp(Peturbed_QZ,$K249,1,AA$1),ZeroCompFreq,'PDH Calc'!$K249/365)</f>
        <v>1</v>
      </c>
      <c r="AB249" s="8">
        <f ca="1">_xll.HLV5r3.Analytics.Miscellaneous.Zero2DF(_xll.HLV5r3.Analytics.Miscellaneous.LinearInterp(Peturbed_QZ,$K249,1,AB$1),ZeroCompFreq,'PDH Calc'!$K249/365)</f>
        <v>1</v>
      </c>
      <c r="AC249" s="8">
        <f ca="1">_xll.HLV5r3.Analytics.Miscellaneous.Zero2DF(_xll.HLV5r3.Analytics.Miscellaneous.LinearInterp(Peturbed_QZ,$K249,1,AC$1),ZeroCompFreq,'PDH Calc'!$K249/365)</f>
        <v>1</v>
      </c>
      <c r="AD249" s="8">
        <f ca="1">_xll.HLV5r3.Analytics.Miscellaneous.Zero2DF(_xll.HLV5r3.Analytics.Miscellaneous.LinearInterp(Peturbed_QZ,$K249,1,AD$1),ZeroCompFreq,'PDH Calc'!$K249/365)</f>
        <v>1</v>
      </c>
      <c r="AE249" s="8">
        <f ca="1">_xll.HLV5r3.Analytics.Miscellaneous.Zero2DF(_xll.HLV5r3.Analytics.Miscellaneous.LinearInterp(Peturbed_QZ,$K249,1,AE$1),ZeroCompFreq,'PDH Calc'!$K249/365)</f>
        <v>1</v>
      </c>
      <c r="AF249" s="8">
        <f ca="1">_xll.HLV5r3.Analytics.Miscellaneous.Zero2DF(_xll.HLV5r3.Analytics.Miscellaneous.LinearInterp(Peturbed_QZ,$K249,1,AF$1),ZeroCompFreq,'PDH Calc'!$K249/365)</f>
        <v>1</v>
      </c>
      <c r="AG249" s="8">
        <f ca="1">_xll.HLV5r3.Analytics.Miscellaneous.Zero2DF(_xll.HLV5r3.Analytics.Miscellaneous.LinearInterp(Peturbed_QZ,$K249,1,AG$1),ZeroCompFreq,'PDH Calc'!$K249/365)</f>
        <v>1</v>
      </c>
      <c r="AH249" s="8">
        <f ca="1">_xll.HLV5r3.Analytics.Miscellaneous.Zero2DF(_xll.HLV5r3.Analytics.Miscellaneous.LinearInterp(Peturbed_QZ,$K249,1,AH$1),ZeroCompFreq,'PDH Calc'!$K249/365)</f>
        <v>1</v>
      </c>
      <c r="AI249" s="8">
        <f ca="1">_xll.HLV5r3.Analytics.Miscellaneous.Zero2DF(_xll.HLV5r3.Analytics.Miscellaneous.LinearInterp(Peturbed_QZ,$K249,1,AI$1),ZeroCompFreq,'PDH Calc'!$K249/365)</f>
        <v>1</v>
      </c>
      <c r="AJ249" s="8">
        <f ca="1">_xll.HLV5r3.Analytics.Miscellaneous.Zero2DF(_xll.HLV5r3.Analytics.Miscellaneous.LinearInterp(Peturbed_QZ,$K249,1,AJ$1),ZeroCompFreq,'PDH Calc'!$K249/365)</f>
        <v>1</v>
      </c>
      <c r="AK249" s="8">
        <f ca="1">_xll.HLV5r3.Analytics.Miscellaneous.Zero2DF(_xll.HLV5r3.Analytics.Miscellaneous.LinearInterp(Peturbed_QZ,$K249,1,AK$1),ZeroCompFreq,'PDH Calc'!$K249/365)</f>
        <v>1</v>
      </c>
    </row>
    <row r="250" spans="1:37">
      <c r="A250" s="4"/>
      <c r="B250" s="6"/>
      <c r="F250" s="11"/>
      <c r="G250" s="6"/>
      <c r="H250" s="20"/>
      <c r="I250" s="21"/>
      <c r="J250" s="26"/>
      <c r="K250" s="6">
        <f t="shared" ca="1" si="10"/>
        <v>0</v>
      </c>
      <c r="L250" s="8">
        <f ca="1">_xll.HLV5r3.Analytics.Miscellaneous.Zero2DF(_xll.HLV5r3.Analytics.Miscellaneous.LinearInterp(Peturbed_QZ,$K250,1,L$1),ZeroCompFreq,'PDH Calc'!$K250/365)</f>
        <v>1</v>
      </c>
      <c r="M250" s="8">
        <f ca="1">_xll.HLV5r3.Analytics.Miscellaneous.Zero2DF(_xll.HLV5r3.Analytics.Miscellaneous.LinearInterp(Peturbed_QZ,$K250,1,M$1),ZeroCompFreq,'PDH Calc'!$K250/365)</f>
        <v>1</v>
      </c>
      <c r="N250" s="8">
        <f ca="1">_xll.HLV5r3.Analytics.Miscellaneous.Zero2DF(_xll.HLV5r3.Analytics.Miscellaneous.LinearInterp(Peturbed_QZ,$K250,1,N$1),ZeroCompFreq,'PDH Calc'!$K250/365)</f>
        <v>1</v>
      </c>
      <c r="O250" s="8">
        <f ca="1">_xll.HLV5r3.Analytics.Miscellaneous.Zero2DF(_xll.HLV5r3.Analytics.Miscellaneous.LinearInterp(Peturbed_QZ,$K250,1,O$1),ZeroCompFreq,'PDH Calc'!$K250/365)</f>
        <v>1</v>
      </c>
      <c r="P250" s="8">
        <f ca="1">_xll.HLV5r3.Analytics.Miscellaneous.Zero2DF(_xll.HLV5r3.Analytics.Miscellaneous.LinearInterp(Peturbed_QZ,$K250,1,P$1),ZeroCompFreq,'PDH Calc'!$K250/365)</f>
        <v>1</v>
      </c>
      <c r="Q250" s="8">
        <f ca="1">_xll.HLV5r3.Analytics.Miscellaneous.Zero2DF(_xll.HLV5r3.Analytics.Miscellaneous.LinearInterp(Peturbed_QZ,$K250,1,Q$1),ZeroCompFreq,'PDH Calc'!$K250/365)</f>
        <v>1</v>
      </c>
      <c r="R250" s="8">
        <f ca="1">_xll.HLV5r3.Analytics.Miscellaneous.Zero2DF(_xll.HLV5r3.Analytics.Miscellaneous.LinearInterp(Peturbed_QZ,$K250,1,R$1),ZeroCompFreq,'PDH Calc'!$K250/365)</f>
        <v>1</v>
      </c>
      <c r="S250" s="8">
        <f ca="1">_xll.HLV5r3.Analytics.Miscellaneous.Zero2DF(_xll.HLV5r3.Analytics.Miscellaneous.LinearInterp(Peturbed_QZ,$K250,1,S$1),ZeroCompFreq,'PDH Calc'!$K250/365)</f>
        <v>1</v>
      </c>
      <c r="T250" s="8">
        <f ca="1">_xll.HLV5r3.Analytics.Miscellaneous.Zero2DF(_xll.HLV5r3.Analytics.Miscellaneous.LinearInterp(Peturbed_QZ,$K250,1,T$1),ZeroCompFreq,'PDH Calc'!$K250/365)</f>
        <v>1</v>
      </c>
      <c r="U250" s="8">
        <f ca="1">_xll.HLV5r3.Analytics.Miscellaneous.Zero2DF(_xll.HLV5r3.Analytics.Miscellaneous.LinearInterp(Peturbed_QZ,$K250,1,U$1),ZeroCompFreq,'PDH Calc'!$K250/365)</f>
        <v>1</v>
      </c>
      <c r="V250" s="8">
        <f ca="1">_xll.HLV5r3.Analytics.Miscellaneous.Zero2DF(_xll.HLV5r3.Analytics.Miscellaneous.LinearInterp(Peturbed_QZ,$K250,1,V$1),ZeroCompFreq,'PDH Calc'!$K250/365)</f>
        <v>1</v>
      </c>
      <c r="W250" s="8">
        <f ca="1">_xll.HLV5r3.Analytics.Miscellaneous.Zero2DF(_xll.HLV5r3.Analytics.Miscellaneous.LinearInterp(Peturbed_QZ,$K250,1,W$1),ZeroCompFreq,'PDH Calc'!$K250/365)</f>
        <v>1</v>
      </c>
      <c r="X250" s="8">
        <f ca="1">_xll.HLV5r3.Analytics.Miscellaneous.Zero2DF(_xll.HLV5r3.Analytics.Miscellaneous.LinearInterp(Peturbed_QZ,$K250,1,X$1),ZeroCompFreq,'PDH Calc'!$K250/365)</f>
        <v>1</v>
      </c>
      <c r="Y250" s="8">
        <f ca="1">_xll.HLV5r3.Analytics.Miscellaneous.Zero2DF(_xll.HLV5r3.Analytics.Miscellaneous.LinearInterp(Peturbed_QZ,$K250,1,Y$1),ZeroCompFreq,'PDH Calc'!$K250/365)</f>
        <v>1</v>
      </c>
      <c r="Z250" s="8">
        <f ca="1">_xll.HLV5r3.Analytics.Miscellaneous.Zero2DF(_xll.HLV5r3.Analytics.Miscellaneous.LinearInterp(Peturbed_QZ,$K250,1,Z$1),ZeroCompFreq,'PDH Calc'!$K250/365)</f>
        <v>1</v>
      </c>
      <c r="AA250" s="8">
        <f ca="1">_xll.HLV5r3.Analytics.Miscellaneous.Zero2DF(_xll.HLV5r3.Analytics.Miscellaneous.LinearInterp(Peturbed_QZ,$K250,1,AA$1),ZeroCompFreq,'PDH Calc'!$K250/365)</f>
        <v>1</v>
      </c>
      <c r="AB250" s="8">
        <f ca="1">_xll.HLV5r3.Analytics.Miscellaneous.Zero2DF(_xll.HLV5r3.Analytics.Miscellaneous.LinearInterp(Peturbed_QZ,$K250,1,AB$1),ZeroCompFreq,'PDH Calc'!$K250/365)</f>
        <v>1</v>
      </c>
      <c r="AC250" s="8">
        <f ca="1">_xll.HLV5r3.Analytics.Miscellaneous.Zero2DF(_xll.HLV5r3.Analytics.Miscellaneous.LinearInterp(Peturbed_QZ,$K250,1,AC$1),ZeroCompFreq,'PDH Calc'!$K250/365)</f>
        <v>1</v>
      </c>
      <c r="AD250" s="8">
        <f ca="1">_xll.HLV5r3.Analytics.Miscellaneous.Zero2DF(_xll.HLV5r3.Analytics.Miscellaneous.LinearInterp(Peturbed_QZ,$K250,1,AD$1),ZeroCompFreq,'PDH Calc'!$K250/365)</f>
        <v>1</v>
      </c>
      <c r="AE250" s="8">
        <f ca="1">_xll.HLV5r3.Analytics.Miscellaneous.Zero2DF(_xll.HLV5r3.Analytics.Miscellaneous.LinearInterp(Peturbed_QZ,$K250,1,AE$1),ZeroCompFreq,'PDH Calc'!$K250/365)</f>
        <v>1</v>
      </c>
      <c r="AF250" s="8">
        <f ca="1">_xll.HLV5r3.Analytics.Miscellaneous.Zero2DF(_xll.HLV5r3.Analytics.Miscellaneous.LinearInterp(Peturbed_QZ,$K250,1,AF$1),ZeroCompFreq,'PDH Calc'!$K250/365)</f>
        <v>1</v>
      </c>
      <c r="AG250" s="8">
        <f ca="1">_xll.HLV5r3.Analytics.Miscellaneous.Zero2DF(_xll.HLV5r3.Analytics.Miscellaneous.LinearInterp(Peturbed_QZ,$K250,1,AG$1),ZeroCompFreq,'PDH Calc'!$K250/365)</f>
        <v>1</v>
      </c>
      <c r="AH250" s="8">
        <f ca="1">_xll.HLV5r3.Analytics.Miscellaneous.Zero2DF(_xll.HLV5r3.Analytics.Miscellaneous.LinearInterp(Peturbed_QZ,$K250,1,AH$1),ZeroCompFreq,'PDH Calc'!$K250/365)</f>
        <v>1</v>
      </c>
      <c r="AI250" s="8">
        <f ca="1">_xll.HLV5r3.Analytics.Miscellaneous.Zero2DF(_xll.HLV5r3.Analytics.Miscellaneous.LinearInterp(Peturbed_QZ,$K250,1,AI$1),ZeroCompFreq,'PDH Calc'!$K250/365)</f>
        <v>1</v>
      </c>
      <c r="AJ250" s="8">
        <f ca="1">_xll.HLV5r3.Analytics.Miscellaneous.Zero2DF(_xll.HLV5r3.Analytics.Miscellaneous.LinearInterp(Peturbed_QZ,$K250,1,AJ$1),ZeroCompFreq,'PDH Calc'!$K250/365)</f>
        <v>1</v>
      </c>
      <c r="AK250" s="8">
        <f ca="1">_xll.HLV5r3.Analytics.Miscellaneous.Zero2DF(_xll.HLV5r3.Analytics.Miscellaneous.LinearInterp(Peturbed_QZ,$K250,1,AK$1),ZeroCompFreq,'PDH Calc'!$K250/365)</f>
        <v>1</v>
      </c>
    </row>
    <row r="251" spans="1:37">
      <c r="A251" s="4"/>
      <c r="B251" s="6"/>
      <c r="F251" s="11"/>
      <c r="G251" s="6"/>
      <c r="H251" s="20"/>
      <c r="I251" s="21"/>
      <c r="J251" s="26"/>
      <c r="K251" s="6">
        <f t="shared" ca="1" si="10"/>
        <v>0</v>
      </c>
      <c r="L251" s="8">
        <f ca="1">_xll.HLV5r3.Analytics.Miscellaneous.Zero2DF(_xll.HLV5r3.Analytics.Miscellaneous.LinearInterp(Peturbed_QZ,$K251,1,L$1),ZeroCompFreq,'PDH Calc'!$K251/365)</f>
        <v>1</v>
      </c>
      <c r="M251" s="8">
        <f ca="1">_xll.HLV5r3.Analytics.Miscellaneous.Zero2DF(_xll.HLV5r3.Analytics.Miscellaneous.LinearInterp(Peturbed_QZ,$K251,1,M$1),ZeroCompFreq,'PDH Calc'!$K251/365)</f>
        <v>1</v>
      </c>
      <c r="N251" s="8">
        <f ca="1">_xll.HLV5r3.Analytics.Miscellaneous.Zero2DF(_xll.HLV5r3.Analytics.Miscellaneous.LinearInterp(Peturbed_QZ,$K251,1,N$1),ZeroCompFreq,'PDH Calc'!$K251/365)</f>
        <v>1</v>
      </c>
      <c r="O251" s="8">
        <f ca="1">_xll.HLV5r3.Analytics.Miscellaneous.Zero2DF(_xll.HLV5r3.Analytics.Miscellaneous.LinearInterp(Peturbed_QZ,$K251,1,O$1),ZeroCompFreq,'PDH Calc'!$K251/365)</f>
        <v>1</v>
      </c>
      <c r="P251" s="8">
        <f ca="1">_xll.HLV5r3.Analytics.Miscellaneous.Zero2DF(_xll.HLV5r3.Analytics.Miscellaneous.LinearInterp(Peturbed_QZ,$K251,1,P$1),ZeroCompFreq,'PDH Calc'!$K251/365)</f>
        <v>1</v>
      </c>
      <c r="Q251" s="8">
        <f ca="1">_xll.HLV5r3.Analytics.Miscellaneous.Zero2DF(_xll.HLV5r3.Analytics.Miscellaneous.LinearInterp(Peturbed_QZ,$K251,1,Q$1),ZeroCompFreq,'PDH Calc'!$K251/365)</f>
        <v>1</v>
      </c>
      <c r="R251" s="8">
        <f ca="1">_xll.HLV5r3.Analytics.Miscellaneous.Zero2DF(_xll.HLV5r3.Analytics.Miscellaneous.LinearInterp(Peturbed_QZ,$K251,1,R$1),ZeroCompFreq,'PDH Calc'!$K251/365)</f>
        <v>1</v>
      </c>
      <c r="S251" s="8">
        <f ca="1">_xll.HLV5r3.Analytics.Miscellaneous.Zero2DF(_xll.HLV5r3.Analytics.Miscellaneous.LinearInterp(Peturbed_QZ,$K251,1,S$1),ZeroCompFreq,'PDH Calc'!$K251/365)</f>
        <v>1</v>
      </c>
      <c r="T251" s="8">
        <f ca="1">_xll.HLV5r3.Analytics.Miscellaneous.Zero2DF(_xll.HLV5r3.Analytics.Miscellaneous.LinearInterp(Peturbed_QZ,$K251,1,T$1),ZeroCompFreq,'PDH Calc'!$K251/365)</f>
        <v>1</v>
      </c>
      <c r="U251" s="8">
        <f ca="1">_xll.HLV5r3.Analytics.Miscellaneous.Zero2DF(_xll.HLV5r3.Analytics.Miscellaneous.LinearInterp(Peturbed_QZ,$K251,1,U$1),ZeroCompFreq,'PDH Calc'!$K251/365)</f>
        <v>1</v>
      </c>
      <c r="V251" s="8">
        <f ca="1">_xll.HLV5r3.Analytics.Miscellaneous.Zero2DF(_xll.HLV5r3.Analytics.Miscellaneous.LinearInterp(Peturbed_QZ,$K251,1,V$1),ZeroCompFreq,'PDH Calc'!$K251/365)</f>
        <v>1</v>
      </c>
      <c r="W251" s="8">
        <f ca="1">_xll.HLV5r3.Analytics.Miscellaneous.Zero2DF(_xll.HLV5r3.Analytics.Miscellaneous.LinearInterp(Peturbed_QZ,$K251,1,W$1),ZeroCompFreq,'PDH Calc'!$K251/365)</f>
        <v>1</v>
      </c>
      <c r="X251" s="8">
        <f ca="1">_xll.HLV5r3.Analytics.Miscellaneous.Zero2DF(_xll.HLV5r3.Analytics.Miscellaneous.LinearInterp(Peturbed_QZ,$K251,1,X$1),ZeroCompFreq,'PDH Calc'!$K251/365)</f>
        <v>1</v>
      </c>
      <c r="Y251" s="8">
        <f ca="1">_xll.HLV5r3.Analytics.Miscellaneous.Zero2DF(_xll.HLV5r3.Analytics.Miscellaneous.LinearInterp(Peturbed_QZ,$K251,1,Y$1),ZeroCompFreq,'PDH Calc'!$K251/365)</f>
        <v>1</v>
      </c>
      <c r="Z251" s="8">
        <f ca="1">_xll.HLV5r3.Analytics.Miscellaneous.Zero2DF(_xll.HLV5r3.Analytics.Miscellaneous.LinearInterp(Peturbed_QZ,$K251,1,Z$1),ZeroCompFreq,'PDH Calc'!$K251/365)</f>
        <v>1</v>
      </c>
      <c r="AA251" s="8">
        <f ca="1">_xll.HLV5r3.Analytics.Miscellaneous.Zero2DF(_xll.HLV5r3.Analytics.Miscellaneous.LinearInterp(Peturbed_QZ,$K251,1,AA$1),ZeroCompFreq,'PDH Calc'!$K251/365)</f>
        <v>1</v>
      </c>
      <c r="AB251" s="8">
        <f ca="1">_xll.HLV5r3.Analytics.Miscellaneous.Zero2DF(_xll.HLV5r3.Analytics.Miscellaneous.LinearInterp(Peturbed_QZ,$K251,1,AB$1),ZeroCompFreq,'PDH Calc'!$K251/365)</f>
        <v>1</v>
      </c>
      <c r="AC251" s="8">
        <f ca="1">_xll.HLV5r3.Analytics.Miscellaneous.Zero2DF(_xll.HLV5r3.Analytics.Miscellaneous.LinearInterp(Peturbed_QZ,$K251,1,AC$1),ZeroCompFreq,'PDH Calc'!$K251/365)</f>
        <v>1</v>
      </c>
      <c r="AD251" s="8">
        <f ca="1">_xll.HLV5r3.Analytics.Miscellaneous.Zero2DF(_xll.HLV5r3.Analytics.Miscellaneous.LinearInterp(Peturbed_QZ,$K251,1,AD$1),ZeroCompFreq,'PDH Calc'!$K251/365)</f>
        <v>1</v>
      </c>
      <c r="AE251" s="8">
        <f ca="1">_xll.HLV5r3.Analytics.Miscellaneous.Zero2DF(_xll.HLV5r3.Analytics.Miscellaneous.LinearInterp(Peturbed_QZ,$K251,1,AE$1),ZeroCompFreq,'PDH Calc'!$K251/365)</f>
        <v>1</v>
      </c>
      <c r="AF251" s="8">
        <f ca="1">_xll.HLV5r3.Analytics.Miscellaneous.Zero2DF(_xll.HLV5r3.Analytics.Miscellaneous.LinearInterp(Peturbed_QZ,$K251,1,AF$1),ZeroCompFreq,'PDH Calc'!$K251/365)</f>
        <v>1</v>
      </c>
      <c r="AG251" s="8">
        <f ca="1">_xll.HLV5r3.Analytics.Miscellaneous.Zero2DF(_xll.HLV5r3.Analytics.Miscellaneous.LinearInterp(Peturbed_QZ,$K251,1,AG$1),ZeroCompFreq,'PDH Calc'!$K251/365)</f>
        <v>1</v>
      </c>
      <c r="AH251" s="8">
        <f ca="1">_xll.HLV5r3.Analytics.Miscellaneous.Zero2DF(_xll.HLV5r3.Analytics.Miscellaneous.LinearInterp(Peturbed_QZ,$K251,1,AH$1),ZeroCompFreq,'PDH Calc'!$K251/365)</f>
        <v>1</v>
      </c>
      <c r="AI251" s="8">
        <f ca="1">_xll.HLV5r3.Analytics.Miscellaneous.Zero2DF(_xll.HLV5r3.Analytics.Miscellaneous.LinearInterp(Peturbed_QZ,$K251,1,AI$1),ZeroCompFreq,'PDH Calc'!$K251/365)</f>
        <v>1</v>
      </c>
      <c r="AJ251" s="8">
        <f ca="1">_xll.HLV5r3.Analytics.Miscellaneous.Zero2DF(_xll.HLV5r3.Analytics.Miscellaneous.LinearInterp(Peturbed_QZ,$K251,1,AJ$1),ZeroCompFreq,'PDH Calc'!$K251/365)</f>
        <v>1</v>
      </c>
      <c r="AK251" s="8">
        <f ca="1">_xll.HLV5r3.Analytics.Miscellaneous.Zero2DF(_xll.HLV5r3.Analytics.Miscellaneous.LinearInterp(Peturbed_QZ,$K251,1,AK$1),ZeroCompFreq,'PDH Calc'!$K251/365)</f>
        <v>1</v>
      </c>
    </row>
    <row r="252" spans="1:37">
      <c r="A252" s="4"/>
      <c r="B252" s="6"/>
      <c r="F252" s="11"/>
      <c r="G252" s="6"/>
      <c r="H252" s="20"/>
      <c r="I252" s="21"/>
      <c r="J252" s="26"/>
      <c r="K252" s="6">
        <f t="shared" ca="1" si="10"/>
        <v>0</v>
      </c>
      <c r="L252" s="8">
        <f ca="1">_xll.HLV5r3.Analytics.Miscellaneous.Zero2DF(_xll.HLV5r3.Analytics.Miscellaneous.LinearInterp(Peturbed_QZ,$K252,1,L$1),ZeroCompFreq,'PDH Calc'!$K252/365)</f>
        <v>1</v>
      </c>
      <c r="M252" s="8">
        <f ca="1">_xll.HLV5r3.Analytics.Miscellaneous.Zero2DF(_xll.HLV5r3.Analytics.Miscellaneous.LinearInterp(Peturbed_QZ,$K252,1,M$1),ZeroCompFreq,'PDH Calc'!$K252/365)</f>
        <v>1</v>
      </c>
      <c r="N252" s="8">
        <f ca="1">_xll.HLV5r3.Analytics.Miscellaneous.Zero2DF(_xll.HLV5r3.Analytics.Miscellaneous.LinearInterp(Peturbed_QZ,$K252,1,N$1),ZeroCompFreq,'PDH Calc'!$K252/365)</f>
        <v>1</v>
      </c>
      <c r="O252" s="8">
        <f ca="1">_xll.HLV5r3.Analytics.Miscellaneous.Zero2DF(_xll.HLV5r3.Analytics.Miscellaneous.LinearInterp(Peturbed_QZ,$K252,1,O$1),ZeroCompFreq,'PDH Calc'!$K252/365)</f>
        <v>1</v>
      </c>
      <c r="P252" s="8">
        <f ca="1">_xll.HLV5r3.Analytics.Miscellaneous.Zero2DF(_xll.HLV5r3.Analytics.Miscellaneous.LinearInterp(Peturbed_QZ,$K252,1,P$1),ZeroCompFreq,'PDH Calc'!$K252/365)</f>
        <v>1</v>
      </c>
      <c r="Q252" s="8">
        <f ca="1">_xll.HLV5r3.Analytics.Miscellaneous.Zero2DF(_xll.HLV5r3.Analytics.Miscellaneous.LinearInterp(Peturbed_QZ,$K252,1,Q$1),ZeroCompFreq,'PDH Calc'!$K252/365)</f>
        <v>1</v>
      </c>
      <c r="R252" s="8">
        <f ca="1">_xll.HLV5r3.Analytics.Miscellaneous.Zero2DF(_xll.HLV5r3.Analytics.Miscellaneous.LinearInterp(Peturbed_QZ,$K252,1,R$1),ZeroCompFreq,'PDH Calc'!$K252/365)</f>
        <v>1</v>
      </c>
      <c r="S252" s="8">
        <f ca="1">_xll.HLV5r3.Analytics.Miscellaneous.Zero2DF(_xll.HLV5r3.Analytics.Miscellaneous.LinearInterp(Peturbed_QZ,$K252,1,S$1),ZeroCompFreq,'PDH Calc'!$K252/365)</f>
        <v>1</v>
      </c>
      <c r="T252" s="8">
        <f ca="1">_xll.HLV5r3.Analytics.Miscellaneous.Zero2DF(_xll.HLV5r3.Analytics.Miscellaneous.LinearInterp(Peturbed_QZ,$K252,1,T$1),ZeroCompFreq,'PDH Calc'!$K252/365)</f>
        <v>1</v>
      </c>
      <c r="U252" s="8">
        <f ca="1">_xll.HLV5r3.Analytics.Miscellaneous.Zero2DF(_xll.HLV5r3.Analytics.Miscellaneous.LinearInterp(Peturbed_QZ,$K252,1,U$1),ZeroCompFreq,'PDH Calc'!$K252/365)</f>
        <v>1</v>
      </c>
      <c r="V252" s="8">
        <f ca="1">_xll.HLV5r3.Analytics.Miscellaneous.Zero2DF(_xll.HLV5r3.Analytics.Miscellaneous.LinearInterp(Peturbed_QZ,$K252,1,V$1),ZeroCompFreq,'PDH Calc'!$K252/365)</f>
        <v>1</v>
      </c>
      <c r="W252" s="8">
        <f ca="1">_xll.HLV5r3.Analytics.Miscellaneous.Zero2DF(_xll.HLV5r3.Analytics.Miscellaneous.LinearInterp(Peturbed_QZ,$K252,1,W$1),ZeroCompFreq,'PDH Calc'!$K252/365)</f>
        <v>1</v>
      </c>
      <c r="X252" s="8">
        <f ca="1">_xll.HLV5r3.Analytics.Miscellaneous.Zero2DF(_xll.HLV5r3.Analytics.Miscellaneous.LinearInterp(Peturbed_QZ,$K252,1,X$1),ZeroCompFreq,'PDH Calc'!$K252/365)</f>
        <v>1</v>
      </c>
      <c r="Y252" s="8">
        <f ca="1">_xll.HLV5r3.Analytics.Miscellaneous.Zero2DF(_xll.HLV5r3.Analytics.Miscellaneous.LinearInterp(Peturbed_QZ,$K252,1,Y$1),ZeroCompFreq,'PDH Calc'!$K252/365)</f>
        <v>1</v>
      </c>
      <c r="Z252" s="8">
        <f ca="1">_xll.HLV5r3.Analytics.Miscellaneous.Zero2DF(_xll.HLV5r3.Analytics.Miscellaneous.LinearInterp(Peturbed_QZ,$K252,1,Z$1),ZeroCompFreq,'PDH Calc'!$K252/365)</f>
        <v>1</v>
      </c>
      <c r="AA252" s="8">
        <f ca="1">_xll.HLV5r3.Analytics.Miscellaneous.Zero2DF(_xll.HLV5r3.Analytics.Miscellaneous.LinearInterp(Peturbed_QZ,$K252,1,AA$1),ZeroCompFreq,'PDH Calc'!$K252/365)</f>
        <v>1</v>
      </c>
      <c r="AB252" s="8">
        <f ca="1">_xll.HLV5r3.Analytics.Miscellaneous.Zero2DF(_xll.HLV5r3.Analytics.Miscellaneous.LinearInterp(Peturbed_QZ,$K252,1,AB$1),ZeroCompFreq,'PDH Calc'!$K252/365)</f>
        <v>1</v>
      </c>
      <c r="AC252" s="8">
        <f ca="1">_xll.HLV5r3.Analytics.Miscellaneous.Zero2DF(_xll.HLV5r3.Analytics.Miscellaneous.LinearInterp(Peturbed_QZ,$K252,1,AC$1),ZeroCompFreq,'PDH Calc'!$K252/365)</f>
        <v>1</v>
      </c>
      <c r="AD252" s="8">
        <f ca="1">_xll.HLV5r3.Analytics.Miscellaneous.Zero2DF(_xll.HLV5r3.Analytics.Miscellaneous.LinearInterp(Peturbed_QZ,$K252,1,AD$1),ZeroCompFreq,'PDH Calc'!$K252/365)</f>
        <v>1</v>
      </c>
      <c r="AE252" s="8">
        <f ca="1">_xll.HLV5r3.Analytics.Miscellaneous.Zero2DF(_xll.HLV5r3.Analytics.Miscellaneous.LinearInterp(Peturbed_QZ,$K252,1,AE$1),ZeroCompFreq,'PDH Calc'!$K252/365)</f>
        <v>1</v>
      </c>
      <c r="AF252" s="8">
        <f ca="1">_xll.HLV5r3.Analytics.Miscellaneous.Zero2DF(_xll.HLV5r3.Analytics.Miscellaneous.LinearInterp(Peturbed_QZ,$K252,1,AF$1),ZeroCompFreq,'PDH Calc'!$K252/365)</f>
        <v>1</v>
      </c>
      <c r="AG252" s="8">
        <f ca="1">_xll.HLV5r3.Analytics.Miscellaneous.Zero2DF(_xll.HLV5r3.Analytics.Miscellaneous.LinearInterp(Peturbed_QZ,$K252,1,AG$1),ZeroCompFreq,'PDH Calc'!$K252/365)</f>
        <v>1</v>
      </c>
      <c r="AH252" s="8">
        <f ca="1">_xll.HLV5r3.Analytics.Miscellaneous.Zero2DF(_xll.HLV5r3.Analytics.Miscellaneous.LinearInterp(Peturbed_QZ,$K252,1,AH$1),ZeroCompFreq,'PDH Calc'!$K252/365)</f>
        <v>1</v>
      </c>
      <c r="AI252" s="8">
        <f ca="1">_xll.HLV5r3.Analytics.Miscellaneous.Zero2DF(_xll.HLV5r3.Analytics.Miscellaneous.LinearInterp(Peturbed_QZ,$K252,1,AI$1),ZeroCompFreq,'PDH Calc'!$K252/365)</f>
        <v>1</v>
      </c>
      <c r="AJ252" s="8">
        <f ca="1">_xll.HLV5r3.Analytics.Miscellaneous.Zero2DF(_xll.HLV5r3.Analytics.Miscellaneous.LinearInterp(Peturbed_QZ,$K252,1,AJ$1),ZeroCompFreq,'PDH Calc'!$K252/365)</f>
        <v>1</v>
      </c>
      <c r="AK252" s="8">
        <f ca="1">_xll.HLV5r3.Analytics.Miscellaneous.Zero2DF(_xll.HLV5r3.Analytics.Miscellaneous.LinearInterp(Peturbed_QZ,$K252,1,AK$1),ZeroCompFreq,'PDH Calc'!$K252/365)</f>
        <v>1</v>
      </c>
    </row>
    <row r="253" spans="1:37">
      <c r="A253" s="4"/>
      <c r="B253" s="6"/>
      <c r="F253" s="11"/>
      <c r="G253" s="6"/>
      <c r="H253" s="20"/>
      <c r="I253" s="21"/>
      <c r="J253" s="26"/>
      <c r="K253" s="6">
        <f t="shared" ca="1" si="10"/>
        <v>0</v>
      </c>
      <c r="L253" s="8">
        <f ca="1">_xll.HLV5r3.Analytics.Miscellaneous.Zero2DF(_xll.HLV5r3.Analytics.Miscellaneous.LinearInterp(Peturbed_QZ,$K253,1,L$1),ZeroCompFreq,'PDH Calc'!$K253/365)</f>
        <v>1</v>
      </c>
      <c r="M253" s="8">
        <f ca="1">_xll.HLV5r3.Analytics.Miscellaneous.Zero2DF(_xll.HLV5r3.Analytics.Miscellaneous.LinearInterp(Peturbed_QZ,$K253,1,M$1),ZeroCompFreq,'PDH Calc'!$K253/365)</f>
        <v>1</v>
      </c>
      <c r="N253" s="8">
        <f ca="1">_xll.HLV5r3.Analytics.Miscellaneous.Zero2DF(_xll.HLV5r3.Analytics.Miscellaneous.LinearInterp(Peturbed_QZ,$K253,1,N$1),ZeroCompFreq,'PDH Calc'!$K253/365)</f>
        <v>1</v>
      </c>
      <c r="O253" s="8">
        <f ca="1">_xll.HLV5r3.Analytics.Miscellaneous.Zero2DF(_xll.HLV5r3.Analytics.Miscellaneous.LinearInterp(Peturbed_QZ,$K253,1,O$1),ZeroCompFreq,'PDH Calc'!$K253/365)</f>
        <v>1</v>
      </c>
      <c r="P253" s="8">
        <f ca="1">_xll.HLV5r3.Analytics.Miscellaneous.Zero2DF(_xll.HLV5r3.Analytics.Miscellaneous.LinearInterp(Peturbed_QZ,$K253,1,P$1),ZeroCompFreq,'PDH Calc'!$K253/365)</f>
        <v>1</v>
      </c>
      <c r="Q253" s="8">
        <f ca="1">_xll.HLV5r3.Analytics.Miscellaneous.Zero2DF(_xll.HLV5r3.Analytics.Miscellaneous.LinearInterp(Peturbed_QZ,$K253,1,Q$1),ZeroCompFreq,'PDH Calc'!$K253/365)</f>
        <v>1</v>
      </c>
      <c r="R253" s="8">
        <f ca="1">_xll.HLV5r3.Analytics.Miscellaneous.Zero2DF(_xll.HLV5r3.Analytics.Miscellaneous.LinearInterp(Peturbed_QZ,$K253,1,R$1),ZeroCompFreq,'PDH Calc'!$K253/365)</f>
        <v>1</v>
      </c>
      <c r="S253" s="8">
        <f ca="1">_xll.HLV5r3.Analytics.Miscellaneous.Zero2DF(_xll.HLV5r3.Analytics.Miscellaneous.LinearInterp(Peturbed_QZ,$K253,1,S$1),ZeroCompFreq,'PDH Calc'!$K253/365)</f>
        <v>1</v>
      </c>
      <c r="T253" s="8">
        <f ca="1">_xll.HLV5r3.Analytics.Miscellaneous.Zero2DF(_xll.HLV5r3.Analytics.Miscellaneous.LinearInterp(Peturbed_QZ,$K253,1,T$1),ZeroCompFreq,'PDH Calc'!$K253/365)</f>
        <v>1</v>
      </c>
      <c r="U253" s="8">
        <f ca="1">_xll.HLV5r3.Analytics.Miscellaneous.Zero2DF(_xll.HLV5r3.Analytics.Miscellaneous.LinearInterp(Peturbed_QZ,$K253,1,U$1),ZeroCompFreq,'PDH Calc'!$K253/365)</f>
        <v>1</v>
      </c>
      <c r="V253" s="8">
        <f ca="1">_xll.HLV5r3.Analytics.Miscellaneous.Zero2DF(_xll.HLV5r3.Analytics.Miscellaneous.LinearInterp(Peturbed_QZ,$K253,1,V$1),ZeroCompFreq,'PDH Calc'!$K253/365)</f>
        <v>1</v>
      </c>
      <c r="W253" s="8">
        <f ca="1">_xll.HLV5r3.Analytics.Miscellaneous.Zero2DF(_xll.HLV5r3.Analytics.Miscellaneous.LinearInterp(Peturbed_QZ,$K253,1,W$1),ZeroCompFreq,'PDH Calc'!$K253/365)</f>
        <v>1</v>
      </c>
      <c r="X253" s="8">
        <f ca="1">_xll.HLV5r3.Analytics.Miscellaneous.Zero2DF(_xll.HLV5r3.Analytics.Miscellaneous.LinearInterp(Peturbed_QZ,$K253,1,X$1),ZeroCompFreq,'PDH Calc'!$K253/365)</f>
        <v>1</v>
      </c>
      <c r="Y253" s="8">
        <f ca="1">_xll.HLV5r3.Analytics.Miscellaneous.Zero2DF(_xll.HLV5r3.Analytics.Miscellaneous.LinearInterp(Peturbed_QZ,$K253,1,Y$1),ZeroCompFreq,'PDH Calc'!$K253/365)</f>
        <v>1</v>
      </c>
      <c r="Z253" s="8">
        <f ca="1">_xll.HLV5r3.Analytics.Miscellaneous.Zero2DF(_xll.HLV5r3.Analytics.Miscellaneous.LinearInterp(Peturbed_QZ,$K253,1,Z$1),ZeroCompFreq,'PDH Calc'!$K253/365)</f>
        <v>1</v>
      </c>
      <c r="AA253" s="8">
        <f ca="1">_xll.HLV5r3.Analytics.Miscellaneous.Zero2DF(_xll.HLV5r3.Analytics.Miscellaneous.LinearInterp(Peturbed_QZ,$K253,1,AA$1),ZeroCompFreq,'PDH Calc'!$K253/365)</f>
        <v>1</v>
      </c>
      <c r="AB253" s="8">
        <f ca="1">_xll.HLV5r3.Analytics.Miscellaneous.Zero2DF(_xll.HLV5r3.Analytics.Miscellaneous.LinearInterp(Peturbed_QZ,$K253,1,AB$1),ZeroCompFreq,'PDH Calc'!$K253/365)</f>
        <v>1</v>
      </c>
      <c r="AC253" s="8">
        <f ca="1">_xll.HLV5r3.Analytics.Miscellaneous.Zero2DF(_xll.HLV5r3.Analytics.Miscellaneous.LinearInterp(Peturbed_QZ,$K253,1,AC$1),ZeroCompFreq,'PDH Calc'!$K253/365)</f>
        <v>1</v>
      </c>
      <c r="AD253" s="8">
        <f ca="1">_xll.HLV5r3.Analytics.Miscellaneous.Zero2DF(_xll.HLV5r3.Analytics.Miscellaneous.LinearInterp(Peturbed_QZ,$K253,1,AD$1),ZeroCompFreq,'PDH Calc'!$K253/365)</f>
        <v>1</v>
      </c>
      <c r="AE253" s="8">
        <f ca="1">_xll.HLV5r3.Analytics.Miscellaneous.Zero2DF(_xll.HLV5r3.Analytics.Miscellaneous.LinearInterp(Peturbed_QZ,$K253,1,AE$1),ZeroCompFreq,'PDH Calc'!$K253/365)</f>
        <v>1</v>
      </c>
      <c r="AF253" s="8">
        <f ca="1">_xll.HLV5r3.Analytics.Miscellaneous.Zero2DF(_xll.HLV5r3.Analytics.Miscellaneous.LinearInterp(Peturbed_QZ,$K253,1,AF$1),ZeroCompFreq,'PDH Calc'!$K253/365)</f>
        <v>1</v>
      </c>
      <c r="AG253" s="8">
        <f ca="1">_xll.HLV5r3.Analytics.Miscellaneous.Zero2DF(_xll.HLV5r3.Analytics.Miscellaneous.LinearInterp(Peturbed_QZ,$K253,1,AG$1),ZeroCompFreq,'PDH Calc'!$K253/365)</f>
        <v>1</v>
      </c>
      <c r="AH253" s="8">
        <f ca="1">_xll.HLV5r3.Analytics.Miscellaneous.Zero2DF(_xll.HLV5r3.Analytics.Miscellaneous.LinearInterp(Peturbed_QZ,$K253,1,AH$1),ZeroCompFreq,'PDH Calc'!$K253/365)</f>
        <v>1</v>
      </c>
      <c r="AI253" s="8">
        <f ca="1">_xll.HLV5r3.Analytics.Miscellaneous.Zero2DF(_xll.HLV5r3.Analytics.Miscellaneous.LinearInterp(Peturbed_QZ,$K253,1,AI$1),ZeroCompFreq,'PDH Calc'!$K253/365)</f>
        <v>1</v>
      </c>
      <c r="AJ253" s="8">
        <f ca="1">_xll.HLV5r3.Analytics.Miscellaneous.Zero2DF(_xll.HLV5r3.Analytics.Miscellaneous.LinearInterp(Peturbed_QZ,$K253,1,AJ$1),ZeroCompFreq,'PDH Calc'!$K253/365)</f>
        <v>1</v>
      </c>
      <c r="AK253" s="8">
        <f ca="1">_xll.HLV5r3.Analytics.Miscellaneous.Zero2DF(_xll.HLV5r3.Analytics.Miscellaneous.LinearInterp(Peturbed_QZ,$K253,1,AK$1),ZeroCompFreq,'PDH Calc'!$K253/365)</f>
        <v>1</v>
      </c>
    </row>
    <row r="254" spans="1:37">
      <c r="A254" s="4"/>
      <c r="B254" s="6"/>
      <c r="F254" s="11"/>
      <c r="G254" s="6"/>
      <c r="H254" s="20"/>
      <c r="I254" s="21"/>
      <c r="J254" s="26"/>
      <c r="K254" s="6">
        <f t="shared" ca="1" si="10"/>
        <v>0</v>
      </c>
      <c r="L254" s="8">
        <f ca="1">_xll.HLV5r3.Analytics.Miscellaneous.Zero2DF(_xll.HLV5r3.Analytics.Miscellaneous.LinearInterp(Peturbed_QZ,$K254,1,L$1),ZeroCompFreq,'PDH Calc'!$K254/365)</f>
        <v>1</v>
      </c>
      <c r="M254" s="8">
        <f ca="1">_xll.HLV5r3.Analytics.Miscellaneous.Zero2DF(_xll.HLV5r3.Analytics.Miscellaneous.LinearInterp(Peturbed_QZ,$K254,1,M$1),ZeroCompFreq,'PDH Calc'!$K254/365)</f>
        <v>1</v>
      </c>
      <c r="N254" s="8">
        <f ca="1">_xll.HLV5r3.Analytics.Miscellaneous.Zero2DF(_xll.HLV5r3.Analytics.Miscellaneous.LinearInterp(Peturbed_QZ,$K254,1,N$1),ZeroCompFreq,'PDH Calc'!$K254/365)</f>
        <v>1</v>
      </c>
      <c r="O254" s="8">
        <f ca="1">_xll.HLV5r3.Analytics.Miscellaneous.Zero2DF(_xll.HLV5r3.Analytics.Miscellaneous.LinearInterp(Peturbed_QZ,$K254,1,O$1),ZeroCompFreq,'PDH Calc'!$K254/365)</f>
        <v>1</v>
      </c>
      <c r="P254" s="8">
        <f ca="1">_xll.HLV5r3.Analytics.Miscellaneous.Zero2DF(_xll.HLV5r3.Analytics.Miscellaneous.LinearInterp(Peturbed_QZ,$K254,1,P$1),ZeroCompFreq,'PDH Calc'!$K254/365)</f>
        <v>1</v>
      </c>
      <c r="Q254" s="8">
        <f ca="1">_xll.HLV5r3.Analytics.Miscellaneous.Zero2DF(_xll.HLV5r3.Analytics.Miscellaneous.LinearInterp(Peturbed_QZ,$K254,1,Q$1),ZeroCompFreq,'PDH Calc'!$K254/365)</f>
        <v>1</v>
      </c>
      <c r="R254" s="8">
        <f ca="1">_xll.HLV5r3.Analytics.Miscellaneous.Zero2DF(_xll.HLV5r3.Analytics.Miscellaneous.LinearInterp(Peturbed_QZ,$K254,1,R$1),ZeroCompFreq,'PDH Calc'!$K254/365)</f>
        <v>1</v>
      </c>
      <c r="S254" s="8">
        <f ca="1">_xll.HLV5r3.Analytics.Miscellaneous.Zero2DF(_xll.HLV5r3.Analytics.Miscellaneous.LinearInterp(Peturbed_QZ,$K254,1,S$1),ZeroCompFreq,'PDH Calc'!$K254/365)</f>
        <v>1</v>
      </c>
      <c r="T254" s="8">
        <f ca="1">_xll.HLV5r3.Analytics.Miscellaneous.Zero2DF(_xll.HLV5r3.Analytics.Miscellaneous.LinearInterp(Peturbed_QZ,$K254,1,T$1),ZeroCompFreq,'PDH Calc'!$K254/365)</f>
        <v>1</v>
      </c>
      <c r="U254" s="8">
        <f ca="1">_xll.HLV5r3.Analytics.Miscellaneous.Zero2DF(_xll.HLV5r3.Analytics.Miscellaneous.LinearInterp(Peturbed_QZ,$K254,1,U$1),ZeroCompFreq,'PDH Calc'!$K254/365)</f>
        <v>1</v>
      </c>
      <c r="V254" s="8">
        <f ca="1">_xll.HLV5r3.Analytics.Miscellaneous.Zero2DF(_xll.HLV5r3.Analytics.Miscellaneous.LinearInterp(Peturbed_QZ,$K254,1,V$1),ZeroCompFreq,'PDH Calc'!$K254/365)</f>
        <v>1</v>
      </c>
      <c r="W254" s="8">
        <f ca="1">_xll.HLV5r3.Analytics.Miscellaneous.Zero2DF(_xll.HLV5r3.Analytics.Miscellaneous.LinearInterp(Peturbed_QZ,$K254,1,W$1),ZeroCompFreq,'PDH Calc'!$K254/365)</f>
        <v>1</v>
      </c>
      <c r="X254" s="8">
        <f ca="1">_xll.HLV5r3.Analytics.Miscellaneous.Zero2DF(_xll.HLV5r3.Analytics.Miscellaneous.LinearInterp(Peturbed_QZ,$K254,1,X$1),ZeroCompFreq,'PDH Calc'!$K254/365)</f>
        <v>1</v>
      </c>
      <c r="Y254" s="8">
        <f ca="1">_xll.HLV5r3.Analytics.Miscellaneous.Zero2DF(_xll.HLV5r3.Analytics.Miscellaneous.LinearInterp(Peturbed_QZ,$K254,1,Y$1),ZeroCompFreq,'PDH Calc'!$K254/365)</f>
        <v>1</v>
      </c>
      <c r="Z254" s="8">
        <f ca="1">_xll.HLV5r3.Analytics.Miscellaneous.Zero2DF(_xll.HLV5r3.Analytics.Miscellaneous.LinearInterp(Peturbed_QZ,$K254,1,Z$1),ZeroCompFreq,'PDH Calc'!$K254/365)</f>
        <v>1</v>
      </c>
      <c r="AA254" s="8">
        <f ca="1">_xll.HLV5r3.Analytics.Miscellaneous.Zero2DF(_xll.HLV5r3.Analytics.Miscellaneous.LinearInterp(Peturbed_QZ,$K254,1,AA$1),ZeroCompFreq,'PDH Calc'!$K254/365)</f>
        <v>1</v>
      </c>
      <c r="AB254" s="8">
        <f ca="1">_xll.HLV5r3.Analytics.Miscellaneous.Zero2DF(_xll.HLV5r3.Analytics.Miscellaneous.LinearInterp(Peturbed_QZ,$K254,1,AB$1),ZeroCompFreq,'PDH Calc'!$K254/365)</f>
        <v>1</v>
      </c>
      <c r="AC254" s="8">
        <f ca="1">_xll.HLV5r3.Analytics.Miscellaneous.Zero2DF(_xll.HLV5r3.Analytics.Miscellaneous.LinearInterp(Peturbed_QZ,$K254,1,AC$1),ZeroCompFreq,'PDH Calc'!$K254/365)</f>
        <v>1</v>
      </c>
      <c r="AD254" s="8">
        <f ca="1">_xll.HLV5r3.Analytics.Miscellaneous.Zero2DF(_xll.HLV5r3.Analytics.Miscellaneous.LinearInterp(Peturbed_QZ,$K254,1,AD$1),ZeroCompFreq,'PDH Calc'!$K254/365)</f>
        <v>1</v>
      </c>
      <c r="AE254" s="8">
        <f ca="1">_xll.HLV5r3.Analytics.Miscellaneous.Zero2DF(_xll.HLV5r3.Analytics.Miscellaneous.LinearInterp(Peturbed_QZ,$K254,1,AE$1),ZeroCompFreq,'PDH Calc'!$K254/365)</f>
        <v>1</v>
      </c>
      <c r="AF254" s="8">
        <f ca="1">_xll.HLV5r3.Analytics.Miscellaneous.Zero2DF(_xll.HLV5r3.Analytics.Miscellaneous.LinearInterp(Peturbed_QZ,$K254,1,AF$1),ZeroCompFreq,'PDH Calc'!$K254/365)</f>
        <v>1</v>
      </c>
      <c r="AG254" s="8">
        <f ca="1">_xll.HLV5r3.Analytics.Miscellaneous.Zero2DF(_xll.HLV5r3.Analytics.Miscellaneous.LinearInterp(Peturbed_QZ,$K254,1,AG$1),ZeroCompFreq,'PDH Calc'!$K254/365)</f>
        <v>1</v>
      </c>
      <c r="AH254" s="8">
        <f ca="1">_xll.HLV5r3.Analytics.Miscellaneous.Zero2DF(_xll.HLV5r3.Analytics.Miscellaneous.LinearInterp(Peturbed_QZ,$K254,1,AH$1),ZeroCompFreq,'PDH Calc'!$K254/365)</f>
        <v>1</v>
      </c>
      <c r="AI254" s="8">
        <f ca="1">_xll.HLV5r3.Analytics.Miscellaneous.Zero2DF(_xll.HLV5r3.Analytics.Miscellaneous.LinearInterp(Peturbed_QZ,$K254,1,AI$1),ZeroCompFreq,'PDH Calc'!$K254/365)</f>
        <v>1</v>
      </c>
      <c r="AJ254" s="8">
        <f ca="1">_xll.HLV5r3.Analytics.Miscellaneous.Zero2DF(_xll.HLV5r3.Analytics.Miscellaneous.LinearInterp(Peturbed_QZ,$K254,1,AJ$1),ZeroCompFreq,'PDH Calc'!$K254/365)</f>
        <v>1</v>
      </c>
      <c r="AK254" s="8">
        <f ca="1">_xll.HLV5r3.Analytics.Miscellaneous.Zero2DF(_xll.HLV5r3.Analytics.Miscellaneous.LinearInterp(Peturbed_QZ,$K254,1,AK$1),ZeroCompFreq,'PDH Calc'!$K254/365)</f>
        <v>1</v>
      </c>
    </row>
    <row r="255" spans="1:37">
      <c r="A255" s="4"/>
      <c r="B255" s="6"/>
      <c r="F255" s="11"/>
      <c r="G255" s="6"/>
      <c r="H255" s="20"/>
      <c r="I255" s="21"/>
      <c r="J255" s="26"/>
      <c r="K255" s="6">
        <f t="shared" ca="1" si="10"/>
        <v>0</v>
      </c>
      <c r="L255" s="8">
        <f ca="1">_xll.HLV5r3.Analytics.Miscellaneous.Zero2DF(_xll.HLV5r3.Analytics.Miscellaneous.LinearInterp(Peturbed_QZ,$K255,1,L$1),ZeroCompFreq,'PDH Calc'!$K255/365)</f>
        <v>1</v>
      </c>
      <c r="M255" s="8">
        <f ca="1">_xll.HLV5r3.Analytics.Miscellaneous.Zero2DF(_xll.HLV5r3.Analytics.Miscellaneous.LinearInterp(Peturbed_QZ,$K255,1,M$1),ZeroCompFreq,'PDH Calc'!$K255/365)</f>
        <v>1</v>
      </c>
      <c r="N255" s="8">
        <f ca="1">_xll.HLV5r3.Analytics.Miscellaneous.Zero2DF(_xll.HLV5r3.Analytics.Miscellaneous.LinearInterp(Peturbed_QZ,$K255,1,N$1),ZeroCompFreq,'PDH Calc'!$K255/365)</f>
        <v>1</v>
      </c>
      <c r="O255" s="8">
        <f ca="1">_xll.HLV5r3.Analytics.Miscellaneous.Zero2DF(_xll.HLV5r3.Analytics.Miscellaneous.LinearInterp(Peturbed_QZ,$K255,1,O$1),ZeroCompFreq,'PDH Calc'!$K255/365)</f>
        <v>1</v>
      </c>
      <c r="P255" s="8">
        <f ca="1">_xll.HLV5r3.Analytics.Miscellaneous.Zero2DF(_xll.HLV5r3.Analytics.Miscellaneous.LinearInterp(Peturbed_QZ,$K255,1,P$1),ZeroCompFreq,'PDH Calc'!$K255/365)</f>
        <v>1</v>
      </c>
      <c r="Q255" s="8">
        <f ca="1">_xll.HLV5r3.Analytics.Miscellaneous.Zero2DF(_xll.HLV5r3.Analytics.Miscellaneous.LinearInterp(Peturbed_QZ,$K255,1,Q$1),ZeroCompFreq,'PDH Calc'!$K255/365)</f>
        <v>1</v>
      </c>
      <c r="R255" s="8">
        <f ca="1">_xll.HLV5r3.Analytics.Miscellaneous.Zero2DF(_xll.HLV5r3.Analytics.Miscellaneous.LinearInterp(Peturbed_QZ,$K255,1,R$1),ZeroCompFreq,'PDH Calc'!$K255/365)</f>
        <v>1</v>
      </c>
      <c r="S255" s="8">
        <f ca="1">_xll.HLV5r3.Analytics.Miscellaneous.Zero2DF(_xll.HLV5r3.Analytics.Miscellaneous.LinearInterp(Peturbed_QZ,$K255,1,S$1),ZeroCompFreq,'PDH Calc'!$K255/365)</f>
        <v>1</v>
      </c>
      <c r="T255" s="8">
        <f ca="1">_xll.HLV5r3.Analytics.Miscellaneous.Zero2DF(_xll.HLV5r3.Analytics.Miscellaneous.LinearInterp(Peturbed_QZ,$K255,1,T$1),ZeroCompFreq,'PDH Calc'!$K255/365)</f>
        <v>1</v>
      </c>
      <c r="U255" s="8">
        <f ca="1">_xll.HLV5r3.Analytics.Miscellaneous.Zero2DF(_xll.HLV5r3.Analytics.Miscellaneous.LinearInterp(Peturbed_QZ,$K255,1,U$1),ZeroCompFreq,'PDH Calc'!$K255/365)</f>
        <v>1</v>
      </c>
      <c r="V255" s="8">
        <f ca="1">_xll.HLV5r3.Analytics.Miscellaneous.Zero2DF(_xll.HLV5r3.Analytics.Miscellaneous.LinearInterp(Peturbed_QZ,$K255,1,V$1),ZeroCompFreq,'PDH Calc'!$K255/365)</f>
        <v>1</v>
      </c>
      <c r="W255" s="8">
        <f ca="1">_xll.HLV5r3.Analytics.Miscellaneous.Zero2DF(_xll.HLV5r3.Analytics.Miscellaneous.LinearInterp(Peturbed_QZ,$K255,1,W$1),ZeroCompFreq,'PDH Calc'!$K255/365)</f>
        <v>1</v>
      </c>
      <c r="X255" s="8">
        <f ca="1">_xll.HLV5r3.Analytics.Miscellaneous.Zero2DF(_xll.HLV5r3.Analytics.Miscellaneous.LinearInterp(Peturbed_QZ,$K255,1,X$1),ZeroCompFreq,'PDH Calc'!$K255/365)</f>
        <v>1</v>
      </c>
      <c r="Y255" s="8">
        <f ca="1">_xll.HLV5r3.Analytics.Miscellaneous.Zero2DF(_xll.HLV5r3.Analytics.Miscellaneous.LinearInterp(Peturbed_QZ,$K255,1,Y$1),ZeroCompFreq,'PDH Calc'!$K255/365)</f>
        <v>1</v>
      </c>
      <c r="Z255" s="8">
        <f ca="1">_xll.HLV5r3.Analytics.Miscellaneous.Zero2DF(_xll.HLV5r3.Analytics.Miscellaneous.LinearInterp(Peturbed_QZ,$K255,1,Z$1),ZeroCompFreq,'PDH Calc'!$K255/365)</f>
        <v>1</v>
      </c>
      <c r="AA255" s="8">
        <f ca="1">_xll.HLV5r3.Analytics.Miscellaneous.Zero2DF(_xll.HLV5r3.Analytics.Miscellaneous.LinearInterp(Peturbed_QZ,$K255,1,AA$1),ZeroCompFreq,'PDH Calc'!$K255/365)</f>
        <v>1</v>
      </c>
      <c r="AB255" s="8">
        <f ca="1">_xll.HLV5r3.Analytics.Miscellaneous.Zero2DF(_xll.HLV5r3.Analytics.Miscellaneous.LinearInterp(Peturbed_QZ,$K255,1,AB$1),ZeroCompFreq,'PDH Calc'!$K255/365)</f>
        <v>1</v>
      </c>
      <c r="AC255" s="8">
        <f ca="1">_xll.HLV5r3.Analytics.Miscellaneous.Zero2DF(_xll.HLV5r3.Analytics.Miscellaneous.LinearInterp(Peturbed_QZ,$K255,1,AC$1),ZeroCompFreq,'PDH Calc'!$K255/365)</f>
        <v>1</v>
      </c>
      <c r="AD255" s="8">
        <f ca="1">_xll.HLV5r3.Analytics.Miscellaneous.Zero2DF(_xll.HLV5r3.Analytics.Miscellaneous.LinearInterp(Peturbed_QZ,$K255,1,AD$1),ZeroCompFreq,'PDH Calc'!$K255/365)</f>
        <v>1</v>
      </c>
      <c r="AE255" s="8">
        <f ca="1">_xll.HLV5r3.Analytics.Miscellaneous.Zero2DF(_xll.HLV5r3.Analytics.Miscellaneous.LinearInterp(Peturbed_QZ,$K255,1,AE$1),ZeroCompFreq,'PDH Calc'!$K255/365)</f>
        <v>1</v>
      </c>
      <c r="AF255" s="8">
        <f ca="1">_xll.HLV5r3.Analytics.Miscellaneous.Zero2DF(_xll.HLV5r3.Analytics.Miscellaneous.LinearInterp(Peturbed_QZ,$K255,1,AF$1),ZeroCompFreq,'PDH Calc'!$K255/365)</f>
        <v>1</v>
      </c>
      <c r="AG255" s="8">
        <f ca="1">_xll.HLV5r3.Analytics.Miscellaneous.Zero2DF(_xll.HLV5r3.Analytics.Miscellaneous.LinearInterp(Peturbed_QZ,$K255,1,AG$1),ZeroCompFreq,'PDH Calc'!$K255/365)</f>
        <v>1</v>
      </c>
      <c r="AH255" s="8">
        <f ca="1">_xll.HLV5r3.Analytics.Miscellaneous.Zero2DF(_xll.HLV5r3.Analytics.Miscellaneous.LinearInterp(Peturbed_QZ,$K255,1,AH$1),ZeroCompFreq,'PDH Calc'!$K255/365)</f>
        <v>1</v>
      </c>
      <c r="AI255" s="8">
        <f ca="1">_xll.HLV5r3.Analytics.Miscellaneous.Zero2DF(_xll.HLV5r3.Analytics.Miscellaneous.LinearInterp(Peturbed_QZ,$K255,1,AI$1),ZeroCompFreq,'PDH Calc'!$K255/365)</f>
        <v>1</v>
      </c>
      <c r="AJ255" s="8">
        <f ca="1">_xll.HLV5r3.Analytics.Miscellaneous.Zero2DF(_xll.HLV5r3.Analytics.Miscellaneous.LinearInterp(Peturbed_QZ,$K255,1,AJ$1),ZeroCompFreq,'PDH Calc'!$K255/365)</f>
        <v>1</v>
      </c>
      <c r="AK255" s="8">
        <f ca="1">_xll.HLV5r3.Analytics.Miscellaneous.Zero2DF(_xll.HLV5r3.Analytics.Miscellaneous.LinearInterp(Peturbed_QZ,$K255,1,AK$1),ZeroCompFreq,'PDH Calc'!$K255/365)</f>
        <v>1</v>
      </c>
    </row>
    <row r="256" spans="1:37">
      <c r="A256" s="4"/>
      <c r="B256" s="6"/>
      <c r="F256" s="11"/>
      <c r="G256" s="6"/>
      <c r="H256" s="20"/>
      <c r="I256" s="21"/>
      <c r="J256" s="26"/>
      <c r="K256" s="6">
        <f t="shared" ca="1" si="10"/>
        <v>0</v>
      </c>
      <c r="L256" s="8">
        <f ca="1">_xll.HLV5r3.Analytics.Miscellaneous.Zero2DF(_xll.HLV5r3.Analytics.Miscellaneous.LinearInterp(Peturbed_QZ,$K256,1,L$1),ZeroCompFreq,'PDH Calc'!$K256/365)</f>
        <v>1</v>
      </c>
      <c r="M256" s="8">
        <f ca="1">_xll.HLV5r3.Analytics.Miscellaneous.Zero2DF(_xll.HLV5r3.Analytics.Miscellaneous.LinearInterp(Peturbed_QZ,$K256,1,M$1),ZeroCompFreq,'PDH Calc'!$K256/365)</f>
        <v>1</v>
      </c>
      <c r="N256" s="8">
        <f ca="1">_xll.HLV5r3.Analytics.Miscellaneous.Zero2DF(_xll.HLV5r3.Analytics.Miscellaneous.LinearInterp(Peturbed_QZ,$K256,1,N$1),ZeroCompFreq,'PDH Calc'!$K256/365)</f>
        <v>1</v>
      </c>
      <c r="O256" s="8">
        <f ca="1">_xll.HLV5r3.Analytics.Miscellaneous.Zero2DF(_xll.HLV5r3.Analytics.Miscellaneous.LinearInterp(Peturbed_QZ,$K256,1,O$1),ZeroCompFreq,'PDH Calc'!$K256/365)</f>
        <v>1</v>
      </c>
      <c r="P256" s="8">
        <f ca="1">_xll.HLV5r3.Analytics.Miscellaneous.Zero2DF(_xll.HLV5r3.Analytics.Miscellaneous.LinearInterp(Peturbed_QZ,$K256,1,P$1),ZeroCompFreq,'PDH Calc'!$K256/365)</f>
        <v>1</v>
      </c>
      <c r="Q256" s="8">
        <f ca="1">_xll.HLV5r3.Analytics.Miscellaneous.Zero2DF(_xll.HLV5r3.Analytics.Miscellaneous.LinearInterp(Peturbed_QZ,$K256,1,Q$1),ZeroCompFreq,'PDH Calc'!$K256/365)</f>
        <v>1</v>
      </c>
      <c r="R256" s="8">
        <f ca="1">_xll.HLV5r3.Analytics.Miscellaneous.Zero2DF(_xll.HLV5r3.Analytics.Miscellaneous.LinearInterp(Peturbed_QZ,$K256,1,R$1),ZeroCompFreq,'PDH Calc'!$K256/365)</f>
        <v>1</v>
      </c>
      <c r="S256" s="8">
        <f ca="1">_xll.HLV5r3.Analytics.Miscellaneous.Zero2DF(_xll.HLV5r3.Analytics.Miscellaneous.LinearInterp(Peturbed_QZ,$K256,1,S$1),ZeroCompFreq,'PDH Calc'!$K256/365)</f>
        <v>1</v>
      </c>
      <c r="T256" s="8">
        <f ca="1">_xll.HLV5r3.Analytics.Miscellaneous.Zero2DF(_xll.HLV5r3.Analytics.Miscellaneous.LinearInterp(Peturbed_QZ,$K256,1,T$1),ZeroCompFreq,'PDH Calc'!$K256/365)</f>
        <v>1</v>
      </c>
      <c r="U256" s="8">
        <f ca="1">_xll.HLV5r3.Analytics.Miscellaneous.Zero2DF(_xll.HLV5r3.Analytics.Miscellaneous.LinearInterp(Peturbed_QZ,$K256,1,U$1),ZeroCompFreq,'PDH Calc'!$K256/365)</f>
        <v>1</v>
      </c>
      <c r="V256" s="8">
        <f ca="1">_xll.HLV5r3.Analytics.Miscellaneous.Zero2DF(_xll.HLV5r3.Analytics.Miscellaneous.LinearInterp(Peturbed_QZ,$K256,1,V$1),ZeroCompFreq,'PDH Calc'!$K256/365)</f>
        <v>1</v>
      </c>
      <c r="W256" s="8">
        <f ca="1">_xll.HLV5r3.Analytics.Miscellaneous.Zero2DF(_xll.HLV5r3.Analytics.Miscellaneous.LinearInterp(Peturbed_QZ,$K256,1,W$1),ZeroCompFreq,'PDH Calc'!$K256/365)</f>
        <v>1</v>
      </c>
      <c r="X256" s="8">
        <f ca="1">_xll.HLV5r3.Analytics.Miscellaneous.Zero2DF(_xll.HLV5r3.Analytics.Miscellaneous.LinearInterp(Peturbed_QZ,$K256,1,X$1),ZeroCompFreq,'PDH Calc'!$K256/365)</f>
        <v>1</v>
      </c>
      <c r="Y256" s="8">
        <f ca="1">_xll.HLV5r3.Analytics.Miscellaneous.Zero2DF(_xll.HLV5r3.Analytics.Miscellaneous.LinearInterp(Peturbed_QZ,$K256,1,Y$1),ZeroCompFreq,'PDH Calc'!$K256/365)</f>
        <v>1</v>
      </c>
      <c r="Z256" s="8">
        <f ca="1">_xll.HLV5r3.Analytics.Miscellaneous.Zero2DF(_xll.HLV5r3.Analytics.Miscellaneous.LinearInterp(Peturbed_QZ,$K256,1,Z$1),ZeroCompFreq,'PDH Calc'!$K256/365)</f>
        <v>1</v>
      </c>
      <c r="AA256" s="8">
        <f ca="1">_xll.HLV5r3.Analytics.Miscellaneous.Zero2DF(_xll.HLV5r3.Analytics.Miscellaneous.LinearInterp(Peturbed_QZ,$K256,1,AA$1),ZeroCompFreq,'PDH Calc'!$K256/365)</f>
        <v>1</v>
      </c>
      <c r="AB256" s="8">
        <f ca="1">_xll.HLV5r3.Analytics.Miscellaneous.Zero2DF(_xll.HLV5r3.Analytics.Miscellaneous.LinearInterp(Peturbed_QZ,$K256,1,AB$1),ZeroCompFreq,'PDH Calc'!$K256/365)</f>
        <v>1</v>
      </c>
      <c r="AC256" s="8">
        <f ca="1">_xll.HLV5r3.Analytics.Miscellaneous.Zero2DF(_xll.HLV5r3.Analytics.Miscellaneous.LinearInterp(Peturbed_QZ,$K256,1,AC$1),ZeroCompFreq,'PDH Calc'!$K256/365)</f>
        <v>1</v>
      </c>
      <c r="AD256" s="8">
        <f ca="1">_xll.HLV5r3.Analytics.Miscellaneous.Zero2DF(_xll.HLV5r3.Analytics.Miscellaneous.LinearInterp(Peturbed_QZ,$K256,1,AD$1),ZeroCompFreq,'PDH Calc'!$K256/365)</f>
        <v>1</v>
      </c>
      <c r="AE256" s="8">
        <f ca="1">_xll.HLV5r3.Analytics.Miscellaneous.Zero2DF(_xll.HLV5r3.Analytics.Miscellaneous.LinearInterp(Peturbed_QZ,$K256,1,AE$1),ZeroCompFreq,'PDH Calc'!$K256/365)</f>
        <v>1</v>
      </c>
      <c r="AF256" s="8">
        <f ca="1">_xll.HLV5r3.Analytics.Miscellaneous.Zero2DF(_xll.HLV5r3.Analytics.Miscellaneous.LinearInterp(Peturbed_QZ,$K256,1,AF$1),ZeroCompFreq,'PDH Calc'!$K256/365)</f>
        <v>1</v>
      </c>
      <c r="AG256" s="8">
        <f ca="1">_xll.HLV5r3.Analytics.Miscellaneous.Zero2DF(_xll.HLV5r3.Analytics.Miscellaneous.LinearInterp(Peturbed_QZ,$K256,1,AG$1),ZeroCompFreq,'PDH Calc'!$K256/365)</f>
        <v>1</v>
      </c>
      <c r="AH256" s="8">
        <f ca="1">_xll.HLV5r3.Analytics.Miscellaneous.Zero2DF(_xll.HLV5r3.Analytics.Miscellaneous.LinearInterp(Peturbed_QZ,$K256,1,AH$1),ZeroCompFreq,'PDH Calc'!$K256/365)</f>
        <v>1</v>
      </c>
      <c r="AI256" s="8">
        <f ca="1">_xll.HLV5r3.Analytics.Miscellaneous.Zero2DF(_xll.HLV5r3.Analytics.Miscellaneous.LinearInterp(Peturbed_QZ,$K256,1,AI$1),ZeroCompFreq,'PDH Calc'!$K256/365)</f>
        <v>1</v>
      </c>
      <c r="AJ256" s="8">
        <f ca="1">_xll.HLV5r3.Analytics.Miscellaneous.Zero2DF(_xll.HLV5r3.Analytics.Miscellaneous.LinearInterp(Peturbed_QZ,$K256,1,AJ$1),ZeroCompFreq,'PDH Calc'!$K256/365)</f>
        <v>1</v>
      </c>
      <c r="AK256" s="8">
        <f ca="1">_xll.HLV5r3.Analytics.Miscellaneous.Zero2DF(_xll.HLV5r3.Analytics.Miscellaneous.LinearInterp(Peturbed_QZ,$K256,1,AK$1),ZeroCompFreq,'PDH Calc'!$K256/365)</f>
        <v>1</v>
      </c>
    </row>
    <row r="257" spans="1:37">
      <c r="A257" s="4"/>
      <c r="B257" s="6"/>
      <c r="F257" s="11"/>
      <c r="G257" s="6"/>
      <c r="H257" s="20"/>
      <c r="I257" s="21"/>
      <c r="J257" s="26"/>
      <c r="K257" s="6">
        <f t="shared" ca="1" si="10"/>
        <v>0</v>
      </c>
      <c r="L257" s="8">
        <f ca="1">_xll.HLV5r3.Analytics.Miscellaneous.Zero2DF(_xll.HLV5r3.Analytics.Miscellaneous.LinearInterp(Peturbed_QZ,$K257,1,L$1),ZeroCompFreq,'PDH Calc'!$K257/365)</f>
        <v>1</v>
      </c>
      <c r="M257" s="8">
        <f ca="1">_xll.HLV5r3.Analytics.Miscellaneous.Zero2DF(_xll.HLV5r3.Analytics.Miscellaneous.LinearInterp(Peturbed_QZ,$K257,1,M$1),ZeroCompFreq,'PDH Calc'!$K257/365)</f>
        <v>1</v>
      </c>
      <c r="N257" s="8">
        <f ca="1">_xll.HLV5r3.Analytics.Miscellaneous.Zero2DF(_xll.HLV5r3.Analytics.Miscellaneous.LinearInterp(Peturbed_QZ,$K257,1,N$1),ZeroCompFreq,'PDH Calc'!$K257/365)</f>
        <v>1</v>
      </c>
      <c r="O257" s="8">
        <f ca="1">_xll.HLV5r3.Analytics.Miscellaneous.Zero2DF(_xll.HLV5r3.Analytics.Miscellaneous.LinearInterp(Peturbed_QZ,$K257,1,O$1),ZeroCompFreq,'PDH Calc'!$K257/365)</f>
        <v>1</v>
      </c>
      <c r="P257" s="8">
        <f ca="1">_xll.HLV5r3.Analytics.Miscellaneous.Zero2DF(_xll.HLV5r3.Analytics.Miscellaneous.LinearInterp(Peturbed_QZ,$K257,1,P$1),ZeroCompFreq,'PDH Calc'!$K257/365)</f>
        <v>1</v>
      </c>
      <c r="Q257" s="8">
        <f ca="1">_xll.HLV5r3.Analytics.Miscellaneous.Zero2DF(_xll.HLV5r3.Analytics.Miscellaneous.LinearInterp(Peturbed_QZ,$K257,1,Q$1),ZeroCompFreq,'PDH Calc'!$K257/365)</f>
        <v>1</v>
      </c>
      <c r="R257" s="8">
        <f ca="1">_xll.HLV5r3.Analytics.Miscellaneous.Zero2DF(_xll.HLV5r3.Analytics.Miscellaneous.LinearInterp(Peturbed_QZ,$K257,1,R$1),ZeroCompFreq,'PDH Calc'!$K257/365)</f>
        <v>1</v>
      </c>
      <c r="S257" s="8">
        <f ca="1">_xll.HLV5r3.Analytics.Miscellaneous.Zero2DF(_xll.HLV5r3.Analytics.Miscellaneous.LinearInterp(Peturbed_QZ,$K257,1,S$1),ZeroCompFreq,'PDH Calc'!$K257/365)</f>
        <v>1</v>
      </c>
      <c r="T257" s="8">
        <f ca="1">_xll.HLV5r3.Analytics.Miscellaneous.Zero2DF(_xll.HLV5r3.Analytics.Miscellaneous.LinearInterp(Peturbed_QZ,$K257,1,T$1),ZeroCompFreq,'PDH Calc'!$K257/365)</f>
        <v>1</v>
      </c>
      <c r="U257" s="8">
        <f ca="1">_xll.HLV5r3.Analytics.Miscellaneous.Zero2DF(_xll.HLV5r3.Analytics.Miscellaneous.LinearInterp(Peturbed_QZ,$K257,1,U$1),ZeroCompFreq,'PDH Calc'!$K257/365)</f>
        <v>1</v>
      </c>
      <c r="V257" s="8">
        <f ca="1">_xll.HLV5r3.Analytics.Miscellaneous.Zero2DF(_xll.HLV5r3.Analytics.Miscellaneous.LinearInterp(Peturbed_QZ,$K257,1,V$1),ZeroCompFreq,'PDH Calc'!$K257/365)</f>
        <v>1</v>
      </c>
      <c r="W257" s="8">
        <f ca="1">_xll.HLV5r3.Analytics.Miscellaneous.Zero2DF(_xll.HLV5r3.Analytics.Miscellaneous.LinearInterp(Peturbed_QZ,$K257,1,W$1),ZeroCompFreq,'PDH Calc'!$K257/365)</f>
        <v>1</v>
      </c>
      <c r="X257" s="8">
        <f ca="1">_xll.HLV5r3.Analytics.Miscellaneous.Zero2DF(_xll.HLV5r3.Analytics.Miscellaneous.LinearInterp(Peturbed_QZ,$K257,1,X$1),ZeroCompFreq,'PDH Calc'!$K257/365)</f>
        <v>1</v>
      </c>
      <c r="Y257" s="8">
        <f ca="1">_xll.HLV5r3.Analytics.Miscellaneous.Zero2DF(_xll.HLV5r3.Analytics.Miscellaneous.LinearInterp(Peturbed_QZ,$K257,1,Y$1),ZeroCompFreq,'PDH Calc'!$K257/365)</f>
        <v>1</v>
      </c>
      <c r="Z257" s="8">
        <f ca="1">_xll.HLV5r3.Analytics.Miscellaneous.Zero2DF(_xll.HLV5r3.Analytics.Miscellaneous.LinearInterp(Peturbed_QZ,$K257,1,Z$1),ZeroCompFreq,'PDH Calc'!$K257/365)</f>
        <v>1</v>
      </c>
      <c r="AA257" s="8">
        <f ca="1">_xll.HLV5r3.Analytics.Miscellaneous.Zero2DF(_xll.HLV5r3.Analytics.Miscellaneous.LinearInterp(Peturbed_QZ,$K257,1,AA$1),ZeroCompFreq,'PDH Calc'!$K257/365)</f>
        <v>1</v>
      </c>
      <c r="AB257" s="8">
        <f ca="1">_xll.HLV5r3.Analytics.Miscellaneous.Zero2DF(_xll.HLV5r3.Analytics.Miscellaneous.LinearInterp(Peturbed_QZ,$K257,1,AB$1),ZeroCompFreq,'PDH Calc'!$K257/365)</f>
        <v>1</v>
      </c>
      <c r="AC257" s="8">
        <f ca="1">_xll.HLV5r3.Analytics.Miscellaneous.Zero2DF(_xll.HLV5r3.Analytics.Miscellaneous.LinearInterp(Peturbed_QZ,$K257,1,AC$1),ZeroCompFreq,'PDH Calc'!$K257/365)</f>
        <v>1</v>
      </c>
      <c r="AD257" s="8">
        <f ca="1">_xll.HLV5r3.Analytics.Miscellaneous.Zero2DF(_xll.HLV5r3.Analytics.Miscellaneous.LinearInterp(Peturbed_QZ,$K257,1,AD$1),ZeroCompFreq,'PDH Calc'!$K257/365)</f>
        <v>1</v>
      </c>
      <c r="AE257" s="8">
        <f ca="1">_xll.HLV5r3.Analytics.Miscellaneous.Zero2DF(_xll.HLV5r3.Analytics.Miscellaneous.LinearInterp(Peturbed_QZ,$K257,1,AE$1),ZeroCompFreq,'PDH Calc'!$K257/365)</f>
        <v>1</v>
      </c>
      <c r="AF257" s="8">
        <f ca="1">_xll.HLV5r3.Analytics.Miscellaneous.Zero2DF(_xll.HLV5r3.Analytics.Miscellaneous.LinearInterp(Peturbed_QZ,$K257,1,AF$1),ZeroCompFreq,'PDH Calc'!$K257/365)</f>
        <v>1</v>
      </c>
      <c r="AG257" s="8">
        <f ca="1">_xll.HLV5r3.Analytics.Miscellaneous.Zero2DF(_xll.HLV5r3.Analytics.Miscellaneous.LinearInterp(Peturbed_QZ,$K257,1,AG$1),ZeroCompFreq,'PDH Calc'!$K257/365)</f>
        <v>1</v>
      </c>
      <c r="AH257" s="8">
        <f ca="1">_xll.HLV5r3.Analytics.Miscellaneous.Zero2DF(_xll.HLV5r3.Analytics.Miscellaneous.LinearInterp(Peturbed_QZ,$K257,1,AH$1),ZeroCompFreq,'PDH Calc'!$K257/365)</f>
        <v>1</v>
      </c>
      <c r="AI257" s="8">
        <f ca="1">_xll.HLV5r3.Analytics.Miscellaneous.Zero2DF(_xll.HLV5r3.Analytics.Miscellaneous.LinearInterp(Peturbed_QZ,$K257,1,AI$1),ZeroCompFreq,'PDH Calc'!$K257/365)</f>
        <v>1</v>
      </c>
      <c r="AJ257" s="8">
        <f ca="1">_xll.HLV5r3.Analytics.Miscellaneous.Zero2DF(_xll.HLV5r3.Analytics.Miscellaneous.LinearInterp(Peturbed_QZ,$K257,1,AJ$1),ZeroCompFreq,'PDH Calc'!$K257/365)</f>
        <v>1</v>
      </c>
      <c r="AK257" s="8">
        <f ca="1">_xll.HLV5r3.Analytics.Miscellaneous.Zero2DF(_xll.HLV5r3.Analytics.Miscellaneous.LinearInterp(Peturbed_QZ,$K257,1,AK$1),ZeroCompFreq,'PDH Calc'!$K257/365)</f>
        <v>1</v>
      </c>
    </row>
    <row r="258" spans="1:37">
      <c r="A258" s="4"/>
      <c r="B258" s="6"/>
      <c r="F258" s="11"/>
      <c r="G258" s="6"/>
      <c r="H258" s="20"/>
      <c r="I258" s="21"/>
      <c r="J258" s="26"/>
      <c r="K258" s="6">
        <f t="shared" ca="1" si="10"/>
        <v>0</v>
      </c>
      <c r="L258" s="8">
        <f ca="1">_xll.HLV5r3.Analytics.Miscellaneous.Zero2DF(_xll.HLV5r3.Analytics.Miscellaneous.LinearInterp(Peturbed_QZ,$K258,1,L$1),ZeroCompFreq,'PDH Calc'!$K258/365)</f>
        <v>1</v>
      </c>
      <c r="M258" s="8">
        <f ca="1">_xll.HLV5r3.Analytics.Miscellaneous.Zero2DF(_xll.HLV5r3.Analytics.Miscellaneous.LinearInterp(Peturbed_QZ,$K258,1,M$1),ZeroCompFreq,'PDH Calc'!$K258/365)</f>
        <v>1</v>
      </c>
      <c r="N258" s="8">
        <f ca="1">_xll.HLV5r3.Analytics.Miscellaneous.Zero2DF(_xll.HLV5r3.Analytics.Miscellaneous.LinearInterp(Peturbed_QZ,$K258,1,N$1),ZeroCompFreq,'PDH Calc'!$K258/365)</f>
        <v>1</v>
      </c>
      <c r="O258" s="8">
        <f ca="1">_xll.HLV5r3.Analytics.Miscellaneous.Zero2DF(_xll.HLV5r3.Analytics.Miscellaneous.LinearInterp(Peturbed_QZ,$K258,1,O$1),ZeroCompFreq,'PDH Calc'!$K258/365)</f>
        <v>1</v>
      </c>
      <c r="P258" s="8">
        <f ca="1">_xll.HLV5r3.Analytics.Miscellaneous.Zero2DF(_xll.HLV5r3.Analytics.Miscellaneous.LinearInterp(Peturbed_QZ,$K258,1,P$1),ZeroCompFreq,'PDH Calc'!$K258/365)</f>
        <v>1</v>
      </c>
      <c r="Q258" s="8">
        <f ca="1">_xll.HLV5r3.Analytics.Miscellaneous.Zero2DF(_xll.HLV5r3.Analytics.Miscellaneous.LinearInterp(Peturbed_QZ,$K258,1,Q$1),ZeroCompFreq,'PDH Calc'!$K258/365)</f>
        <v>1</v>
      </c>
      <c r="R258" s="8">
        <f ca="1">_xll.HLV5r3.Analytics.Miscellaneous.Zero2DF(_xll.HLV5r3.Analytics.Miscellaneous.LinearInterp(Peturbed_QZ,$K258,1,R$1),ZeroCompFreq,'PDH Calc'!$K258/365)</f>
        <v>1</v>
      </c>
      <c r="S258" s="8">
        <f ca="1">_xll.HLV5r3.Analytics.Miscellaneous.Zero2DF(_xll.HLV5r3.Analytics.Miscellaneous.LinearInterp(Peturbed_QZ,$K258,1,S$1),ZeroCompFreq,'PDH Calc'!$K258/365)</f>
        <v>1</v>
      </c>
      <c r="T258" s="8">
        <f ca="1">_xll.HLV5r3.Analytics.Miscellaneous.Zero2DF(_xll.HLV5r3.Analytics.Miscellaneous.LinearInterp(Peturbed_QZ,$K258,1,T$1),ZeroCompFreq,'PDH Calc'!$K258/365)</f>
        <v>1</v>
      </c>
      <c r="U258" s="8">
        <f ca="1">_xll.HLV5r3.Analytics.Miscellaneous.Zero2DF(_xll.HLV5r3.Analytics.Miscellaneous.LinearInterp(Peturbed_QZ,$K258,1,U$1),ZeroCompFreq,'PDH Calc'!$K258/365)</f>
        <v>1</v>
      </c>
      <c r="V258" s="8">
        <f ca="1">_xll.HLV5r3.Analytics.Miscellaneous.Zero2DF(_xll.HLV5r3.Analytics.Miscellaneous.LinearInterp(Peturbed_QZ,$K258,1,V$1),ZeroCompFreq,'PDH Calc'!$K258/365)</f>
        <v>1</v>
      </c>
      <c r="W258" s="8">
        <f ca="1">_xll.HLV5r3.Analytics.Miscellaneous.Zero2DF(_xll.HLV5r3.Analytics.Miscellaneous.LinearInterp(Peturbed_QZ,$K258,1,W$1),ZeroCompFreq,'PDH Calc'!$K258/365)</f>
        <v>1</v>
      </c>
      <c r="X258" s="8">
        <f ca="1">_xll.HLV5r3.Analytics.Miscellaneous.Zero2DF(_xll.HLV5r3.Analytics.Miscellaneous.LinearInterp(Peturbed_QZ,$K258,1,X$1),ZeroCompFreq,'PDH Calc'!$K258/365)</f>
        <v>1</v>
      </c>
      <c r="Y258" s="8">
        <f ca="1">_xll.HLV5r3.Analytics.Miscellaneous.Zero2DF(_xll.HLV5r3.Analytics.Miscellaneous.LinearInterp(Peturbed_QZ,$K258,1,Y$1),ZeroCompFreq,'PDH Calc'!$K258/365)</f>
        <v>1</v>
      </c>
      <c r="Z258" s="8">
        <f ca="1">_xll.HLV5r3.Analytics.Miscellaneous.Zero2DF(_xll.HLV5r3.Analytics.Miscellaneous.LinearInterp(Peturbed_QZ,$K258,1,Z$1),ZeroCompFreq,'PDH Calc'!$K258/365)</f>
        <v>1</v>
      </c>
      <c r="AA258" s="8">
        <f ca="1">_xll.HLV5r3.Analytics.Miscellaneous.Zero2DF(_xll.HLV5r3.Analytics.Miscellaneous.LinearInterp(Peturbed_QZ,$K258,1,AA$1),ZeroCompFreq,'PDH Calc'!$K258/365)</f>
        <v>1</v>
      </c>
      <c r="AB258" s="8">
        <f ca="1">_xll.HLV5r3.Analytics.Miscellaneous.Zero2DF(_xll.HLV5r3.Analytics.Miscellaneous.LinearInterp(Peturbed_QZ,$K258,1,AB$1),ZeroCompFreq,'PDH Calc'!$K258/365)</f>
        <v>1</v>
      </c>
      <c r="AC258" s="8">
        <f ca="1">_xll.HLV5r3.Analytics.Miscellaneous.Zero2DF(_xll.HLV5r3.Analytics.Miscellaneous.LinearInterp(Peturbed_QZ,$K258,1,AC$1),ZeroCompFreq,'PDH Calc'!$K258/365)</f>
        <v>1</v>
      </c>
      <c r="AD258" s="8">
        <f ca="1">_xll.HLV5r3.Analytics.Miscellaneous.Zero2DF(_xll.HLV5r3.Analytics.Miscellaneous.LinearInterp(Peturbed_QZ,$K258,1,AD$1),ZeroCompFreq,'PDH Calc'!$K258/365)</f>
        <v>1</v>
      </c>
      <c r="AE258" s="8">
        <f ca="1">_xll.HLV5r3.Analytics.Miscellaneous.Zero2DF(_xll.HLV5r3.Analytics.Miscellaneous.LinearInterp(Peturbed_QZ,$K258,1,AE$1),ZeroCompFreq,'PDH Calc'!$K258/365)</f>
        <v>1</v>
      </c>
      <c r="AF258" s="8">
        <f ca="1">_xll.HLV5r3.Analytics.Miscellaneous.Zero2DF(_xll.HLV5r3.Analytics.Miscellaneous.LinearInterp(Peturbed_QZ,$K258,1,AF$1),ZeroCompFreq,'PDH Calc'!$K258/365)</f>
        <v>1</v>
      </c>
      <c r="AG258" s="8">
        <f ca="1">_xll.HLV5r3.Analytics.Miscellaneous.Zero2DF(_xll.HLV5r3.Analytics.Miscellaneous.LinearInterp(Peturbed_QZ,$K258,1,AG$1),ZeroCompFreq,'PDH Calc'!$K258/365)</f>
        <v>1</v>
      </c>
      <c r="AH258" s="8">
        <f ca="1">_xll.HLV5r3.Analytics.Miscellaneous.Zero2DF(_xll.HLV5r3.Analytics.Miscellaneous.LinearInterp(Peturbed_QZ,$K258,1,AH$1),ZeroCompFreq,'PDH Calc'!$K258/365)</f>
        <v>1</v>
      </c>
      <c r="AI258" s="8">
        <f ca="1">_xll.HLV5r3.Analytics.Miscellaneous.Zero2DF(_xll.HLV5r3.Analytics.Miscellaneous.LinearInterp(Peturbed_QZ,$K258,1,AI$1),ZeroCompFreq,'PDH Calc'!$K258/365)</f>
        <v>1</v>
      </c>
      <c r="AJ258" s="8">
        <f ca="1">_xll.HLV5r3.Analytics.Miscellaneous.Zero2DF(_xll.HLV5r3.Analytics.Miscellaneous.LinearInterp(Peturbed_QZ,$K258,1,AJ$1),ZeroCompFreq,'PDH Calc'!$K258/365)</f>
        <v>1</v>
      </c>
      <c r="AK258" s="8">
        <f ca="1">_xll.HLV5r3.Analytics.Miscellaneous.Zero2DF(_xll.HLV5r3.Analytics.Miscellaneous.LinearInterp(Peturbed_QZ,$K258,1,AK$1),ZeroCompFreq,'PDH Calc'!$K258/365)</f>
        <v>1</v>
      </c>
    </row>
    <row r="259" spans="1:37">
      <c r="A259" s="4"/>
      <c r="B259" s="6"/>
      <c r="F259" s="11"/>
      <c r="G259" s="6"/>
      <c r="H259" s="20"/>
      <c r="I259" s="21"/>
      <c r="J259" s="26"/>
      <c r="K259" s="6">
        <f t="shared" ca="1" si="10"/>
        <v>0</v>
      </c>
      <c r="L259" s="8">
        <f ca="1">_xll.HLV5r3.Analytics.Miscellaneous.Zero2DF(_xll.HLV5r3.Analytics.Miscellaneous.LinearInterp(Peturbed_QZ,$K259,1,L$1),ZeroCompFreq,'PDH Calc'!$K259/365)</f>
        <v>1</v>
      </c>
      <c r="M259" s="8">
        <f ca="1">_xll.HLV5r3.Analytics.Miscellaneous.Zero2DF(_xll.HLV5r3.Analytics.Miscellaneous.LinearInterp(Peturbed_QZ,$K259,1,M$1),ZeroCompFreq,'PDH Calc'!$K259/365)</f>
        <v>1</v>
      </c>
      <c r="N259" s="8">
        <f ca="1">_xll.HLV5r3.Analytics.Miscellaneous.Zero2DF(_xll.HLV5r3.Analytics.Miscellaneous.LinearInterp(Peturbed_QZ,$K259,1,N$1),ZeroCompFreq,'PDH Calc'!$K259/365)</f>
        <v>1</v>
      </c>
      <c r="O259" s="8">
        <f ca="1">_xll.HLV5r3.Analytics.Miscellaneous.Zero2DF(_xll.HLV5r3.Analytics.Miscellaneous.LinearInterp(Peturbed_QZ,$K259,1,O$1),ZeroCompFreq,'PDH Calc'!$K259/365)</f>
        <v>1</v>
      </c>
      <c r="P259" s="8">
        <f ca="1">_xll.HLV5r3.Analytics.Miscellaneous.Zero2DF(_xll.HLV5r3.Analytics.Miscellaneous.LinearInterp(Peturbed_QZ,$K259,1,P$1),ZeroCompFreq,'PDH Calc'!$K259/365)</f>
        <v>1</v>
      </c>
      <c r="Q259" s="8">
        <f ca="1">_xll.HLV5r3.Analytics.Miscellaneous.Zero2DF(_xll.HLV5r3.Analytics.Miscellaneous.LinearInterp(Peturbed_QZ,$K259,1,Q$1),ZeroCompFreq,'PDH Calc'!$K259/365)</f>
        <v>1</v>
      </c>
      <c r="R259" s="8">
        <f ca="1">_xll.HLV5r3.Analytics.Miscellaneous.Zero2DF(_xll.HLV5r3.Analytics.Miscellaneous.LinearInterp(Peturbed_QZ,$K259,1,R$1),ZeroCompFreq,'PDH Calc'!$K259/365)</f>
        <v>1</v>
      </c>
      <c r="S259" s="8">
        <f ca="1">_xll.HLV5r3.Analytics.Miscellaneous.Zero2DF(_xll.HLV5r3.Analytics.Miscellaneous.LinearInterp(Peturbed_QZ,$K259,1,S$1),ZeroCompFreq,'PDH Calc'!$K259/365)</f>
        <v>1</v>
      </c>
      <c r="T259" s="8">
        <f ca="1">_xll.HLV5r3.Analytics.Miscellaneous.Zero2DF(_xll.HLV5r3.Analytics.Miscellaneous.LinearInterp(Peturbed_QZ,$K259,1,T$1),ZeroCompFreq,'PDH Calc'!$K259/365)</f>
        <v>1</v>
      </c>
      <c r="U259" s="8">
        <f ca="1">_xll.HLV5r3.Analytics.Miscellaneous.Zero2DF(_xll.HLV5r3.Analytics.Miscellaneous.LinearInterp(Peturbed_QZ,$K259,1,U$1),ZeroCompFreq,'PDH Calc'!$K259/365)</f>
        <v>1</v>
      </c>
      <c r="V259" s="8">
        <f ca="1">_xll.HLV5r3.Analytics.Miscellaneous.Zero2DF(_xll.HLV5r3.Analytics.Miscellaneous.LinearInterp(Peturbed_QZ,$K259,1,V$1),ZeroCompFreq,'PDH Calc'!$K259/365)</f>
        <v>1</v>
      </c>
      <c r="W259" s="8">
        <f ca="1">_xll.HLV5r3.Analytics.Miscellaneous.Zero2DF(_xll.HLV5r3.Analytics.Miscellaneous.LinearInterp(Peturbed_QZ,$K259,1,W$1),ZeroCompFreq,'PDH Calc'!$K259/365)</f>
        <v>1</v>
      </c>
      <c r="X259" s="8">
        <f ca="1">_xll.HLV5r3.Analytics.Miscellaneous.Zero2DF(_xll.HLV5r3.Analytics.Miscellaneous.LinearInterp(Peturbed_QZ,$K259,1,X$1),ZeroCompFreq,'PDH Calc'!$K259/365)</f>
        <v>1</v>
      </c>
      <c r="Y259" s="8">
        <f ca="1">_xll.HLV5r3.Analytics.Miscellaneous.Zero2DF(_xll.HLV5r3.Analytics.Miscellaneous.LinearInterp(Peturbed_QZ,$K259,1,Y$1),ZeroCompFreq,'PDH Calc'!$K259/365)</f>
        <v>1</v>
      </c>
      <c r="Z259" s="8">
        <f ca="1">_xll.HLV5r3.Analytics.Miscellaneous.Zero2DF(_xll.HLV5r3.Analytics.Miscellaneous.LinearInterp(Peturbed_QZ,$K259,1,Z$1),ZeroCompFreq,'PDH Calc'!$K259/365)</f>
        <v>1</v>
      </c>
      <c r="AA259" s="8">
        <f ca="1">_xll.HLV5r3.Analytics.Miscellaneous.Zero2DF(_xll.HLV5r3.Analytics.Miscellaneous.LinearInterp(Peturbed_QZ,$K259,1,AA$1),ZeroCompFreq,'PDH Calc'!$K259/365)</f>
        <v>1</v>
      </c>
      <c r="AB259" s="8">
        <f ca="1">_xll.HLV5r3.Analytics.Miscellaneous.Zero2DF(_xll.HLV5r3.Analytics.Miscellaneous.LinearInterp(Peturbed_QZ,$K259,1,AB$1),ZeroCompFreq,'PDH Calc'!$K259/365)</f>
        <v>1</v>
      </c>
      <c r="AC259" s="8">
        <f ca="1">_xll.HLV5r3.Analytics.Miscellaneous.Zero2DF(_xll.HLV5r3.Analytics.Miscellaneous.LinearInterp(Peturbed_QZ,$K259,1,AC$1),ZeroCompFreq,'PDH Calc'!$K259/365)</f>
        <v>1</v>
      </c>
      <c r="AD259" s="8">
        <f ca="1">_xll.HLV5r3.Analytics.Miscellaneous.Zero2DF(_xll.HLV5r3.Analytics.Miscellaneous.LinearInterp(Peturbed_QZ,$K259,1,AD$1),ZeroCompFreq,'PDH Calc'!$K259/365)</f>
        <v>1</v>
      </c>
      <c r="AE259" s="8">
        <f ca="1">_xll.HLV5r3.Analytics.Miscellaneous.Zero2DF(_xll.HLV5r3.Analytics.Miscellaneous.LinearInterp(Peturbed_QZ,$K259,1,AE$1),ZeroCompFreq,'PDH Calc'!$K259/365)</f>
        <v>1</v>
      </c>
      <c r="AF259" s="8">
        <f ca="1">_xll.HLV5r3.Analytics.Miscellaneous.Zero2DF(_xll.HLV5r3.Analytics.Miscellaneous.LinearInterp(Peturbed_QZ,$K259,1,AF$1),ZeroCompFreq,'PDH Calc'!$K259/365)</f>
        <v>1</v>
      </c>
      <c r="AG259" s="8">
        <f ca="1">_xll.HLV5r3.Analytics.Miscellaneous.Zero2DF(_xll.HLV5r3.Analytics.Miscellaneous.LinearInterp(Peturbed_QZ,$K259,1,AG$1),ZeroCompFreq,'PDH Calc'!$K259/365)</f>
        <v>1</v>
      </c>
      <c r="AH259" s="8">
        <f ca="1">_xll.HLV5r3.Analytics.Miscellaneous.Zero2DF(_xll.HLV5r3.Analytics.Miscellaneous.LinearInterp(Peturbed_QZ,$K259,1,AH$1),ZeroCompFreq,'PDH Calc'!$K259/365)</f>
        <v>1</v>
      </c>
      <c r="AI259" s="8">
        <f ca="1">_xll.HLV5r3.Analytics.Miscellaneous.Zero2DF(_xll.HLV5r3.Analytics.Miscellaneous.LinearInterp(Peturbed_QZ,$K259,1,AI$1),ZeroCompFreq,'PDH Calc'!$K259/365)</f>
        <v>1</v>
      </c>
      <c r="AJ259" s="8">
        <f ca="1">_xll.HLV5r3.Analytics.Miscellaneous.Zero2DF(_xll.HLV5r3.Analytics.Miscellaneous.LinearInterp(Peturbed_QZ,$K259,1,AJ$1),ZeroCompFreq,'PDH Calc'!$K259/365)</f>
        <v>1</v>
      </c>
      <c r="AK259" s="8">
        <f ca="1">_xll.HLV5r3.Analytics.Miscellaneous.Zero2DF(_xll.HLV5r3.Analytics.Miscellaneous.LinearInterp(Peturbed_QZ,$K259,1,AK$1),ZeroCompFreq,'PDH Calc'!$K259/365)</f>
        <v>1</v>
      </c>
    </row>
    <row r="260" spans="1:37">
      <c r="A260" s="4"/>
      <c r="B260" s="6"/>
      <c r="F260" s="11"/>
      <c r="G260" s="6"/>
      <c r="H260" s="20"/>
      <c r="I260" s="21"/>
      <c r="J260" s="26"/>
      <c r="K260" s="6">
        <f t="shared" ca="1" si="10"/>
        <v>0</v>
      </c>
      <c r="L260" s="8">
        <f ca="1">_xll.HLV5r3.Analytics.Miscellaneous.Zero2DF(_xll.HLV5r3.Analytics.Miscellaneous.LinearInterp(Peturbed_QZ,$K260,1,L$1),ZeroCompFreq,'PDH Calc'!$K260/365)</f>
        <v>1</v>
      </c>
      <c r="M260" s="8">
        <f ca="1">_xll.HLV5r3.Analytics.Miscellaneous.Zero2DF(_xll.HLV5r3.Analytics.Miscellaneous.LinearInterp(Peturbed_QZ,$K260,1,M$1),ZeroCompFreq,'PDH Calc'!$K260/365)</f>
        <v>1</v>
      </c>
      <c r="N260" s="8">
        <f ca="1">_xll.HLV5r3.Analytics.Miscellaneous.Zero2DF(_xll.HLV5r3.Analytics.Miscellaneous.LinearInterp(Peturbed_QZ,$K260,1,N$1),ZeroCompFreq,'PDH Calc'!$K260/365)</f>
        <v>1</v>
      </c>
      <c r="O260" s="8">
        <f ca="1">_xll.HLV5r3.Analytics.Miscellaneous.Zero2DF(_xll.HLV5r3.Analytics.Miscellaneous.LinearInterp(Peturbed_QZ,$K260,1,O$1),ZeroCompFreq,'PDH Calc'!$K260/365)</f>
        <v>1</v>
      </c>
      <c r="P260" s="8">
        <f ca="1">_xll.HLV5r3.Analytics.Miscellaneous.Zero2DF(_xll.HLV5r3.Analytics.Miscellaneous.LinearInterp(Peturbed_QZ,$K260,1,P$1),ZeroCompFreq,'PDH Calc'!$K260/365)</f>
        <v>1</v>
      </c>
      <c r="Q260" s="8">
        <f ca="1">_xll.HLV5r3.Analytics.Miscellaneous.Zero2DF(_xll.HLV5r3.Analytics.Miscellaneous.LinearInterp(Peturbed_QZ,$K260,1,Q$1),ZeroCompFreq,'PDH Calc'!$K260/365)</f>
        <v>1</v>
      </c>
      <c r="R260" s="8">
        <f ca="1">_xll.HLV5r3.Analytics.Miscellaneous.Zero2DF(_xll.HLV5r3.Analytics.Miscellaneous.LinearInterp(Peturbed_QZ,$K260,1,R$1),ZeroCompFreq,'PDH Calc'!$K260/365)</f>
        <v>1</v>
      </c>
      <c r="S260" s="8">
        <f ca="1">_xll.HLV5r3.Analytics.Miscellaneous.Zero2DF(_xll.HLV5r3.Analytics.Miscellaneous.LinearInterp(Peturbed_QZ,$K260,1,S$1),ZeroCompFreq,'PDH Calc'!$K260/365)</f>
        <v>1</v>
      </c>
      <c r="T260" s="8">
        <f ca="1">_xll.HLV5r3.Analytics.Miscellaneous.Zero2DF(_xll.HLV5r3.Analytics.Miscellaneous.LinearInterp(Peturbed_QZ,$K260,1,T$1),ZeroCompFreq,'PDH Calc'!$K260/365)</f>
        <v>1</v>
      </c>
      <c r="U260" s="8">
        <f ca="1">_xll.HLV5r3.Analytics.Miscellaneous.Zero2DF(_xll.HLV5r3.Analytics.Miscellaneous.LinearInterp(Peturbed_QZ,$K260,1,U$1),ZeroCompFreq,'PDH Calc'!$K260/365)</f>
        <v>1</v>
      </c>
      <c r="V260" s="8">
        <f ca="1">_xll.HLV5r3.Analytics.Miscellaneous.Zero2DF(_xll.HLV5r3.Analytics.Miscellaneous.LinearInterp(Peturbed_QZ,$K260,1,V$1),ZeroCompFreq,'PDH Calc'!$K260/365)</f>
        <v>1</v>
      </c>
      <c r="W260" s="8">
        <f ca="1">_xll.HLV5r3.Analytics.Miscellaneous.Zero2DF(_xll.HLV5r3.Analytics.Miscellaneous.LinearInterp(Peturbed_QZ,$K260,1,W$1),ZeroCompFreq,'PDH Calc'!$K260/365)</f>
        <v>1</v>
      </c>
      <c r="X260" s="8">
        <f ca="1">_xll.HLV5r3.Analytics.Miscellaneous.Zero2DF(_xll.HLV5r3.Analytics.Miscellaneous.LinearInterp(Peturbed_QZ,$K260,1,X$1),ZeroCompFreq,'PDH Calc'!$K260/365)</f>
        <v>1</v>
      </c>
      <c r="Y260" s="8">
        <f ca="1">_xll.HLV5r3.Analytics.Miscellaneous.Zero2DF(_xll.HLV5r3.Analytics.Miscellaneous.LinearInterp(Peturbed_QZ,$K260,1,Y$1),ZeroCompFreq,'PDH Calc'!$K260/365)</f>
        <v>1</v>
      </c>
      <c r="Z260" s="8">
        <f ca="1">_xll.HLV5r3.Analytics.Miscellaneous.Zero2DF(_xll.HLV5r3.Analytics.Miscellaneous.LinearInterp(Peturbed_QZ,$K260,1,Z$1),ZeroCompFreq,'PDH Calc'!$K260/365)</f>
        <v>1</v>
      </c>
      <c r="AA260" s="8">
        <f ca="1">_xll.HLV5r3.Analytics.Miscellaneous.Zero2DF(_xll.HLV5r3.Analytics.Miscellaneous.LinearInterp(Peturbed_QZ,$K260,1,AA$1),ZeroCompFreq,'PDH Calc'!$K260/365)</f>
        <v>1</v>
      </c>
      <c r="AB260" s="8">
        <f ca="1">_xll.HLV5r3.Analytics.Miscellaneous.Zero2DF(_xll.HLV5r3.Analytics.Miscellaneous.LinearInterp(Peturbed_QZ,$K260,1,AB$1),ZeroCompFreq,'PDH Calc'!$K260/365)</f>
        <v>1</v>
      </c>
      <c r="AC260" s="8">
        <f ca="1">_xll.HLV5r3.Analytics.Miscellaneous.Zero2DF(_xll.HLV5r3.Analytics.Miscellaneous.LinearInterp(Peturbed_QZ,$K260,1,AC$1),ZeroCompFreq,'PDH Calc'!$K260/365)</f>
        <v>1</v>
      </c>
      <c r="AD260" s="8">
        <f ca="1">_xll.HLV5r3.Analytics.Miscellaneous.Zero2DF(_xll.HLV5r3.Analytics.Miscellaneous.LinearInterp(Peturbed_QZ,$K260,1,AD$1),ZeroCompFreq,'PDH Calc'!$K260/365)</f>
        <v>1</v>
      </c>
      <c r="AE260" s="8">
        <f ca="1">_xll.HLV5r3.Analytics.Miscellaneous.Zero2DF(_xll.HLV5r3.Analytics.Miscellaneous.LinearInterp(Peturbed_QZ,$K260,1,AE$1),ZeroCompFreq,'PDH Calc'!$K260/365)</f>
        <v>1</v>
      </c>
      <c r="AF260" s="8">
        <f ca="1">_xll.HLV5r3.Analytics.Miscellaneous.Zero2DF(_xll.HLV5r3.Analytics.Miscellaneous.LinearInterp(Peturbed_QZ,$K260,1,AF$1),ZeroCompFreq,'PDH Calc'!$K260/365)</f>
        <v>1</v>
      </c>
      <c r="AG260" s="8">
        <f ca="1">_xll.HLV5r3.Analytics.Miscellaneous.Zero2DF(_xll.HLV5r3.Analytics.Miscellaneous.LinearInterp(Peturbed_QZ,$K260,1,AG$1),ZeroCompFreq,'PDH Calc'!$K260/365)</f>
        <v>1</v>
      </c>
      <c r="AH260" s="8">
        <f ca="1">_xll.HLV5r3.Analytics.Miscellaneous.Zero2DF(_xll.HLV5r3.Analytics.Miscellaneous.LinearInterp(Peturbed_QZ,$K260,1,AH$1),ZeroCompFreq,'PDH Calc'!$K260/365)</f>
        <v>1</v>
      </c>
      <c r="AI260" s="8">
        <f ca="1">_xll.HLV5r3.Analytics.Miscellaneous.Zero2DF(_xll.HLV5r3.Analytics.Miscellaneous.LinearInterp(Peturbed_QZ,$K260,1,AI$1),ZeroCompFreq,'PDH Calc'!$K260/365)</f>
        <v>1</v>
      </c>
      <c r="AJ260" s="8">
        <f ca="1">_xll.HLV5r3.Analytics.Miscellaneous.Zero2DF(_xll.HLV5r3.Analytics.Miscellaneous.LinearInterp(Peturbed_QZ,$K260,1,AJ$1),ZeroCompFreq,'PDH Calc'!$K260/365)</f>
        <v>1</v>
      </c>
      <c r="AK260" s="8">
        <f ca="1">_xll.HLV5r3.Analytics.Miscellaneous.Zero2DF(_xll.HLV5r3.Analytics.Miscellaneous.LinearInterp(Peturbed_QZ,$K260,1,AK$1),ZeroCompFreq,'PDH Calc'!$K260/365)</f>
        <v>1</v>
      </c>
    </row>
    <row r="261" spans="1:37">
      <c r="A261" s="4"/>
      <c r="B261" s="6"/>
      <c r="F261" s="11"/>
      <c r="G261" s="6"/>
      <c r="H261" s="20"/>
      <c r="I261" s="21"/>
      <c r="J261" s="26"/>
      <c r="K261" s="6">
        <f t="shared" ca="1" si="10"/>
        <v>0</v>
      </c>
      <c r="L261" s="8">
        <f ca="1">_xll.HLV5r3.Analytics.Miscellaneous.Zero2DF(_xll.HLV5r3.Analytics.Miscellaneous.LinearInterp(Peturbed_QZ,$K261,1,L$1),ZeroCompFreq,'PDH Calc'!$K261/365)</f>
        <v>1</v>
      </c>
      <c r="M261" s="8">
        <f ca="1">_xll.HLV5r3.Analytics.Miscellaneous.Zero2DF(_xll.HLV5r3.Analytics.Miscellaneous.LinearInterp(Peturbed_QZ,$K261,1,M$1),ZeroCompFreq,'PDH Calc'!$K261/365)</f>
        <v>1</v>
      </c>
      <c r="N261" s="8">
        <f ca="1">_xll.HLV5r3.Analytics.Miscellaneous.Zero2DF(_xll.HLV5r3.Analytics.Miscellaneous.LinearInterp(Peturbed_QZ,$K261,1,N$1),ZeroCompFreq,'PDH Calc'!$K261/365)</f>
        <v>1</v>
      </c>
      <c r="O261" s="8">
        <f ca="1">_xll.HLV5r3.Analytics.Miscellaneous.Zero2DF(_xll.HLV5r3.Analytics.Miscellaneous.LinearInterp(Peturbed_QZ,$K261,1,O$1),ZeroCompFreq,'PDH Calc'!$K261/365)</f>
        <v>1</v>
      </c>
      <c r="P261" s="8">
        <f ca="1">_xll.HLV5r3.Analytics.Miscellaneous.Zero2DF(_xll.HLV5r3.Analytics.Miscellaneous.LinearInterp(Peturbed_QZ,$K261,1,P$1),ZeroCompFreq,'PDH Calc'!$K261/365)</f>
        <v>1</v>
      </c>
      <c r="Q261" s="8">
        <f ca="1">_xll.HLV5r3.Analytics.Miscellaneous.Zero2DF(_xll.HLV5r3.Analytics.Miscellaneous.LinearInterp(Peturbed_QZ,$K261,1,Q$1),ZeroCompFreq,'PDH Calc'!$K261/365)</f>
        <v>1</v>
      </c>
      <c r="R261" s="8">
        <f ca="1">_xll.HLV5r3.Analytics.Miscellaneous.Zero2DF(_xll.HLV5r3.Analytics.Miscellaneous.LinearInterp(Peturbed_QZ,$K261,1,R$1),ZeroCompFreq,'PDH Calc'!$K261/365)</f>
        <v>1</v>
      </c>
      <c r="S261" s="8">
        <f ca="1">_xll.HLV5r3.Analytics.Miscellaneous.Zero2DF(_xll.HLV5r3.Analytics.Miscellaneous.LinearInterp(Peturbed_QZ,$K261,1,S$1),ZeroCompFreq,'PDH Calc'!$K261/365)</f>
        <v>1</v>
      </c>
      <c r="T261" s="8">
        <f ca="1">_xll.HLV5r3.Analytics.Miscellaneous.Zero2DF(_xll.HLV5r3.Analytics.Miscellaneous.LinearInterp(Peturbed_QZ,$K261,1,T$1),ZeroCompFreq,'PDH Calc'!$K261/365)</f>
        <v>1</v>
      </c>
      <c r="U261" s="8">
        <f ca="1">_xll.HLV5r3.Analytics.Miscellaneous.Zero2DF(_xll.HLV5r3.Analytics.Miscellaneous.LinearInterp(Peturbed_QZ,$K261,1,U$1),ZeroCompFreq,'PDH Calc'!$K261/365)</f>
        <v>1</v>
      </c>
      <c r="V261" s="8">
        <f ca="1">_xll.HLV5r3.Analytics.Miscellaneous.Zero2DF(_xll.HLV5r3.Analytics.Miscellaneous.LinearInterp(Peturbed_QZ,$K261,1,V$1),ZeroCompFreq,'PDH Calc'!$K261/365)</f>
        <v>1</v>
      </c>
      <c r="W261" s="8">
        <f ca="1">_xll.HLV5r3.Analytics.Miscellaneous.Zero2DF(_xll.HLV5r3.Analytics.Miscellaneous.LinearInterp(Peturbed_QZ,$K261,1,W$1),ZeroCompFreq,'PDH Calc'!$K261/365)</f>
        <v>1</v>
      </c>
      <c r="X261" s="8">
        <f ca="1">_xll.HLV5r3.Analytics.Miscellaneous.Zero2DF(_xll.HLV5r3.Analytics.Miscellaneous.LinearInterp(Peturbed_QZ,$K261,1,X$1),ZeroCompFreq,'PDH Calc'!$K261/365)</f>
        <v>1</v>
      </c>
      <c r="Y261" s="8">
        <f ca="1">_xll.HLV5r3.Analytics.Miscellaneous.Zero2DF(_xll.HLV5r3.Analytics.Miscellaneous.LinearInterp(Peturbed_QZ,$K261,1,Y$1),ZeroCompFreq,'PDH Calc'!$K261/365)</f>
        <v>1</v>
      </c>
      <c r="Z261" s="8">
        <f ca="1">_xll.HLV5r3.Analytics.Miscellaneous.Zero2DF(_xll.HLV5r3.Analytics.Miscellaneous.LinearInterp(Peturbed_QZ,$K261,1,Z$1),ZeroCompFreq,'PDH Calc'!$K261/365)</f>
        <v>1</v>
      </c>
      <c r="AA261" s="8">
        <f ca="1">_xll.HLV5r3.Analytics.Miscellaneous.Zero2DF(_xll.HLV5r3.Analytics.Miscellaneous.LinearInterp(Peturbed_QZ,$K261,1,AA$1),ZeroCompFreq,'PDH Calc'!$K261/365)</f>
        <v>1</v>
      </c>
      <c r="AB261" s="8">
        <f ca="1">_xll.HLV5r3.Analytics.Miscellaneous.Zero2DF(_xll.HLV5r3.Analytics.Miscellaneous.LinearInterp(Peturbed_QZ,$K261,1,AB$1),ZeroCompFreq,'PDH Calc'!$K261/365)</f>
        <v>1</v>
      </c>
      <c r="AC261" s="8">
        <f ca="1">_xll.HLV5r3.Analytics.Miscellaneous.Zero2DF(_xll.HLV5r3.Analytics.Miscellaneous.LinearInterp(Peturbed_QZ,$K261,1,AC$1),ZeroCompFreq,'PDH Calc'!$K261/365)</f>
        <v>1</v>
      </c>
      <c r="AD261" s="8">
        <f ca="1">_xll.HLV5r3.Analytics.Miscellaneous.Zero2DF(_xll.HLV5r3.Analytics.Miscellaneous.LinearInterp(Peturbed_QZ,$K261,1,AD$1),ZeroCompFreq,'PDH Calc'!$K261/365)</f>
        <v>1</v>
      </c>
      <c r="AE261" s="8">
        <f ca="1">_xll.HLV5r3.Analytics.Miscellaneous.Zero2DF(_xll.HLV5r3.Analytics.Miscellaneous.LinearInterp(Peturbed_QZ,$K261,1,AE$1),ZeroCompFreq,'PDH Calc'!$K261/365)</f>
        <v>1</v>
      </c>
      <c r="AF261" s="8">
        <f ca="1">_xll.HLV5r3.Analytics.Miscellaneous.Zero2DF(_xll.HLV5r3.Analytics.Miscellaneous.LinearInterp(Peturbed_QZ,$K261,1,AF$1),ZeroCompFreq,'PDH Calc'!$K261/365)</f>
        <v>1</v>
      </c>
      <c r="AG261" s="8">
        <f ca="1">_xll.HLV5r3.Analytics.Miscellaneous.Zero2DF(_xll.HLV5r3.Analytics.Miscellaneous.LinearInterp(Peturbed_QZ,$K261,1,AG$1),ZeroCompFreq,'PDH Calc'!$K261/365)</f>
        <v>1</v>
      </c>
      <c r="AH261" s="8">
        <f ca="1">_xll.HLV5r3.Analytics.Miscellaneous.Zero2DF(_xll.HLV5r3.Analytics.Miscellaneous.LinearInterp(Peturbed_QZ,$K261,1,AH$1),ZeroCompFreq,'PDH Calc'!$K261/365)</f>
        <v>1</v>
      </c>
      <c r="AI261" s="8">
        <f ca="1">_xll.HLV5r3.Analytics.Miscellaneous.Zero2DF(_xll.HLV5r3.Analytics.Miscellaneous.LinearInterp(Peturbed_QZ,$K261,1,AI$1),ZeroCompFreq,'PDH Calc'!$K261/365)</f>
        <v>1</v>
      </c>
      <c r="AJ261" s="8">
        <f ca="1">_xll.HLV5r3.Analytics.Miscellaneous.Zero2DF(_xll.HLV5r3.Analytics.Miscellaneous.LinearInterp(Peturbed_QZ,$K261,1,AJ$1),ZeroCompFreq,'PDH Calc'!$K261/365)</f>
        <v>1</v>
      </c>
      <c r="AK261" s="8">
        <f ca="1">_xll.HLV5r3.Analytics.Miscellaneous.Zero2DF(_xll.HLV5r3.Analytics.Miscellaneous.LinearInterp(Peturbed_QZ,$K261,1,AK$1),ZeroCompFreq,'PDH Calc'!$K261/365)</f>
        <v>1</v>
      </c>
    </row>
    <row r="262" spans="1:37">
      <c r="A262" s="4"/>
      <c r="B262" s="6"/>
      <c r="F262" s="11"/>
      <c r="G262" s="6"/>
      <c r="H262" s="20"/>
      <c r="I262" s="21"/>
      <c r="J262" s="26"/>
      <c r="K262" s="6">
        <f t="shared" ca="1" si="10"/>
        <v>0</v>
      </c>
      <c r="L262" s="8">
        <f ca="1">_xll.HLV5r3.Analytics.Miscellaneous.Zero2DF(_xll.HLV5r3.Analytics.Miscellaneous.LinearInterp(Peturbed_QZ,$K262,1,L$1),ZeroCompFreq,'PDH Calc'!$K262/365)</f>
        <v>1</v>
      </c>
      <c r="M262" s="8">
        <f ca="1">_xll.HLV5r3.Analytics.Miscellaneous.Zero2DF(_xll.HLV5r3.Analytics.Miscellaneous.LinearInterp(Peturbed_QZ,$K262,1,M$1),ZeroCompFreq,'PDH Calc'!$K262/365)</f>
        <v>1</v>
      </c>
      <c r="N262" s="8">
        <f ca="1">_xll.HLV5r3.Analytics.Miscellaneous.Zero2DF(_xll.HLV5r3.Analytics.Miscellaneous.LinearInterp(Peturbed_QZ,$K262,1,N$1),ZeroCompFreq,'PDH Calc'!$K262/365)</f>
        <v>1</v>
      </c>
      <c r="O262" s="8">
        <f ca="1">_xll.HLV5r3.Analytics.Miscellaneous.Zero2DF(_xll.HLV5r3.Analytics.Miscellaneous.LinearInterp(Peturbed_QZ,$K262,1,O$1),ZeroCompFreq,'PDH Calc'!$K262/365)</f>
        <v>1</v>
      </c>
      <c r="P262" s="8">
        <f ca="1">_xll.HLV5r3.Analytics.Miscellaneous.Zero2DF(_xll.HLV5r3.Analytics.Miscellaneous.LinearInterp(Peturbed_QZ,$K262,1,P$1),ZeroCompFreq,'PDH Calc'!$K262/365)</f>
        <v>1</v>
      </c>
      <c r="Q262" s="8">
        <f ca="1">_xll.HLV5r3.Analytics.Miscellaneous.Zero2DF(_xll.HLV5r3.Analytics.Miscellaneous.LinearInterp(Peturbed_QZ,$K262,1,Q$1),ZeroCompFreq,'PDH Calc'!$K262/365)</f>
        <v>1</v>
      </c>
      <c r="R262" s="8">
        <f ca="1">_xll.HLV5r3.Analytics.Miscellaneous.Zero2DF(_xll.HLV5r3.Analytics.Miscellaneous.LinearInterp(Peturbed_QZ,$K262,1,R$1),ZeroCompFreq,'PDH Calc'!$K262/365)</f>
        <v>1</v>
      </c>
      <c r="S262" s="8">
        <f ca="1">_xll.HLV5r3.Analytics.Miscellaneous.Zero2DF(_xll.HLV5r3.Analytics.Miscellaneous.LinearInterp(Peturbed_QZ,$K262,1,S$1),ZeroCompFreq,'PDH Calc'!$K262/365)</f>
        <v>1</v>
      </c>
      <c r="T262" s="8">
        <f ca="1">_xll.HLV5r3.Analytics.Miscellaneous.Zero2DF(_xll.HLV5r3.Analytics.Miscellaneous.LinearInterp(Peturbed_QZ,$K262,1,T$1),ZeroCompFreq,'PDH Calc'!$K262/365)</f>
        <v>1</v>
      </c>
      <c r="U262" s="8">
        <f ca="1">_xll.HLV5r3.Analytics.Miscellaneous.Zero2DF(_xll.HLV5r3.Analytics.Miscellaneous.LinearInterp(Peturbed_QZ,$K262,1,U$1),ZeroCompFreq,'PDH Calc'!$K262/365)</f>
        <v>1</v>
      </c>
      <c r="V262" s="8">
        <f ca="1">_xll.HLV5r3.Analytics.Miscellaneous.Zero2DF(_xll.HLV5r3.Analytics.Miscellaneous.LinearInterp(Peturbed_QZ,$K262,1,V$1),ZeroCompFreq,'PDH Calc'!$K262/365)</f>
        <v>1</v>
      </c>
      <c r="W262" s="8">
        <f ca="1">_xll.HLV5r3.Analytics.Miscellaneous.Zero2DF(_xll.HLV5r3.Analytics.Miscellaneous.LinearInterp(Peturbed_QZ,$K262,1,W$1),ZeroCompFreq,'PDH Calc'!$K262/365)</f>
        <v>1</v>
      </c>
      <c r="X262" s="8">
        <f ca="1">_xll.HLV5r3.Analytics.Miscellaneous.Zero2DF(_xll.HLV5r3.Analytics.Miscellaneous.LinearInterp(Peturbed_QZ,$K262,1,X$1),ZeroCompFreq,'PDH Calc'!$K262/365)</f>
        <v>1</v>
      </c>
      <c r="Y262" s="8">
        <f ca="1">_xll.HLV5r3.Analytics.Miscellaneous.Zero2DF(_xll.HLV5r3.Analytics.Miscellaneous.LinearInterp(Peturbed_QZ,$K262,1,Y$1),ZeroCompFreq,'PDH Calc'!$K262/365)</f>
        <v>1</v>
      </c>
      <c r="Z262" s="8">
        <f ca="1">_xll.HLV5r3.Analytics.Miscellaneous.Zero2DF(_xll.HLV5r3.Analytics.Miscellaneous.LinearInterp(Peturbed_QZ,$K262,1,Z$1),ZeroCompFreq,'PDH Calc'!$K262/365)</f>
        <v>1</v>
      </c>
      <c r="AA262" s="8">
        <f ca="1">_xll.HLV5r3.Analytics.Miscellaneous.Zero2DF(_xll.HLV5r3.Analytics.Miscellaneous.LinearInterp(Peturbed_QZ,$K262,1,AA$1),ZeroCompFreq,'PDH Calc'!$K262/365)</f>
        <v>1</v>
      </c>
      <c r="AB262" s="8">
        <f ca="1">_xll.HLV5r3.Analytics.Miscellaneous.Zero2DF(_xll.HLV5r3.Analytics.Miscellaneous.LinearInterp(Peturbed_QZ,$K262,1,AB$1),ZeroCompFreq,'PDH Calc'!$K262/365)</f>
        <v>1</v>
      </c>
      <c r="AC262" s="8">
        <f ca="1">_xll.HLV5r3.Analytics.Miscellaneous.Zero2DF(_xll.HLV5r3.Analytics.Miscellaneous.LinearInterp(Peturbed_QZ,$K262,1,AC$1),ZeroCompFreq,'PDH Calc'!$K262/365)</f>
        <v>1</v>
      </c>
      <c r="AD262" s="8">
        <f ca="1">_xll.HLV5r3.Analytics.Miscellaneous.Zero2DF(_xll.HLV5r3.Analytics.Miscellaneous.LinearInterp(Peturbed_QZ,$K262,1,AD$1),ZeroCompFreq,'PDH Calc'!$K262/365)</f>
        <v>1</v>
      </c>
      <c r="AE262" s="8">
        <f ca="1">_xll.HLV5r3.Analytics.Miscellaneous.Zero2DF(_xll.HLV5r3.Analytics.Miscellaneous.LinearInterp(Peturbed_QZ,$K262,1,AE$1),ZeroCompFreq,'PDH Calc'!$K262/365)</f>
        <v>1</v>
      </c>
      <c r="AF262" s="8">
        <f ca="1">_xll.HLV5r3.Analytics.Miscellaneous.Zero2DF(_xll.HLV5r3.Analytics.Miscellaneous.LinearInterp(Peturbed_QZ,$K262,1,AF$1),ZeroCompFreq,'PDH Calc'!$K262/365)</f>
        <v>1</v>
      </c>
      <c r="AG262" s="8">
        <f ca="1">_xll.HLV5r3.Analytics.Miscellaneous.Zero2DF(_xll.HLV5r3.Analytics.Miscellaneous.LinearInterp(Peturbed_QZ,$K262,1,AG$1),ZeroCompFreq,'PDH Calc'!$K262/365)</f>
        <v>1</v>
      </c>
      <c r="AH262" s="8">
        <f ca="1">_xll.HLV5r3.Analytics.Miscellaneous.Zero2DF(_xll.HLV5r3.Analytics.Miscellaneous.LinearInterp(Peturbed_QZ,$K262,1,AH$1),ZeroCompFreq,'PDH Calc'!$K262/365)</f>
        <v>1</v>
      </c>
      <c r="AI262" s="8">
        <f ca="1">_xll.HLV5r3.Analytics.Miscellaneous.Zero2DF(_xll.HLV5r3.Analytics.Miscellaneous.LinearInterp(Peturbed_QZ,$K262,1,AI$1),ZeroCompFreq,'PDH Calc'!$K262/365)</f>
        <v>1</v>
      </c>
      <c r="AJ262" s="8">
        <f ca="1">_xll.HLV5r3.Analytics.Miscellaneous.Zero2DF(_xll.HLV5r3.Analytics.Miscellaneous.LinearInterp(Peturbed_QZ,$K262,1,AJ$1),ZeroCompFreq,'PDH Calc'!$K262/365)</f>
        <v>1</v>
      </c>
      <c r="AK262" s="8">
        <f ca="1">_xll.HLV5r3.Analytics.Miscellaneous.Zero2DF(_xll.HLV5r3.Analytics.Miscellaneous.LinearInterp(Peturbed_QZ,$K262,1,AK$1),ZeroCompFreq,'PDH Calc'!$K262/365)</f>
        <v>1</v>
      </c>
    </row>
    <row r="263" spans="1:37">
      <c r="A263" s="4"/>
      <c r="B263" s="6"/>
      <c r="F263" s="11"/>
      <c r="G263" s="6"/>
      <c r="H263" s="20"/>
      <c r="I263" s="21"/>
      <c r="J263" s="26"/>
      <c r="K263" s="6">
        <f t="shared" ca="1" si="10"/>
        <v>0</v>
      </c>
      <c r="L263" s="8">
        <f ca="1">_xll.HLV5r3.Analytics.Miscellaneous.Zero2DF(_xll.HLV5r3.Analytics.Miscellaneous.LinearInterp(Peturbed_QZ,$K263,1,L$1),ZeroCompFreq,'PDH Calc'!$K263/365)</f>
        <v>1</v>
      </c>
      <c r="M263" s="8">
        <f ca="1">_xll.HLV5r3.Analytics.Miscellaneous.Zero2DF(_xll.HLV5r3.Analytics.Miscellaneous.LinearInterp(Peturbed_QZ,$K263,1,M$1),ZeroCompFreq,'PDH Calc'!$K263/365)</f>
        <v>1</v>
      </c>
      <c r="N263" s="8">
        <f ca="1">_xll.HLV5r3.Analytics.Miscellaneous.Zero2DF(_xll.HLV5r3.Analytics.Miscellaneous.LinearInterp(Peturbed_QZ,$K263,1,N$1),ZeroCompFreq,'PDH Calc'!$K263/365)</f>
        <v>1</v>
      </c>
      <c r="O263" s="8">
        <f ca="1">_xll.HLV5r3.Analytics.Miscellaneous.Zero2DF(_xll.HLV5r3.Analytics.Miscellaneous.LinearInterp(Peturbed_QZ,$K263,1,O$1),ZeroCompFreq,'PDH Calc'!$K263/365)</f>
        <v>1</v>
      </c>
      <c r="P263" s="8">
        <f ca="1">_xll.HLV5r3.Analytics.Miscellaneous.Zero2DF(_xll.HLV5r3.Analytics.Miscellaneous.LinearInterp(Peturbed_QZ,$K263,1,P$1),ZeroCompFreq,'PDH Calc'!$K263/365)</f>
        <v>1</v>
      </c>
      <c r="Q263" s="8">
        <f ca="1">_xll.HLV5r3.Analytics.Miscellaneous.Zero2DF(_xll.HLV5r3.Analytics.Miscellaneous.LinearInterp(Peturbed_QZ,$K263,1,Q$1),ZeroCompFreq,'PDH Calc'!$K263/365)</f>
        <v>1</v>
      </c>
      <c r="R263" s="8">
        <f ca="1">_xll.HLV5r3.Analytics.Miscellaneous.Zero2DF(_xll.HLV5r3.Analytics.Miscellaneous.LinearInterp(Peturbed_QZ,$K263,1,R$1),ZeroCompFreq,'PDH Calc'!$K263/365)</f>
        <v>1</v>
      </c>
      <c r="S263" s="8">
        <f ca="1">_xll.HLV5r3.Analytics.Miscellaneous.Zero2DF(_xll.HLV5r3.Analytics.Miscellaneous.LinearInterp(Peturbed_QZ,$K263,1,S$1),ZeroCompFreq,'PDH Calc'!$K263/365)</f>
        <v>1</v>
      </c>
      <c r="T263" s="8">
        <f ca="1">_xll.HLV5r3.Analytics.Miscellaneous.Zero2DF(_xll.HLV5r3.Analytics.Miscellaneous.LinearInterp(Peturbed_QZ,$K263,1,T$1),ZeroCompFreq,'PDH Calc'!$K263/365)</f>
        <v>1</v>
      </c>
      <c r="U263" s="8">
        <f ca="1">_xll.HLV5r3.Analytics.Miscellaneous.Zero2DF(_xll.HLV5r3.Analytics.Miscellaneous.LinearInterp(Peturbed_QZ,$K263,1,U$1),ZeroCompFreq,'PDH Calc'!$K263/365)</f>
        <v>1</v>
      </c>
      <c r="V263" s="8">
        <f ca="1">_xll.HLV5r3.Analytics.Miscellaneous.Zero2DF(_xll.HLV5r3.Analytics.Miscellaneous.LinearInterp(Peturbed_QZ,$K263,1,V$1),ZeroCompFreq,'PDH Calc'!$K263/365)</f>
        <v>1</v>
      </c>
      <c r="W263" s="8">
        <f ca="1">_xll.HLV5r3.Analytics.Miscellaneous.Zero2DF(_xll.HLV5r3.Analytics.Miscellaneous.LinearInterp(Peturbed_QZ,$K263,1,W$1),ZeroCompFreq,'PDH Calc'!$K263/365)</f>
        <v>1</v>
      </c>
      <c r="X263" s="8">
        <f ca="1">_xll.HLV5r3.Analytics.Miscellaneous.Zero2DF(_xll.HLV5r3.Analytics.Miscellaneous.LinearInterp(Peturbed_QZ,$K263,1,X$1),ZeroCompFreq,'PDH Calc'!$K263/365)</f>
        <v>1</v>
      </c>
      <c r="Y263" s="8">
        <f ca="1">_xll.HLV5r3.Analytics.Miscellaneous.Zero2DF(_xll.HLV5r3.Analytics.Miscellaneous.LinearInterp(Peturbed_QZ,$K263,1,Y$1),ZeroCompFreq,'PDH Calc'!$K263/365)</f>
        <v>1</v>
      </c>
      <c r="Z263" s="8">
        <f ca="1">_xll.HLV5r3.Analytics.Miscellaneous.Zero2DF(_xll.HLV5r3.Analytics.Miscellaneous.LinearInterp(Peturbed_QZ,$K263,1,Z$1),ZeroCompFreq,'PDH Calc'!$K263/365)</f>
        <v>1</v>
      </c>
      <c r="AA263" s="8">
        <f ca="1">_xll.HLV5r3.Analytics.Miscellaneous.Zero2DF(_xll.HLV5r3.Analytics.Miscellaneous.LinearInterp(Peturbed_QZ,$K263,1,AA$1),ZeroCompFreq,'PDH Calc'!$K263/365)</f>
        <v>1</v>
      </c>
      <c r="AB263" s="8">
        <f ca="1">_xll.HLV5r3.Analytics.Miscellaneous.Zero2DF(_xll.HLV5r3.Analytics.Miscellaneous.LinearInterp(Peturbed_QZ,$K263,1,AB$1),ZeroCompFreq,'PDH Calc'!$K263/365)</f>
        <v>1</v>
      </c>
      <c r="AC263" s="8">
        <f ca="1">_xll.HLV5r3.Analytics.Miscellaneous.Zero2DF(_xll.HLV5r3.Analytics.Miscellaneous.LinearInterp(Peturbed_QZ,$K263,1,AC$1),ZeroCompFreq,'PDH Calc'!$K263/365)</f>
        <v>1</v>
      </c>
      <c r="AD263" s="8">
        <f ca="1">_xll.HLV5r3.Analytics.Miscellaneous.Zero2DF(_xll.HLV5r3.Analytics.Miscellaneous.LinearInterp(Peturbed_QZ,$K263,1,AD$1),ZeroCompFreq,'PDH Calc'!$K263/365)</f>
        <v>1</v>
      </c>
      <c r="AE263" s="8">
        <f ca="1">_xll.HLV5r3.Analytics.Miscellaneous.Zero2DF(_xll.HLV5r3.Analytics.Miscellaneous.LinearInterp(Peturbed_QZ,$K263,1,AE$1),ZeroCompFreq,'PDH Calc'!$K263/365)</f>
        <v>1</v>
      </c>
      <c r="AF263" s="8">
        <f ca="1">_xll.HLV5r3.Analytics.Miscellaneous.Zero2DF(_xll.HLV5r3.Analytics.Miscellaneous.LinearInterp(Peturbed_QZ,$K263,1,AF$1),ZeroCompFreq,'PDH Calc'!$K263/365)</f>
        <v>1</v>
      </c>
      <c r="AG263" s="8">
        <f ca="1">_xll.HLV5r3.Analytics.Miscellaneous.Zero2DF(_xll.HLV5r3.Analytics.Miscellaneous.LinearInterp(Peturbed_QZ,$K263,1,AG$1),ZeroCompFreq,'PDH Calc'!$K263/365)</f>
        <v>1</v>
      </c>
      <c r="AH263" s="8">
        <f ca="1">_xll.HLV5r3.Analytics.Miscellaneous.Zero2DF(_xll.HLV5r3.Analytics.Miscellaneous.LinearInterp(Peturbed_QZ,$K263,1,AH$1),ZeroCompFreq,'PDH Calc'!$K263/365)</f>
        <v>1</v>
      </c>
      <c r="AI263" s="8">
        <f ca="1">_xll.HLV5r3.Analytics.Miscellaneous.Zero2DF(_xll.HLV5r3.Analytics.Miscellaneous.LinearInterp(Peturbed_QZ,$K263,1,AI$1),ZeroCompFreq,'PDH Calc'!$K263/365)</f>
        <v>1</v>
      </c>
      <c r="AJ263" s="8">
        <f ca="1">_xll.HLV5r3.Analytics.Miscellaneous.Zero2DF(_xll.HLV5r3.Analytics.Miscellaneous.LinearInterp(Peturbed_QZ,$K263,1,AJ$1),ZeroCompFreq,'PDH Calc'!$K263/365)</f>
        <v>1</v>
      </c>
      <c r="AK263" s="8">
        <f ca="1">_xll.HLV5r3.Analytics.Miscellaneous.Zero2DF(_xll.HLV5r3.Analytics.Miscellaneous.LinearInterp(Peturbed_QZ,$K263,1,AK$1),ZeroCompFreq,'PDH Calc'!$K263/365)</f>
        <v>1</v>
      </c>
    </row>
    <row r="264" spans="1:37">
      <c r="A264" s="4"/>
      <c r="B264" s="6"/>
      <c r="F264" s="11"/>
      <c r="G264" s="6"/>
      <c r="H264" s="20"/>
      <c r="I264" s="21"/>
      <c r="J264" s="26"/>
      <c r="K264" s="6">
        <f t="shared" ca="1" si="10"/>
        <v>0</v>
      </c>
      <c r="L264" s="8">
        <f ca="1">_xll.HLV5r3.Analytics.Miscellaneous.Zero2DF(_xll.HLV5r3.Analytics.Miscellaneous.LinearInterp(Peturbed_QZ,$K264,1,L$1),ZeroCompFreq,'PDH Calc'!$K264/365)</f>
        <v>1</v>
      </c>
      <c r="M264" s="8">
        <f ca="1">_xll.HLV5r3.Analytics.Miscellaneous.Zero2DF(_xll.HLV5r3.Analytics.Miscellaneous.LinearInterp(Peturbed_QZ,$K264,1,M$1),ZeroCompFreq,'PDH Calc'!$K264/365)</f>
        <v>1</v>
      </c>
      <c r="N264" s="8">
        <f ca="1">_xll.HLV5r3.Analytics.Miscellaneous.Zero2DF(_xll.HLV5r3.Analytics.Miscellaneous.LinearInterp(Peturbed_QZ,$K264,1,N$1),ZeroCompFreq,'PDH Calc'!$K264/365)</f>
        <v>1</v>
      </c>
      <c r="O264" s="8">
        <f ca="1">_xll.HLV5r3.Analytics.Miscellaneous.Zero2DF(_xll.HLV5r3.Analytics.Miscellaneous.LinearInterp(Peturbed_QZ,$K264,1,O$1),ZeroCompFreq,'PDH Calc'!$K264/365)</f>
        <v>1</v>
      </c>
      <c r="P264" s="8">
        <f ca="1">_xll.HLV5r3.Analytics.Miscellaneous.Zero2DF(_xll.HLV5r3.Analytics.Miscellaneous.LinearInterp(Peturbed_QZ,$K264,1,P$1),ZeroCompFreq,'PDH Calc'!$K264/365)</f>
        <v>1</v>
      </c>
      <c r="Q264" s="8">
        <f ca="1">_xll.HLV5r3.Analytics.Miscellaneous.Zero2DF(_xll.HLV5r3.Analytics.Miscellaneous.LinearInterp(Peturbed_QZ,$K264,1,Q$1),ZeroCompFreq,'PDH Calc'!$K264/365)</f>
        <v>1</v>
      </c>
      <c r="R264" s="8">
        <f ca="1">_xll.HLV5r3.Analytics.Miscellaneous.Zero2DF(_xll.HLV5r3.Analytics.Miscellaneous.LinearInterp(Peturbed_QZ,$K264,1,R$1),ZeroCompFreq,'PDH Calc'!$K264/365)</f>
        <v>1</v>
      </c>
      <c r="S264" s="8">
        <f ca="1">_xll.HLV5r3.Analytics.Miscellaneous.Zero2DF(_xll.HLV5r3.Analytics.Miscellaneous.LinearInterp(Peturbed_QZ,$K264,1,S$1),ZeroCompFreq,'PDH Calc'!$K264/365)</f>
        <v>1</v>
      </c>
      <c r="T264" s="8">
        <f ca="1">_xll.HLV5r3.Analytics.Miscellaneous.Zero2DF(_xll.HLV5r3.Analytics.Miscellaneous.LinearInterp(Peturbed_QZ,$K264,1,T$1),ZeroCompFreq,'PDH Calc'!$K264/365)</f>
        <v>1</v>
      </c>
      <c r="U264" s="8">
        <f ca="1">_xll.HLV5r3.Analytics.Miscellaneous.Zero2DF(_xll.HLV5r3.Analytics.Miscellaneous.LinearInterp(Peturbed_QZ,$K264,1,U$1),ZeroCompFreq,'PDH Calc'!$K264/365)</f>
        <v>1</v>
      </c>
      <c r="V264" s="8">
        <f ca="1">_xll.HLV5r3.Analytics.Miscellaneous.Zero2DF(_xll.HLV5r3.Analytics.Miscellaneous.LinearInterp(Peturbed_QZ,$K264,1,V$1),ZeroCompFreq,'PDH Calc'!$K264/365)</f>
        <v>1</v>
      </c>
      <c r="W264" s="8">
        <f ca="1">_xll.HLV5r3.Analytics.Miscellaneous.Zero2DF(_xll.HLV5r3.Analytics.Miscellaneous.LinearInterp(Peturbed_QZ,$K264,1,W$1),ZeroCompFreq,'PDH Calc'!$K264/365)</f>
        <v>1</v>
      </c>
      <c r="X264" s="8">
        <f ca="1">_xll.HLV5r3.Analytics.Miscellaneous.Zero2DF(_xll.HLV5r3.Analytics.Miscellaneous.LinearInterp(Peturbed_QZ,$K264,1,X$1),ZeroCompFreq,'PDH Calc'!$K264/365)</f>
        <v>1</v>
      </c>
      <c r="Y264" s="8">
        <f ca="1">_xll.HLV5r3.Analytics.Miscellaneous.Zero2DF(_xll.HLV5r3.Analytics.Miscellaneous.LinearInterp(Peturbed_QZ,$K264,1,Y$1),ZeroCompFreq,'PDH Calc'!$K264/365)</f>
        <v>1</v>
      </c>
      <c r="Z264" s="8">
        <f ca="1">_xll.HLV5r3.Analytics.Miscellaneous.Zero2DF(_xll.HLV5r3.Analytics.Miscellaneous.LinearInterp(Peturbed_QZ,$K264,1,Z$1),ZeroCompFreq,'PDH Calc'!$K264/365)</f>
        <v>1</v>
      </c>
      <c r="AA264" s="8">
        <f ca="1">_xll.HLV5r3.Analytics.Miscellaneous.Zero2DF(_xll.HLV5r3.Analytics.Miscellaneous.LinearInterp(Peturbed_QZ,$K264,1,AA$1),ZeroCompFreq,'PDH Calc'!$K264/365)</f>
        <v>1</v>
      </c>
      <c r="AB264" s="8">
        <f ca="1">_xll.HLV5r3.Analytics.Miscellaneous.Zero2DF(_xll.HLV5r3.Analytics.Miscellaneous.LinearInterp(Peturbed_QZ,$K264,1,AB$1),ZeroCompFreq,'PDH Calc'!$K264/365)</f>
        <v>1</v>
      </c>
      <c r="AC264" s="8">
        <f ca="1">_xll.HLV5r3.Analytics.Miscellaneous.Zero2DF(_xll.HLV5r3.Analytics.Miscellaneous.LinearInterp(Peturbed_QZ,$K264,1,AC$1),ZeroCompFreq,'PDH Calc'!$K264/365)</f>
        <v>1</v>
      </c>
      <c r="AD264" s="8">
        <f ca="1">_xll.HLV5r3.Analytics.Miscellaneous.Zero2DF(_xll.HLV5r3.Analytics.Miscellaneous.LinearInterp(Peturbed_QZ,$K264,1,AD$1),ZeroCompFreq,'PDH Calc'!$K264/365)</f>
        <v>1</v>
      </c>
      <c r="AE264" s="8">
        <f ca="1">_xll.HLV5r3.Analytics.Miscellaneous.Zero2DF(_xll.HLV5r3.Analytics.Miscellaneous.LinearInterp(Peturbed_QZ,$K264,1,AE$1),ZeroCompFreq,'PDH Calc'!$K264/365)</f>
        <v>1</v>
      </c>
      <c r="AF264" s="8">
        <f ca="1">_xll.HLV5r3.Analytics.Miscellaneous.Zero2DF(_xll.HLV5r3.Analytics.Miscellaneous.LinearInterp(Peturbed_QZ,$K264,1,AF$1),ZeroCompFreq,'PDH Calc'!$K264/365)</f>
        <v>1</v>
      </c>
      <c r="AG264" s="8">
        <f ca="1">_xll.HLV5r3.Analytics.Miscellaneous.Zero2DF(_xll.HLV5r3.Analytics.Miscellaneous.LinearInterp(Peturbed_QZ,$K264,1,AG$1),ZeroCompFreq,'PDH Calc'!$K264/365)</f>
        <v>1</v>
      </c>
      <c r="AH264" s="8">
        <f ca="1">_xll.HLV5r3.Analytics.Miscellaneous.Zero2DF(_xll.HLV5r3.Analytics.Miscellaneous.LinearInterp(Peturbed_QZ,$K264,1,AH$1),ZeroCompFreq,'PDH Calc'!$K264/365)</f>
        <v>1</v>
      </c>
      <c r="AI264" s="8">
        <f ca="1">_xll.HLV5r3.Analytics.Miscellaneous.Zero2DF(_xll.HLV5r3.Analytics.Miscellaneous.LinearInterp(Peturbed_QZ,$K264,1,AI$1),ZeroCompFreq,'PDH Calc'!$K264/365)</f>
        <v>1</v>
      </c>
      <c r="AJ264" s="8">
        <f ca="1">_xll.HLV5r3.Analytics.Miscellaneous.Zero2DF(_xll.HLV5r3.Analytics.Miscellaneous.LinearInterp(Peturbed_QZ,$K264,1,AJ$1),ZeroCompFreq,'PDH Calc'!$K264/365)</f>
        <v>1</v>
      </c>
      <c r="AK264" s="8">
        <f ca="1">_xll.HLV5r3.Analytics.Miscellaneous.Zero2DF(_xll.HLV5r3.Analytics.Miscellaneous.LinearInterp(Peturbed_QZ,$K264,1,AK$1),ZeroCompFreq,'PDH Calc'!$K264/365)</f>
        <v>1</v>
      </c>
    </row>
    <row r="265" spans="1:37">
      <c r="A265" s="4"/>
      <c r="B265" s="6"/>
      <c r="F265" s="11"/>
      <c r="G265" s="6"/>
      <c r="H265" s="20"/>
      <c r="I265" s="21"/>
      <c r="J265" s="26"/>
      <c r="K265" s="6">
        <f t="shared" ca="1" si="10"/>
        <v>0</v>
      </c>
      <c r="L265" s="8">
        <f ca="1">_xll.HLV5r3.Analytics.Miscellaneous.Zero2DF(_xll.HLV5r3.Analytics.Miscellaneous.LinearInterp(Peturbed_QZ,$K265,1,L$1),ZeroCompFreq,'PDH Calc'!$K265/365)</f>
        <v>1</v>
      </c>
      <c r="M265" s="8">
        <f ca="1">_xll.HLV5r3.Analytics.Miscellaneous.Zero2DF(_xll.HLV5r3.Analytics.Miscellaneous.LinearInterp(Peturbed_QZ,$K265,1,M$1),ZeroCompFreq,'PDH Calc'!$K265/365)</f>
        <v>1</v>
      </c>
      <c r="N265" s="8">
        <f ca="1">_xll.HLV5r3.Analytics.Miscellaneous.Zero2DF(_xll.HLV5r3.Analytics.Miscellaneous.LinearInterp(Peturbed_QZ,$K265,1,N$1),ZeroCompFreq,'PDH Calc'!$K265/365)</f>
        <v>1</v>
      </c>
      <c r="O265" s="8">
        <f ca="1">_xll.HLV5r3.Analytics.Miscellaneous.Zero2DF(_xll.HLV5r3.Analytics.Miscellaneous.LinearInterp(Peturbed_QZ,$K265,1,O$1),ZeroCompFreq,'PDH Calc'!$K265/365)</f>
        <v>1</v>
      </c>
      <c r="P265" s="8">
        <f ca="1">_xll.HLV5r3.Analytics.Miscellaneous.Zero2DF(_xll.HLV5r3.Analytics.Miscellaneous.LinearInterp(Peturbed_QZ,$K265,1,P$1),ZeroCompFreq,'PDH Calc'!$K265/365)</f>
        <v>1</v>
      </c>
      <c r="Q265" s="8">
        <f ca="1">_xll.HLV5r3.Analytics.Miscellaneous.Zero2DF(_xll.HLV5r3.Analytics.Miscellaneous.LinearInterp(Peturbed_QZ,$K265,1,Q$1),ZeroCompFreq,'PDH Calc'!$K265/365)</f>
        <v>1</v>
      </c>
      <c r="R265" s="8">
        <f ca="1">_xll.HLV5r3.Analytics.Miscellaneous.Zero2DF(_xll.HLV5r3.Analytics.Miscellaneous.LinearInterp(Peturbed_QZ,$K265,1,R$1),ZeroCompFreq,'PDH Calc'!$K265/365)</f>
        <v>1</v>
      </c>
      <c r="S265" s="8">
        <f ca="1">_xll.HLV5r3.Analytics.Miscellaneous.Zero2DF(_xll.HLV5r3.Analytics.Miscellaneous.LinearInterp(Peturbed_QZ,$K265,1,S$1),ZeroCompFreq,'PDH Calc'!$K265/365)</f>
        <v>1</v>
      </c>
      <c r="T265" s="8">
        <f ca="1">_xll.HLV5r3.Analytics.Miscellaneous.Zero2DF(_xll.HLV5r3.Analytics.Miscellaneous.LinearInterp(Peturbed_QZ,$K265,1,T$1),ZeroCompFreq,'PDH Calc'!$K265/365)</f>
        <v>1</v>
      </c>
      <c r="U265" s="8">
        <f ca="1">_xll.HLV5r3.Analytics.Miscellaneous.Zero2DF(_xll.HLV5r3.Analytics.Miscellaneous.LinearInterp(Peturbed_QZ,$K265,1,U$1),ZeroCompFreq,'PDH Calc'!$K265/365)</f>
        <v>1</v>
      </c>
      <c r="V265" s="8">
        <f ca="1">_xll.HLV5r3.Analytics.Miscellaneous.Zero2DF(_xll.HLV5r3.Analytics.Miscellaneous.LinearInterp(Peturbed_QZ,$K265,1,V$1),ZeroCompFreq,'PDH Calc'!$K265/365)</f>
        <v>1</v>
      </c>
      <c r="W265" s="8">
        <f ca="1">_xll.HLV5r3.Analytics.Miscellaneous.Zero2DF(_xll.HLV5r3.Analytics.Miscellaneous.LinearInterp(Peturbed_QZ,$K265,1,W$1),ZeroCompFreq,'PDH Calc'!$K265/365)</f>
        <v>1</v>
      </c>
      <c r="X265" s="8">
        <f ca="1">_xll.HLV5r3.Analytics.Miscellaneous.Zero2DF(_xll.HLV5r3.Analytics.Miscellaneous.LinearInterp(Peturbed_QZ,$K265,1,X$1),ZeroCompFreq,'PDH Calc'!$K265/365)</f>
        <v>1</v>
      </c>
      <c r="Y265" s="8">
        <f ca="1">_xll.HLV5r3.Analytics.Miscellaneous.Zero2DF(_xll.HLV5r3.Analytics.Miscellaneous.LinearInterp(Peturbed_QZ,$K265,1,Y$1),ZeroCompFreq,'PDH Calc'!$K265/365)</f>
        <v>1</v>
      </c>
      <c r="Z265" s="8">
        <f ca="1">_xll.HLV5r3.Analytics.Miscellaneous.Zero2DF(_xll.HLV5r3.Analytics.Miscellaneous.LinearInterp(Peturbed_QZ,$K265,1,Z$1),ZeroCompFreq,'PDH Calc'!$K265/365)</f>
        <v>1</v>
      </c>
      <c r="AA265" s="8">
        <f ca="1">_xll.HLV5r3.Analytics.Miscellaneous.Zero2DF(_xll.HLV5r3.Analytics.Miscellaneous.LinearInterp(Peturbed_QZ,$K265,1,AA$1),ZeroCompFreq,'PDH Calc'!$K265/365)</f>
        <v>1</v>
      </c>
      <c r="AB265" s="8">
        <f ca="1">_xll.HLV5r3.Analytics.Miscellaneous.Zero2DF(_xll.HLV5r3.Analytics.Miscellaneous.LinearInterp(Peturbed_QZ,$K265,1,AB$1),ZeroCompFreq,'PDH Calc'!$K265/365)</f>
        <v>1</v>
      </c>
      <c r="AC265" s="8">
        <f ca="1">_xll.HLV5r3.Analytics.Miscellaneous.Zero2DF(_xll.HLV5r3.Analytics.Miscellaneous.LinearInterp(Peturbed_QZ,$K265,1,AC$1),ZeroCompFreq,'PDH Calc'!$K265/365)</f>
        <v>1</v>
      </c>
      <c r="AD265" s="8">
        <f ca="1">_xll.HLV5r3.Analytics.Miscellaneous.Zero2DF(_xll.HLV5r3.Analytics.Miscellaneous.LinearInterp(Peturbed_QZ,$K265,1,AD$1),ZeroCompFreq,'PDH Calc'!$K265/365)</f>
        <v>1</v>
      </c>
      <c r="AE265" s="8">
        <f ca="1">_xll.HLV5r3.Analytics.Miscellaneous.Zero2DF(_xll.HLV5r3.Analytics.Miscellaneous.LinearInterp(Peturbed_QZ,$K265,1,AE$1),ZeroCompFreq,'PDH Calc'!$K265/365)</f>
        <v>1</v>
      </c>
      <c r="AF265" s="8">
        <f ca="1">_xll.HLV5r3.Analytics.Miscellaneous.Zero2DF(_xll.HLV5r3.Analytics.Miscellaneous.LinearInterp(Peturbed_QZ,$K265,1,AF$1),ZeroCompFreq,'PDH Calc'!$K265/365)</f>
        <v>1</v>
      </c>
      <c r="AG265" s="8">
        <f ca="1">_xll.HLV5r3.Analytics.Miscellaneous.Zero2DF(_xll.HLV5r3.Analytics.Miscellaneous.LinearInterp(Peturbed_QZ,$K265,1,AG$1),ZeroCompFreq,'PDH Calc'!$K265/365)</f>
        <v>1</v>
      </c>
      <c r="AH265" s="8">
        <f ca="1">_xll.HLV5r3.Analytics.Miscellaneous.Zero2DF(_xll.HLV5r3.Analytics.Miscellaneous.LinearInterp(Peturbed_QZ,$K265,1,AH$1),ZeroCompFreq,'PDH Calc'!$K265/365)</f>
        <v>1</v>
      </c>
      <c r="AI265" s="8">
        <f ca="1">_xll.HLV5r3.Analytics.Miscellaneous.Zero2DF(_xll.HLV5r3.Analytics.Miscellaneous.LinearInterp(Peturbed_QZ,$K265,1,AI$1),ZeroCompFreq,'PDH Calc'!$K265/365)</f>
        <v>1</v>
      </c>
      <c r="AJ265" s="8">
        <f ca="1">_xll.HLV5r3.Analytics.Miscellaneous.Zero2DF(_xll.HLV5r3.Analytics.Miscellaneous.LinearInterp(Peturbed_QZ,$K265,1,AJ$1),ZeroCompFreq,'PDH Calc'!$K265/365)</f>
        <v>1</v>
      </c>
      <c r="AK265" s="8">
        <f ca="1">_xll.HLV5r3.Analytics.Miscellaneous.Zero2DF(_xll.HLV5r3.Analytics.Miscellaneous.LinearInterp(Peturbed_QZ,$K265,1,AK$1),ZeroCompFreq,'PDH Calc'!$K265/365)</f>
        <v>1</v>
      </c>
    </row>
    <row r="266" spans="1:37">
      <c r="A266" s="4"/>
      <c r="B266" s="6"/>
      <c r="F266" s="11"/>
      <c r="G266" s="6"/>
      <c r="H266" s="20"/>
      <c r="I266" s="21"/>
      <c r="J266" s="26"/>
      <c r="K266" s="6">
        <f t="shared" ca="1" si="10"/>
        <v>0</v>
      </c>
      <c r="L266" s="8">
        <f ca="1">_xll.HLV5r3.Analytics.Miscellaneous.Zero2DF(_xll.HLV5r3.Analytics.Miscellaneous.LinearInterp(Peturbed_QZ,$K266,1,L$1),ZeroCompFreq,'PDH Calc'!$K266/365)</f>
        <v>1</v>
      </c>
      <c r="M266" s="8">
        <f ca="1">_xll.HLV5r3.Analytics.Miscellaneous.Zero2DF(_xll.HLV5r3.Analytics.Miscellaneous.LinearInterp(Peturbed_QZ,$K266,1,M$1),ZeroCompFreq,'PDH Calc'!$K266/365)</f>
        <v>1</v>
      </c>
      <c r="N266" s="8">
        <f ca="1">_xll.HLV5r3.Analytics.Miscellaneous.Zero2DF(_xll.HLV5r3.Analytics.Miscellaneous.LinearInterp(Peturbed_QZ,$K266,1,N$1),ZeroCompFreq,'PDH Calc'!$K266/365)</f>
        <v>1</v>
      </c>
      <c r="O266" s="8">
        <f ca="1">_xll.HLV5r3.Analytics.Miscellaneous.Zero2DF(_xll.HLV5r3.Analytics.Miscellaneous.LinearInterp(Peturbed_QZ,$K266,1,O$1),ZeroCompFreq,'PDH Calc'!$K266/365)</f>
        <v>1</v>
      </c>
      <c r="P266" s="8">
        <f ca="1">_xll.HLV5r3.Analytics.Miscellaneous.Zero2DF(_xll.HLV5r3.Analytics.Miscellaneous.LinearInterp(Peturbed_QZ,$K266,1,P$1),ZeroCompFreq,'PDH Calc'!$K266/365)</f>
        <v>1</v>
      </c>
      <c r="Q266" s="8">
        <f ca="1">_xll.HLV5r3.Analytics.Miscellaneous.Zero2DF(_xll.HLV5r3.Analytics.Miscellaneous.LinearInterp(Peturbed_QZ,$K266,1,Q$1),ZeroCompFreq,'PDH Calc'!$K266/365)</f>
        <v>1</v>
      </c>
      <c r="R266" s="8">
        <f ca="1">_xll.HLV5r3.Analytics.Miscellaneous.Zero2DF(_xll.HLV5r3.Analytics.Miscellaneous.LinearInterp(Peturbed_QZ,$K266,1,R$1),ZeroCompFreq,'PDH Calc'!$K266/365)</f>
        <v>1</v>
      </c>
      <c r="S266" s="8">
        <f ca="1">_xll.HLV5r3.Analytics.Miscellaneous.Zero2DF(_xll.HLV5r3.Analytics.Miscellaneous.LinearInterp(Peturbed_QZ,$K266,1,S$1),ZeroCompFreq,'PDH Calc'!$K266/365)</f>
        <v>1</v>
      </c>
      <c r="T266" s="8">
        <f ca="1">_xll.HLV5r3.Analytics.Miscellaneous.Zero2DF(_xll.HLV5r3.Analytics.Miscellaneous.LinearInterp(Peturbed_QZ,$K266,1,T$1),ZeroCompFreq,'PDH Calc'!$K266/365)</f>
        <v>1</v>
      </c>
      <c r="U266" s="8">
        <f ca="1">_xll.HLV5r3.Analytics.Miscellaneous.Zero2DF(_xll.HLV5r3.Analytics.Miscellaneous.LinearInterp(Peturbed_QZ,$K266,1,U$1),ZeroCompFreq,'PDH Calc'!$K266/365)</f>
        <v>1</v>
      </c>
      <c r="V266" s="8">
        <f ca="1">_xll.HLV5r3.Analytics.Miscellaneous.Zero2DF(_xll.HLV5r3.Analytics.Miscellaneous.LinearInterp(Peturbed_QZ,$K266,1,V$1),ZeroCompFreq,'PDH Calc'!$K266/365)</f>
        <v>1</v>
      </c>
      <c r="W266" s="8">
        <f ca="1">_xll.HLV5r3.Analytics.Miscellaneous.Zero2DF(_xll.HLV5r3.Analytics.Miscellaneous.LinearInterp(Peturbed_QZ,$K266,1,W$1),ZeroCompFreq,'PDH Calc'!$K266/365)</f>
        <v>1</v>
      </c>
      <c r="X266" s="8">
        <f ca="1">_xll.HLV5r3.Analytics.Miscellaneous.Zero2DF(_xll.HLV5r3.Analytics.Miscellaneous.LinearInterp(Peturbed_QZ,$K266,1,X$1),ZeroCompFreq,'PDH Calc'!$K266/365)</f>
        <v>1</v>
      </c>
      <c r="Y266" s="8">
        <f ca="1">_xll.HLV5r3.Analytics.Miscellaneous.Zero2DF(_xll.HLV5r3.Analytics.Miscellaneous.LinearInterp(Peturbed_QZ,$K266,1,Y$1),ZeroCompFreq,'PDH Calc'!$K266/365)</f>
        <v>1</v>
      </c>
      <c r="Z266" s="8">
        <f ca="1">_xll.HLV5r3.Analytics.Miscellaneous.Zero2DF(_xll.HLV5r3.Analytics.Miscellaneous.LinearInterp(Peturbed_QZ,$K266,1,Z$1),ZeroCompFreq,'PDH Calc'!$K266/365)</f>
        <v>1</v>
      </c>
      <c r="AA266" s="8">
        <f ca="1">_xll.HLV5r3.Analytics.Miscellaneous.Zero2DF(_xll.HLV5r3.Analytics.Miscellaneous.LinearInterp(Peturbed_QZ,$K266,1,AA$1),ZeroCompFreq,'PDH Calc'!$K266/365)</f>
        <v>1</v>
      </c>
      <c r="AB266" s="8">
        <f ca="1">_xll.HLV5r3.Analytics.Miscellaneous.Zero2DF(_xll.HLV5r3.Analytics.Miscellaneous.LinearInterp(Peturbed_QZ,$K266,1,AB$1),ZeroCompFreq,'PDH Calc'!$K266/365)</f>
        <v>1</v>
      </c>
      <c r="AC266" s="8">
        <f ca="1">_xll.HLV5r3.Analytics.Miscellaneous.Zero2DF(_xll.HLV5r3.Analytics.Miscellaneous.LinearInterp(Peturbed_QZ,$K266,1,AC$1),ZeroCompFreq,'PDH Calc'!$K266/365)</f>
        <v>1</v>
      </c>
      <c r="AD266" s="8">
        <f ca="1">_xll.HLV5r3.Analytics.Miscellaneous.Zero2DF(_xll.HLV5r3.Analytics.Miscellaneous.LinearInterp(Peturbed_QZ,$K266,1,AD$1),ZeroCompFreq,'PDH Calc'!$K266/365)</f>
        <v>1</v>
      </c>
      <c r="AE266" s="8">
        <f ca="1">_xll.HLV5r3.Analytics.Miscellaneous.Zero2DF(_xll.HLV5r3.Analytics.Miscellaneous.LinearInterp(Peturbed_QZ,$K266,1,AE$1),ZeroCompFreq,'PDH Calc'!$K266/365)</f>
        <v>1</v>
      </c>
      <c r="AF266" s="8">
        <f ca="1">_xll.HLV5r3.Analytics.Miscellaneous.Zero2DF(_xll.HLV5r3.Analytics.Miscellaneous.LinearInterp(Peturbed_QZ,$K266,1,AF$1),ZeroCompFreq,'PDH Calc'!$K266/365)</f>
        <v>1</v>
      </c>
      <c r="AG266" s="8">
        <f ca="1">_xll.HLV5r3.Analytics.Miscellaneous.Zero2DF(_xll.HLV5r3.Analytics.Miscellaneous.LinearInterp(Peturbed_QZ,$K266,1,AG$1),ZeroCompFreq,'PDH Calc'!$K266/365)</f>
        <v>1</v>
      </c>
      <c r="AH266" s="8">
        <f ca="1">_xll.HLV5r3.Analytics.Miscellaneous.Zero2DF(_xll.HLV5r3.Analytics.Miscellaneous.LinearInterp(Peturbed_QZ,$K266,1,AH$1),ZeroCompFreq,'PDH Calc'!$K266/365)</f>
        <v>1</v>
      </c>
      <c r="AI266" s="8">
        <f ca="1">_xll.HLV5r3.Analytics.Miscellaneous.Zero2DF(_xll.HLV5r3.Analytics.Miscellaneous.LinearInterp(Peturbed_QZ,$K266,1,AI$1),ZeroCompFreq,'PDH Calc'!$K266/365)</f>
        <v>1</v>
      </c>
      <c r="AJ266" s="8">
        <f ca="1">_xll.HLV5r3.Analytics.Miscellaneous.Zero2DF(_xll.HLV5r3.Analytics.Miscellaneous.LinearInterp(Peturbed_QZ,$K266,1,AJ$1),ZeroCompFreq,'PDH Calc'!$K266/365)</f>
        <v>1</v>
      </c>
      <c r="AK266" s="8">
        <f ca="1">_xll.HLV5r3.Analytics.Miscellaneous.Zero2DF(_xll.HLV5r3.Analytics.Miscellaneous.LinearInterp(Peturbed_QZ,$K266,1,AK$1),ZeroCompFreq,'PDH Calc'!$K266/365)</f>
        <v>1</v>
      </c>
    </row>
    <row r="267" spans="1:37">
      <c r="A267" s="4"/>
      <c r="B267" s="6"/>
      <c r="F267" s="11"/>
      <c r="G267" s="6"/>
      <c r="H267" s="20"/>
      <c r="I267" s="21"/>
      <c r="J267" s="26"/>
      <c r="K267" s="6">
        <f t="shared" ca="1" si="10"/>
        <v>0</v>
      </c>
      <c r="L267" s="8">
        <f ca="1">_xll.HLV5r3.Analytics.Miscellaneous.Zero2DF(_xll.HLV5r3.Analytics.Miscellaneous.LinearInterp(Peturbed_QZ,$K267,1,L$1),ZeroCompFreq,'PDH Calc'!$K267/365)</f>
        <v>1</v>
      </c>
      <c r="M267" s="8">
        <f ca="1">_xll.HLV5r3.Analytics.Miscellaneous.Zero2DF(_xll.HLV5r3.Analytics.Miscellaneous.LinearInterp(Peturbed_QZ,$K267,1,M$1),ZeroCompFreq,'PDH Calc'!$K267/365)</f>
        <v>1</v>
      </c>
      <c r="N267" s="8">
        <f ca="1">_xll.HLV5r3.Analytics.Miscellaneous.Zero2DF(_xll.HLV5r3.Analytics.Miscellaneous.LinearInterp(Peturbed_QZ,$K267,1,N$1),ZeroCompFreq,'PDH Calc'!$K267/365)</f>
        <v>1</v>
      </c>
      <c r="O267" s="8">
        <f ca="1">_xll.HLV5r3.Analytics.Miscellaneous.Zero2DF(_xll.HLV5r3.Analytics.Miscellaneous.LinearInterp(Peturbed_QZ,$K267,1,O$1),ZeroCompFreq,'PDH Calc'!$K267/365)</f>
        <v>1</v>
      </c>
      <c r="P267" s="8">
        <f ca="1">_xll.HLV5r3.Analytics.Miscellaneous.Zero2DF(_xll.HLV5r3.Analytics.Miscellaneous.LinearInterp(Peturbed_QZ,$K267,1,P$1),ZeroCompFreq,'PDH Calc'!$K267/365)</f>
        <v>1</v>
      </c>
      <c r="Q267" s="8">
        <f ca="1">_xll.HLV5r3.Analytics.Miscellaneous.Zero2DF(_xll.HLV5r3.Analytics.Miscellaneous.LinearInterp(Peturbed_QZ,$K267,1,Q$1),ZeroCompFreq,'PDH Calc'!$K267/365)</f>
        <v>1</v>
      </c>
      <c r="R267" s="8">
        <f ca="1">_xll.HLV5r3.Analytics.Miscellaneous.Zero2DF(_xll.HLV5r3.Analytics.Miscellaneous.LinearInterp(Peturbed_QZ,$K267,1,R$1),ZeroCompFreq,'PDH Calc'!$K267/365)</f>
        <v>1</v>
      </c>
      <c r="S267" s="8">
        <f ca="1">_xll.HLV5r3.Analytics.Miscellaneous.Zero2DF(_xll.HLV5r3.Analytics.Miscellaneous.LinearInterp(Peturbed_QZ,$K267,1,S$1),ZeroCompFreq,'PDH Calc'!$K267/365)</f>
        <v>1</v>
      </c>
      <c r="T267" s="8">
        <f ca="1">_xll.HLV5r3.Analytics.Miscellaneous.Zero2DF(_xll.HLV5r3.Analytics.Miscellaneous.LinearInterp(Peturbed_QZ,$K267,1,T$1),ZeroCompFreq,'PDH Calc'!$K267/365)</f>
        <v>1</v>
      </c>
      <c r="U267" s="8">
        <f ca="1">_xll.HLV5r3.Analytics.Miscellaneous.Zero2DF(_xll.HLV5r3.Analytics.Miscellaneous.LinearInterp(Peturbed_QZ,$K267,1,U$1),ZeroCompFreq,'PDH Calc'!$K267/365)</f>
        <v>1</v>
      </c>
      <c r="V267" s="8">
        <f ca="1">_xll.HLV5r3.Analytics.Miscellaneous.Zero2DF(_xll.HLV5r3.Analytics.Miscellaneous.LinearInterp(Peturbed_QZ,$K267,1,V$1),ZeroCompFreq,'PDH Calc'!$K267/365)</f>
        <v>1</v>
      </c>
      <c r="W267" s="8">
        <f ca="1">_xll.HLV5r3.Analytics.Miscellaneous.Zero2DF(_xll.HLV5r3.Analytics.Miscellaneous.LinearInterp(Peturbed_QZ,$K267,1,W$1),ZeroCompFreq,'PDH Calc'!$K267/365)</f>
        <v>1</v>
      </c>
      <c r="X267" s="8">
        <f ca="1">_xll.HLV5r3.Analytics.Miscellaneous.Zero2DF(_xll.HLV5r3.Analytics.Miscellaneous.LinearInterp(Peturbed_QZ,$K267,1,X$1),ZeroCompFreq,'PDH Calc'!$K267/365)</f>
        <v>1</v>
      </c>
      <c r="Y267" s="8">
        <f ca="1">_xll.HLV5r3.Analytics.Miscellaneous.Zero2DF(_xll.HLV5r3.Analytics.Miscellaneous.LinearInterp(Peturbed_QZ,$K267,1,Y$1),ZeroCompFreq,'PDH Calc'!$K267/365)</f>
        <v>1</v>
      </c>
      <c r="Z267" s="8">
        <f ca="1">_xll.HLV5r3.Analytics.Miscellaneous.Zero2DF(_xll.HLV5r3.Analytics.Miscellaneous.LinearInterp(Peturbed_QZ,$K267,1,Z$1),ZeroCompFreq,'PDH Calc'!$K267/365)</f>
        <v>1</v>
      </c>
      <c r="AA267" s="8">
        <f ca="1">_xll.HLV5r3.Analytics.Miscellaneous.Zero2DF(_xll.HLV5r3.Analytics.Miscellaneous.LinearInterp(Peturbed_QZ,$K267,1,AA$1),ZeroCompFreq,'PDH Calc'!$K267/365)</f>
        <v>1</v>
      </c>
      <c r="AB267" s="8">
        <f ca="1">_xll.HLV5r3.Analytics.Miscellaneous.Zero2DF(_xll.HLV5r3.Analytics.Miscellaneous.LinearInterp(Peturbed_QZ,$K267,1,AB$1),ZeroCompFreq,'PDH Calc'!$K267/365)</f>
        <v>1</v>
      </c>
      <c r="AC267" s="8">
        <f ca="1">_xll.HLV5r3.Analytics.Miscellaneous.Zero2DF(_xll.HLV5r3.Analytics.Miscellaneous.LinearInterp(Peturbed_QZ,$K267,1,AC$1),ZeroCompFreq,'PDH Calc'!$K267/365)</f>
        <v>1</v>
      </c>
      <c r="AD267" s="8">
        <f ca="1">_xll.HLV5r3.Analytics.Miscellaneous.Zero2DF(_xll.HLV5r3.Analytics.Miscellaneous.LinearInterp(Peturbed_QZ,$K267,1,AD$1),ZeroCompFreq,'PDH Calc'!$K267/365)</f>
        <v>1</v>
      </c>
      <c r="AE267" s="8">
        <f ca="1">_xll.HLV5r3.Analytics.Miscellaneous.Zero2DF(_xll.HLV5r3.Analytics.Miscellaneous.LinearInterp(Peturbed_QZ,$K267,1,AE$1),ZeroCompFreq,'PDH Calc'!$K267/365)</f>
        <v>1</v>
      </c>
      <c r="AF267" s="8">
        <f ca="1">_xll.HLV5r3.Analytics.Miscellaneous.Zero2DF(_xll.HLV5r3.Analytics.Miscellaneous.LinearInterp(Peturbed_QZ,$K267,1,AF$1),ZeroCompFreq,'PDH Calc'!$K267/365)</f>
        <v>1</v>
      </c>
      <c r="AG267" s="8">
        <f ca="1">_xll.HLV5r3.Analytics.Miscellaneous.Zero2DF(_xll.HLV5r3.Analytics.Miscellaneous.LinearInterp(Peturbed_QZ,$K267,1,AG$1),ZeroCompFreq,'PDH Calc'!$K267/365)</f>
        <v>1</v>
      </c>
      <c r="AH267" s="8">
        <f ca="1">_xll.HLV5r3.Analytics.Miscellaneous.Zero2DF(_xll.HLV5r3.Analytics.Miscellaneous.LinearInterp(Peturbed_QZ,$K267,1,AH$1),ZeroCompFreq,'PDH Calc'!$K267/365)</f>
        <v>1</v>
      </c>
      <c r="AI267" s="8">
        <f ca="1">_xll.HLV5r3.Analytics.Miscellaneous.Zero2DF(_xll.HLV5r3.Analytics.Miscellaneous.LinearInterp(Peturbed_QZ,$K267,1,AI$1),ZeroCompFreq,'PDH Calc'!$K267/365)</f>
        <v>1</v>
      </c>
      <c r="AJ267" s="8">
        <f ca="1">_xll.HLV5r3.Analytics.Miscellaneous.Zero2DF(_xll.HLV5r3.Analytics.Miscellaneous.LinearInterp(Peturbed_QZ,$K267,1,AJ$1),ZeroCompFreq,'PDH Calc'!$K267/365)</f>
        <v>1</v>
      </c>
      <c r="AK267" s="8">
        <f ca="1">_xll.HLV5r3.Analytics.Miscellaneous.Zero2DF(_xll.HLV5r3.Analytics.Miscellaneous.LinearInterp(Peturbed_QZ,$K267,1,AK$1),ZeroCompFreq,'PDH Calc'!$K267/365)</f>
        <v>1</v>
      </c>
    </row>
    <row r="268" spans="1:37">
      <c r="A268" s="4"/>
      <c r="B268" s="6"/>
      <c r="F268" s="11"/>
      <c r="G268" s="6"/>
      <c r="H268" s="20"/>
      <c r="I268" s="21"/>
      <c r="J268" s="26"/>
      <c r="K268" s="6">
        <f t="shared" ca="1" si="10"/>
        <v>0</v>
      </c>
      <c r="L268" s="8">
        <f ca="1">_xll.HLV5r3.Analytics.Miscellaneous.Zero2DF(_xll.HLV5r3.Analytics.Miscellaneous.LinearInterp(Peturbed_QZ,$K268,1,L$1),ZeroCompFreq,'PDH Calc'!$K268/365)</f>
        <v>1</v>
      </c>
      <c r="M268" s="8">
        <f ca="1">_xll.HLV5r3.Analytics.Miscellaneous.Zero2DF(_xll.HLV5r3.Analytics.Miscellaneous.LinearInterp(Peturbed_QZ,$K268,1,M$1),ZeroCompFreq,'PDH Calc'!$K268/365)</f>
        <v>1</v>
      </c>
      <c r="N268" s="8">
        <f ca="1">_xll.HLV5r3.Analytics.Miscellaneous.Zero2DF(_xll.HLV5r3.Analytics.Miscellaneous.LinearInterp(Peturbed_QZ,$K268,1,N$1),ZeroCompFreq,'PDH Calc'!$K268/365)</f>
        <v>1</v>
      </c>
      <c r="O268" s="8">
        <f ca="1">_xll.HLV5r3.Analytics.Miscellaneous.Zero2DF(_xll.HLV5r3.Analytics.Miscellaneous.LinearInterp(Peturbed_QZ,$K268,1,O$1),ZeroCompFreq,'PDH Calc'!$K268/365)</f>
        <v>1</v>
      </c>
      <c r="P268" s="8">
        <f ca="1">_xll.HLV5r3.Analytics.Miscellaneous.Zero2DF(_xll.HLV5r3.Analytics.Miscellaneous.LinearInterp(Peturbed_QZ,$K268,1,P$1),ZeroCompFreq,'PDH Calc'!$K268/365)</f>
        <v>1</v>
      </c>
      <c r="Q268" s="8">
        <f ca="1">_xll.HLV5r3.Analytics.Miscellaneous.Zero2DF(_xll.HLV5r3.Analytics.Miscellaneous.LinearInterp(Peturbed_QZ,$K268,1,Q$1),ZeroCompFreq,'PDH Calc'!$K268/365)</f>
        <v>1</v>
      </c>
      <c r="R268" s="8">
        <f ca="1">_xll.HLV5r3.Analytics.Miscellaneous.Zero2DF(_xll.HLV5r3.Analytics.Miscellaneous.LinearInterp(Peturbed_QZ,$K268,1,R$1),ZeroCompFreq,'PDH Calc'!$K268/365)</f>
        <v>1</v>
      </c>
      <c r="S268" s="8">
        <f ca="1">_xll.HLV5r3.Analytics.Miscellaneous.Zero2DF(_xll.HLV5r3.Analytics.Miscellaneous.LinearInterp(Peturbed_QZ,$K268,1,S$1),ZeroCompFreq,'PDH Calc'!$K268/365)</f>
        <v>1</v>
      </c>
      <c r="T268" s="8">
        <f ca="1">_xll.HLV5r3.Analytics.Miscellaneous.Zero2DF(_xll.HLV5r3.Analytics.Miscellaneous.LinearInterp(Peturbed_QZ,$K268,1,T$1),ZeroCompFreq,'PDH Calc'!$K268/365)</f>
        <v>1</v>
      </c>
      <c r="U268" s="8">
        <f ca="1">_xll.HLV5r3.Analytics.Miscellaneous.Zero2DF(_xll.HLV5r3.Analytics.Miscellaneous.LinearInterp(Peturbed_QZ,$K268,1,U$1),ZeroCompFreq,'PDH Calc'!$K268/365)</f>
        <v>1</v>
      </c>
      <c r="V268" s="8">
        <f ca="1">_xll.HLV5r3.Analytics.Miscellaneous.Zero2DF(_xll.HLV5r3.Analytics.Miscellaneous.LinearInterp(Peturbed_QZ,$K268,1,V$1),ZeroCompFreq,'PDH Calc'!$K268/365)</f>
        <v>1</v>
      </c>
      <c r="W268" s="8">
        <f ca="1">_xll.HLV5r3.Analytics.Miscellaneous.Zero2DF(_xll.HLV5r3.Analytics.Miscellaneous.LinearInterp(Peturbed_QZ,$K268,1,W$1),ZeroCompFreq,'PDH Calc'!$K268/365)</f>
        <v>1</v>
      </c>
      <c r="X268" s="8">
        <f ca="1">_xll.HLV5r3.Analytics.Miscellaneous.Zero2DF(_xll.HLV5r3.Analytics.Miscellaneous.LinearInterp(Peturbed_QZ,$K268,1,X$1),ZeroCompFreq,'PDH Calc'!$K268/365)</f>
        <v>1</v>
      </c>
      <c r="Y268" s="8">
        <f ca="1">_xll.HLV5r3.Analytics.Miscellaneous.Zero2DF(_xll.HLV5r3.Analytics.Miscellaneous.LinearInterp(Peturbed_QZ,$K268,1,Y$1),ZeroCompFreq,'PDH Calc'!$K268/365)</f>
        <v>1</v>
      </c>
      <c r="Z268" s="8">
        <f ca="1">_xll.HLV5r3.Analytics.Miscellaneous.Zero2DF(_xll.HLV5r3.Analytics.Miscellaneous.LinearInterp(Peturbed_QZ,$K268,1,Z$1),ZeroCompFreq,'PDH Calc'!$K268/365)</f>
        <v>1</v>
      </c>
      <c r="AA268" s="8">
        <f ca="1">_xll.HLV5r3.Analytics.Miscellaneous.Zero2DF(_xll.HLV5r3.Analytics.Miscellaneous.LinearInterp(Peturbed_QZ,$K268,1,AA$1),ZeroCompFreq,'PDH Calc'!$K268/365)</f>
        <v>1</v>
      </c>
      <c r="AB268" s="8">
        <f ca="1">_xll.HLV5r3.Analytics.Miscellaneous.Zero2DF(_xll.HLV5r3.Analytics.Miscellaneous.LinearInterp(Peturbed_QZ,$K268,1,AB$1),ZeroCompFreq,'PDH Calc'!$K268/365)</f>
        <v>1</v>
      </c>
      <c r="AC268" s="8">
        <f ca="1">_xll.HLV5r3.Analytics.Miscellaneous.Zero2DF(_xll.HLV5r3.Analytics.Miscellaneous.LinearInterp(Peturbed_QZ,$K268,1,AC$1),ZeroCompFreq,'PDH Calc'!$K268/365)</f>
        <v>1</v>
      </c>
      <c r="AD268" s="8">
        <f ca="1">_xll.HLV5r3.Analytics.Miscellaneous.Zero2DF(_xll.HLV5r3.Analytics.Miscellaneous.LinearInterp(Peturbed_QZ,$K268,1,AD$1),ZeroCompFreq,'PDH Calc'!$K268/365)</f>
        <v>1</v>
      </c>
      <c r="AE268" s="8">
        <f ca="1">_xll.HLV5r3.Analytics.Miscellaneous.Zero2DF(_xll.HLV5r3.Analytics.Miscellaneous.LinearInterp(Peturbed_QZ,$K268,1,AE$1),ZeroCompFreq,'PDH Calc'!$K268/365)</f>
        <v>1</v>
      </c>
      <c r="AF268" s="8">
        <f ca="1">_xll.HLV5r3.Analytics.Miscellaneous.Zero2DF(_xll.HLV5r3.Analytics.Miscellaneous.LinearInterp(Peturbed_QZ,$K268,1,AF$1),ZeroCompFreq,'PDH Calc'!$K268/365)</f>
        <v>1</v>
      </c>
      <c r="AG268" s="8">
        <f ca="1">_xll.HLV5r3.Analytics.Miscellaneous.Zero2DF(_xll.HLV5r3.Analytics.Miscellaneous.LinearInterp(Peturbed_QZ,$K268,1,AG$1),ZeroCompFreq,'PDH Calc'!$K268/365)</f>
        <v>1</v>
      </c>
      <c r="AH268" s="8">
        <f ca="1">_xll.HLV5r3.Analytics.Miscellaneous.Zero2DF(_xll.HLV5r3.Analytics.Miscellaneous.LinearInterp(Peturbed_QZ,$K268,1,AH$1),ZeroCompFreq,'PDH Calc'!$K268/365)</f>
        <v>1</v>
      </c>
      <c r="AI268" s="8">
        <f ca="1">_xll.HLV5r3.Analytics.Miscellaneous.Zero2DF(_xll.HLV5r3.Analytics.Miscellaneous.LinearInterp(Peturbed_QZ,$K268,1,AI$1),ZeroCompFreq,'PDH Calc'!$K268/365)</f>
        <v>1</v>
      </c>
      <c r="AJ268" s="8">
        <f ca="1">_xll.HLV5r3.Analytics.Miscellaneous.Zero2DF(_xll.HLV5r3.Analytics.Miscellaneous.LinearInterp(Peturbed_QZ,$K268,1,AJ$1),ZeroCompFreq,'PDH Calc'!$K268/365)</f>
        <v>1</v>
      </c>
      <c r="AK268" s="8">
        <f ca="1">_xll.HLV5r3.Analytics.Miscellaneous.Zero2DF(_xll.HLV5r3.Analytics.Miscellaneous.LinearInterp(Peturbed_QZ,$K268,1,AK$1),ZeroCompFreq,'PDH Calc'!$K268/365)</f>
        <v>1</v>
      </c>
    </row>
    <row r="269" spans="1:37">
      <c r="A269" s="4"/>
      <c r="B269" s="6"/>
      <c r="F269" s="11"/>
      <c r="G269" s="6"/>
      <c r="H269" s="20"/>
      <c r="I269" s="21"/>
      <c r="J269" s="26"/>
      <c r="K269" s="6">
        <f t="shared" ca="1" si="10"/>
        <v>0</v>
      </c>
      <c r="L269" s="8">
        <f ca="1">_xll.HLV5r3.Analytics.Miscellaneous.Zero2DF(_xll.HLV5r3.Analytics.Miscellaneous.LinearInterp(Peturbed_QZ,$K269,1,L$1),ZeroCompFreq,'PDH Calc'!$K269/365)</f>
        <v>1</v>
      </c>
      <c r="M269" s="8">
        <f ca="1">_xll.HLV5r3.Analytics.Miscellaneous.Zero2DF(_xll.HLV5r3.Analytics.Miscellaneous.LinearInterp(Peturbed_QZ,$K269,1,M$1),ZeroCompFreq,'PDH Calc'!$K269/365)</f>
        <v>1</v>
      </c>
      <c r="N269" s="8">
        <f ca="1">_xll.HLV5r3.Analytics.Miscellaneous.Zero2DF(_xll.HLV5r3.Analytics.Miscellaneous.LinearInterp(Peturbed_QZ,$K269,1,N$1),ZeroCompFreq,'PDH Calc'!$K269/365)</f>
        <v>1</v>
      </c>
      <c r="O269" s="8">
        <f ca="1">_xll.HLV5r3.Analytics.Miscellaneous.Zero2DF(_xll.HLV5r3.Analytics.Miscellaneous.LinearInterp(Peturbed_QZ,$K269,1,O$1),ZeroCompFreq,'PDH Calc'!$K269/365)</f>
        <v>1</v>
      </c>
      <c r="P269" s="8">
        <f ca="1">_xll.HLV5r3.Analytics.Miscellaneous.Zero2DF(_xll.HLV5r3.Analytics.Miscellaneous.LinearInterp(Peturbed_QZ,$K269,1,P$1),ZeroCompFreq,'PDH Calc'!$K269/365)</f>
        <v>1</v>
      </c>
      <c r="Q269" s="8">
        <f ca="1">_xll.HLV5r3.Analytics.Miscellaneous.Zero2DF(_xll.HLV5r3.Analytics.Miscellaneous.LinearInterp(Peturbed_QZ,$K269,1,Q$1),ZeroCompFreq,'PDH Calc'!$K269/365)</f>
        <v>1</v>
      </c>
      <c r="R269" s="8">
        <f ca="1">_xll.HLV5r3.Analytics.Miscellaneous.Zero2DF(_xll.HLV5r3.Analytics.Miscellaneous.LinearInterp(Peturbed_QZ,$K269,1,R$1),ZeroCompFreq,'PDH Calc'!$K269/365)</f>
        <v>1</v>
      </c>
      <c r="S269" s="8">
        <f ca="1">_xll.HLV5r3.Analytics.Miscellaneous.Zero2DF(_xll.HLV5r3.Analytics.Miscellaneous.LinearInterp(Peturbed_QZ,$K269,1,S$1),ZeroCompFreq,'PDH Calc'!$K269/365)</f>
        <v>1</v>
      </c>
      <c r="T269" s="8">
        <f ca="1">_xll.HLV5r3.Analytics.Miscellaneous.Zero2DF(_xll.HLV5r3.Analytics.Miscellaneous.LinearInterp(Peturbed_QZ,$K269,1,T$1),ZeroCompFreq,'PDH Calc'!$K269/365)</f>
        <v>1</v>
      </c>
      <c r="U269" s="8">
        <f ca="1">_xll.HLV5r3.Analytics.Miscellaneous.Zero2DF(_xll.HLV5r3.Analytics.Miscellaneous.LinearInterp(Peturbed_QZ,$K269,1,U$1),ZeroCompFreq,'PDH Calc'!$K269/365)</f>
        <v>1</v>
      </c>
      <c r="V269" s="8">
        <f ca="1">_xll.HLV5r3.Analytics.Miscellaneous.Zero2DF(_xll.HLV5r3.Analytics.Miscellaneous.LinearInterp(Peturbed_QZ,$K269,1,V$1),ZeroCompFreq,'PDH Calc'!$K269/365)</f>
        <v>1</v>
      </c>
      <c r="W269" s="8">
        <f ca="1">_xll.HLV5r3.Analytics.Miscellaneous.Zero2DF(_xll.HLV5r3.Analytics.Miscellaneous.LinearInterp(Peturbed_QZ,$K269,1,W$1),ZeroCompFreq,'PDH Calc'!$K269/365)</f>
        <v>1</v>
      </c>
      <c r="X269" s="8">
        <f ca="1">_xll.HLV5r3.Analytics.Miscellaneous.Zero2DF(_xll.HLV5r3.Analytics.Miscellaneous.LinearInterp(Peturbed_QZ,$K269,1,X$1),ZeroCompFreq,'PDH Calc'!$K269/365)</f>
        <v>1</v>
      </c>
      <c r="Y269" s="8">
        <f ca="1">_xll.HLV5r3.Analytics.Miscellaneous.Zero2DF(_xll.HLV5r3.Analytics.Miscellaneous.LinearInterp(Peturbed_QZ,$K269,1,Y$1),ZeroCompFreq,'PDH Calc'!$K269/365)</f>
        <v>1</v>
      </c>
      <c r="Z269" s="8">
        <f ca="1">_xll.HLV5r3.Analytics.Miscellaneous.Zero2DF(_xll.HLV5r3.Analytics.Miscellaneous.LinearInterp(Peturbed_QZ,$K269,1,Z$1),ZeroCompFreq,'PDH Calc'!$K269/365)</f>
        <v>1</v>
      </c>
      <c r="AA269" s="8">
        <f ca="1">_xll.HLV5r3.Analytics.Miscellaneous.Zero2DF(_xll.HLV5r3.Analytics.Miscellaneous.LinearInterp(Peturbed_QZ,$K269,1,AA$1),ZeroCompFreq,'PDH Calc'!$K269/365)</f>
        <v>1</v>
      </c>
      <c r="AB269" s="8">
        <f ca="1">_xll.HLV5r3.Analytics.Miscellaneous.Zero2DF(_xll.HLV5r3.Analytics.Miscellaneous.LinearInterp(Peturbed_QZ,$K269,1,AB$1),ZeroCompFreq,'PDH Calc'!$K269/365)</f>
        <v>1</v>
      </c>
      <c r="AC269" s="8">
        <f ca="1">_xll.HLV5r3.Analytics.Miscellaneous.Zero2DF(_xll.HLV5r3.Analytics.Miscellaneous.LinearInterp(Peturbed_QZ,$K269,1,AC$1),ZeroCompFreq,'PDH Calc'!$K269/365)</f>
        <v>1</v>
      </c>
      <c r="AD269" s="8">
        <f ca="1">_xll.HLV5r3.Analytics.Miscellaneous.Zero2DF(_xll.HLV5r3.Analytics.Miscellaneous.LinearInterp(Peturbed_QZ,$K269,1,AD$1),ZeroCompFreq,'PDH Calc'!$K269/365)</f>
        <v>1</v>
      </c>
      <c r="AE269" s="8">
        <f ca="1">_xll.HLV5r3.Analytics.Miscellaneous.Zero2DF(_xll.HLV5r3.Analytics.Miscellaneous.LinearInterp(Peturbed_QZ,$K269,1,AE$1),ZeroCompFreq,'PDH Calc'!$K269/365)</f>
        <v>1</v>
      </c>
      <c r="AF269" s="8">
        <f ca="1">_xll.HLV5r3.Analytics.Miscellaneous.Zero2DF(_xll.HLV5r3.Analytics.Miscellaneous.LinearInterp(Peturbed_QZ,$K269,1,AF$1),ZeroCompFreq,'PDH Calc'!$K269/365)</f>
        <v>1</v>
      </c>
      <c r="AG269" s="8">
        <f ca="1">_xll.HLV5r3.Analytics.Miscellaneous.Zero2DF(_xll.HLV5r3.Analytics.Miscellaneous.LinearInterp(Peturbed_QZ,$K269,1,AG$1),ZeroCompFreq,'PDH Calc'!$K269/365)</f>
        <v>1</v>
      </c>
      <c r="AH269" s="8">
        <f ca="1">_xll.HLV5r3.Analytics.Miscellaneous.Zero2DF(_xll.HLV5r3.Analytics.Miscellaneous.LinearInterp(Peturbed_QZ,$K269,1,AH$1),ZeroCompFreq,'PDH Calc'!$K269/365)</f>
        <v>1</v>
      </c>
      <c r="AI269" s="8">
        <f ca="1">_xll.HLV5r3.Analytics.Miscellaneous.Zero2DF(_xll.HLV5r3.Analytics.Miscellaneous.LinearInterp(Peturbed_QZ,$K269,1,AI$1),ZeroCompFreq,'PDH Calc'!$K269/365)</f>
        <v>1</v>
      </c>
      <c r="AJ269" s="8">
        <f ca="1">_xll.HLV5r3.Analytics.Miscellaneous.Zero2DF(_xll.HLV5r3.Analytics.Miscellaneous.LinearInterp(Peturbed_QZ,$K269,1,AJ$1),ZeroCompFreq,'PDH Calc'!$K269/365)</f>
        <v>1</v>
      </c>
      <c r="AK269" s="8">
        <f ca="1">_xll.HLV5r3.Analytics.Miscellaneous.Zero2DF(_xll.HLV5r3.Analytics.Miscellaneous.LinearInterp(Peturbed_QZ,$K269,1,AK$1),ZeroCompFreq,'PDH Calc'!$K269/365)</f>
        <v>1</v>
      </c>
    </row>
    <row r="270" spans="1:37">
      <c r="A270" s="4"/>
      <c r="B270" s="6"/>
      <c r="F270" s="11"/>
      <c r="G270" s="6"/>
      <c r="H270" s="20"/>
      <c r="I270" s="21"/>
      <c r="J270" s="26"/>
      <c r="K270" s="6">
        <f t="shared" ca="1" si="10"/>
        <v>0</v>
      </c>
      <c r="L270" s="8">
        <f ca="1">_xll.HLV5r3.Analytics.Miscellaneous.Zero2DF(_xll.HLV5r3.Analytics.Miscellaneous.LinearInterp(Peturbed_QZ,$K270,1,L$1),ZeroCompFreq,'PDH Calc'!$K270/365)</f>
        <v>1</v>
      </c>
      <c r="M270" s="8">
        <f ca="1">_xll.HLV5r3.Analytics.Miscellaneous.Zero2DF(_xll.HLV5r3.Analytics.Miscellaneous.LinearInterp(Peturbed_QZ,$K270,1,M$1),ZeroCompFreq,'PDH Calc'!$K270/365)</f>
        <v>1</v>
      </c>
      <c r="N270" s="8">
        <f ca="1">_xll.HLV5r3.Analytics.Miscellaneous.Zero2DF(_xll.HLV5r3.Analytics.Miscellaneous.LinearInterp(Peturbed_QZ,$K270,1,N$1),ZeroCompFreq,'PDH Calc'!$K270/365)</f>
        <v>1</v>
      </c>
      <c r="O270" s="8">
        <f ca="1">_xll.HLV5r3.Analytics.Miscellaneous.Zero2DF(_xll.HLV5r3.Analytics.Miscellaneous.LinearInterp(Peturbed_QZ,$K270,1,O$1),ZeroCompFreq,'PDH Calc'!$K270/365)</f>
        <v>1</v>
      </c>
      <c r="P270" s="8">
        <f ca="1">_xll.HLV5r3.Analytics.Miscellaneous.Zero2DF(_xll.HLV5r3.Analytics.Miscellaneous.LinearInterp(Peturbed_QZ,$K270,1,P$1),ZeroCompFreq,'PDH Calc'!$K270/365)</f>
        <v>1</v>
      </c>
      <c r="Q270" s="8">
        <f ca="1">_xll.HLV5r3.Analytics.Miscellaneous.Zero2DF(_xll.HLV5r3.Analytics.Miscellaneous.LinearInterp(Peturbed_QZ,$K270,1,Q$1),ZeroCompFreq,'PDH Calc'!$K270/365)</f>
        <v>1</v>
      </c>
      <c r="R270" s="8">
        <f ca="1">_xll.HLV5r3.Analytics.Miscellaneous.Zero2DF(_xll.HLV5r3.Analytics.Miscellaneous.LinearInterp(Peturbed_QZ,$K270,1,R$1),ZeroCompFreq,'PDH Calc'!$K270/365)</f>
        <v>1</v>
      </c>
      <c r="S270" s="8">
        <f ca="1">_xll.HLV5r3.Analytics.Miscellaneous.Zero2DF(_xll.HLV5r3.Analytics.Miscellaneous.LinearInterp(Peturbed_QZ,$K270,1,S$1),ZeroCompFreq,'PDH Calc'!$K270/365)</f>
        <v>1</v>
      </c>
      <c r="T270" s="8">
        <f ca="1">_xll.HLV5r3.Analytics.Miscellaneous.Zero2DF(_xll.HLV5r3.Analytics.Miscellaneous.LinearInterp(Peturbed_QZ,$K270,1,T$1),ZeroCompFreq,'PDH Calc'!$K270/365)</f>
        <v>1</v>
      </c>
      <c r="U270" s="8">
        <f ca="1">_xll.HLV5r3.Analytics.Miscellaneous.Zero2DF(_xll.HLV5r3.Analytics.Miscellaneous.LinearInterp(Peturbed_QZ,$K270,1,U$1),ZeroCompFreq,'PDH Calc'!$K270/365)</f>
        <v>1</v>
      </c>
      <c r="V270" s="8">
        <f ca="1">_xll.HLV5r3.Analytics.Miscellaneous.Zero2DF(_xll.HLV5r3.Analytics.Miscellaneous.LinearInterp(Peturbed_QZ,$K270,1,V$1),ZeroCompFreq,'PDH Calc'!$K270/365)</f>
        <v>1</v>
      </c>
      <c r="W270" s="8">
        <f ca="1">_xll.HLV5r3.Analytics.Miscellaneous.Zero2DF(_xll.HLV5r3.Analytics.Miscellaneous.LinearInterp(Peturbed_QZ,$K270,1,W$1),ZeroCompFreq,'PDH Calc'!$K270/365)</f>
        <v>1</v>
      </c>
      <c r="X270" s="8">
        <f ca="1">_xll.HLV5r3.Analytics.Miscellaneous.Zero2DF(_xll.HLV5r3.Analytics.Miscellaneous.LinearInterp(Peturbed_QZ,$K270,1,X$1),ZeroCompFreq,'PDH Calc'!$K270/365)</f>
        <v>1</v>
      </c>
      <c r="Y270" s="8">
        <f ca="1">_xll.HLV5r3.Analytics.Miscellaneous.Zero2DF(_xll.HLV5r3.Analytics.Miscellaneous.LinearInterp(Peturbed_QZ,$K270,1,Y$1),ZeroCompFreq,'PDH Calc'!$K270/365)</f>
        <v>1</v>
      </c>
      <c r="Z270" s="8">
        <f ca="1">_xll.HLV5r3.Analytics.Miscellaneous.Zero2DF(_xll.HLV5r3.Analytics.Miscellaneous.LinearInterp(Peturbed_QZ,$K270,1,Z$1),ZeroCompFreq,'PDH Calc'!$K270/365)</f>
        <v>1</v>
      </c>
      <c r="AA270" s="8">
        <f ca="1">_xll.HLV5r3.Analytics.Miscellaneous.Zero2DF(_xll.HLV5r3.Analytics.Miscellaneous.LinearInterp(Peturbed_QZ,$K270,1,AA$1),ZeroCompFreq,'PDH Calc'!$K270/365)</f>
        <v>1</v>
      </c>
      <c r="AB270" s="8">
        <f ca="1">_xll.HLV5r3.Analytics.Miscellaneous.Zero2DF(_xll.HLV5r3.Analytics.Miscellaneous.LinearInterp(Peturbed_QZ,$K270,1,AB$1),ZeroCompFreq,'PDH Calc'!$K270/365)</f>
        <v>1</v>
      </c>
      <c r="AC270" s="8">
        <f ca="1">_xll.HLV5r3.Analytics.Miscellaneous.Zero2DF(_xll.HLV5r3.Analytics.Miscellaneous.LinearInterp(Peturbed_QZ,$K270,1,AC$1),ZeroCompFreq,'PDH Calc'!$K270/365)</f>
        <v>1</v>
      </c>
      <c r="AD270" s="8">
        <f ca="1">_xll.HLV5r3.Analytics.Miscellaneous.Zero2DF(_xll.HLV5r3.Analytics.Miscellaneous.LinearInterp(Peturbed_QZ,$K270,1,AD$1),ZeroCompFreq,'PDH Calc'!$K270/365)</f>
        <v>1</v>
      </c>
      <c r="AE270" s="8">
        <f ca="1">_xll.HLV5r3.Analytics.Miscellaneous.Zero2DF(_xll.HLV5r3.Analytics.Miscellaneous.LinearInterp(Peturbed_QZ,$K270,1,AE$1),ZeroCompFreq,'PDH Calc'!$K270/365)</f>
        <v>1</v>
      </c>
      <c r="AF270" s="8">
        <f ca="1">_xll.HLV5r3.Analytics.Miscellaneous.Zero2DF(_xll.HLV5r3.Analytics.Miscellaneous.LinearInterp(Peturbed_QZ,$K270,1,AF$1),ZeroCompFreq,'PDH Calc'!$K270/365)</f>
        <v>1</v>
      </c>
      <c r="AG270" s="8">
        <f ca="1">_xll.HLV5r3.Analytics.Miscellaneous.Zero2DF(_xll.HLV5r3.Analytics.Miscellaneous.LinearInterp(Peturbed_QZ,$K270,1,AG$1),ZeroCompFreq,'PDH Calc'!$K270/365)</f>
        <v>1</v>
      </c>
      <c r="AH270" s="8">
        <f ca="1">_xll.HLV5r3.Analytics.Miscellaneous.Zero2DF(_xll.HLV5r3.Analytics.Miscellaneous.LinearInterp(Peturbed_QZ,$K270,1,AH$1),ZeroCompFreq,'PDH Calc'!$K270/365)</f>
        <v>1</v>
      </c>
      <c r="AI270" s="8">
        <f ca="1">_xll.HLV5r3.Analytics.Miscellaneous.Zero2DF(_xll.HLV5r3.Analytics.Miscellaneous.LinearInterp(Peturbed_QZ,$K270,1,AI$1),ZeroCompFreq,'PDH Calc'!$K270/365)</f>
        <v>1</v>
      </c>
      <c r="AJ270" s="8">
        <f ca="1">_xll.HLV5r3.Analytics.Miscellaneous.Zero2DF(_xll.HLV5r3.Analytics.Miscellaneous.LinearInterp(Peturbed_QZ,$K270,1,AJ$1),ZeroCompFreq,'PDH Calc'!$K270/365)</f>
        <v>1</v>
      </c>
      <c r="AK270" s="8">
        <f ca="1">_xll.HLV5r3.Analytics.Miscellaneous.Zero2DF(_xll.HLV5r3.Analytics.Miscellaneous.LinearInterp(Peturbed_QZ,$K270,1,AK$1),ZeroCompFreq,'PDH Calc'!$K270/365)</f>
        <v>1</v>
      </c>
    </row>
    <row r="271" spans="1:37">
      <c r="A271" s="4"/>
      <c r="B271" s="6"/>
      <c r="F271" s="11"/>
      <c r="G271" s="6"/>
      <c r="H271" s="20"/>
      <c r="I271" s="21"/>
      <c r="J271" s="26"/>
      <c r="K271" s="6">
        <f t="shared" ca="1" si="10"/>
        <v>0</v>
      </c>
      <c r="L271" s="8">
        <f ca="1">_xll.HLV5r3.Analytics.Miscellaneous.Zero2DF(_xll.HLV5r3.Analytics.Miscellaneous.LinearInterp(Peturbed_QZ,$K271,1,L$1),ZeroCompFreq,'PDH Calc'!$K271/365)</f>
        <v>1</v>
      </c>
      <c r="M271" s="8">
        <f ca="1">_xll.HLV5r3.Analytics.Miscellaneous.Zero2DF(_xll.HLV5r3.Analytics.Miscellaneous.LinearInterp(Peturbed_QZ,$K271,1,M$1),ZeroCompFreq,'PDH Calc'!$K271/365)</f>
        <v>1</v>
      </c>
      <c r="N271" s="8">
        <f ca="1">_xll.HLV5r3.Analytics.Miscellaneous.Zero2DF(_xll.HLV5r3.Analytics.Miscellaneous.LinearInterp(Peturbed_QZ,$K271,1,N$1),ZeroCompFreq,'PDH Calc'!$K271/365)</f>
        <v>1</v>
      </c>
      <c r="O271" s="8">
        <f ca="1">_xll.HLV5r3.Analytics.Miscellaneous.Zero2DF(_xll.HLV5r3.Analytics.Miscellaneous.LinearInterp(Peturbed_QZ,$K271,1,O$1),ZeroCompFreq,'PDH Calc'!$K271/365)</f>
        <v>1</v>
      </c>
      <c r="P271" s="8">
        <f ca="1">_xll.HLV5r3.Analytics.Miscellaneous.Zero2DF(_xll.HLV5r3.Analytics.Miscellaneous.LinearInterp(Peturbed_QZ,$K271,1,P$1),ZeroCompFreq,'PDH Calc'!$K271/365)</f>
        <v>1</v>
      </c>
      <c r="Q271" s="8">
        <f ca="1">_xll.HLV5r3.Analytics.Miscellaneous.Zero2DF(_xll.HLV5r3.Analytics.Miscellaneous.LinearInterp(Peturbed_QZ,$K271,1,Q$1),ZeroCompFreq,'PDH Calc'!$K271/365)</f>
        <v>1</v>
      </c>
      <c r="R271" s="8">
        <f ca="1">_xll.HLV5r3.Analytics.Miscellaneous.Zero2DF(_xll.HLV5r3.Analytics.Miscellaneous.LinearInterp(Peturbed_QZ,$K271,1,R$1),ZeroCompFreq,'PDH Calc'!$K271/365)</f>
        <v>1</v>
      </c>
      <c r="S271" s="8">
        <f ca="1">_xll.HLV5r3.Analytics.Miscellaneous.Zero2DF(_xll.HLV5r3.Analytics.Miscellaneous.LinearInterp(Peturbed_QZ,$K271,1,S$1),ZeroCompFreq,'PDH Calc'!$K271/365)</f>
        <v>1</v>
      </c>
      <c r="T271" s="8">
        <f ca="1">_xll.HLV5r3.Analytics.Miscellaneous.Zero2DF(_xll.HLV5r3.Analytics.Miscellaneous.LinearInterp(Peturbed_QZ,$K271,1,T$1),ZeroCompFreq,'PDH Calc'!$K271/365)</f>
        <v>1</v>
      </c>
      <c r="U271" s="8">
        <f ca="1">_xll.HLV5r3.Analytics.Miscellaneous.Zero2DF(_xll.HLV5r3.Analytics.Miscellaneous.LinearInterp(Peturbed_QZ,$K271,1,U$1),ZeroCompFreq,'PDH Calc'!$K271/365)</f>
        <v>1</v>
      </c>
      <c r="V271" s="8">
        <f ca="1">_xll.HLV5r3.Analytics.Miscellaneous.Zero2DF(_xll.HLV5r3.Analytics.Miscellaneous.LinearInterp(Peturbed_QZ,$K271,1,V$1),ZeroCompFreq,'PDH Calc'!$K271/365)</f>
        <v>1</v>
      </c>
      <c r="W271" s="8">
        <f ca="1">_xll.HLV5r3.Analytics.Miscellaneous.Zero2DF(_xll.HLV5r3.Analytics.Miscellaneous.LinearInterp(Peturbed_QZ,$K271,1,W$1),ZeroCompFreq,'PDH Calc'!$K271/365)</f>
        <v>1</v>
      </c>
      <c r="X271" s="8">
        <f ca="1">_xll.HLV5r3.Analytics.Miscellaneous.Zero2DF(_xll.HLV5r3.Analytics.Miscellaneous.LinearInterp(Peturbed_QZ,$K271,1,X$1),ZeroCompFreq,'PDH Calc'!$K271/365)</f>
        <v>1</v>
      </c>
      <c r="Y271" s="8">
        <f ca="1">_xll.HLV5r3.Analytics.Miscellaneous.Zero2DF(_xll.HLV5r3.Analytics.Miscellaneous.LinearInterp(Peturbed_QZ,$K271,1,Y$1),ZeroCompFreq,'PDH Calc'!$K271/365)</f>
        <v>1</v>
      </c>
      <c r="Z271" s="8">
        <f ca="1">_xll.HLV5r3.Analytics.Miscellaneous.Zero2DF(_xll.HLV5r3.Analytics.Miscellaneous.LinearInterp(Peturbed_QZ,$K271,1,Z$1),ZeroCompFreq,'PDH Calc'!$K271/365)</f>
        <v>1</v>
      </c>
      <c r="AA271" s="8">
        <f ca="1">_xll.HLV5r3.Analytics.Miscellaneous.Zero2DF(_xll.HLV5r3.Analytics.Miscellaneous.LinearInterp(Peturbed_QZ,$K271,1,AA$1),ZeroCompFreq,'PDH Calc'!$K271/365)</f>
        <v>1</v>
      </c>
      <c r="AB271" s="8">
        <f ca="1">_xll.HLV5r3.Analytics.Miscellaneous.Zero2DF(_xll.HLV5r3.Analytics.Miscellaneous.LinearInterp(Peturbed_QZ,$K271,1,AB$1),ZeroCompFreq,'PDH Calc'!$K271/365)</f>
        <v>1</v>
      </c>
      <c r="AC271" s="8">
        <f ca="1">_xll.HLV5r3.Analytics.Miscellaneous.Zero2DF(_xll.HLV5r3.Analytics.Miscellaneous.LinearInterp(Peturbed_QZ,$K271,1,AC$1),ZeroCompFreq,'PDH Calc'!$K271/365)</f>
        <v>1</v>
      </c>
      <c r="AD271" s="8">
        <f ca="1">_xll.HLV5r3.Analytics.Miscellaneous.Zero2DF(_xll.HLV5r3.Analytics.Miscellaneous.LinearInterp(Peturbed_QZ,$K271,1,AD$1),ZeroCompFreq,'PDH Calc'!$K271/365)</f>
        <v>1</v>
      </c>
      <c r="AE271" s="8">
        <f ca="1">_xll.HLV5r3.Analytics.Miscellaneous.Zero2DF(_xll.HLV5r3.Analytics.Miscellaneous.LinearInterp(Peturbed_QZ,$K271,1,AE$1),ZeroCompFreq,'PDH Calc'!$K271/365)</f>
        <v>1</v>
      </c>
      <c r="AF271" s="8">
        <f ca="1">_xll.HLV5r3.Analytics.Miscellaneous.Zero2DF(_xll.HLV5r3.Analytics.Miscellaneous.LinearInterp(Peturbed_QZ,$K271,1,AF$1),ZeroCompFreq,'PDH Calc'!$K271/365)</f>
        <v>1</v>
      </c>
      <c r="AG271" s="8">
        <f ca="1">_xll.HLV5r3.Analytics.Miscellaneous.Zero2DF(_xll.HLV5r3.Analytics.Miscellaneous.LinearInterp(Peturbed_QZ,$K271,1,AG$1),ZeroCompFreq,'PDH Calc'!$K271/365)</f>
        <v>1</v>
      </c>
      <c r="AH271" s="8">
        <f ca="1">_xll.HLV5r3.Analytics.Miscellaneous.Zero2DF(_xll.HLV5r3.Analytics.Miscellaneous.LinearInterp(Peturbed_QZ,$K271,1,AH$1),ZeroCompFreq,'PDH Calc'!$K271/365)</f>
        <v>1</v>
      </c>
      <c r="AI271" s="8">
        <f ca="1">_xll.HLV5r3.Analytics.Miscellaneous.Zero2DF(_xll.HLV5r3.Analytics.Miscellaneous.LinearInterp(Peturbed_QZ,$K271,1,AI$1),ZeroCompFreq,'PDH Calc'!$K271/365)</f>
        <v>1</v>
      </c>
      <c r="AJ271" s="8">
        <f ca="1">_xll.HLV5r3.Analytics.Miscellaneous.Zero2DF(_xll.HLV5r3.Analytics.Miscellaneous.LinearInterp(Peturbed_QZ,$K271,1,AJ$1),ZeroCompFreq,'PDH Calc'!$K271/365)</f>
        <v>1</v>
      </c>
      <c r="AK271" s="8">
        <f ca="1">_xll.HLV5r3.Analytics.Miscellaneous.Zero2DF(_xll.HLV5r3.Analytics.Miscellaneous.LinearInterp(Peturbed_QZ,$K271,1,AK$1),ZeroCompFreq,'PDH Calc'!$K271/365)</f>
        <v>1</v>
      </c>
    </row>
    <row r="272" spans="1:37">
      <c r="A272" s="4"/>
      <c r="B272" s="6"/>
      <c r="F272" s="11"/>
      <c r="G272" s="6"/>
      <c r="H272" s="20"/>
      <c r="I272" s="21"/>
      <c r="J272" s="26"/>
      <c r="K272" s="6">
        <f t="shared" ca="1" si="10"/>
        <v>0</v>
      </c>
      <c r="L272" s="8">
        <f ca="1">_xll.HLV5r3.Analytics.Miscellaneous.Zero2DF(_xll.HLV5r3.Analytics.Miscellaneous.LinearInterp(Peturbed_QZ,$K272,1,L$1),ZeroCompFreq,'PDH Calc'!$K272/365)</f>
        <v>1</v>
      </c>
      <c r="M272" s="8">
        <f ca="1">_xll.HLV5r3.Analytics.Miscellaneous.Zero2DF(_xll.HLV5r3.Analytics.Miscellaneous.LinearInterp(Peturbed_QZ,$K272,1,M$1),ZeroCompFreq,'PDH Calc'!$K272/365)</f>
        <v>1</v>
      </c>
      <c r="N272" s="8">
        <f ca="1">_xll.HLV5r3.Analytics.Miscellaneous.Zero2DF(_xll.HLV5r3.Analytics.Miscellaneous.LinearInterp(Peturbed_QZ,$K272,1,N$1),ZeroCompFreq,'PDH Calc'!$K272/365)</f>
        <v>1</v>
      </c>
      <c r="O272" s="8">
        <f ca="1">_xll.HLV5r3.Analytics.Miscellaneous.Zero2DF(_xll.HLV5r3.Analytics.Miscellaneous.LinearInterp(Peturbed_QZ,$K272,1,O$1),ZeroCompFreq,'PDH Calc'!$K272/365)</f>
        <v>1</v>
      </c>
      <c r="P272" s="8">
        <f ca="1">_xll.HLV5r3.Analytics.Miscellaneous.Zero2DF(_xll.HLV5r3.Analytics.Miscellaneous.LinearInterp(Peturbed_QZ,$K272,1,P$1),ZeroCompFreq,'PDH Calc'!$K272/365)</f>
        <v>1</v>
      </c>
      <c r="Q272" s="8">
        <f ca="1">_xll.HLV5r3.Analytics.Miscellaneous.Zero2DF(_xll.HLV5r3.Analytics.Miscellaneous.LinearInterp(Peturbed_QZ,$K272,1,Q$1),ZeroCompFreq,'PDH Calc'!$K272/365)</f>
        <v>1</v>
      </c>
      <c r="R272" s="8">
        <f ca="1">_xll.HLV5r3.Analytics.Miscellaneous.Zero2DF(_xll.HLV5r3.Analytics.Miscellaneous.LinearInterp(Peturbed_QZ,$K272,1,R$1),ZeroCompFreq,'PDH Calc'!$K272/365)</f>
        <v>1</v>
      </c>
      <c r="S272" s="8">
        <f ca="1">_xll.HLV5r3.Analytics.Miscellaneous.Zero2DF(_xll.HLV5r3.Analytics.Miscellaneous.LinearInterp(Peturbed_QZ,$K272,1,S$1),ZeroCompFreq,'PDH Calc'!$K272/365)</f>
        <v>1</v>
      </c>
      <c r="T272" s="8">
        <f ca="1">_xll.HLV5r3.Analytics.Miscellaneous.Zero2DF(_xll.HLV5r3.Analytics.Miscellaneous.LinearInterp(Peturbed_QZ,$K272,1,T$1),ZeroCompFreq,'PDH Calc'!$K272/365)</f>
        <v>1</v>
      </c>
      <c r="U272" s="8">
        <f ca="1">_xll.HLV5r3.Analytics.Miscellaneous.Zero2DF(_xll.HLV5r3.Analytics.Miscellaneous.LinearInterp(Peturbed_QZ,$K272,1,U$1),ZeroCompFreq,'PDH Calc'!$K272/365)</f>
        <v>1</v>
      </c>
      <c r="V272" s="8">
        <f ca="1">_xll.HLV5r3.Analytics.Miscellaneous.Zero2DF(_xll.HLV5r3.Analytics.Miscellaneous.LinearInterp(Peturbed_QZ,$K272,1,V$1),ZeroCompFreq,'PDH Calc'!$K272/365)</f>
        <v>1</v>
      </c>
      <c r="W272" s="8">
        <f ca="1">_xll.HLV5r3.Analytics.Miscellaneous.Zero2DF(_xll.HLV5r3.Analytics.Miscellaneous.LinearInterp(Peturbed_QZ,$K272,1,W$1),ZeroCompFreq,'PDH Calc'!$K272/365)</f>
        <v>1</v>
      </c>
      <c r="X272" s="8">
        <f ca="1">_xll.HLV5r3.Analytics.Miscellaneous.Zero2DF(_xll.HLV5r3.Analytics.Miscellaneous.LinearInterp(Peturbed_QZ,$K272,1,X$1),ZeroCompFreq,'PDH Calc'!$K272/365)</f>
        <v>1</v>
      </c>
      <c r="Y272" s="8">
        <f ca="1">_xll.HLV5r3.Analytics.Miscellaneous.Zero2DF(_xll.HLV5r3.Analytics.Miscellaneous.LinearInterp(Peturbed_QZ,$K272,1,Y$1),ZeroCompFreq,'PDH Calc'!$K272/365)</f>
        <v>1</v>
      </c>
      <c r="Z272" s="8">
        <f ca="1">_xll.HLV5r3.Analytics.Miscellaneous.Zero2DF(_xll.HLV5r3.Analytics.Miscellaneous.LinearInterp(Peturbed_QZ,$K272,1,Z$1),ZeroCompFreq,'PDH Calc'!$K272/365)</f>
        <v>1</v>
      </c>
      <c r="AA272" s="8">
        <f ca="1">_xll.HLV5r3.Analytics.Miscellaneous.Zero2DF(_xll.HLV5r3.Analytics.Miscellaneous.LinearInterp(Peturbed_QZ,$K272,1,AA$1),ZeroCompFreq,'PDH Calc'!$K272/365)</f>
        <v>1</v>
      </c>
      <c r="AB272" s="8">
        <f ca="1">_xll.HLV5r3.Analytics.Miscellaneous.Zero2DF(_xll.HLV5r3.Analytics.Miscellaneous.LinearInterp(Peturbed_QZ,$K272,1,AB$1),ZeroCompFreq,'PDH Calc'!$K272/365)</f>
        <v>1</v>
      </c>
      <c r="AC272" s="8">
        <f ca="1">_xll.HLV5r3.Analytics.Miscellaneous.Zero2DF(_xll.HLV5r3.Analytics.Miscellaneous.LinearInterp(Peturbed_QZ,$K272,1,AC$1),ZeroCompFreq,'PDH Calc'!$K272/365)</f>
        <v>1</v>
      </c>
      <c r="AD272" s="8">
        <f ca="1">_xll.HLV5r3.Analytics.Miscellaneous.Zero2DF(_xll.HLV5r3.Analytics.Miscellaneous.LinearInterp(Peturbed_QZ,$K272,1,AD$1),ZeroCompFreq,'PDH Calc'!$K272/365)</f>
        <v>1</v>
      </c>
      <c r="AE272" s="8">
        <f ca="1">_xll.HLV5r3.Analytics.Miscellaneous.Zero2DF(_xll.HLV5r3.Analytics.Miscellaneous.LinearInterp(Peturbed_QZ,$K272,1,AE$1),ZeroCompFreq,'PDH Calc'!$K272/365)</f>
        <v>1</v>
      </c>
      <c r="AF272" s="8">
        <f ca="1">_xll.HLV5r3.Analytics.Miscellaneous.Zero2DF(_xll.HLV5r3.Analytics.Miscellaneous.LinearInterp(Peturbed_QZ,$K272,1,AF$1),ZeroCompFreq,'PDH Calc'!$K272/365)</f>
        <v>1</v>
      </c>
      <c r="AG272" s="8">
        <f ca="1">_xll.HLV5r3.Analytics.Miscellaneous.Zero2DF(_xll.HLV5r3.Analytics.Miscellaneous.LinearInterp(Peturbed_QZ,$K272,1,AG$1),ZeroCompFreq,'PDH Calc'!$K272/365)</f>
        <v>1</v>
      </c>
      <c r="AH272" s="8">
        <f ca="1">_xll.HLV5r3.Analytics.Miscellaneous.Zero2DF(_xll.HLV5r3.Analytics.Miscellaneous.LinearInterp(Peturbed_QZ,$K272,1,AH$1),ZeroCompFreq,'PDH Calc'!$K272/365)</f>
        <v>1</v>
      </c>
      <c r="AI272" s="8">
        <f ca="1">_xll.HLV5r3.Analytics.Miscellaneous.Zero2DF(_xll.HLV5r3.Analytics.Miscellaneous.LinearInterp(Peturbed_QZ,$K272,1,AI$1),ZeroCompFreq,'PDH Calc'!$K272/365)</f>
        <v>1</v>
      </c>
      <c r="AJ272" s="8">
        <f ca="1">_xll.HLV5r3.Analytics.Miscellaneous.Zero2DF(_xll.HLV5r3.Analytics.Miscellaneous.LinearInterp(Peturbed_QZ,$K272,1,AJ$1),ZeroCompFreq,'PDH Calc'!$K272/365)</f>
        <v>1</v>
      </c>
      <c r="AK272" s="8">
        <f ca="1">_xll.HLV5r3.Analytics.Miscellaneous.Zero2DF(_xll.HLV5r3.Analytics.Miscellaneous.LinearInterp(Peturbed_QZ,$K272,1,AK$1),ZeroCompFreq,'PDH Calc'!$K272/365)</f>
        <v>1</v>
      </c>
    </row>
    <row r="273" spans="1:37">
      <c r="A273" s="4"/>
      <c r="B273" s="6"/>
      <c r="F273" s="11"/>
      <c r="G273" s="6"/>
      <c r="H273" s="20"/>
      <c r="I273" s="21"/>
      <c r="J273" s="26"/>
      <c r="K273" s="6">
        <f t="shared" ca="1" si="10"/>
        <v>0</v>
      </c>
      <c r="L273" s="8">
        <f ca="1">_xll.HLV5r3.Analytics.Miscellaneous.Zero2DF(_xll.HLV5r3.Analytics.Miscellaneous.LinearInterp(Peturbed_QZ,$K273,1,L$1),ZeroCompFreq,'PDH Calc'!$K273/365)</f>
        <v>1</v>
      </c>
      <c r="M273" s="8">
        <f ca="1">_xll.HLV5r3.Analytics.Miscellaneous.Zero2DF(_xll.HLV5r3.Analytics.Miscellaneous.LinearInterp(Peturbed_QZ,$K273,1,M$1),ZeroCompFreq,'PDH Calc'!$K273/365)</f>
        <v>1</v>
      </c>
      <c r="N273" s="8">
        <f ca="1">_xll.HLV5r3.Analytics.Miscellaneous.Zero2DF(_xll.HLV5r3.Analytics.Miscellaneous.LinearInterp(Peturbed_QZ,$K273,1,N$1),ZeroCompFreq,'PDH Calc'!$K273/365)</f>
        <v>1</v>
      </c>
      <c r="O273" s="8">
        <f ca="1">_xll.HLV5r3.Analytics.Miscellaneous.Zero2DF(_xll.HLV5r3.Analytics.Miscellaneous.LinearInterp(Peturbed_QZ,$K273,1,O$1),ZeroCompFreq,'PDH Calc'!$K273/365)</f>
        <v>1</v>
      </c>
      <c r="P273" s="8">
        <f ca="1">_xll.HLV5r3.Analytics.Miscellaneous.Zero2DF(_xll.HLV5r3.Analytics.Miscellaneous.LinearInterp(Peturbed_QZ,$K273,1,P$1),ZeroCompFreq,'PDH Calc'!$K273/365)</f>
        <v>1</v>
      </c>
      <c r="Q273" s="8">
        <f ca="1">_xll.HLV5r3.Analytics.Miscellaneous.Zero2DF(_xll.HLV5r3.Analytics.Miscellaneous.LinearInterp(Peturbed_QZ,$K273,1,Q$1),ZeroCompFreq,'PDH Calc'!$K273/365)</f>
        <v>1</v>
      </c>
      <c r="R273" s="8">
        <f ca="1">_xll.HLV5r3.Analytics.Miscellaneous.Zero2DF(_xll.HLV5r3.Analytics.Miscellaneous.LinearInterp(Peturbed_QZ,$K273,1,R$1),ZeroCompFreq,'PDH Calc'!$K273/365)</f>
        <v>1</v>
      </c>
      <c r="S273" s="8">
        <f ca="1">_xll.HLV5r3.Analytics.Miscellaneous.Zero2DF(_xll.HLV5r3.Analytics.Miscellaneous.LinearInterp(Peturbed_QZ,$K273,1,S$1),ZeroCompFreq,'PDH Calc'!$K273/365)</f>
        <v>1</v>
      </c>
      <c r="T273" s="8">
        <f ca="1">_xll.HLV5r3.Analytics.Miscellaneous.Zero2DF(_xll.HLV5r3.Analytics.Miscellaneous.LinearInterp(Peturbed_QZ,$K273,1,T$1),ZeroCompFreq,'PDH Calc'!$K273/365)</f>
        <v>1</v>
      </c>
      <c r="U273" s="8">
        <f ca="1">_xll.HLV5r3.Analytics.Miscellaneous.Zero2DF(_xll.HLV5r3.Analytics.Miscellaneous.LinearInterp(Peturbed_QZ,$K273,1,U$1),ZeroCompFreq,'PDH Calc'!$K273/365)</f>
        <v>1</v>
      </c>
      <c r="V273" s="8">
        <f ca="1">_xll.HLV5r3.Analytics.Miscellaneous.Zero2DF(_xll.HLV5r3.Analytics.Miscellaneous.LinearInterp(Peturbed_QZ,$K273,1,V$1),ZeroCompFreq,'PDH Calc'!$K273/365)</f>
        <v>1</v>
      </c>
      <c r="W273" s="8">
        <f ca="1">_xll.HLV5r3.Analytics.Miscellaneous.Zero2DF(_xll.HLV5r3.Analytics.Miscellaneous.LinearInterp(Peturbed_QZ,$K273,1,W$1),ZeroCompFreq,'PDH Calc'!$K273/365)</f>
        <v>1</v>
      </c>
      <c r="X273" s="8">
        <f ca="1">_xll.HLV5r3.Analytics.Miscellaneous.Zero2DF(_xll.HLV5r3.Analytics.Miscellaneous.LinearInterp(Peturbed_QZ,$K273,1,X$1),ZeroCompFreq,'PDH Calc'!$K273/365)</f>
        <v>1</v>
      </c>
      <c r="Y273" s="8">
        <f ca="1">_xll.HLV5r3.Analytics.Miscellaneous.Zero2DF(_xll.HLV5r3.Analytics.Miscellaneous.LinearInterp(Peturbed_QZ,$K273,1,Y$1),ZeroCompFreq,'PDH Calc'!$K273/365)</f>
        <v>1</v>
      </c>
      <c r="Z273" s="8">
        <f ca="1">_xll.HLV5r3.Analytics.Miscellaneous.Zero2DF(_xll.HLV5r3.Analytics.Miscellaneous.LinearInterp(Peturbed_QZ,$K273,1,Z$1),ZeroCompFreq,'PDH Calc'!$K273/365)</f>
        <v>1</v>
      </c>
      <c r="AA273" s="8">
        <f ca="1">_xll.HLV5r3.Analytics.Miscellaneous.Zero2DF(_xll.HLV5r3.Analytics.Miscellaneous.LinearInterp(Peturbed_QZ,$K273,1,AA$1),ZeroCompFreq,'PDH Calc'!$K273/365)</f>
        <v>1</v>
      </c>
      <c r="AB273" s="8">
        <f ca="1">_xll.HLV5r3.Analytics.Miscellaneous.Zero2DF(_xll.HLV5r3.Analytics.Miscellaneous.LinearInterp(Peturbed_QZ,$K273,1,AB$1),ZeroCompFreq,'PDH Calc'!$K273/365)</f>
        <v>1</v>
      </c>
      <c r="AC273" s="8">
        <f ca="1">_xll.HLV5r3.Analytics.Miscellaneous.Zero2DF(_xll.HLV5r3.Analytics.Miscellaneous.LinearInterp(Peturbed_QZ,$K273,1,AC$1),ZeroCompFreq,'PDH Calc'!$K273/365)</f>
        <v>1</v>
      </c>
      <c r="AD273" s="8">
        <f ca="1">_xll.HLV5r3.Analytics.Miscellaneous.Zero2DF(_xll.HLV5r3.Analytics.Miscellaneous.LinearInterp(Peturbed_QZ,$K273,1,AD$1),ZeroCompFreq,'PDH Calc'!$K273/365)</f>
        <v>1</v>
      </c>
      <c r="AE273" s="8">
        <f ca="1">_xll.HLV5r3.Analytics.Miscellaneous.Zero2DF(_xll.HLV5r3.Analytics.Miscellaneous.LinearInterp(Peturbed_QZ,$K273,1,AE$1),ZeroCompFreq,'PDH Calc'!$K273/365)</f>
        <v>1</v>
      </c>
      <c r="AF273" s="8">
        <f ca="1">_xll.HLV5r3.Analytics.Miscellaneous.Zero2DF(_xll.HLV5r3.Analytics.Miscellaneous.LinearInterp(Peturbed_QZ,$K273,1,AF$1),ZeroCompFreq,'PDH Calc'!$K273/365)</f>
        <v>1</v>
      </c>
      <c r="AG273" s="8">
        <f ca="1">_xll.HLV5r3.Analytics.Miscellaneous.Zero2DF(_xll.HLV5r3.Analytics.Miscellaneous.LinearInterp(Peturbed_QZ,$K273,1,AG$1),ZeroCompFreq,'PDH Calc'!$K273/365)</f>
        <v>1</v>
      </c>
      <c r="AH273" s="8">
        <f ca="1">_xll.HLV5r3.Analytics.Miscellaneous.Zero2DF(_xll.HLV5r3.Analytics.Miscellaneous.LinearInterp(Peturbed_QZ,$K273,1,AH$1),ZeroCompFreq,'PDH Calc'!$K273/365)</f>
        <v>1</v>
      </c>
      <c r="AI273" s="8">
        <f ca="1">_xll.HLV5r3.Analytics.Miscellaneous.Zero2DF(_xll.HLV5r3.Analytics.Miscellaneous.LinearInterp(Peturbed_QZ,$K273,1,AI$1),ZeroCompFreq,'PDH Calc'!$K273/365)</f>
        <v>1</v>
      </c>
      <c r="AJ273" s="8">
        <f ca="1">_xll.HLV5r3.Analytics.Miscellaneous.Zero2DF(_xll.HLV5r3.Analytics.Miscellaneous.LinearInterp(Peturbed_QZ,$K273,1,AJ$1),ZeroCompFreq,'PDH Calc'!$K273/365)</f>
        <v>1</v>
      </c>
      <c r="AK273" s="8">
        <f ca="1">_xll.HLV5r3.Analytics.Miscellaneous.Zero2DF(_xll.HLV5r3.Analytics.Miscellaneous.LinearInterp(Peturbed_QZ,$K273,1,AK$1),ZeroCompFreq,'PDH Calc'!$K273/365)</f>
        <v>1</v>
      </c>
    </row>
    <row r="274" spans="1:37">
      <c r="A274" s="4"/>
      <c r="B274" s="6"/>
      <c r="F274" s="11"/>
      <c r="G274" s="6"/>
      <c r="H274" s="20"/>
      <c r="I274" s="21"/>
      <c r="J274" s="26"/>
      <c r="K274" s="6">
        <f t="shared" ca="1" si="10"/>
        <v>0</v>
      </c>
      <c r="L274" s="8">
        <f ca="1">_xll.HLV5r3.Analytics.Miscellaneous.Zero2DF(_xll.HLV5r3.Analytics.Miscellaneous.LinearInterp(Peturbed_QZ,$K274,1,L$1),ZeroCompFreq,'PDH Calc'!$K274/365)</f>
        <v>1</v>
      </c>
      <c r="M274" s="8">
        <f ca="1">_xll.HLV5r3.Analytics.Miscellaneous.Zero2DF(_xll.HLV5r3.Analytics.Miscellaneous.LinearInterp(Peturbed_QZ,$K274,1,M$1),ZeroCompFreq,'PDH Calc'!$K274/365)</f>
        <v>1</v>
      </c>
      <c r="N274" s="8">
        <f ca="1">_xll.HLV5r3.Analytics.Miscellaneous.Zero2DF(_xll.HLV5r3.Analytics.Miscellaneous.LinearInterp(Peturbed_QZ,$K274,1,N$1),ZeroCompFreq,'PDH Calc'!$K274/365)</f>
        <v>1</v>
      </c>
      <c r="O274" s="8">
        <f ca="1">_xll.HLV5r3.Analytics.Miscellaneous.Zero2DF(_xll.HLV5r3.Analytics.Miscellaneous.LinearInterp(Peturbed_QZ,$K274,1,O$1),ZeroCompFreq,'PDH Calc'!$K274/365)</f>
        <v>1</v>
      </c>
      <c r="P274" s="8">
        <f ca="1">_xll.HLV5r3.Analytics.Miscellaneous.Zero2DF(_xll.HLV5r3.Analytics.Miscellaneous.LinearInterp(Peturbed_QZ,$K274,1,P$1),ZeroCompFreq,'PDH Calc'!$K274/365)</f>
        <v>1</v>
      </c>
      <c r="Q274" s="8">
        <f ca="1">_xll.HLV5r3.Analytics.Miscellaneous.Zero2DF(_xll.HLV5r3.Analytics.Miscellaneous.LinearInterp(Peturbed_QZ,$K274,1,Q$1),ZeroCompFreq,'PDH Calc'!$K274/365)</f>
        <v>1</v>
      </c>
      <c r="R274" s="8">
        <f ca="1">_xll.HLV5r3.Analytics.Miscellaneous.Zero2DF(_xll.HLV5r3.Analytics.Miscellaneous.LinearInterp(Peturbed_QZ,$K274,1,R$1),ZeroCompFreq,'PDH Calc'!$K274/365)</f>
        <v>1</v>
      </c>
      <c r="S274" s="8">
        <f ca="1">_xll.HLV5r3.Analytics.Miscellaneous.Zero2DF(_xll.HLV5r3.Analytics.Miscellaneous.LinearInterp(Peturbed_QZ,$K274,1,S$1),ZeroCompFreq,'PDH Calc'!$K274/365)</f>
        <v>1</v>
      </c>
      <c r="T274" s="8">
        <f ca="1">_xll.HLV5r3.Analytics.Miscellaneous.Zero2DF(_xll.HLV5r3.Analytics.Miscellaneous.LinearInterp(Peturbed_QZ,$K274,1,T$1),ZeroCompFreq,'PDH Calc'!$K274/365)</f>
        <v>1</v>
      </c>
      <c r="U274" s="8">
        <f ca="1">_xll.HLV5r3.Analytics.Miscellaneous.Zero2DF(_xll.HLV5r3.Analytics.Miscellaneous.LinearInterp(Peturbed_QZ,$K274,1,U$1),ZeroCompFreq,'PDH Calc'!$K274/365)</f>
        <v>1</v>
      </c>
      <c r="V274" s="8">
        <f ca="1">_xll.HLV5r3.Analytics.Miscellaneous.Zero2DF(_xll.HLV5r3.Analytics.Miscellaneous.LinearInterp(Peturbed_QZ,$K274,1,V$1),ZeroCompFreq,'PDH Calc'!$K274/365)</f>
        <v>1</v>
      </c>
      <c r="W274" s="8">
        <f ca="1">_xll.HLV5r3.Analytics.Miscellaneous.Zero2DF(_xll.HLV5r3.Analytics.Miscellaneous.LinearInterp(Peturbed_QZ,$K274,1,W$1),ZeroCompFreq,'PDH Calc'!$K274/365)</f>
        <v>1</v>
      </c>
      <c r="X274" s="8">
        <f ca="1">_xll.HLV5r3.Analytics.Miscellaneous.Zero2DF(_xll.HLV5r3.Analytics.Miscellaneous.LinearInterp(Peturbed_QZ,$K274,1,X$1),ZeroCompFreq,'PDH Calc'!$K274/365)</f>
        <v>1</v>
      </c>
      <c r="Y274" s="8">
        <f ca="1">_xll.HLV5r3.Analytics.Miscellaneous.Zero2DF(_xll.HLV5r3.Analytics.Miscellaneous.LinearInterp(Peturbed_QZ,$K274,1,Y$1),ZeroCompFreq,'PDH Calc'!$K274/365)</f>
        <v>1</v>
      </c>
      <c r="Z274" s="8">
        <f ca="1">_xll.HLV5r3.Analytics.Miscellaneous.Zero2DF(_xll.HLV5r3.Analytics.Miscellaneous.LinearInterp(Peturbed_QZ,$K274,1,Z$1),ZeroCompFreq,'PDH Calc'!$K274/365)</f>
        <v>1</v>
      </c>
      <c r="AA274" s="8">
        <f ca="1">_xll.HLV5r3.Analytics.Miscellaneous.Zero2DF(_xll.HLV5r3.Analytics.Miscellaneous.LinearInterp(Peturbed_QZ,$K274,1,AA$1),ZeroCompFreq,'PDH Calc'!$K274/365)</f>
        <v>1</v>
      </c>
      <c r="AB274" s="8">
        <f ca="1">_xll.HLV5r3.Analytics.Miscellaneous.Zero2DF(_xll.HLV5r3.Analytics.Miscellaneous.LinearInterp(Peturbed_QZ,$K274,1,AB$1),ZeroCompFreq,'PDH Calc'!$K274/365)</f>
        <v>1</v>
      </c>
      <c r="AC274" s="8">
        <f ca="1">_xll.HLV5r3.Analytics.Miscellaneous.Zero2DF(_xll.HLV5r3.Analytics.Miscellaneous.LinearInterp(Peturbed_QZ,$K274,1,AC$1),ZeroCompFreq,'PDH Calc'!$K274/365)</f>
        <v>1</v>
      </c>
      <c r="AD274" s="8">
        <f ca="1">_xll.HLV5r3.Analytics.Miscellaneous.Zero2DF(_xll.HLV5r3.Analytics.Miscellaneous.LinearInterp(Peturbed_QZ,$K274,1,AD$1),ZeroCompFreq,'PDH Calc'!$K274/365)</f>
        <v>1</v>
      </c>
      <c r="AE274" s="8">
        <f ca="1">_xll.HLV5r3.Analytics.Miscellaneous.Zero2DF(_xll.HLV5r3.Analytics.Miscellaneous.LinearInterp(Peturbed_QZ,$K274,1,AE$1),ZeroCompFreq,'PDH Calc'!$K274/365)</f>
        <v>1</v>
      </c>
      <c r="AF274" s="8">
        <f ca="1">_xll.HLV5r3.Analytics.Miscellaneous.Zero2DF(_xll.HLV5r3.Analytics.Miscellaneous.LinearInterp(Peturbed_QZ,$K274,1,AF$1),ZeroCompFreq,'PDH Calc'!$K274/365)</f>
        <v>1</v>
      </c>
      <c r="AG274" s="8">
        <f ca="1">_xll.HLV5r3.Analytics.Miscellaneous.Zero2DF(_xll.HLV5r3.Analytics.Miscellaneous.LinearInterp(Peturbed_QZ,$K274,1,AG$1),ZeroCompFreq,'PDH Calc'!$K274/365)</f>
        <v>1</v>
      </c>
      <c r="AH274" s="8">
        <f ca="1">_xll.HLV5r3.Analytics.Miscellaneous.Zero2DF(_xll.HLV5r3.Analytics.Miscellaneous.LinearInterp(Peturbed_QZ,$K274,1,AH$1),ZeroCompFreq,'PDH Calc'!$K274/365)</f>
        <v>1</v>
      </c>
      <c r="AI274" s="8">
        <f ca="1">_xll.HLV5r3.Analytics.Miscellaneous.Zero2DF(_xll.HLV5r3.Analytics.Miscellaneous.LinearInterp(Peturbed_QZ,$K274,1,AI$1),ZeroCompFreq,'PDH Calc'!$K274/365)</f>
        <v>1</v>
      </c>
      <c r="AJ274" s="8">
        <f ca="1">_xll.HLV5r3.Analytics.Miscellaneous.Zero2DF(_xll.HLV5r3.Analytics.Miscellaneous.LinearInterp(Peturbed_QZ,$K274,1,AJ$1),ZeroCompFreq,'PDH Calc'!$K274/365)</f>
        <v>1</v>
      </c>
      <c r="AK274" s="8">
        <f ca="1">_xll.HLV5r3.Analytics.Miscellaneous.Zero2DF(_xll.HLV5r3.Analytics.Miscellaneous.LinearInterp(Peturbed_QZ,$K274,1,AK$1),ZeroCompFreq,'PDH Calc'!$K274/365)</f>
        <v>1</v>
      </c>
    </row>
    <row r="275" spans="1:37">
      <c r="A275" s="4"/>
      <c r="B275" s="6"/>
      <c r="F275" s="11"/>
      <c r="G275" s="6"/>
      <c r="H275" s="20"/>
      <c r="I275" s="21"/>
      <c r="J275" s="26"/>
      <c r="K275" s="6">
        <f t="shared" ca="1" si="10"/>
        <v>0</v>
      </c>
      <c r="L275" s="8">
        <f ca="1">_xll.HLV5r3.Analytics.Miscellaneous.Zero2DF(_xll.HLV5r3.Analytics.Miscellaneous.LinearInterp(Peturbed_QZ,$K275,1,L$1),ZeroCompFreq,'PDH Calc'!$K275/365)</f>
        <v>1</v>
      </c>
      <c r="M275" s="8">
        <f ca="1">_xll.HLV5r3.Analytics.Miscellaneous.Zero2DF(_xll.HLV5r3.Analytics.Miscellaneous.LinearInterp(Peturbed_QZ,$K275,1,M$1),ZeroCompFreq,'PDH Calc'!$K275/365)</f>
        <v>1</v>
      </c>
      <c r="N275" s="8">
        <f ca="1">_xll.HLV5r3.Analytics.Miscellaneous.Zero2DF(_xll.HLV5r3.Analytics.Miscellaneous.LinearInterp(Peturbed_QZ,$K275,1,N$1),ZeroCompFreq,'PDH Calc'!$K275/365)</f>
        <v>1</v>
      </c>
      <c r="O275" s="8">
        <f ca="1">_xll.HLV5r3.Analytics.Miscellaneous.Zero2DF(_xll.HLV5r3.Analytics.Miscellaneous.LinearInterp(Peturbed_QZ,$K275,1,O$1),ZeroCompFreq,'PDH Calc'!$K275/365)</f>
        <v>1</v>
      </c>
      <c r="P275" s="8">
        <f ca="1">_xll.HLV5r3.Analytics.Miscellaneous.Zero2DF(_xll.HLV5r3.Analytics.Miscellaneous.LinearInterp(Peturbed_QZ,$K275,1,P$1),ZeroCompFreq,'PDH Calc'!$K275/365)</f>
        <v>1</v>
      </c>
      <c r="Q275" s="8">
        <f ca="1">_xll.HLV5r3.Analytics.Miscellaneous.Zero2DF(_xll.HLV5r3.Analytics.Miscellaneous.LinearInterp(Peturbed_QZ,$K275,1,Q$1),ZeroCompFreq,'PDH Calc'!$K275/365)</f>
        <v>1</v>
      </c>
      <c r="R275" s="8">
        <f ca="1">_xll.HLV5r3.Analytics.Miscellaneous.Zero2DF(_xll.HLV5r3.Analytics.Miscellaneous.LinearInterp(Peturbed_QZ,$K275,1,R$1),ZeroCompFreq,'PDH Calc'!$K275/365)</f>
        <v>1</v>
      </c>
      <c r="S275" s="8">
        <f ca="1">_xll.HLV5r3.Analytics.Miscellaneous.Zero2DF(_xll.HLV5r3.Analytics.Miscellaneous.LinearInterp(Peturbed_QZ,$K275,1,S$1),ZeroCompFreq,'PDH Calc'!$K275/365)</f>
        <v>1</v>
      </c>
      <c r="T275" s="8">
        <f ca="1">_xll.HLV5r3.Analytics.Miscellaneous.Zero2DF(_xll.HLV5r3.Analytics.Miscellaneous.LinearInterp(Peturbed_QZ,$K275,1,T$1),ZeroCompFreq,'PDH Calc'!$K275/365)</f>
        <v>1</v>
      </c>
      <c r="U275" s="8">
        <f ca="1">_xll.HLV5r3.Analytics.Miscellaneous.Zero2DF(_xll.HLV5r3.Analytics.Miscellaneous.LinearInterp(Peturbed_QZ,$K275,1,U$1),ZeroCompFreq,'PDH Calc'!$K275/365)</f>
        <v>1</v>
      </c>
      <c r="V275" s="8">
        <f ca="1">_xll.HLV5r3.Analytics.Miscellaneous.Zero2DF(_xll.HLV5r3.Analytics.Miscellaneous.LinearInterp(Peturbed_QZ,$K275,1,V$1),ZeroCompFreq,'PDH Calc'!$K275/365)</f>
        <v>1</v>
      </c>
      <c r="W275" s="8">
        <f ca="1">_xll.HLV5r3.Analytics.Miscellaneous.Zero2DF(_xll.HLV5r3.Analytics.Miscellaneous.LinearInterp(Peturbed_QZ,$K275,1,W$1),ZeroCompFreq,'PDH Calc'!$K275/365)</f>
        <v>1</v>
      </c>
      <c r="X275" s="8">
        <f ca="1">_xll.HLV5r3.Analytics.Miscellaneous.Zero2DF(_xll.HLV5r3.Analytics.Miscellaneous.LinearInterp(Peturbed_QZ,$K275,1,X$1),ZeroCompFreq,'PDH Calc'!$K275/365)</f>
        <v>1</v>
      </c>
      <c r="Y275" s="8">
        <f ca="1">_xll.HLV5r3.Analytics.Miscellaneous.Zero2DF(_xll.HLV5r3.Analytics.Miscellaneous.LinearInterp(Peturbed_QZ,$K275,1,Y$1),ZeroCompFreq,'PDH Calc'!$K275/365)</f>
        <v>1</v>
      </c>
      <c r="Z275" s="8">
        <f ca="1">_xll.HLV5r3.Analytics.Miscellaneous.Zero2DF(_xll.HLV5r3.Analytics.Miscellaneous.LinearInterp(Peturbed_QZ,$K275,1,Z$1),ZeroCompFreq,'PDH Calc'!$K275/365)</f>
        <v>1</v>
      </c>
      <c r="AA275" s="8">
        <f ca="1">_xll.HLV5r3.Analytics.Miscellaneous.Zero2DF(_xll.HLV5r3.Analytics.Miscellaneous.LinearInterp(Peturbed_QZ,$K275,1,AA$1),ZeroCompFreq,'PDH Calc'!$K275/365)</f>
        <v>1</v>
      </c>
      <c r="AB275" s="8">
        <f ca="1">_xll.HLV5r3.Analytics.Miscellaneous.Zero2DF(_xll.HLV5r3.Analytics.Miscellaneous.LinearInterp(Peturbed_QZ,$K275,1,AB$1),ZeroCompFreq,'PDH Calc'!$K275/365)</f>
        <v>1</v>
      </c>
      <c r="AC275" s="8">
        <f ca="1">_xll.HLV5r3.Analytics.Miscellaneous.Zero2DF(_xll.HLV5r3.Analytics.Miscellaneous.LinearInterp(Peturbed_QZ,$K275,1,AC$1),ZeroCompFreq,'PDH Calc'!$K275/365)</f>
        <v>1</v>
      </c>
      <c r="AD275" s="8">
        <f ca="1">_xll.HLV5r3.Analytics.Miscellaneous.Zero2DF(_xll.HLV5r3.Analytics.Miscellaneous.LinearInterp(Peturbed_QZ,$K275,1,AD$1),ZeroCompFreq,'PDH Calc'!$K275/365)</f>
        <v>1</v>
      </c>
      <c r="AE275" s="8">
        <f ca="1">_xll.HLV5r3.Analytics.Miscellaneous.Zero2DF(_xll.HLV5r3.Analytics.Miscellaneous.LinearInterp(Peturbed_QZ,$K275,1,AE$1),ZeroCompFreq,'PDH Calc'!$K275/365)</f>
        <v>1</v>
      </c>
      <c r="AF275" s="8">
        <f ca="1">_xll.HLV5r3.Analytics.Miscellaneous.Zero2DF(_xll.HLV5r3.Analytics.Miscellaneous.LinearInterp(Peturbed_QZ,$K275,1,AF$1),ZeroCompFreq,'PDH Calc'!$K275/365)</f>
        <v>1</v>
      </c>
      <c r="AG275" s="8">
        <f ca="1">_xll.HLV5r3.Analytics.Miscellaneous.Zero2DF(_xll.HLV5r3.Analytics.Miscellaneous.LinearInterp(Peturbed_QZ,$K275,1,AG$1),ZeroCompFreq,'PDH Calc'!$K275/365)</f>
        <v>1</v>
      </c>
      <c r="AH275" s="8">
        <f ca="1">_xll.HLV5r3.Analytics.Miscellaneous.Zero2DF(_xll.HLV5r3.Analytics.Miscellaneous.LinearInterp(Peturbed_QZ,$K275,1,AH$1),ZeroCompFreq,'PDH Calc'!$K275/365)</f>
        <v>1</v>
      </c>
      <c r="AI275" s="8">
        <f ca="1">_xll.HLV5r3.Analytics.Miscellaneous.Zero2DF(_xll.HLV5r3.Analytics.Miscellaneous.LinearInterp(Peturbed_QZ,$K275,1,AI$1),ZeroCompFreq,'PDH Calc'!$K275/365)</f>
        <v>1</v>
      </c>
      <c r="AJ275" s="8">
        <f ca="1">_xll.HLV5r3.Analytics.Miscellaneous.Zero2DF(_xll.HLV5r3.Analytics.Miscellaneous.LinearInterp(Peturbed_QZ,$K275,1,AJ$1),ZeroCompFreq,'PDH Calc'!$K275/365)</f>
        <v>1</v>
      </c>
      <c r="AK275" s="8">
        <f ca="1">_xll.HLV5r3.Analytics.Miscellaneous.Zero2DF(_xll.HLV5r3.Analytics.Miscellaneous.LinearInterp(Peturbed_QZ,$K275,1,AK$1),ZeroCompFreq,'PDH Calc'!$K275/365)</f>
        <v>1</v>
      </c>
    </row>
    <row r="276" spans="1:37">
      <c r="A276" s="4"/>
      <c r="B276" s="6"/>
      <c r="F276" s="11"/>
      <c r="G276" s="6"/>
      <c r="H276" s="20"/>
      <c r="I276" s="21"/>
      <c r="J276" s="26"/>
      <c r="K276" s="6">
        <f t="shared" ca="1" si="10"/>
        <v>0</v>
      </c>
      <c r="L276" s="8">
        <f ca="1">_xll.HLV5r3.Analytics.Miscellaneous.Zero2DF(_xll.HLV5r3.Analytics.Miscellaneous.LinearInterp(Peturbed_QZ,$K276,1,L$1),ZeroCompFreq,'PDH Calc'!$K276/365)</f>
        <v>1</v>
      </c>
      <c r="M276" s="8">
        <f ca="1">_xll.HLV5r3.Analytics.Miscellaneous.Zero2DF(_xll.HLV5r3.Analytics.Miscellaneous.LinearInterp(Peturbed_QZ,$K276,1,M$1),ZeroCompFreq,'PDH Calc'!$K276/365)</f>
        <v>1</v>
      </c>
      <c r="N276" s="8">
        <f ca="1">_xll.HLV5r3.Analytics.Miscellaneous.Zero2DF(_xll.HLV5r3.Analytics.Miscellaneous.LinearInterp(Peturbed_QZ,$K276,1,N$1),ZeroCompFreq,'PDH Calc'!$K276/365)</f>
        <v>1</v>
      </c>
      <c r="O276" s="8">
        <f ca="1">_xll.HLV5r3.Analytics.Miscellaneous.Zero2DF(_xll.HLV5r3.Analytics.Miscellaneous.LinearInterp(Peturbed_QZ,$K276,1,O$1),ZeroCompFreq,'PDH Calc'!$K276/365)</f>
        <v>1</v>
      </c>
      <c r="P276" s="8">
        <f ca="1">_xll.HLV5r3.Analytics.Miscellaneous.Zero2DF(_xll.HLV5r3.Analytics.Miscellaneous.LinearInterp(Peturbed_QZ,$K276,1,P$1),ZeroCompFreq,'PDH Calc'!$K276/365)</f>
        <v>1</v>
      </c>
      <c r="Q276" s="8">
        <f ca="1">_xll.HLV5r3.Analytics.Miscellaneous.Zero2DF(_xll.HLV5r3.Analytics.Miscellaneous.LinearInterp(Peturbed_QZ,$K276,1,Q$1),ZeroCompFreq,'PDH Calc'!$K276/365)</f>
        <v>1</v>
      </c>
      <c r="R276" s="8">
        <f ca="1">_xll.HLV5r3.Analytics.Miscellaneous.Zero2DF(_xll.HLV5r3.Analytics.Miscellaneous.LinearInterp(Peturbed_QZ,$K276,1,R$1),ZeroCompFreq,'PDH Calc'!$K276/365)</f>
        <v>1</v>
      </c>
      <c r="S276" s="8">
        <f ca="1">_xll.HLV5r3.Analytics.Miscellaneous.Zero2DF(_xll.HLV5r3.Analytics.Miscellaneous.LinearInterp(Peturbed_QZ,$K276,1,S$1),ZeroCompFreq,'PDH Calc'!$K276/365)</f>
        <v>1</v>
      </c>
      <c r="T276" s="8">
        <f ca="1">_xll.HLV5r3.Analytics.Miscellaneous.Zero2DF(_xll.HLV5r3.Analytics.Miscellaneous.LinearInterp(Peturbed_QZ,$K276,1,T$1),ZeroCompFreq,'PDH Calc'!$K276/365)</f>
        <v>1</v>
      </c>
      <c r="U276" s="8">
        <f ca="1">_xll.HLV5r3.Analytics.Miscellaneous.Zero2DF(_xll.HLV5r3.Analytics.Miscellaneous.LinearInterp(Peturbed_QZ,$K276,1,U$1),ZeroCompFreq,'PDH Calc'!$K276/365)</f>
        <v>1</v>
      </c>
      <c r="V276" s="8">
        <f ca="1">_xll.HLV5r3.Analytics.Miscellaneous.Zero2DF(_xll.HLV5r3.Analytics.Miscellaneous.LinearInterp(Peturbed_QZ,$K276,1,V$1),ZeroCompFreq,'PDH Calc'!$K276/365)</f>
        <v>1</v>
      </c>
      <c r="W276" s="8">
        <f ca="1">_xll.HLV5r3.Analytics.Miscellaneous.Zero2DF(_xll.HLV5r3.Analytics.Miscellaneous.LinearInterp(Peturbed_QZ,$K276,1,W$1),ZeroCompFreq,'PDH Calc'!$K276/365)</f>
        <v>1</v>
      </c>
      <c r="X276" s="8">
        <f ca="1">_xll.HLV5r3.Analytics.Miscellaneous.Zero2DF(_xll.HLV5r3.Analytics.Miscellaneous.LinearInterp(Peturbed_QZ,$K276,1,X$1),ZeroCompFreq,'PDH Calc'!$K276/365)</f>
        <v>1</v>
      </c>
      <c r="Y276" s="8">
        <f ca="1">_xll.HLV5r3.Analytics.Miscellaneous.Zero2DF(_xll.HLV5r3.Analytics.Miscellaneous.LinearInterp(Peturbed_QZ,$K276,1,Y$1),ZeroCompFreq,'PDH Calc'!$K276/365)</f>
        <v>1</v>
      </c>
      <c r="Z276" s="8">
        <f ca="1">_xll.HLV5r3.Analytics.Miscellaneous.Zero2DF(_xll.HLV5r3.Analytics.Miscellaneous.LinearInterp(Peturbed_QZ,$K276,1,Z$1),ZeroCompFreq,'PDH Calc'!$K276/365)</f>
        <v>1</v>
      </c>
      <c r="AA276" s="8">
        <f ca="1">_xll.HLV5r3.Analytics.Miscellaneous.Zero2DF(_xll.HLV5r3.Analytics.Miscellaneous.LinearInterp(Peturbed_QZ,$K276,1,AA$1),ZeroCompFreq,'PDH Calc'!$K276/365)</f>
        <v>1</v>
      </c>
      <c r="AB276" s="8">
        <f ca="1">_xll.HLV5r3.Analytics.Miscellaneous.Zero2DF(_xll.HLV5r3.Analytics.Miscellaneous.LinearInterp(Peturbed_QZ,$K276,1,AB$1),ZeroCompFreq,'PDH Calc'!$K276/365)</f>
        <v>1</v>
      </c>
      <c r="AC276" s="8">
        <f ca="1">_xll.HLV5r3.Analytics.Miscellaneous.Zero2DF(_xll.HLV5r3.Analytics.Miscellaneous.LinearInterp(Peturbed_QZ,$K276,1,AC$1),ZeroCompFreq,'PDH Calc'!$K276/365)</f>
        <v>1</v>
      </c>
      <c r="AD276" s="8">
        <f ca="1">_xll.HLV5r3.Analytics.Miscellaneous.Zero2DF(_xll.HLV5r3.Analytics.Miscellaneous.LinearInterp(Peturbed_QZ,$K276,1,AD$1),ZeroCompFreq,'PDH Calc'!$K276/365)</f>
        <v>1</v>
      </c>
      <c r="AE276" s="8">
        <f ca="1">_xll.HLV5r3.Analytics.Miscellaneous.Zero2DF(_xll.HLV5r3.Analytics.Miscellaneous.LinearInterp(Peturbed_QZ,$K276,1,AE$1),ZeroCompFreq,'PDH Calc'!$K276/365)</f>
        <v>1</v>
      </c>
      <c r="AF276" s="8">
        <f ca="1">_xll.HLV5r3.Analytics.Miscellaneous.Zero2DF(_xll.HLV5r3.Analytics.Miscellaneous.LinearInterp(Peturbed_QZ,$K276,1,AF$1),ZeroCompFreq,'PDH Calc'!$K276/365)</f>
        <v>1</v>
      </c>
      <c r="AG276" s="8">
        <f ca="1">_xll.HLV5r3.Analytics.Miscellaneous.Zero2DF(_xll.HLV5r3.Analytics.Miscellaneous.LinearInterp(Peturbed_QZ,$K276,1,AG$1),ZeroCompFreq,'PDH Calc'!$K276/365)</f>
        <v>1</v>
      </c>
      <c r="AH276" s="8">
        <f ca="1">_xll.HLV5r3.Analytics.Miscellaneous.Zero2DF(_xll.HLV5r3.Analytics.Miscellaneous.LinearInterp(Peturbed_QZ,$K276,1,AH$1),ZeroCompFreq,'PDH Calc'!$K276/365)</f>
        <v>1</v>
      </c>
      <c r="AI276" s="8">
        <f ca="1">_xll.HLV5r3.Analytics.Miscellaneous.Zero2DF(_xll.HLV5r3.Analytics.Miscellaneous.LinearInterp(Peturbed_QZ,$K276,1,AI$1),ZeroCompFreq,'PDH Calc'!$K276/365)</f>
        <v>1</v>
      </c>
      <c r="AJ276" s="8">
        <f ca="1">_xll.HLV5r3.Analytics.Miscellaneous.Zero2DF(_xll.HLV5r3.Analytics.Miscellaneous.LinearInterp(Peturbed_QZ,$K276,1,AJ$1),ZeroCompFreq,'PDH Calc'!$K276/365)</f>
        <v>1</v>
      </c>
      <c r="AK276" s="8">
        <f ca="1">_xll.HLV5r3.Analytics.Miscellaneous.Zero2DF(_xll.HLV5r3.Analytics.Miscellaneous.LinearInterp(Peturbed_QZ,$K276,1,AK$1),ZeroCompFreq,'PDH Calc'!$K276/365)</f>
        <v>1</v>
      </c>
    </row>
    <row r="277" spans="1:37">
      <c r="A277" s="4"/>
      <c r="B277" s="6"/>
      <c r="F277" s="11"/>
      <c r="G277" s="6"/>
      <c r="H277" s="20"/>
      <c r="I277" s="21"/>
      <c r="J277" s="26"/>
      <c r="K277" s="6">
        <f t="shared" ca="1" si="10"/>
        <v>0</v>
      </c>
      <c r="L277" s="8">
        <f ca="1">_xll.HLV5r3.Analytics.Miscellaneous.Zero2DF(_xll.HLV5r3.Analytics.Miscellaneous.LinearInterp(Peturbed_QZ,$K277,1,L$1),ZeroCompFreq,'PDH Calc'!$K277/365)</f>
        <v>1</v>
      </c>
      <c r="M277" s="8">
        <f ca="1">_xll.HLV5r3.Analytics.Miscellaneous.Zero2DF(_xll.HLV5r3.Analytics.Miscellaneous.LinearInterp(Peturbed_QZ,$K277,1,M$1),ZeroCompFreq,'PDH Calc'!$K277/365)</f>
        <v>1</v>
      </c>
      <c r="N277" s="8">
        <f ca="1">_xll.HLV5r3.Analytics.Miscellaneous.Zero2DF(_xll.HLV5r3.Analytics.Miscellaneous.LinearInterp(Peturbed_QZ,$K277,1,N$1),ZeroCompFreq,'PDH Calc'!$K277/365)</f>
        <v>1</v>
      </c>
      <c r="O277" s="8">
        <f ca="1">_xll.HLV5r3.Analytics.Miscellaneous.Zero2DF(_xll.HLV5r3.Analytics.Miscellaneous.LinearInterp(Peturbed_QZ,$K277,1,O$1),ZeroCompFreq,'PDH Calc'!$K277/365)</f>
        <v>1</v>
      </c>
      <c r="P277" s="8">
        <f ca="1">_xll.HLV5r3.Analytics.Miscellaneous.Zero2DF(_xll.HLV5r3.Analytics.Miscellaneous.LinearInterp(Peturbed_QZ,$K277,1,P$1),ZeroCompFreq,'PDH Calc'!$K277/365)</f>
        <v>1</v>
      </c>
      <c r="Q277" s="8">
        <f ca="1">_xll.HLV5r3.Analytics.Miscellaneous.Zero2DF(_xll.HLV5r3.Analytics.Miscellaneous.LinearInterp(Peturbed_QZ,$K277,1,Q$1),ZeroCompFreq,'PDH Calc'!$K277/365)</f>
        <v>1</v>
      </c>
      <c r="R277" s="8">
        <f ca="1">_xll.HLV5r3.Analytics.Miscellaneous.Zero2DF(_xll.HLV5r3.Analytics.Miscellaneous.LinearInterp(Peturbed_QZ,$K277,1,R$1),ZeroCompFreq,'PDH Calc'!$K277/365)</f>
        <v>1</v>
      </c>
      <c r="S277" s="8">
        <f ca="1">_xll.HLV5r3.Analytics.Miscellaneous.Zero2DF(_xll.HLV5r3.Analytics.Miscellaneous.LinearInterp(Peturbed_QZ,$K277,1,S$1),ZeroCompFreq,'PDH Calc'!$K277/365)</f>
        <v>1</v>
      </c>
      <c r="T277" s="8">
        <f ca="1">_xll.HLV5r3.Analytics.Miscellaneous.Zero2DF(_xll.HLV5r3.Analytics.Miscellaneous.LinearInterp(Peturbed_QZ,$K277,1,T$1),ZeroCompFreq,'PDH Calc'!$K277/365)</f>
        <v>1</v>
      </c>
      <c r="U277" s="8">
        <f ca="1">_xll.HLV5r3.Analytics.Miscellaneous.Zero2DF(_xll.HLV5r3.Analytics.Miscellaneous.LinearInterp(Peturbed_QZ,$K277,1,U$1),ZeroCompFreq,'PDH Calc'!$K277/365)</f>
        <v>1</v>
      </c>
      <c r="V277" s="8">
        <f ca="1">_xll.HLV5r3.Analytics.Miscellaneous.Zero2DF(_xll.HLV5r3.Analytics.Miscellaneous.LinearInterp(Peturbed_QZ,$K277,1,V$1),ZeroCompFreq,'PDH Calc'!$K277/365)</f>
        <v>1</v>
      </c>
      <c r="W277" s="8">
        <f ca="1">_xll.HLV5r3.Analytics.Miscellaneous.Zero2DF(_xll.HLV5r3.Analytics.Miscellaneous.LinearInterp(Peturbed_QZ,$K277,1,W$1),ZeroCompFreq,'PDH Calc'!$K277/365)</f>
        <v>1</v>
      </c>
      <c r="X277" s="8">
        <f ca="1">_xll.HLV5r3.Analytics.Miscellaneous.Zero2DF(_xll.HLV5r3.Analytics.Miscellaneous.LinearInterp(Peturbed_QZ,$K277,1,X$1),ZeroCompFreq,'PDH Calc'!$K277/365)</f>
        <v>1</v>
      </c>
      <c r="Y277" s="8">
        <f ca="1">_xll.HLV5r3.Analytics.Miscellaneous.Zero2DF(_xll.HLV5r3.Analytics.Miscellaneous.LinearInterp(Peturbed_QZ,$K277,1,Y$1),ZeroCompFreq,'PDH Calc'!$K277/365)</f>
        <v>1</v>
      </c>
      <c r="Z277" s="8">
        <f ca="1">_xll.HLV5r3.Analytics.Miscellaneous.Zero2DF(_xll.HLV5r3.Analytics.Miscellaneous.LinearInterp(Peturbed_QZ,$K277,1,Z$1),ZeroCompFreq,'PDH Calc'!$K277/365)</f>
        <v>1</v>
      </c>
      <c r="AA277" s="8">
        <f ca="1">_xll.HLV5r3.Analytics.Miscellaneous.Zero2DF(_xll.HLV5r3.Analytics.Miscellaneous.LinearInterp(Peturbed_QZ,$K277,1,AA$1),ZeroCompFreq,'PDH Calc'!$K277/365)</f>
        <v>1</v>
      </c>
      <c r="AB277" s="8">
        <f ca="1">_xll.HLV5r3.Analytics.Miscellaneous.Zero2DF(_xll.HLV5r3.Analytics.Miscellaneous.LinearInterp(Peturbed_QZ,$K277,1,AB$1),ZeroCompFreq,'PDH Calc'!$K277/365)</f>
        <v>1</v>
      </c>
      <c r="AC277" s="8">
        <f ca="1">_xll.HLV5r3.Analytics.Miscellaneous.Zero2DF(_xll.HLV5r3.Analytics.Miscellaneous.LinearInterp(Peturbed_QZ,$K277,1,AC$1),ZeroCompFreq,'PDH Calc'!$K277/365)</f>
        <v>1</v>
      </c>
      <c r="AD277" s="8">
        <f ca="1">_xll.HLV5r3.Analytics.Miscellaneous.Zero2DF(_xll.HLV5r3.Analytics.Miscellaneous.LinearInterp(Peturbed_QZ,$K277,1,AD$1),ZeroCompFreq,'PDH Calc'!$K277/365)</f>
        <v>1</v>
      </c>
      <c r="AE277" s="8">
        <f ca="1">_xll.HLV5r3.Analytics.Miscellaneous.Zero2DF(_xll.HLV5r3.Analytics.Miscellaneous.LinearInterp(Peturbed_QZ,$K277,1,AE$1),ZeroCompFreq,'PDH Calc'!$K277/365)</f>
        <v>1</v>
      </c>
      <c r="AF277" s="8">
        <f ca="1">_xll.HLV5r3.Analytics.Miscellaneous.Zero2DF(_xll.HLV5r3.Analytics.Miscellaneous.LinearInterp(Peturbed_QZ,$K277,1,AF$1),ZeroCompFreq,'PDH Calc'!$K277/365)</f>
        <v>1</v>
      </c>
      <c r="AG277" s="8">
        <f ca="1">_xll.HLV5r3.Analytics.Miscellaneous.Zero2DF(_xll.HLV5r3.Analytics.Miscellaneous.LinearInterp(Peturbed_QZ,$K277,1,AG$1),ZeroCompFreq,'PDH Calc'!$K277/365)</f>
        <v>1</v>
      </c>
      <c r="AH277" s="8">
        <f ca="1">_xll.HLV5r3.Analytics.Miscellaneous.Zero2DF(_xll.HLV5r3.Analytics.Miscellaneous.LinearInterp(Peturbed_QZ,$K277,1,AH$1),ZeroCompFreq,'PDH Calc'!$K277/365)</f>
        <v>1</v>
      </c>
      <c r="AI277" s="8">
        <f ca="1">_xll.HLV5r3.Analytics.Miscellaneous.Zero2DF(_xll.HLV5r3.Analytics.Miscellaneous.LinearInterp(Peturbed_QZ,$K277,1,AI$1),ZeroCompFreq,'PDH Calc'!$K277/365)</f>
        <v>1</v>
      </c>
      <c r="AJ277" s="8">
        <f ca="1">_xll.HLV5r3.Analytics.Miscellaneous.Zero2DF(_xll.HLV5r3.Analytics.Miscellaneous.LinearInterp(Peturbed_QZ,$K277,1,AJ$1),ZeroCompFreq,'PDH Calc'!$K277/365)</f>
        <v>1</v>
      </c>
      <c r="AK277" s="8">
        <f ca="1">_xll.HLV5r3.Analytics.Miscellaneous.Zero2DF(_xll.HLV5r3.Analytics.Miscellaneous.LinearInterp(Peturbed_QZ,$K277,1,AK$1),ZeroCompFreq,'PDH Calc'!$K277/365)</f>
        <v>1</v>
      </c>
    </row>
    <row r="278" spans="1:37">
      <c r="A278" s="4"/>
      <c r="B278" s="6"/>
      <c r="F278" s="11"/>
      <c r="G278" s="6"/>
      <c r="H278" s="20"/>
      <c r="I278" s="21"/>
      <c r="J278" s="26"/>
      <c r="K278" s="6">
        <f t="shared" ca="1" si="10"/>
        <v>0</v>
      </c>
      <c r="L278" s="8">
        <f ca="1">_xll.HLV5r3.Analytics.Miscellaneous.Zero2DF(_xll.HLV5r3.Analytics.Miscellaneous.LinearInterp(Peturbed_QZ,$K278,1,L$1),ZeroCompFreq,'PDH Calc'!$K278/365)</f>
        <v>1</v>
      </c>
      <c r="M278" s="8">
        <f ca="1">_xll.HLV5r3.Analytics.Miscellaneous.Zero2DF(_xll.HLV5r3.Analytics.Miscellaneous.LinearInterp(Peturbed_QZ,$K278,1,M$1),ZeroCompFreq,'PDH Calc'!$K278/365)</f>
        <v>1</v>
      </c>
      <c r="N278" s="8">
        <f ca="1">_xll.HLV5r3.Analytics.Miscellaneous.Zero2DF(_xll.HLV5r3.Analytics.Miscellaneous.LinearInterp(Peturbed_QZ,$K278,1,N$1),ZeroCompFreq,'PDH Calc'!$K278/365)</f>
        <v>1</v>
      </c>
      <c r="O278" s="8">
        <f ca="1">_xll.HLV5r3.Analytics.Miscellaneous.Zero2DF(_xll.HLV5r3.Analytics.Miscellaneous.LinearInterp(Peturbed_QZ,$K278,1,O$1),ZeroCompFreq,'PDH Calc'!$K278/365)</f>
        <v>1</v>
      </c>
      <c r="P278" s="8">
        <f ca="1">_xll.HLV5r3.Analytics.Miscellaneous.Zero2DF(_xll.HLV5r3.Analytics.Miscellaneous.LinearInterp(Peturbed_QZ,$K278,1,P$1),ZeroCompFreq,'PDH Calc'!$K278/365)</f>
        <v>1</v>
      </c>
      <c r="Q278" s="8">
        <f ca="1">_xll.HLV5r3.Analytics.Miscellaneous.Zero2DF(_xll.HLV5r3.Analytics.Miscellaneous.LinearInterp(Peturbed_QZ,$K278,1,Q$1),ZeroCompFreq,'PDH Calc'!$K278/365)</f>
        <v>1</v>
      </c>
      <c r="R278" s="8">
        <f ca="1">_xll.HLV5r3.Analytics.Miscellaneous.Zero2DF(_xll.HLV5r3.Analytics.Miscellaneous.LinearInterp(Peturbed_QZ,$K278,1,R$1),ZeroCompFreq,'PDH Calc'!$K278/365)</f>
        <v>1</v>
      </c>
      <c r="S278" s="8">
        <f ca="1">_xll.HLV5r3.Analytics.Miscellaneous.Zero2DF(_xll.HLV5r3.Analytics.Miscellaneous.LinearInterp(Peturbed_QZ,$K278,1,S$1),ZeroCompFreq,'PDH Calc'!$K278/365)</f>
        <v>1</v>
      </c>
      <c r="T278" s="8">
        <f ca="1">_xll.HLV5r3.Analytics.Miscellaneous.Zero2DF(_xll.HLV5r3.Analytics.Miscellaneous.LinearInterp(Peturbed_QZ,$K278,1,T$1),ZeroCompFreq,'PDH Calc'!$K278/365)</f>
        <v>1</v>
      </c>
      <c r="U278" s="8">
        <f ca="1">_xll.HLV5r3.Analytics.Miscellaneous.Zero2DF(_xll.HLV5r3.Analytics.Miscellaneous.LinearInterp(Peturbed_QZ,$K278,1,U$1),ZeroCompFreq,'PDH Calc'!$K278/365)</f>
        <v>1</v>
      </c>
      <c r="V278" s="8">
        <f ca="1">_xll.HLV5r3.Analytics.Miscellaneous.Zero2DF(_xll.HLV5r3.Analytics.Miscellaneous.LinearInterp(Peturbed_QZ,$K278,1,V$1),ZeroCompFreq,'PDH Calc'!$K278/365)</f>
        <v>1</v>
      </c>
      <c r="W278" s="8">
        <f ca="1">_xll.HLV5r3.Analytics.Miscellaneous.Zero2DF(_xll.HLV5r3.Analytics.Miscellaneous.LinearInterp(Peturbed_QZ,$K278,1,W$1),ZeroCompFreq,'PDH Calc'!$K278/365)</f>
        <v>1</v>
      </c>
      <c r="X278" s="8">
        <f ca="1">_xll.HLV5r3.Analytics.Miscellaneous.Zero2DF(_xll.HLV5r3.Analytics.Miscellaneous.LinearInterp(Peturbed_QZ,$K278,1,X$1),ZeroCompFreq,'PDH Calc'!$K278/365)</f>
        <v>1</v>
      </c>
      <c r="Y278" s="8">
        <f ca="1">_xll.HLV5r3.Analytics.Miscellaneous.Zero2DF(_xll.HLV5r3.Analytics.Miscellaneous.LinearInterp(Peturbed_QZ,$K278,1,Y$1),ZeroCompFreq,'PDH Calc'!$K278/365)</f>
        <v>1</v>
      </c>
      <c r="Z278" s="8">
        <f ca="1">_xll.HLV5r3.Analytics.Miscellaneous.Zero2DF(_xll.HLV5r3.Analytics.Miscellaneous.LinearInterp(Peturbed_QZ,$K278,1,Z$1),ZeroCompFreq,'PDH Calc'!$K278/365)</f>
        <v>1</v>
      </c>
      <c r="AA278" s="8">
        <f ca="1">_xll.HLV5r3.Analytics.Miscellaneous.Zero2DF(_xll.HLV5r3.Analytics.Miscellaneous.LinearInterp(Peturbed_QZ,$K278,1,AA$1),ZeroCompFreq,'PDH Calc'!$K278/365)</f>
        <v>1</v>
      </c>
      <c r="AB278" s="8">
        <f ca="1">_xll.HLV5r3.Analytics.Miscellaneous.Zero2DF(_xll.HLV5r3.Analytics.Miscellaneous.LinearInterp(Peturbed_QZ,$K278,1,AB$1),ZeroCompFreq,'PDH Calc'!$K278/365)</f>
        <v>1</v>
      </c>
      <c r="AC278" s="8">
        <f ca="1">_xll.HLV5r3.Analytics.Miscellaneous.Zero2DF(_xll.HLV5r3.Analytics.Miscellaneous.LinearInterp(Peturbed_QZ,$K278,1,AC$1),ZeroCompFreq,'PDH Calc'!$K278/365)</f>
        <v>1</v>
      </c>
      <c r="AD278" s="8">
        <f ca="1">_xll.HLV5r3.Analytics.Miscellaneous.Zero2DF(_xll.HLV5r3.Analytics.Miscellaneous.LinearInterp(Peturbed_QZ,$K278,1,AD$1),ZeroCompFreq,'PDH Calc'!$K278/365)</f>
        <v>1</v>
      </c>
      <c r="AE278" s="8">
        <f ca="1">_xll.HLV5r3.Analytics.Miscellaneous.Zero2DF(_xll.HLV5r3.Analytics.Miscellaneous.LinearInterp(Peturbed_QZ,$K278,1,AE$1),ZeroCompFreq,'PDH Calc'!$K278/365)</f>
        <v>1</v>
      </c>
      <c r="AF278" s="8">
        <f ca="1">_xll.HLV5r3.Analytics.Miscellaneous.Zero2DF(_xll.HLV5r3.Analytics.Miscellaneous.LinearInterp(Peturbed_QZ,$K278,1,AF$1),ZeroCompFreq,'PDH Calc'!$K278/365)</f>
        <v>1</v>
      </c>
      <c r="AG278" s="8">
        <f ca="1">_xll.HLV5r3.Analytics.Miscellaneous.Zero2DF(_xll.HLV5r3.Analytics.Miscellaneous.LinearInterp(Peturbed_QZ,$K278,1,AG$1),ZeroCompFreq,'PDH Calc'!$K278/365)</f>
        <v>1</v>
      </c>
      <c r="AH278" s="8">
        <f ca="1">_xll.HLV5r3.Analytics.Miscellaneous.Zero2DF(_xll.HLV5r3.Analytics.Miscellaneous.LinearInterp(Peturbed_QZ,$K278,1,AH$1),ZeroCompFreq,'PDH Calc'!$K278/365)</f>
        <v>1</v>
      </c>
      <c r="AI278" s="8">
        <f ca="1">_xll.HLV5r3.Analytics.Miscellaneous.Zero2DF(_xll.HLV5r3.Analytics.Miscellaneous.LinearInterp(Peturbed_QZ,$K278,1,AI$1),ZeroCompFreq,'PDH Calc'!$K278/365)</f>
        <v>1</v>
      </c>
      <c r="AJ278" s="8">
        <f ca="1">_xll.HLV5r3.Analytics.Miscellaneous.Zero2DF(_xll.HLV5r3.Analytics.Miscellaneous.LinearInterp(Peturbed_QZ,$K278,1,AJ$1),ZeroCompFreq,'PDH Calc'!$K278/365)</f>
        <v>1</v>
      </c>
      <c r="AK278" s="8">
        <f ca="1">_xll.HLV5r3.Analytics.Miscellaneous.Zero2DF(_xll.HLV5r3.Analytics.Miscellaneous.LinearInterp(Peturbed_QZ,$K278,1,AK$1),ZeroCompFreq,'PDH Calc'!$K278/365)</f>
        <v>1</v>
      </c>
    </row>
    <row r="279" spans="1:37">
      <c r="A279" s="4"/>
      <c r="B279" s="6"/>
      <c r="F279" s="11"/>
      <c r="G279" s="6"/>
      <c r="H279" s="20"/>
      <c r="I279" s="21"/>
      <c r="J279" s="26"/>
      <c r="K279" s="6">
        <f t="shared" ca="1" si="10"/>
        <v>0</v>
      </c>
      <c r="L279" s="8">
        <f ca="1">_xll.HLV5r3.Analytics.Miscellaneous.Zero2DF(_xll.HLV5r3.Analytics.Miscellaneous.LinearInterp(Peturbed_QZ,$K279,1,L$1),ZeroCompFreq,'PDH Calc'!$K279/365)</f>
        <v>1</v>
      </c>
      <c r="M279" s="8">
        <f ca="1">_xll.HLV5r3.Analytics.Miscellaneous.Zero2DF(_xll.HLV5r3.Analytics.Miscellaneous.LinearInterp(Peturbed_QZ,$K279,1,M$1),ZeroCompFreq,'PDH Calc'!$K279/365)</f>
        <v>1</v>
      </c>
      <c r="N279" s="8">
        <f ca="1">_xll.HLV5r3.Analytics.Miscellaneous.Zero2DF(_xll.HLV5r3.Analytics.Miscellaneous.LinearInterp(Peturbed_QZ,$K279,1,N$1),ZeroCompFreq,'PDH Calc'!$K279/365)</f>
        <v>1</v>
      </c>
      <c r="O279" s="8">
        <f ca="1">_xll.HLV5r3.Analytics.Miscellaneous.Zero2DF(_xll.HLV5r3.Analytics.Miscellaneous.LinearInterp(Peturbed_QZ,$K279,1,O$1),ZeroCompFreq,'PDH Calc'!$K279/365)</f>
        <v>1</v>
      </c>
      <c r="P279" s="8">
        <f ca="1">_xll.HLV5r3.Analytics.Miscellaneous.Zero2DF(_xll.HLV5r3.Analytics.Miscellaneous.LinearInterp(Peturbed_QZ,$K279,1,P$1),ZeroCompFreq,'PDH Calc'!$K279/365)</f>
        <v>1</v>
      </c>
      <c r="Q279" s="8">
        <f ca="1">_xll.HLV5r3.Analytics.Miscellaneous.Zero2DF(_xll.HLV5r3.Analytics.Miscellaneous.LinearInterp(Peturbed_QZ,$K279,1,Q$1),ZeroCompFreq,'PDH Calc'!$K279/365)</f>
        <v>1</v>
      </c>
      <c r="R279" s="8">
        <f ca="1">_xll.HLV5r3.Analytics.Miscellaneous.Zero2DF(_xll.HLV5r3.Analytics.Miscellaneous.LinearInterp(Peturbed_QZ,$K279,1,R$1),ZeroCompFreq,'PDH Calc'!$K279/365)</f>
        <v>1</v>
      </c>
      <c r="S279" s="8">
        <f ca="1">_xll.HLV5r3.Analytics.Miscellaneous.Zero2DF(_xll.HLV5r3.Analytics.Miscellaneous.LinearInterp(Peturbed_QZ,$K279,1,S$1),ZeroCompFreq,'PDH Calc'!$K279/365)</f>
        <v>1</v>
      </c>
      <c r="T279" s="8">
        <f ca="1">_xll.HLV5r3.Analytics.Miscellaneous.Zero2DF(_xll.HLV5r3.Analytics.Miscellaneous.LinearInterp(Peturbed_QZ,$K279,1,T$1),ZeroCompFreq,'PDH Calc'!$K279/365)</f>
        <v>1</v>
      </c>
      <c r="U279" s="8">
        <f ca="1">_xll.HLV5r3.Analytics.Miscellaneous.Zero2DF(_xll.HLV5r3.Analytics.Miscellaneous.LinearInterp(Peturbed_QZ,$K279,1,U$1),ZeroCompFreq,'PDH Calc'!$K279/365)</f>
        <v>1</v>
      </c>
      <c r="V279" s="8">
        <f ca="1">_xll.HLV5r3.Analytics.Miscellaneous.Zero2DF(_xll.HLV5r3.Analytics.Miscellaneous.LinearInterp(Peturbed_QZ,$K279,1,V$1),ZeroCompFreq,'PDH Calc'!$K279/365)</f>
        <v>1</v>
      </c>
      <c r="W279" s="8">
        <f ca="1">_xll.HLV5r3.Analytics.Miscellaneous.Zero2DF(_xll.HLV5r3.Analytics.Miscellaneous.LinearInterp(Peturbed_QZ,$K279,1,W$1),ZeroCompFreq,'PDH Calc'!$K279/365)</f>
        <v>1</v>
      </c>
      <c r="X279" s="8">
        <f ca="1">_xll.HLV5r3.Analytics.Miscellaneous.Zero2DF(_xll.HLV5r3.Analytics.Miscellaneous.LinearInterp(Peturbed_QZ,$K279,1,X$1),ZeroCompFreq,'PDH Calc'!$K279/365)</f>
        <v>1</v>
      </c>
      <c r="Y279" s="8">
        <f ca="1">_xll.HLV5r3.Analytics.Miscellaneous.Zero2DF(_xll.HLV5r3.Analytics.Miscellaneous.LinearInterp(Peturbed_QZ,$K279,1,Y$1),ZeroCompFreq,'PDH Calc'!$K279/365)</f>
        <v>1</v>
      </c>
      <c r="Z279" s="8">
        <f ca="1">_xll.HLV5r3.Analytics.Miscellaneous.Zero2DF(_xll.HLV5r3.Analytics.Miscellaneous.LinearInterp(Peturbed_QZ,$K279,1,Z$1),ZeroCompFreq,'PDH Calc'!$K279/365)</f>
        <v>1</v>
      </c>
      <c r="AA279" s="8">
        <f ca="1">_xll.HLV5r3.Analytics.Miscellaneous.Zero2DF(_xll.HLV5r3.Analytics.Miscellaneous.LinearInterp(Peturbed_QZ,$K279,1,AA$1),ZeroCompFreq,'PDH Calc'!$K279/365)</f>
        <v>1</v>
      </c>
      <c r="AB279" s="8">
        <f ca="1">_xll.HLV5r3.Analytics.Miscellaneous.Zero2DF(_xll.HLV5r3.Analytics.Miscellaneous.LinearInterp(Peturbed_QZ,$K279,1,AB$1),ZeroCompFreq,'PDH Calc'!$K279/365)</f>
        <v>1</v>
      </c>
      <c r="AC279" s="8">
        <f ca="1">_xll.HLV5r3.Analytics.Miscellaneous.Zero2DF(_xll.HLV5r3.Analytics.Miscellaneous.LinearInterp(Peturbed_QZ,$K279,1,AC$1),ZeroCompFreq,'PDH Calc'!$K279/365)</f>
        <v>1</v>
      </c>
      <c r="AD279" s="8">
        <f ca="1">_xll.HLV5r3.Analytics.Miscellaneous.Zero2DF(_xll.HLV5r3.Analytics.Miscellaneous.LinearInterp(Peturbed_QZ,$K279,1,AD$1),ZeroCompFreq,'PDH Calc'!$K279/365)</f>
        <v>1</v>
      </c>
      <c r="AE279" s="8">
        <f ca="1">_xll.HLV5r3.Analytics.Miscellaneous.Zero2DF(_xll.HLV5r3.Analytics.Miscellaneous.LinearInterp(Peturbed_QZ,$K279,1,AE$1),ZeroCompFreq,'PDH Calc'!$K279/365)</f>
        <v>1</v>
      </c>
      <c r="AF279" s="8">
        <f ca="1">_xll.HLV5r3.Analytics.Miscellaneous.Zero2DF(_xll.HLV5r3.Analytics.Miscellaneous.LinearInterp(Peturbed_QZ,$K279,1,AF$1),ZeroCompFreq,'PDH Calc'!$K279/365)</f>
        <v>1</v>
      </c>
      <c r="AG279" s="8">
        <f ca="1">_xll.HLV5r3.Analytics.Miscellaneous.Zero2DF(_xll.HLV5r3.Analytics.Miscellaneous.LinearInterp(Peturbed_QZ,$K279,1,AG$1),ZeroCompFreq,'PDH Calc'!$K279/365)</f>
        <v>1</v>
      </c>
      <c r="AH279" s="8">
        <f ca="1">_xll.HLV5r3.Analytics.Miscellaneous.Zero2DF(_xll.HLV5r3.Analytics.Miscellaneous.LinearInterp(Peturbed_QZ,$K279,1,AH$1),ZeroCompFreq,'PDH Calc'!$K279/365)</f>
        <v>1</v>
      </c>
      <c r="AI279" s="8">
        <f ca="1">_xll.HLV5r3.Analytics.Miscellaneous.Zero2DF(_xll.HLV5r3.Analytics.Miscellaneous.LinearInterp(Peturbed_QZ,$K279,1,AI$1),ZeroCompFreq,'PDH Calc'!$K279/365)</f>
        <v>1</v>
      </c>
      <c r="AJ279" s="8">
        <f ca="1">_xll.HLV5r3.Analytics.Miscellaneous.Zero2DF(_xll.HLV5r3.Analytics.Miscellaneous.LinearInterp(Peturbed_QZ,$K279,1,AJ$1),ZeroCompFreq,'PDH Calc'!$K279/365)</f>
        <v>1</v>
      </c>
      <c r="AK279" s="8">
        <f ca="1">_xll.HLV5r3.Analytics.Miscellaneous.Zero2DF(_xll.HLV5r3.Analytics.Miscellaneous.LinearInterp(Peturbed_QZ,$K279,1,AK$1),ZeroCompFreq,'PDH Calc'!$K279/365)</f>
        <v>1</v>
      </c>
    </row>
    <row r="280" spans="1:37">
      <c r="A280" s="4"/>
      <c r="B280" s="6"/>
      <c r="F280" s="11"/>
      <c r="G280" s="6"/>
      <c r="H280" s="20"/>
      <c r="I280" s="21"/>
      <c r="J280" s="26"/>
      <c r="K280" s="6">
        <f t="shared" ca="1" si="10"/>
        <v>0</v>
      </c>
      <c r="L280" s="8">
        <f ca="1">_xll.HLV5r3.Analytics.Miscellaneous.Zero2DF(_xll.HLV5r3.Analytics.Miscellaneous.LinearInterp(Peturbed_QZ,$K280,1,L$1),ZeroCompFreq,'PDH Calc'!$K280/365)</f>
        <v>1</v>
      </c>
      <c r="M280" s="8">
        <f ca="1">_xll.HLV5r3.Analytics.Miscellaneous.Zero2DF(_xll.HLV5r3.Analytics.Miscellaneous.LinearInterp(Peturbed_QZ,$K280,1,M$1),ZeroCompFreq,'PDH Calc'!$K280/365)</f>
        <v>1</v>
      </c>
      <c r="N280" s="8">
        <f ca="1">_xll.HLV5r3.Analytics.Miscellaneous.Zero2DF(_xll.HLV5r3.Analytics.Miscellaneous.LinearInterp(Peturbed_QZ,$K280,1,N$1),ZeroCompFreq,'PDH Calc'!$K280/365)</f>
        <v>1</v>
      </c>
      <c r="O280" s="8">
        <f ca="1">_xll.HLV5r3.Analytics.Miscellaneous.Zero2DF(_xll.HLV5r3.Analytics.Miscellaneous.LinearInterp(Peturbed_QZ,$K280,1,O$1),ZeroCompFreq,'PDH Calc'!$K280/365)</f>
        <v>1</v>
      </c>
      <c r="P280" s="8">
        <f ca="1">_xll.HLV5r3.Analytics.Miscellaneous.Zero2DF(_xll.HLV5r3.Analytics.Miscellaneous.LinearInterp(Peturbed_QZ,$K280,1,P$1),ZeroCompFreq,'PDH Calc'!$K280/365)</f>
        <v>1</v>
      </c>
      <c r="Q280" s="8">
        <f ca="1">_xll.HLV5r3.Analytics.Miscellaneous.Zero2DF(_xll.HLV5r3.Analytics.Miscellaneous.LinearInterp(Peturbed_QZ,$K280,1,Q$1),ZeroCompFreq,'PDH Calc'!$K280/365)</f>
        <v>1</v>
      </c>
      <c r="R280" s="8">
        <f ca="1">_xll.HLV5r3.Analytics.Miscellaneous.Zero2DF(_xll.HLV5r3.Analytics.Miscellaneous.LinearInterp(Peturbed_QZ,$K280,1,R$1),ZeroCompFreq,'PDH Calc'!$K280/365)</f>
        <v>1</v>
      </c>
      <c r="S280" s="8">
        <f ca="1">_xll.HLV5r3.Analytics.Miscellaneous.Zero2DF(_xll.HLV5r3.Analytics.Miscellaneous.LinearInterp(Peturbed_QZ,$K280,1,S$1),ZeroCompFreq,'PDH Calc'!$K280/365)</f>
        <v>1</v>
      </c>
      <c r="T280" s="8">
        <f ca="1">_xll.HLV5r3.Analytics.Miscellaneous.Zero2DF(_xll.HLV5r3.Analytics.Miscellaneous.LinearInterp(Peturbed_QZ,$K280,1,T$1),ZeroCompFreq,'PDH Calc'!$K280/365)</f>
        <v>1</v>
      </c>
      <c r="U280" s="8">
        <f ca="1">_xll.HLV5r3.Analytics.Miscellaneous.Zero2DF(_xll.HLV5r3.Analytics.Miscellaneous.LinearInterp(Peturbed_QZ,$K280,1,U$1),ZeroCompFreq,'PDH Calc'!$K280/365)</f>
        <v>1</v>
      </c>
      <c r="V280" s="8">
        <f ca="1">_xll.HLV5r3.Analytics.Miscellaneous.Zero2DF(_xll.HLV5r3.Analytics.Miscellaneous.LinearInterp(Peturbed_QZ,$K280,1,V$1),ZeroCompFreq,'PDH Calc'!$K280/365)</f>
        <v>1</v>
      </c>
      <c r="W280" s="8">
        <f ca="1">_xll.HLV5r3.Analytics.Miscellaneous.Zero2DF(_xll.HLV5r3.Analytics.Miscellaneous.LinearInterp(Peturbed_QZ,$K280,1,W$1),ZeroCompFreq,'PDH Calc'!$K280/365)</f>
        <v>1</v>
      </c>
      <c r="X280" s="8">
        <f ca="1">_xll.HLV5r3.Analytics.Miscellaneous.Zero2DF(_xll.HLV5r3.Analytics.Miscellaneous.LinearInterp(Peturbed_QZ,$K280,1,X$1),ZeroCompFreq,'PDH Calc'!$K280/365)</f>
        <v>1</v>
      </c>
      <c r="Y280" s="8">
        <f ca="1">_xll.HLV5r3.Analytics.Miscellaneous.Zero2DF(_xll.HLV5r3.Analytics.Miscellaneous.LinearInterp(Peturbed_QZ,$K280,1,Y$1),ZeroCompFreq,'PDH Calc'!$K280/365)</f>
        <v>1</v>
      </c>
      <c r="Z280" s="8">
        <f ca="1">_xll.HLV5r3.Analytics.Miscellaneous.Zero2DF(_xll.HLV5r3.Analytics.Miscellaneous.LinearInterp(Peturbed_QZ,$K280,1,Z$1),ZeroCompFreq,'PDH Calc'!$K280/365)</f>
        <v>1</v>
      </c>
      <c r="AA280" s="8">
        <f ca="1">_xll.HLV5r3.Analytics.Miscellaneous.Zero2DF(_xll.HLV5r3.Analytics.Miscellaneous.LinearInterp(Peturbed_QZ,$K280,1,AA$1),ZeroCompFreq,'PDH Calc'!$K280/365)</f>
        <v>1</v>
      </c>
      <c r="AB280" s="8">
        <f ca="1">_xll.HLV5r3.Analytics.Miscellaneous.Zero2DF(_xll.HLV5r3.Analytics.Miscellaneous.LinearInterp(Peturbed_QZ,$K280,1,AB$1),ZeroCompFreq,'PDH Calc'!$K280/365)</f>
        <v>1</v>
      </c>
      <c r="AC280" s="8">
        <f ca="1">_xll.HLV5r3.Analytics.Miscellaneous.Zero2DF(_xll.HLV5r3.Analytics.Miscellaneous.LinearInterp(Peturbed_QZ,$K280,1,AC$1),ZeroCompFreq,'PDH Calc'!$K280/365)</f>
        <v>1</v>
      </c>
      <c r="AD280" s="8">
        <f ca="1">_xll.HLV5r3.Analytics.Miscellaneous.Zero2DF(_xll.HLV5r3.Analytics.Miscellaneous.LinearInterp(Peturbed_QZ,$K280,1,AD$1),ZeroCompFreq,'PDH Calc'!$K280/365)</f>
        <v>1</v>
      </c>
      <c r="AE280" s="8">
        <f ca="1">_xll.HLV5r3.Analytics.Miscellaneous.Zero2DF(_xll.HLV5r3.Analytics.Miscellaneous.LinearInterp(Peturbed_QZ,$K280,1,AE$1),ZeroCompFreq,'PDH Calc'!$K280/365)</f>
        <v>1</v>
      </c>
      <c r="AF280" s="8">
        <f ca="1">_xll.HLV5r3.Analytics.Miscellaneous.Zero2DF(_xll.HLV5r3.Analytics.Miscellaneous.LinearInterp(Peturbed_QZ,$K280,1,AF$1),ZeroCompFreq,'PDH Calc'!$K280/365)</f>
        <v>1</v>
      </c>
      <c r="AG280" s="8">
        <f ca="1">_xll.HLV5r3.Analytics.Miscellaneous.Zero2DF(_xll.HLV5r3.Analytics.Miscellaneous.LinearInterp(Peturbed_QZ,$K280,1,AG$1),ZeroCompFreq,'PDH Calc'!$K280/365)</f>
        <v>1</v>
      </c>
      <c r="AH280" s="8">
        <f ca="1">_xll.HLV5r3.Analytics.Miscellaneous.Zero2DF(_xll.HLV5r3.Analytics.Miscellaneous.LinearInterp(Peturbed_QZ,$K280,1,AH$1),ZeroCompFreq,'PDH Calc'!$K280/365)</f>
        <v>1</v>
      </c>
      <c r="AI280" s="8">
        <f ca="1">_xll.HLV5r3.Analytics.Miscellaneous.Zero2DF(_xll.HLV5r3.Analytics.Miscellaneous.LinearInterp(Peturbed_QZ,$K280,1,AI$1),ZeroCompFreq,'PDH Calc'!$K280/365)</f>
        <v>1</v>
      </c>
      <c r="AJ280" s="8">
        <f ca="1">_xll.HLV5r3.Analytics.Miscellaneous.Zero2DF(_xll.HLV5r3.Analytics.Miscellaneous.LinearInterp(Peturbed_QZ,$K280,1,AJ$1),ZeroCompFreq,'PDH Calc'!$K280/365)</f>
        <v>1</v>
      </c>
      <c r="AK280" s="8">
        <f ca="1">_xll.HLV5r3.Analytics.Miscellaneous.Zero2DF(_xll.HLV5r3.Analytics.Miscellaneous.LinearInterp(Peturbed_QZ,$K280,1,AK$1),ZeroCompFreq,'PDH Calc'!$K280/365)</f>
        <v>1</v>
      </c>
    </row>
    <row r="281" spans="1:37">
      <c r="A281" s="4"/>
      <c r="B281" s="6"/>
      <c r="F281" s="11"/>
      <c r="G281" s="6"/>
      <c r="H281" s="20"/>
      <c r="I281" s="21"/>
      <c r="J281" s="26"/>
      <c r="K281" s="6">
        <f t="shared" ca="1" si="10"/>
        <v>0</v>
      </c>
      <c r="L281" s="8">
        <f ca="1">_xll.HLV5r3.Analytics.Miscellaneous.Zero2DF(_xll.HLV5r3.Analytics.Miscellaneous.LinearInterp(Peturbed_QZ,$K281,1,L$1),ZeroCompFreq,'PDH Calc'!$K281/365)</f>
        <v>1</v>
      </c>
      <c r="M281" s="8">
        <f ca="1">_xll.HLV5r3.Analytics.Miscellaneous.Zero2DF(_xll.HLV5r3.Analytics.Miscellaneous.LinearInterp(Peturbed_QZ,$K281,1,M$1),ZeroCompFreq,'PDH Calc'!$K281/365)</f>
        <v>1</v>
      </c>
      <c r="N281" s="8">
        <f ca="1">_xll.HLV5r3.Analytics.Miscellaneous.Zero2DF(_xll.HLV5r3.Analytics.Miscellaneous.LinearInterp(Peturbed_QZ,$K281,1,N$1),ZeroCompFreq,'PDH Calc'!$K281/365)</f>
        <v>1</v>
      </c>
      <c r="O281" s="8">
        <f ca="1">_xll.HLV5r3.Analytics.Miscellaneous.Zero2DF(_xll.HLV5r3.Analytics.Miscellaneous.LinearInterp(Peturbed_QZ,$K281,1,O$1),ZeroCompFreq,'PDH Calc'!$K281/365)</f>
        <v>1</v>
      </c>
      <c r="P281" s="8">
        <f ca="1">_xll.HLV5r3.Analytics.Miscellaneous.Zero2DF(_xll.HLV5r3.Analytics.Miscellaneous.LinearInterp(Peturbed_QZ,$K281,1,P$1),ZeroCompFreq,'PDH Calc'!$K281/365)</f>
        <v>1</v>
      </c>
      <c r="Q281" s="8">
        <f ca="1">_xll.HLV5r3.Analytics.Miscellaneous.Zero2DF(_xll.HLV5r3.Analytics.Miscellaneous.LinearInterp(Peturbed_QZ,$K281,1,Q$1),ZeroCompFreq,'PDH Calc'!$K281/365)</f>
        <v>1</v>
      </c>
      <c r="R281" s="8">
        <f ca="1">_xll.HLV5r3.Analytics.Miscellaneous.Zero2DF(_xll.HLV5r3.Analytics.Miscellaneous.LinearInterp(Peturbed_QZ,$K281,1,R$1),ZeroCompFreq,'PDH Calc'!$K281/365)</f>
        <v>1</v>
      </c>
      <c r="S281" s="8">
        <f ca="1">_xll.HLV5r3.Analytics.Miscellaneous.Zero2DF(_xll.HLV5r3.Analytics.Miscellaneous.LinearInterp(Peturbed_QZ,$K281,1,S$1),ZeroCompFreq,'PDH Calc'!$K281/365)</f>
        <v>1</v>
      </c>
      <c r="T281" s="8">
        <f ca="1">_xll.HLV5r3.Analytics.Miscellaneous.Zero2DF(_xll.HLV5r3.Analytics.Miscellaneous.LinearInterp(Peturbed_QZ,$K281,1,T$1),ZeroCompFreq,'PDH Calc'!$K281/365)</f>
        <v>1</v>
      </c>
      <c r="U281" s="8">
        <f ca="1">_xll.HLV5r3.Analytics.Miscellaneous.Zero2DF(_xll.HLV5r3.Analytics.Miscellaneous.LinearInterp(Peturbed_QZ,$K281,1,U$1),ZeroCompFreq,'PDH Calc'!$K281/365)</f>
        <v>1</v>
      </c>
      <c r="V281" s="8">
        <f ca="1">_xll.HLV5r3.Analytics.Miscellaneous.Zero2DF(_xll.HLV5r3.Analytics.Miscellaneous.LinearInterp(Peturbed_QZ,$K281,1,V$1),ZeroCompFreq,'PDH Calc'!$K281/365)</f>
        <v>1</v>
      </c>
      <c r="W281" s="8">
        <f ca="1">_xll.HLV5r3.Analytics.Miscellaneous.Zero2DF(_xll.HLV5r3.Analytics.Miscellaneous.LinearInterp(Peturbed_QZ,$K281,1,W$1),ZeroCompFreq,'PDH Calc'!$K281/365)</f>
        <v>1</v>
      </c>
      <c r="X281" s="8">
        <f ca="1">_xll.HLV5r3.Analytics.Miscellaneous.Zero2DF(_xll.HLV5r3.Analytics.Miscellaneous.LinearInterp(Peturbed_QZ,$K281,1,X$1),ZeroCompFreq,'PDH Calc'!$K281/365)</f>
        <v>1</v>
      </c>
      <c r="Y281" s="8">
        <f ca="1">_xll.HLV5r3.Analytics.Miscellaneous.Zero2DF(_xll.HLV5r3.Analytics.Miscellaneous.LinearInterp(Peturbed_QZ,$K281,1,Y$1),ZeroCompFreq,'PDH Calc'!$K281/365)</f>
        <v>1</v>
      </c>
      <c r="Z281" s="8">
        <f ca="1">_xll.HLV5r3.Analytics.Miscellaneous.Zero2DF(_xll.HLV5r3.Analytics.Miscellaneous.LinearInterp(Peturbed_QZ,$K281,1,Z$1),ZeroCompFreq,'PDH Calc'!$K281/365)</f>
        <v>1</v>
      </c>
      <c r="AA281" s="8">
        <f ca="1">_xll.HLV5r3.Analytics.Miscellaneous.Zero2DF(_xll.HLV5r3.Analytics.Miscellaneous.LinearInterp(Peturbed_QZ,$K281,1,AA$1),ZeroCompFreq,'PDH Calc'!$K281/365)</f>
        <v>1</v>
      </c>
      <c r="AB281" s="8">
        <f ca="1">_xll.HLV5r3.Analytics.Miscellaneous.Zero2DF(_xll.HLV5r3.Analytics.Miscellaneous.LinearInterp(Peturbed_QZ,$K281,1,AB$1),ZeroCompFreq,'PDH Calc'!$K281/365)</f>
        <v>1</v>
      </c>
      <c r="AC281" s="8">
        <f ca="1">_xll.HLV5r3.Analytics.Miscellaneous.Zero2DF(_xll.HLV5r3.Analytics.Miscellaneous.LinearInterp(Peturbed_QZ,$K281,1,AC$1),ZeroCompFreq,'PDH Calc'!$K281/365)</f>
        <v>1</v>
      </c>
      <c r="AD281" s="8">
        <f ca="1">_xll.HLV5r3.Analytics.Miscellaneous.Zero2DF(_xll.HLV5r3.Analytics.Miscellaneous.LinearInterp(Peturbed_QZ,$K281,1,AD$1),ZeroCompFreq,'PDH Calc'!$K281/365)</f>
        <v>1</v>
      </c>
      <c r="AE281" s="8">
        <f ca="1">_xll.HLV5r3.Analytics.Miscellaneous.Zero2DF(_xll.HLV5r3.Analytics.Miscellaneous.LinearInterp(Peturbed_QZ,$K281,1,AE$1),ZeroCompFreq,'PDH Calc'!$K281/365)</f>
        <v>1</v>
      </c>
      <c r="AF281" s="8">
        <f ca="1">_xll.HLV5r3.Analytics.Miscellaneous.Zero2DF(_xll.HLV5r3.Analytics.Miscellaneous.LinearInterp(Peturbed_QZ,$K281,1,AF$1),ZeroCompFreq,'PDH Calc'!$K281/365)</f>
        <v>1</v>
      </c>
      <c r="AG281" s="8">
        <f ca="1">_xll.HLV5r3.Analytics.Miscellaneous.Zero2DF(_xll.HLV5r3.Analytics.Miscellaneous.LinearInterp(Peturbed_QZ,$K281,1,AG$1),ZeroCompFreq,'PDH Calc'!$K281/365)</f>
        <v>1</v>
      </c>
      <c r="AH281" s="8">
        <f ca="1">_xll.HLV5r3.Analytics.Miscellaneous.Zero2DF(_xll.HLV5r3.Analytics.Miscellaneous.LinearInterp(Peturbed_QZ,$K281,1,AH$1),ZeroCompFreq,'PDH Calc'!$K281/365)</f>
        <v>1</v>
      </c>
      <c r="AI281" s="8">
        <f ca="1">_xll.HLV5r3.Analytics.Miscellaneous.Zero2DF(_xll.HLV5r3.Analytics.Miscellaneous.LinearInterp(Peturbed_QZ,$K281,1,AI$1),ZeroCompFreq,'PDH Calc'!$K281/365)</f>
        <v>1</v>
      </c>
      <c r="AJ281" s="8">
        <f ca="1">_xll.HLV5r3.Analytics.Miscellaneous.Zero2DF(_xll.HLV5r3.Analytics.Miscellaneous.LinearInterp(Peturbed_QZ,$K281,1,AJ$1),ZeroCompFreq,'PDH Calc'!$K281/365)</f>
        <v>1</v>
      </c>
      <c r="AK281" s="8">
        <f ca="1">_xll.HLV5r3.Analytics.Miscellaneous.Zero2DF(_xll.HLV5r3.Analytics.Miscellaneous.LinearInterp(Peturbed_QZ,$K281,1,AK$1),ZeroCompFreq,'PDH Calc'!$K281/365)</f>
        <v>1</v>
      </c>
    </row>
    <row r="282" spans="1:37">
      <c r="A282" s="4"/>
      <c r="B282" s="6"/>
      <c r="F282" s="11"/>
      <c r="G282" s="6"/>
      <c r="H282" s="20"/>
      <c r="I282" s="21"/>
      <c r="J282" s="26"/>
      <c r="K282" s="6">
        <f t="shared" ca="1" si="10"/>
        <v>0</v>
      </c>
      <c r="L282" s="8">
        <f ca="1">_xll.HLV5r3.Analytics.Miscellaneous.Zero2DF(_xll.HLV5r3.Analytics.Miscellaneous.LinearInterp(Peturbed_QZ,$K282,1,L$1),ZeroCompFreq,'PDH Calc'!$K282/365)</f>
        <v>1</v>
      </c>
      <c r="M282" s="8">
        <f ca="1">_xll.HLV5r3.Analytics.Miscellaneous.Zero2DF(_xll.HLV5r3.Analytics.Miscellaneous.LinearInterp(Peturbed_QZ,$K282,1,M$1),ZeroCompFreq,'PDH Calc'!$K282/365)</f>
        <v>1</v>
      </c>
      <c r="N282" s="8">
        <f ca="1">_xll.HLV5r3.Analytics.Miscellaneous.Zero2DF(_xll.HLV5r3.Analytics.Miscellaneous.LinearInterp(Peturbed_QZ,$K282,1,N$1),ZeroCompFreq,'PDH Calc'!$K282/365)</f>
        <v>1</v>
      </c>
      <c r="O282" s="8">
        <f ca="1">_xll.HLV5r3.Analytics.Miscellaneous.Zero2DF(_xll.HLV5r3.Analytics.Miscellaneous.LinearInterp(Peturbed_QZ,$K282,1,O$1),ZeroCompFreq,'PDH Calc'!$K282/365)</f>
        <v>1</v>
      </c>
      <c r="P282" s="8">
        <f ca="1">_xll.HLV5r3.Analytics.Miscellaneous.Zero2DF(_xll.HLV5r3.Analytics.Miscellaneous.LinearInterp(Peturbed_QZ,$K282,1,P$1),ZeroCompFreq,'PDH Calc'!$K282/365)</f>
        <v>1</v>
      </c>
      <c r="Q282" s="8">
        <f ca="1">_xll.HLV5r3.Analytics.Miscellaneous.Zero2DF(_xll.HLV5r3.Analytics.Miscellaneous.LinearInterp(Peturbed_QZ,$K282,1,Q$1),ZeroCompFreq,'PDH Calc'!$K282/365)</f>
        <v>1</v>
      </c>
      <c r="R282" s="8">
        <f ca="1">_xll.HLV5r3.Analytics.Miscellaneous.Zero2DF(_xll.HLV5r3.Analytics.Miscellaneous.LinearInterp(Peturbed_QZ,$K282,1,R$1),ZeroCompFreq,'PDH Calc'!$K282/365)</f>
        <v>1</v>
      </c>
      <c r="S282" s="8">
        <f ca="1">_xll.HLV5r3.Analytics.Miscellaneous.Zero2DF(_xll.HLV5r3.Analytics.Miscellaneous.LinearInterp(Peturbed_QZ,$K282,1,S$1),ZeroCompFreq,'PDH Calc'!$K282/365)</f>
        <v>1</v>
      </c>
      <c r="T282" s="8">
        <f ca="1">_xll.HLV5r3.Analytics.Miscellaneous.Zero2DF(_xll.HLV5r3.Analytics.Miscellaneous.LinearInterp(Peturbed_QZ,$K282,1,T$1),ZeroCompFreq,'PDH Calc'!$K282/365)</f>
        <v>1</v>
      </c>
      <c r="U282" s="8">
        <f ca="1">_xll.HLV5r3.Analytics.Miscellaneous.Zero2DF(_xll.HLV5r3.Analytics.Miscellaneous.LinearInterp(Peturbed_QZ,$K282,1,U$1),ZeroCompFreq,'PDH Calc'!$K282/365)</f>
        <v>1</v>
      </c>
      <c r="V282" s="8">
        <f ca="1">_xll.HLV5r3.Analytics.Miscellaneous.Zero2DF(_xll.HLV5r3.Analytics.Miscellaneous.LinearInterp(Peturbed_QZ,$K282,1,V$1),ZeroCompFreq,'PDH Calc'!$K282/365)</f>
        <v>1</v>
      </c>
      <c r="W282" s="8">
        <f ca="1">_xll.HLV5r3.Analytics.Miscellaneous.Zero2DF(_xll.HLV5r3.Analytics.Miscellaneous.LinearInterp(Peturbed_QZ,$K282,1,W$1),ZeroCompFreq,'PDH Calc'!$K282/365)</f>
        <v>1</v>
      </c>
      <c r="X282" s="8">
        <f ca="1">_xll.HLV5r3.Analytics.Miscellaneous.Zero2DF(_xll.HLV5r3.Analytics.Miscellaneous.LinearInterp(Peturbed_QZ,$K282,1,X$1),ZeroCompFreq,'PDH Calc'!$K282/365)</f>
        <v>1</v>
      </c>
      <c r="Y282" s="8">
        <f ca="1">_xll.HLV5r3.Analytics.Miscellaneous.Zero2DF(_xll.HLV5r3.Analytics.Miscellaneous.LinearInterp(Peturbed_QZ,$K282,1,Y$1),ZeroCompFreq,'PDH Calc'!$K282/365)</f>
        <v>1</v>
      </c>
      <c r="Z282" s="8">
        <f ca="1">_xll.HLV5r3.Analytics.Miscellaneous.Zero2DF(_xll.HLV5r3.Analytics.Miscellaneous.LinearInterp(Peturbed_QZ,$K282,1,Z$1),ZeroCompFreq,'PDH Calc'!$K282/365)</f>
        <v>1</v>
      </c>
      <c r="AA282" s="8">
        <f ca="1">_xll.HLV5r3.Analytics.Miscellaneous.Zero2DF(_xll.HLV5r3.Analytics.Miscellaneous.LinearInterp(Peturbed_QZ,$K282,1,AA$1),ZeroCompFreq,'PDH Calc'!$K282/365)</f>
        <v>1</v>
      </c>
      <c r="AB282" s="8">
        <f ca="1">_xll.HLV5r3.Analytics.Miscellaneous.Zero2DF(_xll.HLV5r3.Analytics.Miscellaneous.LinearInterp(Peturbed_QZ,$K282,1,AB$1),ZeroCompFreq,'PDH Calc'!$K282/365)</f>
        <v>1</v>
      </c>
      <c r="AC282" s="8">
        <f ca="1">_xll.HLV5r3.Analytics.Miscellaneous.Zero2DF(_xll.HLV5r3.Analytics.Miscellaneous.LinearInterp(Peturbed_QZ,$K282,1,AC$1),ZeroCompFreq,'PDH Calc'!$K282/365)</f>
        <v>1</v>
      </c>
      <c r="AD282" s="8">
        <f ca="1">_xll.HLV5r3.Analytics.Miscellaneous.Zero2DF(_xll.HLV5r3.Analytics.Miscellaneous.LinearInterp(Peturbed_QZ,$K282,1,AD$1),ZeroCompFreq,'PDH Calc'!$K282/365)</f>
        <v>1</v>
      </c>
      <c r="AE282" s="8">
        <f ca="1">_xll.HLV5r3.Analytics.Miscellaneous.Zero2DF(_xll.HLV5r3.Analytics.Miscellaneous.LinearInterp(Peturbed_QZ,$K282,1,AE$1),ZeroCompFreq,'PDH Calc'!$K282/365)</f>
        <v>1</v>
      </c>
      <c r="AF282" s="8">
        <f ca="1">_xll.HLV5r3.Analytics.Miscellaneous.Zero2DF(_xll.HLV5r3.Analytics.Miscellaneous.LinearInterp(Peturbed_QZ,$K282,1,AF$1),ZeroCompFreq,'PDH Calc'!$K282/365)</f>
        <v>1</v>
      </c>
      <c r="AG282" s="8">
        <f ca="1">_xll.HLV5r3.Analytics.Miscellaneous.Zero2DF(_xll.HLV5r3.Analytics.Miscellaneous.LinearInterp(Peturbed_QZ,$K282,1,AG$1),ZeroCompFreq,'PDH Calc'!$K282/365)</f>
        <v>1</v>
      </c>
      <c r="AH282" s="8">
        <f ca="1">_xll.HLV5r3.Analytics.Miscellaneous.Zero2DF(_xll.HLV5r3.Analytics.Miscellaneous.LinearInterp(Peturbed_QZ,$K282,1,AH$1),ZeroCompFreq,'PDH Calc'!$K282/365)</f>
        <v>1</v>
      </c>
      <c r="AI282" s="8">
        <f ca="1">_xll.HLV5r3.Analytics.Miscellaneous.Zero2DF(_xll.HLV5r3.Analytics.Miscellaneous.LinearInterp(Peturbed_QZ,$K282,1,AI$1),ZeroCompFreq,'PDH Calc'!$K282/365)</f>
        <v>1</v>
      </c>
      <c r="AJ282" s="8">
        <f ca="1">_xll.HLV5r3.Analytics.Miscellaneous.Zero2DF(_xll.HLV5r3.Analytics.Miscellaneous.LinearInterp(Peturbed_QZ,$K282,1,AJ$1),ZeroCompFreq,'PDH Calc'!$K282/365)</f>
        <v>1</v>
      </c>
      <c r="AK282" s="8">
        <f ca="1">_xll.HLV5r3.Analytics.Miscellaneous.Zero2DF(_xll.HLV5r3.Analytics.Miscellaneous.LinearInterp(Peturbed_QZ,$K282,1,AK$1),ZeroCompFreq,'PDH Calc'!$K282/365)</f>
        <v>1</v>
      </c>
    </row>
    <row r="283" spans="1:37">
      <c r="A283" s="4"/>
      <c r="B283" s="6"/>
      <c r="F283" s="11"/>
      <c r="G283" s="6"/>
      <c r="H283" s="20"/>
      <c r="I283" s="21"/>
      <c r="J283" s="26"/>
      <c r="K283" s="6">
        <f t="shared" ref="K283:K346" ca="1" si="11">(H283-Calc_Date)*ISNUMBER(H283)</f>
        <v>0</v>
      </c>
      <c r="L283" s="8">
        <f ca="1">_xll.HLV5r3.Analytics.Miscellaneous.Zero2DF(_xll.HLV5r3.Analytics.Miscellaneous.LinearInterp(Peturbed_QZ,$K283,1,L$1),ZeroCompFreq,'PDH Calc'!$K283/365)</f>
        <v>1</v>
      </c>
      <c r="M283" s="8">
        <f ca="1">_xll.HLV5r3.Analytics.Miscellaneous.Zero2DF(_xll.HLV5r3.Analytics.Miscellaneous.LinearInterp(Peturbed_QZ,$K283,1,M$1),ZeroCompFreq,'PDH Calc'!$K283/365)</f>
        <v>1</v>
      </c>
      <c r="N283" s="8">
        <f ca="1">_xll.HLV5r3.Analytics.Miscellaneous.Zero2DF(_xll.HLV5r3.Analytics.Miscellaneous.LinearInterp(Peturbed_QZ,$K283,1,N$1),ZeroCompFreq,'PDH Calc'!$K283/365)</f>
        <v>1</v>
      </c>
      <c r="O283" s="8">
        <f ca="1">_xll.HLV5r3.Analytics.Miscellaneous.Zero2DF(_xll.HLV5r3.Analytics.Miscellaneous.LinearInterp(Peturbed_QZ,$K283,1,O$1),ZeroCompFreq,'PDH Calc'!$K283/365)</f>
        <v>1</v>
      </c>
      <c r="P283" s="8">
        <f ca="1">_xll.HLV5r3.Analytics.Miscellaneous.Zero2DF(_xll.HLV5r3.Analytics.Miscellaneous.LinearInterp(Peturbed_QZ,$K283,1,P$1),ZeroCompFreq,'PDH Calc'!$K283/365)</f>
        <v>1</v>
      </c>
      <c r="Q283" s="8">
        <f ca="1">_xll.HLV5r3.Analytics.Miscellaneous.Zero2DF(_xll.HLV5r3.Analytics.Miscellaneous.LinearInterp(Peturbed_QZ,$K283,1,Q$1),ZeroCompFreq,'PDH Calc'!$K283/365)</f>
        <v>1</v>
      </c>
      <c r="R283" s="8">
        <f ca="1">_xll.HLV5r3.Analytics.Miscellaneous.Zero2DF(_xll.HLV5r3.Analytics.Miscellaneous.LinearInterp(Peturbed_QZ,$K283,1,R$1),ZeroCompFreq,'PDH Calc'!$K283/365)</f>
        <v>1</v>
      </c>
      <c r="S283" s="8">
        <f ca="1">_xll.HLV5r3.Analytics.Miscellaneous.Zero2DF(_xll.HLV5r3.Analytics.Miscellaneous.LinearInterp(Peturbed_QZ,$K283,1,S$1),ZeroCompFreq,'PDH Calc'!$K283/365)</f>
        <v>1</v>
      </c>
      <c r="T283" s="8">
        <f ca="1">_xll.HLV5r3.Analytics.Miscellaneous.Zero2DF(_xll.HLV5r3.Analytics.Miscellaneous.LinearInterp(Peturbed_QZ,$K283,1,T$1),ZeroCompFreq,'PDH Calc'!$K283/365)</f>
        <v>1</v>
      </c>
      <c r="U283" s="8">
        <f ca="1">_xll.HLV5r3.Analytics.Miscellaneous.Zero2DF(_xll.HLV5r3.Analytics.Miscellaneous.LinearInterp(Peturbed_QZ,$K283,1,U$1),ZeroCompFreq,'PDH Calc'!$K283/365)</f>
        <v>1</v>
      </c>
      <c r="V283" s="8">
        <f ca="1">_xll.HLV5r3.Analytics.Miscellaneous.Zero2DF(_xll.HLV5r3.Analytics.Miscellaneous.LinearInterp(Peturbed_QZ,$K283,1,V$1),ZeroCompFreq,'PDH Calc'!$K283/365)</f>
        <v>1</v>
      </c>
      <c r="W283" s="8">
        <f ca="1">_xll.HLV5r3.Analytics.Miscellaneous.Zero2DF(_xll.HLV5r3.Analytics.Miscellaneous.LinearInterp(Peturbed_QZ,$K283,1,W$1),ZeroCompFreq,'PDH Calc'!$K283/365)</f>
        <v>1</v>
      </c>
      <c r="X283" s="8">
        <f ca="1">_xll.HLV5r3.Analytics.Miscellaneous.Zero2DF(_xll.HLV5r3.Analytics.Miscellaneous.LinearInterp(Peturbed_QZ,$K283,1,X$1),ZeroCompFreq,'PDH Calc'!$K283/365)</f>
        <v>1</v>
      </c>
      <c r="Y283" s="8">
        <f ca="1">_xll.HLV5r3.Analytics.Miscellaneous.Zero2DF(_xll.HLV5r3.Analytics.Miscellaneous.LinearInterp(Peturbed_QZ,$K283,1,Y$1),ZeroCompFreq,'PDH Calc'!$K283/365)</f>
        <v>1</v>
      </c>
      <c r="Z283" s="8">
        <f ca="1">_xll.HLV5r3.Analytics.Miscellaneous.Zero2DF(_xll.HLV5r3.Analytics.Miscellaneous.LinearInterp(Peturbed_QZ,$K283,1,Z$1),ZeroCompFreq,'PDH Calc'!$K283/365)</f>
        <v>1</v>
      </c>
      <c r="AA283" s="8">
        <f ca="1">_xll.HLV5r3.Analytics.Miscellaneous.Zero2DF(_xll.HLV5r3.Analytics.Miscellaneous.LinearInterp(Peturbed_QZ,$K283,1,AA$1),ZeroCompFreq,'PDH Calc'!$K283/365)</f>
        <v>1</v>
      </c>
      <c r="AB283" s="8">
        <f ca="1">_xll.HLV5r3.Analytics.Miscellaneous.Zero2DF(_xll.HLV5r3.Analytics.Miscellaneous.LinearInterp(Peturbed_QZ,$K283,1,AB$1),ZeroCompFreq,'PDH Calc'!$K283/365)</f>
        <v>1</v>
      </c>
      <c r="AC283" s="8">
        <f ca="1">_xll.HLV5r3.Analytics.Miscellaneous.Zero2DF(_xll.HLV5r3.Analytics.Miscellaneous.LinearInterp(Peturbed_QZ,$K283,1,AC$1),ZeroCompFreq,'PDH Calc'!$K283/365)</f>
        <v>1</v>
      </c>
      <c r="AD283" s="8">
        <f ca="1">_xll.HLV5r3.Analytics.Miscellaneous.Zero2DF(_xll.HLV5r3.Analytics.Miscellaneous.LinearInterp(Peturbed_QZ,$K283,1,AD$1),ZeroCompFreq,'PDH Calc'!$K283/365)</f>
        <v>1</v>
      </c>
      <c r="AE283" s="8">
        <f ca="1">_xll.HLV5r3.Analytics.Miscellaneous.Zero2DF(_xll.HLV5r3.Analytics.Miscellaneous.LinearInterp(Peturbed_QZ,$K283,1,AE$1),ZeroCompFreq,'PDH Calc'!$K283/365)</f>
        <v>1</v>
      </c>
      <c r="AF283" s="8">
        <f ca="1">_xll.HLV5r3.Analytics.Miscellaneous.Zero2DF(_xll.HLV5r3.Analytics.Miscellaneous.LinearInterp(Peturbed_QZ,$K283,1,AF$1),ZeroCompFreq,'PDH Calc'!$K283/365)</f>
        <v>1</v>
      </c>
      <c r="AG283" s="8">
        <f ca="1">_xll.HLV5r3.Analytics.Miscellaneous.Zero2DF(_xll.HLV5r3.Analytics.Miscellaneous.LinearInterp(Peturbed_QZ,$K283,1,AG$1),ZeroCompFreq,'PDH Calc'!$K283/365)</f>
        <v>1</v>
      </c>
      <c r="AH283" s="8">
        <f ca="1">_xll.HLV5r3.Analytics.Miscellaneous.Zero2DF(_xll.HLV5r3.Analytics.Miscellaneous.LinearInterp(Peturbed_QZ,$K283,1,AH$1),ZeroCompFreq,'PDH Calc'!$K283/365)</f>
        <v>1</v>
      </c>
      <c r="AI283" s="8">
        <f ca="1">_xll.HLV5r3.Analytics.Miscellaneous.Zero2DF(_xll.HLV5r3.Analytics.Miscellaneous.LinearInterp(Peturbed_QZ,$K283,1,AI$1),ZeroCompFreq,'PDH Calc'!$K283/365)</f>
        <v>1</v>
      </c>
      <c r="AJ283" s="8">
        <f ca="1">_xll.HLV5r3.Analytics.Miscellaneous.Zero2DF(_xll.HLV5r3.Analytics.Miscellaneous.LinearInterp(Peturbed_QZ,$K283,1,AJ$1),ZeroCompFreq,'PDH Calc'!$K283/365)</f>
        <v>1</v>
      </c>
      <c r="AK283" s="8">
        <f ca="1">_xll.HLV5r3.Analytics.Miscellaneous.Zero2DF(_xll.HLV5r3.Analytics.Miscellaneous.LinearInterp(Peturbed_QZ,$K283,1,AK$1),ZeroCompFreq,'PDH Calc'!$K283/365)</f>
        <v>1</v>
      </c>
    </row>
    <row r="284" spans="1:37">
      <c r="A284" s="4"/>
      <c r="B284" s="6"/>
      <c r="F284" s="11"/>
      <c r="G284" s="6"/>
      <c r="H284" s="20"/>
      <c r="I284" s="21"/>
      <c r="J284" s="26"/>
      <c r="K284" s="6">
        <f t="shared" ca="1" si="11"/>
        <v>0</v>
      </c>
      <c r="L284" s="8">
        <f ca="1">_xll.HLV5r3.Analytics.Miscellaneous.Zero2DF(_xll.HLV5r3.Analytics.Miscellaneous.LinearInterp(Peturbed_QZ,$K284,1,L$1),ZeroCompFreq,'PDH Calc'!$K284/365)</f>
        <v>1</v>
      </c>
      <c r="M284" s="8">
        <f ca="1">_xll.HLV5r3.Analytics.Miscellaneous.Zero2DF(_xll.HLV5r3.Analytics.Miscellaneous.LinearInterp(Peturbed_QZ,$K284,1,M$1),ZeroCompFreq,'PDH Calc'!$K284/365)</f>
        <v>1</v>
      </c>
      <c r="N284" s="8">
        <f ca="1">_xll.HLV5r3.Analytics.Miscellaneous.Zero2DF(_xll.HLV5r3.Analytics.Miscellaneous.LinearInterp(Peturbed_QZ,$K284,1,N$1),ZeroCompFreq,'PDH Calc'!$K284/365)</f>
        <v>1</v>
      </c>
      <c r="O284" s="8">
        <f ca="1">_xll.HLV5r3.Analytics.Miscellaneous.Zero2DF(_xll.HLV5r3.Analytics.Miscellaneous.LinearInterp(Peturbed_QZ,$K284,1,O$1),ZeroCompFreq,'PDH Calc'!$K284/365)</f>
        <v>1</v>
      </c>
      <c r="P284" s="8">
        <f ca="1">_xll.HLV5r3.Analytics.Miscellaneous.Zero2DF(_xll.HLV5r3.Analytics.Miscellaneous.LinearInterp(Peturbed_QZ,$K284,1,P$1),ZeroCompFreq,'PDH Calc'!$K284/365)</f>
        <v>1</v>
      </c>
      <c r="Q284" s="8">
        <f ca="1">_xll.HLV5r3.Analytics.Miscellaneous.Zero2DF(_xll.HLV5r3.Analytics.Miscellaneous.LinearInterp(Peturbed_QZ,$K284,1,Q$1),ZeroCompFreq,'PDH Calc'!$K284/365)</f>
        <v>1</v>
      </c>
      <c r="R284" s="8">
        <f ca="1">_xll.HLV5r3.Analytics.Miscellaneous.Zero2DF(_xll.HLV5r3.Analytics.Miscellaneous.LinearInterp(Peturbed_QZ,$K284,1,R$1),ZeroCompFreq,'PDH Calc'!$K284/365)</f>
        <v>1</v>
      </c>
      <c r="S284" s="8">
        <f ca="1">_xll.HLV5r3.Analytics.Miscellaneous.Zero2DF(_xll.HLV5r3.Analytics.Miscellaneous.LinearInterp(Peturbed_QZ,$K284,1,S$1),ZeroCompFreq,'PDH Calc'!$K284/365)</f>
        <v>1</v>
      </c>
      <c r="T284" s="8">
        <f ca="1">_xll.HLV5r3.Analytics.Miscellaneous.Zero2DF(_xll.HLV5r3.Analytics.Miscellaneous.LinearInterp(Peturbed_QZ,$K284,1,T$1),ZeroCompFreq,'PDH Calc'!$K284/365)</f>
        <v>1</v>
      </c>
      <c r="U284" s="8">
        <f ca="1">_xll.HLV5r3.Analytics.Miscellaneous.Zero2DF(_xll.HLV5r3.Analytics.Miscellaneous.LinearInterp(Peturbed_QZ,$K284,1,U$1),ZeroCompFreq,'PDH Calc'!$K284/365)</f>
        <v>1</v>
      </c>
      <c r="V284" s="8">
        <f ca="1">_xll.HLV5r3.Analytics.Miscellaneous.Zero2DF(_xll.HLV5r3.Analytics.Miscellaneous.LinearInterp(Peturbed_QZ,$K284,1,V$1),ZeroCompFreq,'PDH Calc'!$K284/365)</f>
        <v>1</v>
      </c>
      <c r="W284" s="8">
        <f ca="1">_xll.HLV5r3.Analytics.Miscellaneous.Zero2DF(_xll.HLV5r3.Analytics.Miscellaneous.LinearInterp(Peturbed_QZ,$K284,1,W$1),ZeroCompFreq,'PDH Calc'!$K284/365)</f>
        <v>1</v>
      </c>
      <c r="X284" s="8">
        <f ca="1">_xll.HLV5r3.Analytics.Miscellaneous.Zero2DF(_xll.HLV5r3.Analytics.Miscellaneous.LinearInterp(Peturbed_QZ,$K284,1,X$1),ZeroCompFreq,'PDH Calc'!$K284/365)</f>
        <v>1</v>
      </c>
      <c r="Y284" s="8">
        <f ca="1">_xll.HLV5r3.Analytics.Miscellaneous.Zero2DF(_xll.HLV5r3.Analytics.Miscellaneous.LinearInterp(Peturbed_QZ,$K284,1,Y$1),ZeroCompFreq,'PDH Calc'!$K284/365)</f>
        <v>1</v>
      </c>
      <c r="Z284" s="8">
        <f ca="1">_xll.HLV5r3.Analytics.Miscellaneous.Zero2DF(_xll.HLV5r3.Analytics.Miscellaneous.LinearInterp(Peturbed_QZ,$K284,1,Z$1),ZeroCompFreq,'PDH Calc'!$K284/365)</f>
        <v>1</v>
      </c>
      <c r="AA284" s="8">
        <f ca="1">_xll.HLV5r3.Analytics.Miscellaneous.Zero2DF(_xll.HLV5r3.Analytics.Miscellaneous.LinearInterp(Peturbed_QZ,$K284,1,AA$1),ZeroCompFreq,'PDH Calc'!$K284/365)</f>
        <v>1</v>
      </c>
      <c r="AB284" s="8">
        <f ca="1">_xll.HLV5r3.Analytics.Miscellaneous.Zero2DF(_xll.HLV5r3.Analytics.Miscellaneous.LinearInterp(Peturbed_QZ,$K284,1,AB$1),ZeroCompFreq,'PDH Calc'!$K284/365)</f>
        <v>1</v>
      </c>
      <c r="AC284" s="8">
        <f ca="1">_xll.HLV5r3.Analytics.Miscellaneous.Zero2DF(_xll.HLV5r3.Analytics.Miscellaneous.LinearInterp(Peturbed_QZ,$K284,1,AC$1),ZeroCompFreq,'PDH Calc'!$K284/365)</f>
        <v>1</v>
      </c>
      <c r="AD284" s="8">
        <f ca="1">_xll.HLV5r3.Analytics.Miscellaneous.Zero2DF(_xll.HLV5r3.Analytics.Miscellaneous.LinearInterp(Peturbed_QZ,$K284,1,AD$1),ZeroCompFreq,'PDH Calc'!$K284/365)</f>
        <v>1</v>
      </c>
      <c r="AE284" s="8">
        <f ca="1">_xll.HLV5r3.Analytics.Miscellaneous.Zero2DF(_xll.HLV5r3.Analytics.Miscellaneous.LinearInterp(Peturbed_QZ,$K284,1,AE$1),ZeroCompFreq,'PDH Calc'!$K284/365)</f>
        <v>1</v>
      </c>
      <c r="AF284" s="8">
        <f ca="1">_xll.HLV5r3.Analytics.Miscellaneous.Zero2DF(_xll.HLV5r3.Analytics.Miscellaneous.LinearInterp(Peturbed_QZ,$K284,1,AF$1),ZeroCompFreq,'PDH Calc'!$K284/365)</f>
        <v>1</v>
      </c>
      <c r="AG284" s="8">
        <f ca="1">_xll.HLV5r3.Analytics.Miscellaneous.Zero2DF(_xll.HLV5r3.Analytics.Miscellaneous.LinearInterp(Peturbed_QZ,$K284,1,AG$1),ZeroCompFreq,'PDH Calc'!$K284/365)</f>
        <v>1</v>
      </c>
      <c r="AH284" s="8">
        <f ca="1">_xll.HLV5r3.Analytics.Miscellaneous.Zero2DF(_xll.HLV5r3.Analytics.Miscellaneous.LinearInterp(Peturbed_QZ,$K284,1,AH$1),ZeroCompFreq,'PDH Calc'!$K284/365)</f>
        <v>1</v>
      </c>
      <c r="AI284" s="8">
        <f ca="1">_xll.HLV5r3.Analytics.Miscellaneous.Zero2DF(_xll.HLV5r3.Analytics.Miscellaneous.LinearInterp(Peturbed_QZ,$K284,1,AI$1),ZeroCompFreq,'PDH Calc'!$K284/365)</f>
        <v>1</v>
      </c>
      <c r="AJ284" s="8">
        <f ca="1">_xll.HLV5r3.Analytics.Miscellaneous.Zero2DF(_xll.HLV5r3.Analytics.Miscellaneous.LinearInterp(Peturbed_QZ,$K284,1,AJ$1),ZeroCompFreq,'PDH Calc'!$K284/365)</f>
        <v>1</v>
      </c>
      <c r="AK284" s="8">
        <f ca="1">_xll.HLV5r3.Analytics.Miscellaneous.Zero2DF(_xll.HLV5r3.Analytics.Miscellaneous.LinearInterp(Peturbed_QZ,$K284,1,AK$1),ZeroCompFreq,'PDH Calc'!$K284/365)</f>
        <v>1</v>
      </c>
    </row>
    <row r="285" spans="1:37">
      <c r="A285" s="4"/>
      <c r="B285" s="6"/>
      <c r="F285" s="11"/>
      <c r="G285" s="6"/>
      <c r="H285" s="20"/>
      <c r="I285" s="21"/>
      <c r="J285" s="26"/>
      <c r="K285" s="6">
        <f t="shared" ca="1" si="11"/>
        <v>0</v>
      </c>
      <c r="L285" s="8">
        <f ca="1">_xll.HLV5r3.Analytics.Miscellaneous.Zero2DF(_xll.HLV5r3.Analytics.Miscellaneous.LinearInterp(Peturbed_QZ,$K285,1,L$1),ZeroCompFreq,'PDH Calc'!$K285/365)</f>
        <v>1</v>
      </c>
      <c r="M285" s="8">
        <f ca="1">_xll.HLV5r3.Analytics.Miscellaneous.Zero2DF(_xll.HLV5r3.Analytics.Miscellaneous.LinearInterp(Peturbed_QZ,$K285,1,M$1),ZeroCompFreq,'PDH Calc'!$K285/365)</f>
        <v>1</v>
      </c>
      <c r="N285" s="8">
        <f ca="1">_xll.HLV5r3.Analytics.Miscellaneous.Zero2DF(_xll.HLV5r3.Analytics.Miscellaneous.LinearInterp(Peturbed_QZ,$K285,1,N$1),ZeroCompFreq,'PDH Calc'!$K285/365)</f>
        <v>1</v>
      </c>
      <c r="O285" s="8">
        <f ca="1">_xll.HLV5r3.Analytics.Miscellaneous.Zero2DF(_xll.HLV5r3.Analytics.Miscellaneous.LinearInterp(Peturbed_QZ,$K285,1,O$1),ZeroCompFreq,'PDH Calc'!$K285/365)</f>
        <v>1</v>
      </c>
      <c r="P285" s="8">
        <f ca="1">_xll.HLV5r3.Analytics.Miscellaneous.Zero2DF(_xll.HLV5r3.Analytics.Miscellaneous.LinearInterp(Peturbed_QZ,$K285,1,P$1),ZeroCompFreq,'PDH Calc'!$K285/365)</f>
        <v>1</v>
      </c>
      <c r="Q285" s="8">
        <f ca="1">_xll.HLV5r3.Analytics.Miscellaneous.Zero2DF(_xll.HLV5r3.Analytics.Miscellaneous.LinearInterp(Peturbed_QZ,$K285,1,Q$1),ZeroCompFreq,'PDH Calc'!$K285/365)</f>
        <v>1</v>
      </c>
      <c r="R285" s="8">
        <f ca="1">_xll.HLV5r3.Analytics.Miscellaneous.Zero2DF(_xll.HLV5r3.Analytics.Miscellaneous.LinearInterp(Peturbed_QZ,$K285,1,R$1),ZeroCompFreq,'PDH Calc'!$K285/365)</f>
        <v>1</v>
      </c>
      <c r="S285" s="8">
        <f ca="1">_xll.HLV5r3.Analytics.Miscellaneous.Zero2DF(_xll.HLV5r3.Analytics.Miscellaneous.LinearInterp(Peturbed_QZ,$K285,1,S$1),ZeroCompFreq,'PDH Calc'!$K285/365)</f>
        <v>1</v>
      </c>
      <c r="T285" s="8">
        <f ca="1">_xll.HLV5r3.Analytics.Miscellaneous.Zero2DF(_xll.HLV5r3.Analytics.Miscellaneous.LinearInterp(Peturbed_QZ,$K285,1,T$1),ZeroCompFreq,'PDH Calc'!$K285/365)</f>
        <v>1</v>
      </c>
      <c r="U285" s="8">
        <f ca="1">_xll.HLV5r3.Analytics.Miscellaneous.Zero2DF(_xll.HLV5r3.Analytics.Miscellaneous.LinearInterp(Peturbed_QZ,$K285,1,U$1),ZeroCompFreq,'PDH Calc'!$K285/365)</f>
        <v>1</v>
      </c>
      <c r="V285" s="8">
        <f ca="1">_xll.HLV5r3.Analytics.Miscellaneous.Zero2DF(_xll.HLV5r3.Analytics.Miscellaneous.LinearInterp(Peturbed_QZ,$K285,1,V$1),ZeroCompFreq,'PDH Calc'!$K285/365)</f>
        <v>1</v>
      </c>
      <c r="W285" s="8">
        <f ca="1">_xll.HLV5r3.Analytics.Miscellaneous.Zero2DF(_xll.HLV5r3.Analytics.Miscellaneous.LinearInterp(Peturbed_QZ,$K285,1,W$1),ZeroCompFreq,'PDH Calc'!$K285/365)</f>
        <v>1</v>
      </c>
      <c r="X285" s="8">
        <f ca="1">_xll.HLV5r3.Analytics.Miscellaneous.Zero2DF(_xll.HLV5r3.Analytics.Miscellaneous.LinearInterp(Peturbed_QZ,$K285,1,X$1),ZeroCompFreq,'PDH Calc'!$K285/365)</f>
        <v>1</v>
      </c>
      <c r="Y285" s="8">
        <f ca="1">_xll.HLV5r3.Analytics.Miscellaneous.Zero2DF(_xll.HLV5r3.Analytics.Miscellaneous.LinearInterp(Peturbed_QZ,$K285,1,Y$1),ZeroCompFreq,'PDH Calc'!$K285/365)</f>
        <v>1</v>
      </c>
      <c r="Z285" s="8">
        <f ca="1">_xll.HLV5r3.Analytics.Miscellaneous.Zero2DF(_xll.HLV5r3.Analytics.Miscellaneous.LinearInterp(Peturbed_QZ,$K285,1,Z$1),ZeroCompFreq,'PDH Calc'!$K285/365)</f>
        <v>1</v>
      </c>
      <c r="AA285" s="8">
        <f ca="1">_xll.HLV5r3.Analytics.Miscellaneous.Zero2DF(_xll.HLV5r3.Analytics.Miscellaneous.LinearInterp(Peturbed_QZ,$K285,1,AA$1),ZeroCompFreq,'PDH Calc'!$K285/365)</f>
        <v>1</v>
      </c>
      <c r="AB285" s="8">
        <f ca="1">_xll.HLV5r3.Analytics.Miscellaneous.Zero2DF(_xll.HLV5r3.Analytics.Miscellaneous.LinearInterp(Peturbed_QZ,$K285,1,AB$1),ZeroCompFreq,'PDH Calc'!$K285/365)</f>
        <v>1</v>
      </c>
      <c r="AC285" s="8">
        <f ca="1">_xll.HLV5r3.Analytics.Miscellaneous.Zero2DF(_xll.HLV5r3.Analytics.Miscellaneous.LinearInterp(Peturbed_QZ,$K285,1,AC$1),ZeroCompFreq,'PDH Calc'!$K285/365)</f>
        <v>1</v>
      </c>
      <c r="AD285" s="8">
        <f ca="1">_xll.HLV5r3.Analytics.Miscellaneous.Zero2DF(_xll.HLV5r3.Analytics.Miscellaneous.LinearInterp(Peturbed_QZ,$K285,1,AD$1),ZeroCompFreq,'PDH Calc'!$K285/365)</f>
        <v>1</v>
      </c>
      <c r="AE285" s="8">
        <f ca="1">_xll.HLV5r3.Analytics.Miscellaneous.Zero2DF(_xll.HLV5r3.Analytics.Miscellaneous.LinearInterp(Peturbed_QZ,$K285,1,AE$1),ZeroCompFreq,'PDH Calc'!$K285/365)</f>
        <v>1</v>
      </c>
      <c r="AF285" s="8">
        <f ca="1">_xll.HLV5r3.Analytics.Miscellaneous.Zero2DF(_xll.HLV5r3.Analytics.Miscellaneous.LinearInterp(Peturbed_QZ,$K285,1,AF$1),ZeroCompFreq,'PDH Calc'!$K285/365)</f>
        <v>1</v>
      </c>
      <c r="AG285" s="8">
        <f ca="1">_xll.HLV5r3.Analytics.Miscellaneous.Zero2DF(_xll.HLV5r3.Analytics.Miscellaneous.LinearInterp(Peturbed_QZ,$K285,1,AG$1),ZeroCompFreq,'PDH Calc'!$K285/365)</f>
        <v>1</v>
      </c>
      <c r="AH285" s="8">
        <f ca="1">_xll.HLV5r3.Analytics.Miscellaneous.Zero2DF(_xll.HLV5r3.Analytics.Miscellaneous.LinearInterp(Peturbed_QZ,$K285,1,AH$1),ZeroCompFreq,'PDH Calc'!$K285/365)</f>
        <v>1</v>
      </c>
      <c r="AI285" s="8">
        <f ca="1">_xll.HLV5r3.Analytics.Miscellaneous.Zero2DF(_xll.HLV5r3.Analytics.Miscellaneous.LinearInterp(Peturbed_QZ,$K285,1,AI$1),ZeroCompFreq,'PDH Calc'!$K285/365)</f>
        <v>1</v>
      </c>
      <c r="AJ285" s="8">
        <f ca="1">_xll.HLV5r3.Analytics.Miscellaneous.Zero2DF(_xll.HLV5r3.Analytics.Miscellaneous.LinearInterp(Peturbed_QZ,$K285,1,AJ$1),ZeroCompFreq,'PDH Calc'!$K285/365)</f>
        <v>1</v>
      </c>
      <c r="AK285" s="8">
        <f ca="1">_xll.HLV5r3.Analytics.Miscellaneous.Zero2DF(_xll.HLV5r3.Analytics.Miscellaneous.LinearInterp(Peturbed_QZ,$K285,1,AK$1),ZeroCompFreq,'PDH Calc'!$K285/365)</f>
        <v>1</v>
      </c>
    </row>
    <row r="286" spans="1:37">
      <c r="A286" s="4"/>
      <c r="B286" s="6"/>
      <c r="F286" s="11"/>
      <c r="G286" s="6"/>
      <c r="H286" s="20"/>
      <c r="I286" s="21"/>
      <c r="J286" s="26"/>
      <c r="K286" s="6">
        <f t="shared" ca="1" si="11"/>
        <v>0</v>
      </c>
      <c r="L286" s="8">
        <f ca="1">_xll.HLV5r3.Analytics.Miscellaneous.Zero2DF(_xll.HLV5r3.Analytics.Miscellaneous.LinearInterp(Peturbed_QZ,$K286,1,L$1),ZeroCompFreq,'PDH Calc'!$K286/365)</f>
        <v>1</v>
      </c>
      <c r="M286" s="8">
        <f ca="1">_xll.HLV5r3.Analytics.Miscellaneous.Zero2DF(_xll.HLV5r3.Analytics.Miscellaneous.LinearInterp(Peturbed_QZ,$K286,1,M$1),ZeroCompFreq,'PDH Calc'!$K286/365)</f>
        <v>1</v>
      </c>
      <c r="N286" s="8">
        <f ca="1">_xll.HLV5r3.Analytics.Miscellaneous.Zero2DF(_xll.HLV5r3.Analytics.Miscellaneous.LinearInterp(Peturbed_QZ,$K286,1,N$1),ZeroCompFreq,'PDH Calc'!$K286/365)</f>
        <v>1</v>
      </c>
      <c r="O286" s="8">
        <f ca="1">_xll.HLV5r3.Analytics.Miscellaneous.Zero2DF(_xll.HLV5r3.Analytics.Miscellaneous.LinearInterp(Peturbed_QZ,$K286,1,O$1),ZeroCompFreq,'PDH Calc'!$K286/365)</f>
        <v>1</v>
      </c>
      <c r="P286" s="8">
        <f ca="1">_xll.HLV5r3.Analytics.Miscellaneous.Zero2DF(_xll.HLV5r3.Analytics.Miscellaneous.LinearInterp(Peturbed_QZ,$K286,1,P$1),ZeroCompFreq,'PDH Calc'!$K286/365)</f>
        <v>1</v>
      </c>
      <c r="Q286" s="8">
        <f ca="1">_xll.HLV5r3.Analytics.Miscellaneous.Zero2DF(_xll.HLV5r3.Analytics.Miscellaneous.LinearInterp(Peturbed_QZ,$K286,1,Q$1),ZeroCompFreq,'PDH Calc'!$K286/365)</f>
        <v>1</v>
      </c>
      <c r="R286" s="8">
        <f ca="1">_xll.HLV5r3.Analytics.Miscellaneous.Zero2DF(_xll.HLV5r3.Analytics.Miscellaneous.LinearInterp(Peturbed_QZ,$K286,1,R$1),ZeroCompFreq,'PDH Calc'!$K286/365)</f>
        <v>1</v>
      </c>
      <c r="S286" s="8">
        <f ca="1">_xll.HLV5r3.Analytics.Miscellaneous.Zero2DF(_xll.HLV5r3.Analytics.Miscellaneous.LinearInterp(Peturbed_QZ,$K286,1,S$1),ZeroCompFreq,'PDH Calc'!$K286/365)</f>
        <v>1</v>
      </c>
      <c r="T286" s="8">
        <f ca="1">_xll.HLV5r3.Analytics.Miscellaneous.Zero2DF(_xll.HLV5r3.Analytics.Miscellaneous.LinearInterp(Peturbed_QZ,$K286,1,T$1),ZeroCompFreq,'PDH Calc'!$K286/365)</f>
        <v>1</v>
      </c>
      <c r="U286" s="8">
        <f ca="1">_xll.HLV5r3.Analytics.Miscellaneous.Zero2DF(_xll.HLV5r3.Analytics.Miscellaneous.LinearInterp(Peturbed_QZ,$K286,1,U$1),ZeroCompFreq,'PDH Calc'!$K286/365)</f>
        <v>1</v>
      </c>
      <c r="V286" s="8">
        <f ca="1">_xll.HLV5r3.Analytics.Miscellaneous.Zero2DF(_xll.HLV5r3.Analytics.Miscellaneous.LinearInterp(Peturbed_QZ,$K286,1,V$1),ZeroCompFreq,'PDH Calc'!$K286/365)</f>
        <v>1</v>
      </c>
      <c r="W286" s="8">
        <f ca="1">_xll.HLV5r3.Analytics.Miscellaneous.Zero2DF(_xll.HLV5r3.Analytics.Miscellaneous.LinearInterp(Peturbed_QZ,$K286,1,W$1),ZeroCompFreq,'PDH Calc'!$K286/365)</f>
        <v>1</v>
      </c>
      <c r="X286" s="8">
        <f ca="1">_xll.HLV5r3.Analytics.Miscellaneous.Zero2DF(_xll.HLV5r3.Analytics.Miscellaneous.LinearInterp(Peturbed_QZ,$K286,1,X$1),ZeroCompFreq,'PDH Calc'!$K286/365)</f>
        <v>1</v>
      </c>
      <c r="Y286" s="8">
        <f ca="1">_xll.HLV5r3.Analytics.Miscellaneous.Zero2DF(_xll.HLV5r3.Analytics.Miscellaneous.LinearInterp(Peturbed_QZ,$K286,1,Y$1),ZeroCompFreq,'PDH Calc'!$K286/365)</f>
        <v>1</v>
      </c>
      <c r="Z286" s="8">
        <f ca="1">_xll.HLV5r3.Analytics.Miscellaneous.Zero2DF(_xll.HLV5r3.Analytics.Miscellaneous.LinearInterp(Peturbed_QZ,$K286,1,Z$1),ZeroCompFreq,'PDH Calc'!$K286/365)</f>
        <v>1</v>
      </c>
      <c r="AA286" s="8">
        <f ca="1">_xll.HLV5r3.Analytics.Miscellaneous.Zero2DF(_xll.HLV5r3.Analytics.Miscellaneous.LinearInterp(Peturbed_QZ,$K286,1,AA$1),ZeroCompFreq,'PDH Calc'!$K286/365)</f>
        <v>1</v>
      </c>
      <c r="AB286" s="8">
        <f ca="1">_xll.HLV5r3.Analytics.Miscellaneous.Zero2DF(_xll.HLV5r3.Analytics.Miscellaneous.LinearInterp(Peturbed_QZ,$K286,1,AB$1),ZeroCompFreq,'PDH Calc'!$K286/365)</f>
        <v>1</v>
      </c>
      <c r="AC286" s="8">
        <f ca="1">_xll.HLV5r3.Analytics.Miscellaneous.Zero2DF(_xll.HLV5r3.Analytics.Miscellaneous.LinearInterp(Peturbed_QZ,$K286,1,AC$1),ZeroCompFreq,'PDH Calc'!$K286/365)</f>
        <v>1</v>
      </c>
      <c r="AD286" s="8">
        <f ca="1">_xll.HLV5r3.Analytics.Miscellaneous.Zero2DF(_xll.HLV5r3.Analytics.Miscellaneous.LinearInterp(Peturbed_QZ,$K286,1,AD$1),ZeroCompFreq,'PDH Calc'!$K286/365)</f>
        <v>1</v>
      </c>
      <c r="AE286" s="8">
        <f ca="1">_xll.HLV5r3.Analytics.Miscellaneous.Zero2DF(_xll.HLV5r3.Analytics.Miscellaneous.LinearInterp(Peturbed_QZ,$K286,1,AE$1),ZeroCompFreq,'PDH Calc'!$K286/365)</f>
        <v>1</v>
      </c>
      <c r="AF286" s="8">
        <f ca="1">_xll.HLV5r3.Analytics.Miscellaneous.Zero2DF(_xll.HLV5r3.Analytics.Miscellaneous.LinearInterp(Peturbed_QZ,$K286,1,AF$1),ZeroCompFreq,'PDH Calc'!$K286/365)</f>
        <v>1</v>
      </c>
      <c r="AG286" s="8">
        <f ca="1">_xll.HLV5r3.Analytics.Miscellaneous.Zero2DF(_xll.HLV5r3.Analytics.Miscellaneous.LinearInterp(Peturbed_QZ,$K286,1,AG$1),ZeroCompFreq,'PDH Calc'!$K286/365)</f>
        <v>1</v>
      </c>
      <c r="AH286" s="8">
        <f ca="1">_xll.HLV5r3.Analytics.Miscellaneous.Zero2DF(_xll.HLV5r3.Analytics.Miscellaneous.LinearInterp(Peturbed_QZ,$K286,1,AH$1),ZeroCompFreq,'PDH Calc'!$K286/365)</f>
        <v>1</v>
      </c>
      <c r="AI286" s="8">
        <f ca="1">_xll.HLV5r3.Analytics.Miscellaneous.Zero2DF(_xll.HLV5r3.Analytics.Miscellaneous.LinearInterp(Peturbed_QZ,$K286,1,AI$1),ZeroCompFreq,'PDH Calc'!$K286/365)</f>
        <v>1</v>
      </c>
      <c r="AJ286" s="8">
        <f ca="1">_xll.HLV5r3.Analytics.Miscellaneous.Zero2DF(_xll.HLV5r3.Analytics.Miscellaneous.LinearInterp(Peturbed_QZ,$K286,1,AJ$1),ZeroCompFreq,'PDH Calc'!$K286/365)</f>
        <v>1</v>
      </c>
      <c r="AK286" s="8">
        <f ca="1">_xll.HLV5r3.Analytics.Miscellaneous.Zero2DF(_xll.HLV5r3.Analytics.Miscellaneous.LinearInterp(Peturbed_QZ,$K286,1,AK$1),ZeroCompFreq,'PDH Calc'!$K286/365)</f>
        <v>1</v>
      </c>
    </row>
    <row r="287" spans="1:37">
      <c r="A287" s="4"/>
      <c r="B287" s="6"/>
      <c r="F287" s="11"/>
      <c r="G287" s="6"/>
      <c r="H287" s="20"/>
      <c r="I287" s="21"/>
      <c r="J287" s="26"/>
      <c r="K287" s="6">
        <f t="shared" ca="1" si="11"/>
        <v>0</v>
      </c>
      <c r="L287" s="8">
        <f ca="1">_xll.HLV5r3.Analytics.Miscellaneous.Zero2DF(_xll.HLV5r3.Analytics.Miscellaneous.LinearInterp(Peturbed_QZ,$K287,1,L$1),ZeroCompFreq,'PDH Calc'!$K287/365)</f>
        <v>1</v>
      </c>
      <c r="M287" s="8">
        <f ca="1">_xll.HLV5r3.Analytics.Miscellaneous.Zero2DF(_xll.HLV5r3.Analytics.Miscellaneous.LinearInterp(Peturbed_QZ,$K287,1,M$1),ZeroCompFreq,'PDH Calc'!$K287/365)</f>
        <v>1</v>
      </c>
      <c r="N287" s="8">
        <f ca="1">_xll.HLV5r3.Analytics.Miscellaneous.Zero2DF(_xll.HLV5r3.Analytics.Miscellaneous.LinearInterp(Peturbed_QZ,$K287,1,N$1),ZeroCompFreq,'PDH Calc'!$K287/365)</f>
        <v>1</v>
      </c>
      <c r="O287" s="8">
        <f ca="1">_xll.HLV5r3.Analytics.Miscellaneous.Zero2DF(_xll.HLV5r3.Analytics.Miscellaneous.LinearInterp(Peturbed_QZ,$K287,1,O$1),ZeroCompFreq,'PDH Calc'!$K287/365)</f>
        <v>1</v>
      </c>
      <c r="P287" s="8">
        <f ca="1">_xll.HLV5r3.Analytics.Miscellaneous.Zero2DF(_xll.HLV5r3.Analytics.Miscellaneous.LinearInterp(Peturbed_QZ,$K287,1,P$1),ZeroCompFreq,'PDH Calc'!$K287/365)</f>
        <v>1</v>
      </c>
      <c r="Q287" s="8">
        <f ca="1">_xll.HLV5r3.Analytics.Miscellaneous.Zero2DF(_xll.HLV5r3.Analytics.Miscellaneous.LinearInterp(Peturbed_QZ,$K287,1,Q$1),ZeroCompFreq,'PDH Calc'!$K287/365)</f>
        <v>1</v>
      </c>
      <c r="R287" s="8">
        <f ca="1">_xll.HLV5r3.Analytics.Miscellaneous.Zero2DF(_xll.HLV5r3.Analytics.Miscellaneous.LinearInterp(Peturbed_QZ,$K287,1,R$1),ZeroCompFreq,'PDH Calc'!$K287/365)</f>
        <v>1</v>
      </c>
      <c r="S287" s="8">
        <f ca="1">_xll.HLV5r3.Analytics.Miscellaneous.Zero2DF(_xll.HLV5r3.Analytics.Miscellaneous.LinearInterp(Peturbed_QZ,$K287,1,S$1),ZeroCompFreq,'PDH Calc'!$K287/365)</f>
        <v>1</v>
      </c>
      <c r="T287" s="8">
        <f ca="1">_xll.HLV5r3.Analytics.Miscellaneous.Zero2DF(_xll.HLV5r3.Analytics.Miscellaneous.LinearInterp(Peturbed_QZ,$K287,1,T$1),ZeroCompFreq,'PDH Calc'!$K287/365)</f>
        <v>1</v>
      </c>
      <c r="U287" s="8">
        <f ca="1">_xll.HLV5r3.Analytics.Miscellaneous.Zero2DF(_xll.HLV5r3.Analytics.Miscellaneous.LinearInterp(Peturbed_QZ,$K287,1,U$1),ZeroCompFreq,'PDH Calc'!$K287/365)</f>
        <v>1</v>
      </c>
      <c r="V287" s="8">
        <f ca="1">_xll.HLV5r3.Analytics.Miscellaneous.Zero2DF(_xll.HLV5r3.Analytics.Miscellaneous.LinearInterp(Peturbed_QZ,$K287,1,V$1),ZeroCompFreq,'PDH Calc'!$K287/365)</f>
        <v>1</v>
      </c>
      <c r="W287" s="8">
        <f ca="1">_xll.HLV5r3.Analytics.Miscellaneous.Zero2DF(_xll.HLV5r3.Analytics.Miscellaneous.LinearInterp(Peturbed_QZ,$K287,1,W$1),ZeroCompFreq,'PDH Calc'!$K287/365)</f>
        <v>1</v>
      </c>
      <c r="X287" s="8">
        <f ca="1">_xll.HLV5r3.Analytics.Miscellaneous.Zero2DF(_xll.HLV5r3.Analytics.Miscellaneous.LinearInterp(Peturbed_QZ,$K287,1,X$1),ZeroCompFreq,'PDH Calc'!$K287/365)</f>
        <v>1</v>
      </c>
      <c r="Y287" s="8">
        <f ca="1">_xll.HLV5r3.Analytics.Miscellaneous.Zero2DF(_xll.HLV5r3.Analytics.Miscellaneous.LinearInterp(Peturbed_QZ,$K287,1,Y$1),ZeroCompFreq,'PDH Calc'!$K287/365)</f>
        <v>1</v>
      </c>
      <c r="Z287" s="8">
        <f ca="1">_xll.HLV5r3.Analytics.Miscellaneous.Zero2DF(_xll.HLV5r3.Analytics.Miscellaneous.LinearInterp(Peturbed_QZ,$K287,1,Z$1),ZeroCompFreq,'PDH Calc'!$K287/365)</f>
        <v>1</v>
      </c>
      <c r="AA287" s="8">
        <f ca="1">_xll.HLV5r3.Analytics.Miscellaneous.Zero2DF(_xll.HLV5r3.Analytics.Miscellaneous.LinearInterp(Peturbed_QZ,$K287,1,AA$1),ZeroCompFreq,'PDH Calc'!$K287/365)</f>
        <v>1</v>
      </c>
      <c r="AB287" s="8">
        <f ca="1">_xll.HLV5r3.Analytics.Miscellaneous.Zero2DF(_xll.HLV5r3.Analytics.Miscellaneous.LinearInterp(Peturbed_QZ,$K287,1,AB$1),ZeroCompFreq,'PDH Calc'!$K287/365)</f>
        <v>1</v>
      </c>
      <c r="AC287" s="8">
        <f ca="1">_xll.HLV5r3.Analytics.Miscellaneous.Zero2DF(_xll.HLV5r3.Analytics.Miscellaneous.LinearInterp(Peturbed_QZ,$K287,1,AC$1),ZeroCompFreq,'PDH Calc'!$K287/365)</f>
        <v>1</v>
      </c>
      <c r="AD287" s="8">
        <f ca="1">_xll.HLV5r3.Analytics.Miscellaneous.Zero2DF(_xll.HLV5r3.Analytics.Miscellaneous.LinearInterp(Peturbed_QZ,$K287,1,AD$1),ZeroCompFreq,'PDH Calc'!$K287/365)</f>
        <v>1</v>
      </c>
      <c r="AE287" s="8">
        <f ca="1">_xll.HLV5r3.Analytics.Miscellaneous.Zero2DF(_xll.HLV5r3.Analytics.Miscellaneous.LinearInterp(Peturbed_QZ,$K287,1,AE$1),ZeroCompFreq,'PDH Calc'!$K287/365)</f>
        <v>1</v>
      </c>
      <c r="AF287" s="8">
        <f ca="1">_xll.HLV5r3.Analytics.Miscellaneous.Zero2DF(_xll.HLV5r3.Analytics.Miscellaneous.LinearInterp(Peturbed_QZ,$K287,1,AF$1),ZeroCompFreq,'PDH Calc'!$K287/365)</f>
        <v>1</v>
      </c>
      <c r="AG287" s="8">
        <f ca="1">_xll.HLV5r3.Analytics.Miscellaneous.Zero2DF(_xll.HLV5r3.Analytics.Miscellaneous.LinearInterp(Peturbed_QZ,$K287,1,AG$1),ZeroCompFreq,'PDH Calc'!$K287/365)</f>
        <v>1</v>
      </c>
      <c r="AH287" s="8">
        <f ca="1">_xll.HLV5r3.Analytics.Miscellaneous.Zero2DF(_xll.HLV5r3.Analytics.Miscellaneous.LinearInterp(Peturbed_QZ,$K287,1,AH$1),ZeroCompFreq,'PDH Calc'!$K287/365)</f>
        <v>1</v>
      </c>
      <c r="AI287" s="8">
        <f ca="1">_xll.HLV5r3.Analytics.Miscellaneous.Zero2DF(_xll.HLV5r3.Analytics.Miscellaneous.LinearInterp(Peturbed_QZ,$K287,1,AI$1),ZeroCompFreq,'PDH Calc'!$K287/365)</f>
        <v>1</v>
      </c>
      <c r="AJ287" s="8">
        <f ca="1">_xll.HLV5r3.Analytics.Miscellaneous.Zero2DF(_xll.HLV5r3.Analytics.Miscellaneous.LinearInterp(Peturbed_QZ,$K287,1,AJ$1),ZeroCompFreq,'PDH Calc'!$K287/365)</f>
        <v>1</v>
      </c>
      <c r="AK287" s="8">
        <f ca="1">_xll.HLV5r3.Analytics.Miscellaneous.Zero2DF(_xll.HLV5r3.Analytics.Miscellaneous.LinearInterp(Peturbed_QZ,$K287,1,AK$1),ZeroCompFreq,'PDH Calc'!$K287/365)</f>
        <v>1</v>
      </c>
    </row>
    <row r="288" spans="1:37">
      <c r="A288" s="4"/>
      <c r="B288" s="6"/>
      <c r="F288" s="11"/>
      <c r="G288" s="6"/>
      <c r="H288" s="20"/>
      <c r="I288" s="21"/>
      <c r="J288" s="26"/>
      <c r="K288" s="6">
        <f t="shared" ca="1" si="11"/>
        <v>0</v>
      </c>
      <c r="L288" s="8">
        <f ca="1">_xll.HLV5r3.Analytics.Miscellaneous.Zero2DF(_xll.HLV5r3.Analytics.Miscellaneous.LinearInterp(Peturbed_QZ,$K288,1,L$1),ZeroCompFreq,'PDH Calc'!$K288/365)</f>
        <v>1</v>
      </c>
      <c r="M288" s="8">
        <f ca="1">_xll.HLV5r3.Analytics.Miscellaneous.Zero2DF(_xll.HLV5r3.Analytics.Miscellaneous.LinearInterp(Peturbed_QZ,$K288,1,M$1),ZeroCompFreq,'PDH Calc'!$K288/365)</f>
        <v>1</v>
      </c>
      <c r="N288" s="8">
        <f ca="1">_xll.HLV5r3.Analytics.Miscellaneous.Zero2DF(_xll.HLV5r3.Analytics.Miscellaneous.LinearInterp(Peturbed_QZ,$K288,1,N$1),ZeroCompFreq,'PDH Calc'!$K288/365)</f>
        <v>1</v>
      </c>
      <c r="O288" s="8">
        <f ca="1">_xll.HLV5r3.Analytics.Miscellaneous.Zero2DF(_xll.HLV5r3.Analytics.Miscellaneous.LinearInterp(Peturbed_QZ,$K288,1,O$1),ZeroCompFreq,'PDH Calc'!$K288/365)</f>
        <v>1</v>
      </c>
      <c r="P288" s="8">
        <f ca="1">_xll.HLV5r3.Analytics.Miscellaneous.Zero2DF(_xll.HLV5r3.Analytics.Miscellaneous.LinearInterp(Peturbed_QZ,$K288,1,P$1),ZeroCompFreq,'PDH Calc'!$K288/365)</f>
        <v>1</v>
      </c>
      <c r="Q288" s="8">
        <f ca="1">_xll.HLV5r3.Analytics.Miscellaneous.Zero2DF(_xll.HLV5r3.Analytics.Miscellaneous.LinearInterp(Peturbed_QZ,$K288,1,Q$1),ZeroCompFreq,'PDH Calc'!$K288/365)</f>
        <v>1</v>
      </c>
      <c r="R288" s="8">
        <f ca="1">_xll.HLV5r3.Analytics.Miscellaneous.Zero2DF(_xll.HLV5r3.Analytics.Miscellaneous.LinearInterp(Peturbed_QZ,$K288,1,R$1),ZeroCompFreq,'PDH Calc'!$K288/365)</f>
        <v>1</v>
      </c>
      <c r="S288" s="8">
        <f ca="1">_xll.HLV5r3.Analytics.Miscellaneous.Zero2DF(_xll.HLV5r3.Analytics.Miscellaneous.LinearInterp(Peturbed_QZ,$K288,1,S$1),ZeroCompFreq,'PDH Calc'!$K288/365)</f>
        <v>1</v>
      </c>
      <c r="T288" s="8">
        <f ca="1">_xll.HLV5r3.Analytics.Miscellaneous.Zero2DF(_xll.HLV5r3.Analytics.Miscellaneous.LinearInterp(Peturbed_QZ,$K288,1,T$1),ZeroCompFreq,'PDH Calc'!$K288/365)</f>
        <v>1</v>
      </c>
      <c r="U288" s="8">
        <f ca="1">_xll.HLV5r3.Analytics.Miscellaneous.Zero2DF(_xll.HLV5r3.Analytics.Miscellaneous.LinearInterp(Peturbed_QZ,$K288,1,U$1),ZeroCompFreq,'PDH Calc'!$K288/365)</f>
        <v>1</v>
      </c>
      <c r="V288" s="8">
        <f ca="1">_xll.HLV5r3.Analytics.Miscellaneous.Zero2DF(_xll.HLV5r3.Analytics.Miscellaneous.LinearInterp(Peturbed_QZ,$K288,1,V$1),ZeroCompFreq,'PDH Calc'!$K288/365)</f>
        <v>1</v>
      </c>
      <c r="W288" s="8">
        <f ca="1">_xll.HLV5r3.Analytics.Miscellaneous.Zero2DF(_xll.HLV5r3.Analytics.Miscellaneous.LinearInterp(Peturbed_QZ,$K288,1,W$1),ZeroCompFreq,'PDH Calc'!$K288/365)</f>
        <v>1</v>
      </c>
      <c r="X288" s="8">
        <f ca="1">_xll.HLV5r3.Analytics.Miscellaneous.Zero2DF(_xll.HLV5r3.Analytics.Miscellaneous.LinearInterp(Peturbed_QZ,$K288,1,X$1),ZeroCompFreq,'PDH Calc'!$K288/365)</f>
        <v>1</v>
      </c>
      <c r="Y288" s="8">
        <f ca="1">_xll.HLV5r3.Analytics.Miscellaneous.Zero2DF(_xll.HLV5r3.Analytics.Miscellaneous.LinearInterp(Peturbed_QZ,$K288,1,Y$1),ZeroCompFreq,'PDH Calc'!$K288/365)</f>
        <v>1</v>
      </c>
      <c r="Z288" s="8">
        <f ca="1">_xll.HLV5r3.Analytics.Miscellaneous.Zero2DF(_xll.HLV5r3.Analytics.Miscellaneous.LinearInterp(Peturbed_QZ,$K288,1,Z$1),ZeroCompFreq,'PDH Calc'!$K288/365)</f>
        <v>1</v>
      </c>
      <c r="AA288" s="8">
        <f ca="1">_xll.HLV5r3.Analytics.Miscellaneous.Zero2DF(_xll.HLV5r3.Analytics.Miscellaneous.LinearInterp(Peturbed_QZ,$K288,1,AA$1),ZeroCompFreq,'PDH Calc'!$K288/365)</f>
        <v>1</v>
      </c>
      <c r="AB288" s="8">
        <f ca="1">_xll.HLV5r3.Analytics.Miscellaneous.Zero2DF(_xll.HLV5r3.Analytics.Miscellaneous.LinearInterp(Peturbed_QZ,$K288,1,AB$1),ZeroCompFreq,'PDH Calc'!$K288/365)</f>
        <v>1</v>
      </c>
      <c r="AC288" s="8">
        <f ca="1">_xll.HLV5r3.Analytics.Miscellaneous.Zero2DF(_xll.HLV5r3.Analytics.Miscellaneous.LinearInterp(Peturbed_QZ,$K288,1,AC$1),ZeroCompFreq,'PDH Calc'!$K288/365)</f>
        <v>1</v>
      </c>
      <c r="AD288" s="8">
        <f ca="1">_xll.HLV5r3.Analytics.Miscellaneous.Zero2DF(_xll.HLV5r3.Analytics.Miscellaneous.LinearInterp(Peturbed_QZ,$K288,1,AD$1),ZeroCompFreq,'PDH Calc'!$K288/365)</f>
        <v>1</v>
      </c>
      <c r="AE288" s="8">
        <f ca="1">_xll.HLV5r3.Analytics.Miscellaneous.Zero2DF(_xll.HLV5r3.Analytics.Miscellaneous.LinearInterp(Peturbed_QZ,$K288,1,AE$1),ZeroCompFreq,'PDH Calc'!$K288/365)</f>
        <v>1</v>
      </c>
      <c r="AF288" s="8">
        <f ca="1">_xll.HLV5r3.Analytics.Miscellaneous.Zero2DF(_xll.HLV5r3.Analytics.Miscellaneous.LinearInterp(Peturbed_QZ,$K288,1,AF$1),ZeroCompFreq,'PDH Calc'!$K288/365)</f>
        <v>1</v>
      </c>
      <c r="AG288" s="8">
        <f ca="1">_xll.HLV5r3.Analytics.Miscellaneous.Zero2DF(_xll.HLV5r3.Analytics.Miscellaneous.LinearInterp(Peturbed_QZ,$K288,1,AG$1),ZeroCompFreq,'PDH Calc'!$K288/365)</f>
        <v>1</v>
      </c>
      <c r="AH288" s="8">
        <f ca="1">_xll.HLV5r3.Analytics.Miscellaneous.Zero2DF(_xll.HLV5r3.Analytics.Miscellaneous.LinearInterp(Peturbed_QZ,$K288,1,AH$1),ZeroCompFreq,'PDH Calc'!$K288/365)</f>
        <v>1</v>
      </c>
      <c r="AI288" s="8">
        <f ca="1">_xll.HLV5r3.Analytics.Miscellaneous.Zero2DF(_xll.HLV5r3.Analytics.Miscellaneous.LinearInterp(Peturbed_QZ,$K288,1,AI$1),ZeroCompFreq,'PDH Calc'!$K288/365)</f>
        <v>1</v>
      </c>
      <c r="AJ288" s="8">
        <f ca="1">_xll.HLV5r3.Analytics.Miscellaneous.Zero2DF(_xll.HLV5r3.Analytics.Miscellaneous.LinearInterp(Peturbed_QZ,$K288,1,AJ$1),ZeroCompFreq,'PDH Calc'!$K288/365)</f>
        <v>1</v>
      </c>
      <c r="AK288" s="8">
        <f ca="1">_xll.HLV5r3.Analytics.Miscellaneous.Zero2DF(_xll.HLV5r3.Analytics.Miscellaneous.LinearInterp(Peturbed_QZ,$K288,1,AK$1),ZeroCompFreq,'PDH Calc'!$K288/365)</f>
        <v>1</v>
      </c>
    </row>
    <row r="289" spans="1:37">
      <c r="A289" s="4"/>
      <c r="B289" s="6"/>
      <c r="F289" s="11"/>
      <c r="G289" s="6"/>
      <c r="H289" s="20"/>
      <c r="I289" s="21"/>
      <c r="J289" s="26"/>
      <c r="K289" s="6">
        <f t="shared" ca="1" si="11"/>
        <v>0</v>
      </c>
      <c r="L289" s="8">
        <f ca="1">_xll.HLV5r3.Analytics.Miscellaneous.Zero2DF(_xll.HLV5r3.Analytics.Miscellaneous.LinearInterp(Peturbed_QZ,$K289,1,L$1),ZeroCompFreq,'PDH Calc'!$K289/365)</f>
        <v>1</v>
      </c>
      <c r="M289" s="8">
        <f ca="1">_xll.HLV5r3.Analytics.Miscellaneous.Zero2DF(_xll.HLV5r3.Analytics.Miscellaneous.LinearInterp(Peturbed_QZ,$K289,1,M$1),ZeroCompFreq,'PDH Calc'!$K289/365)</f>
        <v>1</v>
      </c>
      <c r="N289" s="8">
        <f ca="1">_xll.HLV5r3.Analytics.Miscellaneous.Zero2DF(_xll.HLV5r3.Analytics.Miscellaneous.LinearInterp(Peturbed_QZ,$K289,1,N$1),ZeroCompFreq,'PDH Calc'!$K289/365)</f>
        <v>1</v>
      </c>
      <c r="O289" s="8">
        <f ca="1">_xll.HLV5r3.Analytics.Miscellaneous.Zero2DF(_xll.HLV5r3.Analytics.Miscellaneous.LinearInterp(Peturbed_QZ,$K289,1,O$1),ZeroCompFreq,'PDH Calc'!$K289/365)</f>
        <v>1</v>
      </c>
      <c r="P289" s="8">
        <f ca="1">_xll.HLV5r3.Analytics.Miscellaneous.Zero2DF(_xll.HLV5r3.Analytics.Miscellaneous.LinearInterp(Peturbed_QZ,$K289,1,P$1),ZeroCompFreq,'PDH Calc'!$K289/365)</f>
        <v>1</v>
      </c>
      <c r="Q289" s="8">
        <f ca="1">_xll.HLV5r3.Analytics.Miscellaneous.Zero2DF(_xll.HLV5r3.Analytics.Miscellaneous.LinearInterp(Peturbed_QZ,$K289,1,Q$1),ZeroCompFreq,'PDH Calc'!$K289/365)</f>
        <v>1</v>
      </c>
      <c r="R289" s="8">
        <f ca="1">_xll.HLV5r3.Analytics.Miscellaneous.Zero2DF(_xll.HLV5r3.Analytics.Miscellaneous.LinearInterp(Peturbed_QZ,$K289,1,R$1),ZeroCompFreq,'PDH Calc'!$K289/365)</f>
        <v>1</v>
      </c>
      <c r="S289" s="8">
        <f ca="1">_xll.HLV5r3.Analytics.Miscellaneous.Zero2DF(_xll.HLV5r3.Analytics.Miscellaneous.LinearInterp(Peturbed_QZ,$K289,1,S$1),ZeroCompFreq,'PDH Calc'!$K289/365)</f>
        <v>1</v>
      </c>
      <c r="T289" s="8">
        <f ca="1">_xll.HLV5r3.Analytics.Miscellaneous.Zero2DF(_xll.HLV5r3.Analytics.Miscellaneous.LinearInterp(Peturbed_QZ,$K289,1,T$1),ZeroCompFreq,'PDH Calc'!$K289/365)</f>
        <v>1</v>
      </c>
      <c r="U289" s="8">
        <f ca="1">_xll.HLV5r3.Analytics.Miscellaneous.Zero2DF(_xll.HLV5r3.Analytics.Miscellaneous.LinearInterp(Peturbed_QZ,$K289,1,U$1),ZeroCompFreq,'PDH Calc'!$K289/365)</f>
        <v>1</v>
      </c>
      <c r="V289" s="8">
        <f ca="1">_xll.HLV5r3.Analytics.Miscellaneous.Zero2DF(_xll.HLV5r3.Analytics.Miscellaneous.LinearInterp(Peturbed_QZ,$K289,1,V$1),ZeroCompFreq,'PDH Calc'!$K289/365)</f>
        <v>1</v>
      </c>
      <c r="W289" s="8">
        <f ca="1">_xll.HLV5r3.Analytics.Miscellaneous.Zero2DF(_xll.HLV5r3.Analytics.Miscellaneous.LinearInterp(Peturbed_QZ,$K289,1,W$1),ZeroCompFreq,'PDH Calc'!$K289/365)</f>
        <v>1</v>
      </c>
      <c r="X289" s="8">
        <f ca="1">_xll.HLV5r3.Analytics.Miscellaneous.Zero2DF(_xll.HLV5r3.Analytics.Miscellaneous.LinearInterp(Peturbed_QZ,$K289,1,X$1),ZeroCompFreq,'PDH Calc'!$K289/365)</f>
        <v>1</v>
      </c>
      <c r="Y289" s="8">
        <f ca="1">_xll.HLV5r3.Analytics.Miscellaneous.Zero2DF(_xll.HLV5r3.Analytics.Miscellaneous.LinearInterp(Peturbed_QZ,$K289,1,Y$1),ZeroCompFreq,'PDH Calc'!$K289/365)</f>
        <v>1</v>
      </c>
      <c r="Z289" s="8">
        <f ca="1">_xll.HLV5r3.Analytics.Miscellaneous.Zero2DF(_xll.HLV5r3.Analytics.Miscellaneous.LinearInterp(Peturbed_QZ,$K289,1,Z$1),ZeroCompFreq,'PDH Calc'!$K289/365)</f>
        <v>1</v>
      </c>
      <c r="AA289" s="8">
        <f ca="1">_xll.HLV5r3.Analytics.Miscellaneous.Zero2DF(_xll.HLV5r3.Analytics.Miscellaneous.LinearInterp(Peturbed_QZ,$K289,1,AA$1),ZeroCompFreq,'PDH Calc'!$K289/365)</f>
        <v>1</v>
      </c>
      <c r="AB289" s="8">
        <f ca="1">_xll.HLV5r3.Analytics.Miscellaneous.Zero2DF(_xll.HLV5r3.Analytics.Miscellaneous.LinearInterp(Peturbed_QZ,$K289,1,AB$1),ZeroCompFreq,'PDH Calc'!$K289/365)</f>
        <v>1</v>
      </c>
      <c r="AC289" s="8">
        <f ca="1">_xll.HLV5r3.Analytics.Miscellaneous.Zero2DF(_xll.HLV5r3.Analytics.Miscellaneous.LinearInterp(Peturbed_QZ,$K289,1,AC$1),ZeroCompFreq,'PDH Calc'!$K289/365)</f>
        <v>1</v>
      </c>
      <c r="AD289" s="8">
        <f ca="1">_xll.HLV5r3.Analytics.Miscellaneous.Zero2DF(_xll.HLV5r3.Analytics.Miscellaneous.LinearInterp(Peturbed_QZ,$K289,1,AD$1),ZeroCompFreq,'PDH Calc'!$K289/365)</f>
        <v>1</v>
      </c>
      <c r="AE289" s="8">
        <f ca="1">_xll.HLV5r3.Analytics.Miscellaneous.Zero2DF(_xll.HLV5r3.Analytics.Miscellaneous.LinearInterp(Peturbed_QZ,$K289,1,AE$1),ZeroCompFreq,'PDH Calc'!$K289/365)</f>
        <v>1</v>
      </c>
      <c r="AF289" s="8">
        <f ca="1">_xll.HLV5r3.Analytics.Miscellaneous.Zero2DF(_xll.HLV5r3.Analytics.Miscellaneous.LinearInterp(Peturbed_QZ,$K289,1,AF$1),ZeroCompFreq,'PDH Calc'!$K289/365)</f>
        <v>1</v>
      </c>
      <c r="AG289" s="8">
        <f ca="1">_xll.HLV5r3.Analytics.Miscellaneous.Zero2DF(_xll.HLV5r3.Analytics.Miscellaneous.LinearInterp(Peturbed_QZ,$K289,1,AG$1),ZeroCompFreq,'PDH Calc'!$K289/365)</f>
        <v>1</v>
      </c>
      <c r="AH289" s="8">
        <f ca="1">_xll.HLV5r3.Analytics.Miscellaneous.Zero2DF(_xll.HLV5r3.Analytics.Miscellaneous.LinearInterp(Peturbed_QZ,$K289,1,AH$1),ZeroCompFreq,'PDH Calc'!$K289/365)</f>
        <v>1</v>
      </c>
      <c r="AI289" s="8">
        <f ca="1">_xll.HLV5r3.Analytics.Miscellaneous.Zero2DF(_xll.HLV5r3.Analytics.Miscellaneous.LinearInterp(Peturbed_QZ,$K289,1,AI$1),ZeroCompFreq,'PDH Calc'!$K289/365)</f>
        <v>1</v>
      </c>
      <c r="AJ289" s="8">
        <f ca="1">_xll.HLV5r3.Analytics.Miscellaneous.Zero2DF(_xll.HLV5r3.Analytics.Miscellaneous.LinearInterp(Peturbed_QZ,$K289,1,AJ$1),ZeroCompFreq,'PDH Calc'!$K289/365)</f>
        <v>1</v>
      </c>
      <c r="AK289" s="8">
        <f ca="1">_xll.HLV5r3.Analytics.Miscellaneous.Zero2DF(_xll.HLV5r3.Analytics.Miscellaneous.LinearInterp(Peturbed_QZ,$K289,1,AK$1),ZeroCompFreq,'PDH Calc'!$K289/365)</f>
        <v>1</v>
      </c>
    </row>
    <row r="290" spans="1:37">
      <c r="A290" s="4"/>
      <c r="B290" s="6"/>
      <c r="F290" s="11"/>
      <c r="G290" s="6"/>
      <c r="H290" s="20"/>
      <c r="I290" s="21"/>
      <c r="J290" s="26"/>
      <c r="K290" s="6">
        <f t="shared" ca="1" si="11"/>
        <v>0</v>
      </c>
      <c r="L290" s="8">
        <f ca="1">_xll.HLV5r3.Analytics.Miscellaneous.Zero2DF(_xll.HLV5r3.Analytics.Miscellaneous.LinearInterp(Peturbed_QZ,$K290,1,L$1),ZeroCompFreq,'PDH Calc'!$K290/365)</f>
        <v>1</v>
      </c>
      <c r="M290" s="8">
        <f ca="1">_xll.HLV5r3.Analytics.Miscellaneous.Zero2DF(_xll.HLV5r3.Analytics.Miscellaneous.LinearInterp(Peturbed_QZ,$K290,1,M$1),ZeroCompFreq,'PDH Calc'!$K290/365)</f>
        <v>1</v>
      </c>
      <c r="N290" s="8">
        <f ca="1">_xll.HLV5r3.Analytics.Miscellaneous.Zero2DF(_xll.HLV5r3.Analytics.Miscellaneous.LinearInterp(Peturbed_QZ,$K290,1,N$1),ZeroCompFreq,'PDH Calc'!$K290/365)</f>
        <v>1</v>
      </c>
      <c r="O290" s="8">
        <f ca="1">_xll.HLV5r3.Analytics.Miscellaneous.Zero2DF(_xll.HLV5r3.Analytics.Miscellaneous.LinearInterp(Peturbed_QZ,$K290,1,O$1),ZeroCompFreq,'PDH Calc'!$K290/365)</f>
        <v>1</v>
      </c>
      <c r="P290" s="8">
        <f ca="1">_xll.HLV5r3.Analytics.Miscellaneous.Zero2DF(_xll.HLV5r3.Analytics.Miscellaneous.LinearInterp(Peturbed_QZ,$K290,1,P$1),ZeroCompFreq,'PDH Calc'!$K290/365)</f>
        <v>1</v>
      </c>
      <c r="Q290" s="8">
        <f ca="1">_xll.HLV5r3.Analytics.Miscellaneous.Zero2DF(_xll.HLV5r3.Analytics.Miscellaneous.LinearInterp(Peturbed_QZ,$K290,1,Q$1),ZeroCompFreq,'PDH Calc'!$K290/365)</f>
        <v>1</v>
      </c>
      <c r="R290" s="8">
        <f ca="1">_xll.HLV5r3.Analytics.Miscellaneous.Zero2DF(_xll.HLV5r3.Analytics.Miscellaneous.LinearInterp(Peturbed_QZ,$K290,1,R$1),ZeroCompFreq,'PDH Calc'!$K290/365)</f>
        <v>1</v>
      </c>
      <c r="S290" s="8">
        <f ca="1">_xll.HLV5r3.Analytics.Miscellaneous.Zero2DF(_xll.HLV5r3.Analytics.Miscellaneous.LinearInterp(Peturbed_QZ,$K290,1,S$1),ZeroCompFreq,'PDH Calc'!$K290/365)</f>
        <v>1</v>
      </c>
      <c r="T290" s="8">
        <f ca="1">_xll.HLV5r3.Analytics.Miscellaneous.Zero2DF(_xll.HLV5r3.Analytics.Miscellaneous.LinearInterp(Peturbed_QZ,$K290,1,T$1),ZeroCompFreq,'PDH Calc'!$K290/365)</f>
        <v>1</v>
      </c>
      <c r="U290" s="8">
        <f ca="1">_xll.HLV5r3.Analytics.Miscellaneous.Zero2DF(_xll.HLV5r3.Analytics.Miscellaneous.LinearInterp(Peturbed_QZ,$K290,1,U$1),ZeroCompFreq,'PDH Calc'!$K290/365)</f>
        <v>1</v>
      </c>
      <c r="V290" s="8">
        <f ca="1">_xll.HLV5r3.Analytics.Miscellaneous.Zero2DF(_xll.HLV5r3.Analytics.Miscellaneous.LinearInterp(Peturbed_QZ,$K290,1,V$1),ZeroCompFreq,'PDH Calc'!$K290/365)</f>
        <v>1</v>
      </c>
      <c r="W290" s="8">
        <f ca="1">_xll.HLV5r3.Analytics.Miscellaneous.Zero2DF(_xll.HLV5r3.Analytics.Miscellaneous.LinearInterp(Peturbed_QZ,$K290,1,W$1),ZeroCompFreq,'PDH Calc'!$K290/365)</f>
        <v>1</v>
      </c>
      <c r="X290" s="8">
        <f ca="1">_xll.HLV5r3.Analytics.Miscellaneous.Zero2DF(_xll.HLV5r3.Analytics.Miscellaneous.LinearInterp(Peturbed_QZ,$K290,1,X$1),ZeroCompFreq,'PDH Calc'!$K290/365)</f>
        <v>1</v>
      </c>
      <c r="Y290" s="8">
        <f ca="1">_xll.HLV5r3.Analytics.Miscellaneous.Zero2DF(_xll.HLV5r3.Analytics.Miscellaneous.LinearInterp(Peturbed_QZ,$K290,1,Y$1),ZeroCompFreq,'PDH Calc'!$K290/365)</f>
        <v>1</v>
      </c>
      <c r="Z290" s="8">
        <f ca="1">_xll.HLV5r3.Analytics.Miscellaneous.Zero2DF(_xll.HLV5r3.Analytics.Miscellaneous.LinearInterp(Peturbed_QZ,$K290,1,Z$1),ZeroCompFreq,'PDH Calc'!$K290/365)</f>
        <v>1</v>
      </c>
      <c r="AA290" s="8">
        <f ca="1">_xll.HLV5r3.Analytics.Miscellaneous.Zero2DF(_xll.HLV5r3.Analytics.Miscellaneous.LinearInterp(Peturbed_QZ,$K290,1,AA$1),ZeroCompFreq,'PDH Calc'!$K290/365)</f>
        <v>1</v>
      </c>
      <c r="AB290" s="8">
        <f ca="1">_xll.HLV5r3.Analytics.Miscellaneous.Zero2DF(_xll.HLV5r3.Analytics.Miscellaneous.LinearInterp(Peturbed_QZ,$K290,1,AB$1),ZeroCompFreq,'PDH Calc'!$K290/365)</f>
        <v>1</v>
      </c>
      <c r="AC290" s="8">
        <f ca="1">_xll.HLV5r3.Analytics.Miscellaneous.Zero2DF(_xll.HLV5r3.Analytics.Miscellaneous.LinearInterp(Peturbed_QZ,$K290,1,AC$1),ZeroCompFreq,'PDH Calc'!$K290/365)</f>
        <v>1</v>
      </c>
      <c r="AD290" s="8">
        <f ca="1">_xll.HLV5r3.Analytics.Miscellaneous.Zero2DF(_xll.HLV5r3.Analytics.Miscellaneous.LinearInterp(Peturbed_QZ,$K290,1,AD$1),ZeroCompFreq,'PDH Calc'!$K290/365)</f>
        <v>1</v>
      </c>
      <c r="AE290" s="8">
        <f ca="1">_xll.HLV5r3.Analytics.Miscellaneous.Zero2DF(_xll.HLV5r3.Analytics.Miscellaneous.LinearInterp(Peturbed_QZ,$K290,1,AE$1),ZeroCompFreq,'PDH Calc'!$K290/365)</f>
        <v>1</v>
      </c>
      <c r="AF290" s="8">
        <f ca="1">_xll.HLV5r3.Analytics.Miscellaneous.Zero2DF(_xll.HLV5r3.Analytics.Miscellaneous.LinearInterp(Peturbed_QZ,$K290,1,AF$1),ZeroCompFreq,'PDH Calc'!$K290/365)</f>
        <v>1</v>
      </c>
      <c r="AG290" s="8">
        <f ca="1">_xll.HLV5r3.Analytics.Miscellaneous.Zero2DF(_xll.HLV5r3.Analytics.Miscellaneous.LinearInterp(Peturbed_QZ,$K290,1,AG$1),ZeroCompFreq,'PDH Calc'!$K290/365)</f>
        <v>1</v>
      </c>
      <c r="AH290" s="8">
        <f ca="1">_xll.HLV5r3.Analytics.Miscellaneous.Zero2DF(_xll.HLV5r3.Analytics.Miscellaneous.LinearInterp(Peturbed_QZ,$K290,1,AH$1),ZeroCompFreq,'PDH Calc'!$K290/365)</f>
        <v>1</v>
      </c>
      <c r="AI290" s="8">
        <f ca="1">_xll.HLV5r3.Analytics.Miscellaneous.Zero2DF(_xll.HLV5r3.Analytics.Miscellaneous.LinearInterp(Peturbed_QZ,$K290,1,AI$1),ZeroCompFreq,'PDH Calc'!$K290/365)</f>
        <v>1</v>
      </c>
      <c r="AJ290" s="8">
        <f ca="1">_xll.HLV5r3.Analytics.Miscellaneous.Zero2DF(_xll.HLV5r3.Analytics.Miscellaneous.LinearInterp(Peturbed_QZ,$K290,1,AJ$1),ZeroCompFreq,'PDH Calc'!$K290/365)</f>
        <v>1</v>
      </c>
      <c r="AK290" s="8">
        <f ca="1">_xll.HLV5r3.Analytics.Miscellaneous.Zero2DF(_xll.HLV5r3.Analytics.Miscellaneous.LinearInterp(Peturbed_QZ,$K290,1,AK$1),ZeroCompFreq,'PDH Calc'!$K290/365)</f>
        <v>1</v>
      </c>
    </row>
    <row r="291" spans="1:37">
      <c r="A291" s="4"/>
      <c r="B291" s="6"/>
      <c r="F291" s="11"/>
      <c r="G291" s="6"/>
      <c r="H291" s="20"/>
      <c r="I291" s="21"/>
      <c r="J291" s="26"/>
      <c r="K291" s="6">
        <f t="shared" ca="1" si="11"/>
        <v>0</v>
      </c>
      <c r="L291" s="8">
        <f ca="1">_xll.HLV5r3.Analytics.Miscellaneous.Zero2DF(_xll.HLV5r3.Analytics.Miscellaneous.LinearInterp(Peturbed_QZ,$K291,1,L$1),ZeroCompFreq,'PDH Calc'!$K291/365)</f>
        <v>1</v>
      </c>
      <c r="M291" s="8">
        <f ca="1">_xll.HLV5r3.Analytics.Miscellaneous.Zero2DF(_xll.HLV5r3.Analytics.Miscellaneous.LinearInterp(Peturbed_QZ,$K291,1,M$1),ZeroCompFreq,'PDH Calc'!$K291/365)</f>
        <v>1</v>
      </c>
      <c r="N291" s="8">
        <f ca="1">_xll.HLV5r3.Analytics.Miscellaneous.Zero2DF(_xll.HLV5r3.Analytics.Miscellaneous.LinearInterp(Peturbed_QZ,$K291,1,N$1),ZeroCompFreq,'PDH Calc'!$K291/365)</f>
        <v>1</v>
      </c>
      <c r="O291" s="8">
        <f ca="1">_xll.HLV5r3.Analytics.Miscellaneous.Zero2DF(_xll.HLV5r3.Analytics.Miscellaneous.LinearInterp(Peturbed_QZ,$K291,1,O$1),ZeroCompFreq,'PDH Calc'!$K291/365)</f>
        <v>1</v>
      </c>
      <c r="P291" s="8">
        <f ca="1">_xll.HLV5r3.Analytics.Miscellaneous.Zero2DF(_xll.HLV5r3.Analytics.Miscellaneous.LinearInterp(Peturbed_QZ,$K291,1,P$1),ZeroCompFreq,'PDH Calc'!$K291/365)</f>
        <v>1</v>
      </c>
      <c r="Q291" s="8">
        <f ca="1">_xll.HLV5r3.Analytics.Miscellaneous.Zero2DF(_xll.HLV5r3.Analytics.Miscellaneous.LinearInterp(Peturbed_QZ,$K291,1,Q$1),ZeroCompFreq,'PDH Calc'!$K291/365)</f>
        <v>1</v>
      </c>
      <c r="R291" s="8">
        <f ca="1">_xll.HLV5r3.Analytics.Miscellaneous.Zero2DF(_xll.HLV5r3.Analytics.Miscellaneous.LinearInterp(Peturbed_QZ,$K291,1,R$1),ZeroCompFreq,'PDH Calc'!$K291/365)</f>
        <v>1</v>
      </c>
      <c r="S291" s="8">
        <f ca="1">_xll.HLV5r3.Analytics.Miscellaneous.Zero2DF(_xll.HLV5r3.Analytics.Miscellaneous.LinearInterp(Peturbed_QZ,$K291,1,S$1),ZeroCompFreq,'PDH Calc'!$K291/365)</f>
        <v>1</v>
      </c>
      <c r="T291" s="8">
        <f ca="1">_xll.HLV5r3.Analytics.Miscellaneous.Zero2DF(_xll.HLV5r3.Analytics.Miscellaneous.LinearInterp(Peturbed_QZ,$K291,1,T$1),ZeroCompFreq,'PDH Calc'!$K291/365)</f>
        <v>1</v>
      </c>
      <c r="U291" s="8">
        <f ca="1">_xll.HLV5r3.Analytics.Miscellaneous.Zero2DF(_xll.HLV5r3.Analytics.Miscellaneous.LinearInterp(Peturbed_QZ,$K291,1,U$1),ZeroCompFreq,'PDH Calc'!$K291/365)</f>
        <v>1</v>
      </c>
      <c r="V291" s="8">
        <f ca="1">_xll.HLV5r3.Analytics.Miscellaneous.Zero2DF(_xll.HLV5r3.Analytics.Miscellaneous.LinearInterp(Peturbed_QZ,$K291,1,V$1),ZeroCompFreq,'PDH Calc'!$K291/365)</f>
        <v>1</v>
      </c>
      <c r="W291" s="8">
        <f ca="1">_xll.HLV5r3.Analytics.Miscellaneous.Zero2DF(_xll.HLV5r3.Analytics.Miscellaneous.LinearInterp(Peturbed_QZ,$K291,1,W$1),ZeroCompFreq,'PDH Calc'!$K291/365)</f>
        <v>1</v>
      </c>
      <c r="X291" s="8">
        <f ca="1">_xll.HLV5r3.Analytics.Miscellaneous.Zero2DF(_xll.HLV5r3.Analytics.Miscellaneous.LinearInterp(Peturbed_QZ,$K291,1,X$1),ZeroCompFreq,'PDH Calc'!$K291/365)</f>
        <v>1</v>
      </c>
      <c r="Y291" s="8">
        <f ca="1">_xll.HLV5r3.Analytics.Miscellaneous.Zero2DF(_xll.HLV5r3.Analytics.Miscellaneous.LinearInterp(Peturbed_QZ,$K291,1,Y$1),ZeroCompFreq,'PDH Calc'!$K291/365)</f>
        <v>1</v>
      </c>
      <c r="Z291" s="8">
        <f ca="1">_xll.HLV5r3.Analytics.Miscellaneous.Zero2DF(_xll.HLV5r3.Analytics.Miscellaneous.LinearInterp(Peturbed_QZ,$K291,1,Z$1),ZeroCompFreq,'PDH Calc'!$K291/365)</f>
        <v>1</v>
      </c>
      <c r="AA291" s="8">
        <f ca="1">_xll.HLV5r3.Analytics.Miscellaneous.Zero2DF(_xll.HLV5r3.Analytics.Miscellaneous.LinearInterp(Peturbed_QZ,$K291,1,AA$1),ZeroCompFreq,'PDH Calc'!$K291/365)</f>
        <v>1</v>
      </c>
      <c r="AB291" s="8">
        <f ca="1">_xll.HLV5r3.Analytics.Miscellaneous.Zero2DF(_xll.HLV5r3.Analytics.Miscellaneous.LinearInterp(Peturbed_QZ,$K291,1,AB$1),ZeroCompFreq,'PDH Calc'!$K291/365)</f>
        <v>1</v>
      </c>
      <c r="AC291" s="8">
        <f ca="1">_xll.HLV5r3.Analytics.Miscellaneous.Zero2DF(_xll.HLV5r3.Analytics.Miscellaneous.LinearInterp(Peturbed_QZ,$K291,1,AC$1),ZeroCompFreq,'PDH Calc'!$K291/365)</f>
        <v>1</v>
      </c>
      <c r="AD291" s="8">
        <f ca="1">_xll.HLV5r3.Analytics.Miscellaneous.Zero2DF(_xll.HLV5r3.Analytics.Miscellaneous.LinearInterp(Peturbed_QZ,$K291,1,AD$1),ZeroCompFreq,'PDH Calc'!$K291/365)</f>
        <v>1</v>
      </c>
      <c r="AE291" s="8">
        <f ca="1">_xll.HLV5r3.Analytics.Miscellaneous.Zero2DF(_xll.HLV5r3.Analytics.Miscellaneous.LinearInterp(Peturbed_QZ,$K291,1,AE$1),ZeroCompFreq,'PDH Calc'!$K291/365)</f>
        <v>1</v>
      </c>
      <c r="AF291" s="8">
        <f ca="1">_xll.HLV5r3.Analytics.Miscellaneous.Zero2DF(_xll.HLV5r3.Analytics.Miscellaneous.LinearInterp(Peturbed_QZ,$K291,1,AF$1),ZeroCompFreq,'PDH Calc'!$K291/365)</f>
        <v>1</v>
      </c>
      <c r="AG291" s="8">
        <f ca="1">_xll.HLV5r3.Analytics.Miscellaneous.Zero2DF(_xll.HLV5r3.Analytics.Miscellaneous.LinearInterp(Peturbed_QZ,$K291,1,AG$1),ZeroCompFreq,'PDH Calc'!$K291/365)</f>
        <v>1</v>
      </c>
      <c r="AH291" s="8">
        <f ca="1">_xll.HLV5r3.Analytics.Miscellaneous.Zero2DF(_xll.HLV5r3.Analytics.Miscellaneous.LinearInterp(Peturbed_QZ,$K291,1,AH$1),ZeroCompFreq,'PDH Calc'!$K291/365)</f>
        <v>1</v>
      </c>
      <c r="AI291" s="8">
        <f ca="1">_xll.HLV5r3.Analytics.Miscellaneous.Zero2DF(_xll.HLV5r3.Analytics.Miscellaneous.LinearInterp(Peturbed_QZ,$K291,1,AI$1),ZeroCompFreq,'PDH Calc'!$K291/365)</f>
        <v>1</v>
      </c>
      <c r="AJ291" s="8">
        <f ca="1">_xll.HLV5r3.Analytics.Miscellaneous.Zero2DF(_xll.HLV5r3.Analytics.Miscellaneous.LinearInterp(Peturbed_QZ,$K291,1,AJ$1),ZeroCompFreq,'PDH Calc'!$K291/365)</f>
        <v>1</v>
      </c>
      <c r="AK291" s="8">
        <f ca="1">_xll.HLV5r3.Analytics.Miscellaneous.Zero2DF(_xll.HLV5r3.Analytics.Miscellaneous.LinearInterp(Peturbed_QZ,$K291,1,AK$1),ZeroCompFreq,'PDH Calc'!$K291/365)</f>
        <v>1</v>
      </c>
    </row>
    <row r="292" spans="1:37">
      <c r="A292" s="4"/>
      <c r="B292" s="6"/>
      <c r="F292" s="11"/>
      <c r="G292" s="6"/>
      <c r="H292" s="20"/>
      <c r="I292" s="21"/>
      <c r="J292" s="26"/>
      <c r="K292" s="6">
        <f t="shared" ca="1" si="11"/>
        <v>0</v>
      </c>
      <c r="L292" s="8">
        <f ca="1">_xll.HLV5r3.Analytics.Miscellaneous.Zero2DF(_xll.HLV5r3.Analytics.Miscellaneous.LinearInterp(Peturbed_QZ,$K292,1,L$1),ZeroCompFreq,'PDH Calc'!$K292/365)</f>
        <v>1</v>
      </c>
      <c r="M292" s="8">
        <f ca="1">_xll.HLV5r3.Analytics.Miscellaneous.Zero2DF(_xll.HLV5r3.Analytics.Miscellaneous.LinearInterp(Peturbed_QZ,$K292,1,M$1),ZeroCompFreq,'PDH Calc'!$K292/365)</f>
        <v>1</v>
      </c>
      <c r="N292" s="8">
        <f ca="1">_xll.HLV5r3.Analytics.Miscellaneous.Zero2DF(_xll.HLV5r3.Analytics.Miscellaneous.LinearInterp(Peturbed_QZ,$K292,1,N$1),ZeroCompFreq,'PDH Calc'!$K292/365)</f>
        <v>1</v>
      </c>
      <c r="O292" s="8">
        <f ca="1">_xll.HLV5r3.Analytics.Miscellaneous.Zero2DF(_xll.HLV5r3.Analytics.Miscellaneous.LinearInterp(Peturbed_QZ,$K292,1,O$1),ZeroCompFreq,'PDH Calc'!$K292/365)</f>
        <v>1</v>
      </c>
      <c r="P292" s="8">
        <f ca="1">_xll.HLV5r3.Analytics.Miscellaneous.Zero2DF(_xll.HLV5r3.Analytics.Miscellaneous.LinearInterp(Peturbed_QZ,$K292,1,P$1),ZeroCompFreq,'PDH Calc'!$K292/365)</f>
        <v>1</v>
      </c>
      <c r="Q292" s="8">
        <f ca="1">_xll.HLV5r3.Analytics.Miscellaneous.Zero2DF(_xll.HLV5r3.Analytics.Miscellaneous.LinearInterp(Peturbed_QZ,$K292,1,Q$1),ZeroCompFreq,'PDH Calc'!$K292/365)</f>
        <v>1</v>
      </c>
      <c r="R292" s="8">
        <f ca="1">_xll.HLV5r3.Analytics.Miscellaneous.Zero2DF(_xll.HLV5r3.Analytics.Miscellaneous.LinearInterp(Peturbed_QZ,$K292,1,R$1),ZeroCompFreq,'PDH Calc'!$K292/365)</f>
        <v>1</v>
      </c>
      <c r="S292" s="8">
        <f ca="1">_xll.HLV5r3.Analytics.Miscellaneous.Zero2DF(_xll.HLV5r3.Analytics.Miscellaneous.LinearInterp(Peturbed_QZ,$K292,1,S$1),ZeroCompFreq,'PDH Calc'!$K292/365)</f>
        <v>1</v>
      </c>
      <c r="T292" s="8">
        <f ca="1">_xll.HLV5r3.Analytics.Miscellaneous.Zero2DF(_xll.HLV5r3.Analytics.Miscellaneous.LinearInterp(Peturbed_QZ,$K292,1,T$1),ZeroCompFreq,'PDH Calc'!$K292/365)</f>
        <v>1</v>
      </c>
      <c r="U292" s="8">
        <f ca="1">_xll.HLV5r3.Analytics.Miscellaneous.Zero2DF(_xll.HLV5r3.Analytics.Miscellaneous.LinearInterp(Peturbed_QZ,$K292,1,U$1),ZeroCompFreq,'PDH Calc'!$K292/365)</f>
        <v>1</v>
      </c>
      <c r="V292" s="8">
        <f ca="1">_xll.HLV5r3.Analytics.Miscellaneous.Zero2DF(_xll.HLV5r3.Analytics.Miscellaneous.LinearInterp(Peturbed_QZ,$K292,1,V$1),ZeroCompFreq,'PDH Calc'!$K292/365)</f>
        <v>1</v>
      </c>
      <c r="W292" s="8">
        <f ca="1">_xll.HLV5r3.Analytics.Miscellaneous.Zero2DF(_xll.HLV5r3.Analytics.Miscellaneous.LinearInterp(Peturbed_QZ,$K292,1,W$1),ZeroCompFreq,'PDH Calc'!$K292/365)</f>
        <v>1</v>
      </c>
      <c r="X292" s="8">
        <f ca="1">_xll.HLV5r3.Analytics.Miscellaneous.Zero2DF(_xll.HLV5r3.Analytics.Miscellaneous.LinearInterp(Peturbed_QZ,$K292,1,X$1),ZeroCompFreq,'PDH Calc'!$K292/365)</f>
        <v>1</v>
      </c>
      <c r="Y292" s="8">
        <f ca="1">_xll.HLV5r3.Analytics.Miscellaneous.Zero2DF(_xll.HLV5r3.Analytics.Miscellaneous.LinearInterp(Peturbed_QZ,$K292,1,Y$1),ZeroCompFreq,'PDH Calc'!$K292/365)</f>
        <v>1</v>
      </c>
      <c r="Z292" s="8">
        <f ca="1">_xll.HLV5r3.Analytics.Miscellaneous.Zero2DF(_xll.HLV5r3.Analytics.Miscellaneous.LinearInterp(Peturbed_QZ,$K292,1,Z$1),ZeroCompFreq,'PDH Calc'!$K292/365)</f>
        <v>1</v>
      </c>
      <c r="AA292" s="8">
        <f ca="1">_xll.HLV5r3.Analytics.Miscellaneous.Zero2DF(_xll.HLV5r3.Analytics.Miscellaneous.LinearInterp(Peturbed_QZ,$K292,1,AA$1),ZeroCompFreq,'PDH Calc'!$K292/365)</f>
        <v>1</v>
      </c>
      <c r="AB292" s="8">
        <f ca="1">_xll.HLV5r3.Analytics.Miscellaneous.Zero2DF(_xll.HLV5r3.Analytics.Miscellaneous.LinearInterp(Peturbed_QZ,$K292,1,AB$1),ZeroCompFreq,'PDH Calc'!$K292/365)</f>
        <v>1</v>
      </c>
      <c r="AC292" s="8">
        <f ca="1">_xll.HLV5r3.Analytics.Miscellaneous.Zero2DF(_xll.HLV5r3.Analytics.Miscellaneous.LinearInterp(Peturbed_QZ,$K292,1,AC$1),ZeroCompFreq,'PDH Calc'!$K292/365)</f>
        <v>1</v>
      </c>
      <c r="AD292" s="8">
        <f ca="1">_xll.HLV5r3.Analytics.Miscellaneous.Zero2DF(_xll.HLV5r3.Analytics.Miscellaneous.LinearInterp(Peturbed_QZ,$K292,1,AD$1),ZeroCompFreq,'PDH Calc'!$K292/365)</f>
        <v>1</v>
      </c>
      <c r="AE292" s="8">
        <f ca="1">_xll.HLV5r3.Analytics.Miscellaneous.Zero2DF(_xll.HLV5r3.Analytics.Miscellaneous.LinearInterp(Peturbed_QZ,$K292,1,AE$1),ZeroCompFreq,'PDH Calc'!$K292/365)</f>
        <v>1</v>
      </c>
      <c r="AF292" s="8">
        <f ca="1">_xll.HLV5r3.Analytics.Miscellaneous.Zero2DF(_xll.HLV5r3.Analytics.Miscellaneous.LinearInterp(Peturbed_QZ,$K292,1,AF$1),ZeroCompFreq,'PDH Calc'!$K292/365)</f>
        <v>1</v>
      </c>
      <c r="AG292" s="8">
        <f ca="1">_xll.HLV5r3.Analytics.Miscellaneous.Zero2DF(_xll.HLV5r3.Analytics.Miscellaneous.LinearInterp(Peturbed_QZ,$K292,1,AG$1),ZeroCompFreq,'PDH Calc'!$K292/365)</f>
        <v>1</v>
      </c>
      <c r="AH292" s="8">
        <f ca="1">_xll.HLV5r3.Analytics.Miscellaneous.Zero2DF(_xll.HLV5r3.Analytics.Miscellaneous.LinearInterp(Peturbed_QZ,$K292,1,AH$1),ZeroCompFreq,'PDH Calc'!$K292/365)</f>
        <v>1</v>
      </c>
      <c r="AI292" s="8">
        <f ca="1">_xll.HLV5r3.Analytics.Miscellaneous.Zero2DF(_xll.HLV5r3.Analytics.Miscellaneous.LinearInterp(Peturbed_QZ,$K292,1,AI$1),ZeroCompFreq,'PDH Calc'!$K292/365)</f>
        <v>1</v>
      </c>
      <c r="AJ292" s="8">
        <f ca="1">_xll.HLV5r3.Analytics.Miscellaneous.Zero2DF(_xll.HLV5r3.Analytics.Miscellaneous.LinearInterp(Peturbed_QZ,$K292,1,AJ$1),ZeroCompFreq,'PDH Calc'!$K292/365)</f>
        <v>1</v>
      </c>
      <c r="AK292" s="8">
        <f ca="1">_xll.HLV5r3.Analytics.Miscellaneous.Zero2DF(_xll.HLV5r3.Analytics.Miscellaneous.LinearInterp(Peturbed_QZ,$K292,1,AK$1),ZeroCompFreq,'PDH Calc'!$K292/365)</f>
        <v>1</v>
      </c>
    </row>
    <row r="293" spans="1:37">
      <c r="A293" s="4"/>
      <c r="B293" s="6"/>
      <c r="F293" s="11"/>
      <c r="G293" s="6"/>
      <c r="H293" s="20"/>
      <c r="I293" s="21"/>
      <c r="J293" s="26"/>
      <c r="K293" s="6">
        <f t="shared" ca="1" si="11"/>
        <v>0</v>
      </c>
      <c r="L293" s="8">
        <f ca="1">_xll.HLV5r3.Analytics.Miscellaneous.Zero2DF(_xll.HLV5r3.Analytics.Miscellaneous.LinearInterp(Peturbed_QZ,$K293,1,L$1),ZeroCompFreq,'PDH Calc'!$K293/365)</f>
        <v>1</v>
      </c>
      <c r="M293" s="8">
        <f ca="1">_xll.HLV5r3.Analytics.Miscellaneous.Zero2DF(_xll.HLV5r3.Analytics.Miscellaneous.LinearInterp(Peturbed_QZ,$K293,1,M$1),ZeroCompFreq,'PDH Calc'!$K293/365)</f>
        <v>1</v>
      </c>
      <c r="N293" s="8">
        <f ca="1">_xll.HLV5r3.Analytics.Miscellaneous.Zero2DF(_xll.HLV5r3.Analytics.Miscellaneous.LinearInterp(Peturbed_QZ,$K293,1,N$1),ZeroCompFreq,'PDH Calc'!$K293/365)</f>
        <v>1</v>
      </c>
      <c r="O293" s="8">
        <f ca="1">_xll.HLV5r3.Analytics.Miscellaneous.Zero2DF(_xll.HLV5r3.Analytics.Miscellaneous.LinearInterp(Peturbed_QZ,$K293,1,O$1),ZeroCompFreq,'PDH Calc'!$K293/365)</f>
        <v>1</v>
      </c>
      <c r="P293" s="8">
        <f ca="1">_xll.HLV5r3.Analytics.Miscellaneous.Zero2DF(_xll.HLV5r3.Analytics.Miscellaneous.LinearInterp(Peturbed_QZ,$K293,1,P$1),ZeroCompFreq,'PDH Calc'!$K293/365)</f>
        <v>1</v>
      </c>
      <c r="Q293" s="8">
        <f ca="1">_xll.HLV5r3.Analytics.Miscellaneous.Zero2DF(_xll.HLV5r3.Analytics.Miscellaneous.LinearInterp(Peturbed_QZ,$K293,1,Q$1),ZeroCompFreq,'PDH Calc'!$K293/365)</f>
        <v>1</v>
      </c>
      <c r="R293" s="8">
        <f ca="1">_xll.HLV5r3.Analytics.Miscellaneous.Zero2DF(_xll.HLV5r3.Analytics.Miscellaneous.LinearInterp(Peturbed_QZ,$K293,1,R$1),ZeroCompFreq,'PDH Calc'!$K293/365)</f>
        <v>1</v>
      </c>
      <c r="S293" s="8">
        <f ca="1">_xll.HLV5r3.Analytics.Miscellaneous.Zero2DF(_xll.HLV5r3.Analytics.Miscellaneous.LinearInterp(Peturbed_QZ,$K293,1,S$1),ZeroCompFreq,'PDH Calc'!$K293/365)</f>
        <v>1</v>
      </c>
      <c r="T293" s="8">
        <f ca="1">_xll.HLV5r3.Analytics.Miscellaneous.Zero2DF(_xll.HLV5r3.Analytics.Miscellaneous.LinearInterp(Peturbed_QZ,$K293,1,T$1),ZeroCompFreq,'PDH Calc'!$K293/365)</f>
        <v>1</v>
      </c>
      <c r="U293" s="8">
        <f ca="1">_xll.HLV5r3.Analytics.Miscellaneous.Zero2DF(_xll.HLV5r3.Analytics.Miscellaneous.LinearInterp(Peturbed_QZ,$K293,1,U$1),ZeroCompFreq,'PDH Calc'!$K293/365)</f>
        <v>1</v>
      </c>
      <c r="V293" s="8">
        <f ca="1">_xll.HLV5r3.Analytics.Miscellaneous.Zero2DF(_xll.HLV5r3.Analytics.Miscellaneous.LinearInterp(Peturbed_QZ,$K293,1,V$1),ZeroCompFreq,'PDH Calc'!$K293/365)</f>
        <v>1</v>
      </c>
      <c r="W293" s="8">
        <f ca="1">_xll.HLV5r3.Analytics.Miscellaneous.Zero2DF(_xll.HLV5r3.Analytics.Miscellaneous.LinearInterp(Peturbed_QZ,$K293,1,W$1),ZeroCompFreq,'PDH Calc'!$K293/365)</f>
        <v>1</v>
      </c>
      <c r="X293" s="8">
        <f ca="1">_xll.HLV5r3.Analytics.Miscellaneous.Zero2DF(_xll.HLV5r3.Analytics.Miscellaneous.LinearInterp(Peturbed_QZ,$K293,1,X$1),ZeroCompFreq,'PDH Calc'!$K293/365)</f>
        <v>1</v>
      </c>
      <c r="Y293" s="8">
        <f ca="1">_xll.HLV5r3.Analytics.Miscellaneous.Zero2DF(_xll.HLV5r3.Analytics.Miscellaneous.LinearInterp(Peturbed_QZ,$K293,1,Y$1),ZeroCompFreq,'PDH Calc'!$K293/365)</f>
        <v>1</v>
      </c>
      <c r="Z293" s="8">
        <f ca="1">_xll.HLV5r3.Analytics.Miscellaneous.Zero2DF(_xll.HLV5r3.Analytics.Miscellaneous.LinearInterp(Peturbed_QZ,$K293,1,Z$1),ZeroCompFreq,'PDH Calc'!$K293/365)</f>
        <v>1</v>
      </c>
      <c r="AA293" s="8">
        <f ca="1">_xll.HLV5r3.Analytics.Miscellaneous.Zero2DF(_xll.HLV5r3.Analytics.Miscellaneous.LinearInterp(Peturbed_QZ,$K293,1,AA$1),ZeroCompFreq,'PDH Calc'!$K293/365)</f>
        <v>1</v>
      </c>
      <c r="AB293" s="8">
        <f ca="1">_xll.HLV5r3.Analytics.Miscellaneous.Zero2DF(_xll.HLV5r3.Analytics.Miscellaneous.LinearInterp(Peturbed_QZ,$K293,1,AB$1),ZeroCompFreq,'PDH Calc'!$K293/365)</f>
        <v>1</v>
      </c>
      <c r="AC293" s="8">
        <f ca="1">_xll.HLV5r3.Analytics.Miscellaneous.Zero2DF(_xll.HLV5r3.Analytics.Miscellaneous.LinearInterp(Peturbed_QZ,$K293,1,AC$1),ZeroCompFreq,'PDH Calc'!$K293/365)</f>
        <v>1</v>
      </c>
      <c r="AD293" s="8">
        <f ca="1">_xll.HLV5r3.Analytics.Miscellaneous.Zero2DF(_xll.HLV5r3.Analytics.Miscellaneous.LinearInterp(Peturbed_QZ,$K293,1,AD$1),ZeroCompFreq,'PDH Calc'!$K293/365)</f>
        <v>1</v>
      </c>
      <c r="AE293" s="8">
        <f ca="1">_xll.HLV5r3.Analytics.Miscellaneous.Zero2DF(_xll.HLV5r3.Analytics.Miscellaneous.LinearInterp(Peturbed_QZ,$K293,1,AE$1),ZeroCompFreq,'PDH Calc'!$K293/365)</f>
        <v>1</v>
      </c>
      <c r="AF293" s="8">
        <f ca="1">_xll.HLV5r3.Analytics.Miscellaneous.Zero2DF(_xll.HLV5r3.Analytics.Miscellaneous.LinearInterp(Peturbed_QZ,$K293,1,AF$1),ZeroCompFreq,'PDH Calc'!$K293/365)</f>
        <v>1</v>
      </c>
      <c r="AG293" s="8">
        <f ca="1">_xll.HLV5r3.Analytics.Miscellaneous.Zero2DF(_xll.HLV5r3.Analytics.Miscellaneous.LinearInterp(Peturbed_QZ,$K293,1,AG$1),ZeroCompFreq,'PDH Calc'!$K293/365)</f>
        <v>1</v>
      </c>
      <c r="AH293" s="8">
        <f ca="1">_xll.HLV5r3.Analytics.Miscellaneous.Zero2DF(_xll.HLV5r3.Analytics.Miscellaneous.LinearInterp(Peturbed_QZ,$K293,1,AH$1),ZeroCompFreq,'PDH Calc'!$K293/365)</f>
        <v>1</v>
      </c>
      <c r="AI293" s="8">
        <f ca="1">_xll.HLV5r3.Analytics.Miscellaneous.Zero2DF(_xll.HLV5r3.Analytics.Miscellaneous.LinearInterp(Peturbed_QZ,$K293,1,AI$1),ZeroCompFreq,'PDH Calc'!$K293/365)</f>
        <v>1</v>
      </c>
      <c r="AJ293" s="8">
        <f ca="1">_xll.HLV5r3.Analytics.Miscellaneous.Zero2DF(_xll.HLV5r3.Analytics.Miscellaneous.LinearInterp(Peturbed_QZ,$K293,1,AJ$1),ZeroCompFreq,'PDH Calc'!$K293/365)</f>
        <v>1</v>
      </c>
      <c r="AK293" s="8">
        <f ca="1">_xll.HLV5r3.Analytics.Miscellaneous.Zero2DF(_xll.HLV5r3.Analytics.Miscellaneous.LinearInterp(Peturbed_QZ,$K293,1,AK$1),ZeroCompFreq,'PDH Calc'!$K293/365)</f>
        <v>1</v>
      </c>
    </row>
    <row r="294" spans="1:37">
      <c r="A294" s="4"/>
      <c r="B294" s="6"/>
      <c r="F294" s="11"/>
      <c r="G294" s="6"/>
      <c r="H294" s="20"/>
      <c r="I294" s="21"/>
      <c r="J294" s="26"/>
      <c r="K294" s="6">
        <f t="shared" ca="1" si="11"/>
        <v>0</v>
      </c>
      <c r="L294" s="8">
        <f ca="1">_xll.HLV5r3.Analytics.Miscellaneous.Zero2DF(_xll.HLV5r3.Analytics.Miscellaneous.LinearInterp(Peturbed_QZ,$K294,1,L$1),ZeroCompFreq,'PDH Calc'!$K294/365)</f>
        <v>1</v>
      </c>
      <c r="M294" s="8">
        <f ca="1">_xll.HLV5r3.Analytics.Miscellaneous.Zero2DF(_xll.HLV5r3.Analytics.Miscellaneous.LinearInterp(Peturbed_QZ,$K294,1,M$1),ZeroCompFreq,'PDH Calc'!$K294/365)</f>
        <v>1</v>
      </c>
      <c r="N294" s="8">
        <f ca="1">_xll.HLV5r3.Analytics.Miscellaneous.Zero2DF(_xll.HLV5r3.Analytics.Miscellaneous.LinearInterp(Peturbed_QZ,$K294,1,N$1),ZeroCompFreq,'PDH Calc'!$K294/365)</f>
        <v>1</v>
      </c>
      <c r="O294" s="8">
        <f ca="1">_xll.HLV5r3.Analytics.Miscellaneous.Zero2DF(_xll.HLV5r3.Analytics.Miscellaneous.LinearInterp(Peturbed_QZ,$K294,1,O$1),ZeroCompFreq,'PDH Calc'!$K294/365)</f>
        <v>1</v>
      </c>
      <c r="P294" s="8">
        <f ca="1">_xll.HLV5r3.Analytics.Miscellaneous.Zero2DF(_xll.HLV5r3.Analytics.Miscellaneous.LinearInterp(Peturbed_QZ,$K294,1,P$1),ZeroCompFreq,'PDH Calc'!$K294/365)</f>
        <v>1</v>
      </c>
      <c r="Q294" s="8">
        <f ca="1">_xll.HLV5r3.Analytics.Miscellaneous.Zero2DF(_xll.HLV5r3.Analytics.Miscellaneous.LinearInterp(Peturbed_QZ,$K294,1,Q$1),ZeroCompFreq,'PDH Calc'!$K294/365)</f>
        <v>1</v>
      </c>
      <c r="R294" s="8">
        <f ca="1">_xll.HLV5r3.Analytics.Miscellaneous.Zero2DF(_xll.HLV5r3.Analytics.Miscellaneous.LinearInterp(Peturbed_QZ,$K294,1,R$1),ZeroCompFreq,'PDH Calc'!$K294/365)</f>
        <v>1</v>
      </c>
      <c r="S294" s="8">
        <f ca="1">_xll.HLV5r3.Analytics.Miscellaneous.Zero2DF(_xll.HLV5r3.Analytics.Miscellaneous.LinearInterp(Peturbed_QZ,$K294,1,S$1),ZeroCompFreq,'PDH Calc'!$K294/365)</f>
        <v>1</v>
      </c>
      <c r="T294" s="8">
        <f ca="1">_xll.HLV5r3.Analytics.Miscellaneous.Zero2DF(_xll.HLV5r3.Analytics.Miscellaneous.LinearInterp(Peturbed_QZ,$K294,1,T$1),ZeroCompFreq,'PDH Calc'!$K294/365)</f>
        <v>1</v>
      </c>
      <c r="U294" s="8">
        <f ca="1">_xll.HLV5r3.Analytics.Miscellaneous.Zero2DF(_xll.HLV5r3.Analytics.Miscellaneous.LinearInterp(Peturbed_QZ,$K294,1,U$1),ZeroCompFreq,'PDH Calc'!$K294/365)</f>
        <v>1</v>
      </c>
      <c r="V294" s="8">
        <f ca="1">_xll.HLV5r3.Analytics.Miscellaneous.Zero2DF(_xll.HLV5r3.Analytics.Miscellaneous.LinearInterp(Peturbed_QZ,$K294,1,V$1),ZeroCompFreq,'PDH Calc'!$K294/365)</f>
        <v>1</v>
      </c>
      <c r="W294" s="8">
        <f ca="1">_xll.HLV5r3.Analytics.Miscellaneous.Zero2DF(_xll.HLV5r3.Analytics.Miscellaneous.LinearInterp(Peturbed_QZ,$K294,1,W$1),ZeroCompFreq,'PDH Calc'!$K294/365)</f>
        <v>1</v>
      </c>
      <c r="X294" s="8">
        <f ca="1">_xll.HLV5r3.Analytics.Miscellaneous.Zero2DF(_xll.HLV5r3.Analytics.Miscellaneous.LinearInterp(Peturbed_QZ,$K294,1,X$1),ZeroCompFreq,'PDH Calc'!$K294/365)</f>
        <v>1</v>
      </c>
      <c r="Y294" s="8">
        <f ca="1">_xll.HLV5r3.Analytics.Miscellaneous.Zero2DF(_xll.HLV5r3.Analytics.Miscellaneous.LinearInterp(Peturbed_QZ,$K294,1,Y$1),ZeroCompFreq,'PDH Calc'!$K294/365)</f>
        <v>1</v>
      </c>
      <c r="Z294" s="8">
        <f ca="1">_xll.HLV5r3.Analytics.Miscellaneous.Zero2DF(_xll.HLV5r3.Analytics.Miscellaneous.LinearInterp(Peturbed_QZ,$K294,1,Z$1),ZeroCompFreq,'PDH Calc'!$K294/365)</f>
        <v>1</v>
      </c>
      <c r="AA294" s="8">
        <f ca="1">_xll.HLV5r3.Analytics.Miscellaneous.Zero2DF(_xll.HLV5r3.Analytics.Miscellaneous.LinearInterp(Peturbed_QZ,$K294,1,AA$1),ZeroCompFreq,'PDH Calc'!$K294/365)</f>
        <v>1</v>
      </c>
      <c r="AB294" s="8">
        <f ca="1">_xll.HLV5r3.Analytics.Miscellaneous.Zero2DF(_xll.HLV5r3.Analytics.Miscellaneous.LinearInterp(Peturbed_QZ,$K294,1,AB$1),ZeroCompFreq,'PDH Calc'!$K294/365)</f>
        <v>1</v>
      </c>
      <c r="AC294" s="8">
        <f ca="1">_xll.HLV5r3.Analytics.Miscellaneous.Zero2DF(_xll.HLV5r3.Analytics.Miscellaneous.LinearInterp(Peturbed_QZ,$K294,1,AC$1),ZeroCompFreq,'PDH Calc'!$K294/365)</f>
        <v>1</v>
      </c>
      <c r="AD294" s="8">
        <f ca="1">_xll.HLV5r3.Analytics.Miscellaneous.Zero2DF(_xll.HLV5r3.Analytics.Miscellaneous.LinearInterp(Peturbed_QZ,$K294,1,AD$1),ZeroCompFreq,'PDH Calc'!$K294/365)</f>
        <v>1</v>
      </c>
      <c r="AE294" s="8">
        <f ca="1">_xll.HLV5r3.Analytics.Miscellaneous.Zero2DF(_xll.HLV5r3.Analytics.Miscellaneous.LinearInterp(Peturbed_QZ,$K294,1,AE$1),ZeroCompFreq,'PDH Calc'!$K294/365)</f>
        <v>1</v>
      </c>
      <c r="AF294" s="8">
        <f ca="1">_xll.HLV5r3.Analytics.Miscellaneous.Zero2DF(_xll.HLV5r3.Analytics.Miscellaneous.LinearInterp(Peturbed_QZ,$K294,1,AF$1),ZeroCompFreq,'PDH Calc'!$K294/365)</f>
        <v>1</v>
      </c>
      <c r="AG294" s="8">
        <f ca="1">_xll.HLV5r3.Analytics.Miscellaneous.Zero2DF(_xll.HLV5r3.Analytics.Miscellaneous.LinearInterp(Peturbed_QZ,$K294,1,AG$1),ZeroCompFreq,'PDH Calc'!$K294/365)</f>
        <v>1</v>
      </c>
      <c r="AH294" s="8">
        <f ca="1">_xll.HLV5r3.Analytics.Miscellaneous.Zero2DF(_xll.HLV5r3.Analytics.Miscellaneous.LinearInterp(Peturbed_QZ,$K294,1,AH$1),ZeroCompFreq,'PDH Calc'!$K294/365)</f>
        <v>1</v>
      </c>
      <c r="AI294" s="8">
        <f ca="1">_xll.HLV5r3.Analytics.Miscellaneous.Zero2DF(_xll.HLV5r3.Analytics.Miscellaneous.LinearInterp(Peturbed_QZ,$K294,1,AI$1),ZeroCompFreq,'PDH Calc'!$K294/365)</f>
        <v>1</v>
      </c>
      <c r="AJ294" s="8">
        <f ca="1">_xll.HLV5r3.Analytics.Miscellaneous.Zero2DF(_xll.HLV5r3.Analytics.Miscellaneous.LinearInterp(Peturbed_QZ,$K294,1,AJ$1),ZeroCompFreq,'PDH Calc'!$K294/365)</f>
        <v>1</v>
      </c>
      <c r="AK294" s="8">
        <f ca="1">_xll.HLV5r3.Analytics.Miscellaneous.Zero2DF(_xll.HLV5r3.Analytics.Miscellaneous.LinearInterp(Peturbed_QZ,$K294,1,AK$1),ZeroCompFreq,'PDH Calc'!$K294/365)</f>
        <v>1</v>
      </c>
    </row>
    <row r="295" spans="1:37">
      <c r="A295" s="4"/>
      <c r="B295" s="6"/>
      <c r="F295" s="11"/>
      <c r="G295" s="6"/>
      <c r="H295" s="20"/>
      <c r="I295" s="21"/>
      <c r="J295" s="26"/>
      <c r="K295" s="6">
        <f t="shared" ca="1" si="11"/>
        <v>0</v>
      </c>
      <c r="L295" s="8">
        <f ca="1">_xll.HLV5r3.Analytics.Miscellaneous.Zero2DF(_xll.HLV5r3.Analytics.Miscellaneous.LinearInterp(Peturbed_QZ,$K295,1,L$1),ZeroCompFreq,'PDH Calc'!$K295/365)</f>
        <v>1</v>
      </c>
      <c r="M295" s="8">
        <f ca="1">_xll.HLV5r3.Analytics.Miscellaneous.Zero2DF(_xll.HLV5r3.Analytics.Miscellaneous.LinearInterp(Peturbed_QZ,$K295,1,M$1),ZeroCompFreq,'PDH Calc'!$K295/365)</f>
        <v>1</v>
      </c>
      <c r="N295" s="8">
        <f ca="1">_xll.HLV5r3.Analytics.Miscellaneous.Zero2DF(_xll.HLV5r3.Analytics.Miscellaneous.LinearInterp(Peturbed_QZ,$K295,1,N$1),ZeroCompFreq,'PDH Calc'!$K295/365)</f>
        <v>1</v>
      </c>
      <c r="O295" s="8">
        <f ca="1">_xll.HLV5r3.Analytics.Miscellaneous.Zero2DF(_xll.HLV5r3.Analytics.Miscellaneous.LinearInterp(Peturbed_QZ,$K295,1,O$1),ZeroCompFreq,'PDH Calc'!$K295/365)</f>
        <v>1</v>
      </c>
      <c r="P295" s="8">
        <f ca="1">_xll.HLV5r3.Analytics.Miscellaneous.Zero2DF(_xll.HLV5r3.Analytics.Miscellaneous.LinearInterp(Peturbed_QZ,$K295,1,P$1),ZeroCompFreq,'PDH Calc'!$K295/365)</f>
        <v>1</v>
      </c>
      <c r="Q295" s="8">
        <f ca="1">_xll.HLV5r3.Analytics.Miscellaneous.Zero2DF(_xll.HLV5r3.Analytics.Miscellaneous.LinearInterp(Peturbed_QZ,$K295,1,Q$1),ZeroCompFreq,'PDH Calc'!$K295/365)</f>
        <v>1</v>
      </c>
      <c r="R295" s="8">
        <f ca="1">_xll.HLV5r3.Analytics.Miscellaneous.Zero2DF(_xll.HLV5r3.Analytics.Miscellaneous.LinearInterp(Peturbed_QZ,$K295,1,R$1),ZeroCompFreq,'PDH Calc'!$K295/365)</f>
        <v>1</v>
      </c>
      <c r="S295" s="8">
        <f ca="1">_xll.HLV5r3.Analytics.Miscellaneous.Zero2DF(_xll.HLV5r3.Analytics.Miscellaneous.LinearInterp(Peturbed_QZ,$K295,1,S$1),ZeroCompFreq,'PDH Calc'!$K295/365)</f>
        <v>1</v>
      </c>
      <c r="T295" s="8">
        <f ca="1">_xll.HLV5r3.Analytics.Miscellaneous.Zero2DF(_xll.HLV5r3.Analytics.Miscellaneous.LinearInterp(Peturbed_QZ,$K295,1,T$1),ZeroCompFreq,'PDH Calc'!$K295/365)</f>
        <v>1</v>
      </c>
      <c r="U295" s="8">
        <f ca="1">_xll.HLV5r3.Analytics.Miscellaneous.Zero2DF(_xll.HLV5r3.Analytics.Miscellaneous.LinearInterp(Peturbed_QZ,$K295,1,U$1),ZeroCompFreq,'PDH Calc'!$K295/365)</f>
        <v>1</v>
      </c>
      <c r="V295" s="8">
        <f ca="1">_xll.HLV5r3.Analytics.Miscellaneous.Zero2DF(_xll.HLV5r3.Analytics.Miscellaneous.LinearInterp(Peturbed_QZ,$K295,1,V$1),ZeroCompFreq,'PDH Calc'!$K295/365)</f>
        <v>1</v>
      </c>
      <c r="W295" s="8">
        <f ca="1">_xll.HLV5r3.Analytics.Miscellaneous.Zero2DF(_xll.HLV5r3.Analytics.Miscellaneous.LinearInterp(Peturbed_QZ,$K295,1,W$1),ZeroCompFreq,'PDH Calc'!$K295/365)</f>
        <v>1</v>
      </c>
      <c r="X295" s="8">
        <f ca="1">_xll.HLV5r3.Analytics.Miscellaneous.Zero2DF(_xll.HLV5r3.Analytics.Miscellaneous.LinearInterp(Peturbed_QZ,$K295,1,X$1),ZeroCompFreq,'PDH Calc'!$K295/365)</f>
        <v>1</v>
      </c>
      <c r="Y295" s="8">
        <f ca="1">_xll.HLV5r3.Analytics.Miscellaneous.Zero2DF(_xll.HLV5r3.Analytics.Miscellaneous.LinearInterp(Peturbed_QZ,$K295,1,Y$1),ZeroCompFreq,'PDH Calc'!$K295/365)</f>
        <v>1</v>
      </c>
      <c r="Z295" s="8">
        <f ca="1">_xll.HLV5r3.Analytics.Miscellaneous.Zero2DF(_xll.HLV5r3.Analytics.Miscellaneous.LinearInterp(Peturbed_QZ,$K295,1,Z$1),ZeroCompFreq,'PDH Calc'!$K295/365)</f>
        <v>1</v>
      </c>
      <c r="AA295" s="8">
        <f ca="1">_xll.HLV5r3.Analytics.Miscellaneous.Zero2DF(_xll.HLV5r3.Analytics.Miscellaneous.LinearInterp(Peturbed_QZ,$K295,1,AA$1),ZeroCompFreq,'PDH Calc'!$K295/365)</f>
        <v>1</v>
      </c>
      <c r="AB295" s="8">
        <f ca="1">_xll.HLV5r3.Analytics.Miscellaneous.Zero2DF(_xll.HLV5r3.Analytics.Miscellaneous.LinearInterp(Peturbed_QZ,$K295,1,AB$1),ZeroCompFreq,'PDH Calc'!$K295/365)</f>
        <v>1</v>
      </c>
      <c r="AC295" s="8">
        <f ca="1">_xll.HLV5r3.Analytics.Miscellaneous.Zero2DF(_xll.HLV5r3.Analytics.Miscellaneous.LinearInterp(Peturbed_QZ,$K295,1,AC$1),ZeroCompFreq,'PDH Calc'!$K295/365)</f>
        <v>1</v>
      </c>
      <c r="AD295" s="8">
        <f ca="1">_xll.HLV5r3.Analytics.Miscellaneous.Zero2DF(_xll.HLV5r3.Analytics.Miscellaneous.LinearInterp(Peturbed_QZ,$K295,1,AD$1),ZeroCompFreq,'PDH Calc'!$K295/365)</f>
        <v>1</v>
      </c>
      <c r="AE295" s="8">
        <f ca="1">_xll.HLV5r3.Analytics.Miscellaneous.Zero2DF(_xll.HLV5r3.Analytics.Miscellaneous.LinearInterp(Peturbed_QZ,$K295,1,AE$1),ZeroCompFreq,'PDH Calc'!$K295/365)</f>
        <v>1</v>
      </c>
      <c r="AF295" s="8">
        <f ca="1">_xll.HLV5r3.Analytics.Miscellaneous.Zero2DF(_xll.HLV5r3.Analytics.Miscellaneous.LinearInterp(Peturbed_QZ,$K295,1,AF$1),ZeroCompFreq,'PDH Calc'!$K295/365)</f>
        <v>1</v>
      </c>
      <c r="AG295" s="8">
        <f ca="1">_xll.HLV5r3.Analytics.Miscellaneous.Zero2DF(_xll.HLV5r3.Analytics.Miscellaneous.LinearInterp(Peturbed_QZ,$K295,1,AG$1),ZeroCompFreq,'PDH Calc'!$K295/365)</f>
        <v>1</v>
      </c>
      <c r="AH295" s="8">
        <f ca="1">_xll.HLV5r3.Analytics.Miscellaneous.Zero2DF(_xll.HLV5r3.Analytics.Miscellaneous.LinearInterp(Peturbed_QZ,$K295,1,AH$1),ZeroCompFreq,'PDH Calc'!$K295/365)</f>
        <v>1</v>
      </c>
      <c r="AI295" s="8">
        <f ca="1">_xll.HLV5r3.Analytics.Miscellaneous.Zero2DF(_xll.HLV5r3.Analytics.Miscellaneous.LinearInterp(Peturbed_QZ,$K295,1,AI$1),ZeroCompFreq,'PDH Calc'!$K295/365)</f>
        <v>1</v>
      </c>
      <c r="AJ295" s="8">
        <f ca="1">_xll.HLV5r3.Analytics.Miscellaneous.Zero2DF(_xll.HLV5r3.Analytics.Miscellaneous.LinearInterp(Peturbed_QZ,$K295,1,AJ$1),ZeroCompFreq,'PDH Calc'!$K295/365)</f>
        <v>1</v>
      </c>
      <c r="AK295" s="8">
        <f ca="1">_xll.HLV5r3.Analytics.Miscellaneous.Zero2DF(_xll.HLV5r3.Analytics.Miscellaneous.LinearInterp(Peturbed_QZ,$K295,1,AK$1),ZeroCompFreq,'PDH Calc'!$K295/365)</f>
        <v>1</v>
      </c>
    </row>
    <row r="296" spans="1:37">
      <c r="A296" s="4"/>
      <c r="B296" s="6"/>
      <c r="F296" s="11"/>
      <c r="G296" s="6"/>
      <c r="H296" s="20"/>
      <c r="I296" s="21"/>
      <c r="J296" s="26"/>
      <c r="K296" s="6">
        <f t="shared" ca="1" si="11"/>
        <v>0</v>
      </c>
      <c r="L296" s="8">
        <f ca="1">_xll.HLV5r3.Analytics.Miscellaneous.Zero2DF(_xll.HLV5r3.Analytics.Miscellaneous.LinearInterp(Peturbed_QZ,$K296,1,L$1),ZeroCompFreq,'PDH Calc'!$K296/365)</f>
        <v>1</v>
      </c>
      <c r="M296" s="8">
        <f ca="1">_xll.HLV5r3.Analytics.Miscellaneous.Zero2DF(_xll.HLV5r3.Analytics.Miscellaneous.LinearInterp(Peturbed_QZ,$K296,1,M$1),ZeroCompFreq,'PDH Calc'!$K296/365)</f>
        <v>1</v>
      </c>
      <c r="N296" s="8">
        <f ca="1">_xll.HLV5r3.Analytics.Miscellaneous.Zero2DF(_xll.HLV5r3.Analytics.Miscellaneous.LinearInterp(Peturbed_QZ,$K296,1,N$1),ZeroCompFreq,'PDH Calc'!$K296/365)</f>
        <v>1</v>
      </c>
      <c r="O296" s="8">
        <f ca="1">_xll.HLV5r3.Analytics.Miscellaneous.Zero2DF(_xll.HLV5r3.Analytics.Miscellaneous.LinearInterp(Peturbed_QZ,$K296,1,O$1),ZeroCompFreq,'PDH Calc'!$K296/365)</f>
        <v>1</v>
      </c>
      <c r="P296" s="8">
        <f ca="1">_xll.HLV5r3.Analytics.Miscellaneous.Zero2DF(_xll.HLV5r3.Analytics.Miscellaneous.LinearInterp(Peturbed_QZ,$K296,1,P$1),ZeroCompFreq,'PDH Calc'!$K296/365)</f>
        <v>1</v>
      </c>
      <c r="Q296" s="8">
        <f ca="1">_xll.HLV5r3.Analytics.Miscellaneous.Zero2DF(_xll.HLV5r3.Analytics.Miscellaneous.LinearInterp(Peturbed_QZ,$K296,1,Q$1),ZeroCompFreq,'PDH Calc'!$K296/365)</f>
        <v>1</v>
      </c>
      <c r="R296" s="8">
        <f ca="1">_xll.HLV5r3.Analytics.Miscellaneous.Zero2DF(_xll.HLV5r3.Analytics.Miscellaneous.LinearInterp(Peturbed_QZ,$K296,1,R$1),ZeroCompFreq,'PDH Calc'!$K296/365)</f>
        <v>1</v>
      </c>
      <c r="S296" s="8">
        <f ca="1">_xll.HLV5r3.Analytics.Miscellaneous.Zero2DF(_xll.HLV5r3.Analytics.Miscellaneous.LinearInterp(Peturbed_QZ,$K296,1,S$1),ZeroCompFreq,'PDH Calc'!$K296/365)</f>
        <v>1</v>
      </c>
      <c r="T296" s="8">
        <f ca="1">_xll.HLV5r3.Analytics.Miscellaneous.Zero2DF(_xll.HLV5r3.Analytics.Miscellaneous.LinearInterp(Peturbed_QZ,$K296,1,T$1),ZeroCompFreq,'PDH Calc'!$K296/365)</f>
        <v>1</v>
      </c>
      <c r="U296" s="8">
        <f ca="1">_xll.HLV5r3.Analytics.Miscellaneous.Zero2DF(_xll.HLV5r3.Analytics.Miscellaneous.LinearInterp(Peturbed_QZ,$K296,1,U$1),ZeroCompFreq,'PDH Calc'!$K296/365)</f>
        <v>1</v>
      </c>
      <c r="V296" s="8">
        <f ca="1">_xll.HLV5r3.Analytics.Miscellaneous.Zero2DF(_xll.HLV5r3.Analytics.Miscellaneous.LinearInterp(Peturbed_QZ,$K296,1,V$1),ZeroCompFreq,'PDH Calc'!$K296/365)</f>
        <v>1</v>
      </c>
      <c r="W296" s="8">
        <f ca="1">_xll.HLV5r3.Analytics.Miscellaneous.Zero2DF(_xll.HLV5r3.Analytics.Miscellaneous.LinearInterp(Peturbed_QZ,$K296,1,W$1),ZeroCompFreq,'PDH Calc'!$K296/365)</f>
        <v>1</v>
      </c>
      <c r="X296" s="8">
        <f ca="1">_xll.HLV5r3.Analytics.Miscellaneous.Zero2DF(_xll.HLV5r3.Analytics.Miscellaneous.LinearInterp(Peturbed_QZ,$K296,1,X$1),ZeroCompFreq,'PDH Calc'!$K296/365)</f>
        <v>1</v>
      </c>
      <c r="Y296" s="8">
        <f ca="1">_xll.HLV5r3.Analytics.Miscellaneous.Zero2DF(_xll.HLV5r3.Analytics.Miscellaneous.LinearInterp(Peturbed_QZ,$K296,1,Y$1),ZeroCompFreq,'PDH Calc'!$K296/365)</f>
        <v>1</v>
      </c>
      <c r="Z296" s="8">
        <f ca="1">_xll.HLV5r3.Analytics.Miscellaneous.Zero2DF(_xll.HLV5r3.Analytics.Miscellaneous.LinearInterp(Peturbed_QZ,$K296,1,Z$1),ZeroCompFreq,'PDH Calc'!$K296/365)</f>
        <v>1</v>
      </c>
      <c r="AA296" s="8">
        <f ca="1">_xll.HLV5r3.Analytics.Miscellaneous.Zero2DF(_xll.HLV5r3.Analytics.Miscellaneous.LinearInterp(Peturbed_QZ,$K296,1,AA$1),ZeroCompFreq,'PDH Calc'!$K296/365)</f>
        <v>1</v>
      </c>
      <c r="AB296" s="8">
        <f ca="1">_xll.HLV5r3.Analytics.Miscellaneous.Zero2DF(_xll.HLV5r3.Analytics.Miscellaneous.LinearInterp(Peturbed_QZ,$K296,1,AB$1),ZeroCompFreq,'PDH Calc'!$K296/365)</f>
        <v>1</v>
      </c>
      <c r="AC296" s="8">
        <f ca="1">_xll.HLV5r3.Analytics.Miscellaneous.Zero2DF(_xll.HLV5r3.Analytics.Miscellaneous.LinearInterp(Peturbed_QZ,$K296,1,AC$1),ZeroCompFreq,'PDH Calc'!$K296/365)</f>
        <v>1</v>
      </c>
      <c r="AD296" s="8">
        <f ca="1">_xll.HLV5r3.Analytics.Miscellaneous.Zero2DF(_xll.HLV5r3.Analytics.Miscellaneous.LinearInterp(Peturbed_QZ,$K296,1,AD$1),ZeroCompFreq,'PDH Calc'!$K296/365)</f>
        <v>1</v>
      </c>
      <c r="AE296" s="8">
        <f ca="1">_xll.HLV5r3.Analytics.Miscellaneous.Zero2DF(_xll.HLV5r3.Analytics.Miscellaneous.LinearInterp(Peturbed_QZ,$K296,1,AE$1),ZeroCompFreq,'PDH Calc'!$K296/365)</f>
        <v>1</v>
      </c>
      <c r="AF296" s="8">
        <f ca="1">_xll.HLV5r3.Analytics.Miscellaneous.Zero2DF(_xll.HLV5r3.Analytics.Miscellaneous.LinearInterp(Peturbed_QZ,$K296,1,AF$1),ZeroCompFreq,'PDH Calc'!$K296/365)</f>
        <v>1</v>
      </c>
      <c r="AG296" s="8">
        <f ca="1">_xll.HLV5r3.Analytics.Miscellaneous.Zero2DF(_xll.HLV5r3.Analytics.Miscellaneous.LinearInterp(Peturbed_QZ,$K296,1,AG$1),ZeroCompFreq,'PDH Calc'!$K296/365)</f>
        <v>1</v>
      </c>
      <c r="AH296" s="8">
        <f ca="1">_xll.HLV5r3.Analytics.Miscellaneous.Zero2DF(_xll.HLV5r3.Analytics.Miscellaneous.LinearInterp(Peturbed_QZ,$K296,1,AH$1),ZeroCompFreq,'PDH Calc'!$K296/365)</f>
        <v>1</v>
      </c>
      <c r="AI296" s="8">
        <f ca="1">_xll.HLV5r3.Analytics.Miscellaneous.Zero2DF(_xll.HLV5r3.Analytics.Miscellaneous.LinearInterp(Peturbed_QZ,$K296,1,AI$1),ZeroCompFreq,'PDH Calc'!$K296/365)</f>
        <v>1</v>
      </c>
      <c r="AJ296" s="8">
        <f ca="1">_xll.HLV5r3.Analytics.Miscellaneous.Zero2DF(_xll.HLV5r3.Analytics.Miscellaneous.LinearInterp(Peturbed_QZ,$K296,1,AJ$1),ZeroCompFreq,'PDH Calc'!$K296/365)</f>
        <v>1</v>
      </c>
      <c r="AK296" s="8">
        <f ca="1">_xll.HLV5r3.Analytics.Miscellaneous.Zero2DF(_xll.HLV5r3.Analytics.Miscellaneous.LinearInterp(Peturbed_QZ,$K296,1,AK$1),ZeroCompFreq,'PDH Calc'!$K296/365)</f>
        <v>1</v>
      </c>
    </row>
    <row r="297" spans="1:37">
      <c r="A297" s="4"/>
      <c r="B297" s="6"/>
      <c r="F297" s="11"/>
      <c r="G297" s="6"/>
      <c r="H297" s="20"/>
      <c r="I297" s="21"/>
      <c r="J297" s="26"/>
      <c r="K297" s="6">
        <f t="shared" ca="1" si="11"/>
        <v>0</v>
      </c>
      <c r="L297" s="8">
        <f ca="1">_xll.HLV5r3.Analytics.Miscellaneous.Zero2DF(_xll.HLV5r3.Analytics.Miscellaneous.LinearInterp(Peturbed_QZ,$K297,1,L$1),ZeroCompFreq,'PDH Calc'!$K297/365)</f>
        <v>1</v>
      </c>
      <c r="M297" s="8">
        <f ca="1">_xll.HLV5r3.Analytics.Miscellaneous.Zero2DF(_xll.HLV5r3.Analytics.Miscellaneous.LinearInterp(Peturbed_QZ,$K297,1,M$1),ZeroCompFreq,'PDH Calc'!$K297/365)</f>
        <v>1</v>
      </c>
      <c r="N297" s="8">
        <f ca="1">_xll.HLV5r3.Analytics.Miscellaneous.Zero2DF(_xll.HLV5r3.Analytics.Miscellaneous.LinearInterp(Peturbed_QZ,$K297,1,N$1),ZeroCompFreq,'PDH Calc'!$K297/365)</f>
        <v>1</v>
      </c>
      <c r="O297" s="8">
        <f ca="1">_xll.HLV5r3.Analytics.Miscellaneous.Zero2DF(_xll.HLV5r3.Analytics.Miscellaneous.LinearInterp(Peturbed_QZ,$K297,1,O$1),ZeroCompFreq,'PDH Calc'!$K297/365)</f>
        <v>1</v>
      </c>
      <c r="P297" s="8">
        <f ca="1">_xll.HLV5r3.Analytics.Miscellaneous.Zero2DF(_xll.HLV5r3.Analytics.Miscellaneous.LinearInterp(Peturbed_QZ,$K297,1,P$1),ZeroCompFreq,'PDH Calc'!$K297/365)</f>
        <v>1</v>
      </c>
      <c r="Q297" s="8">
        <f ca="1">_xll.HLV5r3.Analytics.Miscellaneous.Zero2DF(_xll.HLV5r3.Analytics.Miscellaneous.LinearInterp(Peturbed_QZ,$K297,1,Q$1),ZeroCompFreq,'PDH Calc'!$K297/365)</f>
        <v>1</v>
      </c>
      <c r="R297" s="8">
        <f ca="1">_xll.HLV5r3.Analytics.Miscellaneous.Zero2DF(_xll.HLV5r3.Analytics.Miscellaneous.LinearInterp(Peturbed_QZ,$K297,1,R$1),ZeroCompFreq,'PDH Calc'!$K297/365)</f>
        <v>1</v>
      </c>
      <c r="S297" s="8">
        <f ca="1">_xll.HLV5r3.Analytics.Miscellaneous.Zero2DF(_xll.HLV5r3.Analytics.Miscellaneous.LinearInterp(Peturbed_QZ,$K297,1,S$1),ZeroCompFreq,'PDH Calc'!$K297/365)</f>
        <v>1</v>
      </c>
      <c r="T297" s="8">
        <f ca="1">_xll.HLV5r3.Analytics.Miscellaneous.Zero2DF(_xll.HLV5r3.Analytics.Miscellaneous.LinearInterp(Peturbed_QZ,$K297,1,T$1),ZeroCompFreq,'PDH Calc'!$K297/365)</f>
        <v>1</v>
      </c>
      <c r="U297" s="8">
        <f ca="1">_xll.HLV5r3.Analytics.Miscellaneous.Zero2DF(_xll.HLV5r3.Analytics.Miscellaneous.LinearInterp(Peturbed_QZ,$K297,1,U$1),ZeroCompFreq,'PDH Calc'!$K297/365)</f>
        <v>1</v>
      </c>
      <c r="V297" s="8">
        <f ca="1">_xll.HLV5r3.Analytics.Miscellaneous.Zero2DF(_xll.HLV5r3.Analytics.Miscellaneous.LinearInterp(Peturbed_QZ,$K297,1,V$1),ZeroCompFreq,'PDH Calc'!$K297/365)</f>
        <v>1</v>
      </c>
      <c r="W297" s="8">
        <f ca="1">_xll.HLV5r3.Analytics.Miscellaneous.Zero2DF(_xll.HLV5r3.Analytics.Miscellaneous.LinearInterp(Peturbed_QZ,$K297,1,W$1),ZeroCompFreq,'PDH Calc'!$K297/365)</f>
        <v>1</v>
      </c>
      <c r="X297" s="8">
        <f ca="1">_xll.HLV5r3.Analytics.Miscellaneous.Zero2DF(_xll.HLV5r3.Analytics.Miscellaneous.LinearInterp(Peturbed_QZ,$K297,1,X$1),ZeroCompFreq,'PDH Calc'!$K297/365)</f>
        <v>1</v>
      </c>
      <c r="Y297" s="8">
        <f ca="1">_xll.HLV5r3.Analytics.Miscellaneous.Zero2DF(_xll.HLV5r3.Analytics.Miscellaneous.LinearInterp(Peturbed_QZ,$K297,1,Y$1),ZeroCompFreq,'PDH Calc'!$K297/365)</f>
        <v>1</v>
      </c>
      <c r="Z297" s="8">
        <f ca="1">_xll.HLV5r3.Analytics.Miscellaneous.Zero2DF(_xll.HLV5r3.Analytics.Miscellaneous.LinearInterp(Peturbed_QZ,$K297,1,Z$1),ZeroCompFreq,'PDH Calc'!$K297/365)</f>
        <v>1</v>
      </c>
      <c r="AA297" s="8">
        <f ca="1">_xll.HLV5r3.Analytics.Miscellaneous.Zero2DF(_xll.HLV5r3.Analytics.Miscellaneous.LinearInterp(Peturbed_QZ,$K297,1,AA$1),ZeroCompFreq,'PDH Calc'!$K297/365)</f>
        <v>1</v>
      </c>
      <c r="AB297" s="8">
        <f ca="1">_xll.HLV5r3.Analytics.Miscellaneous.Zero2DF(_xll.HLV5r3.Analytics.Miscellaneous.LinearInterp(Peturbed_QZ,$K297,1,AB$1),ZeroCompFreq,'PDH Calc'!$K297/365)</f>
        <v>1</v>
      </c>
      <c r="AC297" s="8">
        <f ca="1">_xll.HLV5r3.Analytics.Miscellaneous.Zero2DF(_xll.HLV5r3.Analytics.Miscellaneous.LinearInterp(Peturbed_QZ,$K297,1,AC$1),ZeroCompFreq,'PDH Calc'!$K297/365)</f>
        <v>1</v>
      </c>
      <c r="AD297" s="8">
        <f ca="1">_xll.HLV5r3.Analytics.Miscellaneous.Zero2DF(_xll.HLV5r3.Analytics.Miscellaneous.LinearInterp(Peturbed_QZ,$K297,1,AD$1),ZeroCompFreq,'PDH Calc'!$K297/365)</f>
        <v>1</v>
      </c>
      <c r="AE297" s="8">
        <f ca="1">_xll.HLV5r3.Analytics.Miscellaneous.Zero2DF(_xll.HLV5r3.Analytics.Miscellaneous.LinearInterp(Peturbed_QZ,$K297,1,AE$1),ZeroCompFreq,'PDH Calc'!$K297/365)</f>
        <v>1</v>
      </c>
      <c r="AF297" s="8">
        <f ca="1">_xll.HLV5r3.Analytics.Miscellaneous.Zero2DF(_xll.HLV5r3.Analytics.Miscellaneous.LinearInterp(Peturbed_QZ,$K297,1,AF$1),ZeroCompFreq,'PDH Calc'!$K297/365)</f>
        <v>1</v>
      </c>
      <c r="AG297" s="8">
        <f ca="1">_xll.HLV5r3.Analytics.Miscellaneous.Zero2DF(_xll.HLV5r3.Analytics.Miscellaneous.LinearInterp(Peturbed_QZ,$K297,1,AG$1),ZeroCompFreq,'PDH Calc'!$K297/365)</f>
        <v>1</v>
      </c>
      <c r="AH297" s="8">
        <f ca="1">_xll.HLV5r3.Analytics.Miscellaneous.Zero2DF(_xll.HLV5r3.Analytics.Miscellaneous.LinearInterp(Peturbed_QZ,$K297,1,AH$1),ZeroCompFreq,'PDH Calc'!$K297/365)</f>
        <v>1</v>
      </c>
      <c r="AI297" s="8">
        <f ca="1">_xll.HLV5r3.Analytics.Miscellaneous.Zero2DF(_xll.HLV5r3.Analytics.Miscellaneous.LinearInterp(Peturbed_QZ,$K297,1,AI$1),ZeroCompFreq,'PDH Calc'!$K297/365)</f>
        <v>1</v>
      </c>
      <c r="AJ297" s="8">
        <f ca="1">_xll.HLV5r3.Analytics.Miscellaneous.Zero2DF(_xll.HLV5r3.Analytics.Miscellaneous.LinearInterp(Peturbed_QZ,$K297,1,AJ$1),ZeroCompFreq,'PDH Calc'!$K297/365)</f>
        <v>1</v>
      </c>
      <c r="AK297" s="8">
        <f ca="1">_xll.HLV5r3.Analytics.Miscellaneous.Zero2DF(_xll.HLV5r3.Analytics.Miscellaneous.LinearInterp(Peturbed_QZ,$K297,1,AK$1),ZeroCompFreq,'PDH Calc'!$K297/365)</f>
        <v>1</v>
      </c>
    </row>
    <row r="298" spans="1:37">
      <c r="A298" s="4"/>
      <c r="B298" s="6"/>
      <c r="F298" s="11"/>
      <c r="G298" s="6"/>
      <c r="H298" s="20"/>
      <c r="I298" s="21"/>
      <c r="J298" s="26"/>
      <c r="K298" s="6">
        <f t="shared" ca="1" si="11"/>
        <v>0</v>
      </c>
      <c r="L298" s="8">
        <f ca="1">_xll.HLV5r3.Analytics.Miscellaneous.Zero2DF(_xll.HLV5r3.Analytics.Miscellaneous.LinearInterp(Peturbed_QZ,$K298,1,L$1),ZeroCompFreq,'PDH Calc'!$K298/365)</f>
        <v>1</v>
      </c>
      <c r="M298" s="8">
        <f ca="1">_xll.HLV5r3.Analytics.Miscellaneous.Zero2DF(_xll.HLV5r3.Analytics.Miscellaneous.LinearInterp(Peturbed_QZ,$K298,1,M$1),ZeroCompFreq,'PDH Calc'!$K298/365)</f>
        <v>1</v>
      </c>
      <c r="N298" s="8">
        <f ca="1">_xll.HLV5r3.Analytics.Miscellaneous.Zero2DF(_xll.HLV5r3.Analytics.Miscellaneous.LinearInterp(Peturbed_QZ,$K298,1,N$1),ZeroCompFreq,'PDH Calc'!$K298/365)</f>
        <v>1</v>
      </c>
      <c r="O298" s="8">
        <f ca="1">_xll.HLV5r3.Analytics.Miscellaneous.Zero2DF(_xll.HLV5r3.Analytics.Miscellaneous.LinearInterp(Peturbed_QZ,$K298,1,O$1),ZeroCompFreq,'PDH Calc'!$K298/365)</f>
        <v>1</v>
      </c>
      <c r="P298" s="8">
        <f ca="1">_xll.HLV5r3.Analytics.Miscellaneous.Zero2DF(_xll.HLV5r3.Analytics.Miscellaneous.LinearInterp(Peturbed_QZ,$K298,1,P$1),ZeroCompFreq,'PDH Calc'!$K298/365)</f>
        <v>1</v>
      </c>
      <c r="Q298" s="8">
        <f ca="1">_xll.HLV5r3.Analytics.Miscellaneous.Zero2DF(_xll.HLV5r3.Analytics.Miscellaneous.LinearInterp(Peturbed_QZ,$K298,1,Q$1),ZeroCompFreq,'PDH Calc'!$K298/365)</f>
        <v>1</v>
      </c>
      <c r="R298" s="8">
        <f ca="1">_xll.HLV5r3.Analytics.Miscellaneous.Zero2DF(_xll.HLV5r3.Analytics.Miscellaneous.LinearInterp(Peturbed_QZ,$K298,1,R$1),ZeroCompFreq,'PDH Calc'!$K298/365)</f>
        <v>1</v>
      </c>
      <c r="S298" s="8">
        <f ca="1">_xll.HLV5r3.Analytics.Miscellaneous.Zero2DF(_xll.HLV5r3.Analytics.Miscellaneous.LinearInterp(Peturbed_QZ,$K298,1,S$1),ZeroCompFreq,'PDH Calc'!$K298/365)</f>
        <v>1</v>
      </c>
      <c r="T298" s="8">
        <f ca="1">_xll.HLV5r3.Analytics.Miscellaneous.Zero2DF(_xll.HLV5r3.Analytics.Miscellaneous.LinearInterp(Peturbed_QZ,$K298,1,T$1),ZeroCompFreq,'PDH Calc'!$K298/365)</f>
        <v>1</v>
      </c>
      <c r="U298" s="8">
        <f ca="1">_xll.HLV5r3.Analytics.Miscellaneous.Zero2DF(_xll.HLV5r3.Analytics.Miscellaneous.LinearInterp(Peturbed_QZ,$K298,1,U$1),ZeroCompFreq,'PDH Calc'!$K298/365)</f>
        <v>1</v>
      </c>
      <c r="V298" s="8">
        <f ca="1">_xll.HLV5r3.Analytics.Miscellaneous.Zero2DF(_xll.HLV5r3.Analytics.Miscellaneous.LinearInterp(Peturbed_QZ,$K298,1,V$1),ZeroCompFreq,'PDH Calc'!$K298/365)</f>
        <v>1</v>
      </c>
      <c r="W298" s="8">
        <f ca="1">_xll.HLV5r3.Analytics.Miscellaneous.Zero2DF(_xll.HLV5r3.Analytics.Miscellaneous.LinearInterp(Peturbed_QZ,$K298,1,W$1),ZeroCompFreq,'PDH Calc'!$K298/365)</f>
        <v>1</v>
      </c>
      <c r="X298" s="8">
        <f ca="1">_xll.HLV5r3.Analytics.Miscellaneous.Zero2DF(_xll.HLV5r3.Analytics.Miscellaneous.LinearInterp(Peturbed_QZ,$K298,1,X$1),ZeroCompFreq,'PDH Calc'!$K298/365)</f>
        <v>1</v>
      </c>
      <c r="Y298" s="8">
        <f ca="1">_xll.HLV5r3.Analytics.Miscellaneous.Zero2DF(_xll.HLV5r3.Analytics.Miscellaneous.LinearInterp(Peturbed_QZ,$K298,1,Y$1),ZeroCompFreq,'PDH Calc'!$K298/365)</f>
        <v>1</v>
      </c>
      <c r="Z298" s="8">
        <f ca="1">_xll.HLV5r3.Analytics.Miscellaneous.Zero2DF(_xll.HLV5r3.Analytics.Miscellaneous.LinearInterp(Peturbed_QZ,$K298,1,Z$1),ZeroCompFreq,'PDH Calc'!$K298/365)</f>
        <v>1</v>
      </c>
      <c r="AA298" s="8">
        <f ca="1">_xll.HLV5r3.Analytics.Miscellaneous.Zero2DF(_xll.HLV5r3.Analytics.Miscellaneous.LinearInterp(Peturbed_QZ,$K298,1,AA$1),ZeroCompFreq,'PDH Calc'!$K298/365)</f>
        <v>1</v>
      </c>
      <c r="AB298" s="8">
        <f ca="1">_xll.HLV5r3.Analytics.Miscellaneous.Zero2DF(_xll.HLV5r3.Analytics.Miscellaneous.LinearInterp(Peturbed_QZ,$K298,1,AB$1),ZeroCompFreq,'PDH Calc'!$K298/365)</f>
        <v>1</v>
      </c>
      <c r="AC298" s="8">
        <f ca="1">_xll.HLV5r3.Analytics.Miscellaneous.Zero2DF(_xll.HLV5r3.Analytics.Miscellaneous.LinearInterp(Peturbed_QZ,$K298,1,AC$1),ZeroCompFreq,'PDH Calc'!$K298/365)</f>
        <v>1</v>
      </c>
      <c r="AD298" s="8">
        <f ca="1">_xll.HLV5r3.Analytics.Miscellaneous.Zero2DF(_xll.HLV5r3.Analytics.Miscellaneous.LinearInterp(Peturbed_QZ,$K298,1,AD$1),ZeroCompFreq,'PDH Calc'!$K298/365)</f>
        <v>1</v>
      </c>
      <c r="AE298" s="8">
        <f ca="1">_xll.HLV5r3.Analytics.Miscellaneous.Zero2DF(_xll.HLV5r3.Analytics.Miscellaneous.LinearInterp(Peturbed_QZ,$K298,1,AE$1),ZeroCompFreq,'PDH Calc'!$K298/365)</f>
        <v>1</v>
      </c>
      <c r="AF298" s="8">
        <f ca="1">_xll.HLV5r3.Analytics.Miscellaneous.Zero2DF(_xll.HLV5r3.Analytics.Miscellaneous.LinearInterp(Peturbed_QZ,$K298,1,AF$1),ZeroCompFreq,'PDH Calc'!$K298/365)</f>
        <v>1</v>
      </c>
      <c r="AG298" s="8">
        <f ca="1">_xll.HLV5r3.Analytics.Miscellaneous.Zero2DF(_xll.HLV5r3.Analytics.Miscellaneous.LinearInterp(Peturbed_QZ,$K298,1,AG$1),ZeroCompFreq,'PDH Calc'!$K298/365)</f>
        <v>1</v>
      </c>
      <c r="AH298" s="8">
        <f ca="1">_xll.HLV5r3.Analytics.Miscellaneous.Zero2DF(_xll.HLV5r3.Analytics.Miscellaneous.LinearInterp(Peturbed_QZ,$K298,1,AH$1),ZeroCompFreq,'PDH Calc'!$K298/365)</f>
        <v>1</v>
      </c>
      <c r="AI298" s="8">
        <f ca="1">_xll.HLV5r3.Analytics.Miscellaneous.Zero2DF(_xll.HLV5r3.Analytics.Miscellaneous.LinearInterp(Peturbed_QZ,$K298,1,AI$1),ZeroCompFreq,'PDH Calc'!$K298/365)</f>
        <v>1</v>
      </c>
      <c r="AJ298" s="8">
        <f ca="1">_xll.HLV5r3.Analytics.Miscellaneous.Zero2DF(_xll.HLV5r3.Analytics.Miscellaneous.LinearInterp(Peturbed_QZ,$K298,1,AJ$1),ZeroCompFreq,'PDH Calc'!$K298/365)</f>
        <v>1</v>
      </c>
      <c r="AK298" s="8">
        <f ca="1">_xll.HLV5r3.Analytics.Miscellaneous.Zero2DF(_xll.HLV5r3.Analytics.Miscellaneous.LinearInterp(Peturbed_QZ,$K298,1,AK$1),ZeroCompFreq,'PDH Calc'!$K298/365)</f>
        <v>1</v>
      </c>
    </row>
    <row r="299" spans="1:37">
      <c r="A299" s="4"/>
      <c r="B299" s="6"/>
      <c r="F299" s="11"/>
      <c r="G299" s="6"/>
      <c r="H299" s="20"/>
      <c r="I299" s="21"/>
      <c r="J299" s="26"/>
      <c r="K299" s="6">
        <f t="shared" ca="1" si="11"/>
        <v>0</v>
      </c>
      <c r="L299" s="8">
        <f ca="1">_xll.HLV5r3.Analytics.Miscellaneous.Zero2DF(_xll.HLV5r3.Analytics.Miscellaneous.LinearInterp(Peturbed_QZ,$K299,1,L$1),ZeroCompFreq,'PDH Calc'!$K299/365)</f>
        <v>1</v>
      </c>
      <c r="M299" s="8">
        <f ca="1">_xll.HLV5r3.Analytics.Miscellaneous.Zero2DF(_xll.HLV5r3.Analytics.Miscellaneous.LinearInterp(Peturbed_QZ,$K299,1,M$1),ZeroCompFreq,'PDH Calc'!$K299/365)</f>
        <v>1</v>
      </c>
      <c r="N299" s="8">
        <f ca="1">_xll.HLV5r3.Analytics.Miscellaneous.Zero2DF(_xll.HLV5r3.Analytics.Miscellaneous.LinearInterp(Peturbed_QZ,$K299,1,N$1),ZeroCompFreq,'PDH Calc'!$K299/365)</f>
        <v>1</v>
      </c>
      <c r="O299" s="8">
        <f ca="1">_xll.HLV5r3.Analytics.Miscellaneous.Zero2DF(_xll.HLV5r3.Analytics.Miscellaneous.LinearInterp(Peturbed_QZ,$K299,1,O$1),ZeroCompFreq,'PDH Calc'!$K299/365)</f>
        <v>1</v>
      </c>
      <c r="P299" s="8">
        <f ca="1">_xll.HLV5r3.Analytics.Miscellaneous.Zero2DF(_xll.HLV5r3.Analytics.Miscellaneous.LinearInterp(Peturbed_QZ,$K299,1,P$1),ZeroCompFreq,'PDH Calc'!$K299/365)</f>
        <v>1</v>
      </c>
      <c r="Q299" s="8">
        <f ca="1">_xll.HLV5r3.Analytics.Miscellaneous.Zero2DF(_xll.HLV5r3.Analytics.Miscellaneous.LinearInterp(Peturbed_QZ,$K299,1,Q$1),ZeroCompFreq,'PDH Calc'!$K299/365)</f>
        <v>1</v>
      </c>
      <c r="R299" s="8">
        <f ca="1">_xll.HLV5r3.Analytics.Miscellaneous.Zero2DF(_xll.HLV5r3.Analytics.Miscellaneous.LinearInterp(Peturbed_QZ,$K299,1,R$1),ZeroCompFreq,'PDH Calc'!$K299/365)</f>
        <v>1</v>
      </c>
      <c r="S299" s="8">
        <f ca="1">_xll.HLV5r3.Analytics.Miscellaneous.Zero2DF(_xll.HLV5r3.Analytics.Miscellaneous.LinearInterp(Peturbed_QZ,$K299,1,S$1),ZeroCompFreq,'PDH Calc'!$K299/365)</f>
        <v>1</v>
      </c>
      <c r="T299" s="8">
        <f ca="1">_xll.HLV5r3.Analytics.Miscellaneous.Zero2DF(_xll.HLV5r3.Analytics.Miscellaneous.LinearInterp(Peturbed_QZ,$K299,1,T$1),ZeroCompFreq,'PDH Calc'!$K299/365)</f>
        <v>1</v>
      </c>
      <c r="U299" s="8">
        <f ca="1">_xll.HLV5r3.Analytics.Miscellaneous.Zero2DF(_xll.HLV5r3.Analytics.Miscellaneous.LinearInterp(Peturbed_QZ,$K299,1,U$1),ZeroCompFreq,'PDH Calc'!$K299/365)</f>
        <v>1</v>
      </c>
      <c r="V299" s="8">
        <f ca="1">_xll.HLV5r3.Analytics.Miscellaneous.Zero2DF(_xll.HLV5r3.Analytics.Miscellaneous.LinearInterp(Peturbed_QZ,$K299,1,V$1),ZeroCompFreq,'PDH Calc'!$K299/365)</f>
        <v>1</v>
      </c>
      <c r="W299" s="8">
        <f ca="1">_xll.HLV5r3.Analytics.Miscellaneous.Zero2DF(_xll.HLV5r3.Analytics.Miscellaneous.LinearInterp(Peturbed_QZ,$K299,1,W$1),ZeroCompFreq,'PDH Calc'!$K299/365)</f>
        <v>1</v>
      </c>
      <c r="X299" s="8">
        <f ca="1">_xll.HLV5r3.Analytics.Miscellaneous.Zero2DF(_xll.HLV5r3.Analytics.Miscellaneous.LinearInterp(Peturbed_QZ,$K299,1,X$1),ZeroCompFreq,'PDH Calc'!$K299/365)</f>
        <v>1</v>
      </c>
      <c r="Y299" s="8">
        <f ca="1">_xll.HLV5r3.Analytics.Miscellaneous.Zero2DF(_xll.HLV5r3.Analytics.Miscellaneous.LinearInterp(Peturbed_QZ,$K299,1,Y$1),ZeroCompFreq,'PDH Calc'!$K299/365)</f>
        <v>1</v>
      </c>
      <c r="Z299" s="8">
        <f ca="1">_xll.HLV5r3.Analytics.Miscellaneous.Zero2DF(_xll.HLV5r3.Analytics.Miscellaneous.LinearInterp(Peturbed_QZ,$K299,1,Z$1),ZeroCompFreq,'PDH Calc'!$K299/365)</f>
        <v>1</v>
      </c>
      <c r="AA299" s="8">
        <f ca="1">_xll.HLV5r3.Analytics.Miscellaneous.Zero2DF(_xll.HLV5r3.Analytics.Miscellaneous.LinearInterp(Peturbed_QZ,$K299,1,AA$1),ZeroCompFreq,'PDH Calc'!$K299/365)</f>
        <v>1</v>
      </c>
      <c r="AB299" s="8">
        <f ca="1">_xll.HLV5r3.Analytics.Miscellaneous.Zero2DF(_xll.HLV5r3.Analytics.Miscellaneous.LinearInterp(Peturbed_QZ,$K299,1,AB$1),ZeroCompFreq,'PDH Calc'!$K299/365)</f>
        <v>1</v>
      </c>
      <c r="AC299" s="8">
        <f ca="1">_xll.HLV5r3.Analytics.Miscellaneous.Zero2DF(_xll.HLV5r3.Analytics.Miscellaneous.LinearInterp(Peturbed_QZ,$K299,1,AC$1),ZeroCompFreq,'PDH Calc'!$K299/365)</f>
        <v>1</v>
      </c>
      <c r="AD299" s="8">
        <f ca="1">_xll.HLV5r3.Analytics.Miscellaneous.Zero2DF(_xll.HLV5r3.Analytics.Miscellaneous.LinearInterp(Peturbed_QZ,$K299,1,AD$1),ZeroCompFreq,'PDH Calc'!$K299/365)</f>
        <v>1</v>
      </c>
      <c r="AE299" s="8">
        <f ca="1">_xll.HLV5r3.Analytics.Miscellaneous.Zero2DF(_xll.HLV5r3.Analytics.Miscellaneous.LinearInterp(Peturbed_QZ,$K299,1,AE$1),ZeroCompFreq,'PDH Calc'!$K299/365)</f>
        <v>1</v>
      </c>
      <c r="AF299" s="8">
        <f ca="1">_xll.HLV5r3.Analytics.Miscellaneous.Zero2DF(_xll.HLV5r3.Analytics.Miscellaneous.LinearInterp(Peturbed_QZ,$K299,1,AF$1),ZeroCompFreq,'PDH Calc'!$K299/365)</f>
        <v>1</v>
      </c>
      <c r="AG299" s="8">
        <f ca="1">_xll.HLV5r3.Analytics.Miscellaneous.Zero2DF(_xll.HLV5r3.Analytics.Miscellaneous.LinearInterp(Peturbed_QZ,$K299,1,AG$1),ZeroCompFreq,'PDH Calc'!$K299/365)</f>
        <v>1</v>
      </c>
      <c r="AH299" s="8">
        <f ca="1">_xll.HLV5r3.Analytics.Miscellaneous.Zero2DF(_xll.HLV5r3.Analytics.Miscellaneous.LinearInterp(Peturbed_QZ,$K299,1,AH$1),ZeroCompFreq,'PDH Calc'!$K299/365)</f>
        <v>1</v>
      </c>
      <c r="AI299" s="8">
        <f ca="1">_xll.HLV5r3.Analytics.Miscellaneous.Zero2DF(_xll.HLV5r3.Analytics.Miscellaneous.LinearInterp(Peturbed_QZ,$K299,1,AI$1),ZeroCompFreq,'PDH Calc'!$K299/365)</f>
        <v>1</v>
      </c>
      <c r="AJ299" s="8">
        <f ca="1">_xll.HLV5r3.Analytics.Miscellaneous.Zero2DF(_xll.HLV5r3.Analytics.Miscellaneous.LinearInterp(Peturbed_QZ,$K299,1,AJ$1),ZeroCompFreq,'PDH Calc'!$K299/365)</f>
        <v>1</v>
      </c>
      <c r="AK299" s="8">
        <f ca="1">_xll.HLV5r3.Analytics.Miscellaneous.Zero2DF(_xll.HLV5r3.Analytics.Miscellaneous.LinearInterp(Peturbed_QZ,$K299,1,AK$1),ZeroCompFreq,'PDH Calc'!$K299/365)</f>
        <v>1</v>
      </c>
    </row>
    <row r="300" spans="1:37">
      <c r="A300" s="4"/>
      <c r="B300" s="6"/>
      <c r="F300" s="11"/>
      <c r="G300" s="6"/>
      <c r="H300" s="20"/>
      <c r="I300" s="21"/>
      <c r="J300" s="26"/>
      <c r="K300" s="6">
        <f t="shared" ca="1" si="11"/>
        <v>0</v>
      </c>
      <c r="L300" s="8">
        <f ca="1">_xll.HLV5r3.Analytics.Miscellaneous.Zero2DF(_xll.HLV5r3.Analytics.Miscellaneous.LinearInterp(Peturbed_QZ,$K300,1,L$1),ZeroCompFreq,'PDH Calc'!$K300/365)</f>
        <v>1</v>
      </c>
      <c r="M300" s="8">
        <f ca="1">_xll.HLV5r3.Analytics.Miscellaneous.Zero2DF(_xll.HLV5r3.Analytics.Miscellaneous.LinearInterp(Peturbed_QZ,$K300,1,M$1),ZeroCompFreq,'PDH Calc'!$K300/365)</f>
        <v>1</v>
      </c>
      <c r="N300" s="8">
        <f ca="1">_xll.HLV5r3.Analytics.Miscellaneous.Zero2DF(_xll.HLV5r3.Analytics.Miscellaneous.LinearInterp(Peturbed_QZ,$K300,1,N$1),ZeroCompFreq,'PDH Calc'!$K300/365)</f>
        <v>1</v>
      </c>
      <c r="O300" s="8">
        <f ca="1">_xll.HLV5r3.Analytics.Miscellaneous.Zero2DF(_xll.HLV5r3.Analytics.Miscellaneous.LinearInterp(Peturbed_QZ,$K300,1,O$1),ZeroCompFreq,'PDH Calc'!$K300/365)</f>
        <v>1</v>
      </c>
      <c r="P300" s="8">
        <f ca="1">_xll.HLV5r3.Analytics.Miscellaneous.Zero2DF(_xll.HLV5r3.Analytics.Miscellaneous.LinearInterp(Peturbed_QZ,$K300,1,P$1),ZeroCompFreq,'PDH Calc'!$K300/365)</f>
        <v>1</v>
      </c>
      <c r="Q300" s="8">
        <f ca="1">_xll.HLV5r3.Analytics.Miscellaneous.Zero2DF(_xll.HLV5r3.Analytics.Miscellaneous.LinearInterp(Peturbed_QZ,$K300,1,Q$1),ZeroCompFreq,'PDH Calc'!$K300/365)</f>
        <v>1</v>
      </c>
      <c r="R300" s="8">
        <f ca="1">_xll.HLV5r3.Analytics.Miscellaneous.Zero2DF(_xll.HLV5r3.Analytics.Miscellaneous.LinearInterp(Peturbed_QZ,$K300,1,R$1),ZeroCompFreq,'PDH Calc'!$K300/365)</f>
        <v>1</v>
      </c>
      <c r="S300" s="8">
        <f ca="1">_xll.HLV5r3.Analytics.Miscellaneous.Zero2DF(_xll.HLV5r3.Analytics.Miscellaneous.LinearInterp(Peturbed_QZ,$K300,1,S$1),ZeroCompFreq,'PDH Calc'!$K300/365)</f>
        <v>1</v>
      </c>
      <c r="T300" s="8">
        <f ca="1">_xll.HLV5r3.Analytics.Miscellaneous.Zero2DF(_xll.HLV5r3.Analytics.Miscellaneous.LinearInterp(Peturbed_QZ,$K300,1,T$1),ZeroCompFreq,'PDH Calc'!$K300/365)</f>
        <v>1</v>
      </c>
      <c r="U300" s="8">
        <f ca="1">_xll.HLV5r3.Analytics.Miscellaneous.Zero2DF(_xll.HLV5r3.Analytics.Miscellaneous.LinearInterp(Peturbed_QZ,$K300,1,U$1),ZeroCompFreq,'PDH Calc'!$K300/365)</f>
        <v>1</v>
      </c>
      <c r="V300" s="8">
        <f ca="1">_xll.HLV5r3.Analytics.Miscellaneous.Zero2DF(_xll.HLV5r3.Analytics.Miscellaneous.LinearInterp(Peturbed_QZ,$K300,1,V$1),ZeroCompFreq,'PDH Calc'!$K300/365)</f>
        <v>1</v>
      </c>
      <c r="W300" s="8">
        <f ca="1">_xll.HLV5r3.Analytics.Miscellaneous.Zero2DF(_xll.HLV5r3.Analytics.Miscellaneous.LinearInterp(Peturbed_QZ,$K300,1,W$1),ZeroCompFreq,'PDH Calc'!$K300/365)</f>
        <v>1</v>
      </c>
      <c r="X300" s="8">
        <f ca="1">_xll.HLV5r3.Analytics.Miscellaneous.Zero2DF(_xll.HLV5r3.Analytics.Miscellaneous.LinearInterp(Peturbed_QZ,$K300,1,X$1),ZeroCompFreq,'PDH Calc'!$K300/365)</f>
        <v>1</v>
      </c>
      <c r="Y300" s="8">
        <f ca="1">_xll.HLV5r3.Analytics.Miscellaneous.Zero2DF(_xll.HLV5r3.Analytics.Miscellaneous.LinearInterp(Peturbed_QZ,$K300,1,Y$1),ZeroCompFreq,'PDH Calc'!$K300/365)</f>
        <v>1</v>
      </c>
      <c r="Z300" s="8">
        <f ca="1">_xll.HLV5r3.Analytics.Miscellaneous.Zero2DF(_xll.HLV5r3.Analytics.Miscellaneous.LinearInterp(Peturbed_QZ,$K300,1,Z$1),ZeroCompFreq,'PDH Calc'!$K300/365)</f>
        <v>1</v>
      </c>
      <c r="AA300" s="8">
        <f ca="1">_xll.HLV5r3.Analytics.Miscellaneous.Zero2DF(_xll.HLV5r3.Analytics.Miscellaneous.LinearInterp(Peturbed_QZ,$K300,1,AA$1),ZeroCompFreq,'PDH Calc'!$K300/365)</f>
        <v>1</v>
      </c>
      <c r="AB300" s="8">
        <f ca="1">_xll.HLV5r3.Analytics.Miscellaneous.Zero2DF(_xll.HLV5r3.Analytics.Miscellaneous.LinearInterp(Peturbed_QZ,$K300,1,AB$1),ZeroCompFreq,'PDH Calc'!$K300/365)</f>
        <v>1</v>
      </c>
      <c r="AC300" s="8">
        <f ca="1">_xll.HLV5r3.Analytics.Miscellaneous.Zero2DF(_xll.HLV5r3.Analytics.Miscellaneous.LinearInterp(Peturbed_QZ,$K300,1,AC$1),ZeroCompFreq,'PDH Calc'!$K300/365)</f>
        <v>1</v>
      </c>
      <c r="AD300" s="8">
        <f ca="1">_xll.HLV5r3.Analytics.Miscellaneous.Zero2DF(_xll.HLV5r3.Analytics.Miscellaneous.LinearInterp(Peturbed_QZ,$K300,1,AD$1),ZeroCompFreq,'PDH Calc'!$K300/365)</f>
        <v>1</v>
      </c>
      <c r="AE300" s="8">
        <f ca="1">_xll.HLV5r3.Analytics.Miscellaneous.Zero2DF(_xll.HLV5r3.Analytics.Miscellaneous.LinearInterp(Peturbed_QZ,$K300,1,AE$1),ZeroCompFreq,'PDH Calc'!$K300/365)</f>
        <v>1</v>
      </c>
      <c r="AF300" s="8">
        <f ca="1">_xll.HLV5r3.Analytics.Miscellaneous.Zero2DF(_xll.HLV5r3.Analytics.Miscellaneous.LinearInterp(Peturbed_QZ,$K300,1,AF$1),ZeroCompFreq,'PDH Calc'!$K300/365)</f>
        <v>1</v>
      </c>
      <c r="AG300" s="8">
        <f ca="1">_xll.HLV5r3.Analytics.Miscellaneous.Zero2DF(_xll.HLV5r3.Analytics.Miscellaneous.LinearInterp(Peturbed_QZ,$K300,1,AG$1),ZeroCompFreq,'PDH Calc'!$K300/365)</f>
        <v>1</v>
      </c>
      <c r="AH300" s="8">
        <f ca="1">_xll.HLV5r3.Analytics.Miscellaneous.Zero2DF(_xll.HLV5r3.Analytics.Miscellaneous.LinearInterp(Peturbed_QZ,$K300,1,AH$1),ZeroCompFreq,'PDH Calc'!$K300/365)</f>
        <v>1</v>
      </c>
      <c r="AI300" s="8">
        <f ca="1">_xll.HLV5r3.Analytics.Miscellaneous.Zero2DF(_xll.HLV5r3.Analytics.Miscellaneous.LinearInterp(Peturbed_QZ,$K300,1,AI$1),ZeroCompFreq,'PDH Calc'!$K300/365)</f>
        <v>1</v>
      </c>
      <c r="AJ300" s="8">
        <f ca="1">_xll.HLV5r3.Analytics.Miscellaneous.Zero2DF(_xll.HLV5r3.Analytics.Miscellaneous.LinearInterp(Peturbed_QZ,$K300,1,AJ$1),ZeroCompFreq,'PDH Calc'!$K300/365)</f>
        <v>1</v>
      </c>
      <c r="AK300" s="8">
        <f ca="1">_xll.HLV5r3.Analytics.Miscellaneous.Zero2DF(_xll.HLV5r3.Analytics.Miscellaneous.LinearInterp(Peturbed_QZ,$K300,1,AK$1),ZeroCompFreq,'PDH Calc'!$K300/365)</f>
        <v>1</v>
      </c>
    </row>
    <row r="301" spans="1:37">
      <c r="A301" s="4"/>
      <c r="B301" s="6"/>
      <c r="F301" s="11"/>
      <c r="G301" s="6"/>
      <c r="H301" s="20"/>
      <c r="I301" s="21"/>
      <c r="J301" s="26"/>
      <c r="K301" s="6">
        <f t="shared" ca="1" si="11"/>
        <v>0</v>
      </c>
      <c r="L301" s="8">
        <f ca="1">_xll.HLV5r3.Analytics.Miscellaneous.Zero2DF(_xll.HLV5r3.Analytics.Miscellaneous.LinearInterp(Peturbed_QZ,$K301,1,L$1),ZeroCompFreq,'PDH Calc'!$K301/365)</f>
        <v>1</v>
      </c>
      <c r="M301" s="8">
        <f ca="1">_xll.HLV5r3.Analytics.Miscellaneous.Zero2DF(_xll.HLV5r3.Analytics.Miscellaneous.LinearInterp(Peturbed_QZ,$K301,1,M$1),ZeroCompFreq,'PDH Calc'!$K301/365)</f>
        <v>1</v>
      </c>
      <c r="N301" s="8">
        <f ca="1">_xll.HLV5r3.Analytics.Miscellaneous.Zero2DF(_xll.HLV5r3.Analytics.Miscellaneous.LinearInterp(Peturbed_QZ,$K301,1,N$1),ZeroCompFreq,'PDH Calc'!$K301/365)</f>
        <v>1</v>
      </c>
      <c r="O301" s="8">
        <f ca="1">_xll.HLV5r3.Analytics.Miscellaneous.Zero2DF(_xll.HLV5r3.Analytics.Miscellaneous.LinearInterp(Peturbed_QZ,$K301,1,O$1),ZeroCompFreq,'PDH Calc'!$K301/365)</f>
        <v>1</v>
      </c>
      <c r="P301" s="8">
        <f ca="1">_xll.HLV5r3.Analytics.Miscellaneous.Zero2DF(_xll.HLV5r3.Analytics.Miscellaneous.LinearInterp(Peturbed_QZ,$K301,1,P$1),ZeroCompFreq,'PDH Calc'!$K301/365)</f>
        <v>1</v>
      </c>
      <c r="Q301" s="8">
        <f ca="1">_xll.HLV5r3.Analytics.Miscellaneous.Zero2DF(_xll.HLV5r3.Analytics.Miscellaneous.LinearInterp(Peturbed_QZ,$K301,1,Q$1),ZeroCompFreq,'PDH Calc'!$K301/365)</f>
        <v>1</v>
      </c>
      <c r="R301" s="8">
        <f ca="1">_xll.HLV5r3.Analytics.Miscellaneous.Zero2DF(_xll.HLV5r3.Analytics.Miscellaneous.LinearInterp(Peturbed_QZ,$K301,1,R$1),ZeroCompFreq,'PDH Calc'!$K301/365)</f>
        <v>1</v>
      </c>
      <c r="S301" s="8">
        <f ca="1">_xll.HLV5r3.Analytics.Miscellaneous.Zero2DF(_xll.HLV5r3.Analytics.Miscellaneous.LinearInterp(Peturbed_QZ,$K301,1,S$1),ZeroCompFreq,'PDH Calc'!$K301/365)</f>
        <v>1</v>
      </c>
      <c r="T301" s="8">
        <f ca="1">_xll.HLV5r3.Analytics.Miscellaneous.Zero2DF(_xll.HLV5r3.Analytics.Miscellaneous.LinearInterp(Peturbed_QZ,$K301,1,T$1),ZeroCompFreq,'PDH Calc'!$K301/365)</f>
        <v>1</v>
      </c>
      <c r="U301" s="8">
        <f ca="1">_xll.HLV5r3.Analytics.Miscellaneous.Zero2DF(_xll.HLV5r3.Analytics.Miscellaneous.LinearInterp(Peturbed_QZ,$K301,1,U$1),ZeroCompFreq,'PDH Calc'!$K301/365)</f>
        <v>1</v>
      </c>
      <c r="V301" s="8">
        <f ca="1">_xll.HLV5r3.Analytics.Miscellaneous.Zero2DF(_xll.HLV5r3.Analytics.Miscellaneous.LinearInterp(Peturbed_QZ,$K301,1,V$1),ZeroCompFreq,'PDH Calc'!$K301/365)</f>
        <v>1</v>
      </c>
      <c r="W301" s="8">
        <f ca="1">_xll.HLV5r3.Analytics.Miscellaneous.Zero2DF(_xll.HLV5r3.Analytics.Miscellaneous.LinearInterp(Peturbed_QZ,$K301,1,W$1),ZeroCompFreq,'PDH Calc'!$K301/365)</f>
        <v>1</v>
      </c>
      <c r="X301" s="8">
        <f ca="1">_xll.HLV5r3.Analytics.Miscellaneous.Zero2DF(_xll.HLV5r3.Analytics.Miscellaneous.LinearInterp(Peturbed_QZ,$K301,1,X$1),ZeroCompFreq,'PDH Calc'!$K301/365)</f>
        <v>1</v>
      </c>
      <c r="Y301" s="8">
        <f ca="1">_xll.HLV5r3.Analytics.Miscellaneous.Zero2DF(_xll.HLV5r3.Analytics.Miscellaneous.LinearInterp(Peturbed_QZ,$K301,1,Y$1),ZeroCompFreq,'PDH Calc'!$K301/365)</f>
        <v>1</v>
      </c>
      <c r="Z301" s="8">
        <f ca="1">_xll.HLV5r3.Analytics.Miscellaneous.Zero2DF(_xll.HLV5r3.Analytics.Miscellaneous.LinearInterp(Peturbed_QZ,$K301,1,Z$1),ZeroCompFreq,'PDH Calc'!$K301/365)</f>
        <v>1</v>
      </c>
      <c r="AA301" s="8">
        <f ca="1">_xll.HLV5r3.Analytics.Miscellaneous.Zero2DF(_xll.HLV5r3.Analytics.Miscellaneous.LinearInterp(Peturbed_QZ,$K301,1,AA$1),ZeroCompFreq,'PDH Calc'!$K301/365)</f>
        <v>1</v>
      </c>
      <c r="AB301" s="8">
        <f ca="1">_xll.HLV5r3.Analytics.Miscellaneous.Zero2DF(_xll.HLV5r3.Analytics.Miscellaneous.LinearInterp(Peturbed_QZ,$K301,1,AB$1),ZeroCompFreq,'PDH Calc'!$K301/365)</f>
        <v>1</v>
      </c>
      <c r="AC301" s="8">
        <f ca="1">_xll.HLV5r3.Analytics.Miscellaneous.Zero2DF(_xll.HLV5r3.Analytics.Miscellaneous.LinearInterp(Peturbed_QZ,$K301,1,AC$1),ZeroCompFreq,'PDH Calc'!$K301/365)</f>
        <v>1</v>
      </c>
      <c r="AD301" s="8">
        <f ca="1">_xll.HLV5r3.Analytics.Miscellaneous.Zero2DF(_xll.HLV5r3.Analytics.Miscellaneous.LinearInterp(Peturbed_QZ,$K301,1,AD$1),ZeroCompFreq,'PDH Calc'!$K301/365)</f>
        <v>1</v>
      </c>
      <c r="AE301" s="8">
        <f ca="1">_xll.HLV5r3.Analytics.Miscellaneous.Zero2DF(_xll.HLV5r3.Analytics.Miscellaneous.LinearInterp(Peturbed_QZ,$K301,1,AE$1),ZeroCompFreq,'PDH Calc'!$K301/365)</f>
        <v>1</v>
      </c>
      <c r="AF301" s="8">
        <f ca="1">_xll.HLV5r3.Analytics.Miscellaneous.Zero2DF(_xll.HLV5r3.Analytics.Miscellaneous.LinearInterp(Peturbed_QZ,$K301,1,AF$1),ZeroCompFreq,'PDH Calc'!$K301/365)</f>
        <v>1</v>
      </c>
      <c r="AG301" s="8">
        <f ca="1">_xll.HLV5r3.Analytics.Miscellaneous.Zero2DF(_xll.HLV5r3.Analytics.Miscellaneous.LinearInterp(Peturbed_QZ,$K301,1,AG$1),ZeroCompFreq,'PDH Calc'!$K301/365)</f>
        <v>1</v>
      </c>
      <c r="AH301" s="8">
        <f ca="1">_xll.HLV5r3.Analytics.Miscellaneous.Zero2DF(_xll.HLV5r3.Analytics.Miscellaneous.LinearInterp(Peturbed_QZ,$K301,1,AH$1),ZeroCompFreq,'PDH Calc'!$K301/365)</f>
        <v>1</v>
      </c>
      <c r="AI301" s="8">
        <f ca="1">_xll.HLV5r3.Analytics.Miscellaneous.Zero2DF(_xll.HLV5r3.Analytics.Miscellaneous.LinearInterp(Peturbed_QZ,$K301,1,AI$1),ZeroCompFreq,'PDH Calc'!$K301/365)</f>
        <v>1</v>
      </c>
      <c r="AJ301" s="8">
        <f ca="1">_xll.HLV5r3.Analytics.Miscellaneous.Zero2DF(_xll.HLV5r3.Analytics.Miscellaneous.LinearInterp(Peturbed_QZ,$K301,1,AJ$1),ZeroCompFreq,'PDH Calc'!$K301/365)</f>
        <v>1</v>
      </c>
      <c r="AK301" s="8">
        <f ca="1">_xll.HLV5r3.Analytics.Miscellaneous.Zero2DF(_xll.HLV5r3.Analytics.Miscellaneous.LinearInterp(Peturbed_QZ,$K301,1,AK$1),ZeroCompFreq,'PDH Calc'!$K301/365)</f>
        <v>1</v>
      </c>
    </row>
    <row r="302" spans="1:37">
      <c r="A302" s="4"/>
      <c r="B302" s="6"/>
      <c r="F302" s="11"/>
      <c r="G302" s="6"/>
      <c r="H302" s="20"/>
      <c r="I302" s="21"/>
      <c r="J302" s="26"/>
      <c r="K302" s="6">
        <f t="shared" ca="1" si="11"/>
        <v>0</v>
      </c>
      <c r="L302" s="8">
        <f ca="1">_xll.HLV5r3.Analytics.Miscellaneous.Zero2DF(_xll.HLV5r3.Analytics.Miscellaneous.LinearInterp(Peturbed_QZ,$K302,1,L$1),ZeroCompFreq,'PDH Calc'!$K302/365)</f>
        <v>1</v>
      </c>
      <c r="M302" s="8">
        <f ca="1">_xll.HLV5r3.Analytics.Miscellaneous.Zero2DF(_xll.HLV5r3.Analytics.Miscellaneous.LinearInterp(Peturbed_QZ,$K302,1,M$1),ZeroCompFreq,'PDH Calc'!$K302/365)</f>
        <v>1</v>
      </c>
      <c r="N302" s="8">
        <f ca="1">_xll.HLV5r3.Analytics.Miscellaneous.Zero2DF(_xll.HLV5r3.Analytics.Miscellaneous.LinearInterp(Peturbed_QZ,$K302,1,N$1),ZeroCompFreq,'PDH Calc'!$K302/365)</f>
        <v>1</v>
      </c>
      <c r="O302" s="8">
        <f ca="1">_xll.HLV5r3.Analytics.Miscellaneous.Zero2DF(_xll.HLV5r3.Analytics.Miscellaneous.LinearInterp(Peturbed_QZ,$K302,1,O$1),ZeroCompFreq,'PDH Calc'!$K302/365)</f>
        <v>1</v>
      </c>
      <c r="P302" s="8">
        <f ca="1">_xll.HLV5r3.Analytics.Miscellaneous.Zero2DF(_xll.HLV5r3.Analytics.Miscellaneous.LinearInterp(Peturbed_QZ,$K302,1,P$1),ZeroCompFreq,'PDH Calc'!$K302/365)</f>
        <v>1</v>
      </c>
      <c r="Q302" s="8">
        <f ca="1">_xll.HLV5r3.Analytics.Miscellaneous.Zero2DF(_xll.HLV5r3.Analytics.Miscellaneous.LinearInterp(Peturbed_QZ,$K302,1,Q$1),ZeroCompFreq,'PDH Calc'!$K302/365)</f>
        <v>1</v>
      </c>
      <c r="R302" s="8">
        <f ca="1">_xll.HLV5r3.Analytics.Miscellaneous.Zero2DF(_xll.HLV5r3.Analytics.Miscellaneous.LinearInterp(Peturbed_QZ,$K302,1,R$1),ZeroCompFreq,'PDH Calc'!$K302/365)</f>
        <v>1</v>
      </c>
      <c r="S302" s="8">
        <f ca="1">_xll.HLV5r3.Analytics.Miscellaneous.Zero2DF(_xll.HLV5r3.Analytics.Miscellaneous.LinearInterp(Peturbed_QZ,$K302,1,S$1),ZeroCompFreq,'PDH Calc'!$K302/365)</f>
        <v>1</v>
      </c>
      <c r="T302" s="8">
        <f ca="1">_xll.HLV5r3.Analytics.Miscellaneous.Zero2DF(_xll.HLV5r3.Analytics.Miscellaneous.LinearInterp(Peturbed_QZ,$K302,1,T$1),ZeroCompFreq,'PDH Calc'!$K302/365)</f>
        <v>1</v>
      </c>
      <c r="U302" s="8">
        <f ca="1">_xll.HLV5r3.Analytics.Miscellaneous.Zero2DF(_xll.HLV5r3.Analytics.Miscellaneous.LinearInterp(Peturbed_QZ,$K302,1,U$1),ZeroCompFreq,'PDH Calc'!$K302/365)</f>
        <v>1</v>
      </c>
      <c r="V302" s="8">
        <f ca="1">_xll.HLV5r3.Analytics.Miscellaneous.Zero2DF(_xll.HLV5r3.Analytics.Miscellaneous.LinearInterp(Peturbed_QZ,$K302,1,V$1),ZeroCompFreq,'PDH Calc'!$K302/365)</f>
        <v>1</v>
      </c>
      <c r="W302" s="8">
        <f ca="1">_xll.HLV5r3.Analytics.Miscellaneous.Zero2DF(_xll.HLV5r3.Analytics.Miscellaneous.LinearInterp(Peturbed_QZ,$K302,1,W$1),ZeroCompFreq,'PDH Calc'!$K302/365)</f>
        <v>1</v>
      </c>
      <c r="X302" s="8">
        <f ca="1">_xll.HLV5r3.Analytics.Miscellaneous.Zero2DF(_xll.HLV5r3.Analytics.Miscellaneous.LinearInterp(Peturbed_QZ,$K302,1,X$1),ZeroCompFreq,'PDH Calc'!$K302/365)</f>
        <v>1</v>
      </c>
      <c r="Y302" s="8">
        <f ca="1">_xll.HLV5r3.Analytics.Miscellaneous.Zero2DF(_xll.HLV5r3.Analytics.Miscellaneous.LinearInterp(Peturbed_QZ,$K302,1,Y$1),ZeroCompFreq,'PDH Calc'!$K302/365)</f>
        <v>1</v>
      </c>
      <c r="Z302" s="8">
        <f ca="1">_xll.HLV5r3.Analytics.Miscellaneous.Zero2DF(_xll.HLV5r3.Analytics.Miscellaneous.LinearInterp(Peturbed_QZ,$K302,1,Z$1),ZeroCompFreq,'PDH Calc'!$K302/365)</f>
        <v>1</v>
      </c>
      <c r="AA302" s="8">
        <f ca="1">_xll.HLV5r3.Analytics.Miscellaneous.Zero2DF(_xll.HLV5r3.Analytics.Miscellaneous.LinearInterp(Peturbed_QZ,$K302,1,AA$1),ZeroCompFreq,'PDH Calc'!$K302/365)</f>
        <v>1</v>
      </c>
      <c r="AB302" s="8">
        <f ca="1">_xll.HLV5r3.Analytics.Miscellaneous.Zero2DF(_xll.HLV5r3.Analytics.Miscellaneous.LinearInterp(Peturbed_QZ,$K302,1,AB$1),ZeroCompFreq,'PDH Calc'!$K302/365)</f>
        <v>1</v>
      </c>
      <c r="AC302" s="8">
        <f ca="1">_xll.HLV5r3.Analytics.Miscellaneous.Zero2DF(_xll.HLV5r3.Analytics.Miscellaneous.LinearInterp(Peturbed_QZ,$K302,1,AC$1),ZeroCompFreq,'PDH Calc'!$K302/365)</f>
        <v>1</v>
      </c>
      <c r="AD302" s="8">
        <f ca="1">_xll.HLV5r3.Analytics.Miscellaneous.Zero2DF(_xll.HLV5r3.Analytics.Miscellaneous.LinearInterp(Peturbed_QZ,$K302,1,AD$1),ZeroCompFreq,'PDH Calc'!$K302/365)</f>
        <v>1</v>
      </c>
      <c r="AE302" s="8">
        <f ca="1">_xll.HLV5r3.Analytics.Miscellaneous.Zero2DF(_xll.HLV5r3.Analytics.Miscellaneous.LinearInterp(Peturbed_QZ,$K302,1,AE$1),ZeroCompFreq,'PDH Calc'!$K302/365)</f>
        <v>1</v>
      </c>
      <c r="AF302" s="8">
        <f ca="1">_xll.HLV5r3.Analytics.Miscellaneous.Zero2DF(_xll.HLV5r3.Analytics.Miscellaneous.LinearInterp(Peturbed_QZ,$K302,1,AF$1),ZeroCompFreq,'PDH Calc'!$K302/365)</f>
        <v>1</v>
      </c>
      <c r="AG302" s="8">
        <f ca="1">_xll.HLV5r3.Analytics.Miscellaneous.Zero2DF(_xll.HLV5r3.Analytics.Miscellaneous.LinearInterp(Peturbed_QZ,$K302,1,AG$1),ZeroCompFreq,'PDH Calc'!$K302/365)</f>
        <v>1</v>
      </c>
      <c r="AH302" s="8">
        <f ca="1">_xll.HLV5r3.Analytics.Miscellaneous.Zero2DF(_xll.HLV5r3.Analytics.Miscellaneous.LinearInterp(Peturbed_QZ,$K302,1,AH$1),ZeroCompFreq,'PDH Calc'!$K302/365)</f>
        <v>1</v>
      </c>
      <c r="AI302" s="8">
        <f ca="1">_xll.HLV5r3.Analytics.Miscellaneous.Zero2DF(_xll.HLV5r3.Analytics.Miscellaneous.LinearInterp(Peturbed_QZ,$K302,1,AI$1),ZeroCompFreq,'PDH Calc'!$K302/365)</f>
        <v>1</v>
      </c>
      <c r="AJ302" s="8">
        <f ca="1">_xll.HLV5r3.Analytics.Miscellaneous.Zero2DF(_xll.HLV5r3.Analytics.Miscellaneous.LinearInterp(Peturbed_QZ,$K302,1,AJ$1),ZeroCompFreq,'PDH Calc'!$K302/365)</f>
        <v>1</v>
      </c>
      <c r="AK302" s="8">
        <f ca="1">_xll.HLV5r3.Analytics.Miscellaneous.Zero2DF(_xll.HLV5r3.Analytics.Miscellaneous.LinearInterp(Peturbed_QZ,$K302,1,AK$1),ZeroCompFreq,'PDH Calc'!$K302/365)</f>
        <v>1</v>
      </c>
    </row>
    <row r="303" spans="1:37">
      <c r="A303" s="4"/>
      <c r="B303" s="6"/>
      <c r="F303" s="11"/>
      <c r="G303" s="6"/>
      <c r="H303" s="20"/>
      <c r="I303" s="21"/>
      <c r="J303" s="26"/>
      <c r="K303" s="6">
        <f t="shared" ca="1" si="11"/>
        <v>0</v>
      </c>
      <c r="L303" s="8">
        <f ca="1">_xll.HLV5r3.Analytics.Miscellaneous.Zero2DF(_xll.HLV5r3.Analytics.Miscellaneous.LinearInterp(Peturbed_QZ,$K303,1,L$1),ZeroCompFreq,'PDH Calc'!$K303/365)</f>
        <v>1</v>
      </c>
      <c r="M303" s="8">
        <f ca="1">_xll.HLV5r3.Analytics.Miscellaneous.Zero2DF(_xll.HLV5r3.Analytics.Miscellaneous.LinearInterp(Peturbed_QZ,$K303,1,M$1),ZeroCompFreq,'PDH Calc'!$K303/365)</f>
        <v>1</v>
      </c>
      <c r="N303" s="8">
        <f ca="1">_xll.HLV5r3.Analytics.Miscellaneous.Zero2DF(_xll.HLV5r3.Analytics.Miscellaneous.LinearInterp(Peturbed_QZ,$K303,1,N$1),ZeroCompFreq,'PDH Calc'!$K303/365)</f>
        <v>1</v>
      </c>
      <c r="O303" s="8">
        <f ca="1">_xll.HLV5r3.Analytics.Miscellaneous.Zero2DF(_xll.HLV5r3.Analytics.Miscellaneous.LinearInterp(Peturbed_QZ,$K303,1,O$1),ZeroCompFreq,'PDH Calc'!$K303/365)</f>
        <v>1</v>
      </c>
      <c r="P303" s="8">
        <f ca="1">_xll.HLV5r3.Analytics.Miscellaneous.Zero2DF(_xll.HLV5r3.Analytics.Miscellaneous.LinearInterp(Peturbed_QZ,$K303,1,P$1),ZeroCompFreq,'PDH Calc'!$K303/365)</f>
        <v>1</v>
      </c>
      <c r="Q303" s="8">
        <f ca="1">_xll.HLV5r3.Analytics.Miscellaneous.Zero2DF(_xll.HLV5r3.Analytics.Miscellaneous.LinearInterp(Peturbed_QZ,$K303,1,Q$1),ZeroCompFreq,'PDH Calc'!$K303/365)</f>
        <v>1</v>
      </c>
      <c r="R303" s="8">
        <f ca="1">_xll.HLV5r3.Analytics.Miscellaneous.Zero2DF(_xll.HLV5r3.Analytics.Miscellaneous.LinearInterp(Peturbed_QZ,$K303,1,R$1),ZeroCompFreq,'PDH Calc'!$K303/365)</f>
        <v>1</v>
      </c>
      <c r="S303" s="8">
        <f ca="1">_xll.HLV5r3.Analytics.Miscellaneous.Zero2DF(_xll.HLV5r3.Analytics.Miscellaneous.LinearInterp(Peturbed_QZ,$K303,1,S$1),ZeroCompFreq,'PDH Calc'!$K303/365)</f>
        <v>1</v>
      </c>
      <c r="T303" s="8">
        <f ca="1">_xll.HLV5r3.Analytics.Miscellaneous.Zero2DF(_xll.HLV5r3.Analytics.Miscellaneous.LinearInterp(Peturbed_QZ,$K303,1,T$1),ZeroCompFreq,'PDH Calc'!$K303/365)</f>
        <v>1</v>
      </c>
      <c r="U303" s="8">
        <f ca="1">_xll.HLV5r3.Analytics.Miscellaneous.Zero2DF(_xll.HLV5r3.Analytics.Miscellaneous.LinearInterp(Peturbed_QZ,$K303,1,U$1),ZeroCompFreq,'PDH Calc'!$K303/365)</f>
        <v>1</v>
      </c>
      <c r="V303" s="8">
        <f ca="1">_xll.HLV5r3.Analytics.Miscellaneous.Zero2DF(_xll.HLV5r3.Analytics.Miscellaneous.LinearInterp(Peturbed_QZ,$K303,1,V$1),ZeroCompFreq,'PDH Calc'!$K303/365)</f>
        <v>1</v>
      </c>
      <c r="W303" s="8">
        <f ca="1">_xll.HLV5r3.Analytics.Miscellaneous.Zero2DF(_xll.HLV5r3.Analytics.Miscellaneous.LinearInterp(Peturbed_QZ,$K303,1,W$1),ZeroCompFreq,'PDH Calc'!$K303/365)</f>
        <v>1</v>
      </c>
      <c r="X303" s="8">
        <f ca="1">_xll.HLV5r3.Analytics.Miscellaneous.Zero2DF(_xll.HLV5r3.Analytics.Miscellaneous.LinearInterp(Peturbed_QZ,$K303,1,X$1),ZeroCompFreq,'PDH Calc'!$K303/365)</f>
        <v>1</v>
      </c>
      <c r="Y303" s="8">
        <f ca="1">_xll.HLV5r3.Analytics.Miscellaneous.Zero2DF(_xll.HLV5r3.Analytics.Miscellaneous.LinearInterp(Peturbed_QZ,$K303,1,Y$1),ZeroCompFreq,'PDH Calc'!$K303/365)</f>
        <v>1</v>
      </c>
      <c r="Z303" s="8">
        <f ca="1">_xll.HLV5r3.Analytics.Miscellaneous.Zero2DF(_xll.HLV5r3.Analytics.Miscellaneous.LinearInterp(Peturbed_QZ,$K303,1,Z$1),ZeroCompFreq,'PDH Calc'!$K303/365)</f>
        <v>1</v>
      </c>
      <c r="AA303" s="8">
        <f ca="1">_xll.HLV5r3.Analytics.Miscellaneous.Zero2DF(_xll.HLV5r3.Analytics.Miscellaneous.LinearInterp(Peturbed_QZ,$K303,1,AA$1),ZeroCompFreq,'PDH Calc'!$K303/365)</f>
        <v>1</v>
      </c>
      <c r="AB303" s="8">
        <f ca="1">_xll.HLV5r3.Analytics.Miscellaneous.Zero2DF(_xll.HLV5r3.Analytics.Miscellaneous.LinearInterp(Peturbed_QZ,$K303,1,AB$1),ZeroCompFreq,'PDH Calc'!$K303/365)</f>
        <v>1</v>
      </c>
      <c r="AC303" s="8">
        <f ca="1">_xll.HLV5r3.Analytics.Miscellaneous.Zero2DF(_xll.HLV5r3.Analytics.Miscellaneous.LinearInterp(Peturbed_QZ,$K303,1,AC$1),ZeroCompFreq,'PDH Calc'!$K303/365)</f>
        <v>1</v>
      </c>
      <c r="AD303" s="8">
        <f ca="1">_xll.HLV5r3.Analytics.Miscellaneous.Zero2DF(_xll.HLV5r3.Analytics.Miscellaneous.LinearInterp(Peturbed_QZ,$K303,1,AD$1),ZeroCompFreq,'PDH Calc'!$K303/365)</f>
        <v>1</v>
      </c>
      <c r="AE303" s="8">
        <f ca="1">_xll.HLV5r3.Analytics.Miscellaneous.Zero2DF(_xll.HLV5r3.Analytics.Miscellaneous.LinearInterp(Peturbed_QZ,$K303,1,AE$1),ZeroCompFreq,'PDH Calc'!$K303/365)</f>
        <v>1</v>
      </c>
      <c r="AF303" s="8">
        <f ca="1">_xll.HLV5r3.Analytics.Miscellaneous.Zero2DF(_xll.HLV5r3.Analytics.Miscellaneous.LinearInterp(Peturbed_QZ,$K303,1,AF$1),ZeroCompFreq,'PDH Calc'!$K303/365)</f>
        <v>1</v>
      </c>
      <c r="AG303" s="8">
        <f ca="1">_xll.HLV5r3.Analytics.Miscellaneous.Zero2DF(_xll.HLV5r3.Analytics.Miscellaneous.LinearInterp(Peturbed_QZ,$K303,1,AG$1),ZeroCompFreq,'PDH Calc'!$K303/365)</f>
        <v>1</v>
      </c>
      <c r="AH303" s="8">
        <f ca="1">_xll.HLV5r3.Analytics.Miscellaneous.Zero2DF(_xll.HLV5r3.Analytics.Miscellaneous.LinearInterp(Peturbed_QZ,$K303,1,AH$1),ZeroCompFreq,'PDH Calc'!$K303/365)</f>
        <v>1</v>
      </c>
      <c r="AI303" s="8">
        <f ca="1">_xll.HLV5r3.Analytics.Miscellaneous.Zero2DF(_xll.HLV5r3.Analytics.Miscellaneous.LinearInterp(Peturbed_QZ,$K303,1,AI$1),ZeroCompFreq,'PDH Calc'!$K303/365)</f>
        <v>1</v>
      </c>
      <c r="AJ303" s="8">
        <f ca="1">_xll.HLV5r3.Analytics.Miscellaneous.Zero2DF(_xll.HLV5r3.Analytics.Miscellaneous.LinearInterp(Peturbed_QZ,$K303,1,AJ$1),ZeroCompFreq,'PDH Calc'!$K303/365)</f>
        <v>1</v>
      </c>
      <c r="AK303" s="8">
        <f ca="1">_xll.HLV5r3.Analytics.Miscellaneous.Zero2DF(_xll.HLV5r3.Analytics.Miscellaneous.LinearInterp(Peturbed_QZ,$K303,1,AK$1),ZeroCompFreq,'PDH Calc'!$K303/365)</f>
        <v>1</v>
      </c>
    </row>
    <row r="304" spans="1:37">
      <c r="A304" s="4"/>
      <c r="B304" s="6"/>
      <c r="F304" s="11"/>
      <c r="G304" s="6"/>
      <c r="H304" s="20"/>
      <c r="I304" s="21"/>
      <c r="J304" s="26"/>
      <c r="K304" s="6">
        <f t="shared" ca="1" si="11"/>
        <v>0</v>
      </c>
      <c r="L304" s="8">
        <f ca="1">_xll.HLV5r3.Analytics.Miscellaneous.Zero2DF(_xll.HLV5r3.Analytics.Miscellaneous.LinearInterp(Peturbed_QZ,$K304,1,L$1),ZeroCompFreq,'PDH Calc'!$K304/365)</f>
        <v>1</v>
      </c>
      <c r="M304" s="8">
        <f ca="1">_xll.HLV5r3.Analytics.Miscellaneous.Zero2DF(_xll.HLV5r3.Analytics.Miscellaneous.LinearInterp(Peturbed_QZ,$K304,1,M$1),ZeroCompFreq,'PDH Calc'!$K304/365)</f>
        <v>1</v>
      </c>
      <c r="N304" s="8">
        <f ca="1">_xll.HLV5r3.Analytics.Miscellaneous.Zero2DF(_xll.HLV5r3.Analytics.Miscellaneous.LinearInterp(Peturbed_QZ,$K304,1,N$1),ZeroCompFreq,'PDH Calc'!$K304/365)</f>
        <v>1</v>
      </c>
      <c r="O304" s="8">
        <f ca="1">_xll.HLV5r3.Analytics.Miscellaneous.Zero2DF(_xll.HLV5r3.Analytics.Miscellaneous.LinearInterp(Peturbed_QZ,$K304,1,O$1),ZeroCompFreq,'PDH Calc'!$K304/365)</f>
        <v>1</v>
      </c>
      <c r="P304" s="8">
        <f ca="1">_xll.HLV5r3.Analytics.Miscellaneous.Zero2DF(_xll.HLV5r3.Analytics.Miscellaneous.LinearInterp(Peturbed_QZ,$K304,1,P$1),ZeroCompFreq,'PDH Calc'!$K304/365)</f>
        <v>1</v>
      </c>
      <c r="Q304" s="8">
        <f ca="1">_xll.HLV5r3.Analytics.Miscellaneous.Zero2DF(_xll.HLV5r3.Analytics.Miscellaneous.LinearInterp(Peturbed_QZ,$K304,1,Q$1),ZeroCompFreq,'PDH Calc'!$K304/365)</f>
        <v>1</v>
      </c>
      <c r="R304" s="8">
        <f ca="1">_xll.HLV5r3.Analytics.Miscellaneous.Zero2DF(_xll.HLV5r3.Analytics.Miscellaneous.LinearInterp(Peturbed_QZ,$K304,1,R$1),ZeroCompFreq,'PDH Calc'!$K304/365)</f>
        <v>1</v>
      </c>
      <c r="S304" s="8">
        <f ca="1">_xll.HLV5r3.Analytics.Miscellaneous.Zero2DF(_xll.HLV5r3.Analytics.Miscellaneous.LinearInterp(Peturbed_QZ,$K304,1,S$1),ZeroCompFreq,'PDH Calc'!$K304/365)</f>
        <v>1</v>
      </c>
      <c r="T304" s="8">
        <f ca="1">_xll.HLV5r3.Analytics.Miscellaneous.Zero2DF(_xll.HLV5r3.Analytics.Miscellaneous.LinearInterp(Peturbed_QZ,$K304,1,T$1),ZeroCompFreq,'PDH Calc'!$K304/365)</f>
        <v>1</v>
      </c>
      <c r="U304" s="8">
        <f ca="1">_xll.HLV5r3.Analytics.Miscellaneous.Zero2DF(_xll.HLV5r3.Analytics.Miscellaneous.LinearInterp(Peturbed_QZ,$K304,1,U$1),ZeroCompFreq,'PDH Calc'!$K304/365)</f>
        <v>1</v>
      </c>
      <c r="V304" s="8">
        <f ca="1">_xll.HLV5r3.Analytics.Miscellaneous.Zero2DF(_xll.HLV5r3.Analytics.Miscellaneous.LinearInterp(Peturbed_QZ,$K304,1,V$1),ZeroCompFreq,'PDH Calc'!$K304/365)</f>
        <v>1</v>
      </c>
      <c r="W304" s="8">
        <f ca="1">_xll.HLV5r3.Analytics.Miscellaneous.Zero2DF(_xll.HLV5r3.Analytics.Miscellaneous.LinearInterp(Peturbed_QZ,$K304,1,W$1),ZeroCompFreq,'PDH Calc'!$K304/365)</f>
        <v>1</v>
      </c>
      <c r="X304" s="8">
        <f ca="1">_xll.HLV5r3.Analytics.Miscellaneous.Zero2DF(_xll.HLV5r3.Analytics.Miscellaneous.LinearInterp(Peturbed_QZ,$K304,1,X$1),ZeroCompFreq,'PDH Calc'!$K304/365)</f>
        <v>1</v>
      </c>
      <c r="Y304" s="8">
        <f ca="1">_xll.HLV5r3.Analytics.Miscellaneous.Zero2DF(_xll.HLV5r3.Analytics.Miscellaneous.LinearInterp(Peturbed_QZ,$K304,1,Y$1),ZeroCompFreq,'PDH Calc'!$K304/365)</f>
        <v>1</v>
      </c>
      <c r="Z304" s="8">
        <f ca="1">_xll.HLV5r3.Analytics.Miscellaneous.Zero2DF(_xll.HLV5r3.Analytics.Miscellaneous.LinearInterp(Peturbed_QZ,$K304,1,Z$1),ZeroCompFreq,'PDH Calc'!$K304/365)</f>
        <v>1</v>
      </c>
      <c r="AA304" s="8">
        <f ca="1">_xll.HLV5r3.Analytics.Miscellaneous.Zero2DF(_xll.HLV5r3.Analytics.Miscellaneous.LinearInterp(Peturbed_QZ,$K304,1,AA$1),ZeroCompFreq,'PDH Calc'!$K304/365)</f>
        <v>1</v>
      </c>
      <c r="AB304" s="8">
        <f ca="1">_xll.HLV5r3.Analytics.Miscellaneous.Zero2DF(_xll.HLV5r3.Analytics.Miscellaneous.LinearInterp(Peturbed_QZ,$K304,1,AB$1),ZeroCompFreq,'PDH Calc'!$K304/365)</f>
        <v>1</v>
      </c>
      <c r="AC304" s="8">
        <f ca="1">_xll.HLV5r3.Analytics.Miscellaneous.Zero2DF(_xll.HLV5r3.Analytics.Miscellaneous.LinearInterp(Peturbed_QZ,$K304,1,AC$1),ZeroCompFreq,'PDH Calc'!$K304/365)</f>
        <v>1</v>
      </c>
      <c r="AD304" s="8">
        <f ca="1">_xll.HLV5r3.Analytics.Miscellaneous.Zero2DF(_xll.HLV5r3.Analytics.Miscellaneous.LinearInterp(Peturbed_QZ,$K304,1,AD$1),ZeroCompFreq,'PDH Calc'!$K304/365)</f>
        <v>1</v>
      </c>
      <c r="AE304" s="8">
        <f ca="1">_xll.HLV5r3.Analytics.Miscellaneous.Zero2DF(_xll.HLV5r3.Analytics.Miscellaneous.LinearInterp(Peturbed_QZ,$K304,1,AE$1),ZeroCompFreq,'PDH Calc'!$K304/365)</f>
        <v>1</v>
      </c>
      <c r="AF304" s="8">
        <f ca="1">_xll.HLV5r3.Analytics.Miscellaneous.Zero2DF(_xll.HLV5r3.Analytics.Miscellaneous.LinearInterp(Peturbed_QZ,$K304,1,AF$1),ZeroCompFreq,'PDH Calc'!$K304/365)</f>
        <v>1</v>
      </c>
      <c r="AG304" s="8">
        <f ca="1">_xll.HLV5r3.Analytics.Miscellaneous.Zero2DF(_xll.HLV5r3.Analytics.Miscellaneous.LinearInterp(Peturbed_QZ,$K304,1,AG$1),ZeroCompFreq,'PDH Calc'!$K304/365)</f>
        <v>1</v>
      </c>
      <c r="AH304" s="8">
        <f ca="1">_xll.HLV5r3.Analytics.Miscellaneous.Zero2DF(_xll.HLV5r3.Analytics.Miscellaneous.LinearInterp(Peturbed_QZ,$K304,1,AH$1),ZeroCompFreq,'PDH Calc'!$K304/365)</f>
        <v>1</v>
      </c>
      <c r="AI304" s="8">
        <f ca="1">_xll.HLV5r3.Analytics.Miscellaneous.Zero2DF(_xll.HLV5r3.Analytics.Miscellaneous.LinearInterp(Peturbed_QZ,$K304,1,AI$1),ZeroCompFreq,'PDH Calc'!$K304/365)</f>
        <v>1</v>
      </c>
      <c r="AJ304" s="8">
        <f ca="1">_xll.HLV5r3.Analytics.Miscellaneous.Zero2DF(_xll.HLV5r3.Analytics.Miscellaneous.LinearInterp(Peturbed_QZ,$K304,1,AJ$1),ZeroCompFreq,'PDH Calc'!$K304/365)</f>
        <v>1</v>
      </c>
      <c r="AK304" s="8">
        <f ca="1">_xll.HLV5r3.Analytics.Miscellaneous.Zero2DF(_xll.HLV5r3.Analytics.Miscellaneous.LinearInterp(Peturbed_QZ,$K304,1,AK$1),ZeroCompFreq,'PDH Calc'!$K304/365)</f>
        <v>1</v>
      </c>
    </row>
    <row r="305" spans="1:37">
      <c r="A305" s="4"/>
      <c r="B305" s="6"/>
      <c r="F305" s="11"/>
      <c r="G305" s="6"/>
      <c r="H305" s="20"/>
      <c r="I305" s="21"/>
      <c r="J305" s="26"/>
      <c r="K305" s="6">
        <f t="shared" ca="1" si="11"/>
        <v>0</v>
      </c>
      <c r="L305" s="8">
        <f ca="1">_xll.HLV5r3.Analytics.Miscellaneous.Zero2DF(_xll.HLV5r3.Analytics.Miscellaneous.LinearInterp(Peturbed_QZ,$K305,1,L$1),ZeroCompFreq,'PDH Calc'!$K305/365)</f>
        <v>1</v>
      </c>
      <c r="M305" s="8">
        <f ca="1">_xll.HLV5r3.Analytics.Miscellaneous.Zero2DF(_xll.HLV5r3.Analytics.Miscellaneous.LinearInterp(Peturbed_QZ,$K305,1,M$1),ZeroCompFreq,'PDH Calc'!$K305/365)</f>
        <v>1</v>
      </c>
      <c r="N305" s="8">
        <f ca="1">_xll.HLV5r3.Analytics.Miscellaneous.Zero2DF(_xll.HLV5r3.Analytics.Miscellaneous.LinearInterp(Peturbed_QZ,$K305,1,N$1),ZeroCompFreq,'PDH Calc'!$K305/365)</f>
        <v>1</v>
      </c>
      <c r="O305" s="8">
        <f ca="1">_xll.HLV5r3.Analytics.Miscellaneous.Zero2DF(_xll.HLV5r3.Analytics.Miscellaneous.LinearInterp(Peturbed_QZ,$K305,1,O$1),ZeroCompFreq,'PDH Calc'!$K305/365)</f>
        <v>1</v>
      </c>
      <c r="P305" s="8">
        <f ca="1">_xll.HLV5r3.Analytics.Miscellaneous.Zero2DF(_xll.HLV5r3.Analytics.Miscellaneous.LinearInterp(Peturbed_QZ,$K305,1,P$1),ZeroCompFreq,'PDH Calc'!$K305/365)</f>
        <v>1</v>
      </c>
      <c r="Q305" s="8">
        <f ca="1">_xll.HLV5r3.Analytics.Miscellaneous.Zero2DF(_xll.HLV5r3.Analytics.Miscellaneous.LinearInterp(Peturbed_QZ,$K305,1,Q$1),ZeroCompFreq,'PDH Calc'!$K305/365)</f>
        <v>1</v>
      </c>
      <c r="R305" s="8">
        <f ca="1">_xll.HLV5r3.Analytics.Miscellaneous.Zero2DF(_xll.HLV5r3.Analytics.Miscellaneous.LinearInterp(Peturbed_QZ,$K305,1,R$1),ZeroCompFreq,'PDH Calc'!$K305/365)</f>
        <v>1</v>
      </c>
      <c r="S305" s="8">
        <f ca="1">_xll.HLV5r3.Analytics.Miscellaneous.Zero2DF(_xll.HLV5r3.Analytics.Miscellaneous.LinearInterp(Peturbed_QZ,$K305,1,S$1),ZeroCompFreq,'PDH Calc'!$K305/365)</f>
        <v>1</v>
      </c>
      <c r="T305" s="8">
        <f ca="1">_xll.HLV5r3.Analytics.Miscellaneous.Zero2DF(_xll.HLV5r3.Analytics.Miscellaneous.LinearInterp(Peturbed_QZ,$K305,1,T$1),ZeroCompFreq,'PDH Calc'!$K305/365)</f>
        <v>1</v>
      </c>
      <c r="U305" s="8">
        <f ca="1">_xll.HLV5r3.Analytics.Miscellaneous.Zero2DF(_xll.HLV5r3.Analytics.Miscellaneous.LinearInterp(Peturbed_QZ,$K305,1,U$1),ZeroCompFreq,'PDH Calc'!$K305/365)</f>
        <v>1</v>
      </c>
      <c r="V305" s="8">
        <f ca="1">_xll.HLV5r3.Analytics.Miscellaneous.Zero2DF(_xll.HLV5r3.Analytics.Miscellaneous.LinearInterp(Peturbed_QZ,$K305,1,V$1),ZeroCompFreq,'PDH Calc'!$K305/365)</f>
        <v>1</v>
      </c>
      <c r="W305" s="8">
        <f ca="1">_xll.HLV5r3.Analytics.Miscellaneous.Zero2DF(_xll.HLV5r3.Analytics.Miscellaneous.LinearInterp(Peturbed_QZ,$K305,1,W$1),ZeroCompFreq,'PDH Calc'!$K305/365)</f>
        <v>1</v>
      </c>
      <c r="X305" s="8">
        <f ca="1">_xll.HLV5r3.Analytics.Miscellaneous.Zero2DF(_xll.HLV5r3.Analytics.Miscellaneous.LinearInterp(Peturbed_QZ,$K305,1,X$1),ZeroCompFreq,'PDH Calc'!$K305/365)</f>
        <v>1</v>
      </c>
      <c r="Y305" s="8">
        <f ca="1">_xll.HLV5r3.Analytics.Miscellaneous.Zero2DF(_xll.HLV5r3.Analytics.Miscellaneous.LinearInterp(Peturbed_QZ,$K305,1,Y$1),ZeroCompFreq,'PDH Calc'!$K305/365)</f>
        <v>1</v>
      </c>
      <c r="Z305" s="8">
        <f ca="1">_xll.HLV5r3.Analytics.Miscellaneous.Zero2DF(_xll.HLV5r3.Analytics.Miscellaneous.LinearInterp(Peturbed_QZ,$K305,1,Z$1),ZeroCompFreq,'PDH Calc'!$K305/365)</f>
        <v>1</v>
      </c>
      <c r="AA305" s="8">
        <f ca="1">_xll.HLV5r3.Analytics.Miscellaneous.Zero2DF(_xll.HLV5r3.Analytics.Miscellaneous.LinearInterp(Peturbed_QZ,$K305,1,AA$1),ZeroCompFreq,'PDH Calc'!$K305/365)</f>
        <v>1</v>
      </c>
      <c r="AB305" s="8">
        <f ca="1">_xll.HLV5r3.Analytics.Miscellaneous.Zero2DF(_xll.HLV5r3.Analytics.Miscellaneous.LinearInterp(Peturbed_QZ,$K305,1,AB$1),ZeroCompFreq,'PDH Calc'!$K305/365)</f>
        <v>1</v>
      </c>
      <c r="AC305" s="8">
        <f ca="1">_xll.HLV5r3.Analytics.Miscellaneous.Zero2DF(_xll.HLV5r3.Analytics.Miscellaneous.LinearInterp(Peturbed_QZ,$K305,1,AC$1),ZeroCompFreq,'PDH Calc'!$K305/365)</f>
        <v>1</v>
      </c>
      <c r="AD305" s="8">
        <f ca="1">_xll.HLV5r3.Analytics.Miscellaneous.Zero2DF(_xll.HLV5r3.Analytics.Miscellaneous.LinearInterp(Peturbed_QZ,$K305,1,AD$1),ZeroCompFreq,'PDH Calc'!$K305/365)</f>
        <v>1</v>
      </c>
      <c r="AE305" s="8">
        <f ca="1">_xll.HLV5r3.Analytics.Miscellaneous.Zero2DF(_xll.HLV5r3.Analytics.Miscellaneous.LinearInterp(Peturbed_QZ,$K305,1,AE$1),ZeroCompFreq,'PDH Calc'!$K305/365)</f>
        <v>1</v>
      </c>
      <c r="AF305" s="8">
        <f ca="1">_xll.HLV5r3.Analytics.Miscellaneous.Zero2DF(_xll.HLV5r3.Analytics.Miscellaneous.LinearInterp(Peturbed_QZ,$K305,1,AF$1),ZeroCompFreq,'PDH Calc'!$K305/365)</f>
        <v>1</v>
      </c>
      <c r="AG305" s="8">
        <f ca="1">_xll.HLV5r3.Analytics.Miscellaneous.Zero2DF(_xll.HLV5r3.Analytics.Miscellaneous.LinearInterp(Peturbed_QZ,$K305,1,AG$1),ZeroCompFreq,'PDH Calc'!$K305/365)</f>
        <v>1</v>
      </c>
      <c r="AH305" s="8">
        <f ca="1">_xll.HLV5r3.Analytics.Miscellaneous.Zero2DF(_xll.HLV5r3.Analytics.Miscellaneous.LinearInterp(Peturbed_QZ,$K305,1,AH$1),ZeroCompFreq,'PDH Calc'!$K305/365)</f>
        <v>1</v>
      </c>
      <c r="AI305" s="8">
        <f ca="1">_xll.HLV5r3.Analytics.Miscellaneous.Zero2DF(_xll.HLV5r3.Analytics.Miscellaneous.LinearInterp(Peturbed_QZ,$K305,1,AI$1),ZeroCompFreq,'PDH Calc'!$K305/365)</f>
        <v>1</v>
      </c>
      <c r="AJ305" s="8">
        <f ca="1">_xll.HLV5r3.Analytics.Miscellaneous.Zero2DF(_xll.HLV5r3.Analytics.Miscellaneous.LinearInterp(Peturbed_QZ,$K305,1,AJ$1),ZeroCompFreq,'PDH Calc'!$K305/365)</f>
        <v>1</v>
      </c>
      <c r="AK305" s="8">
        <f ca="1">_xll.HLV5r3.Analytics.Miscellaneous.Zero2DF(_xll.HLV5r3.Analytics.Miscellaneous.LinearInterp(Peturbed_QZ,$K305,1,AK$1),ZeroCompFreq,'PDH Calc'!$K305/365)</f>
        <v>1</v>
      </c>
    </row>
    <row r="306" spans="1:37">
      <c r="A306" s="4"/>
      <c r="B306" s="6"/>
      <c r="F306" s="11"/>
      <c r="G306" s="6"/>
      <c r="H306" s="20"/>
      <c r="I306" s="21"/>
      <c r="J306" s="26"/>
      <c r="K306" s="6">
        <f t="shared" ca="1" si="11"/>
        <v>0</v>
      </c>
      <c r="L306" s="8">
        <f ca="1">_xll.HLV5r3.Analytics.Miscellaneous.Zero2DF(_xll.HLV5r3.Analytics.Miscellaneous.LinearInterp(Peturbed_QZ,$K306,1,L$1),ZeroCompFreq,'PDH Calc'!$K306/365)</f>
        <v>1</v>
      </c>
      <c r="M306" s="8">
        <f ca="1">_xll.HLV5r3.Analytics.Miscellaneous.Zero2DF(_xll.HLV5r3.Analytics.Miscellaneous.LinearInterp(Peturbed_QZ,$K306,1,M$1),ZeroCompFreq,'PDH Calc'!$K306/365)</f>
        <v>1</v>
      </c>
      <c r="N306" s="8">
        <f ca="1">_xll.HLV5r3.Analytics.Miscellaneous.Zero2DF(_xll.HLV5r3.Analytics.Miscellaneous.LinearInterp(Peturbed_QZ,$K306,1,N$1),ZeroCompFreq,'PDH Calc'!$K306/365)</f>
        <v>1</v>
      </c>
      <c r="O306" s="8">
        <f ca="1">_xll.HLV5r3.Analytics.Miscellaneous.Zero2DF(_xll.HLV5r3.Analytics.Miscellaneous.LinearInterp(Peturbed_QZ,$K306,1,O$1),ZeroCompFreq,'PDH Calc'!$K306/365)</f>
        <v>1</v>
      </c>
      <c r="P306" s="8">
        <f ca="1">_xll.HLV5r3.Analytics.Miscellaneous.Zero2DF(_xll.HLV5r3.Analytics.Miscellaneous.LinearInterp(Peturbed_QZ,$K306,1,P$1),ZeroCompFreq,'PDH Calc'!$K306/365)</f>
        <v>1</v>
      </c>
      <c r="Q306" s="8">
        <f ca="1">_xll.HLV5r3.Analytics.Miscellaneous.Zero2DF(_xll.HLV5r3.Analytics.Miscellaneous.LinearInterp(Peturbed_QZ,$K306,1,Q$1),ZeroCompFreq,'PDH Calc'!$K306/365)</f>
        <v>1</v>
      </c>
      <c r="R306" s="8">
        <f ca="1">_xll.HLV5r3.Analytics.Miscellaneous.Zero2DF(_xll.HLV5r3.Analytics.Miscellaneous.LinearInterp(Peturbed_QZ,$K306,1,R$1),ZeroCompFreq,'PDH Calc'!$K306/365)</f>
        <v>1</v>
      </c>
      <c r="S306" s="8">
        <f ca="1">_xll.HLV5r3.Analytics.Miscellaneous.Zero2DF(_xll.HLV5r3.Analytics.Miscellaneous.LinearInterp(Peturbed_QZ,$K306,1,S$1),ZeroCompFreq,'PDH Calc'!$K306/365)</f>
        <v>1</v>
      </c>
      <c r="T306" s="8">
        <f ca="1">_xll.HLV5r3.Analytics.Miscellaneous.Zero2DF(_xll.HLV5r3.Analytics.Miscellaneous.LinearInterp(Peturbed_QZ,$K306,1,T$1),ZeroCompFreq,'PDH Calc'!$K306/365)</f>
        <v>1</v>
      </c>
      <c r="U306" s="8">
        <f ca="1">_xll.HLV5r3.Analytics.Miscellaneous.Zero2DF(_xll.HLV5r3.Analytics.Miscellaneous.LinearInterp(Peturbed_QZ,$K306,1,U$1),ZeroCompFreq,'PDH Calc'!$K306/365)</f>
        <v>1</v>
      </c>
      <c r="V306" s="8">
        <f ca="1">_xll.HLV5r3.Analytics.Miscellaneous.Zero2DF(_xll.HLV5r3.Analytics.Miscellaneous.LinearInterp(Peturbed_QZ,$K306,1,V$1),ZeroCompFreq,'PDH Calc'!$K306/365)</f>
        <v>1</v>
      </c>
      <c r="W306" s="8">
        <f ca="1">_xll.HLV5r3.Analytics.Miscellaneous.Zero2DF(_xll.HLV5r3.Analytics.Miscellaneous.LinearInterp(Peturbed_QZ,$K306,1,W$1),ZeroCompFreq,'PDH Calc'!$K306/365)</f>
        <v>1</v>
      </c>
      <c r="X306" s="8">
        <f ca="1">_xll.HLV5r3.Analytics.Miscellaneous.Zero2DF(_xll.HLV5r3.Analytics.Miscellaneous.LinearInterp(Peturbed_QZ,$K306,1,X$1),ZeroCompFreq,'PDH Calc'!$K306/365)</f>
        <v>1</v>
      </c>
      <c r="Y306" s="8">
        <f ca="1">_xll.HLV5r3.Analytics.Miscellaneous.Zero2DF(_xll.HLV5r3.Analytics.Miscellaneous.LinearInterp(Peturbed_QZ,$K306,1,Y$1),ZeroCompFreq,'PDH Calc'!$K306/365)</f>
        <v>1</v>
      </c>
      <c r="Z306" s="8">
        <f ca="1">_xll.HLV5r3.Analytics.Miscellaneous.Zero2DF(_xll.HLV5r3.Analytics.Miscellaneous.LinearInterp(Peturbed_QZ,$K306,1,Z$1),ZeroCompFreq,'PDH Calc'!$K306/365)</f>
        <v>1</v>
      </c>
      <c r="AA306" s="8">
        <f ca="1">_xll.HLV5r3.Analytics.Miscellaneous.Zero2DF(_xll.HLV5r3.Analytics.Miscellaneous.LinearInterp(Peturbed_QZ,$K306,1,AA$1),ZeroCompFreq,'PDH Calc'!$K306/365)</f>
        <v>1</v>
      </c>
      <c r="AB306" s="8">
        <f ca="1">_xll.HLV5r3.Analytics.Miscellaneous.Zero2DF(_xll.HLV5r3.Analytics.Miscellaneous.LinearInterp(Peturbed_QZ,$K306,1,AB$1),ZeroCompFreq,'PDH Calc'!$K306/365)</f>
        <v>1</v>
      </c>
      <c r="AC306" s="8">
        <f ca="1">_xll.HLV5r3.Analytics.Miscellaneous.Zero2DF(_xll.HLV5r3.Analytics.Miscellaneous.LinearInterp(Peturbed_QZ,$K306,1,AC$1),ZeroCompFreq,'PDH Calc'!$K306/365)</f>
        <v>1</v>
      </c>
      <c r="AD306" s="8">
        <f ca="1">_xll.HLV5r3.Analytics.Miscellaneous.Zero2DF(_xll.HLV5r3.Analytics.Miscellaneous.LinearInterp(Peturbed_QZ,$K306,1,AD$1),ZeroCompFreq,'PDH Calc'!$K306/365)</f>
        <v>1</v>
      </c>
      <c r="AE306" s="8">
        <f ca="1">_xll.HLV5r3.Analytics.Miscellaneous.Zero2DF(_xll.HLV5r3.Analytics.Miscellaneous.LinearInterp(Peturbed_QZ,$K306,1,AE$1),ZeroCompFreq,'PDH Calc'!$K306/365)</f>
        <v>1</v>
      </c>
      <c r="AF306" s="8">
        <f ca="1">_xll.HLV5r3.Analytics.Miscellaneous.Zero2DF(_xll.HLV5r3.Analytics.Miscellaneous.LinearInterp(Peturbed_QZ,$K306,1,AF$1),ZeroCompFreq,'PDH Calc'!$K306/365)</f>
        <v>1</v>
      </c>
      <c r="AG306" s="8">
        <f ca="1">_xll.HLV5r3.Analytics.Miscellaneous.Zero2DF(_xll.HLV5r3.Analytics.Miscellaneous.LinearInterp(Peturbed_QZ,$K306,1,AG$1),ZeroCompFreq,'PDH Calc'!$K306/365)</f>
        <v>1</v>
      </c>
      <c r="AH306" s="8">
        <f ca="1">_xll.HLV5r3.Analytics.Miscellaneous.Zero2DF(_xll.HLV5r3.Analytics.Miscellaneous.LinearInterp(Peturbed_QZ,$K306,1,AH$1),ZeroCompFreq,'PDH Calc'!$K306/365)</f>
        <v>1</v>
      </c>
      <c r="AI306" s="8">
        <f ca="1">_xll.HLV5r3.Analytics.Miscellaneous.Zero2DF(_xll.HLV5r3.Analytics.Miscellaneous.LinearInterp(Peturbed_QZ,$K306,1,AI$1),ZeroCompFreq,'PDH Calc'!$K306/365)</f>
        <v>1</v>
      </c>
      <c r="AJ306" s="8">
        <f ca="1">_xll.HLV5r3.Analytics.Miscellaneous.Zero2DF(_xll.HLV5r3.Analytics.Miscellaneous.LinearInterp(Peturbed_QZ,$K306,1,AJ$1),ZeroCompFreq,'PDH Calc'!$K306/365)</f>
        <v>1</v>
      </c>
      <c r="AK306" s="8">
        <f ca="1">_xll.HLV5r3.Analytics.Miscellaneous.Zero2DF(_xll.HLV5r3.Analytics.Miscellaneous.LinearInterp(Peturbed_QZ,$K306,1,AK$1),ZeroCompFreq,'PDH Calc'!$K306/365)</f>
        <v>1</v>
      </c>
    </row>
    <row r="307" spans="1:37">
      <c r="A307" s="4"/>
      <c r="B307" s="6"/>
      <c r="F307" s="11"/>
      <c r="G307" s="6"/>
      <c r="H307" s="20"/>
      <c r="I307" s="21"/>
      <c r="J307" s="26"/>
      <c r="K307" s="6">
        <f t="shared" ca="1" si="11"/>
        <v>0</v>
      </c>
      <c r="L307" s="8">
        <f ca="1">_xll.HLV5r3.Analytics.Miscellaneous.Zero2DF(_xll.HLV5r3.Analytics.Miscellaneous.LinearInterp(Peturbed_QZ,$K307,1,L$1),ZeroCompFreq,'PDH Calc'!$K307/365)</f>
        <v>1</v>
      </c>
      <c r="M307" s="8">
        <f ca="1">_xll.HLV5r3.Analytics.Miscellaneous.Zero2DF(_xll.HLV5r3.Analytics.Miscellaneous.LinearInterp(Peturbed_QZ,$K307,1,M$1),ZeroCompFreq,'PDH Calc'!$K307/365)</f>
        <v>1</v>
      </c>
      <c r="N307" s="8">
        <f ca="1">_xll.HLV5r3.Analytics.Miscellaneous.Zero2DF(_xll.HLV5r3.Analytics.Miscellaneous.LinearInterp(Peturbed_QZ,$K307,1,N$1),ZeroCompFreq,'PDH Calc'!$K307/365)</f>
        <v>1</v>
      </c>
      <c r="O307" s="8">
        <f ca="1">_xll.HLV5r3.Analytics.Miscellaneous.Zero2DF(_xll.HLV5r3.Analytics.Miscellaneous.LinearInterp(Peturbed_QZ,$K307,1,O$1),ZeroCompFreq,'PDH Calc'!$K307/365)</f>
        <v>1</v>
      </c>
      <c r="P307" s="8">
        <f ca="1">_xll.HLV5r3.Analytics.Miscellaneous.Zero2DF(_xll.HLV5r3.Analytics.Miscellaneous.LinearInterp(Peturbed_QZ,$K307,1,P$1),ZeroCompFreq,'PDH Calc'!$K307/365)</f>
        <v>1</v>
      </c>
      <c r="Q307" s="8">
        <f ca="1">_xll.HLV5r3.Analytics.Miscellaneous.Zero2DF(_xll.HLV5r3.Analytics.Miscellaneous.LinearInterp(Peturbed_QZ,$K307,1,Q$1),ZeroCompFreq,'PDH Calc'!$K307/365)</f>
        <v>1</v>
      </c>
      <c r="R307" s="8">
        <f ca="1">_xll.HLV5r3.Analytics.Miscellaneous.Zero2DF(_xll.HLV5r3.Analytics.Miscellaneous.LinearInterp(Peturbed_QZ,$K307,1,R$1),ZeroCompFreq,'PDH Calc'!$K307/365)</f>
        <v>1</v>
      </c>
      <c r="S307" s="8">
        <f ca="1">_xll.HLV5r3.Analytics.Miscellaneous.Zero2DF(_xll.HLV5r3.Analytics.Miscellaneous.LinearInterp(Peturbed_QZ,$K307,1,S$1),ZeroCompFreq,'PDH Calc'!$K307/365)</f>
        <v>1</v>
      </c>
      <c r="T307" s="8">
        <f ca="1">_xll.HLV5r3.Analytics.Miscellaneous.Zero2DF(_xll.HLV5r3.Analytics.Miscellaneous.LinearInterp(Peturbed_QZ,$K307,1,T$1),ZeroCompFreq,'PDH Calc'!$K307/365)</f>
        <v>1</v>
      </c>
      <c r="U307" s="8">
        <f ca="1">_xll.HLV5r3.Analytics.Miscellaneous.Zero2DF(_xll.HLV5r3.Analytics.Miscellaneous.LinearInterp(Peturbed_QZ,$K307,1,U$1),ZeroCompFreq,'PDH Calc'!$K307/365)</f>
        <v>1</v>
      </c>
      <c r="V307" s="8">
        <f ca="1">_xll.HLV5r3.Analytics.Miscellaneous.Zero2DF(_xll.HLV5r3.Analytics.Miscellaneous.LinearInterp(Peturbed_QZ,$K307,1,V$1),ZeroCompFreq,'PDH Calc'!$K307/365)</f>
        <v>1</v>
      </c>
      <c r="W307" s="8">
        <f ca="1">_xll.HLV5r3.Analytics.Miscellaneous.Zero2DF(_xll.HLV5r3.Analytics.Miscellaneous.LinearInterp(Peturbed_QZ,$K307,1,W$1),ZeroCompFreq,'PDH Calc'!$K307/365)</f>
        <v>1</v>
      </c>
      <c r="X307" s="8">
        <f ca="1">_xll.HLV5r3.Analytics.Miscellaneous.Zero2DF(_xll.HLV5r3.Analytics.Miscellaneous.LinearInterp(Peturbed_QZ,$K307,1,X$1),ZeroCompFreq,'PDH Calc'!$K307/365)</f>
        <v>1</v>
      </c>
      <c r="Y307" s="8">
        <f ca="1">_xll.HLV5r3.Analytics.Miscellaneous.Zero2DF(_xll.HLV5r3.Analytics.Miscellaneous.LinearInterp(Peturbed_QZ,$K307,1,Y$1),ZeroCompFreq,'PDH Calc'!$K307/365)</f>
        <v>1</v>
      </c>
      <c r="Z307" s="8">
        <f ca="1">_xll.HLV5r3.Analytics.Miscellaneous.Zero2DF(_xll.HLV5r3.Analytics.Miscellaneous.LinearInterp(Peturbed_QZ,$K307,1,Z$1),ZeroCompFreq,'PDH Calc'!$K307/365)</f>
        <v>1</v>
      </c>
      <c r="AA307" s="8">
        <f ca="1">_xll.HLV5r3.Analytics.Miscellaneous.Zero2DF(_xll.HLV5r3.Analytics.Miscellaneous.LinearInterp(Peturbed_QZ,$K307,1,AA$1),ZeroCompFreq,'PDH Calc'!$K307/365)</f>
        <v>1</v>
      </c>
      <c r="AB307" s="8">
        <f ca="1">_xll.HLV5r3.Analytics.Miscellaneous.Zero2DF(_xll.HLV5r3.Analytics.Miscellaneous.LinearInterp(Peturbed_QZ,$K307,1,AB$1),ZeroCompFreq,'PDH Calc'!$K307/365)</f>
        <v>1</v>
      </c>
      <c r="AC307" s="8">
        <f ca="1">_xll.HLV5r3.Analytics.Miscellaneous.Zero2DF(_xll.HLV5r3.Analytics.Miscellaneous.LinearInterp(Peturbed_QZ,$K307,1,AC$1),ZeroCompFreq,'PDH Calc'!$K307/365)</f>
        <v>1</v>
      </c>
      <c r="AD307" s="8">
        <f ca="1">_xll.HLV5r3.Analytics.Miscellaneous.Zero2DF(_xll.HLV5r3.Analytics.Miscellaneous.LinearInterp(Peturbed_QZ,$K307,1,AD$1),ZeroCompFreq,'PDH Calc'!$K307/365)</f>
        <v>1</v>
      </c>
      <c r="AE307" s="8">
        <f ca="1">_xll.HLV5r3.Analytics.Miscellaneous.Zero2DF(_xll.HLV5r3.Analytics.Miscellaneous.LinearInterp(Peturbed_QZ,$K307,1,AE$1),ZeroCompFreq,'PDH Calc'!$K307/365)</f>
        <v>1</v>
      </c>
      <c r="AF307" s="8">
        <f ca="1">_xll.HLV5r3.Analytics.Miscellaneous.Zero2DF(_xll.HLV5r3.Analytics.Miscellaneous.LinearInterp(Peturbed_QZ,$K307,1,AF$1),ZeroCompFreq,'PDH Calc'!$K307/365)</f>
        <v>1</v>
      </c>
      <c r="AG307" s="8">
        <f ca="1">_xll.HLV5r3.Analytics.Miscellaneous.Zero2DF(_xll.HLV5r3.Analytics.Miscellaneous.LinearInterp(Peturbed_QZ,$K307,1,AG$1),ZeroCompFreq,'PDH Calc'!$K307/365)</f>
        <v>1</v>
      </c>
      <c r="AH307" s="8">
        <f ca="1">_xll.HLV5r3.Analytics.Miscellaneous.Zero2DF(_xll.HLV5r3.Analytics.Miscellaneous.LinearInterp(Peturbed_QZ,$K307,1,AH$1),ZeroCompFreq,'PDH Calc'!$K307/365)</f>
        <v>1</v>
      </c>
      <c r="AI307" s="8">
        <f ca="1">_xll.HLV5r3.Analytics.Miscellaneous.Zero2DF(_xll.HLV5r3.Analytics.Miscellaneous.LinearInterp(Peturbed_QZ,$K307,1,AI$1),ZeroCompFreq,'PDH Calc'!$K307/365)</f>
        <v>1</v>
      </c>
      <c r="AJ307" s="8">
        <f ca="1">_xll.HLV5r3.Analytics.Miscellaneous.Zero2DF(_xll.HLV5r3.Analytics.Miscellaneous.LinearInterp(Peturbed_QZ,$K307,1,AJ$1),ZeroCompFreq,'PDH Calc'!$K307/365)</f>
        <v>1</v>
      </c>
      <c r="AK307" s="8">
        <f ca="1">_xll.HLV5r3.Analytics.Miscellaneous.Zero2DF(_xll.HLV5r3.Analytics.Miscellaneous.LinearInterp(Peturbed_QZ,$K307,1,AK$1),ZeroCompFreq,'PDH Calc'!$K307/365)</f>
        <v>1</v>
      </c>
    </row>
    <row r="308" spans="1:37">
      <c r="A308" s="4"/>
      <c r="B308" s="6"/>
      <c r="F308" s="11"/>
      <c r="G308" s="6"/>
      <c r="H308" s="20"/>
      <c r="I308" s="21"/>
      <c r="J308" s="26"/>
      <c r="K308" s="6">
        <f t="shared" ca="1" si="11"/>
        <v>0</v>
      </c>
      <c r="L308" s="8">
        <f ca="1">_xll.HLV5r3.Analytics.Miscellaneous.Zero2DF(_xll.HLV5r3.Analytics.Miscellaneous.LinearInterp(Peturbed_QZ,$K308,1,L$1),ZeroCompFreq,'PDH Calc'!$K308/365)</f>
        <v>1</v>
      </c>
      <c r="M308" s="8">
        <f ca="1">_xll.HLV5r3.Analytics.Miscellaneous.Zero2DF(_xll.HLV5r3.Analytics.Miscellaneous.LinearInterp(Peturbed_QZ,$K308,1,M$1),ZeroCompFreq,'PDH Calc'!$K308/365)</f>
        <v>1</v>
      </c>
      <c r="N308" s="8">
        <f ca="1">_xll.HLV5r3.Analytics.Miscellaneous.Zero2DF(_xll.HLV5r3.Analytics.Miscellaneous.LinearInterp(Peturbed_QZ,$K308,1,N$1),ZeroCompFreq,'PDH Calc'!$K308/365)</f>
        <v>1</v>
      </c>
      <c r="O308" s="8">
        <f ca="1">_xll.HLV5r3.Analytics.Miscellaneous.Zero2DF(_xll.HLV5r3.Analytics.Miscellaneous.LinearInterp(Peturbed_QZ,$K308,1,O$1),ZeroCompFreq,'PDH Calc'!$K308/365)</f>
        <v>1</v>
      </c>
      <c r="P308" s="8">
        <f ca="1">_xll.HLV5r3.Analytics.Miscellaneous.Zero2DF(_xll.HLV5r3.Analytics.Miscellaneous.LinearInterp(Peturbed_QZ,$K308,1,P$1),ZeroCompFreq,'PDH Calc'!$K308/365)</f>
        <v>1</v>
      </c>
      <c r="Q308" s="8">
        <f ca="1">_xll.HLV5r3.Analytics.Miscellaneous.Zero2DF(_xll.HLV5r3.Analytics.Miscellaneous.LinearInterp(Peturbed_QZ,$K308,1,Q$1),ZeroCompFreq,'PDH Calc'!$K308/365)</f>
        <v>1</v>
      </c>
      <c r="R308" s="8">
        <f ca="1">_xll.HLV5r3.Analytics.Miscellaneous.Zero2DF(_xll.HLV5r3.Analytics.Miscellaneous.LinearInterp(Peturbed_QZ,$K308,1,R$1),ZeroCompFreq,'PDH Calc'!$K308/365)</f>
        <v>1</v>
      </c>
      <c r="S308" s="8">
        <f ca="1">_xll.HLV5r3.Analytics.Miscellaneous.Zero2DF(_xll.HLV5r3.Analytics.Miscellaneous.LinearInterp(Peturbed_QZ,$K308,1,S$1),ZeroCompFreq,'PDH Calc'!$K308/365)</f>
        <v>1</v>
      </c>
      <c r="T308" s="8">
        <f ca="1">_xll.HLV5r3.Analytics.Miscellaneous.Zero2DF(_xll.HLV5r3.Analytics.Miscellaneous.LinearInterp(Peturbed_QZ,$K308,1,T$1),ZeroCompFreq,'PDH Calc'!$K308/365)</f>
        <v>1</v>
      </c>
      <c r="U308" s="8">
        <f ca="1">_xll.HLV5r3.Analytics.Miscellaneous.Zero2DF(_xll.HLV5r3.Analytics.Miscellaneous.LinearInterp(Peturbed_QZ,$K308,1,U$1),ZeroCompFreq,'PDH Calc'!$K308/365)</f>
        <v>1</v>
      </c>
      <c r="V308" s="8">
        <f ca="1">_xll.HLV5r3.Analytics.Miscellaneous.Zero2DF(_xll.HLV5r3.Analytics.Miscellaneous.LinearInterp(Peturbed_QZ,$K308,1,V$1),ZeroCompFreq,'PDH Calc'!$K308/365)</f>
        <v>1</v>
      </c>
      <c r="W308" s="8">
        <f ca="1">_xll.HLV5r3.Analytics.Miscellaneous.Zero2DF(_xll.HLV5r3.Analytics.Miscellaneous.LinearInterp(Peturbed_QZ,$K308,1,W$1),ZeroCompFreq,'PDH Calc'!$K308/365)</f>
        <v>1</v>
      </c>
      <c r="X308" s="8">
        <f ca="1">_xll.HLV5r3.Analytics.Miscellaneous.Zero2DF(_xll.HLV5r3.Analytics.Miscellaneous.LinearInterp(Peturbed_QZ,$K308,1,X$1),ZeroCompFreq,'PDH Calc'!$K308/365)</f>
        <v>1</v>
      </c>
      <c r="Y308" s="8">
        <f ca="1">_xll.HLV5r3.Analytics.Miscellaneous.Zero2DF(_xll.HLV5r3.Analytics.Miscellaneous.LinearInterp(Peturbed_QZ,$K308,1,Y$1),ZeroCompFreq,'PDH Calc'!$K308/365)</f>
        <v>1</v>
      </c>
      <c r="Z308" s="8">
        <f ca="1">_xll.HLV5r3.Analytics.Miscellaneous.Zero2DF(_xll.HLV5r3.Analytics.Miscellaneous.LinearInterp(Peturbed_QZ,$K308,1,Z$1),ZeroCompFreq,'PDH Calc'!$K308/365)</f>
        <v>1</v>
      </c>
      <c r="AA308" s="8">
        <f ca="1">_xll.HLV5r3.Analytics.Miscellaneous.Zero2DF(_xll.HLV5r3.Analytics.Miscellaneous.LinearInterp(Peturbed_QZ,$K308,1,AA$1),ZeroCompFreq,'PDH Calc'!$K308/365)</f>
        <v>1</v>
      </c>
      <c r="AB308" s="8">
        <f ca="1">_xll.HLV5r3.Analytics.Miscellaneous.Zero2DF(_xll.HLV5r3.Analytics.Miscellaneous.LinearInterp(Peturbed_QZ,$K308,1,AB$1),ZeroCompFreq,'PDH Calc'!$K308/365)</f>
        <v>1</v>
      </c>
      <c r="AC308" s="8">
        <f ca="1">_xll.HLV5r3.Analytics.Miscellaneous.Zero2DF(_xll.HLV5r3.Analytics.Miscellaneous.LinearInterp(Peturbed_QZ,$K308,1,AC$1),ZeroCompFreq,'PDH Calc'!$K308/365)</f>
        <v>1</v>
      </c>
      <c r="AD308" s="8">
        <f ca="1">_xll.HLV5r3.Analytics.Miscellaneous.Zero2DF(_xll.HLV5r3.Analytics.Miscellaneous.LinearInterp(Peturbed_QZ,$K308,1,AD$1),ZeroCompFreq,'PDH Calc'!$K308/365)</f>
        <v>1</v>
      </c>
      <c r="AE308" s="8">
        <f ca="1">_xll.HLV5r3.Analytics.Miscellaneous.Zero2DF(_xll.HLV5r3.Analytics.Miscellaneous.LinearInterp(Peturbed_QZ,$K308,1,AE$1),ZeroCompFreq,'PDH Calc'!$K308/365)</f>
        <v>1</v>
      </c>
      <c r="AF308" s="8">
        <f ca="1">_xll.HLV5r3.Analytics.Miscellaneous.Zero2DF(_xll.HLV5r3.Analytics.Miscellaneous.LinearInterp(Peturbed_QZ,$K308,1,AF$1),ZeroCompFreq,'PDH Calc'!$K308/365)</f>
        <v>1</v>
      </c>
      <c r="AG308" s="8">
        <f ca="1">_xll.HLV5r3.Analytics.Miscellaneous.Zero2DF(_xll.HLV5r3.Analytics.Miscellaneous.LinearInterp(Peturbed_QZ,$K308,1,AG$1),ZeroCompFreq,'PDH Calc'!$K308/365)</f>
        <v>1</v>
      </c>
      <c r="AH308" s="8">
        <f ca="1">_xll.HLV5r3.Analytics.Miscellaneous.Zero2DF(_xll.HLV5r3.Analytics.Miscellaneous.LinearInterp(Peturbed_QZ,$K308,1,AH$1),ZeroCompFreq,'PDH Calc'!$K308/365)</f>
        <v>1</v>
      </c>
      <c r="AI308" s="8">
        <f ca="1">_xll.HLV5r3.Analytics.Miscellaneous.Zero2DF(_xll.HLV5r3.Analytics.Miscellaneous.LinearInterp(Peturbed_QZ,$K308,1,AI$1),ZeroCompFreq,'PDH Calc'!$K308/365)</f>
        <v>1</v>
      </c>
      <c r="AJ308" s="8">
        <f ca="1">_xll.HLV5r3.Analytics.Miscellaneous.Zero2DF(_xll.HLV5r3.Analytics.Miscellaneous.LinearInterp(Peturbed_QZ,$K308,1,AJ$1),ZeroCompFreq,'PDH Calc'!$K308/365)</f>
        <v>1</v>
      </c>
      <c r="AK308" s="8">
        <f ca="1">_xll.HLV5r3.Analytics.Miscellaneous.Zero2DF(_xll.HLV5r3.Analytics.Miscellaneous.LinearInterp(Peturbed_QZ,$K308,1,AK$1),ZeroCompFreq,'PDH Calc'!$K308/365)</f>
        <v>1</v>
      </c>
    </row>
    <row r="309" spans="1:37">
      <c r="A309" s="4"/>
      <c r="B309" s="6"/>
      <c r="F309" s="11"/>
      <c r="G309" s="6"/>
      <c r="H309" s="20"/>
      <c r="I309" s="21"/>
      <c r="J309" s="26"/>
      <c r="K309" s="6">
        <f t="shared" ca="1" si="11"/>
        <v>0</v>
      </c>
      <c r="L309" s="8">
        <f ca="1">_xll.HLV5r3.Analytics.Miscellaneous.Zero2DF(_xll.HLV5r3.Analytics.Miscellaneous.LinearInterp(Peturbed_QZ,$K309,1,L$1),ZeroCompFreq,'PDH Calc'!$K309/365)</f>
        <v>1</v>
      </c>
      <c r="M309" s="8">
        <f ca="1">_xll.HLV5r3.Analytics.Miscellaneous.Zero2DF(_xll.HLV5r3.Analytics.Miscellaneous.LinearInterp(Peturbed_QZ,$K309,1,M$1),ZeroCompFreq,'PDH Calc'!$K309/365)</f>
        <v>1</v>
      </c>
      <c r="N309" s="8">
        <f ca="1">_xll.HLV5r3.Analytics.Miscellaneous.Zero2DF(_xll.HLV5r3.Analytics.Miscellaneous.LinearInterp(Peturbed_QZ,$K309,1,N$1),ZeroCompFreq,'PDH Calc'!$K309/365)</f>
        <v>1</v>
      </c>
      <c r="O309" s="8">
        <f ca="1">_xll.HLV5r3.Analytics.Miscellaneous.Zero2DF(_xll.HLV5r3.Analytics.Miscellaneous.LinearInterp(Peturbed_QZ,$K309,1,O$1),ZeroCompFreq,'PDH Calc'!$K309/365)</f>
        <v>1</v>
      </c>
      <c r="P309" s="8">
        <f ca="1">_xll.HLV5r3.Analytics.Miscellaneous.Zero2DF(_xll.HLV5r3.Analytics.Miscellaneous.LinearInterp(Peturbed_QZ,$K309,1,P$1),ZeroCompFreq,'PDH Calc'!$K309/365)</f>
        <v>1</v>
      </c>
      <c r="Q309" s="8">
        <f ca="1">_xll.HLV5r3.Analytics.Miscellaneous.Zero2DF(_xll.HLV5r3.Analytics.Miscellaneous.LinearInterp(Peturbed_QZ,$K309,1,Q$1),ZeroCompFreq,'PDH Calc'!$K309/365)</f>
        <v>1</v>
      </c>
      <c r="R309" s="8">
        <f ca="1">_xll.HLV5r3.Analytics.Miscellaneous.Zero2DF(_xll.HLV5r3.Analytics.Miscellaneous.LinearInterp(Peturbed_QZ,$K309,1,R$1),ZeroCompFreq,'PDH Calc'!$K309/365)</f>
        <v>1</v>
      </c>
      <c r="S309" s="8">
        <f ca="1">_xll.HLV5r3.Analytics.Miscellaneous.Zero2DF(_xll.HLV5r3.Analytics.Miscellaneous.LinearInterp(Peturbed_QZ,$K309,1,S$1),ZeroCompFreq,'PDH Calc'!$K309/365)</f>
        <v>1</v>
      </c>
      <c r="T309" s="8">
        <f ca="1">_xll.HLV5r3.Analytics.Miscellaneous.Zero2DF(_xll.HLV5r3.Analytics.Miscellaneous.LinearInterp(Peturbed_QZ,$K309,1,T$1),ZeroCompFreq,'PDH Calc'!$K309/365)</f>
        <v>1</v>
      </c>
      <c r="U309" s="8">
        <f ca="1">_xll.HLV5r3.Analytics.Miscellaneous.Zero2DF(_xll.HLV5r3.Analytics.Miscellaneous.LinearInterp(Peturbed_QZ,$K309,1,U$1),ZeroCompFreq,'PDH Calc'!$K309/365)</f>
        <v>1</v>
      </c>
      <c r="V309" s="8">
        <f ca="1">_xll.HLV5r3.Analytics.Miscellaneous.Zero2DF(_xll.HLV5r3.Analytics.Miscellaneous.LinearInterp(Peturbed_QZ,$K309,1,V$1),ZeroCompFreq,'PDH Calc'!$K309/365)</f>
        <v>1</v>
      </c>
      <c r="W309" s="8">
        <f ca="1">_xll.HLV5r3.Analytics.Miscellaneous.Zero2DF(_xll.HLV5r3.Analytics.Miscellaneous.LinearInterp(Peturbed_QZ,$K309,1,W$1),ZeroCompFreq,'PDH Calc'!$K309/365)</f>
        <v>1</v>
      </c>
      <c r="X309" s="8">
        <f ca="1">_xll.HLV5r3.Analytics.Miscellaneous.Zero2DF(_xll.HLV5r3.Analytics.Miscellaneous.LinearInterp(Peturbed_QZ,$K309,1,X$1),ZeroCompFreq,'PDH Calc'!$K309/365)</f>
        <v>1</v>
      </c>
      <c r="Y309" s="8">
        <f ca="1">_xll.HLV5r3.Analytics.Miscellaneous.Zero2DF(_xll.HLV5r3.Analytics.Miscellaneous.LinearInterp(Peturbed_QZ,$K309,1,Y$1),ZeroCompFreq,'PDH Calc'!$K309/365)</f>
        <v>1</v>
      </c>
      <c r="Z309" s="8">
        <f ca="1">_xll.HLV5r3.Analytics.Miscellaneous.Zero2DF(_xll.HLV5r3.Analytics.Miscellaneous.LinearInterp(Peturbed_QZ,$K309,1,Z$1),ZeroCompFreq,'PDH Calc'!$K309/365)</f>
        <v>1</v>
      </c>
      <c r="AA309" s="8">
        <f ca="1">_xll.HLV5r3.Analytics.Miscellaneous.Zero2DF(_xll.HLV5r3.Analytics.Miscellaneous.LinearInterp(Peturbed_QZ,$K309,1,AA$1),ZeroCompFreq,'PDH Calc'!$K309/365)</f>
        <v>1</v>
      </c>
      <c r="AB309" s="8">
        <f ca="1">_xll.HLV5r3.Analytics.Miscellaneous.Zero2DF(_xll.HLV5r3.Analytics.Miscellaneous.LinearInterp(Peturbed_QZ,$K309,1,AB$1),ZeroCompFreq,'PDH Calc'!$K309/365)</f>
        <v>1</v>
      </c>
      <c r="AC309" s="8">
        <f ca="1">_xll.HLV5r3.Analytics.Miscellaneous.Zero2DF(_xll.HLV5r3.Analytics.Miscellaneous.LinearInterp(Peturbed_QZ,$K309,1,AC$1),ZeroCompFreq,'PDH Calc'!$K309/365)</f>
        <v>1</v>
      </c>
      <c r="AD309" s="8">
        <f ca="1">_xll.HLV5r3.Analytics.Miscellaneous.Zero2DF(_xll.HLV5r3.Analytics.Miscellaneous.LinearInterp(Peturbed_QZ,$K309,1,AD$1),ZeroCompFreq,'PDH Calc'!$K309/365)</f>
        <v>1</v>
      </c>
      <c r="AE309" s="8">
        <f ca="1">_xll.HLV5r3.Analytics.Miscellaneous.Zero2DF(_xll.HLV5r3.Analytics.Miscellaneous.LinearInterp(Peturbed_QZ,$K309,1,AE$1),ZeroCompFreq,'PDH Calc'!$K309/365)</f>
        <v>1</v>
      </c>
      <c r="AF309" s="8">
        <f ca="1">_xll.HLV5r3.Analytics.Miscellaneous.Zero2DF(_xll.HLV5r3.Analytics.Miscellaneous.LinearInterp(Peturbed_QZ,$K309,1,AF$1),ZeroCompFreq,'PDH Calc'!$K309/365)</f>
        <v>1</v>
      </c>
      <c r="AG309" s="8">
        <f ca="1">_xll.HLV5r3.Analytics.Miscellaneous.Zero2DF(_xll.HLV5r3.Analytics.Miscellaneous.LinearInterp(Peturbed_QZ,$K309,1,AG$1),ZeroCompFreq,'PDH Calc'!$K309/365)</f>
        <v>1</v>
      </c>
      <c r="AH309" s="8">
        <f ca="1">_xll.HLV5r3.Analytics.Miscellaneous.Zero2DF(_xll.HLV5r3.Analytics.Miscellaneous.LinearInterp(Peturbed_QZ,$K309,1,AH$1),ZeroCompFreq,'PDH Calc'!$K309/365)</f>
        <v>1</v>
      </c>
      <c r="AI309" s="8">
        <f ca="1">_xll.HLV5r3.Analytics.Miscellaneous.Zero2DF(_xll.HLV5r3.Analytics.Miscellaneous.LinearInterp(Peturbed_QZ,$K309,1,AI$1),ZeroCompFreq,'PDH Calc'!$K309/365)</f>
        <v>1</v>
      </c>
      <c r="AJ309" s="8">
        <f ca="1">_xll.HLV5r3.Analytics.Miscellaneous.Zero2DF(_xll.HLV5r3.Analytics.Miscellaneous.LinearInterp(Peturbed_QZ,$K309,1,AJ$1),ZeroCompFreq,'PDH Calc'!$K309/365)</f>
        <v>1</v>
      </c>
      <c r="AK309" s="8">
        <f ca="1">_xll.HLV5r3.Analytics.Miscellaneous.Zero2DF(_xll.HLV5r3.Analytics.Miscellaneous.LinearInterp(Peturbed_QZ,$K309,1,AK$1),ZeroCompFreq,'PDH Calc'!$K309/365)</f>
        <v>1</v>
      </c>
    </row>
    <row r="310" spans="1:37">
      <c r="A310" s="4"/>
      <c r="B310" s="6"/>
      <c r="F310" s="11"/>
      <c r="G310" s="6"/>
      <c r="H310" s="20"/>
      <c r="I310" s="21"/>
      <c r="J310" s="26"/>
      <c r="K310" s="6">
        <f t="shared" ca="1" si="11"/>
        <v>0</v>
      </c>
      <c r="L310" s="8">
        <f ca="1">_xll.HLV5r3.Analytics.Miscellaneous.Zero2DF(_xll.HLV5r3.Analytics.Miscellaneous.LinearInterp(Peturbed_QZ,$K310,1,L$1),ZeroCompFreq,'PDH Calc'!$K310/365)</f>
        <v>1</v>
      </c>
      <c r="M310" s="8">
        <f ca="1">_xll.HLV5r3.Analytics.Miscellaneous.Zero2DF(_xll.HLV5r3.Analytics.Miscellaneous.LinearInterp(Peturbed_QZ,$K310,1,M$1),ZeroCompFreq,'PDH Calc'!$K310/365)</f>
        <v>1</v>
      </c>
      <c r="N310" s="8">
        <f ca="1">_xll.HLV5r3.Analytics.Miscellaneous.Zero2DF(_xll.HLV5r3.Analytics.Miscellaneous.LinearInterp(Peturbed_QZ,$K310,1,N$1),ZeroCompFreq,'PDH Calc'!$K310/365)</f>
        <v>1</v>
      </c>
      <c r="O310" s="8">
        <f ca="1">_xll.HLV5r3.Analytics.Miscellaneous.Zero2DF(_xll.HLV5r3.Analytics.Miscellaneous.LinearInterp(Peturbed_QZ,$K310,1,O$1),ZeroCompFreq,'PDH Calc'!$K310/365)</f>
        <v>1</v>
      </c>
      <c r="P310" s="8">
        <f ca="1">_xll.HLV5r3.Analytics.Miscellaneous.Zero2DF(_xll.HLV5r3.Analytics.Miscellaneous.LinearInterp(Peturbed_QZ,$K310,1,P$1),ZeroCompFreq,'PDH Calc'!$K310/365)</f>
        <v>1</v>
      </c>
      <c r="Q310" s="8">
        <f ca="1">_xll.HLV5r3.Analytics.Miscellaneous.Zero2DF(_xll.HLV5r3.Analytics.Miscellaneous.LinearInterp(Peturbed_QZ,$K310,1,Q$1),ZeroCompFreq,'PDH Calc'!$K310/365)</f>
        <v>1</v>
      </c>
      <c r="R310" s="8">
        <f ca="1">_xll.HLV5r3.Analytics.Miscellaneous.Zero2DF(_xll.HLV5r3.Analytics.Miscellaneous.LinearInterp(Peturbed_QZ,$K310,1,R$1),ZeroCompFreq,'PDH Calc'!$K310/365)</f>
        <v>1</v>
      </c>
      <c r="S310" s="8">
        <f ca="1">_xll.HLV5r3.Analytics.Miscellaneous.Zero2DF(_xll.HLV5r3.Analytics.Miscellaneous.LinearInterp(Peturbed_QZ,$K310,1,S$1),ZeroCompFreq,'PDH Calc'!$K310/365)</f>
        <v>1</v>
      </c>
      <c r="T310" s="8">
        <f ca="1">_xll.HLV5r3.Analytics.Miscellaneous.Zero2DF(_xll.HLV5r3.Analytics.Miscellaneous.LinearInterp(Peturbed_QZ,$K310,1,T$1),ZeroCompFreq,'PDH Calc'!$K310/365)</f>
        <v>1</v>
      </c>
      <c r="U310" s="8">
        <f ca="1">_xll.HLV5r3.Analytics.Miscellaneous.Zero2DF(_xll.HLV5r3.Analytics.Miscellaneous.LinearInterp(Peturbed_QZ,$K310,1,U$1),ZeroCompFreq,'PDH Calc'!$K310/365)</f>
        <v>1</v>
      </c>
      <c r="V310" s="8">
        <f ca="1">_xll.HLV5r3.Analytics.Miscellaneous.Zero2DF(_xll.HLV5r3.Analytics.Miscellaneous.LinearInterp(Peturbed_QZ,$K310,1,V$1),ZeroCompFreq,'PDH Calc'!$K310/365)</f>
        <v>1</v>
      </c>
      <c r="W310" s="8">
        <f ca="1">_xll.HLV5r3.Analytics.Miscellaneous.Zero2DF(_xll.HLV5r3.Analytics.Miscellaneous.LinearInterp(Peturbed_QZ,$K310,1,W$1),ZeroCompFreq,'PDH Calc'!$K310/365)</f>
        <v>1</v>
      </c>
      <c r="X310" s="8">
        <f ca="1">_xll.HLV5r3.Analytics.Miscellaneous.Zero2DF(_xll.HLV5r3.Analytics.Miscellaneous.LinearInterp(Peturbed_QZ,$K310,1,X$1),ZeroCompFreq,'PDH Calc'!$K310/365)</f>
        <v>1</v>
      </c>
      <c r="Y310" s="8">
        <f ca="1">_xll.HLV5r3.Analytics.Miscellaneous.Zero2DF(_xll.HLV5r3.Analytics.Miscellaneous.LinearInterp(Peturbed_QZ,$K310,1,Y$1),ZeroCompFreq,'PDH Calc'!$K310/365)</f>
        <v>1</v>
      </c>
      <c r="Z310" s="8">
        <f ca="1">_xll.HLV5r3.Analytics.Miscellaneous.Zero2DF(_xll.HLV5r3.Analytics.Miscellaneous.LinearInterp(Peturbed_QZ,$K310,1,Z$1),ZeroCompFreq,'PDH Calc'!$K310/365)</f>
        <v>1</v>
      </c>
      <c r="AA310" s="8">
        <f ca="1">_xll.HLV5r3.Analytics.Miscellaneous.Zero2DF(_xll.HLV5r3.Analytics.Miscellaneous.LinearInterp(Peturbed_QZ,$K310,1,AA$1),ZeroCompFreq,'PDH Calc'!$K310/365)</f>
        <v>1</v>
      </c>
      <c r="AB310" s="8">
        <f ca="1">_xll.HLV5r3.Analytics.Miscellaneous.Zero2DF(_xll.HLV5r3.Analytics.Miscellaneous.LinearInterp(Peturbed_QZ,$K310,1,AB$1),ZeroCompFreq,'PDH Calc'!$K310/365)</f>
        <v>1</v>
      </c>
      <c r="AC310" s="8">
        <f ca="1">_xll.HLV5r3.Analytics.Miscellaneous.Zero2DF(_xll.HLV5r3.Analytics.Miscellaneous.LinearInterp(Peturbed_QZ,$K310,1,AC$1),ZeroCompFreq,'PDH Calc'!$K310/365)</f>
        <v>1</v>
      </c>
      <c r="AD310" s="8">
        <f ca="1">_xll.HLV5r3.Analytics.Miscellaneous.Zero2DF(_xll.HLV5r3.Analytics.Miscellaneous.LinearInterp(Peturbed_QZ,$K310,1,AD$1),ZeroCompFreq,'PDH Calc'!$K310/365)</f>
        <v>1</v>
      </c>
      <c r="AE310" s="8">
        <f ca="1">_xll.HLV5r3.Analytics.Miscellaneous.Zero2DF(_xll.HLV5r3.Analytics.Miscellaneous.LinearInterp(Peturbed_QZ,$K310,1,AE$1),ZeroCompFreq,'PDH Calc'!$K310/365)</f>
        <v>1</v>
      </c>
      <c r="AF310" s="8">
        <f ca="1">_xll.HLV5r3.Analytics.Miscellaneous.Zero2DF(_xll.HLV5r3.Analytics.Miscellaneous.LinearInterp(Peturbed_QZ,$K310,1,AF$1),ZeroCompFreq,'PDH Calc'!$K310/365)</f>
        <v>1</v>
      </c>
      <c r="AG310" s="8">
        <f ca="1">_xll.HLV5r3.Analytics.Miscellaneous.Zero2DF(_xll.HLV5r3.Analytics.Miscellaneous.LinearInterp(Peturbed_QZ,$K310,1,AG$1),ZeroCompFreq,'PDH Calc'!$K310/365)</f>
        <v>1</v>
      </c>
      <c r="AH310" s="8">
        <f ca="1">_xll.HLV5r3.Analytics.Miscellaneous.Zero2DF(_xll.HLV5r3.Analytics.Miscellaneous.LinearInterp(Peturbed_QZ,$K310,1,AH$1),ZeroCompFreq,'PDH Calc'!$K310/365)</f>
        <v>1</v>
      </c>
      <c r="AI310" s="8">
        <f ca="1">_xll.HLV5r3.Analytics.Miscellaneous.Zero2DF(_xll.HLV5r3.Analytics.Miscellaneous.LinearInterp(Peturbed_QZ,$K310,1,AI$1),ZeroCompFreq,'PDH Calc'!$K310/365)</f>
        <v>1</v>
      </c>
      <c r="AJ310" s="8">
        <f ca="1">_xll.HLV5r3.Analytics.Miscellaneous.Zero2DF(_xll.HLV5r3.Analytics.Miscellaneous.LinearInterp(Peturbed_QZ,$K310,1,AJ$1),ZeroCompFreq,'PDH Calc'!$K310/365)</f>
        <v>1</v>
      </c>
      <c r="AK310" s="8">
        <f ca="1">_xll.HLV5r3.Analytics.Miscellaneous.Zero2DF(_xll.HLV5r3.Analytics.Miscellaneous.LinearInterp(Peturbed_QZ,$K310,1,AK$1),ZeroCompFreq,'PDH Calc'!$K310/365)</f>
        <v>1</v>
      </c>
    </row>
    <row r="311" spans="1:37">
      <c r="A311" s="4"/>
      <c r="B311" s="6"/>
      <c r="F311" s="11"/>
      <c r="G311" s="6"/>
      <c r="H311" s="20"/>
      <c r="I311" s="21"/>
      <c r="J311" s="26"/>
      <c r="K311" s="6">
        <f t="shared" ca="1" si="11"/>
        <v>0</v>
      </c>
      <c r="L311" s="8">
        <f ca="1">_xll.HLV5r3.Analytics.Miscellaneous.Zero2DF(_xll.HLV5r3.Analytics.Miscellaneous.LinearInterp(Peturbed_QZ,$K311,1,L$1),ZeroCompFreq,'PDH Calc'!$K311/365)</f>
        <v>1</v>
      </c>
      <c r="M311" s="8">
        <f ca="1">_xll.HLV5r3.Analytics.Miscellaneous.Zero2DF(_xll.HLV5r3.Analytics.Miscellaneous.LinearInterp(Peturbed_QZ,$K311,1,M$1),ZeroCompFreq,'PDH Calc'!$K311/365)</f>
        <v>1</v>
      </c>
      <c r="N311" s="8">
        <f ca="1">_xll.HLV5r3.Analytics.Miscellaneous.Zero2DF(_xll.HLV5r3.Analytics.Miscellaneous.LinearInterp(Peturbed_QZ,$K311,1,N$1),ZeroCompFreq,'PDH Calc'!$K311/365)</f>
        <v>1</v>
      </c>
      <c r="O311" s="8">
        <f ca="1">_xll.HLV5r3.Analytics.Miscellaneous.Zero2DF(_xll.HLV5r3.Analytics.Miscellaneous.LinearInterp(Peturbed_QZ,$K311,1,O$1),ZeroCompFreq,'PDH Calc'!$K311/365)</f>
        <v>1</v>
      </c>
      <c r="P311" s="8">
        <f ca="1">_xll.HLV5r3.Analytics.Miscellaneous.Zero2DF(_xll.HLV5r3.Analytics.Miscellaneous.LinearInterp(Peturbed_QZ,$K311,1,P$1),ZeroCompFreq,'PDH Calc'!$K311/365)</f>
        <v>1</v>
      </c>
      <c r="Q311" s="8">
        <f ca="1">_xll.HLV5r3.Analytics.Miscellaneous.Zero2DF(_xll.HLV5r3.Analytics.Miscellaneous.LinearInterp(Peturbed_QZ,$K311,1,Q$1),ZeroCompFreq,'PDH Calc'!$K311/365)</f>
        <v>1</v>
      </c>
      <c r="R311" s="8">
        <f ca="1">_xll.HLV5r3.Analytics.Miscellaneous.Zero2DF(_xll.HLV5r3.Analytics.Miscellaneous.LinearInterp(Peturbed_QZ,$K311,1,R$1),ZeroCompFreq,'PDH Calc'!$K311/365)</f>
        <v>1</v>
      </c>
      <c r="S311" s="8">
        <f ca="1">_xll.HLV5r3.Analytics.Miscellaneous.Zero2DF(_xll.HLV5r3.Analytics.Miscellaneous.LinearInterp(Peturbed_QZ,$K311,1,S$1),ZeroCompFreq,'PDH Calc'!$K311/365)</f>
        <v>1</v>
      </c>
      <c r="T311" s="8">
        <f ca="1">_xll.HLV5r3.Analytics.Miscellaneous.Zero2DF(_xll.HLV5r3.Analytics.Miscellaneous.LinearInterp(Peturbed_QZ,$K311,1,T$1),ZeroCompFreq,'PDH Calc'!$K311/365)</f>
        <v>1</v>
      </c>
      <c r="U311" s="8">
        <f ca="1">_xll.HLV5r3.Analytics.Miscellaneous.Zero2DF(_xll.HLV5r3.Analytics.Miscellaneous.LinearInterp(Peturbed_QZ,$K311,1,U$1),ZeroCompFreq,'PDH Calc'!$K311/365)</f>
        <v>1</v>
      </c>
      <c r="V311" s="8">
        <f ca="1">_xll.HLV5r3.Analytics.Miscellaneous.Zero2DF(_xll.HLV5r3.Analytics.Miscellaneous.LinearInterp(Peturbed_QZ,$K311,1,V$1),ZeroCompFreq,'PDH Calc'!$K311/365)</f>
        <v>1</v>
      </c>
      <c r="W311" s="8">
        <f ca="1">_xll.HLV5r3.Analytics.Miscellaneous.Zero2DF(_xll.HLV5r3.Analytics.Miscellaneous.LinearInterp(Peturbed_QZ,$K311,1,W$1),ZeroCompFreq,'PDH Calc'!$K311/365)</f>
        <v>1</v>
      </c>
      <c r="X311" s="8">
        <f ca="1">_xll.HLV5r3.Analytics.Miscellaneous.Zero2DF(_xll.HLV5r3.Analytics.Miscellaneous.LinearInterp(Peturbed_QZ,$K311,1,X$1),ZeroCompFreq,'PDH Calc'!$K311/365)</f>
        <v>1</v>
      </c>
      <c r="Y311" s="8">
        <f ca="1">_xll.HLV5r3.Analytics.Miscellaneous.Zero2DF(_xll.HLV5r3.Analytics.Miscellaneous.LinearInterp(Peturbed_QZ,$K311,1,Y$1),ZeroCompFreq,'PDH Calc'!$K311/365)</f>
        <v>1</v>
      </c>
      <c r="Z311" s="8">
        <f ca="1">_xll.HLV5r3.Analytics.Miscellaneous.Zero2DF(_xll.HLV5r3.Analytics.Miscellaneous.LinearInterp(Peturbed_QZ,$K311,1,Z$1),ZeroCompFreq,'PDH Calc'!$K311/365)</f>
        <v>1</v>
      </c>
      <c r="AA311" s="8">
        <f ca="1">_xll.HLV5r3.Analytics.Miscellaneous.Zero2DF(_xll.HLV5r3.Analytics.Miscellaneous.LinearInterp(Peturbed_QZ,$K311,1,AA$1),ZeroCompFreq,'PDH Calc'!$K311/365)</f>
        <v>1</v>
      </c>
      <c r="AB311" s="8">
        <f ca="1">_xll.HLV5r3.Analytics.Miscellaneous.Zero2DF(_xll.HLV5r3.Analytics.Miscellaneous.LinearInterp(Peturbed_QZ,$K311,1,AB$1),ZeroCompFreq,'PDH Calc'!$K311/365)</f>
        <v>1</v>
      </c>
      <c r="AC311" s="8">
        <f ca="1">_xll.HLV5r3.Analytics.Miscellaneous.Zero2DF(_xll.HLV5r3.Analytics.Miscellaneous.LinearInterp(Peturbed_QZ,$K311,1,AC$1),ZeroCompFreq,'PDH Calc'!$K311/365)</f>
        <v>1</v>
      </c>
      <c r="AD311" s="8">
        <f ca="1">_xll.HLV5r3.Analytics.Miscellaneous.Zero2DF(_xll.HLV5r3.Analytics.Miscellaneous.LinearInterp(Peturbed_QZ,$K311,1,AD$1),ZeroCompFreq,'PDH Calc'!$K311/365)</f>
        <v>1</v>
      </c>
      <c r="AE311" s="8">
        <f ca="1">_xll.HLV5r3.Analytics.Miscellaneous.Zero2DF(_xll.HLV5r3.Analytics.Miscellaneous.LinearInterp(Peturbed_QZ,$K311,1,AE$1),ZeroCompFreq,'PDH Calc'!$K311/365)</f>
        <v>1</v>
      </c>
      <c r="AF311" s="8">
        <f ca="1">_xll.HLV5r3.Analytics.Miscellaneous.Zero2DF(_xll.HLV5r3.Analytics.Miscellaneous.LinearInterp(Peturbed_QZ,$K311,1,AF$1),ZeroCompFreq,'PDH Calc'!$K311/365)</f>
        <v>1</v>
      </c>
      <c r="AG311" s="8">
        <f ca="1">_xll.HLV5r3.Analytics.Miscellaneous.Zero2DF(_xll.HLV5r3.Analytics.Miscellaneous.LinearInterp(Peturbed_QZ,$K311,1,AG$1),ZeroCompFreq,'PDH Calc'!$K311/365)</f>
        <v>1</v>
      </c>
      <c r="AH311" s="8">
        <f ca="1">_xll.HLV5r3.Analytics.Miscellaneous.Zero2DF(_xll.HLV5r3.Analytics.Miscellaneous.LinearInterp(Peturbed_QZ,$K311,1,AH$1),ZeroCompFreq,'PDH Calc'!$K311/365)</f>
        <v>1</v>
      </c>
      <c r="AI311" s="8">
        <f ca="1">_xll.HLV5r3.Analytics.Miscellaneous.Zero2DF(_xll.HLV5r3.Analytics.Miscellaneous.LinearInterp(Peturbed_QZ,$K311,1,AI$1),ZeroCompFreq,'PDH Calc'!$K311/365)</f>
        <v>1</v>
      </c>
      <c r="AJ311" s="8">
        <f ca="1">_xll.HLV5r3.Analytics.Miscellaneous.Zero2DF(_xll.HLV5r3.Analytics.Miscellaneous.LinearInterp(Peturbed_QZ,$K311,1,AJ$1),ZeroCompFreq,'PDH Calc'!$K311/365)</f>
        <v>1</v>
      </c>
      <c r="AK311" s="8">
        <f ca="1">_xll.HLV5r3.Analytics.Miscellaneous.Zero2DF(_xll.HLV5r3.Analytics.Miscellaneous.LinearInterp(Peturbed_QZ,$K311,1,AK$1),ZeroCompFreq,'PDH Calc'!$K311/365)</f>
        <v>1</v>
      </c>
    </row>
    <row r="312" spans="1:37">
      <c r="A312" s="4"/>
      <c r="B312" s="6"/>
      <c r="F312" s="11"/>
      <c r="G312" s="6"/>
      <c r="H312" s="20"/>
      <c r="I312" s="21"/>
      <c r="J312" s="26"/>
      <c r="K312" s="6">
        <f t="shared" ca="1" si="11"/>
        <v>0</v>
      </c>
      <c r="L312" s="8">
        <f ca="1">_xll.HLV5r3.Analytics.Miscellaneous.Zero2DF(_xll.HLV5r3.Analytics.Miscellaneous.LinearInterp(Peturbed_QZ,$K312,1,L$1),ZeroCompFreq,'PDH Calc'!$K312/365)</f>
        <v>1</v>
      </c>
      <c r="M312" s="8">
        <f ca="1">_xll.HLV5r3.Analytics.Miscellaneous.Zero2DF(_xll.HLV5r3.Analytics.Miscellaneous.LinearInterp(Peturbed_QZ,$K312,1,M$1),ZeroCompFreq,'PDH Calc'!$K312/365)</f>
        <v>1</v>
      </c>
      <c r="N312" s="8">
        <f ca="1">_xll.HLV5r3.Analytics.Miscellaneous.Zero2DF(_xll.HLV5r3.Analytics.Miscellaneous.LinearInterp(Peturbed_QZ,$K312,1,N$1),ZeroCompFreq,'PDH Calc'!$K312/365)</f>
        <v>1</v>
      </c>
      <c r="O312" s="8">
        <f ca="1">_xll.HLV5r3.Analytics.Miscellaneous.Zero2DF(_xll.HLV5r3.Analytics.Miscellaneous.LinearInterp(Peturbed_QZ,$K312,1,O$1),ZeroCompFreq,'PDH Calc'!$K312/365)</f>
        <v>1</v>
      </c>
      <c r="P312" s="8">
        <f ca="1">_xll.HLV5r3.Analytics.Miscellaneous.Zero2DF(_xll.HLV5r3.Analytics.Miscellaneous.LinearInterp(Peturbed_QZ,$K312,1,P$1),ZeroCompFreq,'PDH Calc'!$K312/365)</f>
        <v>1</v>
      </c>
      <c r="Q312" s="8">
        <f ca="1">_xll.HLV5r3.Analytics.Miscellaneous.Zero2DF(_xll.HLV5r3.Analytics.Miscellaneous.LinearInterp(Peturbed_QZ,$K312,1,Q$1),ZeroCompFreq,'PDH Calc'!$K312/365)</f>
        <v>1</v>
      </c>
      <c r="R312" s="8">
        <f ca="1">_xll.HLV5r3.Analytics.Miscellaneous.Zero2DF(_xll.HLV5r3.Analytics.Miscellaneous.LinearInterp(Peturbed_QZ,$K312,1,R$1),ZeroCompFreq,'PDH Calc'!$K312/365)</f>
        <v>1</v>
      </c>
      <c r="S312" s="8">
        <f ca="1">_xll.HLV5r3.Analytics.Miscellaneous.Zero2DF(_xll.HLV5r3.Analytics.Miscellaneous.LinearInterp(Peturbed_QZ,$K312,1,S$1),ZeroCompFreq,'PDH Calc'!$K312/365)</f>
        <v>1</v>
      </c>
      <c r="T312" s="8">
        <f ca="1">_xll.HLV5r3.Analytics.Miscellaneous.Zero2DF(_xll.HLV5r3.Analytics.Miscellaneous.LinearInterp(Peturbed_QZ,$K312,1,T$1),ZeroCompFreq,'PDH Calc'!$K312/365)</f>
        <v>1</v>
      </c>
      <c r="U312" s="8">
        <f ca="1">_xll.HLV5r3.Analytics.Miscellaneous.Zero2DF(_xll.HLV5r3.Analytics.Miscellaneous.LinearInterp(Peturbed_QZ,$K312,1,U$1),ZeroCompFreq,'PDH Calc'!$K312/365)</f>
        <v>1</v>
      </c>
      <c r="V312" s="8">
        <f ca="1">_xll.HLV5r3.Analytics.Miscellaneous.Zero2DF(_xll.HLV5r3.Analytics.Miscellaneous.LinearInterp(Peturbed_QZ,$K312,1,V$1),ZeroCompFreq,'PDH Calc'!$K312/365)</f>
        <v>1</v>
      </c>
      <c r="W312" s="8">
        <f ca="1">_xll.HLV5r3.Analytics.Miscellaneous.Zero2DF(_xll.HLV5r3.Analytics.Miscellaneous.LinearInterp(Peturbed_QZ,$K312,1,W$1),ZeroCompFreq,'PDH Calc'!$K312/365)</f>
        <v>1</v>
      </c>
      <c r="X312" s="8">
        <f ca="1">_xll.HLV5r3.Analytics.Miscellaneous.Zero2DF(_xll.HLV5r3.Analytics.Miscellaneous.LinearInterp(Peturbed_QZ,$K312,1,X$1),ZeroCompFreq,'PDH Calc'!$K312/365)</f>
        <v>1</v>
      </c>
      <c r="Y312" s="8">
        <f ca="1">_xll.HLV5r3.Analytics.Miscellaneous.Zero2DF(_xll.HLV5r3.Analytics.Miscellaneous.LinearInterp(Peturbed_QZ,$K312,1,Y$1),ZeroCompFreq,'PDH Calc'!$K312/365)</f>
        <v>1</v>
      </c>
      <c r="Z312" s="8">
        <f ca="1">_xll.HLV5r3.Analytics.Miscellaneous.Zero2DF(_xll.HLV5r3.Analytics.Miscellaneous.LinearInterp(Peturbed_QZ,$K312,1,Z$1),ZeroCompFreq,'PDH Calc'!$K312/365)</f>
        <v>1</v>
      </c>
      <c r="AA312" s="8">
        <f ca="1">_xll.HLV5r3.Analytics.Miscellaneous.Zero2DF(_xll.HLV5r3.Analytics.Miscellaneous.LinearInterp(Peturbed_QZ,$K312,1,AA$1),ZeroCompFreq,'PDH Calc'!$K312/365)</f>
        <v>1</v>
      </c>
      <c r="AB312" s="8">
        <f ca="1">_xll.HLV5r3.Analytics.Miscellaneous.Zero2DF(_xll.HLV5r3.Analytics.Miscellaneous.LinearInterp(Peturbed_QZ,$K312,1,AB$1),ZeroCompFreq,'PDH Calc'!$K312/365)</f>
        <v>1</v>
      </c>
      <c r="AC312" s="8">
        <f ca="1">_xll.HLV5r3.Analytics.Miscellaneous.Zero2DF(_xll.HLV5r3.Analytics.Miscellaneous.LinearInterp(Peturbed_QZ,$K312,1,AC$1),ZeroCompFreq,'PDH Calc'!$K312/365)</f>
        <v>1</v>
      </c>
      <c r="AD312" s="8">
        <f ca="1">_xll.HLV5r3.Analytics.Miscellaneous.Zero2DF(_xll.HLV5r3.Analytics.Miscellaneous.LinearInterp(Peturbed_QZ,$K312,1,AD$1),ZeroCompFreq,'PDH Calc'!$K312/365)</f>
        <v>1</v>
      </c>
      <c r="AE312" s="8">
        <f ca="1">_xll.HLV5r3.Analytics.Miscellaneous.Zero2DF(_xll.HLV5r3.Analytics.Miscellaneous.LinearInterp(Peturbed_QZ,$K312,1,AE$1),ZeroCompFreq,'PDH Calc'!$K312/365)</f>
        <v>1</v>
      </c>
      <c r="AF312" s="8">
        <f ca="1">_xll.HLV5r3.Analytics.Miscellaneous.Zero2DF(_xll.HLV5r3.Analytics.Miscellaneous.LinearInterp(Peturbed_QZ,$K312,1,AF$1),ZeroCompFreq,'PDH Calc'!$K312/365)</f>
        <v>1</v>
      </c>
      <c r="AG312" s="8">
        <f ca="1">_xll.HLV5r3.Analytics.Miscellaneous.Zero2DF(_xll.HLV5r3.Analytics.Miscellaneous.LinearInterp(Peturbed_QZ,$K312,1,AG$1),ZeroCompFreq,'PDH Calc'!$K312/365)</f>
        <v>1</v>
      </c>
      <c r="AH312" s="8">
        <f ca="1">_xll.HLV5r3.Analytics.Miscellaneous.Zero2DF(_xll.HLV5r3.Analytics.Miscellaneous.LinearInterp(Peturbed_QZ,$K312,1,AH$1),ZeroCompFreq,'PDH Calc'!$K312/365)</f>
        <v>1</v>
      </c>
      <c r="AI312" s="8">
        <f ca="1">_xll.HLV5r3.Analytics.Miscellaneous.Zero2DF(_xll.HLV5r3.Analytics.Miscellaneous.LinearInterp(Peturbed_QZ,$K312,1,AI$1),ZeroCompFreq,'PDH Calc'!$K312/365)</f>
        <v>1</v>
      </c>
      <c r="AJ312" s="8">
        <f ca="1">_xll.HLV5r3.Analytics.Miscellaneous.Zero2DF(_xll.HLV5r3.Analytics.Miscellaneous.LinearInterp(Peturbed_QZ,$K312,1,AJ$1),ZeroCompFreq,'PDH Calc'!$K312/365)</f>
        <v>1</v>
      </c>
      <c r="AK312" s="8">
        <f ca="1">_xll.HLV5r3.Analytics.Miscellaneous.Zero2DF(_xll.HLV5r3.Analytics.Miscellaneous.LinearInterp(Peturbed_QZ,$K312,1,AK$1),ZeroCompFreq,'PDH Calc'!$K312/365)</f>
        <v>1</v>
      </c>
    </row>
    <row r="313" spans="1:37">
      <c r="A313" s="4"/>
      <c r="B313" s="6"/>
      <c r="F313" s="11"/>
      <c r="G313" s="6"/>
      <c r="H313" s="20"/>
      <c r="I313" s="21"/>
      <c r="J313" s="26"/>
      <c r="K313" s="6">
        <f t="shared" ca="1" si="11"/>
        <v>0</v>
      </c>
      <c r="L313" s="8">
        <f ca="1">_xll.HLV5r3.Analytics.Miscellaneous.Zero2DF(_xll.HLV5r3.Analytics.Miscellaneous.LinearInterp(Peturbed_QZ,$K313,1,L$1),ZeroCompFreq,'PDH Calc'!$K313/365)</f>
        <v>1</v>
      </c>
      <c r="M313" s="8">
        <f ca="1">_xll.HLV5r3.Analytics.Miscellaneous.Zero2DF(_xll.HLV5r3.Analytics.Miscellaneous.LinearInterp(Peturbed_QZ,$K313,1,M$1),ZeroCompFreq,'PDH Calc'!$K313/365)</f>
        <v>1</v>
      </c>
      <c r="N313" s="8">
        <f ca="1">_xll.HLV5r3.Analytics.Miscellaneous.Zero2DF(_xll.HLV5r3.Analytics.Miscellaneous.LinearInterp(Peturbed_QZ,$K313,1,N$1),ZeroCompFreq,'PDH Calc'!$K313/365)</f>
        <v>1</v>
      </c>
      <c r="O313" s="8">
        <f ca="1">_xll.HLV5r3.Analytics.Miscellaneous.Zero2DF(_xll.HLV5r3.Analytics.Miscellaneous.LinearInterp(Peturbed_QZ,$K313,1,O$1),ZeroCompFreq,'PDH Calc'!$K313/365)</f>
        <v>1</v>
      </c>
      <c r="P313" s="8">
        <f ca="1">_xll.HLV5r3.Analytics.Miscellaneous.Zero2DF(_xll.HLV5r3.Analytics.Miscellaneous.LinearInterp(Peturbed_QZ,$K313,1,P$1),ZeroCompFreq,'PDH Calc'!$K313/365)</f>
        <v>1</v>
      </c>
      <c r="Q313" s="8">
        <f ca="1">_xll.HLV5r3.Analytics.Miscellaneous.Zero2DF(_xll.HLV5r3.Analytics.Miscellaneous.LinearInterp(Peturbed_QZ,$K313,1,Q$1),ZeroCompFreq,'PDH Calc'!$K313/365)</f>
        <v>1</v>
      </c>
      <c r="R313" s="8">
        <f ca="1">_xll.HLV5r3.Analytics.Miscellaneous.Zero2DF(_xll.HLV5r3.Analytics.Miscellaneous.LinearInterp(Peturbed_QZ,$K313,1,R$1),ZeroCompFreq,'PDH Calc'!$K313/365)</f>
        <v>1</v>
      </c>
      <c r="S313" s="8">
        <f ca="1">_xll.HLV5r3.Analytics.Miscellaneous.Zero2DF(_xll.HLV5r3.Analytics.Miscellaneous.LinearInterp(Peturbed_QZ,$K313,1,S$1),ZeroCompFreq,'PDH Calc'!$K313/365)</f>
        <v>1</v>
      </c>
      <c r="T313" s="8">
        <f ca="1">_xll.HLV5r3.Analytics.Miscellaneous.Zero2DF(_xll.HLV5r3.Analytics.Miscellaneous.LinearInterp(Peturbed_QZ,$K313,1,T$1),ZeroCompFreq,'PDH Calc'!$K313/365)</f>
        <v>1</v>
      </c>
      <c r="U313" s="8">
        <f ca="1">_xll.HLV5r3.Analytics.Miscellaneous.Zero2DF(_xll.HLV5r3.Analytics.Miscellaneous.LinearInterp(Peturbed_QZ,$K313,1,U$1),ZeroCompFreq,'PDH Calc'!$K313/365)</f>
        <v>1</v>
      </c>
      <c r="V313" s="8">
        <f ca="1">_xll.HLV5r3.Analytics.Miscellaneous.Zero2DF(_xll.HLV5r3.Analytics.Miscellaneous.LinearInterp(Peturbed_QZ,$K313,1,V$1),ZeroCompFreq,'PDH Calc'!$K313/365)</f>
        <v>1</v>
      </c>
      <c r="W313" s="8">
        <f ca="1">_xll.HLV5r3.Analytics.Miscellaneous.Zero2DF(_xll.HLV5r3.Analytics.Miscellaneous.LinearInterp(Peturbed_QZ,$K313,1,W$1),ZeroCompFreq,'PDH Calc'!$K313/365)</f>
        <v>1</v>
      </c>
      <c r="X313" s="8">
        <f ca="1">_xll.HLV5r3.Analytics.Miscellaneous.Zero2DF(_xll.HLV5r3.Analytics.Miscellaneous.LinearInterp(Peturbed_QZ,$K313,1,X$1),ZeroCompFreq,'PDH Calc'!$K313/365)</f>
        <v>1</v>
      </c>
      <c r="Y313" s="8">
        <f ca="1">_xll.HLV5r3.Analytics.Miscellaneous.Zero2DF(_xll.HLV5r3.Analytics.Miscellaneous.LinearInterp(Peturbed_QZ,$K313,1,Y$1),ZeroCompFreq,'PDH Calc'!$K313/365)</f>
        <v>1</v>
      </c>
      <c r="Z313" s="8">
        <f ca="1">_xll.HLV5r3.Analytics.Miscellaneous.Zero2DF(_xll.HLV5r3.Analytics.Miscellaneous.LinearInterp(Peturbed_QZ,$K313,1,Z$1),ZeroCompFreq,'PDH Calc'!$K313/365)</f>
        <v>1</v>
      </c>
      <c r="AA313" s="8">
        <f ca="1">_xll.HLV5r3.Analytics.Miscellaneous.Zero2DF(_xll.HLV5r3.Analytics.Miscellaneous.LinearInterp(Peturbed_QZ,$K313,1,AA$1),ZeroCompFreq,'PDH Calc'!$K313/365)</f>
        <v>1</v>
      </c>
      <c r="AB313" s="8">
        <f ca="1">_xll.HLV5r3.Analytics.Miscellaneous.Zero2DF(_xll.HLV5r3.Analytics.Miscellaneous.LinearInterp(Peturbed_QZ,$K313,1,AB$1),ZeroCompFreq,'PDH Calc'!$K313/365)</f>
        <v>1</v>
      </c>
      <c r="AC313" s="8">
        <f ca="1">_xll.HLV5r3.Analytics.Miscellaneous.Zero2DF(_xll.HLV5r3.Analytics.Miscellaneous.LinearInterp(Peturbed_QZ,$K313,1,AC$1),ZeroCompFreq,'PDH Calc'!$K313/365)</f>
        <v>1</v>
      </c>
      <c r="AD313" s="8">
        <f ca="1">_xll.HLV5r3.Analytics.Miscellaneous.Zero2DF(_xll.HLV5r3.Analytics.Miscellaneous.LinearInterp(Peturbed_QZ,$K313,1,AD$1),ZeroCompFreq,'PDH Calc'!$K313/365)</f>
        <v>1</v>
      </c>
      <c r="AE313" s="8">
        <f ca="1">_xll.HLV5r3.Analytics.Miscellaneous.Zero2DF(_xll.HLV5r3.Analytics.Miscellaneous.LinearInterp(Peturbed_QZ,$K313,1,AE$1),ZeroCompFreq,'PDH Calc'!$K313/365)</f>
        <v>1</v>
      </c>
      <c r="AF313" s="8">
        <f ca="1">_xll.HLV5r3.Analytics.Miscellaneous.Zero2DF(_xll.HLV5r3.Analytics.Miscellaneous.LinearInterp(Peturbed_QZ,$K313,1,AF$1),ZeroCompFreq,'PDH Calc'!$K313/365)</f>
        <v>1</v>
      </c>
      <c r="AG313" s="8">
        <f ca="1">_xll.HLV5r3.Analytics.Miscellaneous.Zero2DF(_xll.HLV5r3.Analytics.Miscellaneous.LinearInterp(Peturbed_QZ,$K313,1,AG$1),ZeroCompFreq,'PDH Calc'!$K313/365)</f>
        <v>1</v>
      </c>
      <c r="AH313" s="8">
        <f ca="1">_xll.HLV5r3.Analytics.Miscellaneous.Zero2DF(_xll.HLV5r3.Analytics.Miscellaneous.LinearInterp(Peturbed_QZ,$K313,1,AH$1),ZeroCompFreq,'PDH Calc'!$K313/365)</f>
        <v>1</v>
      </c>
      <c r="AI313" s="8">
        <f ca="1">_xll.HLV5r3.Analytics.Miscellaneous.Zero2DF(_xll.HLV5r3.Analytics.Miscellaneous.LinearInterp(Peturbed_QZ,$K313,1,AI$1),ZeroCompFreq,'PDH Calc'!$K313/365)</f>
        <v>1</v>
      </c>
      <c r="AJ313" s="8">
        <f ca="1">_xll.HLV5r3.Analytics.Miscellaneous.Zero2DF(_xll.HLV5r3.Analytics.Miscellaneous.LinearInterp(Peturbed_QZ,$K313,1,AJ$1),ZeroCompFreq,'PDH Calc'!$K313/365)</f>
        <v>1</v>
      </c>
      <c r="AK313" s="8">
        <f ca="1">_xll.HLV5r3.Analytics.Miscellaneous.Zero2DF(_xll.HLV5r3.Analytics.Miscellaneous.LinearInterp(Peturbed_QZ,$K313,1,AK$1),ZeroCompFreq,'PDH Calc'!$K313/365)</f>
        <v>1</v>
      </c>
    </row>
    <row r="314" spans="1:37">
      <c r="A314" s="4"/>
      <c r="B314" s="6"/>
      <c r="F314" s="11"/>
      <c r="G314" s="6"/>
      <c r="H314" s="20"/>
      <c r="I314" s="21"/>
      <c r="J314" s="26"/>
      <c r="K314" s="6">
        <f t="shared" ca="1" si="11"/>
        <v>0</v>
      </c>
      <c r="L314" s="8">
        <f ca="1">_xll.HLV5r3.Analytics.Miscellaneous.Zero2DF(_xll.HLV5r3.Analytics.Miscellaneous.LinearInterp(Peturbed_QZ,$K314,1,L$1),ZeroCompFreq,'PDH Calc'!$K314/365)</f>
        <v>1</v>
      </c>
      <c r="M314" s="8">
        <f ca="1">_xll.HLV5r3.Analytics.Miscellaneous.Zero2DF(_xll.HLV5r3.Analytics.Miscellaneous.LinearInterp(Peturbed_QZ,$K314,1,M$1),ZeroCompFreq,'PDH Calc'!$K314/365)</f>
        <v>1</v>
      </c>
      <c r="N314" s="8">
        <f ca="1">_xll.HLV5r3.Analytics.Miscellaneous.Zero2DF(_xll.HLV5r3.Analytics.Miscellaneous.LinearInterp(Peturbed_QZ,$K314,1,N$1),ZeroCompFreq,'PDH Calc'!$K314/365)</f>
        <v>1</v>
      </c>
      <c r="O314" s="8">
        <f ca="1">_xll.HLV5r3.Analytics.Miscellaneous.Zero2DF(_xll.HLV5r3.Analytics.Miscellaneous.LinearInterp(Peturbed_QZ,$K314,1,O$1),ZeroCompFreq,'PDH Calc'!$K314/365)</f>
        <v>1</v>
      </c>
      <c r="P314" s="8">
        <f ca="1">_xll.HLV5r3.Analytics.Miscellaneous.Zero2DF(_xll.HLV5r3.Analytics.Miscellaneous.LinearInterp(Peturbed_QZ,$K314,1,P$1),ZeroCompFreq,'PDH Calc'!$K314/365)</f>
        <v>1</v>
      </c>
      <c r="Q314" s="8">
        <f ca="1">_xll.HLV5r3.Analytics.Miscellaneous.Zero2DF(_xll.HLV5r3.Analytics.Miscellaneous.LinearInterp(Peturbed_QZ,$K314,1,Q$1),ZeroCompFreq,'PDH Calc'!$K314/365)</f>
        <v>1</v>
      </c>
      <c r="R314" s="8">
        <f ca="1">_xll.HLV5r3.Analytics.Miscellaneous.Zero2DF(_xll.HLV5r3.Analytics.Miscellaneous.LinearInterp(Peturbed_QZ,$K314,1,R$1),ZeroCompFreq,'PDH Calc'!$K314/365)</f>
        <v>1</v>
      </c>
      <c r="S314" s="8">
        <f ca="1">_xll.HLV5r3.Analytics.Miscellaneous.Zero2DF(_xll.HLV5r3.Analytics.Miscellaneous.LinearInterp(Peturbed_QZ,$K314,1,S$1),ZeroCompFreq,'PDH Calc'!$K314/365)</f>
        <v>1</v>
      </c>
      <c r="T314" s="8">
        <f ca="1">_xll.HLV5r3.Analytics.Miscellaneous.Zero2DF(_xll.HLV5r3.Analytics.Miscellaneous.LinearInterp(Peturbed_QZ,$K314,1,T$1),ZeroCompFreq,'PDH Calc'!$K314/365)</f>
        <v>1</v>
      </c>
      <c r="U314" s="8">
        <f ca="1">_xll.HLV5r3.Analytics.Miscellaneous.Zero2DF(_xll.HLV5r3.Analytics.Miscellaneous.LinearInterp(Peturbed_QZ,$K314,1,U$1),ZeroCompFreq,'PDH Calc'!$K314/365)</f>
        <v>1</v>
      </c>
      <c r="V314" s="8">
        <f ca="1">_xll.HLV5r3.Analytics.Miscellaneous.Zero2DF(_xll.HLV5r3.Analytics.Miscellaneous.LinearInterp(Peturbed_QZ,$K314,1,V$1),ZeroCompFreq,'PDH Calc'!$K314/365)</f>
        <v>1</v>
      </c>
      <c r="W314" s="8">
        <f ca="1">_xll.HLV5r3.Analytics.Miscellaneous.Zero2DF(_xll.HLV5r3.Analytics.Miscellaneous.LinearInterp(Peturbed_QZ,$K314,1,W$1),ZeroCompFreq,'PDH Calc'!$K314/365)</f>
        <v>1</v>
      </c>
      <c r="X314" s="8">
        <f ca="1">_xll.HLV5r3.Analytics.Miscellaneous.Zero2DF(_xll.HLV5r3.Analytics.Miscellaneous.LinearInterp(Peturbed_QZ,$K314,1,X$1),ZeroCompFreq,'PDH Calc'!$K314/365)</f>
        <v>1</v>
      </c>
      <c r="Y314" s="8">
        <f ca="1">_xll.HLV5r3.Analytics.Miscellaneous.Zero2DF(_xll.HLV5r3.Analytics.Miscellaneous.LinearInterp(Peturbed_QZ,$K314,1,Y$1),ZeroCompFreq,'PDH Calc'!$K314/365)</f>
        <v>1</v>
      </c>
      <c r="Z314" s="8">
        <f ca="1">_xll.HLV5r3.Analytics.Miscellaneous.Zero2DF(_xll.HLV5r3.Analytics.Miscellaneous.LinearInterp(Peturbed_QZ,$K314,1,Z$1),ZeroCompFreq,'PDH Calc'!$K314/365)</f>
        <v>1</v>
      </c>
      <c r="AA314" s="8">
        <f ca="1">_xll.HLV5r3.Analytics.Miscellaneous.Zero2DF(_xll.HLV5r3.Analytics.Miscellaneous.LinearInterp(Peturbed_QZ,$K314,1,AA$1),ZeroCompFreq,'PDH Calc'!$K314/365)</f>
        <v>1</v>
      </c>
      <c r="AB314" s="8">
        <f ca="1">_xll.HLV5r3.Analytics.Miscellaneous.Zero2DF(_xll.HLV5r3.Analytics.Miscellaneous.LinearInterp(Peturbed_QZ,$K314,1,AB$1),ZeroCompFreq,'PDH Calc'!$K314/365)</f>
        <v>1</v>
      </c>
      <c r="AC314" s="8">
        <f ca="1">_xll.HLV5r3.Analytics.Miscellaneous.Zero2DF(_xll.HLV5r3.Analytics.Miscellaneous.LinearInterp(Peturbed_QZ,$K314,1,AC$1),ZeroCompFreq,'PDH Calc'!$K314/365)</f>
        <v>1</v>
      </c>
      <c r="AD314" s="8">
        <f ca="1">_xll.HLV5r3.Analytics.Miscellaneous.Zero2DF(_xll.HLV5r3.Analytics.Miscellaneous.LinearInterp(Peturbed_QZ,$K314,1,AD$1),ZeroCompFreq,'PDH Calc'!$K314/365)</f>
        <v>1</v>
      </c>
      <c r="AE314" s="8">
        <f ca="1">_xll.HLV5r3.Analytics.Miscellaneous.Zero2DF(_xll.HLV5r3.Analytics.Miscellaneous.LinearInterp(Peturbed_QZ,$K314,1,AE$1),ZeroCompFreq,'PDH Calc'!$K314/365)</f>
        <v>1</v>
      </c>
      <c r="AF314" s="8">
        <f ca="1">_xll.HLV5r3.Analytics.Miscellaneous.Zero2DF(_xll.HLV5r3.Analytics.Miscellaneous.LinearInterp(Peturbed_QZ,$K314,1,AF$1),ZeroCompFreq,'PDH Calc'!$K314/365)</f>
        <v>1</v>
      </c>
      <c r="AG314" s="8">
        <f ca="1">_xll.HLV5r3.Analytics.Miscellaneous.Zero2DF(_xll.HLV5r3.Analytics.Miscellaneous.LinearInterp(Peturbed_QZ,$K314,1,AG$1),ZeroCompFreq,'PDH Calc'!$K314/365)</f>
        <v>1</v>
      </c>
      <c r="AH314" s="8">
        <f ca="1">_xll.HLV5r3.Analytics.Miscellaneous.Zero2DF(_xll.HLV5r3.Analytics.Miscellaneous.LinearInterp(Peturbed_QZ,$K314,1,AH$1),ZeroCompFreq,'PDH Calc'!$K314/365)</f>
        <v>1</v>
      </c>
      <c r="AI314" s="8">
        <f ca="1">_xll.HLV5r3.Analytics.Miscellaneous.Zero2DF(_xll.HLV5r3.Analytics.Miscellaneous.LinearInterp(Peturbed_QZ,$K314,1,AI$1),ZeroCompFreq,'PDH Calc'!$K314/365)</f>
        <v>1</v>
      </c>
      <c r="AJ314" s="8">
        <f ca="1">_xll.HLV5r3.Analytics.Miscellaneous.Zero2DF(_xll.HLV5r3.Analytics.Miscellaneous.LinearInterp(Peturbed_QZ,$K314,1,AJ$1),ZeroCompFreq,'PDH Calc'!$K314/365)</f>
        <v>1</v>
      </c>
      <c r="AK314" s="8">
        <f ca="1">_xll.HLV5r3.Analytics.Miscellaneous.Zero2DF(_xll.HLV5r3.Analytics.Miscellaneous.LinearInterp(Peturbed_QZ,$K314,1,AK$1),ZeroCompFreq,'PDH Calc'!$K314/365)</f>
        <v>1</v>
      </c>
    </row>
    <row r="315" spans="1:37">
      <c r="A315" s="4"/>
      <c r="B315" s="6"/>
      <c r="F315" s="11"/>
      <c r="G315" s="6"/>
      <c r="H315" s="20"/>
      <c r="I315" s="21"/>
      <c r="J315" s="26"/>
      <c r="K315" s="6">
        <f t="shared" ca="1" si="11"/>
        <v>0</v>
      </c>
      <c r="L315" s="8">
        <f ca="1">_xll.HLV5r3.Analytics.Miscellaneous.Zero2DF(_xll.HLV5r3.Analytics.Miscellaneous.LinearInterp(Peturbed_QZ,$K315,1,L$1),ZeroCompFreq,'PDH Calc'!$K315/365)</f>
        <v>1</v>
      </c>
      <c r="M315" s="8">
        <f ca="1">_xll.HLV5r3.Analytics.Miscellaneous.Zero2DF(_xll.HLV5r3.Analytics.Miscellaneous.LinearInterp(Peturbed_QZ,$K315,1,M$1),ZeroCompFreq,'PDH Calc'!$K315/365)</f>
        <v>1</v>
      </c>
      <c r="N315" s="8">
        <f ca="1">_xll.HLV5r3.Analytics.Miscellaneous.Zero2DF(_xll.HLV5r3.Analytics.Miscellaneous.LinearInterp(Peturbed_QZ,$K315,1,N$1),ZeroCompFreq,'PDH Calc'!$K315/365)</f>
        <v>1</v>
      </c>
      <c r="O315" s="8">
        <f ca="1">_xll.HLV5r3.Analytics.Miscellaneous.Zero2DF(_xll.HLV5r3.Analytics.Miscellaneous.LinearInterp(Peturbed_QZ,$K315,1,O$1),ZeroCompFreq,'PDH Calc'!$K315/365)</f>
        <v>1</v>
      </c>
      <c r="P315" s="8">
        <f ca="1">_xll.HLV5r3.Analytics.Miscellaneous.Zero2DF(_xll.HLV5r3.Analytics.Miscellaneous.LinearInterp(Peturbed_QZ,$K315,1,P$1),ZeroCompFreq,'PDH Calc'!$K315/365)</f>
        <v>1</v>
      </c>
      <c r="Q315" s="8">
        <f ca="1">_xll.HLV5r3.Analytics.Miscellaneous.Zero2DF(_xll.HLV5r3.Analytics.Miscellaneous.LinearInterp(Peturbed_QZ,$K315,1,Q$1),ZeroCompFreq,'PDH Calc'!$K315/365)</f>
        <v>1</v>
      </c>
      <c r="R315" s="8">
        <f ca="1">_xll.HLV5r3.Analytics.Miscellaneous.Zero2DF(_xll.HLV5r3.Analytics.Miscellaneous.LinearInterp(Peturbed_QZ,$K315,1,R$1),ZeroCompFreq,'PDH Calc'!$K315/365)</f>
        <v>1</v>
      </c>
      <c r="S315" s="8">
        <f ca="1">_xll.HLV5r3.Analytics.Miscellaneous.Zero2DF(_xll.HLV5r3.Analytics.Miscellaneous.LinearInterp(Peturbed_QZ,$K315,1,S$1),ZeroCompFreq,'PDH Calc'!$K315/365)</f>
        <v>1</v>
      </c>
      <c r="T315" s="8">
        <f ca="1">_xll.HLV5r3.Analytics.Miscellaneous.Zero2DF(_xll.HLV5r3.Analytics.Miscellaneous.LinearInterp(Peturbed_QZ,$K315,1,T$1),ZeroCompFreq,'PDH Calc'!$K315/365)</f>
        <v>1</v>
      </c>
      <c r="U315" s="8">
        <f ca="1">_xll.HLV5r3.Analytics.Miscellaneous.Zero2DF(_xll.HLV5r3.Analytics.Miscellaneous.LinearInterp(Peturbed_QZ,$K315,1,U$1),ZeroCompFreq,'PDH Calc'!$K315/365)</f>
        <v>1</v>
      </c>
      <c r="V315" s="8">
        <f ca="1">_xll.HLV5r3.Analytics.Miscellaneous.Zero2DF(_xll.HLV5r3.Analytics.Miscellaneous.LinearInterp(Peturbed_QZ,$K315,1,V$1),ZeroCompFreq,'PDH Calc'!$K315/365)</f>
        <v>1</v>
      </c>
      <c r="W315" s="8">
        <f ca="1">_xll.HLV5r3.Analytics.Miscellaneous.Zero2DF(_xll.HLV5r3.Analytics.Miscellaneous.LinearInterp(Peturbed_QZ,$K315,1,W$1),ZeroCompFreq,'PDH Calc'!$K315/365)</f>
        <v>1</v>
      </c>
      <c r="X315" s="8">
        <f ca="1">_xll.HLV5r3.Analytics.Miscellaneous.Zero2DF(_xll.HLV5r3.Analytics.Miscellaneous.LinearInterp(Peturbed_QZ,$K315,1,X$1),ZeroCompFreq,'PDH Calc'!$K315/365)</f>
        <v>1</v>
      </c>
      <c r="Y315" s="8">
        <f ca="1">_xll.HLV5r3.Analytics.Miscellaneous.Zero2DF(_xll.HLV5r3.Analytics.Miscellaneous.LinearInterp(Peturbed_QZ,$K315,1,Y$1),ZeroCompFreq,'PDH Calc'!$K315/365)</f>
        <v>1</v>
      </c>
      <c r="Z315" s="8">
        <f ca="1">_xll.HLV5r3.Analytics.Miscellaneous.Zero2DF(_xll.HLV5r3.Analytics.Miscellaneous.LinearInterp(Peturbed_QZ,$K315,1,Z$1),ZeroCompFreq,'PDH Calc'!$K315/365)</f>
        <v>1</v>
      </c>
      <c r="AA315" s="8">
        <f ca="1">_xll.HLV5r3.Analytics.Miscellaneous.Zero2DF(_xll.HLV5r3.Analytics.Miscellaneous.LinearInterp(Peturbed_QZ,$K315,1,AA$1),ZeroCompFreq,'PDH Calc'!$K315/365)</f>
        <v>1</v>
      </c>
      <c r="AB315" s="8">
        <f ca="1">_xll.HLV5r3.Analytics.Miscellaneous.Zero2DF(_xll.HLV5r3.Analytics.Miscellaneous.LinearInterp(Peturbed_QZ,$K315,1,AB$1),ZeroCompFreq,'PDH Calc'!$K315/365)</f>
        <v>1</v>
      </c>
      <c r="AC315" s="8">
        <f ca="1">_xll.HLV5r3.Analytics.Miscellaneous.Zero2DF(_xll.HLV5r3.Analytics.Miscellaneous.LinearInterp(Peturbed_QZ,$K315,1,AC$1),ZeroCompFreq,'PDH Calc'!$K315/365)</f>
        <v>1</v>
      </c>
      <c r="AD315" s="8">
        <f ca="1">_xll.HLV5r3.Analytics.Miscellaneous.Zero2DF(_xll.HLV5r3.Analytics.Miscellaneous.LinearInterp(Peturbed_QZ,$K315,1,AD$1),ZeroCompFreq,'PDH Calc'!$K315/365)</f>
        <v>1</v>
      </c>
      <c r="AE315" s="8">
        <f ca="1">_xll.HLV5r3.Analytics.Miscellaneous.Zero2DF(_xll.HLV5r3.Analytics.Miscellaneous.LinearInterp(Peturbed_QZ,$K315,1,AE$1),ZeroCompFreq,'PDH Calc'!$K315/365)</f>
        <v>1</v>
      </c>
      <c r="AF315" s="8">
        <f ca="1">_xll.HLV5r3.Analytics.Miscellaneous.Zero2DF(_xll.HLV5r3.Analytics.Miscellaneous.LinearInterp(Peturbed_QZ,$K315,1,AF$1),ZeroCompFreq,'PDH Calc'!$K315/365)</f>
        <v>1</v>
      </c>
      <c r="AG315" s="8">
        <f ca="1">_xll.HLV5r3.Analytics.Miscellaneous.Zero2DF(_xll.HLV5r3.Analytics.Miscellaneous.LinearInterp(Peturbed_QZ,$K315,1,AG$1),ZeroCompFreq,'PDH Calc'!$K315/365)</f>
        <v>1</v>
      </c>
      <c r="AH315" s="8">
        <f ca="1">_xll.HLV5r3.Analytics.Miscellaneous.Zero2DF(_xll.HLV5r3.Analytics.Miscellaneous.LinearInterp(Peturbed_QZ,$K315,1,AH$1),ZeroCompFreq,'PDH Calc'!$K315/365)</f>
        <v>1</v>
      </c>
      <c r="AI315" s="8">
        <f ca="1">_xll.HLV5r3.Analytics.Miscellaneous.Zero2DF(_xll.HLV5r3.Analytics.Miscellaneous.LinearInterp(Peturbed_QZ,$K315,1,AI$1),ZeroCompFreq,'PDH Calc'!$K315/365)</f>
        <v>1</v>
      </c>
      <c r="AJ315" s="8">
        <f ca="1">_xll.HLV5r3.Analytics.Miscellaneous.Zero2DF(_xll.HLV5r3.Analytics.Miscellaneous.LinearInterp(Peturbed_QZ,$K315,1,AJ$1),ZeroCompFreq,'PDH Calc'!$K315/365)</f>
        <v>1</v>
      </c>
      <c r="AK315" s="8">
        <f ca="1">_xll.HLV5r3.Analytics.Miscellaneous.Zero2DF(_xll.HLV5r3.Analytics.Miscellaneous.LinearInterp(Peturbed_QZ,$K315,1,AK$1),ZeroCompFreq,'PDH Calc'!$K315/365)</f>
        <v>1</v>
      </c>
    </row>
    <row r="316" spans="1:37">
      <c r="A316" s="4"/>
      <c r="B316" s="6"/>
      <c r="F316" s="11"/>
      <c r="G316" s="6"/>
      <c r="H316" s="20"/>
      <c r="I316" s="21"/>
      <c r="J316" s="26"/>
      <c r="K316" s="6">
        <f t="shared" ca="1" si="11"/>
        <v>0</v>
      </c>
      <c r="L316" s="8">
        <f ca="1">_xll.HLV5r3.Analytics.Miscellaneous.Zero2DF(_xll.HLV5r3.Analytics.Miscellaneous.LinearInterp(Peturbed_QZ,$K316,1,L$1),ZeroCompFreq,'PDH Calc'!$K316/365)</f>
        <v>1</v>
      </c>
      <c r="M316" s="8">
        <f ca="1">_xll.HLV5r3.Analytics.Miscellaneous.Zero2DF(_xll.HLV5r3.Analytics.Miscellaneous.LinearInterp(Peturbed_QZ,$K316,1,M$1),ZeroCompFreq,'PDH Calc'!$K316/365)</f>
        <v>1</v>
      </c>
      <c r="N316" s="8">
        <f ca="1">_xll.HLV5r3.Analytics.Miscellaneous.Zero2DF(_xll.HLV5r3.Analytics.Miscellaneous.LinearInterp(Peturbed_QZ,$K316,1,N$1),ZeroCompFreq,'PDH Calc'!$K316/365)</f>
        <v>1</v>
      </c>
      <c r="O316" s="8">
        <f ca="1">_xll.HLV5r3.Analytics.Miscellaneous.Zero2DF(_xll.HLV5r3.Analytics.Miscellaneous.LinearInterp(Peturbed_QZ,$K316,1,O$1),ZeroCompFreq,'PDH Calc'!$K316/365)</f>
        <v>1</v>
      </c>
      <c r="P316" s="8">
        <f ca="1">_xll.HLV5r3.Analytics.Miscellaneous.Zero2DF(_xll.HLV5r3.Analytics.Miscellaneous.LinearInterp(Peturbed_QZ,$K316,1,P$1),ZeroCompFreq,'PDH Calc'!$K316/365)</f>
        <v>1</v>
      </c>
      <c r="Q316" s="8">
        <f ca="1">_xll.HLV5r3.Analytics.Miscellaneous.Zero2DF(_xll.HLV5r3.Analytics.Miscellaneous.LinearInterp(Peturbed_QZ,$K316,1,Q$1),ZeroCompFreq,'PDH Calc'!$K316/365)</f>
        <v>1</v>
      </c>
      <c r="R316" s="8">
        <f ca="1">_xll.HLV5r3.Analytics.Miscellaneous.Zero2DF(_xll.HLV5r3.Analytics.Miscellaneous.LinearInterp(Peturbed_QZ,$K316,1,R$1),ZeroCompFreq,'PDH Calc'!$K316/365)</f>
        <v>1</v>
      </c>
      <c r="S316" s="8">
        <f ca="1">_xll.HLV5r3.Analytics.Miscellaneous.Zero2DF(_xll.HLV5r3.Analytics.Miscellaneous.LinearInterp(Peturbed_QZ,$K316,1,S$1),ZeroCompFreq,'PDH Calc'!$K316/365)</f>
        <v>1</v>
      </c>
      <c r="T316" s="8">
        <f ca="1">_xll.HLV5r3.Analytics.Miscellaneous.Zero2DF(_xll.HLV5r3.Analytics.Miscellaneous.LinearInterp(Peturbed_QZ,$K316,1,T$1),ZeroCompFreq,'PDH Calc'!$K316/365)</f>
        <v>1</v>
      </c>
      <c r="U316" s="8">
        <f ca="1">_xll.HLV5r3.Analytics.Miscellaneous.Zero2DF(_xll.HLV5r3.Analytics.Miscellaneous.LinearInterp(Peturbed_QZ,$K316,1,U$1),ZeroCompFreq,'PDH Calc'!$K316/365)</f>
        <v>1</v>
      </c>
      <c r="V316" s="8">
        <f ca="1">_xll.HLV5r3.Analytics.Miscellaneous.Zero2DF(_xll.HLV5r3.Analytics.Miscellaneous.LinearInterp(Peturbed_QZ,$K316,1,V$1),ZeroCompFreq,'PDH Calc'!$K316/365)</f>
        <v>1</v>
      </c>
      <c r="W316" s="8">
        <f ca="1">_xll.HLV5r3.Analytics.Miscellaneous.Zero2DF(_xll.HLV5r3.Analytics.Miscellaneous.LinearInterp(Peturbed_QZ,$K316,1,W$1),ZeroCompFreq,'PDH Calc'!$K316/365)</f>
        <v>1</v>
      </c>
      <c r="X316" s="8">
        <f ca="1">_xll.HLV5r3.Analytics.Miscellaneous.Zero2DF(_xll.HLV5r3.Analytics.Miscellaneous.LinearInterp(Peturbed_QZ,$K316,1,X$1),ZeroCompFreq,'PDH Calc'!$K316/365)</f>
        <v>1</v>
      </c>
      <c r="Y316" s="8">
        <f ca="1">_xll.HLV5r3.Analytics.Miscellaneous.Zero2DF(_xll.HLV5r3.Analytics.Miscellaneous.LinearInterp(Peturbed_QZ,$K316,1,Y$1),ZeroCompFreq,'PDH Calc'!$K316/365)</f>
        <v>1</v>
      </c>
      <c r="Z316" s="8">
        <f ca="1">_xll.HLV5r3.Analytics.Miscellaneous.Zero2DF(_xll.HLV5r3.Analytics.Miscellaneous.LinearInterp(Peturbed_QZ,$K316,1,Z$1),ZeroCompFreq,'PDH Calc'!$K316/365)</f>
        <v>1</v>
      </c>
      <c r="AA316" s="8">
        <f ca="1">_xll.HLV5r3.Analytics.Miscellaneous.Zero2DF(_xll.HLV5r3.Analytics.Miscellaneous.LinearInterp(Peturbed_QZ,$K316,1,AA$1),ZeroCompFreq,'PDH Calc'!$K316/365)</f>
        <v>1</v>
      </c>
      <c r="AB316" s="8">
        <f ca="1">_xll.HLV5r3.Analytics.Miscellaneous.Zero2DF(_xll.HLV5r3.Analytics.Miscellaneous.LinearInterp(Peturbed_QZ,$K316,1,AB$1),ZeroCompFreq,'PDH Calc'!$K316/365)</f>
        <v>1</v>
      </c>
      <c r="AC316" s="8">
        <f ca="1">_xll.HLV5r3.Analytics.Miscellaneous.Zero2DF(_xll.HLV5r3.Analytics.Miscellaneous.LinearInterp(Peturbed_QZ,$K316,1,AC$1),ZeroCompFreq,'PDH Calc'!$K316/365)</f>
        <v>1</v>
      </c>
      <c r="AD316" s="8">
        <f ca="1">_xll.HLV5r3.Analytics.Miscellaneous.Zero2DF(_xll.HLV5r3.Analytics.Miscellaneous.LinearInterp(Peturbed_QZ,$K316,1,AD$1),ZeroCompFreq,'PDH Calc'!$K316/365)</f>
        <v>1</v>
      </c>
      <c r="AE316" s="8">
        <f ca="1">_xll.HLV5r3.Analytics.Miscellaneous.Zero2DF(_xll.HLV5r3.Analytics.Miscellaneous.LinearInterp(Peturbed_QZ,$K316,1,AE$1),ZeroCompFreq,'PDH Calc'!$K316/365)</f>
        <v>1</v>
      </c>
      <c r="AF316" s="8">
        <f ca="1">_xll.HLV5r3.Analytics.Miscellaneous.Zero2DF(_xll.HLV5r3.Analytics.Miscellaneous.LinearInterp(Peturbed_QZ,$K316,1,AF$1),ZeroCompFreq,'PDH Calc'!$K316/365)</f>
        <v>1</v>
      </c>
      <c r="AG316" s="8">
        <f ca="1">_xll.HLV5r3.Analytics.Miscellaneous.Zero2DF(_xll.HLV5r3.Analytics.Miscellaneous.LinearInterp(Peturbed_QZ,$K316,1,AG$1),ZeroCompFreq,'PDH Calc'!$K316/365)</f>
        <v>1</v>
      </c>
      <c r="AH316" s="8">
        <f ca="1">_xll.HLV5r3.Analytics.Miscellaneous.Zero2DF(_xll.HLV5r3.Analytics.Miscellaneous.LinearInterp(Peturbed_QZ,$K316,1,AH$1),ZeroCompFreq,'PDH Calc'!$K316/365)</f>
        <v>1</v>
      </c>
      <c r="AI316" s="8">
        <f ca="1">_xll.HLV5r3.Analytics.Miscellaneous.Zero2DF(_xll.HLV5r3.Analytics.Miscellaneous.LinearInterp(Peturbed_QZ,$K316,1,AI$1),ZeroCompFreq,'PDH Calc'!$K316/365)</f>
        <v>1</v>
      </c>
      <c r="AJ316" s="8">
        <f ca="1">_xll.HLV5r3.Analytics.Miscellaneous.Zero2DF(_xll.HLV5r3.Analytics.Miscellaneous.LinearInterp(Peturbed_QZ,$K316,1,AJ$1),ZeroCompFreq,'PDH Calc'!$K316/365)</f>
        <v>1</v>
      </c>
      <c r="AK316" s="8">
        <f ca="1">_xll.HLV5r3.Analytics.Miscellaneous.Zero2DF(_xll.HLV5r3.Analytics.Miscellaneous.LinearInterp(Peturbed_QZ,$K316,1,AK$1),ZeroCompFreq,'PDH Calc'!$K316/365)</f>
        <v>1</v>
      </c>
    </row>
    <row r="317" spans="1:37">
      <c r="A317" s="4"/>
      <c r="B317" s="6"/>
      <c r="F317" s="11"/>
      <c r="G317" s="6"/>
      <c r="H317" s="20"/>
      <c r="I317" s="21"/>
      <c r="J317" s="26"/>
      <c r="K317" s="6">
        <f t="shared" ca="1" si="11"/>
        <v>0</v>
      </c>
      <c r="L317" s="8">
        <f ca="1">_xll.HLV5r3.Analytics.Miscellaneous.Zero2DF(_xll.HLV5r3.Analytics.Miscellaneous.LinearInterp(Peturbed_QZ,$K317,1,L$1),ZeroCompFreq,'PDH Calc'!$K317/365)</f>
        <v>1</v>
      </c>
      <c r="M317" s="8">
        <f ca="1">_xll.HLV5r3.Analytics.Miscellaneous.Zero2DF(_xll.HLV5r3.Analytics.Miscellaneous.LinearInterp(Peturbed_QZ,$K317,1,M$1),ZeroCompFreq,'PDH Calc'!$K317/365)</f>
        <v>1</v>
      </c>
      <c r="N317" s="8">
        <f ca="1">_xll.HLV5r3.Analytics.Miscellaneous.Zero2DF(_xll.HLV5r3.Analytics.Miscellaneous.LinearInterp(Peturbed_QZ,$K317,1,N$1),ZeroCompFreq,'PDH Calc'!$K317/365)</f>
        <v>1</v>
      </c>
      <c r="O317" s="8">
        <f ca="1">_xll.HLV5r3.Analytics.Miscellaneous.Zero2DF(_xll.HLV5r3.Analytics.Miscellaneous.LinearInterp(Peturbed_QZ,$K317,1,O$1),ZeroCompFreq,'PDH Calc'!$K317/365)</f>
        <v>1</v>
      </c>
      <c r="P317" s="8">
        <f ca="1">_xll.HLV5r3.Analytics.Miscellaneous.Zero2DF(_xll.HLV5r3.Analytics.Miscellaneous.LinearInterp(Peturbed_QZ,$K317,1,P$1),ZeroCompFreq,'PDH Calc'!$K317/365)</f>
        <v>1</v>
      </c>
      <c r="Q317" s="8">
        <f ca="1">_xll.HLV5r3.Analytics.Miscellaneous.Zero2DF(_xll.HLV5r3.Analytics.Miscellaneous.LinearInterp(Peturbed_QZ,$K317,1,Q$1),ZeroCompFreq,'PDH Calc'!$K317/365)</f>
        <v>1</v>
      </c>
      <c r="R317" s="8">
        <f ca="1">_xll.HLV5r3.Analytics.Miscellaneous.Zero2DF(_xll.HLV5r3.Analytics.Miscellaneous.LinearInterp(Peturbed_QZ,$K317,1,R$1),ZeroCompFreq,'PDH Calc'!$K317/365)</f>
        <v>1</v>
      </c>
      <c r="S317" s="8">
        <f ca="1">_xll.HLV5r3.Analytics.Miscellaneous.Zero2DF(_xll.HLV5r3.Analytics.Miscellaneous.LinearInterp(Peturbed_QZ,$K317,1,S$1),ZeroCompFreq,'PDH Calc'!$K317/365)</f>
        <v>1</v>
      </c>
      <c r="T317" s="8">
        <f ca="1">_xll.HLV5r3.Analytics.Miscellaneous.Zero2DF(_xll.HLV5r3.Analytics.Miscellaneous.LinearInterp(Peturbed_QZ,$K317,1,T$1),ZeroCompFreq,'PDH Calc'!$K317/365)</f>
        <v>1</v>
      </c>
      <c r="U317" s="8">
        <f ca="1">_xll.HLV5r3.Analytics.Miscellaneous.Zero2DF(_xll.HLV5r3.Analytics.Miscellaneous.LinearInterp(Peturbed_QZ,$K317,1,U$1),ZeroCompFreq,'PDH Calc'!$K317/365)</f>
        <v>1</v>
      </c>
      <c r="V317" s="8">
        <f ca="1">_xll.HLV5r3.Analytics.Miscellaneous.Zero2DF(_xll.HLV5r3.Analytics.Miscellaneous.LinearInterp(Peturbed_QZ,$K317,1,V$1),ZeroCompFreq,'PDH Calc'!$K317/365)</f>
        <v>1</v>
      </c>
      <c r="W317" s="8">
        <f ca="1">_xll.HLV5r3.Analytics.Miscellaneous.Zero2DF(_xll.HLV5r3.Analytics.Miscellaneous.LinearInterp(Peturbed_QZ,$K317,1,W$1),ZeroCompFreq,'PDH Calc'!$K317/365)</f>
        <v>1</v>
      </c>
      <c r="X317" s="8">
        <f ca="1">_xll.HLV5r3.Analytics.Miscellaneous.Zero2DF(_xll.HLV5r3.Analytics.Miscellaneous.LinearInterp(Peturbed_QZ,$K317,1,X$1),ZeroCompFreq,'PDH Calc'!$K317/365)</f>
        <v>1</v>
      </c>
      <c r="Y317" s="8">
        <f ca="1">_xll.HLV5r3.Analytics.Miscellaneous.Zero2DF(_xll.HLV5r3.Analytics.Miscellaneous.LinearInterp(Peturbed_QZ,$K317,1,Y$1),ZeroCompFreq,'PDH Calc'!$K317/365)</f>
        <v>1</v>
      </c>
      <c r="Z317" s="8">
        <f ca="1">_xll.HLV5r3.Analytics.Miscellaneous.Zero2DF(_xll.HLV5r3.Analytics.Miscellaneous.LinearInterp(Peturbed_QZ,$K317,1,Z$1),ZeroCompFreq,'PDH Calc'!$K317/365)</f>
        <v>1</v>
      </c>
      <c r="AA317" s="8">
        <f ca="1">_xll.HLV5r3.Analytics.Miscellaneous.Zero2DF(_xll.HLV5r3.Analytics.Miscellaneous.LinearInterp(Peturbed_QZ,$K317,1,AA$1),ZeroCompFreq,'PDH Calc'!$K317/365)</f>
        <v>1</v>
      </c>
      <c r="AB317" s="8">
        <f ca="1">_xll.HLV5r3.Analytics.Miscellaneous.Zero2DF(_xll.HLV5r3.Analytics.Miscellaneous.LinearInterp(Peturbed_QZ,$K317,1,AB$1),ZeroCompFreq,'PDH Calc'!$K317/365)</f>
        <v>1</v>
      </c>
      <c r="AC317" s="8">
        <f ca="1">_xll.HLV5r3.Analytics.Miscellaneous.Zero2DF(_xll.HLV5r3.Analytics.Miscellaneous.LinearInterp(Peturbed_QZ,$K317,1,AC$1),ZeroCompFreq,'PDH Calc'!$K317/365)</f>
        <v>1</v>
      </c>
      <c r="AD317" s="8">
        <f ca="1">_xll.HLV5r3.Analytics.Miscellaneous.Zero2DF(_xll.HLV5r3.Analytics.Miscellaneous.LinearInterp(Peturbed_QZ,$K317,1,AD$1),ZeroCompFreq,'PDH Calc'!$K317/365)</f>
        <v>1</v>
      </c>
      <c r="AE317" s="8">
        <f ca="1">_xll.HLV5r3.Analytics.Miscellaneous.Zero2DF(_xll.HLV5r3.Analytics.Miscellaneous.LinearInterp(Peturbed_QZ,$K317,1,AE$1),ZeroCompFreq,'PDH Calc'!$K317/365)</f>
        <v>1</v>
      </c>
      <c r="AF317" s="8">
        <f ca="1">_xll.HLV5r3.Analytics.Miscellaneous.Zero2DF(_xll.HLV5r3.Analytics.Miscellaneous.LinearInterp(Peturbed_QZ,$K317,1,AF$1),ZeroCompFreq,'PDH Calc'!$K317/365)</f>
        <v>1</v>
      </c>
      <c r="AG317" s="8">
        <f ca="1">_xll.HLV5r3.Analytics.Miscellaneous.Zero2DF(_xll.HLV5r3.Analytics.Miscellaneous.LinearInterp(Peturbed_QZ,$K317,1,AG$1),ZeroCompFreq,'PDH Calc'!$K317/365)</f>
        <v>1</v>
      </c>
      <c r="AH317" s="8">
        <f ca="1">_xll.HLV5r3.Analytics.Miscellaneous.Zero2DF(_xll.HLV5r3.Analytics.Miscellaneous.LinearInterp(Peturbed_QZ,$K317,1,AH$1),ZeroCompFreq,'PDH Calc'!$K317/365)</f>
        <v>1</v>
      </c>
      <c r="AI317" s="8">
        <f ca="1">_xll.HLV5r3.Analytics.Miscellaneous.Zero2DF(_xll.HLV5r3.Analytics.Miscellaneous.LinearInterp(Peturbed_QZ,$K317,1,AI$1),ZeroCompFreq,'PDH Calc'!$K317/365)</f>
        <v>1</v>
      </c>
      <c r="AJ317" s="8">
        <f ca="1">_xll.HLV5r3.Analytics.Miscellaneous.Zero2DF(_xll.HLV5r3.Analytics.Miscellaneous.LinearInterp(Peturbed_QZ,$K317,1,AJ$1),ZeroCompFreq,'PDH Calc'!$K317/365)</f>
        <v>1</v>
      </c>
      <c r="AK317" s="8">
        <f ca="1">_xll.HLV5r3.Analytics.Miscellaneous.Zero2DF(_xll.HLV5r3.Analytics.Miscellaneous.LinearInterp(Peturbed_QZ,$K317,1,AK$1),ZeroCompFreq,'PDH Calc'!$K317/365)</f>
        <v>1</v>
      </c>
    </row>
    <row r="318" spans="1:37">
      <c r="A318" s="4"/>
      <c r="B318" s="6"/>
      <c r="F318" s="11"/>
      <c r="G318" s="6"/>
      <c r="H318" s="20"/>
      <c r="I318" s="21"/>
      <c r="J318" s="26"/>
      <c r="K318" s="6">
        <f t="shared" ca="1" si="11"/>
        <v>0</v>
      </c>
      <c r="L318" s="8">
        <f ca="1">_xll.HLV5r3.Analytics.Miscellaneous.Zero2DF(_xll.HLV5r3.Analytics.Miscellaneous.LinearInterp(Peturbed_QZ,$K318,1,L$1),ZeroCompFreq,'PDH Calc'!$K318/365)</f>
        <v>1</v>
      </c>
      <c r="M318" s="8">
        <f ca="1">_xll.HLV5r3.Analytics.Miscellaneous.Zero2DF(_xll.HLV5r3.Analytics.Miscellaneous.LinearInterp(Peturbed_QZ,$K318,1,M$1),ZeroCompFreq,'PDH Calc'!$K318/365)</f>
        <v>1</v>
      </c>
      <c r="N318" s="8">
        <f ca="1">_xll.HLV5r3.Analytics.Miscellaneous.Zero2DF(_xll.HLV5r3.Analytics.Miscellaneous.LinearInterp(Peturbed_QZ,$K318,1,N$1),ZeroCompFreq,'PDH Calc'!$K318/365)</f>
        <v>1</v>
      </c>
      <c r="O318" s="8">
        <f ca="1">_xll.HLV5r3.Analytics.Miscellaneous.Zero2DF(_xll.HLV5r3.Analytics.Miscellaneous.LinearInterp(Peturbed_QZ,$K318,1,O$1),ZeroCompFreq,'PDH Calc'!$K318/365)</f>
        <v>1</v>
      </c>
      <c r="P318" s="8">
        <f ca="1">_xll.HLV5r3.Analytics.Miscellaneous.Zero2DF(_xll.HLV5r3.Analytics.Miscellaneous.LinearInterp(Peturbed_QZ,$K318,1,P$1),ZeroCompFreq,'PDH Calc'!$K318/365)</f>
        <v>1</v>
      </c>
      <c r="Q318" s="8">
        <f ca="1">_xll.HLV5r3.Analytics.Miscellaneous.Zero2DF(_xll.HLV5r3.Analytics.Miscellaneous.LinearInterp(Peturbed_QZ,$K318,1,Q$1),ZeroCompFreq,'PDH Calc'!$K318/365)</f>
        <v>1</v>
      </c>
      <c r="R318" s="8">
        <f ca="1">_xll.HLV5r3.Analytics.Miscellaneous.Zero2DF(_xll.HLV5r3.Analytics.Miscellaneous.LinearInterp(Peturbed_QZ,$K318,1,R$1),ZeroCompFreq,'PDH Calc'!$K318/365)</f>
        <v>1</v>
      </c>
      <c r="S318" s="8">
        <f ca="1">_xll.HLV5r3.Analytics.Miscellaneous.Zero2DF(_xll.HLV5r3.Analytics.Miscellaneous.LinearInterp(Peturbed_QZ,$K318,1,S$1),ZeroCompFreq,'PDH Calc'!$K318/365)</f>
        <v>1</v>
      </c>
      <c r="T318" s="8">
        <f ca="1">_xll.HLV5r3.Analytics.Miscellaneous.Zero2DF(_xll.HLV5r3.Analytics.Miscellaneous.LinearInterp(Peturbed_QZ,$K318,1,T$1),ZeroCompFreq,'PDH Calc'!$K318/365)</f>
        <v>1</v>
      </c>
      <c r="U318" s="8">
        <f ca="1">_xll.HLV5r3.Analytics.Miscellaneous.Zero2DF(_xll.HLV5r3.Analytics.Miscellaneous.LinearInterp(Peturbed_QZ,$K318,1,U$1),ZeroCompFreq,'PDH Calc'!$K318/365)</f>
        <v>1</v>
      </c>
      <c r="V318" s="8">
        <f ca="1">_xll.HLV5r3.Analytics.Miscellaneous.Zero2DF(_xll.HLV5r3.Analytics.Miscellaneous.LinearInterp(Peturbed_QZ,$K318,1,V$1),ZeroCompFreq,'PDH Calc'!$K318/365)</f>
        <v>1</v>
      </c>
      <c r="W318" s="8">
        <f ca="1">_xll.HLV5r3.Analytics.Miscellaneous.Zero2DF(_xll.HLV5r3.Analytics.Miscellaneous.LinearInterp(Peturbed_QZ,$K318,1,W$1),ZeroCompFreq,'PDH Calc'!$K318/365)</f>
        <v>1</v>
      </c>
      <c r="X318" s="8">
        <f ca="1">_xll.HLV5r3.Analytics.Miscellaneous.Zero2DF(_xll.HLV5r3.Analytics.Miscellaneous.LinearInterp(Peturbed_QZ,$K318,1,X$1),ZeroCompFreq,'PDH Calc'!$K318/365)</f>
        <v>1</v>
      </c>
      <c r="Y318" s="8">
        <f ca="1">_xll.HLV5r3.Analytics.Miscellaneous.Zero2DF(_xll.HLV5r3.Analytics.Miscellaneous.LinearInterp(Peturbed_QZ,$K318,1,Y$1),ZeroCompFreq,'PDH Calc'!$K318/365)</f>
        <v>1</v>
      </c>
      <c r="Z318" s="8">
        <f ca="1">_xll.HLV5r3.Analytics.Miscellaneous.Zero2DF(_xll.HLV5r3.Analytics.Miscellaneous.LinearInterp(Peturbed_QZ,$K318,1,Z$1),ZeroCompFreq,'PDH Calc'!$K318/365)</f>
        <v>1</v>
      </c>
      <c r="AA318" s="8">
        <f ca="1">_xll.HLV5r3.Analytics.Miscellaneous.Zero2DF(_xll.HLV5r3.Analytics.Miscellaneous.LinearInterp(Peturbed_QZ,$K318,1,AA$1),ZeroCompFreq,'PDH Calc'!$K318/365)</f>
        <v>1</v>
      </c>
      <c r="AB318" s="8">
        <f ca="1">_xll.HLV5r3.Analytics.Miscellaneous.Zero2DF(_xll.HLV5r3.Analytics.Miscellaneous.LinearInterp(Peturbed_QZ,$K318,1,AB$1),ZeroCompFreq,'PDH Calc'!$K318/365)</f>
        <v>1</v>
      </c>
      <c r="AC318" s="8">
        <f ca="1">_xll.HLV5r3.Analytics.Miscellaneous.Zero2DF(_xll.HLV5r3.Analytics.Miscellaneous.LinearInterp(Peturbed_QZ,$K318,1,AC$1),ZeroCompFreq,'PDH Calc'!$K318/365)</f>
        <v>1</v>
      </c>
      <c r="AD318" s="8">
        <f ca="1">_xll.HLV5r3.Analytics.Miscellaneous.Zero2DF(_xll.HLV5r3.Analytics.Miscellaneous.LinearInterp(Peturbed_QZ,$K318,1,AD$1),ZeroCompFreq,'PDH Calc'!$K318/365)</f>
        <v>1</v>
      </c>
      <c r="AE318" s="8">
        <f ca="1">_xll.HLV5r3.Analytics.Miscellaneous.Zero2DF(_xll.HLV5r3.Analytics.Miscellaneous.LinearInterp(Peturbed_QZ,$K318,1,AE$1),ZeroCompFreq,'PDH Calc'!$K318/365)</f>
        <v>1</v>
      </c>
      <c r="AF318" s="8">
        <f ca="1">_xll.HLV5r3.Analytics.Miscellaneous.Zero2DF(_xll.HLV5r3.Analytics.Miscellaneous.LinearInterp(Peturbed_QZ,$K318,1,AF$1),ZeroCompFreq,'PDH Calc'!$K318/365)</f>
        <v>1</v>
      </c>
      <c r="AG318" s="8">
        <f ca="1">_xll.HLV5r3.Analytics.Miscellaneous.Zero2DF(_xll.HLV5r3.Analytics.Miscellaneous.LinearInterp(Peturbed_QZ,$K318,1,AG$1),ZeroCompFreq,'PDH Calc'!$K318/365)</f>
        <v>1</v>
      </c>
      <c r="AH318" s="8">
        <f ca="1">_xll.HLV5r3.Analytics.Miscellaneous.Zero2DF(_xll.HLV5r3.Analytics.Miscellaneous.LinearInterp(Peturbed_QZ,$K318,1,AH$1),ZeroCompFreq,'PDH Calc'!$K318/365)</f>
        <v>1</v>
      </c>
      <c r="AI318" s="8">
        <f ca="1">_xll.HLV5r3.Analytics.Miscellaneous.Zero2DF(_xll.HLV5r3.Analytics.Miscellaneous.LinearInterp(Peturbed_QZ,$K318,1,AI$1),ZeroCompFreq,'PDH Calc'!$K318/365)</f>
        <v>1</v>
      </c>
      <c r="AJ318" s="8">
        <f ca="1">_xll.HLV5r3.Analytics.Miscellaneous.Zero2DF(_xll.HLV5r3.Analytics.Miscellaneous.LinearInterp(Peturbed_QZ,$K318,1,AJ$1),ZeroCompFreq,'PDH Calc'!$K318/365)</f>
        <v>1</v>
      </c>
      <c r="AK318" s="8">
        <f ca="1">_xll.HLV5r3.Analytics.Miscellaneous.Zero2DF(_xll.HLV5r3.Analytics.Miscellaneous.LinearInterp(Peturbed_QZ,$K318,1,AK$1),ZeroCompFreq,'PDH Calc'!$K318/365)</f>
        <v>1</v>
      </c>
    </row>
    <row r="319" spans="1:37">
      <c r="A319" s="4"/>
      <c r="B319" s="6"/>
      <c r="F319" s="11"/>
      <c r="G319" s="6"/>
      <c r="H319" s="20"/>
      <c r="I319" s="21"/>
      <c r="J319" s="26"/>
      <c r="K319" s="6">
        <f t="shared" ca="1" si="11"/>
        <v>0</v>
      </c>
      <c r="L319" s="8">
        <f ca="1">_xll.HLV5r3.Analytics.Miscellaneous.Zero2DF(_xll.HLV5r3.Analytics.Miscellaneous.LinearInterp(Peturbed_QZ,$K319,1,L$1),ZeroCompFreq,'PDH Calc'!$K319/365)</f>
        <v>1</v>
      </c>
      <c r="M319" s="8">
        <f ca="1">_xll.HLV5r3.Analytics.Miscellaneous.Zero2DF(_xll.HLV5r3.Analytics.Miscellaneous.LinearInterp(Peturbed_QZ,$K319,1,M$1),ZeroCompFreq,'PDH Calc'!$K319/365)</f>
        <v>1</v>
      </c>
      <c r="N319" s="8">
        <f ca="1">_xll.HLV5r3.Analytics.Miscellaneous.Zero2DF(_xll.HLV5r3.Analytics.Miscellaneous.LinearInterp(Peturbed_QZ,$K319,1,N$1),ZeroCompFreq,'PDH Calc'!$K319/365)</f>
        <v>1</v>
      </c>
      <c r="O319" s="8">
        <f ca="1">_xll.HLV5r3.Analytics.Miscellaneous.Zero2DF(_xll.HLV5r3.Analytics.Miscellaneous.LinearInterp(Peturbed_QZ,$K319,1,O$1),ZeroCompFreq,'PDH Calc'!$K319/365)</f>
        <v>1</v>
      </c>
      <c r="P319" s="8">
        <f ca="1">_xll.HLV5r3.Analytics.Miscellaneous.Zero2DF(_xll.HLV5r3.Analytics.Miscellaneous.LinearInterp(Peturbed_QZ,$K319,1,P$1),ZeroCompFreq,'PDH Calc'!$K319/365)</f>
        <v>1</v>
      </c>
      <c r="Q319" s="8">
        <f ca="1">_xll.HLV5r3.Analytics.Miscellaneous.Zero2DF(_xll.HLV5r3.Analytics.Miscellaneous.LinearInterp(Peturbed_QZ,$K319,1,Q$1),ZeroCompFreq,'PDH Calc'!$K319/365)</f>
        <v>1</v>
      </c>
      <c r="R319" s="8">
        <f ca="1">_xll.HLV5r3.Analytics.Miscellaneous.Zero2DF(_xll.HLV5r3.Analytics.Miscellaneous.LinearInterp(Peturbed_QZ,$K319,1,R$1),ZeroCompFreq,'PDH Calc'!$K319/365)</f>
        <v>1</v>
      </c>
      <c r="S319" s="8">
        <f ca="1">_xll.HLV5r3.Analytics.Miscellaneous.Zero2DF(_xll.HLV5r3.Analytics.Miscellaneous.LinearInterp(Peturbed_QZ,$K319,1,S$1),ZeroCompFreq,'PDH Calc'!$K319/365)</f>
        <v>1</v>
      </c>
      <c r="T319" s="8">
        <f ca="1">_xll.HLV5r3.Analytics.Miscellaneous.Zero2DF(_xll.HLV5r3.Analytics.Miscellaneous.LinearInterp(Peturbed_QZ,$K319,1,T$1),ZeroCompFreq,'PDH Calc'!$K319/365)</f>
        <v>1</v>
      </c>
      <c r="U319" s="8">
        <f ca="1">_xll.HLV5r3.Analytics.Miscellaneous.Zero2DF(_xll.HLV5r3.Analytics.Miscellaneous.LinearInterp(Peturbed_QZ,$K319,1,U$1),ZeroCompFreq,'PDH Calc'!$K319/365)</f>
        <v>1</v>
      </c>
      <c r="V319" s="8">
        <f ca="1">_xll.HLV5r3.Analytics.Miscellaneous.Zero2DF(_xll.HLV5r3.Analytics.Miscellaneous.LinearInterp(Peturbed_QZ,$K319,1,V$1),ZeroCompFreq,'PDH Calc'!$K319/365)</f>
        <v>1</v>
      </c>
      <c r="W319" s="8">
        <f ca="1">_xll.HLV5r3.Analytics.Miscellaneous.Zero2DF(_xll.HLV5r3.Analytics.Miscellaneous.LinearInterp(Peturbed_QZ,$K319,1,W$1),ZeroCompFreq,'PDH Calc'!$K319/365)</f>
        <v>1</v>
      </c>
      <c r="X319" s="8">
        <f ca="1">_xll.HLV5r3.Analytics.Miscellaneous.Zero2DF(_xll.HLV5r3.Analytics.Miscellaneous.LinearInterp(Peturbed_QZ,$K319,1,X$1),ZeroCompFreq,'PDH Calc'!$K319/365)</f>
        <v>1</v>
      </c>
      <c r="Y319" s="8">
        <f ca="1">_xll.HLV5r3.Analytics.Miscellaneous.Zero2DF(_xll.HLV5r3.Analytics.Miscellaneous.LinearInterp(Peturbed_QZ,$K319,1,Y$1),ZeroCompFreq,'PDH Calc'!$K319/365)</f>
        <v>1</v>
      </c>
      <c r="Z319" s="8">
        <f ca="1">_xll.HLV5r3.Analytics.Miscellaneous.Zero2DF(_xll.HLV5r3.Analytics.Miscellaneous.LinearInterp(Peturbed_QZ,$K319,1,Z$1),ZeroCompFreq,'PDH Calc'!$K319/365)</f>
        <v>1</v>
      </c>
      <c r="AA319" s="8">
        <f ca="1">_xll.HLV5r3.Analytics.Miscellaneous.Zero2DF(_xll.HLV5r3.Analytics.Miscellaneous.LinearInterp(Peturbed_QZ,$K319,1,AA$1),ZeroCompFreq,'PDH Calc'!$K319/365)</f>
        <v>1</v>
      </c>
      <c r="AB319" s="8">
        <f ca="1">_xll.HLV5r3.Analytics.Miscellaneous.Zero2DF(_xll.HLV5r3.Analytics.Miscellaneous.LinearInterp(Peturbed_QZ,$K319,1,AB$1),ZeroCompFreq,'PDH Calc'!$K319/365)</f>
        <v>1</v>
      </c>
      <c r="AC319" s="8">
        <f ca="1">_xll.HLV5r3.Analytics.Miscellaneous.Zero2DF(_xll.HLV5r3.Analytics.Miscellaneous.LinearInterp(Peturbed_QZ,$K319,1,AC$1),ZeroCompFreq,'PDH Calc'!$K319/365)</f>
        <v>1</v>
      </c>
      <c r="AD319" s="8">
        <f ca="1">_xll.HLV5r3.Analytics.Miscellaneous.Zero2DF(_xll.HLV5r3.Analytics.Miscellaneous.LinearInterp(Peturbed_QZ,$K319,1,AD$1),ZeroCompFreq,'PDH Calc'!$K319/365)</f>
        <v>1</v>
      </c>
      <c r="AE319" s="8">
        <f ca="1">_xll.HLV5r3.Analytics.Miscellaneous.Zero2DF(_xll.HLV5r3.Analytics.Miscellaneous.LinearInterp(Peturbed_QZ,$K319,1,AE$1),ZeroCompFreq,'PDH Calc'!$K319/365)</f>
        <v>1</v>
      </c>
      <c r="AF319" s="8">
        <f ca="1">_xll.HLV5r3.Analytics.Miscellaneous.Zero2DF(_xll.HLV5r3.Analytics.Miscellaneous.LinearInterp(Peturbed_QZ,$K319,1,AF$1),ZeroCompFreq,'PDH Calc'!$K319/365)</f>
        <v>1</v>
      </c>
      <c r="AG319" s="8">
        <f ca="1">_xll.HLV5r3.Analytics.Miscellaneous.Zero2DF(_xll.HLV5r3.Analytics.Miscellaneous.LinearInterp(Peturbed_QZ,$K319,1,AG$1),ZeroCompFreq,'PDH Calc'!$K319/365)</f>
        <v>1</v>
      </c>
      <c r="AH319" s="8">
        <f ca="1">_xll.HLV5r3.Analytics.Miscellaneous.Zero2DF(_xll.HLV5r3.Analytics.Miscellaneous.LinearInterp(Peturbed_QZ,$K319,1,AH$1),ZeroCompFreq,'PDH Calc'!$K319/365)</f>
        <v>1</v>
      </c>
      <c r="AI319" s="8">
        <f ca="1">_xll.HLV5r3.Analytics.Miscellaneous.Zero2DF(_xll.HLV5r3.Analytics.Miscellaneous.LinearInterp(Peturbed_QZ,$K319,1,AI$1),ZeroCompFreq,'PDH Calc'!$K319/365)</f>
        <v>1</v>
      </c>
      <c r="AJ319" s="8">
        <f ca="1">_xll.HLV5r3.Analytics.Miscellaneous.Zero2DF(_xll.HLV5r3.Analytics.Miscellaneous.LinearInterp(Peturbed_QZ,$K319,1,AJ$1),ZeroCompFreq,'PDH Calc'!$K319/365)</f>
        <v>1</v>
      </c>
      <c r="AK319" s="8">
        <f ca="1">_xll.HLV5r3.Analytics.Miscellaneous.Zero2DF(_xll.HLV5r3.Analytics.Miscellaneous.LinearInterp(Peturbed_QZ,$K319,1,AK$1),ZeroCompFreq,'PDH Calc'!$K319/365)</f>
        <v>1</v>
      </c>
    </row>
    <row r="320" spans="1:37">
      <c r="A320" s="4"/>
      <c r="B320" s="6"/>
      <c r="F320" s="11"/>
      <c r="G320" s="6"/>
      <c r="H320" s="20"/>
      <c r="I320" s="21"/>
      <c r="J320" s="26"/>
      <c r="K320" s="6">
        <f t="shared" ca="1" si="11"/>
        <v>0</v>
      </c>
      <c r="L320" s="8">
        <f ca="1">_xll.HLV5r3.Analytics.Miscellaneous.Zero2DF(_xll.HLV5r3.Analytics.Miscellaneous.LinearInterp(Peturbed_QZ,$K320,1,L$1),ZeroCompFreq,'PDH Calc'!$K320/365)</f>
        <v>1</v>
      </c>
      <c r="M320" s="8">
        <f ca="1">_xll.HLV5r3.Analytics.Miscellaneous.Zero2DF(_xll.HLV5r3.Analytics.Miscellaneous.LinearInterp(Peturbed_QZ,$K320,1,M$1),ZeroCompFreq,'PDH Calc'!$K320/365)</f>
        <v>1</v>
      </c>
      <c r="N320" s="8">
        <f ca="1">_xll.HLV5r3.Analytics.Miscellaneous.Zero2DF(_xll.HLV5r3.Analytics.Miscellaneous.LinearInterp(Peturbed_QZ,$K320,1,N$1),ZeroCompFreq,'PDH Calc'!$K320/365)</f>
        <v>1</v>
      </c>
      <c r="O320" s="8">
        <f ca="1">_xll.HLV5r3.Analytics.Miscellaneous.Zero2DF(_xll.HLV5r3.Analytics.Miscellaneous.LinearInterp(Peturbed_QZ,$K320,1,O$1),ZeroCompFreq,'PDH Calc'!$K320/365)</f>
        <v>1</v>
      </c>
      <c r="P320" s="8">
        <f ca="1">_xll.HLV5r3.Analytics.Miscellaneous.Zero2DF(_xll.HLV5r3.Analytics.Miscellaneous.LinearInterp(Peturbed_QZ,$K320,1,P$1),ZeroCompFreq,'PDH Calc'!$K320/365)</f>
        <v>1</v>
      </c>
      <c r="Q320" s="8">
        <f ca="1">_xll.HLV5r3.Analytics.Miscellaneous.Zero2DF(_xll.HLV5r3.Analytics.Miscellaneous.LinearInterp(Peturbed_QZ,$K320,1,Q$1),ZeroCompFreq,'PDH Calc'!$K320/365)</f>
        <v>1</v>
      </c>
      <c r="R320" s="8">
        <f ca="1">_xll.HLV5r3.Analytics.Miscellaneous.Zero2DF(_xll.HLV5r3.Analytics.Miscellaneous.LinearInterp(Peturbed_QZ,$K320,1,R$1),ZeroCompFreq,'PDH Calc'!$K320/365)</f>
        <v>1</v>
      </c>
      <c r="S320" s="8">
        <f ca="1">_xll.HLV5r3.Analytics.Miscellaneous.Zero2DF(_xll.HLV5r3.Analytics.Miscellaneous.LinearInterp(Peturbed_QZ,$K320,1,S$1),ZeroCompFreq,'PDH Calc'!$K320/365)</f>
        <v>1</v>
      </c>
      <c r="T320" s="8">
        <f ca="1">_xll.HLV5r3.Analytics.Miscellaneous.Zero2DF(_xll.HLV5r3.Analytics.Miscellaneous.LinearInterp(Peturbed_QZ,$K320,1,T$1),ZeroCompFreq,'PDH Calc'!$K320/365)</f>
        <v>1</v>
      </c>
      <c r="U320" s="8">
        <f ca="1">_xll.HLV5r3.Analytics.Miscellaneous.Zero2DF(_xll.HLV5r3.Analytics.Miscellaneous.LinearInterp(Peturbed_QZ,$K320,1,U$1),ZeroCompFreq,'PDH Calc'!$K320/365)</f>
        <v>1</v>
      </c>
      <c r="V320" s="8">
        <f ca="1">_xll.HLV5r3.Analytics.Miscellaneous.Zero2DF(_xll.HLV5r3.Analytics.Miscellaneous.LinearInterp(Peturbed_QZ,$K320,1,V$1),ZeroCompFreq,'PDH Calc'!$K320/365)</f>
        <v>1</v>
      </c>
      <c r="W320" s="8">
        <f ca="1">_xll.HLV5r3.Analytics.Miscellaneous.Zero2DF(_xll.HLV5r3.Analytics.Miscellaneous.LinearInterp(Peturbed_QZ,$K320,1,W$1),ZeroCompFreq,'PDH Calc'!$K320/365)</f>
        <v>1</v>
      </c>
      <c r="X320" s="8">
        <f ca="1">_xll.HLV5r3.Analytics.Miscellaneous.Zero2DF(_xll.HLV5r3.Analytics.Miscellaneous.LinearInterp(Peturbed_QZ,$K320,1,X$1),ZeroCompFreq,'PDH Calc'!$K320/365)</f>
        <v>1</v>
      </c>
      <c r="Y320" s="8">
        <f ca="1">_xll.HLV5r3.Analytics.Miscellaneous.Zero2DF(_xll.HLV5r3.Analytics.Miscellaneous.LinearInterp(Peturbed_QZ,$K320,1,Y$1),ZeroCompFreq,'PDH Calc'!$K320/365)</f>
        <v>1</v>
      </c>
      <c r="Z320" s="8">
        <f ca="1">_xll.HLV5r3.Analytics.Miscellaneous.Zero2DF(_xll.HLV5r3.Analytics.Miscellaneous.LinearInterp(Peturbed_QZ,$K320,1,Z$1),ZeroCompFreq,'PDH Calc'!$K320/365)</f>
        <v>1</v>
      </c>
      <c r="AA320" s="8">
        <f ca="1">_xll.HLV5r3.Analytics.Miscellaneous.Zero2DF(_xll.HLV5r3.Analytics.Miscellaneous.LinearInterp(Peturbed_QZ,$K320,1,AA$1),ZeroCompFreq,'PDH Calc'!$K320/365)</f>
        <v>1</v>
      </c>
      <c r="AB320" s="8">
        <f ca="1">_xll.HLV5r3.Analytics.Miscellaneous.Zero2DF(_xll.HLV5r3.Analytics.Miscellaneous.LinearInterp(Peturbed_QZ,$K320,1,AB$1),ZeroCompFreq,'PDH Calc'!$K320/365)</f>
        <v>1</v>
      </c>
      <c r="AC320" s="8">
        <f ca="1">_xll.HLV5r3.Analytics.Miscellaneous.Zero2DF(_xll.HLV5r3.Analytics.Miscellaneous.LinearInterp(Peturbed_QZ,$K320,1,AC$1),ZeroCompFreq,'PDH Calc'!$K320/365)</f>
        <v>1</v>
      </c>
      <c r="AD320" s="8">
        <f ca="1">_xll.HLV5r3.Analytics.Miscellaneous.Zero2DF(_xll.HLV5r3.Analytics.Miscellaneous.LinearInterp(Peturbed_QZ,$K320,1,AD$1),ZeroCompFreq,'PDH Calc'!$K320/365)</f>
        <v>1</v>
      </c>
      <c r="AE320" s="8">
        <f ca="1">_xll.HLV5r3.Analytics.Miscellaneous.Zero2DF(_xll.HLV5r3.Analytics.Miscellaneous.LinearInterp(Peturbed_QZ,$K320,1,AE$1),ZeroCompFreq,'PDH Calc'!$K320/365)</f>
        <v>1</v>
      </c>
      <c r="AF320" s="8">
        <f ca="1">_xll.HLV5r3.Analytics.Miscellaneous.Zero2DF(_xll.HLV5r3.Analytics.Miscellaneous.LinearInterp(Peturbed_QZ,$K320,1,AF$1),ZeroCompFreq,'PDH Calc'!$K320/365)</f>
        <v>1</v>
      </c>
      <c r="AG320" s="8">
        <f ca="1">_xll.HLV5r3.Analytics.Miscellaneous.Zero2DF(_xll.HLV5r3.Analytics.Miscellaneous.LinearInterp(Peturbed_QZ,$K320,1,AG$1),ZeroCompFreq,'PDH Calc'!$K320/365)</f>
        <v>1</v>
      </c>
      <c r="AH320" s="8">
        <f ca="1">_xll.HLV5r3.Analytics.Miscellaneous.Zero2DF(_xll.HLV5r3.Analytics.Miscellaneous.LinearInterp(Peturbed_QZ,$K320,1,AH$1),ZeroCompFreq,'PDH Calc'!$K320/365)</f>
        <v>1</v>
      </c>
      <c r="AI320" s="8">
        <f ca="1">_xll.HLV5r3.Analytics.Miscellaneous.Zero2DF(_xll.HLV5r3.Analytics.Miscellaneous.LinearInterp(Peturbed_QZ,$K320,1,AI$1),ZeroCompFreq,'PDH Calc'!$K320/365)</f>
        <v>1</v>
      </c>
      <c r="AJ320" s="8">
        <f ca="1">_xll.HLV5r3.Analytics.Miscellaneous.Zero2DF(_xll.HLV5r3.Analytics.Miscellaneous.LinearInterp(Peturbed_QZ,$K320,1,AJ$1),ZeroCompFreq,'PDH Calc'!$K320/365)</f>
        <v>1</v>
      </c>
      <c r="AK320" s="8">
        <f ca="1">_xll.HLV5r3.Analytics.Miscellaneous.Zero2DF(_xll.HLV5r3.Analytics.Miscellaneous.LinearInterp(Peturbed_QZ,$K320,1,AK$1),ZeroCompFreq,'PDH Calc'!$K320/365)</f>
        <v>1</v>
      </c>
    </row>
    <row r="321" spans="1:37">
      <c r="A321" s="4"/>
      <c r="B321" s="6"/>
      <c r="F321" s="11"/>
      <c r="G321" s="6"/>
      <c r="H321" s="20"/>
      <c r="I321" s="21"/>
      <c r="J321" s="26"/>
      <c r="K321" s="6">
        <f t="shared" ca="1" si="11"/>
        <v>0</v>
      </c>
      <c r="L321" s="8">
        <f ca="1">_xll.HLV5r3.Analytics.Miscellaneous.Zero2DF(_xll.HLV5r3.Analytics.Miscellaneous.LinearInterp(Peturbed_QZ,$K321,1,L$1),ZeroCompFreq,'PDH Calc'!$K321/365)</f>
        <v>1</v>
      </c>
      <c r="M321" s="8">
        <f ca="1">_xll.HLV5r3.Analytics.Miscellaneous.Zero2DF(_xll.HLV5r3.Analytics.Miscellaneous.LinearInterp(Peturbed_QZ,$K321,1,M$1),ZeroCompFreq,'PDH Calc'!$K321/365)</f>
        <v>1</v>
      </c>
      <c r="N321" s="8">
        <f ca="1">_xll.HLV5r3.Analytics.Miscellaneous.Zero2DF(_xll.HLV5r3.Analytics.Miscellaneous.LinearInterp(Peturbed_QZ,$K321,1,N$1),ZeroCompFreq,'PDH Calc'!$K321/365)</f>
        <v>1</v>
      </c>
      <c r="O321" s="8">
        <f ca="1">_xll.HLV5r3.Analytics.Miscellaneous.Zero2DF(_xll.HLV5r3.Analytics.Miscellaneous.LinearInterp(Peturbed_QZ,$K321,1,O$1),ZeroCompFreq,'PDH Calc'!$K321/365)</f>
        <v>1</v>
      </c>
      <c r="P321" s="8">
        <f ca="1">_xll.HLV5r3.Analytics.Miscellaneous.Zero2DF(_xll.HLV5r3.Analytics.Miscellaneous.LinearInterp(Peturbed_QZ,$K321,1,P$1),ZeroCompFreq,'PDH Calc'!$K321/365)</f>
        <v>1</v>
      </c>
      <c r="Q321" s="8">
        <f ca="1">_xll.HLV5r3.Analytics.Miscellaneous.Zero2DF(_xll.HLV5r3.Analytics.Miscellaneous.LinearInterp(Peturbed_QZ,$K321,1,Q$1),ZeroCompFreq,'PDH Calc'!$K321/365)</f>
        <v>1</v>
      </c>
      <c r="R321" s="8">
        <f ca="1">_xll.HLV5r3.Analytics.Miscellaneous.Zero2DF(_xll.HLV5r3.Analytics.Miscellaneous.LinearInterp(Peturbed_QZ,$K321,1,R$1),ZeroCompFreq,'PDH Calc'!$K321/365)</f>
        <v>1</v>
      </c>
      <c r="S321" s="8">
        <f ca="1">_xll.HLV5r3.Analytics.Miscellaneous.Zero2DF(_xll.HLV5r3.Analytics.Miscellaneous.LinearInterp(Peturbed_QZ,$K321,1,S$1),ZeroCompFreq,'PDH Calc'!$K321/365)</f>
        <v>1</v>
      </c>
      <c r="T321" s="8">
        <f ca="1">_xll.HLV5r3.Analytics.Miscellaneous.Zero2DF(_xll.HLV5r3.Analytics.Miscellaneous.LinearInterp(Peturbed_QZ,$K321,1,T$1),ZeroCompFreq,'PDH Calc'!$K321/365)</f>
        <v>1</v>
      </c>
      <c r="U321" s="8">
        <f ca="1">_xll.HLV5r3.Analytics.Miscellaneous.Zero2DF(_xll.HLV5r3.Analytics.Miscellaneous.LinearInterp(Peturbed_QZ,$K321,1,U$1),ZeroCompFreq,'PDH Calc'!$K321/365)</f>
        <v>1</v>
      </c>
      <c r="V321" s="8">
        <f ca="1">_xll.HLV5r3.Analytics.Miscellaneous.Zero2DF(_xll.HLV5r3.Analytics.Miscellaneous.LinearInterp(Peturbed_QZ,$K321,1,V$1),ZeroCompFreq,'PDH Calc'!$K321/365)</f>
        <v>1</v>
      </c>
      <c r="W321" s="8">
        <f ca="1">_xll.HLV5r3.Analytics.Miscellaneous.Zero2DF(_xll.HLV5r3.Analytics.Miscellaneous.LinearInterp(Peturbed_QZ,$K321,1,W$1),ZeroCompFreq,'PDH Calc'!$K321/365)</f>
        <v>1</v>
      </c>
      <c r="X321" s="8">
        <f ca="1">_xll.HLV5r3.Analytics.Miscellaneous.Zero2DF(_xll.HLV5r3.Analytics.Miscellaneous.LinearInterp(Peturbed_QZ,$K321,1,X$1),ZeroCompFreq,'PDH Calc'!$K321/365)</f>
        <v>1</v>
      </c>
      <c r="Y321" s="8">
        <f ca="1">_xll.HLV5r3.Analytics.Miscellaneous.Zero2DF(_xll.HLV5r3.Analytics.Miscellaneous.LinearInterp(Peturbed_QZ,$K321,1,Y$1),ZeroCompFreq,'PDH Calc'!$K321/365)</f>
        <v>1</v>
      </c>
      <c r="Z321" s="8">
        <f ca="1">_xll.HLV5r3.Analytics.Miscellaneous.Zero2DF(_xll.HLV5r3.Analytics.Miscellaneous.LinearInterp(Peturbed_QZ,$K321,1,Z$1),ZeroCompFreq,'PDH Calc'!$K321/365)</f>
        <v>1</v>
      </c>
      <c r="AA321" s="8">
        <f ca="1">_xll.HLV5r3.Analytics.Miscellaneous.Zero2DF(_xll.HLV5r3.Analytics.Miscellaneous.LinearInterp(Peturbed_QZ,$K321,1,AA$1),ZeroCompFreq,'PDH Calc'!$K321/365)</f>
        <v>1</v>
      </c>
      <c r="AB321" s="8">
        <f ca="1">_xll.HLV5r3.Analytics.Miscellaneous.Zero2DF(_xll.HLV5r3.Analytics.Miscellaneous.LinearInterp(Peturbed_QZ,$K321,1,AB$1),ZeroCompFreq,'PDH Calc'!$K321/365)</f>
        <v>1</v>
      </c>
      <c r="AC321" s="8">
        <f ca="1">_xll.HLV5r3.Analytics.Miscellaneous.Zero2DF(_xll.HLV5r3.Analytics.Miscellaneous.LinearInterp(Peturbed_QZ,$K321,1,AC$1),ZeroCompFreq,'PDH Calc'!$K321/365)</f>
        <v>1</v>
      </c>
      <c r="AD321" s="8">
        <f ca="1">_xll.HLV5r3.Analytics.Miscellaneous.Zero2DF(_xll.HLV5r3.Analytics.Miscellaneous.LinearInterp(Peturbed_QZ,$K321,1,AD$1),ZeroCompFreq,'PDH Calc'!$K321/365)</f>
        <v>1</v>
      </c>
      <c r="AE321" s="8">
        <f ca="1">_xll.HLV5r3.Analytics.Miscellaneous.Zero2DF(_xll.HLV5r3.Analytics.Miscellaneous.LinearInterp(Peturbed_QZ,$K321,1,AE$1),ZeroCompFreq,'PDH Calc'!$K321/365)</f>
        <v>1</v>
      </c>
      <c r="AF321" s="8">
        <f ca="1">_xll.HLV5r3.Analytics.Miscellaneous.Zero2DF(_xll.HLV5r3.Analytics.Miscellaneous.LinearInterp(Peturbed_QZ,$K321,1,AF$1),ZeroCompFreq,'PDH Calc'!$K321/365)</f>
        <v>1</v>
      </c>
      <c r="AG321" s="8">
        <f ca="1">_xll.HLV5r3.Analytics.Miscellaneous.Zero2DF(_xll.HLV5r3.Analytics.Miscellaneous.LinearInterp(Peturbed_QZ,$K321,1,AG$1),ZeroCompFreq,'PDH Calc'!$K321/365)</f>
        <v>1</v>
      </c>
      <c r="AH321" s="8">
        <f ca="1">_xll.HLV5r3.Analytics.Miscellaneous.Zero2DF(_xll.HLV5r3.Analytics.Miscellaneous.LinearInterp(Peturbed_QZ,$K321,1,AH$1),ZeroCompFreq,'PDH Calc'!$K321/365)</f>
        <v>1</v>
      </c>
      <c r="AI321" s="8">
        <f ca="1">_xll.HLV5r3.Analytics.Miscellaneous.Zero2DF(_xll.HLV5r3.Analytics.Miscellaneous.LinearInterp(Peturbed_QZ,$K321,1,AI$1),ZeroCompFreq,'PDH Calc'!$K321/365)</f>
        <v>1</v>
      </c>
      <c r="AJ321" s="8">
        <f ca="1">_xll.HLV5r3.Analytics.Miscellaneous.Zero2DF(_xll.HLV5r3.Analytics.Miscellaneous.LinearInterp(Peturbed_QZ,$K321,1,AJ$1),ZeroCompFreq,'PDH Calc'!$K321/365)</f>
        <v>1</v>
      </c>
      <c r="AK321" s="8">
        <f ca="1">_xll.HLV5r3.Analytics.Miscellaneous.Zero2DF(_xll.HLV5r3.Analytics.Miscellaneous.LinearInterp(Peturbed_QZ,$K321,1,AK$1),ZeroCompFreq,'PDH Calc'!$K321/365)</f>
        <v>1</v>
      </c>
    </row>
    <row r="322" spans="1:37">
      <c r="A322" s="4"/>
      <c r="B322" s="6"/>
      <c r="F322" s="11"/>
      <c r="G322" s="6"/>
      <c r="H322" s="20"/>
      <c r="I322" s="21"/>
      <c r="J322" s="26"/>
      <c r="K322" s="6">
        <f t="shared" ca="1" si="11"/>
        <v>0</v>
      </c>
      <c r="L322" s="8">
        <f ca="1">_xll.HLV5r3.Analytics.Miscellaneous.Zero2DF(_xll.HLV5r3.Analytics.Miscellaneous.LinearInterp(Peturbed_QZ,$K322,1,L$1),ZeroCompFreq,'PDH Calc'!$K322/365)</f>
        <v>1</v>
      </c>
      <c r="M322" s="8">
        <f ca="1">_xll.HLV5r3.Analytics.Miscellaneous.Zero2DF(_xll.HLV5r3.Analytics.Miscellaneous.LinearInterp(Peturbed_QZ,$K322,1,M$1),ZeroCompFreq,'PDH Calc'!$K322/365)</f>
        <v>1</v>
      </c>
      <c r="N322" s="8">
        <f ca="1">_xll.HLV5r3.Analytics.Miscellaneous.Zero2DF(_xll.HLV5r3.Analytics.Miscellaneous.LinearInterp(Peturbed_QZ,$K322,1,N$1),ZeroCompFreq,'PDH Calc'!$K322/365)</f>
        <v>1</v>
      </c>
      <c r="O322" s="8">
        <f ca="1">_xll.HLV5r3.Analytics.Miscellaneous.Zero2DF(_xll.HLV5r3.Analytics.Miscellaneous.LinearInterp(Peturbed_QZ,$K322,1,O$1),ZeroCompFreq,'PDH Calc'!$K322/365)</f>
        <v>1</v>
      </c>
      <c r="P322" s="8">
        <f ca="1">_xll.HLV5r3.Analytics.Miscellaneous.Zero2DF(_xll.HLV5r3.Analytics.Miscellaneous.LinearInterp(Peturbed_QZ,$K322,1,P$1),ZeroCompFreq,'PDH Calc'!$K322/365)</f>
        <v>1</v>
      </c>
      <c r="Q322" s="8">
        <f ca="1">_xll.HLV5r3.Analytics.Miscellaneous.Zero2DF(_xll.HLV5r3.Analytics.Miscellaneous.LinearInterp(Peturbed_QZ,$K322,1,Q$1),ZeroCompFreq,'PDH Calc'!$K322/365)</f>
        <v>1</v>
      </c>
      <c r="R322" s="8">
        <f ca="1">_xll.HLV5r3.Analytics.Miscellaneous.Zero2DF(_xll.HLV5r3.Analytics.Miscellaneous.LinearInterp(Peturbed_QZ,$K322,1,R$1),ZeroCompFreq,'PDH Calc'!$K322/365)</f>
        <v>1</v>
      </c>
      <c r="S322" s="8">
        <f ca="1">_xll.HLV5r3.Analytics.Miscellaneous.Zero2DF(_xll.HLV5r3.Analytics.Miscellaneous.LinearInterp(Peturbed_QZ,$K322,1,S$1),ZeroCompFreq,'PDH Calc'!$K322/365)</f>
        <v>1</v>
      </c>
      <c r="T322" s="8">
        <f ca="1">_xll.HLV5r3.Analytics.Miscellaneous.Zero2DF(_xll.HLV5r3.Analytics.Miscellaneous.LinearInterp(Peturbed_QZ,$K322,1,T$1),ZeroCompFreq,'PDH Calc'!$K322/365)</f>
        <v>1</v>
      </c>
      <c r="U322" s="8">
        <f ca="1">_xll.HLV5r3.Analytics.Miscellaneous.Zero2DF(_xll.HLV5r3.Analytics.Miscellaneous.LinearInterp(Peturbed_QZ,$K322,1,U$1),ZeroCompFreq,'PDH Calc'!$K322/365)</f>
        <v>1</v>
      </c>
      <c r="V322" s="8">
        <f ca="1">_xll.HLV5r3.Analytics.Miscellaneous.Zero2DF(_xll.HLV5r3.Analytics.Miscellaneous.LinearInterp(Peturbed_QZ,$K322,1,V$1),ZeroCompFreq,'PDH Calc'!$K322/365)</f>
        <v>1</v>
      </c>
      <c r="W322" s="8">
        <f ca="1">_xll.HLV5r3.Analytics.Miscellaneous.Zero2DF(_xll.HLV5r3.Analytics.Miscellaneous.LinearInterp(Peturbed_QZ,$K322,1,W$1),ZeroCompFreq,'PDH Calc'!$K322/365)</f>
        <v>1</v>
      </c>
      <c r="X322" s="8">
        <f ca="1">_xll.HLV5r3.Analytics.Miscellaneous.Zero2DF(_xll.HLV5r3.Analytics.Miscellaneous.LinearInterp(Peturbed_QZ,$K322,1,X$1),ZeroCompFreq,'PDH Calc'!$K322/365)</f>
        <v>1</v>
      </c>
      <c r="Y322" s="8">
        <f ca="1">_xll.HLV5r3.Analytics.Miscellaneous.Zero2DF(_xll.HLV5r3.Analytics.Miscellaneous.LinearInterp(Peturbed_QZ,$K322,1,Y$1),ZeroCompFreq,'PDH Calc'!$K322/365)</f>
        <v>1</v>
      </c>
      <c r="Z322" s="8">
        <f ca="1">_xll.HLV5r3.Analytics.Miscellaneous.Zero2DF(_xll.HLV5r3.Analytics.Miscellaneous.LinearInterp(Peturbed_QZ,$K322,1,Z$1),ZeroCompFreq,'PDH Calc'!$K322/365)</f>
        <v>1</v>
      </c>
      <c r="AA322" s="8">
        <f ca="1">_xll.HLV5r3.Analytics.Miscellaneous.Zero2DF(_xll.HLV5r3.Analytics.Miscellaneous.LinearInterp(Peturbed_QZ,$K322,1,AA$1),ZeroCompFreq,'PDH Calc'!$K322/365)</f>
        <v>1</v>
      </c>
      <c r="AB322" s="8">
        <f ca="1">_xll.HLV5r3.Analytics.Miscellaneous.Zero2DF(_xll.HLV5r3.Analytics.Miscellaneous.LinearInterp(Peturbed_QZ,$K322,1,AB$1),ZeroCompFreq,'PDH Calc'!$K322/365)</f>
        <v>1</v>
      </c>
      <c r="AC322" s="8">
        <f ca="1">_xll.HLV5r3.Analytics.Miscellaneous.Zero2DF(_xll.HLV5r3.Analytics.Miscellaneous.LinearInterp(Peturbed_QZ,$K322,1,AC$1),ZeroCompFreq,'PDH Calc'!$K322/365)</f>
        <v>1</v>
      </c>
      <c r="AD322" s="8">
        <f ca="1">_xll.HLV5r3.Analytics.Miscellaneous.Zero2DF(_xll.HLV5r3.Analytics.Miscellaneous.LinearInterp(Peturbed_QZ,$K322,1,AD$1),ZeroCompFreq,'PDH Calc'!$K322/365)</f>
        <v>1</v>
      </c>
      <c r="AE322" s="8">
        <f ca="1">_xll.HLV5r3.Analytics.Miscellaneous.Zero2DF(_xll.HLV5r3.Analytics.Miscellaneous.LinearInterp(Peturbed_QZ,$K322,1,AE$1),ZeroCompFreq,'PDH Calc'!$K322/365)</f>
        <v>1</v>
      </c>
      <c r="AF322" s="8">
        <f ca="1">_xll.HLV5r3.Analytics.Miscellaneous.Zero2DF(_xll.HLV5r3.Analytics.Miscellaneous.LinearInterp(Peturbed_QZ,$K322,1,AF$1),ZeroCompFreq,'PDH Calc'!$K322/365)</f>
        <v>1</v>
      </c>
      <c r="AG322" s="8">
        <f ca="1">_xll.HLV5r3.Analytics.Miscellaneous.Zero2DF(_xll.HLV5r3.Analytics.Miscellaneous.LinearInterp(Peturbed_QZ,$K322,1,AG$1),ZeroCompFreq,'PDH Calc'!$K322/365)</f>
        <v>1</v>
      </c>
      <c r="AH322" s="8">
        <f ca="1">_xll.HLV5r3.Analytics.Miscellaneous.Zero2DF(_xll.HLV5r3.Analytics.Miscellaneous.LinearInterp(Peturbed_QZ,$K322,1,AH$1),ZeroCompFreq,'PDH Calc'!$K322/365)</f>
        <v>1</v>
      </c>
      <c r="AI322" s="8">
        <f ca="1">_xll.HLV5r3.Analytics.Miscellaneous.Zero2DF(_xll.HLV5r3.Analytics.Miscellaneous.LinearInterp(Peturbed_QZ,$K322,1,AI$1),ZeroCompFreq,'PDH Calc'!$K322/365)</f>
        <v>1</v>
      </c>
      <c r="AJ322" s="8">
        <f ca="1">_xll.HLV5r3.Analytics.Miscellaneous.Zero2DF(_xll.HLV5r3.Analytics.Miscellaneous.LinearInterp(Peturbed_QZ,$K322,1,AJ$1),ZeroCompFreq,'PDH Calc'!$K322/365)</f>
        <v>1</v>
      </c>
      <c r="AK322" s="8">
        <f ca="1">_xll.HLV5r3.Analytics.Miscellaneous.Zero2DF(_xll.HLV5r3.Analytics.Miscellaneous.LinearInterp(Peturbed_QZ,$K322,1,AK$1),ZeroCompFreq,'PDH Calc'!$K322/365)</f>
        <v>1</v>
      </c>
    </row>
    <row r="323" spans="1:37">
      <c r="A323" s="4"/>
      <c r="B323" s="6"/>
      <c r="F323" s="11"/>
      <c r="G323" s="6"/>
      <c r="H323" s="20"/>
      <c r="I323" s="21"/>
      <c r="J323" s="26"/>
      <c r="K323" s="6">
        <f t="shared" ca="1" si="11"/>
        <v>0</v>
      </c>
      <c r="L323" s="8">
        <f ca="1">_xll.HLV5r3.Analytics.Miscellaneous.Zero2DF(_xll.HLV5r3.Analytics.Miscellaneous.LinearInterp(Peturbed_QZ,$K323,1,L$1),ZeroCompFreq,'PDH Calc'!$K323/365)</f>
        <v>1</v>
      </c>
      <c r="M323" s="8">
        <f ca="1">_xll.HLV5r3.Analytics.Miscellaneous.Zero2DF(_xll.HLV5r3.Analytics.Miscellaneous.LinearInterp(Peturbed_QZ,$K323,1,M$1),ZeroCompFreq,'PDH Calc'!$K323/365)</f>
        <v>1</v>
      </c>
      <c r="N323" s="8">
        <f ca="1">_xll.HLV5r3.Analytics.Miscellaneous.Zero2DF(_xll.HLV5r3.Analytics.Miscellaneous.LinearInterp(Peturbed_QZ,$K323,1,N$1),ZeroCompFreq,'PDH Calc'!$K323/365)</f>
        <v>1</v>
      </c>
      <c r="O323" s="8">
        <f ca="1">_xll.HLV5r3.Analytics.Miscellaneous.Zero2DF(_xll.HLV5r3.Analytics.Miscellaneous.LinearInterp(Peturbed_QZ,$K323,1,O$1),ZeroCompFreq,'PDH Calc'!$K323/365)</f>
        <v>1</v>
      </c>
      <c r="P323" s="8">
        <f ca="1">_xll.HLV5r3.Analytics.Miscellaneous.Zero2DF(_xll.HLV5r3.Analytics.Miscellaneous.LinearInterp(Peturbed_QZ,$K323,1,P$1),ZeroCompFreq,'PDH Calc'!$K323/365)</f>
        <v>1</v>
      </c>
      <c r="Q323" s="8">
        <f ca="1">_xll.HLV5r3.Analytics.Miscellaneous.Zero2DF(_xll.HLV5r3.Analytics.Miscellaneous.LinearInterp(Peturbed_QZ,$K323,1,Q$1),ZeroCompFreq,'PDH Calc'!$K323/365)</f>
        <v>1</v>
      </c>
      <c r="R323" s="8">
        <f ca="1">_xll.HLV5r3.Analytics.Miscellaneous.Zero2DF(_xll.HLV5r3.Analytics.Miscellaneous.LinearInterp(Peturbed_QZ,$K323,1,R$1),ZeroCompFreq,'PDH Calc'!$K323/365)</f>
        <v>1</v>
      </c>
      <c r="S323" s="8">
        <f ca="1">_xll.HLV5r3.Analytics.Miscellaneous.Zero2DF(_xll.HLV5r3.Analytics.Miscellaneous.LinearInterp(Peturbed_QZ,$K323,1,S$1),ZeroCompFreq,'PDH Calc'!$K323/365)</f>
        <v>1</v>
      </c>
      <c r="T323" s="8">
        <f ca="1">_xll.HLV5r3.Analytics.Miscellaneous.Zero2DF(_xll.HLV5r3.Analytics.Miscellaneous.LinearInterp(Peturbed_QZ,$K323,1,T$1),ZeroCompFreq,'PDH Calc'!$K323/365)</f>
        <v>1</v>
      </c>
      <c r="U323" s="8">
        <f ca="1">_xll.HLV5r3.Analytics.Miscellaneous.Zero2DF(_xll.HLV5r3.Analytics.Miscellaneous.LinearInterp(Peturbed_QZ,$K323,1,U$1),ZeroCompFreq,'PDH Calc'!$K323/365)</f>
        <v>1</v>
      </c>
      <c r="V323" s="8">
        <f ca="1">_xll.HLV5r3.Analytics.Miscellaneous.Zero2DF(_xll.HLV5r3.Analytics.Miscellaneous.LinearInterp(Peturbed_QZ,$K323,1,V$1),ZeroCompFreq,'PDH Calc'!$K323/365)</f>
        <v>1</v>
      </c>
      <c r="W323" s="8">
        <f ca="1">_xll.HLV5r3.Analytics.Miscellaneous.Zero2DF(_xll.HLV5r3.Analytics.Miscellaneous.LinearInterp(Peturbed_QZ,$K323,1,W$1),ZeroCompFreq,'PDH Calc'!$K323/365)</f>
        <v>1</v>
      </c>
      <c r="X323" s="8">
        <f ca="1">_xll.HLV5r3.Analytics.Miscellaneous.Zero2DF(_xll.HLV5r3.Analytics.Miscellaneous.LinearInterp(Peturbed_QZ,$K323,1,X$1),ZeroCompFreq,'PDH Calc'!$K323/365)</f>
        <v>1</v>
      </c>
      <c r="Y323" s="8">
        <f ca="1">_xll.HLV5r3.Analytics.Miscellaneous.Zero2DF(_xll.HLV5r3.Analytics.Miscellaneous.LinearInterp(Peturbed_QZ,$K323,1,Y$1),ZeroCompFreq,'PDH Calc'!$K323/365)</f>
        <v>1</v>
      </c>
      <c r="Z323" s="8">
        <f ca="1">_xll.HLV5r3.Analytics.Miscellaneous.Zero2DF(_xll.HLV5r3.Analytics.Miscellaneous.LinearInterp(Peturbed_QZ,$K323,1,Z$1),ZeroCompFreq,'PDH Calc'!$K323/365)</f>
        <v>1</v>
      </c>
      <c r="AA323" s="8">
        <f ca="1">_xll.HLV5r3.Analytics.Miscellaneous.Zero2DF(_xll.HLV5r3.Analytics.Miscellaneous.LinearInterp(Peturbed_QZ,$K323,1,AA$1),ZeroCompFreq,'PDH Calc'!$K323/365)</f>
        <v>1</v>
      </c>
      <c r="AB323" s="8">
        <f ca="1">_xll.HLV5r3.Analytics.Miscellaneous.Zero2DF(_xll.HLV5r3.Analytics.Miscellaneous.LinearInterp(Peturbed_QZ,$K323,1,AB$1),ZeroCompFreq,'PDH Calc'!$K323/365)</f>
        <v>1</v>
      </c>
      <c r="AC323" s="8">
        <f ca="1">_xll.HLV5r3.Analytics.Miscellaneous.Zero2DF(_xll.HLV5r3.Analytics.Miscellaneous.LinearInterp(Peturbed_QZ,$K323,1,AC$1),ZeroCompFreq,'PDH Calc'!$K323/365)</f>
        <v>1</v>
      </c>
      <c r="AD323" s="8">
        <f ca="1">_xll.HLV5r3.Analytics.Miscellaneous.Zero2DF(_xll.HLV5r3.Analytics.Miscellaneous.LinearInterp(Peturbed_QZ,$K323,1,AD$1),ZeroCompFreq,'PDH Calc'!$K323/365)</f>
        <v>1</v>
      </c>
      <c r="AE323" s="8">
        <f ca="1">_xll.HLV5r3.Analytics.Miscellaneous.Zero2DF(_xll.HLV5r3.Analytics.Miscellaneous.LinearInterp(Peturbed_QZ,$K323,1,AE$1),ZeroCompFreq,'PDH Calc'!$K323/365)</f>
        <v>1</v>
      </c>
      <c r="AF323" s="8">
        <f ca="1">_xll.HLV5r3.Analytics.Miscellaneous.Zero2DF(_xll.HLV5r3.Analytics.Miscellaneous.LinearInterp(Peturbed_QZ,$K323,1,AF$1),ZeroCompFreq,'PDH Calc'!$K323/365)</f>
        <v>1</v>
      </c>
      <c r="AG323" s="8">
        <f ca="1">_xll.HLV5r3.Analytics.Miscellaneous.Zero2DF(_xll.HLV5r3.Analytics.Miscellaneous.LinearInterp(Peturbed_QZ,$K323,1,AG$1),ZeroCompFreq,'PDH Calc'!$K323/365)</f>
        <v>1</v>
      </c>
      <c r="AH323" s="8">
        <f ca="1">_xll.HLV5r3.Analytics.Miscellaneous.Zero2DF(_xll.HLV5r3.Analytics.Miscellaneous.LinearInterp(Peturbed_QZ,$K323,1,AH$1),ZeroCompFreq,'PDH Calc'!$K323/365)</f>
        <v>1</v>
      </c>
      <c r="AI323" s="8">
        <f ca="1">_xll.HLV5r3.Analytics.Miscellaneous.Zero2DF(_xll.HLV5r3.Analytics.Miscellaneous.LinearInterp(Peturbed_QZ,$K323,1,AI$1),ZeroCompFreq,'PDH Calc'!$K323/365)</f>
        <v>1</v>
      </c>
      <c r="AJ323" s="8">
        <f ca="1">_xll.HLV5r3.Analytics.Miscellaneous.Zero2DF(_xll.HLV5r3.Analytics.Miscellaneous.LinearInterp(Peturbed_QZ,$K323,1,AJ$1),ZeroCompFreq,'PDH Calc'!$K323/365)</f>
        <v>1</v>
      </c>
      <c r="AK323" s="8">
        <f ca="1">_xll.HLV5r3.Analytics.Miscellaneous.Zero2DF(_xll.HLV5r3.Analytics.Miscellaneous.LinearInterp(Peturbed_QZ,$K323,1,AK$1),ZeroCompFreq,'PDH Calc'!$K323/365)</f>
        <v>1</v>
      </c>
    </row>
    <row r="324" spans="1:37">
      <c r="A324" s="4"/>
      <c r="B324" s="6"/>
      <c r="F324" s="11"/>
      <c r="G324" s="6"/>
      <c r="H324" s="20"/>
      <c r="I324" s="21"/>
      <c r="J324" s="26"/>
      <c r="K324" s="6">
        <f t="shared" ca="1" si="11"/>
        <v>0</v>
      </c>
      <c r="L324" s="8">
        <f ca="1">_xll.HLV5r3.Analytics.Miscellaneous.Zero2DF(_xll.HLV5r3.Analytics.Miscellaneous.LinearInterp(Peturbed_QZ,$K324,1,L$1),ZeroCompFreq,'PDH Calc'!$K324/365)</f>
        <v>1</v>
      </c>
      <c r="M324" s="8">
        <f ca="1">_xll.HLV5r3.Analytics.Miscellaneous.Zero2DF(_xll.HLV5r3.Analytics.Miscellaneous.LinearInterp(Peturbed_QZ,$K324,1,M$1),ZeroCompFreq,'PDH Calc'!$K324/365)</f>
        <v>1</v>
      </c>
      <c r="N324" s="8">
        <f ca="1">_xll.HLV5r3.Analytics.Miscellaneous.Zero2DF(_xll.HLV5r3.Analytics.Miscellaneous.LinearInterp(Peturbed_QZ,$K324,1,N$1),ZeroCompFreq,'PDH Calc'!$K324/365)</f>
        <v>1</v>
      </c>
      <c r="O324" s="8">
        <f ca="1">_xll.HLV5r3.Analytics.Miscellaneous.Zero2DF(_xll.HLV5r3.Analytics.Miscellaneous.LinearInterp(Peturbed_QZ,$K324,1,O$1),ZeroCompFreq,'PDH Calc'!$K324/365)</f>
        <v>1</v>
      </c>
      <c r="P324" s="8">
        <f ca="1">_xll.HLV5r3.Analytics.Miscellaneous.Zero2DF(_xll.HLV5r3.Analytics.Miscellaneous.LinearInterp(Peturbed_QZ,$K324,1,P$1),ZeroCompFreq,'PDH Calc'!$K324/365)</f>
        <v>1</v>
      </c>
      <c r="Q324" s="8">
        <f ca="1">_xll.HLV5r3.Analytics.Miscellaneous.Zero2DF(_xll.HLV5r3.Analytics.Miscellaneous.LinearInterp(Peturbed_QZ,$K324,1,Q$1),ZeroCompFreq,'PDH Calc'!$K324/365)</f>
        <v>1</v>
      </c>
      <c r="R324" s="8">
        <f ca="1">_xll.HLV5r3.Analytics.Miscellaneous.Zero2DF(_xll.HLV5r3.Analytics.Miscellaneous.LinearInterp(Peturbed_QZ,$K324,1,R$1),ZeroCompFreq,'PDH Calc'!$K324/365)</f>
        <v>1</v>
      </c>
      <c r="S324" s="8">
        <f ca="1">_xll.HLV5r3.Analytics.Miscellaneous.Zero2DF(_xll.HLV5r3.Analytics.Miscellaneous.LinearInterp(Peturbed_QZ,$K324,1,S$1),ZeroCompFreq,'PDH Calc'!$K324/365)</f>
        <v>1</v>
      </c>
      <c r="T324" s="8">
        <f ca="1">_xll.HLV5r3.Analytics.Miscellaneous.Zero2DF(_xll.HLV5r3.Analytics.Miscellaneous.LinearInterp(Peturbed_QZ,$K324,1,T$1),ZeroCompFreq,'PDH Calc'!$K324/365)</f>
        <v>1</v>
      </c>
      <c r="U324" s="8">
        <f ca="1">_xll.HLV5r3.Analytics.Miscellaneous.Zero2DF(_xll.HLV5r3.Analytics.Miscellaneous.LinearInterp(Peturbed_QZ,$K324,1,U$1),ZeroCompFreq,'PDH Calc'!$K324/365)</f>
        <v>1</v>
      </c>
      <c r="V324" s="8">
        <f ca="1">_xll.HLV5r3.Analytics.Miscellaneous.Zero2DF(_xll.HLV5r3.Analytics.Miscellaneous.LinearInterp(Peturbed_QZ,$K324,1,V$1),ZeroCompFreq,'PDH Calc'!$K324/365)</f>
        <v>1</v>
      </c>
      <c r="W324" s="8">
        <f ca="1">_xll.HLV5r3.Analytics.Miscellaneous.Zero2DF(_xll.HLV5r3.Analytics.Miscellaneous.LinearInterp(Peturbed_QZ,$K324,1,W$1),ZeroCompFreq,'PDH Calc'!$K324/365)</f>
        <v>1</v>
      </c>
      <c r="X324" s="8">
        <f ca="1">_xll.HLV5r3.Analytics.Miscellaneous.Zero2DF(_xll.HLV5r3.Analytics.Miscellaneous.LinearInterp(Peturbed_QZ,$K324,1,X$1),ZeroCompFreq,'PDH Calc'!$K324/365)</f>
        <v>1</v>
      </c>
      <c r="Y324" s="8">
        <f ca="1">_xll.HLV5r3.Analytics.Miscellaneous.Zero2DF(_xll.HLV5r3.Analytics.Miscellaneous.LinearInterp(Peturbed_QZ,$K324,1,Y$1),ZeroCompFreq,'PDH Calc'!$K324/365)</f>
        <v>1</v>
      </c>
      <c r="Z324" s="8">
        <f ca="1">_xll.HLV5r3.Analytics.Miscellaneous.Zero2DF(_xll.HLV5r3.Analytics.Miscellaneous.LinearInterp(Peturbed_QZ,$K324,1,Z$1),ZeroCompFreq,'PDH Calc'!$K324/365)</f>
        <v>1</v>
      </c>
      <c r="AA324" s="8">
        <f ca="1">_xll.HLV5r3.Analytics.Miscellaneous.Zero2DF(_xll.HLV5r3.Analytics.Miscellaneous.LinearInterp(Peturbed_QZ,$K324,1,AA$1),ZeroCompFreq,'PDH Calc'!$K324/365)</f>
        <v>1</v>
      </c>
      <c r="AB324" s="8">
        <f ca="1">_xll.HLV5r3.Analytics.Miscellaneous.Zero2DF(_xll.HLV5r3.Analytics.Miscellaneous.LinearInterp(Peturbed_QZ,$K324,1,AB$1),ZeroCompFreq,'PDH Calc'!$K324/365)</f>
        <v>1</v>
      </c>
      <c r="AC324" s="8">
        <f ca="1">_xll.HLV5r3.Analytics.Miscellaneous.Zero2DF(_xll.HLV5r3.Analytics.Miscellaneous.LinearInterp(Peturbed_QZ,$K324,1,AC$1),ZeroCompFreq,'PDH Calc'!$K324/365)</f>
        <v>1</v>
      </c>
      <c r="AD324" s="8">
        <f ca="1">_xll.HLV5r3.Analytics.Miscellaneous.Zero2DF(_xll.HLV5r3.Analytics.Miscellaneous.LinearInterp(Peturbed_QZ,$K324,1,AD$1),ZeroCompFreq,'PDH Calc'!$K324/365)</f>
        <v>1</v>
      </c>
      <c r="AE324" s="8">
        <f ca="1">_xll.HLV5r3.Analytics.Miscellaneous.Zero2DF(_xll.HLV5r3.Analytics.Miscellaneous.LinearInterp(Peturbed_QZ,$K324,1,AE$1),ZeroCompFreq,'PDH Calc'!$K324/365)</f>
        <v>1</v>
      </c>
      <c r="AF324" s="8">
        <f ca="1">_xll.HLV5r3.Analytics.Miscellaneous.Zero2DF(_xll.HLV5r3.Analytics.Miscellaneous.LinearInterp(Peturbed_QZ,$K324,1,AF$1),ZeroCompFreq,'PDH Calc'!$K324/365)</f>
        <v>1</v>
      </c>
      <c r="AG324" s="8">
        <f ca="1">_xll.HLV5r3.Analytics.Miscellaneous.Zero2DF(_xll.HLV5r3.Analytics.Miscellaneous.LinearInterp(Peturbed_QZ,$K324,1,AG$1),ZeroCompFreq,'PDH Calc'!$K324/365)</f>
        <v>1</v>
      </c>
      <c r="AH324" s="8">
        <f ca="1">_xll.HLV5r3.Analytics.Miscellaneous.Zero2DF(_xll.HLV5r3.Analytics.Miscellaneous.LinearInterp(Peturbed_QZ,$K324,1,AH$1),ZeroCompFreq,'PDH Calc'!$K324/365)</f>
        <v>1</v>
      </c>
      <c r="AI324" s="8">
        <f ca="1">_xll.HLV5r3.Analytics.Miscellaneous.Zero2DF(_xll.HLV5r3.Analytics.Miscellaneous.LinearInterp(Peturbed_QZ,$K324,1,AI$1),ZeroCompFreq,'PDH Calc'!$K324/365)</f>
        <v>1</v>
      </c>
      <c r="AJ324" s="8">
        <f ca="1">_xll.HLV5r3.Analytics.Miscellaneous.Zero2DF(_xll.HLV5r3.Analytics.Miscellaneous.LinearInterp(Peturbed_QZ,$K324,1,AJ$1),ZeroCompFreq,'PDH Calc'!$K324/365)</f>
        <v>1</v>
      </c>
      <c r="AK324" s="8">
        <f ca="1">_xll.HLV5r3.Analytics.Miscellaneous.Zero2DF(_xll.HLV5r3.Analytics.Miscellaneous.LinearInterp(Peturbed_QZ,$K324,1,AK$1),ZeroCompFreq,'PDH Calc'!$K324/365)</f>
        <v>1</v>
      </c>
    </row>
    <row r="325" spans="1:37">
      <c r="A325" s="4"/>
      <c r="B325" s="6"/>
      <c r="F325" s="11"/>
      <c r="G325" s="6"/>
      <c r="H325" s="20"/>
      <c r="I325" s="21"/>
      <c r="J325" s="26"/>
      <c r="K325" s="6">
        <f t="shared" ca="1" si="11"/>
        <v>0</v>
      </c>
      <c r="L325" s="8">
        <f ca="1">_xll.HLV5r3.Analytics.Miscellaneous.Zero2DF(_xll.HLV5r3.Analytics.Miscellaneous.LinearInterp(Peturbed_QZ,$K325,1,L$1),ZeroCompFreq,'PDH Calc'!$K325/365)</f>
        <v>1</v>
      </c>
      <c r="M325" s="8">
        <f ca="1">_xll.HLV5r3.Analytics.Miscellaneous.Zero2DF(_xll.HLV5r3.Analytics.Miscellaneous.LinearInterp(Peturbed_QZ,$K325,1,M$1),ZeroCompFreq,'PDH Calc'!$K325/365)</f>
        <v>1</v>
      </c>
      <c r="N325" s="8">
        <f ca="1">_xll.HLV5r3.Analytics.Miscellaneous.Zero2DF(_xll.HLV5r3.Analytics.Miscellaneous.LinearInterp(Peturbed_QZ,$K325,1,N$1),ZeroCompFreq,'PDH Calc'!$K325/365)</f>
        <v>1</v>
      </c>
      <c r="O325" s="8">
        <f ca="1">_xll.HLV5r3.Analytics.Miscellaneous.Zero2DF(_xll.HLV5r3.Analytics.Miscellaneous.LinearInterp(Peturbed_QZ,$K325,1,O$1),ZeroCompFreq,'PDH Calc'!$K325/365)</f>
        <v>1</v>
      </c>
      <c r="P325" s="8">
        <f ca="1">_xll.HLV5r3.Analytics.Miscellaneous.Zero2DF(_xll.HLV5r3.Analytics.Miscellaneous.LinearInterp(Peturbed_QZ,$K325,1,P$1),ZeroCompFreq,'PDH Calc'!$K325/365)</f>
        <v>1</v>
      </c>
      <c r="Q325" s="8">
        <f ca="1">_xll.HLV5r3.Analytics.Miscellaneous.Zero2DF(_xll.HLV5r3.Analytics.Miscellaneous.LinearInterp(Peturbed_QZ,$K325,1,Q$1),ZeroCompFreq,'PDH Calc'!$K325/365)</f>
        <v>1</v>
      </c>
      <c r="R325" s="8">
        <f ca="1">_xll.HLV5r3.Analytics.Miscellaneous.Zero2DF(_xll.HLV5r3.Analytics.Miscellaneous.LinearInterp(Peturbed_QZ,$K325,1,R$1),ZeroCompFreq,'PDH Calc'!$K325/365)</f>
        <v>1</v>
      </c>
      <c r="S325" s="8">
        <f ca="1">_xll.HLV5r3.Analytics.Miscellaneous.Zero2DF(_xll.HLV5r3.Analytics.Miscellaneous.LinearInterp(Peturbed_QZ,$K325,1,S$1),ZeroCompFreq,'PDH Calc'!$K325/365)</f>
        <v>1</v>
      </c>
      <c r="T325" s="8">
        <f ca="1">_xll.HLV5r3.Analytics.Miscellaneous.Zero2DF(_xll.HLV5r3.Analytics.Miscellaneous.LinearInterp(Peturbed_QZ,$K325,1,T$1),ZeroCompFreq,'PDH Calc'!$K325/365)</f>
        <v>1</v>
      </c>
      <c r="U325" s="8">
        <f ca="1">_xll.HLV5r3.Analytics.Miscellaneous.Zero2DF(_xll.HLV5r3.Analytics.Miscellaneous.LinearInterp(Peturbed_QZ,$K325,1,U$1),ZeroCompFreq,'PDH Calc'!$K325/365)</f>
        <v>1</v>
      </c>
      <c r="V325" s="8">
        <f ca="1">_xll.HLV5r3.Analytics.Miscellaneous.Zero2DF(_xll.HLV5r3.Analytics.Miscellaneous.LinearInterp(Peturbed_QZ,$K325,1,V$1),ZeroCompFreq,'PDH Calc'!$K325/365)</f>
        <v>1</v>
      </c>
      <c r="W325" s="8">
        <f ca="1">_xll.HLV5r3.Analytics.Miscellaneous.Zero2DF(_xll.HLV5r3.Analytics.Miscellaneous.LinearInterp(Peturbed_QZ,$K325,1,W$1),ZeroCompFreq,'PDH Calc'!$K325/365)</f>
        <v>1</v>
      </c>
      <c r="X325" s="8">
        <f ca="1">_xll.HLV5r3.Analytics.Miscellaneous.Zero2DF(_xll.HLV5r3.Analytics.Miscellaneous.LinearInterp(Peturbed_QZ,$K325,1,X$1),ZeroCompFreq,'PDH Calc'!$K325/365)</f>
        <v>1</v>
      </c>
      <c r="Y325" s="8">
        <f ca="1">_xll.HLV5r3.Analytics.Miscellaneous.Zero2DF(_xll.HLV5r3.Analytics.Miscellaneous.LinearInterp(Peturbed_QZ,$K325,1,Y$1),ZeroCompFreq,'PDH Calc'!$K325/365)</f>
        <v>1</v>
      </c>
      <c r="Z325" s="8">
        <f ca="1">_xll.HLV5r3.Analytics.Miscellaneous.Zero2DF(_xll.HLV5r3.Analytics.Miscellaneous.LinearInterp(Peturbed_QZ,$K325,1,Z$1),ZeroCompFreq,'PDH Calc'!$K325/365)</f>
        <v>1</v>
      </c>
      <c r="AA325" s="8">
        <f ca="1">_xll.HLV5r3.Analytics.Miscellaneous.Zero2DF(_xll.HLV5r3.Analytics.Miscellaneous.LinearInterp(Peturbed_QZ,$K325,1,AA$1),ZeroCompFreq,'PDH Calc'!$K325/365)</f>
        <v>1</v>
      </c>
      <c r="AB325" s="8">
        <f ca="1">_xll.HLV5r3.Analytics.Miscellaneous.Zero2DF(_xll.HLV5r3.Analytics.Miscellaneous.LinearInterp(Peturbed_QZ,$K325,1,AB$1),ZeroCompFreq,'PDH Calc'!$K325/365)</f>
        <v>1</v>
      </c>
      <c r="AC325" s="8">
        <f ca="1">_xll.HLV5r3.Analytics.Miscellaneous.Zero2DF(_xll.HLV5r3.Analytics.Miscellaneous.LinearInterp(Peturbed_QZ,$K325,1,AC$1),ZeroCompFreq,'PDH Calc'!$K325/365)</f>
        <v>1</v>
      </c>
      <c r="AD325" s="8">
        <f ca="1">_xll.HLV5r3.Analytics.Miscellaneous.Zero2DF(_xll.HLV5r3.Analytics.Miscellaneous.LinearInterp(Peturbed_QZ,$K325,1,AD$1),ZeroCompFreq,'PDH Calc'!$K325/365)</f>
        <v>1</v>
      </c>
      <c r="AE325" s="8">
        <f ca="1">_xll.HLV5r3.Analytics.Miscellaneous.Zero2DF(_xll.HLV5r3.Analytics.Miscellaneous.LinearInterp(Peturbed_QZ,$K325,1,AE$1),ZeroCompFreq,'PDH Calc'!$K325/365)</f>
        <v>1</v>
      </c>
      <c r="AF325" s="8">
        <f ca="1">_xll.HLV5r3.Analytics.Miscellaneous.Zero2DF(_xll.HLV5r3.Analytics.Miscellaneous.LinearInterp(Peturbed_QZ,$K325,1,AF$1),ZeroCompFreq,'PDH Calc'!$K325/365)</f>
        <v>1</v>
      </c>
      <c r="AG325" s="8">
        <f ca="1">_xll.HLV5r3.Analytics.Miscellaneous.Zero2DF(_xll.HLV5r3.Analytics.Miscellaneous.LinearInterp(Peturbed_QZ,$K325,1,AG$1),ZeroCompFreq,'PDH Calc'!$K325/365)</f>
        <v>1</v>
      </c>
      <c r="AH325" s="8">
        <f ca="1">_xll.HLV5r3.Analytics.Miscellaneous.Zero2DF(_xll.HLV5r3.Analytics.Miscellaneous.LinearInterp(Peturbed_QZ,$K325,1,AH$1),ZeroCompFreq,'PDH Calc'!$K325/365)</f>
        <v>1</v>
      </c>
      <c r="AI325" s="8">
        <f ca="1">_xll.HLV5r3.Analytics.Miscellaneous.Zero2DF(_xll.HLV5r3.Analytics.Miscellaneous.LinearInterp(Peturbed_QZ,$K325,1,AI$1),ZeroCompFreq,'PDH Calc'!$K325/365)</f>
        <v>1</v>
      </c>
      <c r="AJ325" s="8">
        <f ca="1">_xll.HLV5r3.Analytics.Miscellaneous.Zero2DF(_xll.HLV5r3.Analytics.Miscellaneous.LinearInterp(Peturbed_QZ,$K325,1,AJ$1),ZeroCompFreq,'PDH Calc'!$K325/365)</f>
        <v>1</v>
      </c>
      <c r="AK325" s="8">
        <f ca="1">_xll.HLV5r3.Analytics.Miscellaneous.Zero2DF(_xll.HLV5r3.Analytics.Miscellaneous.LinearInterp(Peturbed_QZ,$K325,1,AK$1),ZeroCompFreq,'PDH Calc'!$K325/365)</f>
        <v>1</v>
      </c>
    </row>
    <row r="326" spans="1:37">
      <c r="A326" s="4"/>
      <c r="B326" s="6"/>
      <c r="F326" s="11"/>
      <c r="G326" s="6"/>
      <c r="H326" s="20"/>
      <c r="I326" s="21"/>
      <c r="J326" s="26"/>
      <c r="K326" s="6">
        <f t="shared" ca="1" si="11"/>
        <v>0</v>
      </c>
      <c r="L326" s="8">
        <f ca="1">_xll.HLV5r3.Analytics.Miscellaneous.Zero2DF(_xll.HLV5r3.Analytics.Miscellaneous.LinearInterp(Peturbed_QZ,$K326,1,L$1),ZeroCompFreq,'PDH Calc'!$K326/365)</f>
        <v>1</v>
      </c>
      <c r="M326" s="8">
        <f ca="1">_xll.HLV5r3.Analytics.Miscellaneous.Zero2DF(_xll.HLV5r3.Analytics.Miscellaneous.LinearInterp(Peturbed_QZ,$K326,1,M$1),ZeroCompFreq,'PDH Calc'!$K326/365)</f>
        <v>1</v>
      </c>
      <c r="N326" s="8">
        <f ca="1">_xll.HLV5r3.Analytics.Miscellaneous.Zero2DF(_xll.HLV5r3.Analytics.Miscellaneous.LinearInterp(Peturbed_QZ,$K326,1,N$1),ZeroCompFreq,'PDH Calc'!$K326/365)</f>
        <v>1</v>
      </c>
      <c r="O326" s="8">
        <f ca="1">_xll.HLV5r3.Analytics.Miscellaneous.Zero2DF(_xll.HLV5r3.Analytics.Miscellaneous.LinearInterp(Peturbed_QZ,$K326,1,O$1),ZeroCompFreq,'PDH Calc'!$K326/365)</f>
        <v>1</v>
      </c>
      <c r="P326" s="8">
        <f ca="1">_xll.HLV5r3.Analytics.Miscellaneous.Zero2DF(_xll.HLV5r3.Analytics.Miscellaneous.LinearInterp(Peturbed_QZ,$K326,1,P$1),ZeroCompFreq,'PDH Calc'!$K326/365)</f>
        <v>1</v>
      </c>
      <c r="Q326" s="8">
        <f ca="1">_xll.HLV5r3.Analytics.Miscellaneous.Zero2DF(_xll.HLV5r3.Analytics.Miscellaneous.LinearInterp(Peturbed_QZ,$K326,1,Q$1),ZeroCompFreq,'PDH Calc'!$K326/365)</f>
        <v>1</v>
      </c>
      <c r="R326" s="8">
        <f ca="1">_xll.HLV5r3.Analytics.Miscellaneous.Zero2DF(_xll.HLV5r3.Analytics.Miscellaneous.LinearInterp(Peturbed_QZ,$K326,1,R$1),ZeroCompFreq,'PDH Calc'!$K326/365)</f>
        <v>1</v>
      </c>
      <c r="S326" s="8">
        <f ca="1">_xll.HLV5r3.Analytics.Miscellaneous.Zero2DF(_xll.HLV5r3.Analytics.Miscellaneous.LinearInterp(Peturbed_QZ,$K326,1,S$1),ZeroCompFreq,'PDH Calc'!$K326/365)</f>
        <v>1</v>
      </c>
      <c r="T326" s="8">
        <f ca="1">_xll.HLV5r3.Analytics.Miscellaneous.Zero2DF(_xll.HLV5r3.Analytics.Miscellaneous.LinearInterp(Peturbed_QZ,$K326,1,T$1),ZeroCompFreq,'PDH Calc'!$K326/365)</f>
        <v>1</v>
      </c>
      <c r="U326" s="8">
        <f ca="1">_xll.HLV5r3.Analytics.Miscellaneous.Zero2DF(_xll.HLV5r3.Analytics.Miscellaneous.LinearInterp(Peturbed_QZ,$K326,1,U$1),ZeroCompFreq,'PDH Calc'!$K326/365)</f>
        <v>1</v>
      </c>
      <c r="V326" s="8">
        <f ca="1">_xll.HLV5r3.Analytics.Miscellaneous.Zero2DF(_xll.HLV5r3.Analytics.Miscellaneous.LinearInterp(Peturbed_QZ,$K326,1,V$1),ZeroCompFreq,'PDH Calc'!$K326/365)</f>
        <v>1</v>
      </c>
      <c r="W326" s="8">
        <f ca="1">_xll.HLV5r3.Analytics.Miscellaneous.Zero2DF(_xll.HLV5r3.Analytics.Miscellaneous.LinearInterp(Peturbed_QZ,$K326,1,W$1),ZeroCompFreq,'PDH Calc'!$K326/365)</f>
        <v>1</v>
      </c>
      <c r="X326" s="8">
        <f ca="1">_xll.HLV5r3.Analytics.Miscellaneous.Zero2DF(_xll.HLV5r3.Analytics.Miscellaneous.LinearInterp(Peturbed_QZ,$K326,1,X$1),ZeroCompFreq,'PDH Calc'!$K326/365)</f>
        <v>1</v>
      </c>
      <c r="Y326" s="8">
        <f ca="1">_xll.HLV5r3.Analytics.Miscellaneous.Zero2DF(_xll.HLV5r3.Analytics.Miscellaneous.LinearInterp(Peturbed_QZ,$K326,1,Y$1),ZeroCompFreq,'PDH Calc'!$K326/365)</f>
        <v>1</v>
      </c>
      <c r="Z326" s="8">
        <f ca="1">_xll.HLV5r3.Analytics.Miscellaneous.Zero2DF(_xll.HLV5r3.Analytics.Miscellaneous.LinearInterp(Peturbed_QZ,$K326,1,Z$1),ZeroCompFreq,'PDH Calc'!$K326/365)</f>
        <v>1</v>
      </c>
      <c r="AA326" s="8">
        <f ca="1">_xll.HLV5r3.Analytics.Miscellaneous.Zero2DF(_xll.HLV5r3.Analytics.Miscellaneous.LinearInterp(Peturbed_QZ,$K326,1,AA$1),ZeroCompFreq,'PDH Calc'!$K326/365)</f>
        <v>1</v>
      </c>
      <c r="AB326" s="8">
        <f ca="1">_xll.HLV5r3.Analytics.Miscellaneous.Zero2DF(_xll.HLV5r3.Analytics.Miscellaneous.LinearInterp(Peturbed_QZ,$K326,1,AB$1),ZeroCompFreq,'PDH Calc'!$K326/365)</f>
        <v>1</v>
      </c>
      <c r="AC326" s="8">
        <f ca="1">_xll.HLV5r3.Analytics.Miscellaneous.Zero2DF(_xll.HLV5r3.Analytics.Miscellaneous.LinearInterp(Peturbed_QZ,$K326,1,AC$1),ZeroCompFreq,'PDH Calc'!$K326/365)</f>
        <v>1</v>
      </c>
      <c r="AD326" s="8">
        <f ca="1">_xll.HLV5r3.Analytics.Miscellaneous.Zero2DF(_xll.HLV5r3.Analytics.Miscellaneous.LinearInterp(Peturbed_QZ,$K326,1,AD$1),ZeroCompFreq,'PDH Calc'!$K326/365)</f>
        <v>1</v>
      </c>
      <c r="AE326" s="8">
        <f ca="1">_xll.HLV5r3.Analytics.Miscellaneous.Zero2DF(_xll.HLV5r3.Analytics.Miscellaneous.LinearInterp(Peturbed_QZ,$K326,1,AE$1),ZeroCompFreq,'PDH Calc'!$K326/365)</f>
        <v>1</v>
      </c>
      <c r="AF326" s="8">
        <f ca="1">_xll.HLV5r3.Analytics.Miscellaneous.Zero2DF(_xll.HLV5r3.Analytics.Miscellaneous.LinearInterp(Peturbed_QZ,$K326,1,AF$1),ZeroCompFreq,'PDH Calc'!$K326/365)</f>
        <v>1</v>
      </c>
      <c r="AG326" s="8">
        <f ca="1">_xll.HLV5r3.Analytics.Miscellaneous.Zero2DF(_xll.HLV5r3.Analytics.Miscellaneous.LinearInterp(Peturbed_QZ,$K326,1,AG$1),ZeroCompFreq,'PDH Calc'!$K326/365)</f>
        <v>1</v>
      </c>
      <c r="AH326" s="8">
        <f ca="1">_xll.HLV5r3.Analytics.Miscellaneous.Zero2DF(_xll.HLV5r3.Analytics.Miscellaneous.LinearInterp(Peturbed_QZ,$K326,1,AH$1),ZeroCompFreq,'PDH Calc'!$K326/365)</f>
        <v>1</v>
      </c>
      <c r="AI326" s="8">
        <f ca="1">_xll.HLV5r3.Analytics.Miscellaneous.Zero2DF(_xll.HLV5r3.Analytics.Miscellaneous.LinearInterp(Peturbed_QZ,$K326,1,AI$1),ZeroCompFreq,'PDH Calc'!$K326/365)</f>
        <v>1</v>
      </c>
      <c r="AJ326" s="8">
        <f ca="1">_xll.HLV5r3.Analytics.Miscellaneous.Zero2DF(_xll.HLV5r3.Analytics.Miscellaneous.LinearInterp(Peturbed_QZ,$K326,1,AJ$1),ZeroCompFreq,'PDH Calc'!$K326/365)</f>
        <v>1</v>
      </c>
      <c r="AK326" s="8">
        <f ca="1">_xll.HLV5r3.Analytics.Miscellaneous.Zero2DF(_xll.HLV5r3.Analytics.Miscellaneous.LinearInterp(Peturbed_QZ,$K326,1,AK$1),ZeroCompFreq,'PDH Calc'!$K326/365)</f>
        <v>1</v>
      </c>
    </row>
    <row r="327" spans="1:37">
      <c r="A327" s="4"/>
      <c r="B327" s="6"/>
      <c r="F327" s="11"/>
      <c r="G327" s="6"/>
      <c r="H327" s="20"/>
      <c r="I327" s="21"/>
      <c r="J327" s="26"/>
      <c r="K327" s="6">
        <f t="shared" ca="1" si="11"/>
        <v>0</v>
      </c>
      <c r="L327" s="8">
        <f ca="1">_xll.HLV5r3.Analytics.Miscellaneous.Zero2DF(_xll.HLV5r3.Analytics.Miscellaneous.LinearInterp(Peturbed_QZ,$K327,1,L$1),ZeroCompFreq,'PDH Calc'!$K327/365)</f>
        <v>1</v>
      </c>
      <c r="M327" s="8">
        <f ca="1">_xll.HLV5r3.Analytics.Miscellaneous.Zero2DF(_xll.HLV5r3.Analytics.Miscellaneous.LinearInterp(Peturbed_QZ,$K327,1,M$1),ZeroCompFreq,'PDH Calc'!$K327/365)</f>
        <v>1</v>
      </c>
      <c r="N327" s="8">
        <f ca="1">_xll.HLV5r3.Analytics.Miscellaneous.Zero2DF(_xll.HLV5r3.Analytics.Miscellaneous.LinearInterp(Peturbed_QZ,$K327,1,N$1),ZeroCompFreq,'PDH Calc'!$K327/365)</f>
        <v>1</v>
      </c>
      <c r="O327" s="8">
        <f ca="1">_xll.HLV5r3.Analytics.Miscellaneous.Zero2DF(_xll.HLV5r3.Analytics.Miscellaneous.LinearInterp(Peturbed_QZ,$K327,1,O$1),ZeroCompFreq,'PDH Calc'!$K327/365)</f>
        <v>1</v>
      </c>
      <c r="P327" s="8">
        <f ca="1">_xll.HLV5r3.Analytics.Miscellaneous.Zero2DF(_xll.HLV5r3.Analytics.Miscellaneous.LinearInterp(Peturbed_QZ,$K327,1,P$1),ZeroCompFreq,'PDH Calc'!$K327/365)</f>
        <v>1</v>
      </c>
      <c r="Q327" s="8">
        <f ca="1">_xll.HLV5r3.Analytics.Miscellaneous.Zero2DF(_xll.HLV5r3.Analytics.Miscellaneous.LinearInterp(Peturbed_QZ,$K327,1,Q$1),ZeroCompFreq,'PDH Calc'!$K327/365)</f>
        <v>1</v>
      </c>
      <c r="R327" s="8">
        <f ca="1">_xll.HLV5r3.Analytics.Miscellaneous.Zero2DF(_xll.HLV5r3.Analytics.Miscellaneous.LinearInterp(Peturbed_QZ,$K327,1,R$1),ZeroCompFreq,'PDH Calc'!$K327/365)</f>
        <v>1</v>
      </c>
      <c r="S327" s="8">
        <f ca="1">_xll.HLV5r3.Analytics.Miscellaneous.Zero2DF(_xll.HLV5r3.Analytics.Miscellaneous.LinearInterp(Peturbed_QZ,$K327,1,S$1),ZeroCompFreq,'PDH Calc'!$K327/365)</f>
        <v>1</v>
      </c>
      <c r="T327" s="8">
        <f ca="1">_xll.HLV5r3.Analytics.Miscellaneous.Zero2DF(_xll.HLV5r3.Analytics.Miscellaneous.LinearInterp(Peturbed_QZ,$K327,1,T$1),ZeroCompFreq,'PDH Calc'!$K327/365)</f>
        <v>1</v>
      </c>
      <c r="U327" s="8">
        <f ca="1">_xll.HLV5r3.Analytics.Miscellaneous.Zero2DF(_xll.HLV5r3.Analytics.Miscellaneous.LinearInterp(Peturbed_QZ,$K327,1,U$1),ZeroCompFreq,'PDH Calc'!$K327/365)</f>
        <v>1</v>
      </c>
      <c r="V327" s="8">
        <f ca="1">_xll.HLV5r3.Analytics.Miscellaneous.Zero2DF(_xll.HLV5r3.Analytics.Miscellaneous.LinearInterp(Peturbed_QZ,$K327,1,V$1),ZeroCompFreq,'PDH Calc'!$K327/365)</f>
        <v>1</v>
      </c>
      <c r="W327" s="8">
        <f ca="1">_xll.HLV5r3.Analytics.Miscellaneous.Zero2DF(_xll.HLV5r3.Analytics.Miscellaneous.LinearInterp(Peturbed_QZ,$K327,1,W$1),ZeroCompFreq,'PDH Calc'!$K327/365)</f>
        <v>1</v>
      </c>
      <c r="X327" s="8">
        <f ca="1">_xll.HLV5r3.Analytics.Miscellaneous.Zero2DF(_xll.HLV5r3.Analytics.Miscellaneous.LinearInterp(Peturbed_QZ,$K327,1,X$1),ZeroCompFreq,'PDH Calc'!$K327/365)</f>
        <v>1</v>
      </c>
      <c r="Y327" s="8">
        <f ca="1">_xll.HLV5r3.Analytics.Miscellaneous.Zero2DF(_xll.HLV5r3.Analytics.Miscellaneous.LinearInterp(Peturbed_QZ,$K327,1,Y$1),ZeroCompFreq,'PDH Calc'!$K327/365)</f>
        <v>1</v>
      </c>
      <c r="Z327" s="8">
        <f ca="1">_xll.HLV5r3.Analytics.Miscellaneous.Zero2DF(_xll.HLV5r3.Analytics.Miscellaneous.LinearInterp(Peturbed_QZ,$K327,1,Z$1),ZeroCompFreq,'PDH Calc'!$K327/365)</f>
        <v>1</v>
      </c>
      <c r="AA327" s="8">
        <f ca="1">_xll.HLV5r3.Analytics.Miscellaneous.Zero2DF(_xll.HLV5r3.Analytics.Miscellaneous.LinearInterp(Peturbed_QZ,$K327,1,AA$1),ZeroCompFreq,'PDH Calc'!$K327/365)</f>
        <v>1</v>
      </c>
      <c r="AB327" s="8">
        <f ca="1">_xll.HLV5r3.Analytics.Miscellaneous.Zero2DF(_xll.HLV5r3.Analytics.Miscellaneous.LinearInterp(Peturbed_QZ,$K327,1,AB$1),ZeroCompFreq,'PDH Calc'!$K327/365)</f>
        <v>1</v>
      </c>
      <c r="AC327" s="8">
        <f ca="1">_xll.HLV5r3.Analytics.Miscellaneous.Zero2DF(_xll.HLV5r3.Analytics.Miscellaneous.LinearInterp(Peturbed_QZ,$K327,1,AC$1),ZeroCompFreq,'PDH Calc'!$K327/365)</f>
        <v>1</v>
      </c>
      <c r="AD327" s="8">
        <f ca="1">_xll.HLV5r3.Analytics.Miscellaneous.Zero2DF(_xll.HLV5r3.Analytics.Miscellaneous.LinearInterp(Peturbed_QZ,$K327,1,AD$1),ZeroCompFreq,'PDH Calc'!$K327/365)</f>
        <v>1</v>
      </c>
      <c r="AE327" s="8">
        <f ca="1">_xll.HLV5r3.Analytics.Miscellaneous.Zero2DF(_xll.HLV5r3.Analytics.Miscellaneous.LinearInterp(Peturbed_QZ,$K327,1,AE$1),ZeroCompFreq,'PDH Calc'!$K327/365)</f>
        <v>1</v>
      </c>
      <c r="AF327" s="8">
        <f ca="1">_xll.HLV5r3.Analytics.Miscellaneous.Zero2DF(_xll.HLV5r3.Analytics.Miscellaneous.LinearInterp(Peturbed_QZ,$K327,1,AF$1),ZeroCompFreq,'PDH Calc'!$K327/365)</f>
        <v>1</v>
      </c>
      <c r="AG327" s="8">
        <f ca="1">_xll.HLV5r3.Analytics.Miscellaneous.Zero2DF(_xll.HLV5r3.Analytics.Miscellaneous.LinearInterp(Peturbed_QZ,$K327,1,AG$1),ZeroCompFreq,'PDH Calc'!$K327/365)</f>
        <v>1</v>
      </c>
      <c r="AH327" s="8">
        <f ca="1">_xll.HLV5r3.Analytics.Miscellaneous.Zero2DF(_xll.HLV5r3.Analytics.Miscellaneous.LinearInterp(Peturbed_QZ,$K327,1,AH$1),ZeroCompFreq,'PDH Calc'!$K327/365)</f>
        <v>1</v>
      </c>
      <c r="AI327" s="8">
        <f ca="1">_xll.HLV5r3.Analytics.Miscellaneous.Zero2DF(_xll.HLV5r3.Analytics.Miscellaneous.LinearInterp(Peturbed_QZ,$K327,1,AI$1),ZeroCompFreq,'PDH Calc'!$K327/365)</f>
        <v>1</v>
      </c>
      <c r="AJ327" s="8">
        <f ca="1">_xll.HLV5r3.Analytics.Miscellaneous.Zero2DF(_xll.HLV5r3.Analytics.Miscellaneous.LinearInterp(Peturbed_QZ,$K327,1,AJ$1),ZeroCompFreq,'PDH Calc'!$K327/365)</f>
        <v>1</v>
      </c>
      <c r="AK327" s="8">
        <f ca="1">_xll.HLV5r3.Analytics.Miscellaneous.Zero2DF(_xll.HLV5r3.Analytics.Miscellaneous.LinearInterp(Peturbed_QZ,$K327,1,AK$1),ZeroCompFreq,'PDH Calc'!$K327/365)</f>
        <v>1</v>
      </c>
    </row>
    <row r="328" spans="1:37">
      <c r="A328" s="4"/>
      <c r="B328" s="6"/>
      <c r="F328" s="11"/>
      <c r="G328" s="6"/>
      <c r="H328" s="20"/>
      <c r="I328" s="21"/>
      <c r="J328" s="26"/>
      <c r="K328" s="6">
        <f t="shared" ca="1" si="11"/>
        <v>0</v>
      </c>
      <c r="L328" s="8">
        <f ca="1">_xll.HLV5r3.Analytics.Miscellaneous.Zero2DF(_xll.HLV5r3.Analytics.Miscellaneous.LinearInterp(Peturbed_QZ,$K328,1,L$1),ZeroCompFreq,'PDH Calc'!$K328/365)</f>
        <v>1</v>
      </c>
      <c r="M328" s="8">
        <f ca="1">_xll.HLV5r3.Analytics.Miscellaneous.Zero2DF(_xll.HLV5r3.Analytics.Miscellaneous.LinearInterp(Peturbed_QZ,$K328,1,M$1),ZeroCompFreq,'PDH Calc'!$K328/365)</f>
        <v>1</v>
      </c>
      <c r="N328" s="8">
        <f ca="1">_xll.HLV5r3.Analytics.Miscellaneous.Zero2DF(_xll.HLV5r3.Analytics.Miscellaneous.LinearInterp(Peturbed_QZ,$K328,1,N$1),ZeroCompFreq,'PDH Calc'!$K328/365)</f>
        <v>1</v>
      </c>
      <c r="O328" s="8">
        <f ca="1">_xll.HLV5r3.Analytics.Miscellaneous.Zero2DF(_xll.HLV5r3.Analytics.Miscellaneous.LinearInterp(Peturbed_QZ,$K328,1,O$1),ZeroCompFreq,'PDH Calc'!$K328/365)</f>
        <v>1</v>
      </c>
      <c r="P328" s="8">
        <f ca="1">_xll.HLV5r3.Analytics.Miscellaneous.Zero2DF(_xll.HLV5r3.Analytics.Miscellaneous.LinearInterp(Peturbed_QZ,$K328,1,P$1),ZeroCompFreq,'PDH Calc'!$K328/365)</f>
        <v>1</v>
      </c>
      <c r="Q328" s="8">
        <f ca="1">_xll.HLV5r3.Analytics.Miscellaneous.Zero2DF(_xll.HLV5r3.Analytics.Miscellaneous.LinearInterp(Peturbed_QZ,$K328,1,Q$1),ZeroCompFreq,'PDH Calc'!$K328/365)</f>
        <v>1</v>
      </c>
      <c r="R328" s="8">
        <f ca="1">_xll.HLV5r3.Analytics.Miscellaneous.Zero2DF(_xll.HLV5r3.Analytics.Miscellaneous.LinearInterp(Peturbed_QZ,$K328,1,R$1),ZeroCompFreq,'PDH Calc'!$K328/365)</f>
        <v>1</v>
      </c>
      <c r="S328" s="8">
        <f ca="1">_xll.HLV5r3.Analytics.Miscellaneous.Zero2DF(_xll.HLV5r3.Analytics.Miscellaneous.LinearInterp(Peturbed_QZ,$K328,1,S$1),ZeroCompFreq,'PDH Calc'!$K328/365)</f>
        <v>1</v>
      </c>
      <c r="T328" s="8">
        <f ca="1">_xll.HLV5r3.Analytics.Miscellaneous.Zero2DF(_xll.HLV5r3.Analytics.Miscellaneous.LinearInterp(Peturbed_QZ,$K328,1,T$1),ZeroCompFreq,'PDH Calc'!$K328/365)</f>
        <v>1</v>
      </c>
      <c r="U328" s="8">
        <f ca="1">_xll.HLV5r3.Analytics.Miscellaneous.Zero2DF(_xll.HLV5r3.Analytics.Miscellaneous.LinearInterp(Peturbed_QZ,$K328,1,U$1),ZeroCompFreq,'PDH Calc'!$K328/365)</f>
        <v>1</v>
      </c>
      <c r="V328" s="8">
        <f ca="1">_xll.HLV5r3.Analytics.Miscellaneous.Zero2DF(_xll.HLV5r3.Analytics.Miscellaneous.LinearInterp(Peturbed_QZ,$K328,1,V$1),ZeroCompFreq,'PDH Calc'!$K328/365)</f>
        <v>1</v>
      </c>
      <c r="W328" s="8">
        <f ca="1">_xll.HLV5r3.Analytics.Miscellaneous.Zero2DF(_xll.HLV5r3.Analytics.Miscellaneous.LinearInterp(Peturbed_QZ,$K328,1,W$1),ZeroCompFreq,'PDH Calc'!$K328/365)</f>
        <v>1</v>
      </c>
      <c r="X328" s="8">
        <f ca="1">_xll.HLV5r3.Analytics.Miscellaneous.Zero2DF(_xll.HLV5r3.Analytics.Miscellaneous.LinearInterp(Peturbed_QZ,$K328,1,X$1),ZeroCompFreq,'PDH Calc'!$K328/365)</f>
        <v>1</v>
      </c>
      <c r="Y328" s="8">
        <f ca="1">_xll.HLV5r3.Analytics.Miscellaneous.Zero2DF(_xll.HLV5r3.Analytics.Miscellaneous.LinearInterp(Peturbed_QZ,$K328,1,Y$1),ZeroCompFreq,'PDH Calc'!$K328/365)</f>
        <v>1</v>
      </c>
      <c r="Z328" s="8">
        <f ca="1">_xll.HLV5r3.Analytics.Miscellaneous.Zero2DF(_xll.HLV5r3.Analytics.Miscellaneous.LinearInterp(Peturbed_QZ,$K328,1,Z$1),ZeroCompFreq,'PDH Calc'!$K328/365)</f>
        <v>1</v>
      </c>
      <c r="AA328" s="8">
        <f ca="1">_xll.HLV5r3.Analytics.Miscellaneous.Zero2DF(_xll.HLV5r3.Analytics.Miscellaneous.LinearInterp(Peturbed_QZ,$K328,1,AA$1),ZeroCompFreq,'PDH Calc'!$K328/365)</f>
        <v>1</v>
      </c>
      <c r="AB328" s="8">
        <f ca="1">_xll.HLV5r3.Analytics.Miscellaneous.Zero2DF(_xll.HLV5r3.Analytics.Miscellaneous.LinearInterp(Peturbed_QZ,$K328,1,AB$1),ZeroCompFreq,'PDH Calc'!$K328/365)</f>
        <v>1</v>
      </c>
      <c r="AC328" s="8">
        <f ca="1">_xll.HLV5r3.Analytics.Miscellaneous.Zero2DF(_xll.HLV5r3.Analytics.Miscellaneous.LinearInterp(Peturbed_QZ,$K328,1,AC$1),ZeroCompFreq,'PDH Calc'!$K328/365)</f>
        <v>1</v>
      </c>
      <c r="AD328" s="8">
        <f ca="1">_xll.HLV5r3.Analytics.Miscellaneous.Zero2DF(_xll.HLV5r3.Analytics.Miscellaneous.LinearInterp(Peturbed_QZ,$K328,1,AD$1),ZeroCompFreq,'PDH Calc'!$K328/365)</f>
        <v>1</v>
      </c>
      <c r="AE328" s="8">
        <f ca="1">_xll.HLV5r3.Analytics.Miscellaneous.Zero2DF(_xll.HLV5r3.Analytics.Miscellaneous.LinearInterp(Peturbed_QZ,$K328,1,AE$1),ZeroCompFreq,'PDH Calc'!$K328/365)</f>
        <v>1</v>
      </c>
      <c r="AF328" s="8">
        <f ca="1">_xll.HLV5r3.Analytics.Miscellaneous.Zero2DF(_xll.HLV5r3.Analytics.Miscellaneous.LinearInterp(Peturbed_QZ,$K328,1,AF$1),ZeroCompFreq,'PDH Calc'!$K328/365)</f>
        <v>1</v>
      </c>
      <c r="AG328" s="8">
        <f ca="1">_xll.HLV5r3.Analytics.Miscellaneous.Zero2DF(_xll.HLV5r3.Analytics.Miscellaneous.LinearInterp(Peturbed_QZ,$K328,1,AG$1),ZeroCompFreq,'PDH Calc'!$K328/365)</f>
        <v>1</v>
      </c>
      <c r="AH328" s="8">
        <f ca="1">_xll.HLV5r3.Analytics.Miscellaneous.Zero2DF(_xll.HLV5r3.Analytics.Miscellaneous.LinearInterp(Peturbed_QZ,$K328,1,AH$1),ZeroCompFreq,'PDH Calc'!$K328/365)</f>
        <v>1</v>
      </c>
      <c r="AI328" s="8">
        <f ca="1">_xll.HLV5r3.Analytics.Miscellaneous.Zero2DF(_xll.HLV5r3.Analytics.Miscellaneous.LinearInterp(Peturbed_QZ,$K328,1,AI$1),ZeroCompFreq,'PDH Calc'!$K328/365)</f>
        <v>1</v>
      </c>
      <c r="AJ328" s="8">
        <f ca="1">_xll.HLV5r3.Analytics.Miscellaneous.Zero2DF(_xll.HLV5r3.Analytics.Miscellaneous.LinearInterp(Peturbed_QZ,$K328,1,AJ$1),ZeroCompFreq,'PDH Calc'!$K328/365)</f>
        <v>1</v>
      </c>
      <c r="AK328" s="8">
        <f ca="1">_xll.HLV5r3.Analytics.Miscellaneous.Zero2DF(_xll.HLV5r3.Analytics.Miscellaneous.LinearInterp(Peturbed_QZ,$K328,1,AK$1),ZeroCompFreq,'PDH Calc'!$K328/365)</f>
        <v>1</v>
      </c>
    </row>
    <row r="329" spans="1:37">
      <c r="A329" s="4"/>
      <c r="B329" s="6"/>
      <c r="F329" s="11"/>
      <c r="G329" s="6"/>
      <c r="H329" s="20"/>
      <c r="I329" s="21"/>
      <c r="J329" s="26"/>
      <c r="K329" s="6">
        <f t="shared" ca="1" si="11"/>
        <v>0</v>
      </c>
      <c r="L329" s="8">
        <f ca="1">_xll.HLV5r3.Analytics.Miscellaneous.Zero2DF(_xll.HLV5r3.Analytics.Miscellaneous.LinearInterp(Peturbed_QZ,$K329,1,L$1),ZeroCompFreq,'PDH Calc'!$K329/365)</f>
        <v>1</v>
      </c>
      <c r="M329" s="8">
        <f ca="1">_xll.HLV5r3.Analytics.Miscellaneous.Zero2DF(_xll.HLV5r3.Analytics.Miscellaneous.LinearInterp(Peturbed_QZ,$K329,1,M$1),ZeroCompFreq,'PDH Calc'!$K329/365)</f>
        <v>1</v>
      </c>
      <c r="N329" s="8">
        <f ca="1">_xll.HLV5r3.Analytics.Miscellaneous.Zero2DF(_xll.HLV5r3.Analytics.Miscellaneous.LinearInterp(Peturbed_QZ,$K329,1,N$1),ZeroCompFreq,'PDH Calc'!$K329/365)</f>
        <v>1</v>
      </c>
      <c r="O329" s="8">
        <f ca="1">_xll.HLV5r3.Analytics.Miscellaneous.Zero2DF(_xll.HLV5r3.Analytics.Miscellaneous.LinearInterp(Peturbed_QZ,$K329,1,O$1),ZeroCompFreq,'PDH Calc'!$K329/365)</f>
        <v>1</v>
      </c>
      <c r="P329" s="8">
        <f ca="1">_xll.HLV5r3.Analytics.Miscellaneous.Zero2DF(_xll.HLV5r3.Analytics.Miscellaneous.LinearInterp(Peturbed_QZ,$K329,1,P$1),ZeroCompFreq,'PDH Calc'!$K329/365)</f>
        <v>1</v>
      </c>
      <c r="Q329" s="8">
        <f ca="1">_xll.HLV5r3.Analytics.Miscellaneous.Zero2DF(_xll.HLV5r3.Analytics.Miscellaneous.LinearInterp(Peturbed_QZ,$K329,1,Q$1),ZeroCompFreq,'PDH Calc'!$K329/365)</f>
        <v>1</v>
      </c>
      <c r="R329" s="8">
        <f ca="1">_xll.HLV5r3.Analytics.Miscellaneous.Zero2DF(_xll.HLV5r3.Analytics.Miscellaneous.LinearInterp(Peturbed_QZ,$K329,1,R$1),ZeroCompFreq,'PDH Calc'!$K329/365)</f>
        <v>1</v>
      </c>
      <c r="S329" s="8">
        <f ca="1">_xll.HLV5r3.Analytics.Miscellaneous.Zero2DF(_xll.HLV5r3.Analytics.Miscellaneous.LinearInterp(Peturbed_QZ,$K329,1,S$1),ZeroCompFreq,'PDH Calc'!$K329/365)</f>
        <v>1</v>
      </c>
      <c r="T329" s="8">
        <f ca="1">_xll.HLV5r3.Analytics.Miscellaneous.Zero2DF(_xll.HLV5r3.Analytics.Miscellaneous.LinearInterp(Peturbed_QZ,$K329,1,T$1),ZeroCompFreq,'PDH Calc'!$K329/365)</f>
        <v>1</v>
      </c>
      <c r="U329" s="8">
        <f ca="1">_xll.HLV5r3.Analytics.Miscellaneous.Zero2DF(_xll.HLV5r3.Analytics.Miscellaneous.LinearInterp(Peturbed_QZ,$K329,1,U$1),ZeroCompFreq,'PDH Calc'!$K329/365)</f>
        <v>1</v>
      </c>
      <c r="V329" s="8">
        <f ca="1">_xll.HLV5r3.Analytics.Miscellaneous.Zero2DF(_xll.HLV5r3.Analytics.Miscellaneous.LinearInterp(Peturbed_QZ,$K329,1,V$1),ZeroCompFreq,'PDH Calc'!$K329/365)</f>
        <v>1</v>
      </c>
      <c r="W329" s="8">
        <f ca="1">_xll.HLV5r3.Analytics.Miscellaneous.Zero2DF(_xll.HLV5r3.Analytics.Miscellaneous.LinearInterp(Peturbed_QZ,$K329,1,W$1),ZeroCompFreq,'PDH Calc'!$K329/365)</f>
        <v>1</v>
      </c>
      <c r="X329" s="8">
        <f ca="1">_xll.HLV5r3.Analytics.Miscellaneous.Zero2DF(_xll.HLV5r3.Analytics.Miscellaneous.LinearInterp(Peturbed_QZ,$K329,1,X$1),ZeroCompFreq,'PDH Calc'!$K329/365)</f>
        <v>1</v>
      </c>
      <c r="Y329" s="8">
        <f ca="1">_xll.HLV5r3.Analytics.Miscellaneous.Zero2DF(_xll.HLV5r3.Analytics.Miscellaneous.LinearInterp(Peturbed_QZ,$K329,1,Y$1),ZeroCompFreq,'PDH Calc'!$K329/365)</f>
        <v>1</v>
      </c>
      <c r="Z329" s="8">
        <f ca="1">_xll.HLV5r3.Analytics.Miscellaneous.Zero2DF(_xll.HLV5r3.Analytics.Miscellaneous.LinearInterp(Peturbed_QZ,$K329,1,Z$1),ZeroCompFreq,'PDH Calc'!$K329/365)</f>
        <v>1</v>
      </c>
      <c r="AA329" s="8">
        <f ca="1">_xll.HLV5r3.Analytics.Miscellaneous.Zero2DF(_xll.HLV5r3.Analytics.Miscellaneous.LinearInterp(Peturbed_QZ,$K329,1,AA$1),ZeroCompFreq,'PDH Calc'!$K329/365)</f>
        <v>1</v>
      </c>
      <c r="AB329" s="8">
        <f ca="1">_xll.HLV5r3.Analytics.Miscellaneous.Zero2DF(_xll.HLV5r3.Analytics.Miscellaneous.LinearInterp(Peturbed_QZ,$K329,1,AB$1),ZeroCompFreq,'PDH Calc'!$K329/365)</f>
        <v>1</v>
      </c>
      <c r="AC329" s="8">
        <f ca="1">_xll.HLV5r3.Analytics.Miscellaneous.Zero2DF(_xll.HLV5r3.Analytics.Miscellaneous.LinearInterp(Peturbed_QZ,$K329,1,AC$1),ZeroCompFreq,'PDH Calc'!$K329/365)</f>
        <v>1</v>
      </c>
      <c r="AD329" s="8">
        <f ca="1">_xll.HLV5r3.Analytics.Miscellaneous.Zero2DF(_xll.HLV5r3.Analytics.Miscellaneous.LinearInterp(Peturbed_QZ,$K329,1,AD$1),ZeroCompFreq,'PDH Calc'!$K329/365)</f>
        <v>1</v>
      </c>
      <c r="AE329" s="8">
        <f ca="1">_xll.HLV5r3.Analytics.Miscellaneous.Zero2DF(_xll.HLV5r3.Analytics.Miscellaneous.LinearInterp(Peturbed_QZ,$K329,1,AE$1),ZeroCompFreq,'PDH Calc'!$K329/365)</f>
        <v>1</v>
      </c>
      <c r="AF329" s="8">
        <f ca="1">_xll.HLV5r3.Analytics.Miscellaneous.Zero2DF(_xll.HLV5r3.Analytics.Miscellaneous.LinearInterp(Peturbed_QZ,$K329,1,AF$1),ZeroCompFreq,'PDH Calc'!$K329/365)</f>
        <v>1</v>
      </c>
      <c r="AG329" s="8">
        <f ca="1">_xll.HLV5r3.Analytics.Miscellaneous.Zero2DF(_xll.HLV5r3.Analytics.Miscellaneous.LinearInterp(Peturbed_QZ,$K329,1,AG$1),ZeroCompFreq,'PDH Calc'!$K329/365)</f>
        <v>1</v>
      </c>
      <c r="AH329" s="8">
        <f ca="1">_xll.HLV5r3.Analytics.Miscellaneous.Zero2DF(_xll.HLV5r3.Analytics.Miscellaneous.LinearInterp(Peturbed_QZ,$K329,1,AH$1),ZeroCompFreq,'PDH Calc'!$K329/365)</f>
        <v>1</v>
      </c>
      <c r="AI329" s="8">
        <f ca="1">_xll.HLV5r3.Analytics.Miscellaneous.Zero2DF(_xll.HLV5r3.Analytics.Miscellaneous.LinearInterp(Peturbed_QZ,$K329,1,AI$1),ZeroCompFreq,'PDH Calc'!$K329/365)</f>
        <v>1</v>
      </c>
      <c r="AJ329" s="8">
        <f ca="1">_xll.HLV5r3.Analytics.Miscellaneous.Zero2DF(_xll.HLV5r3.Analytics.Miscellaneous.LinearInterp(Peturbed_QZ,$K329,1,AJ$1),ZeroCompFreq,'PDH Calc'!$K329/365)</f>
        <v>1</v>
      </c>
      <c r="AK329" s="8">
        <f ca="1">_xll.HLV5r3.Analytics.Miscellaneous.Zero2DF(_xll.HLV5r3.Analytics.Miscellaneous.LinearInterp(Peturbed_QZ,$K329,1,AK$1),ZeroCompFreq,'PDH Calc'!$K329/365)</f>
        <v>1</v>
      </c>
    </row>
    <row r="330" spans="1:37">
      <c r="A330" s="4"/>
      <c r="B330" s="6"/>
      <c r="F330" s="11"/>
      <c r="G330" s="6"/>
      <c r="H330" s="20"/>
      <c r="I330" s="21"/>
      <c r="J330" s="26"/>
      <c r="K330" s="6">
        <f t="shared" ca="1" si="11"/>
        <v>0</v>
      </c>
      <c r="L330" s="8">
        <f ca="1">_xll.HLV5r3.Analytics.Miscellaneous.Zero2DF(_xll.HLV5r3.Analytics.Miscellaneous.LinearInterp(Peturbed_QZ,$K330,1,L$1),ZeroCompFreq,'PDH Calc'!$K330/365)</f>
        <v>1</v>
      </c>
      <c r="M330" s="8">
        <f ca="1">_xll.HLV5r3.Analytics.Miscellaneous.Zero2DF(_xll.HLV5r3.Analytics.Miscellaneous.LinearInterp(Peturbed_QZ,$K330,1,M$1),ZeroCompFreq,'PDH Calc'!$K330/365)</f>
        <v>1</v>
      </c>
      <c r="N330" s="8">
        <f ca="1">_xll.HLV5r3.Analytics.Miscellaneous.Zero2DF(_xll.HLV5r3.Analytics.Miscellaneous.LinearInterp(Peturbed_QZ,$K330,1,N$1),ZeroCompFreq,'PDH Calc'!$K330/365)</f>
        <v>1</v>
      </c>
      <c r="O330" s="8">
        <f ca="1">_xll.HLV5r3.Analytics.Miscellaneous.Zero2DF(_xll.HLV5r3.Analytics.Miscellaneous.LinearInterp(Peturbed_QZ,$K330,1,O$1),ZeroCompFreq,'PDH Calc'!$K330/365)</f>
        <v>1</v>
      </c>
      <c r="P330" s="8">
        <f ca="1">_xll.HLV5r3.Analytics.Miscellaneous.Zero2DF(_xll.HLV5r3.Analytics.Miscellaneous.LinearInterp(Peturbed_QZ,$K330,1,P$1),ZeroCompFreq,'PDH Calc'!$K330/365)</f>
        <v>1</v>
      </c>
      <c r="Q330" s="8">
        <f ca="1">_xll.HLV5r3.Analytics.Miscellaneous.Zero2DF(_xll.HLV5r3.Analytics.Miscellaneous.LinearInterp(Peturbed_QZ,$K330,1,Q$1),ZeroCompFreq,'PDH Calc'!$K330/365)</f>
        <v>1</v>
      </c>
      <c r="R330" s="8">
        <f ca="1">_xll.HLV5r3.Analytics.Miscellaneous.Zero2DF(_xll.HLV5r3.Analytics.Miscellaneous.LinearInterp(Peturbed_QZ,$K330,1,R$1),ZeroCompFreq,'PDH Calc'!$K330/365)</f>
        <v>1</v>
      </c>
      <c r="S330" s="8">
        <f ca="1">_xll.HLV5r3.Analytics.Miscellaneous.Zero2DF(_xll.HLV5r3.Analytics.Miscellaneous.LinearInterp(Peturbed_QZ,$K330,1,S$1),ZeroCompFreq,'PDH Calc'!$K330/365)</f>
        <v>1</v>
      </c>
      <c r="T330" s="8">
        <f ca="1">_xll.HLV5r3.Analytics.Miscellaneous.Zero2DF(_xll.HLV5r3.Analytics.Miscellaneous.LinearInterp(Peturbed_QZ,$K330,1,T$1),ZeroCompFreq,'PDH Calc'!$K330/365)</f>
        <v>1</v>
      </c>
      <c r="U330" s="8">
        <f ca="1">_xll.HLV5r3.Analytics.Miscellaneous.Zero2DF(_xll.HLV5r3.Analytics.Miscellaneous.LinearInterp(Peturbed_QZ,$K330,1,U$1),ZeroCompFreq,'PDH Calc'!$K330/365)</f>
        <v>1</v>
      </c>
      <c r="V330" s="8">
        <f ca="1">_xll.HLV5r3.Analytics.Miscellaneous.Zero2DF(_xll.HLV5r3.Analytics.Miscellaneous.LinearInterp(Peturbed_QZ,$K330,1,V$1),ZeroCompFreq,'PDH Calc'!$K330/365)</f>
        <v>1</v>
      </c>
      <c r="W330" s="8">
        <f ca="1">_xll.HLV5r3.Analytics.Miscellaneous.Zero2DF(_xll.HLV5r3.Analytics.Miscellaneous.LinearInterp(Peturbed_QZ,$K330,1,W$1),ZeroCompFreq,'PDH Calc'!$K330/365)</f>
        <v>1</v>
      </c>
      <c r="X330" s="8">
        <f ca="1">_xll.HLV5r3.Analytics.Miscellaneous.Zero2DF(_xll.HLV5r3.Analytics.Miscellaneous.LinearInterp(Peturbed_QZ,$K330,1,X$1),ZeroCompFreq,'PDH Calc'!$K330/365)</f>
        <v>1</v>
      </c>
      <c r="Y330" s="8">
        <f ca="1">_xll.HLV5r3.Analytics.Miscellaneous.Zero2DF(_xll.HLV5r3.Analytics.Miscellaneous.LinearInterp(Peturbed_QZ,$K330,1,Y$1),ZeroCompFreq,'PDH Calc'!$K330/365)</f>
        <v>1</v>
      </c>
      <c r="Z330" s="8">
        <f ca="1">_xll.HLV5r3.Analytics.Miscellaneous.Zero2DF(_xll.HLV5r3.Analytics.Miscellaneous.LinearInterp(Peturbed_QZ,$K330,1,Z$1),ZeroCompFreq,'PDH Calc'!$K330/365)</f>
        <v>1</v>
      </c>
      <c r="AA330" s="8">
        <f ca="1">_xll.HLV5r3.Analytics.Miscellaneous.Zero2DF(_xll.HLV5r3.Analytics.Miscellaneous.LinearInterp(Peturbed_QZ,$K330,1,AA$1),ZeroCompFreq,'PDH Calc'!$K330/365)</f>
        <v>1</v>
      </c>
      <c r="AB330" s="8">
        <f ca="1">_xll.HLV5r3.Analytics.Miscellaneous.Zero2DF(_xll.HLV5r3.Analytics.Miscellaneous.LinearInterp(Peturbed_QZ,$K330,1,AB$1),ZeroCompFreq,'PDH Calc'!$K330/365)</f>
        <v>1</v>
      </c>
      <c r="AC330" s="8">
        <f ca="1">_xll.HLV5r3.Analytics.Miscellaneous.Zero2DF(_xll.HLV5r3.Analytics.Miscellaneous.LinearInterp(Peturbed_QZ,$K330,1,AC$1),ZeroCompFreq,'PDH Calc'!$K330/365)</f>
        <v>1</v>
      </c>
      <c r="AD330" s="8">
        <f ca="1">_xll.HLV5r3.Analytics.Miscellaneous.Zero2DF(_xll.HLV5r3.Analytics.Miscellaneous.LinearInterp(Peturbed_QZ,$K330,1,AD$1),ZeroCompFreq,'PDH Calc'!$K330/365)</f>
        <v>1</v>
      </c>
      <c r="AE330" s="8">
        <f ca="1">_xll.HLV5r3.Analytics.Miscellaneous.Zero2DF(_xll.HLV5r3.Analytics.Miscellaneous.LinearInterp(Peturbed_QZ,$K330,1,AE$1),ZeroCompFreq,'PDH Calc'!$K330/365)</f>
        <v>1</v>
      </c>
      <c r="AF330" s="8">
        <f ca="1">_xll.HLV5r3.Analytics.Miscellaneous.Zero2DF(_xll.HLV5r3.Analytics.Miscellaneous.LinearInterp(Peturbed_QZ,$K330,1,AF$1),ZeroCompFreq,'PDH Calc'!$K330/365)</f>
        <v>1</v>
      </c>
      <c r="AG330" s="8">
        <f ca="1">_xll.HLV5r3.Analytics.Miscellaneous.Zero2DF(_xll.HLV5r3.Analytics.Miscellaneous.LinearInterp(Peturbed_QZ,$K330,1,AG$1),ZeroCompFreq,'PDH Calc'!$K330/365)</f>
        <v>1</v>
      </c>
      <c r="AH330" s="8">
        <f ca="1">_xll.HLV5r3.Analytics.Miscellaneous.Zero2DF(_xll.HLV5r3.Analytics.Miscellaneous.LinearInterp(Peturbed_QZ,$K330,1,AH$1),ZeroCompFreq,'PDH Calc'!$K330/365)</f>
        <v>1</v>
      </c>
      <c r="AI330" s="8">
        <f ca="1">_xll.HLV5r3.Analytics.Miscellaneous.Zero2DF(_xll.HLV5r3.Analytics.Miscellaneous.LinearInterp(Peturbed_QZ,$K330,1,AI$1),ZeroCompFreq,'PDH Calc'!$K330/365)</f>
        <v>1</v>
      </c>
      <c r="AJ330" s="8">
        <f ca="1">_xll.HLV5r3.Analytics.Miscellaneous.Zero2DF(_xll.HLV5r3.Analytics.Miscellaneous.LinearInterp(Peturbed_QZ,$K330,1,AJ$1),ZeroCompFreq,'PDH Calc'!$K330/365)</f>
        <v>1</v>
      </c>
      <c r="AK330" s="8">
        <f ca="1">_xll.HLV5r3.Analytics.Miscellaneous.Zero2DF(_xll.HLV5r3.Analytics.Miscellaneous.LinearInterp(Peturbed_QZ,$K330,1,AK$1),ZeroCompFreq,'PDH Calc'!$K330/365)</f>
        <v>1</v>
      </c>
    </row>
    <row r="331" spans="1:37">
      <c r="A331" s="4"/>
      <c r="B331" s="6"/>
      <c r="F331" s="11"/>
      <c r="G331" s="6"/>
      <c r="H331" s="20"/>
      <c r="I331" s="21"/>
      <c r="J331" s="26"/>
      <c r="K331" s="6">
        <f t="shared" ca="1" si="11"/>
        <v>0</v>
      </c>
      <c r="L331" s="8">
        <f ca="1">_xll.HLV5r3.Analytics.Miscellaneous.Zero2DF(_xll.HLV5r3.Analytics.Miscellaneous.LinearInterp(Peturbed_QZ,$K331,1,L$1),ZeroCompFreq,'PDH Calc'!$K331/365)</f>
        <v>1</v>
      </c>
      <c r="M331" s="8">
        <f ca="1">_xll.HLV5r3.Analytics.Miscellaneous.Zero2DF(_xll.HLV5r3.Analytics.Miscellaneous.LinearInterp(Peturbed_QZ,$K331,1,M$1),ZeroCompFreq,'PDH Calc'!$K331/365)</f>
        <v>1</v>
      </c>
      <c r="N331" s="8">
        <f ca="1">_xll.HLV5r3.Analytics.Miscellaneous.Zero2DF(_xll.HLV5r3.Analytics.Miscellaneous.LinearInterp(Peturbed_QZ,$K331,1,N$1),ZeroCompFreq,'PDH Calc'!$K331/365)</f>
        <v>1</v>
      </c>
      <c r="O331" s="8">
        <f ca="1">_xll.HLV5r3.Analytics.Miscellaneous.Zero2DF(_xll.HLV5r3.Analytics.Miscellaneous.LinearInterp(Peturbed_QZ,$K331,1,O$1),ZeroCompFreq,'PDH Calc'!$K331/365)</f>
        <v>1</v>
      </c>
      <c r="P331" s="8">
        <f ca="1">_xll.HLV5r3.Analytics.Miscellaneous.Zero2DF(_xll.HLV5r3.Analytics.Miscellaneous.LinearInterp(Peturbed_QZ,$K331,1,P$1),ZeroCompFreq,'PDH Calc'!$K331/365)</f>
        <v>1</v>
      </c>
      <c r="Q331" s="8">
        <f ca="1">_xll.HLV5r3.Analytics.Miscellaneous.Zero2DF(_xll.HLV5r3.Analytics.Miscellaneous.LinearInterp(Peturbed_QZ,$K331,1,Q$1),ZeroCompFreq,'PDH Calc'!$K331/365)</f>
        <v>1</v>
      </c>
      <c r="R331" s="8">
        <f ca="1">_xll.HLV5r3.Analytics.Miscellaneous.Zero2DF(_xll.HLV5r3.Analytics.Miscellaneous.LinearInterp(Peturbed_QZ,$K331,1,R$1),ZeroCompFreq,'PDH Calc'!$K331/365)</f>
        <v>1</v>
      </c>
      <c r="S331" s="8">
        <f ca="1">_xll.HLV5r3.Analytics.Miscellaneous.Zero2DF(_xll.HLV5r3.Analytics.Miscellaneous.LinearInterp(Peturbed_QZ,$K331,1,S$1),ZeroCompFreq,'PDH Calc'!$K331/365)</f>
        <v>1</v>
      </c>
      <c r="T331" s="8">
        <f ca="1">_xll.HLV5r3.Analytics.Miscellaneous.Zero2DF(_xll.HLV5r3.Analytics.Miscellaneous.LinearInterp(Peturbed_QZ,$K331,1,T$1),ZeroCompFreq,'PDH Calc'!$K331/365)</f>
        <v>1</v>
      </c>
      <c r="U331" s="8">
        <f ca="1">_xll.HLV5r3.Analytics.Miscellaneous.Zero2DF(_xll.HLV5r3.Analytics.Miscellaneous.LinearInterp(Peturbed_QZ,$K331,1,U$1),ZeroCompFreq,'PDH Calc'!$K331/365)</f>
        <v>1</v>
      </c>
      <c r="V331" s="8">
        <f ca="1">_xll.HLV5r3.Analytics.Miscellaneous.Zero2DF(_xll.HLV5r3.Analytics.Miscellaneous.LinearInterp(Peturbed_QZ,$K331,1,V$1),ZeroCompFreq,'PDH Calc'!$K331/365)</f>
        <v>1</v>
      </c>
      <c r="W331" s="8">
        <f ca="1">_xll.HLV5r3.Analytics.Miscellaneous.Zero2DF(_xll.HLV5r3.Analytics.Miscellaneous.LinearInterp(Peturbed_QZ,$K331,1,W$1),ZeroCompFreq,'PDH Calc'!$K331/365)</f>
        <v>1</v>
      </c>
      <c r="X331" s="8">
        <f ca="1">_xll.HLV5r3.Analytics.Miscellaneous.Zero2DF(_xll.HLV5r3.Analytics.Miscellaneous.LinearInterp(Peturbed_QZ,$K331,1,X$1),ZeroCompFreq,'PDH Calc'!$K331/365)</f>
        <v>1</v>
      </c>
      <c r="Y331" s="8">
        <f ca="1">_xll.HLV5r3.Analytics.Miscellaneous.Zero2DF(_xll.HLV5r3.Analytics.Miscellaneous.LinearInterp(Peturbed_QZ,$K331,1,Y$1),ZeroCompFreq,'PDH Calc'!$K331/365)</f>
        <v>1</v>
      </c>
      <c r="Z331" s="8">
        <f ca="1">_xll.HLV5r3.Analytics.Miscellaneous.Zero2DF(_xll.HLV5r3.Analytics.Miscellaneous.LinearInterp(Peturbed_QZ,$K331,1,Z$1),ZeroCompFreq,'PDH Calc'!$K331/365)</f>
        <v>1</v>
      </c>
      <c r="AA331" s="8">
        <f ca="1">_xll.HLV5r3.Analytics.Miscellaneous.Zero2DF(_xll.HLV5r3.Analytics.Miscellaneous.LinearInterp(Peturbed_QZ,$K331,1,AA$1),ZeroCompFreq,'PDH Calc'!$K331/365)</f>
        <v>1</v>
      </c>
      <c r="AB331" s="8">
        <f ca="1">_xll.HLV5r3.Analytics.Miscellaneous.Zero2DF(_xll.HLV5r3.Analytics.Miscellaneous.LinearInterp(Peturbed_QZ,$K331,1,AB$1),ZeroCompFreq,'PDH Calc'!$K331/365)</f>
        <v>1</v>
      </c>
      <c r="AC331" s="8">
        <f ca="1">_xll.HLV5r3.Analytics.Miscellaneous.Zero2DF(_xll.HLV5r3.Analytics.Miscellaneous.LinearInterp(Peturbed_QZ,$K331,1,AC$1),ZeroCompFreq,'PDH Calc'!$K331/365)</f>
        <v>1</v>
      </c>
      <c r="AD331" s="8">
        <f ca="1">_xll.HLV5r3.Analytics.Miscellaneous.Zero2DF(_xll.HLV5r3.Analytics.Miscellaneous.LinearInterp(Peturbed_QZ,$K331,1,AD$1),ZeroCompFreq,'PDH Calc'!$K331/365)</f>
        <v>1</v>
      </c>
      <c r="AE331" s="8">
        <f ca="1">_xll.HLV5r3.Analytics.Miscellaneous.Zero2DF(_xll.HLV5r3.Analytics.Miscellaneous.LinearInterp(Peturbed_QZ,$K331,1,AE$1),ZeroCompFreq,'PDH Calc'!$K331/365)</f>
        <v>1</v>
      </c>
      <c r="AF331" s="8">
        <f ca="1">_xll.HLV5r3.Analytics.Miscellaneous.Zero2DF(_xll.HLV5r3.Analytics.Miscellaneous.LinearInterp(Peturbed_QZ,$K331,1,AF$1),ZeroCompFreq,'PDH Calc'!$K331/365)</f>
        <v>1</v>
      </c>
      <c r="AG331" s="8">
        <f ca="1">_xll.HLV5r3.Analytics.Miscellaneous.Zero2DF(_xll.HLV5r3.Analytics.Miscellaneous.LinearInterp(Peturbed_QZ,$K331,1,AG$1),ZeroCompFreq,'PDH Calc'!$K331/365)</f>
        <v>1</v>
      </c>
      <c r="AH331" s="8">
        <f ca="1">_xll.HLV5r3.Analytics.Miscellaneous.Zero2DF(_xll.HLV5r3.Analytics.Miscellaneous.LinearInterp(Peturbed_QZ,$K331,1,AH$1),ZeroCompFreq,'PDH Calc'!$K331/365)</f>
        <v>1</v>
      </c>
      <c r="AI331" s="8">
        <f ca="1">_xll.HLV5r3.Analytics.Miscellaneous.Zero2DF(_xll.HLV5r3.Analytics.Miscellaneous.LinearInterp(Peturbed_QZ,$K331,1,AI$1),ZeroCompFreq,'PDH Calc'!$K331/365)</f>
        <v>1</v>
      </c>
      <c r="AJ331" s="8">
        <f ca="1">_xll.HLV5r3.Analytics.Miscellaneous.Zero2DF(_xll.HLV5r3.Analytics.Miscellaneous.LinearInterp(Peturbed_QZ,$K331,1,AJ$1),ZeroCompFreq,'PDH Calc'!$K331/365)</f>
        <v>1</v>
      </c>
      <c r="AK331" s="8">
        <f ca="1">_xll.HLV5r3.Analytics.Miscellaneous.Zero2DF(_xll.HLV5r3.Analytics.Miscellaneous.LinearInterp(Peturbed_QZ,$K331,1,AK$1),ZeroCompFreq,'PDH Calc'!$K331/365)</f>
        <v>1</v>
      </c>
    </row>
    <row r="332" spans="1:37">
      <c r="A332" s="4"/>
      <c r="B332" s="6"/>
      <c r="F332" s="11"/>
      <c r="G332" s="6"/>
      <c r="H332" s="20"/>
      <c r="I332" s="21"/>
      <c r="J332" s="26"/>
      <c r="K332" s="6">
        <f t="shared" ca="1" si="11"/>
        <v>0</v>
      </c>
      <c r="L332" s="8">
        <f ca="1">_xll.HLV5r3.Analytics.Miscellaneous.Zero2DF(_xll.HLV5r3.Analytics.Miscellaneous.LinearInterp(Peturbed_QZ,$K332,1,L$1),ZeroCompFreq,'PDH Calc'!$K332/365)</f>
        <v>1</v>
      </c>
      <c r="M332" s="8">
        <f ca="1">_xll.HLV5r3.Analytics.Miscellaneous.Zero2DF(_xll.HLV5r3.Analytics.Miscellaneous.LinearInterp(Peturbed_QZ,$K332,1,M$1),ZeroCompFreq,'PDH Calc'!$K332/365)</f>
        <v>1</v>
      </c>
      <c r="N332" s="8">
        <f ca="1">_xll.HLV5r3.Analytics.Miscellaneous.Zero2DF(_xll.HLV5r3.Analytics.Miscellaneous.LinearInterp(Peturbed_QZ,$K332,1,N$1),ZeroCompFreq,'PDH Calc'!$K332/365)</f>
        <v>1</v>
      </c>
      <c r="O332" s="8">
        <f ca="1">_xll.HLV5r3.Analytics.Miscellaneous.Zero2DF(_xll.HLV5r3.Analytics.Miscellaneous.LinearInterp(Peturbed_QZ,$K332,1,O$1),ZeroCompFreq,'PDH Calc'!$K332/365)</f>
        <v>1</v>
      </c>
      <c r="P332" s="8">
        <f ca="1">_xll.HLV5r3.Analytics.Miscellaneous.Zero2DF(_xll.HLV5r3.Analytics.Miscellaneous.LinearInterp(Peturbed_QZ,$K332,1,P$1),ZeroCompFreq,'PDH Calc'!$K332/365)</f>
        <v>1</v>
      </c>
      <c r="Q332" s="8">
        <f ca="1">_xll.HLV5r3.Analytics.Miscellaneous.Zero2DF(_xll.HLV5r3.Analytics.Miscellaneous.LinearInterp(Peturbed_QZ,$K332,1,Q$1),ZeroCompFreq,'PDH Calc'!$K332/365)</f>
        <v>1</v>
      </c>
      <c r="R332" s="8">
        <f ca="1">_xll.HLV5r3.Analytics.Miscellaneous.Zero2DF(_xll.HLV5r3.Analytics.Miscellaneous.LinearInterp(Peturbed_QZ,$K332,1,R$1),ZeroCompFreq,'PDH Calc'!$K332/365)</f>
        <v>1</v>
      </c>
      <c r="S332" s="8">
        <f ca="1">_xll.HLV5r3.Analytics.Miscellaneous.Zero2DF(_xll.HLV5r3.Analytics.Miscellaneous.LinearInterp(Peturbed_QZ,$K332,1,S$1),ZeroCompFreq,'PDH Calc'!$K332/365)</f>
        <v>1</v>
      </c>
      <c r="T332" s="8">
        <f ca="1">_xll.HLV5r3.Analytics.Miscellaneous.Zero2DF(_xll.HLV5r3.Analytics.Miscellaneous.LinearInterp(Peturbed_QZ,$K332,1,T$1),ZeroCompFreq,'PDH Calc'!$K332/365)</f>
        <v>1</v>
      </c>
      <c r="U332" s="8">
        <f ca="1">_xll.HLV5r3.Analytics.Miscellaneous.Zero2DF(_xll.HLV5r3.Analytics.Miscellaneous.LinearInterp(Peturbed_QZ,$K332,1,U$1),ZeroCompFreq,'PDH Calc'!$K332/365)</f>
        <v>1</v>
      </c>
      <c r="V332" s="8">
        <f ca="1">_xll.HLV5r3.Analytics.Miscellaneous.Zero2DF(_xll.HLV5r3.Analytics.Miscellaneous.LinearInterp(Peturbed_QZ,$K332,1,V$1),ZeroCompFreq,'PDH Calc'!$K332/365)</f>
        <v>1</v>
      </c>
      <c r="W332" s="8">
        <f ca="1">_xll.HLV5r3.Analytics.Miscellaneous.Zero2DF(_xll.HLV5r3.Analytics.Miscellaneous.LinearInterp(Peturbed_QZ,$K332,1,W$1),ZeroCompFreq,'PDH Calc'!$K332/365)</f>
        <v>1</v>
      </c>
      <c r="X332" s="8">
        <f ca="1">_xll.HLV5r3.Analytics.Miscellaneous.Zero2DF(_xll.HLV5r3.Analytics.Miscellaneous.LinearInterp(Peturbed_QZ,$K332,1,X$1),ZeroCompFreq,'PDH Calc'!$K332/365)</f>
        <v>1</v>
      </c>
      <c r="Y332" s="8">
        <f ca="1">_xll.HLV5r3.Analytics.Miscellaneous.Zero2DF(_xll.HLV5r3.Analytics.Miscellaneous.LinearInterp(Peturbed_QZ,$K332,1,Y$1),ZeroCompFreq,'PDH Calc'!$K332/365)</f>
        <v>1</v>
      </c>
      <c r="Z332" s="8">
        <f ca="1">_xll.HLV5r3.Analytics.Miscellaneous.Zero2DF(_xll.HLV5r3.Analytics.Miscellaneous.LinearInterp(Peturbed_QZ,$K332,1,Z$1),ZeroCompFreq,'PDH Calc'!$K332/365)</f>
        <v>1</v>
      </c>
      <c r="AA332" s="8">
        <f ca="1">_xll.HLV5r3.Analytics.Miscellaneous.Zero2DF(_xll.HLV5r3.Analytics.Miscellaneous.LinearInterp(Peturbed_QZ,$K332,1,AA$1),ZeroCompFreq,'PDH Calc'!$K332/365)</f>
        <v>1</v>
      </c>
      <c r="AB332" s="8">
        <f ca="1">_xll.HLV5r3.Analytics.Miscellaneous.Zero2DF(_xll.HLV5r3.Analytics.Miscellaneous.LinearInterp(Peturbed_QZ,$K332,1,AB$1),ZeroCompFreq,'PDH Calc'!$K332/365)</f>
        <v>1</v>
      </c>
      <c r="AC332" s="8">
        <f ca="1">_xll.HLV5r3.Analytics.Miscellaneous.Zero2DF(_xll.HLV5r3.Analytics.Miscellaneous.LinearInterp(Peturbed_QZ,$K332,1,AC$1),ZeroCompFreq,'PDH Calc'!$K332/365)</f>
        <v>1</v>
      </c>
      <c r="AD332" s="8">
        <f ca="1">_xll.HLV5r3.Analytics.Miscellaneous.Zero2DF(_xll.HLV5r3.Analytics.Miscellaneous.LinearInterp(Peturbed_QZ,$K332,1,AD$1),ZeroCompFreq,'PDH Calc'!$K332/365)</f>
        <v>1</v>
      </c>
      <c r="AE332" s="8">
        <f ca="1">_xll.HLV5r3.Analytics.Miscellaneous.Zero2DF(_xll.HLV5r3.Analytics.Miscellaneous.LinearInterp(Peturbed_QZ,$K332,1,AE$1),ZeroCompFreq,'PDH Calc'!$K332/365)</f>
        <v>1</v>
      </c>
      <c r="AF332" s="8">
        <f ca="1">_xll.HLV5r3.Analytics.Miscellaneous.Zero2DF(_xll.HLV5r3.Analytics.Miscellaneous.LinearInterp(Peturbed_QZ,$K332,1,AF$1),ZeroCompFreq,'PDH Calc'!$K332/365)</f>
        <v>1</v>
      </c>
      <c r="AG332" s="8">
        <f ca="1">_xll.HLV5r3.Analytics.Miscellaneous.Zero2DF(_xll.HLV5r3.Analytics.Miscellaneous.LinearInterp(Peturbed_QZ,$K332,1,AG$1),ZeroCompFreq,'PDH Calc'!$K332/365)</f>
        <v>1</v>
      </c>
      <c r="AH332" s="8">
        <f ca="1">_xll.HLV5r3.Analytics.Miscellaneous.Zero2DF(_xll.HLV5r3.Analytics.Miscellaneous.LinearInterp(Peturbed_QZ,$K332,1,AH$1),ZeroCompFreq,'PDH Calc'!$K332/365)</f>
        <v>1</v>
      </c>
      <c r="AI332" s="8">
        <f ca="1">_xll.HLV5r3.Analytics.Miscellaneous.Zero2DF(_xll.HLV5r3.Analytics.Miscellaneous.LinearInterp(Peturbed_QZ,$K332,1,AI$1),ZeroCompFreq,'PDH Calc'!$K332/365)</f>
        <v>1</v>
      </c>
      <c r="AJ332" s="8">
        <f ca="1">_xll.HLV5r3.Analytics.Miscellaneous.Zero2DF(_xll.HLV5r3.Analytics.Miscellaneous.LinearInterp(Peturbed_QZ,$K332,1,AJ$1),ZeroCompFreq,'PDH Calc'!$K332/365)</f>
        <v>1</v>
      </c>
      <c r="AK332" s="8">
        <f ca="1">_xll.HLV5r3.Analytics.Miscellaneous.Zero2DF(_xll.HLV5r3.Analytics.Miscellaneous.LinearInterp(Peturbed_QZ,$K332,1,AK$1),ZeroCompFreq,'PDH Calc'!$K332/365)</f>
        <v>1</v>
      </c>
    </row>
    <row r="333" spans="1:37">
      <c r="A333" s="4"/>
      <c r="B333" s="6"/>
      <c r="F333" s="11"/>
      <c r="G333" s="6"/>
      <c r="H333" s="20"/>
      <c r="I333" s="21"/>
      <c r="J333" s="26"/>
      <c r="K333" s="6">
        <f t="shared" ca="1" si="11"/>
        <v>0</v>
      </c>
      <c r="L333" s="8">
        <f ca="1">_xll.HLV5r3.Analytics.Miscellaneous.Zero2DF(_xll.HLV5r3.Analytics.Miscellaneous.LinearInterp(Peturbed_QZ,$K333,1,L$1),ZeroCompFreq,'PDH Calc'!$K333/365)</f>
        <v>1</v>
      </c>
      <c r="M333" s="8">
        <f ca="1">_xll.HLV5r3.Analytics.Miscellaneous.Zero2DF(_xll.HLV5r3.Analytics.Miscellaneous.LinearInterp(Peturbed_QZ,$K333,1,M$1),ZeroCompFreq,'PDH Calc'!$K333/365)</f>
        <v>1</v>
      </c>
      <c r="N333" s="8">
        <f ca="1">_xll.HLV5r3.Analytics.Miscellaneous.Zero2DF(_xll.HLV5r3.Analytics.Miscellaneous.LinearInterp(Peturbed_QZ,$K333,1,N$1),ZeroCompFreq,'PDH Calc'!$K333/365)</f>
        <v>1</v>
      </c>
      <c r="O333" s="8">
        <f ca="1">_xll.HLV5r3.Analytics.Miscellaneous.Zero2DF(_xll.HLV5r3.Analytics.Miscellaneous.LinearInterp(Peturbed_QZ,$K333,1,O$1),ZeroCompFreq,'PDH Calc'!$K333/365)</f>
        <v>1</v>
      </c>
      <c r="P333" s="8">
        <f ca="1">_xll.HLV5r3.Analytics.Miscellaneous.Zero2DF(_xll.HLV5r3.Analytics.Miscellaneous.LinearInterp(Peturbed_QZ,$K333,1,P$1),ZeroCompFreq,'PDH Calc'!$K333/365)</f>
        <v>1</v>
      </c>
      <c r="Q333" s="8">
        <f ca="1">_xll.HLV5r3.Analytics.Miscellaneous.Zero2DF(_xll.HLV5r3.Analytics.Miscellaneous.LinearInterp(Peturbed_QZ,$K333,1,Q$1),ZeroCompFreq,'PDH Calc'!$K333/365)</f>
        <v>1</v>
      </c>
      <c r="R333" s="8">
        <f ca="1">_xll.HLV5r3.Analytics.Miscellaneous.Zero2DF(_xll.HLV5r3.Analytics.Miscellaneous.LinearInterp(Peturbed_QZ,$K333,1,R$1),ZeroCompFreq,'PDH Calc'!$K333/365)</f>
        <v>1</v>
      </c>
      <c r="S333" s="8">
        <f ca="1">_xll.HLV5r3.Analytics.Miscellaneous.Zero2DF(_xll.HLV5r3.Analytics.Miscellaneous.LinearInterp(Peturbed_QZ,$K333,1,S$1),ZeroCompFreq,'PDH Calc'!$K333/365)</f>
        <v>1</v>
      </c>
      <c r="T333" s="8">
        <f ca="1">_xll.HLV5r3.Analytics.Miscellaneous.Zero2DF(_xll.HLV5r3.Analytics.Miscellaneous.LinearInterp(Peturbed_QZ,$K333,1,T$1),ZeroCompFreq,'PDH Calc'!$K333/365)</f>
        <v>1</v>
      </c>
      <c r="U333" s="8">
        <f ca="1">_xll.HLV5r3.Analytics.Miscellaneous.Zero2DF(_xll.HLV5r3.Analytics.Miscellaneous.LinearInterp(Peturbed_QZ,$K333,1,U$1),ZeroCompFreq,'PDH Calc'!$K333/365)</f>
        <v>1</v>
      </c>
      <c r="V333" s="8">
        <f ca="1">_xll.HLV5r3.Analytics.Miscellaneous.Zero2DF(_xll.HLV5r3.Analytics.Miscellaneous.LinearInterp(Peturbed_QZ,$K333,1,V$1),ZeroCompFreq,'PDH Calc'!$K333/365)</f>
        <v>1</v>
      </c>
      <c r="W333" s="8">
        <f ca="1">_xll.HLV5r3.Analytics.Miscellaneous.Zero2DF(_xll.HLV5r3.Analytics.Miscellaneous.LinearInterp(Peturbed_QZ,$K333,1,W$1),ZeroCompFreq,'PDH Calc'!$K333/365)</f>
        <v>1</v>
      </c>
      <c r="X333" s="8">
        <f ca="1">_xll.HLV5r3.Analytics.Miscellaneous.Zero2DF(_xll.HLV5r3.Analytics.Miscellaneous.LinearInterp(Peturbed_QZ,$K333,1,X$1),ZeroCompFreq,'PDH Calc'!$K333/365)</f>
        <v>1</v>
      </c>
      <c r="Y333" s="8">
        <f ca="1">_xll.HLV5r3.Analytics.Miscellaneous.Zero2DF(_xll.HLV5r3.Analytics.Miscellaneous.LinearInterp(Peturbed_QZ,$K333,1,Y$1),ZeroCompFreq,'PDH Calc'!$K333/365)</f>
        <v>1</v>
      </c>
      <c r="Z333" s="8">
        <f ca="1">_xll.HLV5r3.Analytics.Miscellaneous.Zero2DF(_xll.HLV5r3.Analytics.Miscellaneous.LinearInterp(Peturbed_QZ,$K333,1,Z$1),ZeroCompFreq,'PDH Calc'!$K333/365)</f>
        <v>1</v>
      </c>
      <c r="AA333" s="8">
        <f ca="1">_xll.HLV5r3.Analytics.Miscellaneous.Zero2DF(_xll.HLV5r3.Analytics.Miscellaneous.LinearInterp(Peturbed_QZ,$K333,1,AA$1),ZeroCompFreq,'PDH Calc'!$K333/365)</f>
        <v>1</v>
      </c>
      <c r="AB333" s="8">
        <f ca="1">_xll.HLV5r3.Analytics.Miscellaneous.Zero2DF(_xll.HLV5r3.Analytics.Miscellaneous.LinearInterp(Peturbed_QZ,$K333,1,AB$1),ZeroCompFreq,'PDH Calc'!$K333/365)</f>
        <v>1</v>
      </c>
      <c r="AC333" s="8">
        <f ca="1">_xll.HLV5r3.Analytics.Miscellaneous.Zero2DF(_xll.HLV5r3.Analytics.Miscellaneous.LinearInterp(Peturbed_QZ,$K333,1,AC$1),ZeroCompFreq,'PDH Calc'!$K333/365)</f>
        <v>1</v>
      </c>
      <c r="AD333" s="8">
        <f ca="1">_xll.HLV5r3.Analytics.Miscellaneous.Zero2DF(_xll.HLV5r3.Analytics.Miscellaneous.LinearInterp(Peturbed_QZ,$K333,1,AD$1),ZeroCompFreq,'PDH Calc'!$K333/365)</f>
        <v>1</v>
      </c>
      <c r="AE333" s="8">
        <f ca="1">_xll.HLV5r3.Analytics.Miscellaneous.Zero2DF(_xll.HLV5r3.Analytics.Miscellaneous.LinearInterp(Peturbed_QZ,$K333,1,AE$1),ZeroCompFreq,'PDH Calc'!$K333/365)</f>
        <v>1</v>
      </c>
      <c r="AF333" s="8">
        <f ca="1">_xll.HLV5r3.Analytics.Miscellaneous.Zero2DF(_xll.HLV5r3.Analytics.Miscellaneous.LinearInterp(Peturbed_QZ,$K333,1,AF$1),ZeroCompFreq,'PDH Calc'!$K333/365)</f>
        <v>1</v>
      </c>
      <c r="AG333" s="8">
        <f ca="1">_xll.HLV5r3.Analytics.Miscellaneous.Zero2DF(_xll.HLV5r3.Analytics.Miscellaneous.LinearInterp(Peturbed_QZ,$K333,1,AG$1),ZeroCompFreq,'PDH Calc'!$K333/365)</f>
        <v>1</v>
      </c>
      <c r="AH333" s="8">
        <f ca="1">_xll.HLV5r3.Analytics.Miscellaneous.Zero2DF(_xll.HLV5r3.Analytics.Miscellaneous.LinearInterp(Peturbed_QZ,$K333,1,AH$1),ZeroCompFreq,'PDH Calc'!$K333/365)</f>
        <v>1</v>
      </c>
      <c r="AI333" s="8">
        <f ca="1">_xll.HLV5r3.Analytics.Miscellaneous.Zero2DF(_xll.HLV5r3.Analytics.Miscellaneous.LinearInterp(Peturbed_QZ,$K333,1,AI$1),ZeroCompFreq,'PDH Calc'!$K333/365)</f>
        <v>1</v>
      </c>
      <c r="AJ333" s="8">
        <f ca="1">_xll.HLV5r3.Analytics.Miscellaneous.Zero2DF(_xll.HLV5r3.Analytics.Miscellaneous.LinearInterp(Peturbed_QZ,$K333,1,AJ$1),ZeroCompFreq,'PDH Calc'!$K333/365)</f>
        <v>1</v>
      </c>
      <c r="AK333" s="8">
        <f ca="1">_xll.HLV5r3.Analytics.Miscellaneous.Zero2DF(_xll.HLV5r3.Analytics.Miscellaneous.LinearInterp(Peturbed_QZ,$K333,1,AK$1),ZeroCompFreq,'PDH Calc'!$K333/365)</f>
        <v>1</v>
      </c>
    </row>
    <row r="334" spans="1:37">
      <c r="A334" s="4"/>
      <c r="B334" s="6"/>
      <c r="F334" s="11"/>
      <c r="G334" s="6"/>
      <c r="H334" s="20"/>
      <c r="I334" s="21"/>
      <c r="J334" s="26"/>
      <c r="K334" s="6">
        <f t="shared" ca="1" si="11"/>
        <v>0</v>
      </c>
      <c r="L334" s="8">
        <f ca="1">_xll.HLV5r3.Analytics.Miscellaneous.Zero2DF(_xll.HLV5r3.Analytics.Miscellaneous.LinearInterp(Peturbed_QZ,$K334,1,L$1),ZeroCompFreq,'PDH Calc'!$K334/365)</f>
        <v>1</v>
      </c>
      <c r="M334" s="8">
        <f ca="1">_xll.HLV5r3.Analytics.Miscellaneous.Zero2DF(_xll.HLV5r3.Analytics.Miscellaneous.LinearInterp(Peturbed_QZ,$K334,1,M$1),ZeroCompFreq,'PDH Calc'!$K334/365)</f>
        <v>1</v>
      </c>
      <c r="N334" s="8">
        <f ca="1">_xll.HLV5r3.Analytics.Miscellaneous.Zero2DF(_xll.HLV5r3.Analytics.Miscellaneous.LinearInterp(Peturbed_QZ,$K334,1,N$1),ZeroCompFreq,'PDH Calc'!$K334/365)</f>
        <v>1</v>
      </c>
      <c r="O334" s="8">
        <f ca="1">_xll.HLV5r3.Analytics.Miscellaneous.Zero2DF(_xll.HLV5r3.Analytics.Miscellaneous.LinearInterp(Peturbed_QZ,$K334,1,O$1),ZeroCompFreq,'PDH Calc'!$K334/365)</f>
        <v>1</v>
      </c>
      <c r="P334" s="8">
        <f ca="1">_xll.HLV5r3.Analytics.Miscellaneous.Zero2DF(_xll.HLV5r3.Analytics.Miscellaneous.LinearInterp(Peturbed_QZ,$K334,1,P$1),ZeroCompFreq,'PDH Calc'!$K334/365)</f>
        <v>1</v>
      </c>
      <c r="Q334" s="8">
        <f ca="1">_xll.HLV5r3.Analytics.Miscellaneous.Zero2DF(_xll.HLV5r3.Analytics.Miscellaneous.LinearInterp(Peturbed_QZ,$K334,1,Q$1),ZeroCompFreq,'PDH Calc'!$K334/365)</f>
        <v>1</v>
      </c>
      <c r="R334" s="8">
        <f ca="1">_xll.HLV5r3.Analytics.Miscellaneous.Zero2DF(_xll.HLV5r3.Analytics.Miscellaneous.LinearInterp(Peturbed_QZ,$K334,1,R$1),ZeroCompFreq,'PDH Calc'!$K334/365)</f>
        <v>1</v>
      </c>
      <c r="S334" s="8">
        <f ca="1">_xll.HLV5r3.Analytics.Miscellaneous.Zero2DF(_xll.HLV5r3.Analytics.Miscellaneous.LinearInterp(Peturbed_QZ,$K334,1,S$1),ZeroCompFreq,'PDH Calc'!$K334/365)</f>
        <v>1</v>
      </c>
      <c r="T334" s="8">
        <f ca="1">_xll.HLV5r3.Analytics.Miscellaneous.Zero2DF(_xll.HLV5r3.Analytics.Miscellaneous.LinearInterp(Peturbed_QZ,$K334,1,T$1),ZeroCompFreq,'PDH Calc'!$K334/365)</f>
        <v>1</v>
      </c>
      <c r="U334" s="8">
        <f ca="1">_xll.HLV5r3.Analytics.Miscellaneous.Zero2DF(_xll.HLV5r3.Analytics.Miscellaneous.LinearInterp(Peturbed_QZ,$K334,1,U$1),ZeroCompFreq,'PDH Calc'!$K334/365)</f>
        <v>1</v>
      </c>
      <c r="V334" s="8">
        <f ca="1">_xll.HLV5r3.Analytics.Miscellaneous.Zero2DF(_xll.HLV5r3.Analytics.Miscellaneous.LinearInterp(Peturbed_QZ,$K334,1,V$1),ZeroCompFreq,'PDH Calc'!$K334/365)</f>
        <v>1</v>
      </c>
      <c r="W334" s="8">
        <f ca="1">_xll.HLV5r3.Analytics.Miscellaneous.Zero2DF(_xll.HLV5r3.Analytics.Miscellaneous.LinearInterp(Peturbed_QZ,$K334,1,W$1),ZeroCompFreq,'PDH Calc'!$K334/365)</f>
        <v>1</v>
      </c>
      <c r="X334" s="8">
        <f ca="1">_xll.HLV5r3.Analytics.Miscellaneous.Zero2DF(_xll.HLV5r3.Analytics.Miscellaneous.LinearInterp(Peturbed_QZ,$K334,1,X$1),ZeroCompFreq,'PDH Calc'!$K334/365)</f>
        <v>1</v>
      </c>
      <c r="Y334" s="8">
        <f ca="1">_xll.HLV5r3.Analytics.Miscellaneous.Zero2DF(_xll.HLV5r3.Analytics.Miscellaneous.LinearInterp(Peturbed_QZ,$K334,1,Y$1),ZeroCompFreq,'PDH Calc'!$K334/365)</f>
        <v>1</v>
      </c>
      <c r="Z334" s="8">
        <f ca="1">_xll.HLV5r3.Analytics.Miscellaneous.Zero2DF(_xll.HLV5r3.Analytics.Miscellaneous.LinearInterp(Peturbed_QZ,$K334,1,Z$1),ZeroCompFreq,'PDH Calc'!$K334/365)</f>
        <v>1</v>
      </c>
      <c r="AA334" s="8">
        <f ca="1">_xll.HLV5r3.Analytics.Miscellaneous.Zero2DF(_xll.HLV5r3.Analytics.Miscellaneous.LinearInterp(Peturbed_QZ,$K334,1,AA$1),ZeroCompFreq,'PDH Calc'!$K334/365)</f>
        <v>1</v>
      </c>
      <c r="AB334" s="8">
        <f ca="1">_xll.HLV5r3.Analytics.Miscellaneous.Zero2DF(_xll.HLV5r3.Analytics.Miscellaneous.LinearInterp(Peturbed_QZ,$K334,1,AB$1),ZeroCompFreq,'PDH Calc'!$K334/365)</f>
        <v>1</v>
      </c>
      <c r="AC334" s="8">
        <f ca="1">_xll.HLV5r3.Analytics.Miscellaneous.Zero2DF(_xll.HLV5r3.Analytics.Miscellaneous.LinearInterp(Peturbed_QZ,$K334,1,AC$1),ZeroCompFreq,'PDH Calc'!$K334/365)</f>
        <v>1</v>
      </c>
      <c r="AD334" s="8">
        <f ca="1">_xll.HLV5r3.Analytics.Miscellaneous.Zero2DF(_xll.HLV5r3.Analytics.Miscellaneous.LinearInterp(Peturbed_QZ,$K334,1,AD$1),ZeroCompFreq,'PDH Calc'!$K334/365)</f>
        <v>1</v>
      </c>
      <c r="AE334" s="8">
        <f ca="1">_xll.HLV5r3.Analytics.Miscellaneous.Zero2DF(_xll.HLV5r3.Analytics.Miscellaneous.LinearInterp(Peturbed_QZ,$K334,1,AE$1),ZeroCompFreq,'PDH Calc'!$K334/365)</f>
        <v>1</v>
      </c>
      <c r="AF334" s="8">
        <f ca="1">_xll.HLV5r3.Analytics.Miscellaneous.Zero2DF(_xll.HLV5r3.Analytics.Miscellaneous.LinearInterp(Peturbed_QZ,$K334,1,AF$1),ZeroCompFreq,'PDH Calc'!$K334/365)</f>
        <v>1</v>
      </c>
      <c r="AG334" s="8">
        <f ca="1">_xll.HLV5r3.Analytics.Miscellaneous.Zero2DF(_xll.HLV5r3.Analytics.Miscellaneous.LinearInterp(Peturbed_QZ,$K334,1,AG$1),ZeroCompFreq,'PDH Calc'!$K334/365)</f>
        <v>1</v>
      </c>
      <c r="AH334" s="8">
        <f ca="1">_xll.HLV5r3.Analytics.Miscellaneous.Zero2DF(_xll.HLV5r3.Analytics.Miscellaneous.LinearInterp(Peturbed_QZ,$K334,1,AH$1),ZeroCompFreq,'PDH Calc'!$K334/365)</f>
        <v>1</v>
      </c>
      <c r="AI334" s="8">
        <f ca="1">_xll.HLV5r3.Analytics.Miscellaneous.Zero2DF(_xll.HLV5r3.Analytics.Miscellaneous.LinearInterp(Peturbed_QZ,$K334,1,AI$1),ZeroCompFreq,'PDH Calc'!$K334/365)</f>
        <v>1</v>
      </c>
      <c r="AJ334" s="8">
        <f ca="1">_xll.HLV5r3.Analytics.Miscellaneous.Zero2DF(_xll.HLV5r3.Analytics.Miscellaneous.LinearInterp(Peturbed_QZ,$K334,1,AJ$1),ZeroCompFreq,'PDH Calc'!$K334/365)</f>
        <v>1</v>
      </c>
      <c r="AK334" s="8">
        <f ca="1">_xll.HLV5r3.Analytics.Miscellaneous.Zero2DF(_xll.HLV5r3.Analytics.Miscellaneous.LinearInterp(Peturbed_QZ,$K334,1,AK$1),ZeroCompFreq,'PDH Calc'!$K334/365)</f>
        <v>1</v>
      </c>
    </row>
    <row r="335" spans="1:37">
      <c r="A335" s="4"/>
      <c r="B335" s="6"/>
      <c r="F335" s="11"/>
      <c r="G335" s="6"/>
      <c r="H335" s="20"/>
      <c r="I335" s="21"/>
      <c r="J335" s="26"/>
      <c r="K335" s="6">
        <f t="shared" ca="1" si="11"/>
        <v>0</v>
      </c>
      <c r="L335" s="8">
        <f ca="1">_xll.HLV5r3.Analytics.Miscellaneous.Zero2DF(_xll.HLV5r3.Analytics.Miscellaneous.LinearInterp(Peturbed_QZ,$K335,1,L$1),ZeroCompFreq,'PDH Calc'!$K335/365)</f>
        <v>1</v>
      </c>
      <c r="M335" s="8">
        <f ca="1">_xll.HLV5r3.Analytics.Miscellaneous.Zero2DF(_xll.HLV5r3.Analytics.Miscellaneous.LinearInterp(Peturbed_QZ,$K335,1,M$1),ZeroCompFreq,'PDH Calc'!$K335/365)</f>
        <v>1</v>
      </c>
      <c r="N335" s="8">
        <f ca="1">_xll.HLV5r3.Analytics.Miscellaneous.Zero2DF(_xll.HLV5r3.Analytics.Miscellaneous.LinearInterp(Peturbed_QZ,$K335,1,N$1),ZeroCompFreq,'PDH Calc'!$K335/365)</f>
        <v>1</v>
      </c>
      <c r="O335" s="8">
        <f ca="1">_xll.HLV5r3.Analytics.Miscellaneous.Zero2DF(_xll.HLV5r3.Analytics.Miscellaneous.LinearInterp(Peturbed_QZ,$K335,1,O$1),ZeroCompFreq,'PDH Calc'!$K335/365)</f>
        <v>1</v>
      </c>
      <c r="P335" s="8">
        <f ca="1">_xll.HLV5r3.Analytics.Miscellaneous.Zero2DF(_xll.HLV5r3.Analytics.Miscellaneous.LinearInterp(Peturbed_QZ,$K335,1,P$1),ZeroCompFreq,'PDH Calc'!$K335/365)</f>
        <v>1</v>
      </c>
      <c r="Q335" s="8">
        <f ca="1">_xll.HLV5r3.Analytics.Miscellaneous.Zero2DF(_xll.HLV5r3.Analytics.Miscellaneous.LinearInterp(Peturbed_QZ,$K335,1,Q$1),ZeroCompFreq,'PDH Calc'!$K335/365)</f>
        <v>1</v>
      </c>
      <c r="R335" s="8">
        <f ca="1">_xll.HLV5r3.Analytics.Miscellaneous.Zero2DF(_xll.HLV5r3.Analytics.Miscellaneous.LinearInterp(Peturbed_QZ,$K335,1,R$1),ZeroCompFreq,'PDH Calc'!$K335/365)</f>
        <v>1</v>
      </c>
      <c r="S335" s="8">
        <f ca="1">_xll.HLV5r3.Analytics.Miscellaneous.Zero2DF(_xll.HLV5r3.Analytics.Miscellaneous.LinearInterp(Peturbed_QZ,$K335,1,S$1),ZeroCompFreq,'PDH Calc'!$K335/365)</f>
        <v>1</v>
      </c>
      <c r="T335" s="8">
        <f ca="1">_xll.HLV5r3.Analytics.Miscellaneous.Zero2DF(_xll.HLV5r3.Analytics.Miscellaneous.LinearInterp(Peturbed_QZ,$K335,1,T$1),ZeroCompFreq,'PDH Calc'!$K335/365)</f>
        <v>1</v>
      </c>
      <c r="U335" s="8">
        <f ca="1">_xll.HLV5r3.Analytics.Miscellaneous.Zero2DF(_xll.HLV5r3.Analytics.Miscellaneous.LinearInterp(Peturbed_QZ,$K335,1,U$1),ZeroCompFreq,'PDH Calc'!$K335/365)</f>
        <v>1</v>
      </c>
      <c r="V335" s="8">
        <f ca="1">_xll.HLV5r3.Analytics.Miscellaneous.Zero2DF(_xll.HLV5r3.Analytics.Miscellaneous.LinearInterp(Peturbed_QZ,$K335,1,V$1),ZeroCompFreq,'PDH Calc'!$K335/365)</f>
        <v>1</v>
      </c>
      <c r="W335" s="8">
        <f ca="1">_xll.HLV5r3.Analytics.Miscellaneous.Zero2DF(_xll.HLV5r3.Analytics.Miscellaneous.LinearInterp(Peturbed_QZ,$K335,1,W$1),ZeroCompFreq,'PDH Calc'!$K335/365)</f>
        <v>1</v>
      </c>
      <c r="X335" s="8">
        <f ca="1">_xll.HLV5r3.Analytics.Miscellaneous.Zero2DF(_xll.HLV5r3.Analytics.Miscellaneous.LinearInterp(Peturbed_QZ,$K335,1,X$1),ZeroCompFreq,'PDH Calc'!$K335/365)</f>
        <v>1</v>
      </c>
      <c r="Y335" s="8">
        <f ca="1">_xll.HLV5r3.Analytics.Miscellaneous.Zero2DF(_xll.HLV5r3.Analytics.Miscellaneous.LinearInterp(Peturbed_QZ,$K335,1,Y$1),ZeroCompFreq,'PDH Calc'!$K335/365)</f>
        <v>1</v>
      </c>
      <c r="Z335" s="8">
        <f ca="1">_xll.HLV5r3.Analytics.Miscellaneous.Zero2DF(_xll.HLV5r3.Analytics.Miscellaneous.LinearInterp(Peturbed_QZ,$K335,1,Z$1),ZeroCompFreq,'PDH Calc'!$K335/365)</f>
        <v>1</v>
      </c>
      <c r="AA335" s="8">
        <f ca="1">_xll.HLV5r3.Analytics.Miscellaneous.Zero2DF(_xll.HLV5r3.Analytics.Miscellaneous.LinearInterp(Peturbed_QZ,$K335,1,AA$1),ZeroCompFreq,'PDH Calc'!$K335/365)</f>
        <v>1</v>
      </c>
      <c r="AB335" s="8">
        <f ca="1">_xll.HLV5r3.Analytics.Miscellaneous.Zero2DF(_xll.HLV5r3.Analytics.Miscellaneous.LinearInterp(Peturbed_QZ,$K335,1,AB$1),ZeroCompFreq,'PDH Calc'!$K335/365)</f>
        <v>1</v>
      </c>
      <c r="AC335" s="8">
        <f ca="1">_xll.HLV5r3.Analytics.Miscellaneous.Zero2DF(_xll.HLV5r3.Analytics.Miscellaneous.LinearInterp(Peturbed_QZ,$K335,1,AC$1),ZeroCompFreq,'PDH Calc'!$K335/365)</f>
        <v>1</v>
      </c>
      <c r="AD335" s="8">
        <f ca="1">_xll.HLV5r3.Analytics.Miscellaneous.Zero2DF(_xll.HLV5r3.Analytics.Miscellaneous.LinearInterp(Peturbed_QZ,$K335,1,AD$1),ZeroCompFreq,'PDH Calc'!$K335/365)</f>
        <v>1</v>
      </c>
      <c r="AE335" s="8">
        <f ca="1">_xll.HLV5r3.Analytics.Miscellaneous.Zero2DF(_xll.HLV5r3.Analytics.Miscellaneous.LinearInterp(Peturbed_QZ,$K335,1,AE$1),ZeroCompFreq,'PDH Calc'!$K335/365)</f>
        <v>1</v>
      </c>
      <c r="AF335" s="8">
        <f ca="1">_xll.HLV5r3.Analytics.Miscellaneous.Zero2DF(_xll.HLV5r3.Analytics.Miscellaneous.LinearInterp(Peturbed_QZ,$K335,1,AF$1),ZeroCompFreq,'PDH Calc'!$K335/365)</f>
        <v>1</v>
      </c>
      <c r="AG335" s="8">
        <f ca="1">_xll.HLV5r3.Analytics.Miscellaneous.Zero2DF(_xll.HLV5r3.Analytics.Miscellaneous.LinearInterp(Peturbed_QZ,$K335,1,AG$1),ZeroCompFreq,'PDH Calc'!$K335/365)</f>
        <v>1</v>
      </c>
      <c r="AH335" s="8">
        <f ca="1">_xll.HLV5r3.Analytics.Miscellaneous.Zero2DF(_xll.HLV5r3.Analytics.Miscellaneous.LinearInterp(Peturbed_QZ,$K335,1,AH$1),ZeroCompFreq,'PDH Calc'!$K335/365)</f>
        <v>1</v>
      </c>
      <c r="AI335" s="8">
        <f ca="1">_xll.HLV5r3.Analytics.Miscellaneous.Zero2DF(_xll.HLV5r3.Analytics.Miscellaneous.LinearInterp(Peturbed_QZ,$K335,1,AI$1),ZeroCompFreq,'PDH Calc'!$K335/365)</f>
        <v>1</v>
      </c>
      <c r="AJ335" s="8">
        <f ca="1">_xll.HLV5r3.Analytics.Miscellaneous.Zero2DF(_xll.HLV5r3.Analytics.Miscellaneous.LinearInterp(Peturbed_QZ,$K335,1,AJ$1),ZeroCompFreq,'PDH Calc'!$K335/365)</f>
        <v>1</v>
      </c>
      <c r="AK335" s="8">
        <f ca="1">_xll.HLV5r3.Analytics.Miscellaneous.Zero2DF(_xll.HLV5r3.Analytics.Miscellaneous.LinearInterp(Peturbed_QZ,$K335,1,AK$1),ZeroCompFreq,'PDH Calc'!$K335/365)</f>
        <v>1</v>
      </c>
    </row>
    <row r="336" spans="1:37">
      <c r="A336" s="4"/>
      <c r="B336" s="6"/>
      <c r="F336" s="11"/>
      <c r="G336" s="6"/>
      <c r="H336" s="20"/>
      <c r="I336" s="21"/>
      <c r="J336" s="26"/>
      <c r="K336" s="6">
        <f t="shared" ca="1" si="11"/>
        <v>0</v>
      </c>
      <c r="L336" s="8">
        <f ca="1">_xll.HLV5r3.Analytics.Miscellaneous.Zero2DF(_xll.HLV5r3.Analytics.Miscellaneous.LinearInterp(Peturbed_QZ,$K336,1,L$1),ZeroCompFreq,'PDH Calc'!$K336/365)</f>
        <v>1</v>
      </c>
      <c r="M336" s="8">
        <f ca="1">_xll.HLV5r3.Analytics.Miscellaneous.Zero2DF(_xll.HLV5r3.Analytics.Miscellaneous.LinearInterp(Peturbed_QZ,$K336,1,M$1),ZeroCompFreq,'PDH Calc'!$K336/365)</f>
        <v>1</v>
      </c>
      <c r="N336" s="8">
        <f ca="1">_xll.HLV5r3.Analytics.Miscellaneous.Zero2DF(_xll.HLV5r3.Analytics.Miscellaneous.LinearInterp(Peturbed_QZ,$K336,1,N$1),ZeroCompFreq,'PDH Calc'!$K336/365)</f>
        <v>1</v>
      </c>
      <c r="O336" s="8">
        <f ca="1">_xll.HLV5r3.Analytics.Miscellaneous.Zero2DF(_xll.HLV5r3.Analytics.Miscellaneous.LinearInterp(Peturbed_QZ,$K336,1,O$1),ZeroCompFreq,'PDH Calc'!$K336/365)</f>
        <v>1</v>
      </c>
      <c r="P336" s="8">
        <f ca="1">_xll.HLV5r3.Analytics.Miscellaneous.Zero2DF(_xll.HLV5r3.Analytics.Miscellaneous.LinearInterp(Peturbed_QZ,$K336,1,P$1),ZeroCompFreq,'PDH Calc'!$K336/365)</f>
        <v>1</v>
      </c>
      <c r="Q336" s="8">
        <f ca="1">_xll.HLV5r3.Analytics.Miscellaneous.Zero2DF(_xll.HLV5r3.Analytics.Miscellaneous.LinearInterp(Peturbed_QZ,$K336,1,Q$1),ZeroCompFreq,'PDH Calc'!$K336/365)</f>
        <v>1</v>
      </c>
      <c r="R336" s="8">
        <f ca="1">_xll.HLV5r3.Analytics.Miscellaneous.Zero2DF(_xll.HLV5r3.Analytics.Miscellaneous.LinearInterp(Peturbed_QZ,$K336,1,R$1),ZeroCompFreq,'PDH Calc'!$K336/365)</f>
        <v>1</v>
      </c>
      <c r="S336" s="8">
        <f ca="1">_xll.HLV5r3.Analytics.Miscellaneous.Zero2DF(_xll.HLV5r3.Analytics.Miscellaneous.LinearInterp(Peturbed_QZ,$K336,1,S$1),ZeroCompFreq,'PDH Calc'!$K336/365)</f>
        <v>1</v>
      </c>
      <c r="T336" s="8">
        <f ca="1">_xll.HLV5r3.Analytics.Miscellaneous.Zero2DF(_xll.HLV5r3.Analytics.Miscellaneous.LinearInterp(Peturbed_QZ,$K336,1,T$1),ZeroCompFreq,'PDH Calc'!$K336/365)</f>
        <v>1</v>
      </c>
      <c r="U336" s="8">
        <f ca="1">_xll.HLV5r3.Analytics.Miscellaneous.Zero2DF(_xll.HLV5r3.Analytics.Miscellaneous.LinearInterp(Peturbed_QZ,$K336,1,U$1),ZeroCompFreq,'PDH Calc'!$K336/365)</f>
        <v>1</v>
      </c>
      <c r="V336" s="8">
        <f ca="1">_xll.HLV5r3.Analytics.Miscellaneous.Zero2DF(_xll.HLV5r3.Analytics.Miscellaneous.LinearInterp(Peturbed_QZ,$K336,1,V$1),ZeroCompFreq,'PDH Calc'!$K336/365)</f>
        <v>1</v>
      </c>
      <c r="W336" s="8">
        <f ca="1">_xll.HLV5r3.Analytics.Miscellaneous.Zero2DF(_xll.HLV5r3.Analytics.Miscellaneous.LinearInterp(Peturbed_QZ,$K336,1,W$1),ZeroCompFreq,'PDH Calc'!$K336/365)</f>
        <v>1</v>
      </c>
      <c r="X336" s="8">
        <f ca="1">_xll.HLV5r3.Analytics.Miscellaneous.Zero2DF(_xll.HLV5r3.Analytics.Miscellaneous.LinearInterp(Peturbed_QZ,$K336,1,X$1),ZeroCompFreq,'PDH Calc'!$K336/365)</f>
        <v>1</v>
      </c>
      <c r="Y336" s="8">
        <f ca="1">_xll.HLV5r3.Analytics.Miscellaneous.Zero2DF(_xll.HLV5r3.Analytics.Miscellaneous.LinearInterp(Peturbed_QZ,$K336,1,Y$1),ZeroCompFreq,'PDH Calc'!$K336/365)</f>
        <v>1</v>
      </c>
      <c r="Z336" s="8">
        <f ca="1">_xll.HLV5r3.Analytics.Miscellaneous.Zero2DF(_xll.HLV5r3.Analytics.Miscellaneous.LinearInterp(Peturbed_QZ,$K336,1,Z$1),ZeroCompFreq,'PDH Calc'!$K336/365)</f>
        <v>1</v>
      </c>
      <c r="AA336" s="8">
        <f ca="1">_xll.HLV5r3.Analytics.Miscellaneous.Zero2DF(_xll.HLV5r3.Analytics.Miscellaneous.LinearInterp(Peturbed_QZ,$K336,1,AA$1),ZeroCompFreq,'PDH Calc'!$K336/365)</f>
        <v>1</v>
      </c>
      <c r="AB336" s="8">
        <f ca="1">_xll.HLV5r3.Analytics.Miscellaneous.Zero2DF(_xll.HLV5r3.Analytics.Miscellaneous.LinearInterp(Peturbed_QZ,$K336,1,AB$1),ZeroCompFreq,'PDH Calc'!$K336/365)</f>
        <v>1</v>
      </c>
      <c r="AC336" s="8">
        <f ca="1">_xll.HLV5r3.Analytics.Miscellaneous.Zero2DF(_xll.HLV5r3.Analytics.Miscellaneous.LinearInterp(Peturbed_QZ,$K336,1,AC$1),ZeroCompFreq,'PDH Calc'!$K336/365)</f>
        <v>1</v>
      </c>
      <c r="AD336" s="8">
        <f ca="1">_xll.HLV5r3.Analytics.Miscellaneous.Zero2DF(_xll.HLV5r3.Analytics.Miscellaneous.LinearInterp(Peturbed_QZ,$K336,1,AD$1),ZeroCompFreq,'PDH Calc'!$K336/365)</f>
        <v>1</v>
      </c>
      <c r="AE336" s="8">
        <f ca="1">_xll.HLV5r3.Analytics.Miscellaneous.Zero2DF(_xll.HLV5r3.Analytics.Miscellaneous.LinearInterp(Peturbed_QZ,$K336,1,AE$1),ZeroCompFreq,'PDH Calc'!$K336/365)</f>
        <v>1</v>
      </c>
      <c r="AF336" s="8">
        <f ca="1">_xll.HLV5r3.Analytics.Miscellaneous.Zero2DF(_xll.HLV5r3.Analytics.Miscellaneous.LinearInterp(Peturbed_QZ,$K336,1,AF$1),ZeroCompFreq,'PDH Calc'!$K336/365)</f>
        <v>1</v>
      </c>
      <c r="AG336" s="8">
        <f ca="1">_xll.HLV5r3.Analytics.Miscellaneous.Zero2DF(_xll.HLV5r3.Analytics.Miscellaneous.LinearInterp(Peturbed_QZ,$K336,1,AG$1),ZeroCompFreq,'PDH Calc'!$K336/365)</f>
        <v>1</v>
      </c>
      <c r="AH336" s="8">
        <f ca="1">_xll.HLV5r3.Analytics.Miscellaneous.Zero2DF(_xll.HLV5r3.Analytics.Miscellaneous.LinearInterp(Peturbed_QZ,$K336,1,AH$1),ZeroCompFreq,'PDH Calc'!$K336/365)</f>
        <v>1</v>
      </c>
      <c r="AI336" s="8">
        <f ca="1">_xll.HLV5r3.Analytics.Miscellaneous.Zero2DF(_xll.HLV5r3.Analytics.Miscellaneous.LinearInterp(Peturbed_QZ,$K336,1,AI$1),ZeroCompFreq,'PDH Calc'!$K336/365)</f>
        <v>1</v>
      </c>
      <c r="AJ336" s="8">
        <f ca="1">_xll.HLV5r3.Analytics.Miscellaneous.Zero2DF(_xll.HLV5r3.Analytics.Miscellaneous.LinearInterp(Peturbed_QZ,$K336,1,AJ$1),ZeroCompFreq,'PDH Calc'!$K336/365)</f>
        <v>1</v>
      </c>
      <c r="AK336" s="8">
        <f ca="1">_xll.HLV5r3.Analytics.Miscellaneous.Zero2DF(_xll.HLV5r3.Analytics.Miscellaneous.LinearInterp(Peturbed_QZ,$K336,1,AK$1),ZeroCompFreq,'PDH Calc'!$K336/365)</f>
        <v>1</v>
      </c>
    </row>
    <row r="337" spans="1:37">
      <c r="A337" s="4"/>
      <c r="B337" s="6"/>
      <c r="F337" s="11"/>
      <c r="G337" s="6"/>
      <c r="H337" s="20"/>
      <c r="I337" s="21"/>
      <c r="J337" s="26"/>
      <c r="K337" s="6">
        <f t="shared" ca="1" si="11"/>
        <v>0</v>
      </c>
      <c r="L337" s="8">
        <f ca="1">_xll.HLV5r3.Analytics.Miscellaneous.Zero2DF(_xll.HLV5r3.Analytics.Miscellaneous.LinearInterp(Peturbed_QZ,$K337,1,L$1),ZeroCompFreq,'PDH Calc'!$K337/365)</f>
        <v>1</v>
      </c>
      <c r="M337" s="8">
        <f ca="1">_xll.HLV5r3.Analytics.Miscellaneous.Zero2DF(_xll.HLV5r3.Analytics.Miscellaneous.LinearInterp(Peturbed_QZ,$K337,1,M$1),ZeroCompFreq,'PDH Calc'!$K337/365)</f>
        <v>1</v>
      </c>
      <c r="N337" s="8">
        <f ca="1">_xll.HLV5r3.Analytics.Miscellaneous.Zero2DF(_xll.HLV5r3.Analytics.Miscellaneous.LinearInterp(Peturbed_QZ,$K337,1,N$1),ZeroCompFreq,'PDH Calc'!$K337/365)</f>
        <v>1</v>
      </c>
      <c r="O337" s="8">
        <f ca="1">_xll.HLV5r3.Analytics.Miscellaneous.Zero2DF(_xll.HLV5r3.Analytics.Miscellaneous.LinearInterp(Peturbed_QZ,$K337,1,O$1),ZeroCompFreq,'PDH Calc'!$K337/365)</f>
        <v>1</v>
      </c>
      <c r="P337" s="8">
        <f ca="1">_xll.HLV5r3.Analytics.Miscellaneous.Zero2DF(_xll.HLV5r3.Analytics.Miscellaneous.LinearInterp(Peturbed_QZ,$K337,1,P$1),ZeroCompFreq,'PDH Calc'!$K337/365)</f>
        <v>1</v>
      </c>
      <c r="Q337" s="8">
        <f ca="1">_xll.HLV5r3.Analytics.Miscellaneous.Zero2DF(_xll.HLV5r3.Analytics.Miscellaneous.LinearInterp(Peturbed_QZ,$K337,1,Q$1),ZeroCompFreq,'PDH Calc'!$K337/365)</f>
        <v>1</v>
      </c>
      <c r="R337" s="8">
        <f ca="1">_xll.HLV5r3.Analytics.Miscellaneous.Zero2DF(_xll.HLV5r3.Analytics.Miscellaneous.LinearInterp(Peturbed_QZ,$K337,1,R$1),ZeroCompFreq,'PDH Calc'!$K337/365)</f>
        <v>1</v>
      </c>
      <c r="S337" s="8">
        <f ca="1">_xll.HLV5r3.Analytics.Miscellaneous.Zero2DF(_xll.HLV5r3.Analytics.Miscellaneous.LinearInterp(Peturbed_QZ,$K337,1,S$1),ZeroCompFreq,'PDH Calc'!$K337/365)</f>
        <v>1</v>
      </c>
      <c r="T337" s="8">
        <f ca="1">_xll.HLV5r3.Analytics.Miscellaneous.Zero2DF(_xll.HLV5r3.Analytics.Miscellaneous.LinearInterp(Peturbed_QZ,$K337,1,T$1),ZeroCompFreq,'PDH Calc'!$K337/365)</f>
        <v>1</v>
      </c>
      <c r="U337" s="8">
        <f ca="1">_xll.HLV5r3.Analytics.Miscellaneous.Zero2DF(_xll.HLV5r3.Analytics.Miscellaneous.LinearInterp(Peturbed_QZ,$K337,1,U$1),ZeroCompFreq,'PDH Calc'!$K337/365)</f>
        <v>1</v>
      </c>
      <c r="V337" s="8">
        <f ca="1">_xll.HLV5r3.Analytics.Miscellaneous.Zero2DF(_xll.HLV5r3.Analytics.Miscellaneous.LinearInterp(Peturbed_QZ,$K337,1,V$1),ZeroCompFreq,'PDH Calc'!$K337/365)</f>
        <v>1</v>
      </c>
      <c r="W337" s="8">
        <f ca="1">_xll.HLV5r3.Analytics.Miscellaneous.Zero2DF(_xll.HLV5r3.Analytics.Miscellaneous.LinearInterp(Peturbed_QZ,$K337,1,W$1),ZeroCompFreq,'PDH Calc'!$K337/365)</f>
        <v>1</v>
      </c>
      <c r="X337" s="8">
        <f ca="1">_xll.HLV5r3.Analytics.Miscellaneous.Zero2DF(_xll.HLV5r3.Analytics.Miscellaneous.LinearInterp(Peturbed_QZ,$K337,1,X$1),ZeroCompFreq,'PDH Calc'!$K337/365)</f>
        <v>1</v>
      </c>
      <c r="Y337" s="8">
        <f ca="1">_xll.HLV5r3.Analytics.Miscellaneous.Zero2DF(_xll.HLV5r3.Analytics.Miscellaneous.LinearInterp(Peturbed_QZ,$K337,1,Y$1),ZeroCompFreq,'PDH Calc'!$K337/365)</f>
        <v>1</v>
      </c>
      <c r="Z337" s="8">
        <f ca="1">_xll.HLV5r3.Analytics.Miscellaneous.Zero2DF(_xll.HLV5r3.Analytics.Miscellaneous.LinearInterp(Peturbed_QZ,$K337,1,Z$1),ZeroCompFreq,'PDH Calc'!$K337/365)</f>
        <v>1</v>
      </c>
      <c r="AA337" s="8">
        <f ca="1">_xll.HLV5r3.Analytics.Miscellaneous.Zero2DF(_xll.HLV5r3.Analytics.Miscellaneous.LinearInterp(Peturbed_QZ,$K337,1,AA$1),ZeroCompFreq,'PDH Calc'!$K337/365)</f>
        <v>1</v>
      </c>
      <c r="AB337" s="8">
        <f ca="1">_xll.HLV5r3.Analytics.Miscellaneous.Zero2DF(_xll.HLV5r3.Analytics.Miscellaneous.LinearInterp(Peturbed_QZ,$K337,1,AB$1),ZeroCompFreq,'PDH Calc'!$K337/365)</f>
        <v>1</v>
      </c>
      <c r="AC337" s="8">
        <f ca="1">_xll.HLV5r3.Analytics.Miscellaneous.Zero2DF(_xll.HLV5r3.Analytics.Miscellaneous.LinearInterp(Peturbed_QZ,$K337,1,AC$1),ZeroCompFreq,'PDH Calc'!$K337/365)</f>
        <v>1</v>
      </c>
      <c r="AD337" s="8">
        <f ca="1">_xll.HLV5r3.Analytics.Miscellaneous.Zero2DF(_xll.HLV5r3.Analytics.Miscellaneous.LinearInterp(Peturbed_QZ,$K337,1,AD$1),ZeroCompFreq,'PDH Calc'!$K337/365)</f>
        <v>1</v>
      </c>
      <c r="AE337" s="8">
        <f ca="1">_xll.HLV5r3.Analytics.Miscellaneous.Zero2DF(_xll.HLV5r3.Analytics.Miscellaneous.LinearInterp(Peturbed_QZ,$K337,1,AE$1),ZeroCompFreq,'PDH Calc'!$K337/365)</f>
        <v>1</v>
      </c>
      <c r="AF337" s="8">
        <f ca="1">_xll.HLV5r3.Analytics.Miscellaneous.Zero2DF(_xll.HLV5r3.Analytics.Miscellaneous.LinearInterp(Peturbed_QZ,$K337,1,AF$1),ZeroCompFreq,'PDH Calc'!$K337/365)</f>
        <v>1</v>
      </c>
      <c r="AG337" s="8">
        <f ca="1">_xll.HLV5r3.Analytics.Miscellaneous.Zero2DF(_xll.HLV5r3.Analytics.Miscellaneous.LinearInterp(Peturbed_QZ,$K337,1,AG$1),ZeroCompFreq,'PDH Calc'!$K337/365)</f>
        <v>1</v>
      </c>
      <c r="AH337" s="8">
        <f ca="1">_xll.HLV5r3.Analytics.Miscellaneous.Zero2DF(_xll.HLV5r3.Analytics.Miscellaneous.LinearInterp(Peturbed_QZ,$K337,1,AH$1),ZeroCompFreq,'PDH Calc'!$K337/365)</f>
        <v>1</v>
      </c>
      <c r="AI337" s="8">
        <f ca="1">_xll.HLV5r3.Analytics.Miscellaneous.Zero2DF(_xll.HLV5r3.Analytics.Miscellaneous.LinearInterp(Peturbed_QZ,$K337,1,AI$1),ZeroCompFreq,'PDH Calc'!$K337/365)</f>
        <v>1</v>
      </c>
      <c r="AJ337" s="8">
        <f ca="1">_xll.HLV5r3.Analytics.Miscellaneous.Zero2DF(_xll.HLV5r3.Analytics.Miscellaneous.LinearInterp(Peturbed_QZ,$K337,1,AJ$1),ZeroCompFreq,'PDH Calc'!$K337/365)</f>
        <v>1</v>
      </c>
      <c r="AK337" s="8">
        <f ca="1">_xll.HLV5r3.Analytics.Miscellaneous.Zero2DF(_xll.HLV5r3.Analytics.Miscellaneous.LinearInterp(Peturbed_QZ,$K337,1,AK$1),ZeroCompFreq,'PDH Calc'!$K337/365)</f>
        <v>1</v>
      </c>
    </row>
    <row r="338" spans="1:37">
      <c r="A338" s="4"/>
      <c r="B338" s="6"/>
      <c r="F338" s="11"/>
      <c r="G338" s="6"/>
      <c r="H338" s="20"/>
      <c r="I338" s="21"/>
      <c r="J338" s="26"/>
      <c r="K338" s="6">
        <f t="shared" ca="1" si="11"/>
        <v>0</v>
      </c>
      <c r="L338" s="8">
        <f ca="1">_xll.HLV5r3.Analytics.Miscellaneous.Zero2DF(_xll.HLV5r3.Analytics.Miscellaneous.LinearInterp(Peturbed_QZ,$K338,1,L$1),ZeroCompFreq,'PDH Calc'!$K338/365)</f>
        <v>1</v>
      </c>
      <c r="M338" s="8">
        <f ca="1">_xll.HLV5r3.Analytics.Miscellaneous.Zero2DF(_xll.HLV5r3.Analytics.Miscellaneous.LinearInterp(Peturbed_QZ,$K338,1,M$1),ZeroCompFreq,'PDH Calc'!$K338/365)</f>
        <v>1</v>
      </c>
      <c r="N338" s="8">
        <f ca="1">_xll.HLV5r3.Analytics.Miscellaneous.Zero2DF(_xll.HLV5r3.Analytics.Miscellaneous.LinearInterp(Peturbed_QZ,$K338,1,N$1),ZeroCompFreq,'PDH Calc'!$K338/365)</f>
        <v>1</v>
      </c>
      <c r="O338" s="8">
        <f ca="1">_xll.HLV5r3.Analytics.Miscellaneous.Zero2DF(_xll.HLV5r3.Analytics.Miscellaneous.LinearInterp(Peturbed_QZ,$K338,1,O$1),ZeroCompFreq,'PDH Calc'!$K338/365)</f>
        <v>1</v>
      </c>
      <c r="P338" s="8">
        <f ca="1">_xll.HLV5r3.Analytics.Miscellaneous.Zero2DF(_xll.HLV5r3.Analytics.Miscellaneous.LinearInterp(Peturbed_QZ,$K338,1,P$1),ZeroCompFreq,'PDH Calc'!$K338/365)</f>
        <v>1</v>
      </c>
      <c r="Q338" s="8">
        <f ca="1">_xll.HLV5r3.Analytics.Miscellaneous.Zero2DF(_xll.HLV5r3.Analytics.Miscellaneous.LinearInterp(Peturbed_QZ,$K338,1,Q$1),ZeroCompFreq,'PDH Calc'!$K338/365)</f>
        <v>1</v>
      </c>
      <c r="R338" s="8">
        <f ca="1">_xll.HLV5r3.Analytics.Miscellaneous.Zero2DF(_xll.HLV5r3.Analytics.Miscellaneous.LinearInterp(Peturbed_QZ,$K338,1,R$1),ZeroCompFreq,'PDH Calc'!$K338/365)</f>
        <v>1</v>
      </c>
      <c r="S338" s="8">
        <f ca="1">_xll.HLV5r3.Analytics.Miscellaneous.Zero2DF(_xll.HLV5r3.Analytics.Miscellaneous.LinearInterp(Peturbed_QZ,$K338,1,S$1),ZeroCompFreq,'PDH Calc'!$K338/365)</f>
        <v>1</v>
      </c>
      <c r="T338" s="8">
        <f ca="1">_xll.HLV5r3.Analytics.Miscellaneous.Zero2DF(_xll.HLV5r3.Analytics.Miscellaneous.LinearInterp(Peturbed_QZ,$K338,1,T$1),ZeroCompFreq,'PDH Calc'!$K338/365)</f>
        <v>1</v>
      </c>
      <c r="U338" s="8">
        <f ca="1">_xll.HLV5r3.Analytics.Miscellaneous.Zero2DF(_xll.HLV5r3.Analytics.Miscellaneous.LinearInterp(Peturbed_QZ,$K338,1,U$1),ZeroCompFreq,'PDH Calc'!$K338/365)</f>
        <v>1</v>
      </c>
      <c r="V338" s="8">
        <f ca="1">_xll.HLV5r3.Analytics.Miscellaneous.Zero2DF(_xll.HLV5r3.Analytics.Miscellaneous.LinearInterp(Peturbed_QZ,$K338,1,V$1),ZeroCompFreq,'PDH Calc'!$K338/365)</f>
        <v>1</v>
      </c>
      <c r="W338" s="8">
        <f ca="1">_xll.HLV5r3.Analytics.Miscellaneous.Zero2DF(_xll.HLV5r3.Analytics.Miscellaneous.LinearInterp(Peturbed_QZ,$K338,1,W$1),ZeroCompFreq,'PDH Calc'!$K338/365)</f>
        <v>1</v>
      </c>
      <c r="X338" s="8">
        <f ca="1">_xll.HLV5r3.Analytics.Miscellaneous.Zero2DF(_xll.HLV5r3.Analytics.Miscellaneous.LinearInterp(Peturbed_QZ,$K338,1,X$1),ZeroCompFreq,'PDH Calc'!$K338/365)</f>
        <v>1</v>
      </c>
      <c r="Y338" s="8">
        <f ca="1">_xll.HLV5r3.Analytics.Miscellaneous.Zero2DF(_xll.HLV5r3.Analytics.Miscellaneous.LinearInterp(Peturbed_QZ,$K338,1,Y$1),ZeroCompFreq,'PDH Calc'!$K338/365)</f>
        <v>1</v>
      </c>
      <c r="Z338" s="8">
        <f ca="1">_xll.HLV5r3.Analytics.Miscellaneous.Zero2DF(_xll.HLV5r3.Analytics.Miscellaneous.LinearInterp(Peturbed_QZ,$K338,1,Z$1),ZeroCompFreq,'PDH Calc'!$K338/365)</f>
        <v>1</v>
      </c>
      <c r="AA338" s="8">
        <f ca="1">_xll.HLV5r3.Analytics.Miscellaneous.Zero2DF(_xll.HLV5r3.Analytics.Miscellaneous.LinearInterp(Peturbed_QZ,$K338,1,AA$1),ZeroCompFreq,'PDH Calc'!$K338/365)</f>
        <v>1</v>
      </c>
      <c r="AB338" s="8">
        <f ca="1">_xll.HLV5r3.Analytics.Miscellaneous.Zero2DF(_xll.HLV5r3.Analytics.Miscellaneous.LinearInterp(Peturbed_QZ,$K338,1,AB$1),ZeroCompFreq,'PDH Calc'!$K338/365)</f>
        <v>1</v>
      </c>
      <c r="AC338" s="8">
        <f ca="1">_xll.HLV5r3.Analytics.Miscellaneous.Zero2DF(_xll.HLV5r3.Analytics.Miscellaneous.LinearInterp(Peturbed_QZ,$K338,1,AC$1),ZeroCompFreq,'PDH Calc'!$K338/365)</f>
        <v>1</v>
      </c>
      <c r="AD338" s="8">
        <f ca="1">_xll.HLV5r3.Analytics.Miscellaneous.Zero2DF(_xll.HLV5r3.Analytics.Miscellaneous.LinearInterp(Peturbed_QZ,$K338,1,AD$1),ZeroCompFreq,'PDH Calc'!$K338/365)</f>
        <v>1</v>
      </c>
      <c r="AE338" s="8">
        <f ca="1">_xll.HLV5r3.Analytics.Miscellaneous.Zero2DF(_xll.HLV5r3.Analytics.Miscellaneous.LinearInterp(Peturbed_QZ,$K338,1,AE$1),ZeroCompFreq,'PDH Calc'!$K338/365)</f>
        <v>1</v>
      </c>
      <c r="AF338" s="8">
        <f ca="1">_xll.HLV5r3.Analytics.Miscellaneous.Zero2DF(_xll.HLV5r3.Analytics.Miscellaneous.LinearInterp(Peturbed_QZ,$K338,1,AF$1),ZeroCompFreq,'PDH Calc'!$K338/365)</f>
        <v>1</v>
      </c>
      <c r="AG338" s="8">
        <f ca="1">_xll.HLV5r3.Analytics.Miscellaneous.Zero2DF(_xll.HLV5r3.Analytics.Miscellaneous.LinearInterp(Peturbed_QZ,$K338,1,AG$1),ZeroCompFreq,'PDH Calc'!$K338/365)</f>
        <v>1</v>
      </c>
      <c r="AH338" s="8">
        <f ca="1">_xll.HLV5r3.Analytics.Miscellaneous.Zero2DF(_xll.HLV5r3.Analytics.Miscellaneous.LinearInterp(Peturbed_QZ,$K338,1,AH$1),ZeroCompFreq,'PDH Calc'!$K338/365)</f>
        <v>1</v>
      </c>
      <c r="AI338" s="8">
        <f ca="1">_xll.HLV5r3.Analytics.Miscellaneous.Zero2DF(_xll.HLV5r3.Analytics.Miscellaneous.LinearInterp(Peturbed_QZ,$K338,1,AI$1),ZeroCompFreq,'PDH Calc'!$K338/365)</f>
        <v>1</v>
      </c>
      <c r="AJ338" s="8">
        <f ca="1">_xll.HLV5r3.Analytics.Miscellaneous.Zero2DF(_xll.HLV5r3.Analytics.Miscellaneous.LinearInterp(Peturbed_QZ,$K338,1,AJ$1),ZeroCompFreq,'PDH Calc'!$K338/365)</f>
        <v>1</v>
      </c>
      <c r="AK338" s="8">
        <f ca="1">_xll.HLV5r3.Analytics.Miscellaneous.Zero2DF(_xll.HLV5r3.Analytics.Miscellaneous.LinearInterp(Peturbed_QZ,$K338,1,AK$1),ZeroCompFreq,'PDH Calc'!$K338/365)</f>
        <v>1</v>
      </c>
    </row>
    <row r="339" spans="1:37">
      <c r="A339" s="4"/>
      <c r="B339" s="6"/>
      <c r="F339" s="11"/>
      <c r="G339" s="6"/>
      <c r="H339" s="20"/>
      <c r="I339" s="21"/>
      <c r="J339" s="26"/>
      <c r="K339" s="6">
        <f t="shared" ca="1" si="11"/>
        <v>0</v>
      </c>
      <c r="L339" s="8">
        <f ca="1">_xll.HLV5r3.Analytics.Miscellaneous.Zero2DF(_xll.HLV5r3.Analytics.Miscellaneous.LinearInterp(Peturbed_QZ,$K339,1,L$1),ZeroCompFreq,'PDH Calc'!$K339/365)</f>
        <v>1</v>
      </c>
      <c r="M339" s="8">
        <f ca="1">_xll.HLV5r3.Analytics.Miscellaneous.Zero2DF(_xll.HLV5r3.Analytics.Miscellaneous.LinearInterp(Peturbed_QZ,$K339,1,M$1),ZeroCompFreq,'PDH Calc'!$K339/365)</f>
        <v>1</v>
      </c>
      <c r="N339" s="8">
        <f ca="1">_xll.HLV5r3.Analytics.Miscellaneous.Zero2DF(_xll.HLV5r3.Analytics.Miscellaneous.LinearInterp(Peturbed_QZ,$K339,1,N$1),ZeroCompFreq,'PDH Calc'!$K339/365)</f>
        <v>1</v>
      </c>
      <c r="O339" s="8">
        <f ca="1">_xll.HLV5r3.Analytics.Miscellaneous.Zero2DF(_xll.HLV5r3.Analytics.Miscellaneous.LinearInterp(Peturbed_QZ,$K339,1,O$1),ZeroCompFreq,'PDH Calc'!$K339/365)</f>
        <v>1</v>
      </c>
      <c r="P339" s="8">
        <f ca="1">_xll.HLV5r3.Analytics.Miscellaneous.Zero2DF(_xll.HLV5r3.Analytics.Miscellaneous.LinearInterp(Peturbed_QZ,$K339,1,P$1),ZeroCompFreq,'PDH Calc'!$K339/365)</f>
        <v>1</v>
      </c>
      <c r="Q339" s="8">
        <f ca="1">_xll.HLV5r3.Analytics.Miscellaneous.Zero2DF(_xll.HLV5r3.Analytics.Miscellaneous.LinearInterp(Peturbed_QZ,$K339,1,Q$1),ZeroCompFreq,'PDH Calc'!$K339/365)</f>
        <v>1</v>
      </c>
      <c r="R339" s="8">
        <f ca="1">_xll.HLV5r3.Analytics.Miscellaneous.Zero2DF(_xll.HLV5r3.Analytics.Miscellaneous.LinearInterp(Peturbed_QZ,$K339,1,R$1),ZeroCompFreq,'PDH Calc'!$K339/365)</f>
        <v>1</v>
      </c>
      <c r="S339" s="8">
        <f ca="1">_xll.HLV5r3.Analytics.Miscellaneous.Zero2DF(_xll.HLV5r3.Analytics.Miscellaneous.LinearInterp(Peturbed_QZ,$K339,1,S$1),ZeroCompFreq,'PDH Calc'!$K339/365)</f>
        <v>1</v>
      </c>
      <c r="T339" s="8">
        <f ca="1">_xll.HLV5r3.Analytics.Miscellaneous.Zero2DF(_xll.HLV5r3.Analytics.Miscellaneous.LinearInterp(Peturbed_QZ,$K339,1,T$1),ZeroCompFreq,'PDH Calc'!$K339/365)</f>
        <v>1</v>
      </c>
      <c r="U339" s="8">
        <f ca="1">_xll.HLV5r3.Analytics.Miscellaneous.Zero2DF(_xll.HLV5r3.Analytics.Miscellaneous.LinearInterp(Peturbed_QZ,$K339,1,U$1),ZeroCompFreq,'PDH Calc'!$K339/365)</f>
        <v>1</v>
      </c>
      <c r="V339" s="8">
        <f ca="1">_xll.HLV5r3.Analytics.Miscellaneous.Zero2DF(_xll.HLV5r3.Analytics.Miscellaneous.LinearInterp(Peturbed_QZ,$K339,1,V$1),ZeroCompFreq,'PDH Calc'!$K339/365)</f>
        <v>1</v>
      </c>
      <c r="W339" s="8">
        <f ca="1">_xll.HLV5r3.Analytics.Miscellaneous.Zero2DF(_xll.HLV5r3.Analytics.Miscellaneous.LinearInterp(Peturbed_QZ,$K339,1,W$1),ZeroCompFreq,'PDH Calc'!$K339/365)</f>
        <v>1</v>
      </c>
      <c r="X339" s="8">
        <f ca="1">_xll.HLV5r3.Analytics.Miscellaneous.Zero2DF(_xll.HLV5r3.Analytics.Miscellaneous.LinearInterp(Peturbed_QZ,$K339,1,X$1),ZeroCompFreq,'PDH Calc'!$K339/365)</f>
        <v>1</v>
      </c>
      <c r="Y339" s="8">
        <f ca="1">_xll.HLV5r3.Analytics.Miscellaneous.Zero2DF(_xll.HLV5r3.Analytics.Miscellaneous.LinearInterp(Peturbed_QZ,$K339,1,Y$1),ZeroCompFreq,'PDH Calc'!$K339/365)</f>
        <v>1</v>
      </c>
      <c r="Z339" s="8">
        <f ca="1">_xll.HLV5r3.Analytics.Miscellaneous.Zero2DF(_xll.HLV5r3.Analytics.Miscellaneous.LinearInterp(Peturbed_QZ,$K339,1,Z$1),ZeroCompFreq,'PDH Calc'!$K339/365)</f>
        <v>1</v>
      </c>
      <c r="AA339" s="8">
        <f ca="1">_xll.HLV5r3.Analytics.Miscellaneous.Zero2DF(_xll.HLV5r3.Analytics.Miscellaneous.LinearInterp(Peturbed_QZ,$K339,1,AA$1),ZeroCompFreq,'PDH Calc'!$K339/365)</f>
        <v>1</v>
      </c>
      <c r="AB339" s="8">
        <f ca="1">_xll.HLV5r3.Analytics.Miscellaneous.Zero2DF(_xll.HLV5r3.Analytics.Miscellaneous.LinearInterp(Peturbed_QZ,$K339,1,AB$1),ZeroCompFreq,'PDH Calc'!$K339/365)</f>
        <v>1</v>
      </c>
      <c r="AC339" s="8">
        <f ca="1">_xll.HLV5r3.Analytics.Miscellaneous.Zero2DF(_xll.HLV5r3.Analytics.Miscellaneous.LinearInterp(Peturbed_QZ,$K339,1,AC$1),ZeroCompFreq,'PDH Calc'!$K339/365)</f>
        <v>1</v>
      </c>
      <c r="AD339" s="8">
        <f ca="1">_xll.HLV5r3.Analytics.Miscellaneous.Zero2DF(_xll.HLV5r3.Analytics.Miscellaneous.LinearInterp(Peturbed_QZ,$K339,1,AD$1),ZeroCompFreq,'PDH Calc'!$K339/365)</f>
        <v>1</v>
      </c>
      <c r="AE339" s="8">
        <f ca="1">_xll.HLV5r3.Analytics.Miscellaneous.Zero2DF(_xll.HLV5r3.Analytics.Miscellaneous.LinearInterp(Peturbed_QZ,$K339,1,AE$1),ZeroCompFreq,'PDH Calc'!$K339/365)</f>
        <v>1</v>
      </c>
      <c r="AF339" s="8">
        <f ca="1">_xll.HLV5r3.Analytics.Miscellaneous.Zero2DF(_xll.HLV5r3.Analytics.Miscellaneous.LinearInterp(Peturbed_QZ,$K339,1,AF$1),ZeroCompFreq,'PDH Calc'!$K339/365)</f>
        <v>1</v>
      </c>
      <c r="AG339" s="8">
        <f ca="1">_xll.HLV5r3.Analytics.Miscellaneous.Zero2DF(_xll.HLV5r3.Analytics.Miscellaneous.LinearInterp(Peturbed_QZ,$K339,1,AG$1),ZeroCompFreq,'PDH Calc'!$K339/365)</f>
        <v>1</v>
      </c>
      <c r="AH339" s="8">
        <f ca="1">_xll.HLV5r3.Analytics.Miscellaneous.Zero2DF(_xll.HLV5r3.Analytics.Miscellaneous.LinearInterp(Peturbed_QZ,$K339,1,AH$1),ZeroCompFreq,'PDH Calc'!$K339/365)</f>
        <v>1</v>
      </c>
      <c r="AI339" s="8">
        <f ca="1">_xll.HLV5r3.Analytics.Miscellaneous.Zero2DF(_xll.HLV5r3.Analytics.Miscellaneous.LinearInterp(Peturbed_QZ,$K339,1,AI$1),ZeroCompFreq,'PDH Calc'!$K339/365)</f>
        <v>1</v>
      </c>
      <c r="AJ339" s="8">
        <f ca="1">_xll.HLV5r3.Analytics.Miscellaneous.Zero2DF(_xll.HLV5r3.Analytics.Miscellaneous.LinearInterp(Peturbed_QZ,$K339,1,AJ$1),ZeroCompFreq,'PDH Calc'!$K339/365)</f>
        <v>1</v>
      </c>
      <c r="AK339" s="8">
        <f ca="1">_xll.HLV5r3.Analytics.Miscellaneous.Zero2DF(_xll.HLV5r3.Analytics.Miscellaneous.LinearInterp(Peturbed_QZ,$K339,1,AK$1),ZeroCompFreq,'PDH Calc'!$K339/365)</f>
        <v>1</v>
      </c>
    </row>
    <row r="340" spans="1:37">
      <c r="A340" s="4"/>
      <c r="B340" s="6"/>
      <c r="F340" s="11"/>
      <c r="G340" s="6"/>
      <c r="H340" s="20"/>
      <c r="I340" s="21"/>
      <c r="J340" s="26"/>
      <c r="K340" s="6">
        <f t="shared" ca="1" si="11"/>
        <v>0</v>
      </c>
      <c r="L340" s="8">
        <f ca="1">_xll.HLV5r3.Analytics.Miscellaneous.Zero2DF(_xll.HLV5r3.Analytics.Miscellaneous.LinearInterp(Peturbed_QZ,$K340,1,L$1),ZeroCompFreq,'PDH Calc'!$K340/365)</f>
        <v>1</v>
      </c>
      <c r="M340" s="8">
        <f ca="1">_xll.HLV5r3.Analytics.Miscellaneous.Zero2DF(_xll.HLV5r3.Analytics.Miscellaneous.LinearInterp(Peturbed_QZ,$K340,1,M$1),ZeroCompFreq,'PDH Calc'!$K340/365)</f>
        <v>1</v>
      </c>
      <c r="N340" s="8">
        <f ca="1">_xll.HLV5r3.Analytics.Miscellaneous.Zero2DF(_xll.HLV5r3.Analytics.Miscellaneous.LinearInterp(Peturbed_QZ,$K340,1,N$1),ZeroCompFreq,'PDH Calc'!$K340/365)</f>
        <v>1</v>
      </c>
      <c r="O340" s="8">
        <f ca="1">_xll.HLV5r3.Analytics.Miscellaneous.Zero2DF(_xll.HLV5r3.Analytics.Miscellaneous.LinearInterp(Peturbed_QZ,$K340,1,O$1),ZeroCompFreq,'PDH Calc'!$K340/365)</f>
        <v>1</v>
      </c>
      <c r="P340" s="8">
        <f ca="1">_xll.HLV5r3.Analytics.Miscellaneous.Zero2DF(_xll.HLV5r3.Analytics.Miscellaneous.LinearInterp(Peturbed_QZ,$K340,1,P$1),ZeroCompFreq,'PDH Calc'!$K340/365)</f>
        <v>1</v>
      </c>
      <c r="Q340" s="8">
        <f ca="1">_xll.HLV5r3.Analytics.Miscellaneous.Zero2DF(_xll.HLV5r3.Analytics.Miscellaneous.LinearInterp(Peturbed_QZ,$K340,1,Q$1),ZeroCompFreq,'PDH Calc'!$K340/365)</f>
        <v>1</v>
      </c>
      <c r="R340" s="8">
        <f ca="1">_xll.HLV5r3.Analytics.Miscellaneous.Zero2DF(_xll.HLV5r3.Analytics.Miscellaneous.LinearInterp(Peturbed_QZ,$K340,1,R$1),ZeroCompFreq,'PDH Calc'!$K340/365)</f>
        <v>1</v>
      </c>
      <c r="S340" s="8">
        <f ca="1">_xll.HLV5r3.Analytics.Miscellaneous.Zero2DF(_xll.HLV5r3.Analytics.Miscellaneous.LinearInterp(Peturbed_QZ,$K340,1,S$1),ZeroCompFreq,'PDH Calc'!$K340/365)</f>
        <v>1</v>
      </c>
      <c r="T340" s="8">
        <f ca="1">_xll.HLV5r3.Analytics.Miscellaneous.Zero2DF(_xll.HLV5r3.Analytics.Miscellaneous.LinearInterp(Peturbed_QZ,$K340,1,T$1),ZeroCompFreq,'PDH Calc'!$K340/365)</f>
        <v>1</v>
      </c>
      <c r="U340" s="8">
        <f ca="1">_xll.HLV5r3.Analytics.Miscellaneous.Zero2DF(_xll.HLV5r3.Analytics.Miscellaneous.LinearInterp(Peturbed_QZ,$K340,1,U$1),ZeroCompFreq,'PDH Calc'!$K340/365)</f>
        <v>1</v>
      </c>
      <c r="V340" s="8">
        <f ca="1">_xll.HLV5r3.Analytics.Miscellaneous.Zero2DF(_xll.HLV5r3.Analytics.Miscellaneous.LinearInterp(Peturbed_QZ,$K340,1,V$1),ZeroCompFreq,'PDH Calc'!$K340/365)</f>
        <v>1</v>
      </c>
      <c r="W340" s="8">
        <f ca="1">_xll.HLV5r3.Analytics.Miscellaneous.Zero2DF(_xll.HLV5r3.Analytics.Miscellaneous.LinearInterp(Peturbed_QZ,$K340,1,W$1),ZeroCompFreq,'PDH Calc'!$K340/365)</f>
        <v>1</v>
      </c>
      <c r="X340" s="8">
        <f ca="1">_xll.HLV5r3.Analytics.Miscellaneous.Zero2DF(_xll.HLV5r3.Analytics.Miscellaneous.LinearInterp(Peturbed_QZ,$K340,1,X$1),ZeroCompFreq,'PDH Calc'!$K340/365)</f>
        <v>1</v>
      </c>
      <c r="Y340" s="8">
        <f ca="1">_xll.HLV5r3.Analytics.Miscellaneous.Zero2DF(_xll.HLV5r3.Analytics.Miscellaneous.LinearInterp(Peturbed_QZ,$K340,1,Y$1),ZeroCompFreq,'PDH Calc'!$K340/365)</f>
        <v>1</v>
      </c>
      <c r="Z340" s="8">
        <f ca="1">_xll.HLV5r3.Analytics.Miscellaneous.Zero2DF(_xll.HLV5r3.Analytics.Miscellaneous.LinearInterp(Peturbed_QZ,$K340,1,Z$1),ZeroCompFreq,'PDH Calc'!$K340/365)</f>
        <v>1</v>
      </c>
      <c r="AA340" s="8">
        <f ca="1">_xll.HLV5r3.Analytics.Miscellaneous.Zero2DF(_xll.HLV5r3.Analytics.Miscellaneous.LinearInterp(Peturbed_QZ,$K340,1,AA$1),ZeroCompFreq,'PDH Calc'!$K340/365)</f>
        <v>1</v>
      </c>
      <c r="AB340" s="8">
        <f ca="1">_xll.HLV5r3.Analytics.Miscellaneous.Zero2DF(_xll.HLV5r3.Analytics.Miscellaneous.LinearInterp(Peturbed_QZ,$K340,1,AB$1),ZeroCompFreq,'PDH Calc'!$K340/365)</f>
        <v>1</v>
      </c>
      <c r="AC340" s="8">
        <f ca="1">_xll.HLV5r3.Analytics.Miscellaneous.Zero2DF(_xll.HLV5r3.Analytics.Miscellaneous.LinearInterp(Peturbed_QZ,$K340,1,AC$1),ZeroCompFreq,'PDH Calc'!$K340/365)</f>
        <v>1</v>
      </c>
      <c r="AD340" s="8">
        <f ca="1">_xll.HLV5r3.Analytics.Miscellaneous.Zero2DF(_xll.HLV5r3.Analytics.Miscellaneous.LinearInterp(Peturbed_QZ,$K340,1,AD$1),ZeroCompFreq,'PDH Calc'!$K340/365)</f>
        <v>1</v>
      </c>
      <c r="AE340" s="8">
        <f ca="1">_xll.HLV5r3.Analytics.Miscellaneous.Zero2DF(_xll.HLV5r3.Analytics.Miscellaneous.LinearInterp(Peturbed_QZ,$K340,1,AE$1),ZeroCompFreq,'PDH Calc'!$K340/365)</f>
        <v>1</v>
      </c>
      <c r="AF340" s="8">
        <f ca="1">_xll.HLV5r3.Analytics.Miscellaneous.Zero2DF(_xll.HLV5r3.Analytics.Miscellaneous.LinearInterp(Peturbed_QZ,$K340,1,AF$1),ZeroCompFreq,'PDH Calc'!$K340/365)</f>
        <v>1</v>
      </c>
      <c r="AG340" s="8">
        <f ca="1">_xll.HLV5r3.Analytics.Miscellaneous.Zero2DF(_xll.HLV5r3.Analytics.Miscellaneous.LinearInterp(Peturbed_QZ,$K340,1,AG$1),ZeroCompFreq,'PDH Calc'!$K340/365)</f>
        <v>1</v>
      </c>
      <c r="AH340" s="8">
        <f ca="1">_xll.HLV5r3.Analytics.Miscellaneous.Zero2DF(_xll.HLV5r3.Analytics.Miscellaneous.LinearInterp(Peturbed_QZ,$K340,1,AH$1),ZeroCompFreq,'PDH Calc'!$K340/365)</f>
        <v>1</v>
      </c>
      <c r="AI340" s="8">
        <f ca="1">_xll.HLV5r3.Analytics.Miscellaneous.Zero2DF(_xll.HLV5r3.Analytics.Miscellaneous.LinearInterp(Peturbed_QZ,$K340,1,AI$1),ZeroCompFreq,'PDH Calc'!$K340/365)</f>
        <v>1</v>
      </c>
      <c r="AJ340" s="8">
        <f ca="1">_xll.HLV5r3.Analytics.Miscellaneous.Zero2DF(_xll.HLV5r3.Analytics.Miscellaneous.LinearInterp(Peturbed_QZ,$K340,1,AJ$1),ZeroCompFreq,'PDH Calc'!$K340/365)</f>
        <v>1</v>
      </c>
      <c r="AK340" s="8">
        <f ca="1">_xll.HLV5r3.Analytics.Miscellaneous.Zero2DF(_xll.HLV5r3.Analytics.Miscellaneous.LinearInterp(Peturbed_QZ,$K340,1,AK$1),ZeroCompFreq,'PDH Calc'!$K340/365)</f>
        <v>1</v>
      </c>
    </row>
    <row r="341" spans="1:37">
      <c r="A341" s="4"/>
      <c r="B341" s="6"/>
      <c r="F341" s="11"/>
      <c r="G341" s="6"/>
      <c r="H341" s="20"/>
      <c r="I341" s="21"/>
      <c r="J341" s="26"/>
      <c r="K341" s="6">
        <f t="shared" ca="1" si="11"/>
        <v>0</v>
      </c>
      <c r="L341" s="8">
        <f ca="1">_xll.HLV5r3.Analytics.Miscellaneous.Zero2DF(_xll.HLV5r3.Analytics.Miscellaneous.LinearInterp(Peturbed_QZ,$K341,1,L$1),ZeroCompFreq,'PDH Calc'!$K341/365)</f>
        <v>1</v>
      </c>
      <c r="M341" s="8">
        <f ca="1">_xll.HLV5r3.Analytics.Miscellaneous.Zero2DF(_xll.HLV5r3.Analytics.Miscellaneous.LinearInterp(Peturbed_QZ,$K341,1,M$1),ZeroCompFreq,'PDH Calc'!$K341/365)</f>
        <v>1</v>
      </c>
      <c r="N341" s="8">
        <f ca="1">_xll.HLV5r3.Analytics.Miscellaneous.Zero2DF(_xll.HLV5r3.Analytics.Miscellaneous.LinearInterp(Peturbed_QZ,$K341,1,N$1),ZeroCompFreq,'PDH Calc'!$K341/365)</f>
        <v>1</v>
      </c>
      <c r="O341" s="8">
        <f ca="1">_xll.HLV5r3.Analytics.Miscellaneous.Zero2DF(_xll.HLV5r3.Analytics.Miscellaneous.LinearInterp(Peturbed_QZ,$K341,1,O$1),ZeroCompFreq,'PDH Calc'!$K341/365)</f>
        <v>1</v>
      </c>
      <c r="P341" s="8">
        <f ca="1">_xll.HLV5r3.Analytics.Miscellaneous.Zero2DF(_xll.HLV5r3.Analytics.Miscellaneous.LinearInterp(Peturbed_QZ,$K341,1,P$1),ZeroCompFreq,'PDH Calc'!$K341/365)</f>
        <v>1</v>
      </c>
      <c r="Q341" s="8">
        <f ca="1">_xll.HLV5r3.Analytics.Miscellaneous.Zero2DF(_xll.HLV5r3.Analytics.Miscellaneous.LinearInterp(Peturbed_QZ,$K341,1,Q$1),ZeroCompFreq,'PDH Calc'!$K341/365)</f>
        <v>1</v>
      </c>
      <c r="R341" s="8">
        <f ca="1">_xll.HLV5r3.Analytics.Miscellaneous.Zero2DF(_xll.HLV5r3.Analytics.Miscellaneous.LinearInterp(Peturbed_QZ,$K341,1,R$1),ZeroCompFreq,'PDH Calc'!$K341/365)</f>
        <v>1</v>
      </c>
      <c r="S341" s="8">
        <f ca="1">_xll.HLV5r3.Analytics.Miscellaneous.Zero2DF(_xll.HLV5r3.Analytics.Miscellaneous.LinearInterp(Peturbed_QZ,$K341,1,S$1),ZeroCompFreq,'PDH Calc'!$K341/365)</f>
        <v>1</v>
      </c>
      <c r="T341" s="8">
        <f ca="1">_xll.HLV5r3.Analytics.Miscellaneous.Zero2DF(_xll.HLV5r3.Analytics.Miscellaneous.LinearInterp(Peturbed_QZ,$K341,1,T$1),ZeroCompFreq,'PDH Calc'!$K341/365)</f>
        <v>1</v>
      </c>
      <c r="U341" s="8">
        <f ca="1">_xll.HLV5r3.Analytics.Miscellaneous.Zero2DF(_xll.HLV5r3.Analytics.Miscellaneous.LinearInterp(Peturbed_QZ,$K341,1,U$1),ZeroCompFreq,'PDH Calc'!$K341/365)</f>
        <v>1</v>
      </c>
      <c r="V341" s="8">
        <f ca="1">_xll.HLV5r3.Analytics.Miscellaneous.Zero2DF(_xll.HLV5r3.Analytics.Miscellaneous.LinearInterp(Peturbed_QZ,$K341,1,V$1),ZeroCompFreq,'PDH Calc'!$K341/365)</f>
        <v>1</v>
      </c>
      <c r="W341" s="8">
        <f ca="1">_xll.HLV5r3.Analytics.Miscellaneous.Zero2DF(_xll.HLV5r3.Analytics.Miscellaneous.LinearInterp(Peturbed_QZ,$K341,1,W$1),ZeroCompFreq,'PDH Calc'!$K341/365)</f>
        <v>1</v>
      </c>
      <c r="X341" s="8">
        <f ca="1">_xll.HLV5r3.Analytics.Miscellaneous.Zero2DF(_xll.HLV5r3.Analytics.Miscellaneous.LinearInterp(Peturbed_QZ,$K341,1,X$1),ZeroCompFreq,'PDH Calc'!$K341/365)</f>
        <v>1</v>
      </c>
      <c r="Y341" s="8">
        <f ca="1">_xll.HLV5r3.Analytics.Miscellaneous.Zero2DF(_xll.HLV5r3.Analytics.Miscellaneous.LinearInterp(Peturbed_QZ,$K341,1,Y$1),ZeroCompFreq,'PDH Calc'!$K341/365)</f>
        <v>1</v>
      </c>
      <c r="Z341" s="8">
        <f ca="1">_xll.HLV5r3.Analytics.Miscellaneous.Zero2DF(_xll.HLV5r3.Analytics.Miscellaneous.LinearInterp(Peturbed_QZ,$K341,1,Z$1),ZeroCompFreq,'PDH Calc'!$K341/365)</f>
        <v>1</v>
      </c>
      <c r="AA341" s="8">
        <f ca="1">_xll.HLV5r3.Analytics.Miscellaneous.Zero2DF(_xll.HLV5r3.Analytics.Miscellaneous.LinearInterp(Peturbed_QZ,$K341,1,AA$1),ZeroCompFreq,'PDH Calc'!$K341/365)</f>
        <v>1</v>
      </c>
      <c r="AB341" s="8">
        <f ca="1">_xll.HLV5r3.Analytics.Miscellaneous.Zero2DF(_xll.HLV5r3.Analytics.Miscellaneous.LinearInterp(Peturbed_QZ,$K341,1,AB$1),ZeroCompFreq,'PDH Calc'!$K341/365)</f>
        <v>1</v>
      </c>
      <c r="AC341" s="8">
        <f ca="1">_xll.HLV5r3.Analytics.Miscellaneous.Zero2DF(_xll.HLV5r3.Analytics.Miscellaneous.LinearInterp(Peturbed_QZ,$K341,1,AC$1),ZeroCompFreq,'PDH Calc'!$K341/365)</f>
        <v>1</v>
      </c>
      <c r="AD341" s="8">
        <f ca="1">_xll.HLV5r3.Analytics.Miscellaneous.Zero2DF(_xll.HLV5r3.Analytics.Miscellaneous.LinearInterp(Peturbed_QZ,$K341,1,AD$1),ZeroCompFreq,'PDH Calc'!$K341/365)</f>
        <v>1</v>
      </c>
      <c r="AE341" s="8">
        <f ca="1">_xll.HLV5r3.Analytics.Miscellaneous.Zero2DF(_xll.HLV5r3.Analytics.Miscellaneous.LinearInterp(Peturbed_QZ,$K341,1,AE$1),ZeroCompFreq,'PDH Calc'!$K341/365)</f>
        <v>1</v>
      </c>
      <c r="AF341" s="8">
        <f ca="1">_xll.HLV5r3.Analytics.Miscellaneous.Zero2DF(_xll.HLV5r3.Analytics.Miscellaneous.LinearInterp(Peturbed_QZ,$K341,1,AF$1),ZeroCompFreq,'PDH Calc'!$K341/365)</f>
        <v>1</v>
      </c>
      <c r="AG341" s="8">
        <f ca="1">_xll.HLV5r3.Analytics.Miscellaneous.Zero2DF(_xll.HLV5r3.Analytics.Miscellaneous.LinearInterp(Peturbed_QZ,$K341,1,AG$1),ZeroCompFreq,'PDH Calc'!$K341/365)</f>
        <v>1</v>
      </c>
      <c r="AH341" s="8">
        <f ca="1">_xll.HLV5r3.Analytics.Miscellaneous.Zero2DF(_xll.HLV5r3.Analytics.Miscellaneous.LinearInterp(Peturbed_QZ,$K341,1,AH$1),ZeroCompFreq,'PDH Calc'!$K341/365)</f>
        <v>1</v>
      </c>
      <c r="AI341" s="8">
        <f ca="1">_xll.HLV5r3.Analytics.Miscellaneous.Zero2DF(_xll.HLV5r3.Analytics.Miscellaneous.LinearInterp(Peturbed_QZ,$K341,1,AI$1),ZeroCompFreq,'PDH Calc'!$K341/365)</f>
        <v>1</v>
      </c>
      <c r="AJ341" s="8">
        <f ca="1">_xll.HLV5r3.Analytics.Miscellaneous.Zero2DF(_xll.HLV5r3.Analytics.Miscellaneous.LinearInterp(Peturbed_QZ,$K341,1,AJ$1),ZeroCompFreq,'PDH Calc'!$K341/365)</f>
        <v>1</v>
      </c>
      <c r="AK341" s="8">
        <f ca="1">_xll.HLV5r3.Analytics.Miscellaneous.Zero2DF(_xll.HLV5r3.Analytics.Miscellaneous.LinearInterp(Peturbed_QZ,$K341,1,AK$1),ZeroCompFreq,'PDH Calc'!$K341/365)</f>
        <v>1</v>
      </c>
    </row>
    <row r="342" spans="1:37">
      <c r="A342" s="4"/>
      <c r="B342" s="6"/>
      <c r="F342" s="11"/>
      <c r="G342" s="6"/>
      <c r="H342" s="20"/>
      <c r="I342" s="21"/>
      <c r="J342" s="26"/>
      <c r="K342" s="6">
        <f t="shared" ca="1" si="11"/>
        <v>0</v>
      </c>
      <c r="L342" s="8">
        <f ca="1">_xll.HLV5r3.Analytics.Miscellaneous.Zero2DF(_xll.HLV5r3.Analytics.Miscellaneous.LinearInterp(Peturbed_QZ,$K342,1,L$1),ZeroCompFreq,'PDH Calc'!$K342/365)</f>
        <v>1</v>
      </c>
      <c r="M342" s="8">
        <f ca="1">_xll.HLV5r3.Analytics.Miscellaneous.Zero2DF(_xll.HLV5r3.Analytics.Miscellaneous.LinearInterp(Peturbed_QZ,$K342,1,M$1),ZeroCompFreq,'PDH Calc'!$K342/365)</f>
        <v>1</v>
      </c>
      <c r="N342" s="8">
        <f ca="1">_xll.HLV5r3.Analytics.Miscellaneous.Zero2DF(_xll.HLV5r3.Analytics.Miscellaneous.LinearInterp(Peturbed_QZ,$K342,1,N$1),ZeroCompFreq,'PDH Calc'!$K342/365)</f>
        <v>1</v>
      </c>
      <c r="O342" s="8">
        <f ca="1">_xll.HLV5r3.Analytics.Miscellaneous.Zero2DF(_xll.HLV5r3.Analytics.Miscellaneous.LinearInterp(Peturbed_QZ,$K342,1,O$1),ZeroCompFreq,'PDH Calc'!$K342/365)</f>
        <v>1</v>
      </c>
      <c r="P342" s="8">
        <f ca="1">_xll.HLV5r3.Analytics.Miscellaneous.Zero2DF(_xll.HLV5r3.Analytics.Miscellaneous.LinearInterp(Peturbed_QZ,$K342,1,P$1),ZeroCompFreq,'PDH Calc'!$K342/365)</f>
        <v>1</v>
      </c>
      <c r="Q342" s="8">
        <f ca="1">_xll.HLV5r3.Analytics.Miscellaneous.Zero2DF(_xll.HLV5r3.Analytics.Miscellaneous.LinearInterp(Peturbed_QZ,$K342,1,Q$1),ZeroCompFreq,'PDH Calc'!$K342/365)</f>
        <v>1</v>
      </c>
      <c r="R342" s="8">
        <f ca="1">_xll.HLV5r3.Analytics.Miscellaneous.Zero2DF(_xll.HLV5r3.Analytics.Miscellaneous.LinearInterp(Peturbed_QZ,$K342,1,R$1),ZeroCompFreq,'PDH Calc'!$K342/365)</f>
        <v>1</v>
      </c>
      <c r="S342" s="8">
        <f ca="1">_xll.HLV5r3.Analytics.Miscellaneous.Zero2DF(_xll.HLV5r3.Analytics.Miscellaneous.LinearInterp(Peturbed_QZ,$K342,1,S$1),ZeroCompFreq,'PDH Calc'!$K342/365)</f>
        <v>1</v>
      </c>
      <c r="T342" s="8">
        <f ca="1">_xll.HLV5r3.Analytics.Miscellaneous.Zero2DF(_xll.HLV5r3.Analytics.Miscellaneous.LinearInterp(Peturbed_QZ,$K342,1,T$1),ZeroCompFreq,'PDH Calc'!$K342/365)</f>
        <v>1</v>
      </c>
      <c r="U342" s="8">
        <f ca="1">_xll.HLV5r3.Analytics.Miscellaneous.Zero2DF(_xll.HLV5r3.Analytics.Miscellaneous.LinearInterp(Peturbed_QZ,$K342,1,U$1),ZeroCompFreq,'PDH Calc'!$K342/365)</f>
        <v>1</v>
      </c>
      <c r="V342" s="8">
        <f ca="1">_xll.HLV5r3.Analytics.Miscellaneous.Zero2DF(_xll.HLV5r3.Analytics.Miscellaneous.LinearInterp(Peturbed_QZ,$K342,1,V$1),ZeroCompFreq,'PDH Calc'!$K342/365)</f>
        <v>1</v>
      </c>
      <c r="W342" s="8">
        <f ca="1">_xll.HLV5r3.Analytics.Miscellaneous.Zero2DF(_xll.HLV5r3.Analytics.Miscellaneous.LinearInterp(Peturbed_QZ,$K342,1,W$1),ZeroCompFreq,'PDH Calc'!$K342/365)</f>
        <v>1</v>
      </c>
      <c r="X342" s="8">
        <f ca="1">_xll.HLV5r3.Analytics.Miscellaneous.Zero2DF(_xll.HLV5r3.Analytics.Miscellaneous.LinearInterp(Peturbed_QZ,$K342,1,X$1),ZeroCompFreq,'PDH Calc'!$K342/365)</f>
        <v>1</v>
      </c>
      <c r="Y342" s="8">
        <f ca="1">_xll.HLV5r3.Analytics.Miscellaneous.Zero2DF(_xll.HLV5r3.Analytics.Miscellaneous.LinearInterp(Peturbed_QZ,$K342,1,Y$1),ZeroCompFreq,'PDH Calc'!$K342/365)</f>
        <v>1</v>
      </c>
      <c r="Z342" s="8">
        <f ca="1">_xll.HLV5r3.Analytics.Miscellaneous.Zero2DF(_xll.HLV5r3.Analytics.Miscellaneous.LinearInterp(Peturbed_QZ,$K342,1,Z$1),ZeroCompFreq,'PDH Calc'!$K342/365)</f>
        <v>1</v>
      </c>
      <c r="AA342" s="8">
        <f ca="1">_xll.HLV5r3.Analytics.Miscellaneous.Zero2DF(_xll.HLV5r3.Analytics.Miscellaneous.LinearInterp(Peturbed_QZ,$K342,1,AA$1),ZeroCompFreq,'PDH Calc'!$K342/365)</f>
        <v>1</v>
      </c>
      <c r="AB342" s="8">
        <f ca="1">_xll.HLV5r3.Analytics.Miscellaneous.Zero2DF(_xll.HLV5r3.Analytics.Miscellaneous.LinearInterp(Peturbed_QZ,$K342,1,AB$1),ZeroCompFreq,'PDH Calc'!$K342/365)</f>
        <v>1</v>
      </c>
      <c r="AC342" s="8">
        <f ca="1">_xll.HLV5r3.Analytics.Miscellaneous.Zero2DF(_xll.HLV5r3.Analytics.Miscellaneous.LinearInterp(Peturbed_QZ,$K342,1,AC$1),ZeroCompFreq,'PDH Calc'!$K342/365)</f>
        <v>1</v>
      </c>
      <c r="AD342" s="8">
        <f ca="1">_xll.HLV5r3.Analytics.Miscellaneous.Zero2DF(_xll.HLV5r3.Analytics.Miscellaneous.LinearInterp(Peturbed_QZ,$K342,1,AD$1),ZeroCompFreq,'PDH Calc'!$K342/365)</f>
        <v>1</v>
      </c>
      <c r="AE342" s="8">
        <f ca="1">_xll.HLV5r3.Analytics.Miscellaneous.Zero2DF(_xll.HLV5r3.Analytics.Miscellaneous.LinearInterp(Peturbed_QZ,$K342,1,AE$1),ZeroCompFreq,'PDH Calc'!$K342/365)</f>
        <v>1</v>
      </c>
      <c r="AF342" s="8">
        <f ca="1">_xll.HLV5r3.Analytics.Miscellaneous.Zero2DF(_xll.HLV5r3.Analytics.Miscellaneous.LinearInterp(Peturbed_QZ,$K342,1,AF$1),ZeroCompFreq,'PDH Calc'!$K342/365)</f>
        <v>1</v>
      </c>
      <c r="AG342" s="8">
        <f ca="1">_xll.HLV5r3.Analytics.Miscellaneous.Zero2DF(_xll.HLV5r3.Analytics.Miscellaneous.LinearInterp(Peturbed_QZ,$K342,1,AG$1),ZeroCompFreq,'PDH Calc'!$K342/365)</f>
        <v>1</v>
      </c>
      <c r="AH342" s="8">
        <f ca="1">_xll.HLV5r3.Analytics.Miscellaneous.Zero2DF(_xll.HLV5r3.Analytics.Miscellaneous.LinearInterp(Peturbed_QZ,$K342,1,AH$1),ZeroCompFreq,'PDH Calc'!$K342/365)</f>
        <v>1</v>
      </c>
      <c r="AI342" s="8">
        <f ca="1">_xll.HLV5r3.Analytics.Miscellaneous.Zero2DF(_xll.HLV5r3.Analytics.Miscellaneous.LinearInterp(Peturbed_QZ,$K342,1,AI$1),ZeroCompFreq,'PDH Calc'!$K342/365)</f>
        <v>1</v>
      </c>
      <c r="AJ342" s="8">
        <f ca="1">_xll.HLV5r3.Analytics.Miscellaneous.Zero2DF(_xll.HLV5r3.Analytics.Miscellaneous.LinearInterp(Peturbed_QZ,$K342,1,AJ$1),ZeroCompFreq,'PDH Calc'!$K342/365)</f>
        <v>1</v>
      </c>
      <c r="AK342" s="8">
        <f ca="1">_xll.HLV5r3.Analytics.Miscellaneous.Zero2DF(_xll.HLV5r3.Analytics.Miscellaneous.LinearInterp(Peturbed_QZ,$K342,1,AK$1),ZeroCompFreq,'PDH Calc'!$K342/365)</f>
        <v>1</v>
      </c>
    </row>
    <row r="343" spans="1:37">
      <c r="A343" s="4"/>
      <c r="B343" s="6"/>
      <c r="F343" s="11"/>
      <c r="G343" s="6"/>
      <c r="H343" s="20"/>
      <c r="I343" s="21"/>
      <c r="J343" s="26"/>
      <c r="K343" s="6">
        <f t="shared" ca="1" si="11"/>
        <v>0</v>
      </c>
      <c r="L343" s="8">
        <f ca="1">_xll.HLV5r3.Analytics.Miscellaneous.Zero2DF(_xll.HLV5r3.Analytics.Miscellaneous.LinearInterp(Peturbed_QZ,$K343,1,L$1),ZeroCompFreq,'PDH Calc'!$K343/365)</f>
        <v>1</v>
      </c>
      <c r="M343" s="8">
        <f ca="1">_xll.HLV5r3.Analytics.Miscellaneous.Zero2DF(_xll.HLV5r3.Analytics.Miscellaneous.LinearInterp(Peturbed_QZ,$K343,1,M$1),ZeroCompFreq,'PDH Calc'!$K343/365)</f>
        <v>1</v>
      </c>
      <c r="N343" s="8">
        <f ca="1">_xll.HLV5r3.Analytics.Miscellaneous.Zero2DF(_xll.HLV5r3.Analytics.Miscellaneous.LinearInterp(Peturbed_QZ,$K343,1,N$1),ZeroCompFreq,'PDH Calc'!$K343/365)</f>
        <v>1</v>
      </c>
      <c r="O343" s="8">
        <f ca="1">_xll.HLV5r3.Analytics.Miscellaneous.Zero2DF(_xll.HLV5r3.Analytics.Miscellaneous.LinearInterp(Peturbed_QZ,$K343,1,O$1),ZeroCompFreq,'PDH Calc'!$K343/365)</f>
        <v>1</v>
      </c>
      <c r="P343" s="8">
        <f ca="1">_xll.HLV5r3.Analytics.Miscellaneous.Zero2DF(_xll.HLV5r3.Analytics.Miscellaneous.LinearInterp(Peturbed_QZ,$K343,1,P$1),ZeroCompFreq,'PDH Calc'!$K343/365)</f>
        <v>1</v>
      </c>
      <c r="Q343" s="8">
        <f ca="1">_xll.HLV5r3.Analytics.Miscellaneous.Zero2DF(_xll.HLV5r3.Analytics.Miscellaneous.LinearInterp(Peturbed_QZ,$K343,1,Q$1),ZeroCompFreq,'PDH Calc'!$K343/365)</f>
        <v>1</v>
      </c>
      <c r="R343" s="8">
        <f ca="1">_xll.HLV5r3.Analytics.Miscellaneous.Zero2DF(_xll.HLV5r3.Analytics.Miscellaneous.LinearInterp(Peturbed_QZ,$K343,1,R$1),ZeroCompFreq,'PDH Calc'!$K343/365)</f>
        <v>1</v>
      </c>
      <c r="S343" s="8">
        <f ca="1">_xll.HLV5r3.Analytics.Miscellaneous.Zero2DF(_xll.HLV5r3.Analytics.Miscellaneous.LinearInterp(Peturbed_QZ,$K343,1,S$1),ZeroCompFreq,'PDH Calc'!$K343/365)</f>
        <v>1</v>
      </c>
      <c r="T343" s="8">
        <f ca="1">_xll.HLV5r3.Analytics.Miscellaneous.Zero2DF(_xll.HLV5r3.Analytics.Miscellaneous.LinearInterp(Peturbed_QZ,$K343,1,T$1),ZeroCompFreq,'PDH Calc'!$K343/365)</f>
        <v>1</v>
      </c>
      <c r="U343" s="8">
        <f ca="1">_xll.HLV5r3.Analytics.Miscellaneous.Zero2DF(_xll.HLV5r3.Analytics.Miscellaneous.LinearInterp(Peturbed_QZ,$K343,1,U$1),ZeroCompFreq,'PDH Calc'!$K343/365)</f>
        <v>1</v>
      </c>
      <c r="V343" s="8">
        <f ca="1">_xll.HLV5r3.Analytics.Miscellaneous.Zero2DF(_xll.HLV5r3.Analytics.Miscellaneous.LinearInterp(Peturbed_QZ,$K343,1,V$1),ZeroCompFreq,'PDH Calc'!$K343/365)</f>
        <v>1</v>
      </c>
      <c r="W343" s="8">
        <f ca="1">_xll.HLV5r3.Analytics.Miscellaneous.Zero2DF(_xll.HLV5r3.Analytics.Miscellaneous.LinearInterp(Peturbed_QZ,$K343,1,W$1),ZeroCompFreq,'PDH Calc'!$K343/365)</f>
        <v>1</v>
      </c>
      <c r="X343" s="8">
        <f ca="1">_xll.HLV5r3.Analytics.Miscellaneous.Zero2DF(_xll.HLV5r3.Analytics.Miscellaneous.LinearInterp(Peturbed_QZ,$K343,1,X$1),ZeroCompFreq,'PDH Calc'!$K343/365)</f>
        <v>1</v>
      </c>
      <c r="Y343" s="8">
        <f ca="1">_xll.HLV5r3.Analytics.Miscellaneous.Zero2DF(_xll.HLV5r3.Analytics.Miscellaneous.LinearInterp(Peturbed_QZ,$K343,1,Y$1),ZeroCompFreq,'PDH Calc'!$K343/365)</f>
        <v>1</v>
      </c>
      <c r="Z343" s="8">
        <f ca="1">_xll.HLV5r3.Analytics.Miscellaneous.Zero2DF(_xll.HLV5r3.Analytics.Miscellaneous.LinearInterp(Peturbed_QZ,$K343,1,Z$1),ZeroCompFreq,'PDH Calc'!$K343/365)</f>
        <v>1</v>
      </c>
      <c r="AA343" s="8">
        <f ca="1">_xll.HLV5r3.Analytics.Miscellaneous.Zero2DF(_xll.HLV5r3.Analytics.Miscellaneous.LinearInterp(Peturbed_QZ,$K343,1,AA$1),ZeroCompFreq,'PDH Calc'!$K343/365)</f>
        <v>1</v>
      </c>
      <c r="AB343" s="8">
        <f ca="1">_xll.HLV5r3.Analytics.Miscellaneous.Zero2DF(_xll.HLV5r3.Analytics.Miscellaneous.LinearInterp(Peturbed_QZ,$K343,1,AB$1),ZeroCompFreq,'PDH Calc'!$K343/365)</f>
        <v>1</v>
      </c>
      <c r="AC343" s="8">
        <f ca="1">_xll.HLV5r3.Analytics.Miscellaneous.Zero2DF(_xll.HLV5r3.Analytics.Miscellaneous.LinearInterp(Peturbed_QZ,$K343,1,AC$1),ZeroCompFreq,'PDH Calc'!$K343/365)</f>
        <v>1</v>
      </c>
      <c r="AD343" s="8">
        <f ca="1">_xll.HLV5r3.Analytics.Miscellaneous.Zero2DF(_xll.HLV5r3.Analytics.Miscellaneous.LinearInterp(Peturbed_QZ,$K343,1,AD$1),ZeroCompFreq,'PDH Calc'!$K343/365)</f>
        <v>1</v>
      </c>
      <c r="AE343" s="8">
        <f ca="1">_xll.HLV5r3.Analytics.Miscellaneous.Zero2DF(_xll.HLV5r3.Analytics.Miscellaneous.LinearInterp(Peturbed_QZ,$K343,1,AE$1),ZeroCompFreq,'PDH Calc'!$K343/365)</f>
        <v>1</v>
      </c>
      <c r="AF343" s="8">
        <f ca="1">_xll.HLV5r3.Analytics.Miscellaneous.Zero2DF(_xll.HLV5r3.Analytics.Miscellaneous.LinearInterp(Peturbed_QZ,$K343,1,AF$1),ZeroCompFreq,'PDH Calc'!$K343/365)</f>
        <v>1</v>
      </c>
      <c r="AG343" s="8">
        <f ca="1">_xll.HLV5r3.Analytics.Miscellaneous.Zero2DF(_xll.HLV5r3.Analytics.Miscellaneous.LinearInterp(Peturbed_QZ,$K343,1,AG$1),ZeroCompFreq,'PDH Calc'!$K343/365)</f>
        <v>1</v>
      </c>
      <c r="AH343" s="8">
        <f ca="1">_xll.HLV5r3.Analytics.Miscellaneous.Zero2DF(_xll.HLV5r3.Analytics.Miscellaneous.LinearInterp(Peturbed_QZ,$K343,1,AH$1),ZeroCompFreq,'PDH Calc'!$K343/365)</f>
        <v>1</v>
      </c>
      <c r="AI343" s="8">
        <f ca="1">_xll.HLV5r3.Analytics.Miscellaneous.Zero2DF(_xll.HLV5r3.Analytics.Miscellaneous.LinearInterp(Peturbed_QZ,$K343,1,AI$1),ZeroCompFreq,'PDH Calc'!$K343/365)</f>
        <v>1</v>
      </c>
      <c r="AJ343" s="8">
        <f ca="1">_xll.HLV5r3.Analytics.Miscellaneous.Zero2DF(_xll.HLV5r3.Analytics.Miscellaneous.LinearInterp(Peturbed_QZ,$K343,1,AJ$1),ZeroCompFreq,'PDH Calc'!$K343/365)</f>
        <v>1</v>
      </c>
      <c r="AK343" s="8">
        <f ca="1">_xll.HLV5r3.Analytics.Miscellaneous.Zero2DF(_xll.HLV5r3.Analytics.Miscellaneous.LinearInterp(Peturbed_QZ,$K343,1,AK$1),ZeroCompFreq,'PDH Calc'!$K343/365)</f>
        <v>1</v>
      </c>
    </row>
    <row r="344" spans="1:37">
      <c r="A344" s="4"/>
      <c r="B344" s="6"/>
      <c r="F344" s="11"/>
      <c r="G344" s="6"/>
      <c r="H344" s="20"/>
      <c r="I344" s="21"/>
      <c r="J344" s="26"/>
      <c r="K344" s="6">
        <f t="shared" ca="1" si="11"/>
        <v>0</v>
      </c>
      <c r="L344" s="8">
        <f ca="1">_xll.HLV5r3.Analytics.Miscellaneous.Zero2DF(_xll.HLV5r3.Analytics.Miscellaneous.LinearInterp(Peturbed_QZ,$K344,1,L$1),ZeroCompFreq,'PDH Calc'!$K344/365)</f>
        <v>1</v>
      </c>
      <c r="M344" s="8">
        <f ca="1">_xll.HLV5r3.Analytics.Miscellaneous.Zero2DF(_xll.HLV5r3.Analytics.Miscellaneous.LinearInterp(Peturbed_QZ,$K344,1,M$1),ZeroCompFreq,'PDH Calc'!$K344/365)</f>
        <v>1</v>
      </c>
      <c r="N344" s="8">
        <f ca="1">_xll.HLV5r3.Analytics.Miscellaneous.Zero2DF(_xll.HLV5r3.Analytics.Miscellaneous.LinearInterp(Peturbed_QZ,$K344,1,N$1),ZeroCompFreq,'PDH Calc'!$K344/365)</f>
        <v>1</v>
      </c>
      <c r="O344" s="8">
        <f ca="1">_xll.HLV5r3.Analytics.Miscellaneous.Zero2DF(_xll.HLV5r3.Analytics.Miscellaneous.LinearInterp(Peturbed_QZ,$K344,1,O$1),ZeroCompFreq,'PDH Calc'!$K344/365)</f>
        <v>1</v>
      </c>
      <c r="P344" s="8">
        <f ca="1">_xll.HLV5r3.Analytics.Miscellaneous.Zero2DF(_xll.HLV5r3.Analytics.Miscellaneous.LinearInterp(Peturbed_QZ,$K344,1,P$1),ZeroCompFreq,'PDH Calc'!$K344/365)</f>
        <v>1</v>
      </c>
      <c r="Q344" s="8">
        <f ca="1">_xll.HLV5r3.Analytics.Miscellaneous.Zero2DF(_xll.HLV5r3.Analytics.Miscellaneous.LinearInterp(Peturbed_QZ,$K344,1,Q$1),ZeroCompFreq,'PDH Calc'!$K344/365)</f>
        <v>1</v>
      </c>
      <c r="R344" s="8">
        <f ca="1">_xll.HLV5r3.Analytics.Miscellaneous.Zero2DF(_xll.HLV5r3.Analytics.Miscellaneous.LinearInterp(Peturbed_QZ,$K344,1,R$1),ZeroCompFreq,'PDH Calc'!$K344/365)</f>
        <v>1</v>
      </c>
      <c r="S344" s="8">
        <f ca="1">_xll.HLV5r3.Analytics.Miscellaneous.Zero2DF(_xll.HLV5r3.Analytics.Miscellaneous.LinearInterp(Peturbed_QZ,$K344,1,S$1),ZeroCompFreq,'PDH Calc'!$K344/365)</f>
        <v>1</v>
      </c>
      <c r="T344" s="8">
        <f ca="1">_xll.HLV5r3.Analytics.Miscellaneous.Zero2DF(_xll.HLV5r3.Analytics.Miscellaneous.LinearInterp(Peturbed_QZ,$K344,1,T$1),ZeroCompFreq,'PDH Calc'!$K344/365)</f>
        <v>1</v>
      </c>
      <c r="U344" s="8">
        <f ca="1">_xll.HLV5r3.Analytics.Miscellaneous.Zero2DF(_xll.HLV5r3.Analytics.Miscellaneous.LinearInterp(Peturbed_QZ,$K344,1,U$1),ZeroCompFreq,'PDH Calc'!$K344/365)</f>
        <v>1</v>
      </c>
      <c r="V344" s="8">
        <f ca="1">_xll.HLV5r3.Analytics.Miscellaneous.Zero2DF(_xll.HLV5r3.Analytics.Miscellaneous.LinearInterp(Peturbed_QZ,$K344,1,V$1),ZeroCompFreq,'PDH Calc'!$K344/365)</f>
        <v>1</v>
      </c>
      <c r="W344" s="8">
        <f ca="1">_xll.HLV5r3.Analytics.Miscellaneous.Zero2DF(_xll.HLV5r3.Analytics.Miscellaneous.LinearInterp(Peturbed_QZ,$K344,1,W$1),ZeroCompFreq,'PDH Calc'!$K344/365)</f>
        <v>1</v>
      </c>
      <c r="X344" s="8">
        <f ca="1">_xll.HLV5r3.Analytics.Miscellaneous.Zero2DF(_xll.HLV5r3.Analytics.Miscellaneous.LinearInterp(Peturbed_QZ,$K344,1,X$1),ZeroCompFreq,'PDH Calc'!$K344/365)</f>
        <v>1</v>
      </c>
      <c r="Y344" s="8">
        <f ca="1">_xll.HLV5r3.Analytics.Miscellaneous.Zero2DF(_xll.HLV5r3.Analytics.Miscellaneous.LinearInterp(Peturbed_QZ,$K344,1,Y$1),ZeroCompFreq,'PDH Calc'!$K344/365)</f>
        <v>1</v>
      </c>
      <c r="Z344" s="8">
        <f ca="1">_xll.HLV5r3.Analytics.Miscellaneous.Zero2DF(_xll.HLV5r3.Analytics.Miscellaneous.LinearInterp(Peturbed_QZ,$K344,1,Z$1),ZeroCompFreq,'PDH Calc'!$K344/365)</f>
        <v>1</v>
      </c>
      <c r="AA344" s="8">
        <f ca="1">_xll.HLV5r3.Analytics.Miscellaneous.Zero2DF(_xll.HLV5r3.Analytics.Miscellaneous.LinearInterp(Peturbed_QZ,$K344,1,AA$1),ZeroCompFreq,'PDH Calc'!$K344/365)</f>
        <v>1</v>
      </c>
      <c r="AB344" s="8">
        <f ca="1">_xll.HLV5r3.Analytics.Miscellaneous.Zero2DF(_xll.HLV5r3.Analytics.Miscellaneous.LinearInterp(Peturbed_QZ,$K344,1,AB$1),ZeroCompFreq,'PDH Calc'!$K344/365)</f>
        <v>1</v>
      </c>
      <c r="AC344" s="8">
        <f ca="1">_xll.HLV5r3.Analytics.Miscellaneous.Zero2DF(_xll.HLV5r3.Analytics.Miscellaneous.LinearInterp(Peturbed_QZ,$K344,1,AC$1),ZeroCompFreq,'PDH Calc'!$K344/365)</f>
        <v>1</v>
      </c>
      <c r="AD344" s="8">
        <f ca="1">_xll.HLV5r3.Analytics.Miscellaneous.Zero2DF(_xll.HLV5r3.Analytics.Miscellaneous.LinearInterp(Peturbed_QZ,$K344,1,AD$1),ZeroCompFreq,'PDH Calc'!$K344/365)</f>
        <v>1</v>
      </c>
      <c r="AE344" s="8">
        <f ca="1">_xll.HLV5r3.Analytics.Miscellaneous.Zero2DF(_xll.HLV5r3.Analytics.Miscellaneous.LinearInterp(Peturbed_QZ,$K344,1,AE$1),ZeroCompFreq,'PDH Calc'!$K344/365)</f>
        <v>1</v>
      </c>
      <c r="AF344" s="8">
        <f ca="1">_xll.HLV5r3.Analytics.Miscellaneous.Zero2DF(_xll.HLV5r3.Analytics.Miscellaneous.LinearInterp(Peturbed_QZ,$K344,1,AF$1),ZeroCompFreq,'PDH Calc'!$K344/365)</f>
        <v>1</v>
      </c>
      <c r="AG344" s="8">
        <f ca="1">_xll.HLV5r3.Analytics.Miscellaneous.Zero2DF(_xll.HLV5r3.Analytics.Miscellaneous.LinearInterp(Peturbed_QZ,$K344,1,AG$1),ZeroCompFreq,'PDH Calc'!$K344/365)</f>
        <v>1</v>
      </c>
      <c r="AH344" s="8">
        <f ca="1">_xll.HLV5r3.Analytics.Miscellaneous.Zero2DF(_xll.HLV5r3.Analytics.Miscellaneous.LinearInterp(Peturbed_QZ,$K344,1,AH$1),ZeroCompFreq,'PDH Calc'!$K344/365)</f>
        <v>1</v>
      </c>
      <c r="AI344" s="8">
        <f ca="1">_xll.HLV5r3.Analytics.Miscellaneous.Zero2DF(_xll.HLV5r3.Analytics.Miscellaneous.LinearInterp(Peturbed_QZ,$K344,1,AI$1),ZeroCompFreq,'PDH Calc'!$K344/365)</f>
        <v>1</v>
      </c>
      <c r="AJ344" s="8">
        <f ca="1">_xll.HLV5r3.Analytics.Miscellaneous.Zero2DF(_xll.HLV5r3.Analytics.Miscellaneous.LinearInterp(Peturbed_QZ,$K344,1,AJ$1),ZeroCompFreq,'PDH Calc'!$K344/365)</f>
        <v>1</v>
      </c>
      <c r="AK344" s="8">
        <f ca="1">_xll.HLV5r3.Analytics.Miscellaneous.Zero2DF(_xll.HLV5r3.Analytics.Miscellaneous.LinearInterp(Peturbed_QZ,$K344,1,AK$1),ZeroCompFreq,'PDH Calc'!$K344/365)</f>
        <v>1</v>
      </c>
    </row>
    <row r="345" spans="1:37">
      <c r="A345" s="4"/>
      <c r="B345" s="6"/>
      <c r="F345" s="11"/>
      <c r="G345" s="6"/>
      <c r="H345" s="20"/>
      <c r="I345" s="21"/>
      <c r="J345" s="26"/>
      <c r="K345" s="6">
        <f t="shared" ca="1" si="11"/>
        <v>0</v>
      </c>
      <c r="L345" s="8">
        <f ca="1">_xll.HLV5r3.Analytics.Miscellaneous.Zero2DF(_xll.HLV5r3.Analytics.Miscellaneous.LinearInterp(Peturbed_QZ,$K345,1,L$1),ZeroCompFreq,'PDH Calc'!$K345/365)</f>
        <v>1</v>
      </c>
      <c r="M345" s="8">
        <f ca="1">_xll.HLV5r3.Analytics.Miscellaneous.Zero2DF(_xll.HLV5r3.Analytics.Miscellaneous.LinearInterp(Peturbed_QZ,$K345,1,M$1),ZeroCompFreq,'PDH Calc'!$K345/365)</f>
        <v>1</v>
      </c>
      <c r="N345" s="8">
        <f ca="1">_xll.HLV5r3.Analytics.Miscellaneous.Zero2DF(_xll.HLV5r3.Analytics.Miscellaneous.LinearInterp(Peturbed_QZ,$K345,1,N$1),ZeroCompFreq,'PDH Calc'!$K345/365)</f>
        <v>1</v>
      </c>
      <c r="O345" s="8">
        <f ca="1">_xll.HLV5r3.Analytics.Miscellaneous.Zero2DF(_xll.HLV5r3.Analytics.Miscellaneous.LinearInterp(Peturbed_QZ,$K345,1,O$1),ZeroCompFreq,'PDH Calc'!$K345/365)</f>
        <v>1</v>
      </c>
      <c r="P345" s="8">
        <f ca="1">_xll.HLV5r3.Analytics.Miscellaneous.Zero2DF(_xll.HLV5r3.Analytics.Miscellaneous.LinearInterp(Peturbed_QZ,$K345,1,P$1),ZeroCompFreq,'PDH Calc'!$K345/365)</f>
        <v>1</v>
      </c>
      <c r="Q345" s="8">
        <f ca="1">_xll.HLV5r3.Analytics.Miscellaneous.Zero2DF(_xll.HLV5r3.Analytics.Miscellaneous.LinearInterp(Peturbed_QZ,$K345,1,Q$1),ZeroCompFreq,'PDH Calc'!$K345/365)</f>
        <v>1</v>
      </c>
      <c r="R345" s="8">
        <f ca="1">_xll.HLV5r3.Analytics.Miscellaneous.Zero2DF(_xll.HLV5r3.Analytics.Miscellaneous.LinearInterp(Peturbed_QZ,$K345,1,R$1),ZeroCompFreq,'PDH Calc'!$K345/365)</f>
        <v>1</v>
      </c>
      <c r="S345" s="8">
        <f ca="1">_xll.HLV5r3.Analytics.Miscellaneous.Zero2DF(_xll.HLV5r3.Analytics.Miscellaneous.LinearInterp(Peturbed_QZ,$K345,1,S$1),ZeroCompFreq,'PDH Calc'!$K345/365)</f>
        <v>1</v>
      </c>
      <c r="T345" s="8">
        <f ca="1">_xll.HLV5r3.Analytics.Miscellaneous.Zero2DF(_xll.HLV5r3.Analytics.Miscellaneous.LinearInterp(Peturbed_QZ,$K345,1,T$1),ZeroCompFreq,'PDH Calc'!$K345/365)</f>
        <v>1</v>
      </c>
      <c r="U345" s="8">
        <f ca="1">_xll.HLV5r3.Analytics.Miscellaneous.Zero2DF(_xll.HLV5r3.Analytics.Miscellaneous.LinearInterp(Peturbed_QZ,$K345,1,U$1),ZeroCompFreq,'PDH Calc'!$K345/365)</f>
        <v>1</v>
      </c>
      <c r="V345" s="8">
        <f ca="1">_xll.HLV5r3.Analytics.Miscellaneous.Zero2DF(_xll.HLV5r3.Analytics.Miscellaneous.LinearInterp(Peturbed_QZ,$K345,1,V$1),ZeroCompFreq,'PDH Calc'!$K345/365)</f>
        <v>1</v>
      </c>
      <c r="W345" s="8">
        <f ca="1">_xll.HLV5r3.Analytics.Miscellaneous.Zero2DF(_xll.HLV5r3.Analytics.Miscellaneous.LinearInterp(Peturbed_QZ,$K345,1,W$1),ZeroCompFreq,'PDH Calc'!$K345/365)</f>
        <v>1</v>
      </c>
      <c r="X345" s="8">
        <f ca="1">_xll.HLV5r3.Analytics.Miscellaneous.Zero2DF(_xll.HLV5r3.Analytics.Miscellaneous.LinearInterp(Peturbed_QZ,$K345,1,X$1),ZeroCompFreq,'PDH Calc'!$K345/365)</f>
        <v>1</v>
      </c>
      <c r="Y345" s="8">
        <f ca="1">_xll.HLV5r3.Analytics.Miscellaneous.Zero2DF(_xll.HLV5r3.Analytics.Miscellaneous.LinearInterp(Peturbed_QZ,$K345,1,Y$1),ZeroCompFreq,'PDH Calc'!$K345/365)</f>
        <v>1</v>
      </c>
      <c r="Z345" s="8">
        <f ca="1">_xll.HLV5r3.Analytics.Miscellaneous.Zero2DF(_xll.HLV5r3.Analytics.Miscellaneous.LinearInterp(Peturbed_QZ,$K345,1,Z$1),ZeroCompFreq,'PDH Calc'!$K345/365)</f>
        <v>1</v>
      </c>
      <c r="AA345" s="8">
        <f ca="1">_xll.HLV5r3.Analytics.Miscellaneous.Zero2DF(_xll.HLV5r3.Analytics.Miscellaneous.LinearInterp(Peturbed_QZ,$K345,1,AA$1),ZeroCompFreq,'PDH Calc'!$K345/365)</f>
        <v>1</v>
      </c>
      <c r="AB345" s="8">
        <f ca="1">_xll.HLV5r3.Analytics.Miscellaneous.Zero2DF(_xll.HLV5r3.Analytics.Miscellaneous.LinearInterp(Peturbed_QZ,$K345,1,AB$1),ZeroCompFreq,'PDH Calc'!$K345/365)</f>
        <v>1</v>
      </c>
      <c r="AC345" s="8">
        <f ca="1">_xll.HLV5r3.Analytics.Miscellaneous.Zero2DF(_xll.HLV5r3.Analytics.Miscellaneous.LinearInterp(Peturbed_QZ,$K345,1,AC$1),ZeroCompFreq,'PDH Calc'!$K345/365)</f>
        <v>1</v>
      </c>
      <c r="AD345" s="8">
        <f ca="1">_xll.HLV5r3.Analytics.Miscellaneous.Zero2DF(_xll.HLV5r3.Analytics.Miscellaneous.LinearInterp(Peturbed_QZ,$K345,1,AD$1),ZeroCompFreq,'PDH Calc'!$K345/365)</f>
        <v>1</v>
      </c>
      <c r="AE345" s="8">
        <f ca="1">_xll.HLV5r3.Analytics.Miscellaneous.Zero2DF(_xll.HLV5r3.Analytics.Miscellaneous.LinearInterp(Peturbed_QZ,$K345,1,AE$1),ZeroCompFreq,'PDH Calc'!$K345/365)</f>
        <v>1</v>
      </c>
      <c r="AF345" s="8">
        <f ca="1">_xll.HLV5r3.Analytics.Miscellaneous.Zero2DF(_xll.HLV5r3.Analytics.Miscellaneous.LinearInterp(Peturbed_QZ,$K345,1,AF$1),ZeroCompFreq,'PDH Calc'!$K345/365)</f>
        <v>1</v>
      </c>
      <c r="AG345" s="8">
        <f ca="1">_xll.HLV5r3.Analytics.Miscellaneous.Zero2DF(_xll.HLV5r3.Analytics.Miscellaneous.LinearInterp(Peturbed_QZ,$K345,1,AG$1),ZeroCompFreq,'PDH Calc'!$K345/365)</f>
        <v>1</v>
      </c>
      <c r="AH345" s="8">
        <f ca="1">_xll.HLV5r3.Analytics.Miscellaneous.Zero2DF(_xll.HLV5r3.Analytics.Miscellaneous.LinearInterp(Peturbed_QZ,$K345,1,AH$1),ZeroCompFreq,'PDH Calc'!$K345/365)</f>
        <v>1</v>
      </c>
      <c r="AI345" s="8">
        <f ca="1">_xll.HLV5r3.Analytics.Miscellaneous.Zero2DF(_xll.HLV5r3.Analytics.Miscellaneous.LinearInterp(Peturbed_QZ,$K345,1,AI$1),ZeroCompFreq,'PDH Calc'!$K345/365)</f>
        <v>1</v>
      </c>
      <c r="AJ345" s="8">
        <f ca="1">_xll.HLV5r3.Analytics.Miscellaneous.Zero2DF(_xll.HLV5r3.Analytics.Miscellaneous.LinearInterp(Peturbed_QZ,$K345,1,AJ$1),ZeroCompFreq,'PDH Calc'!$K345/365)</f>
        <v>1</v>
      </c>
      <c r="AK345" s="8">
        <f ca="1">_xll.HLV5r3.Analytics.Miscellaneous.Zero2DF(_xll.HLV5r3.Analytics.Miscellaneous.LinearInterp(Peturbed_QZ,$K345,1,AK$1),ZeroCompFreq,'PDH Calc'!$K345/365)</f>
        <v>1</v>
      </c>
    </row>
    <row r="346" spans="1:37">
      <c r="A346" s="4"/>
      <c r="B346" s="6"/>
      <c r="F346" s="11"/>
      <c r="G346" s="6"/>
      <c r="H346" s="20"/>
      <c r="I346" s="21"/>
      <c r="J346" s="26"/>
      <c r="K346" s="6">
        <f t="shared" ca="1" si="11"/>
        <v>0</v>
      </c>
      <c r="L346" s="8">
        <f ca="1">_xll.HLV5r3.Analytics.Miscellaneous.Zero2DF(_xll.HLV5r3.Analytics.Miscellaneous.LinearInterp(Peturbed_QZ,$K346,1,L$1),ZeroCompFreq,'PDH Calc'!$K346/365)</f>
        <v>1</v>
      </c>
      <c r="M346" s="8">
        <f ca="1">_xll.HLV5r3.Analytics.Miscellaneous.Zero2DF(_xll.HLV5r3.Analytics.Miscellaneous.LinearInterp(Peturbed_QZ,$K346,1,M$1),ZeroCompFreq,'PDH Calc'!$K346/365)</f>
        <v>1</v>
      </c>
      <c r="N346" s="8">
        <f ca="1">_xll.HLV5r3.Analytics.Miscellaneous.Zero2DF(_xll.HLV5r3.Analytics.Miscellaneous.LinearInterp(Peturbed_QZ,$K346,1,N$1),ZeroCompFreq,'PDH Calc'!$K346/365)</f>
        <v>1</v>
      </c>
      <c r="O346" s="8">
        <f ca="1">_xll.HLV5r3.Analytics.Miscellaneous.Zero2DF(_xll.HLV5r3.Analytics.Miscellaneous.LinearInterp(Peturbed_QZ,$K346,1,O$1),ZeroCompFreq,'PDH Calc'!$K346/365)</f>
        <v>1</v>
      </c>
      <c r="P346" s="8">
        <f ca="1">_xll.HLV5r3.Analytics.Miscellaneous.Zero2DF(_xll.HLV5r3.Analytics.Miscellaneous.LinearInterp(Peturbed_QZ,$K346,1,P$1),ZeroCompFreq,'PDH Calc'!$K346/365)</f>
        <v>1</v>
      </c>
      <c r="Q346" s="8">
        <f ca="1">_xll.HLV5r3.Analytics.Miscellaneous.Zero2DF(_xll.HLV5r3.Analytics.Miscellaneous.LinearInterp(Peturbed_QZ,$K346,1,Q$1),ZeroCompFreq,'PDH Calc'!$K346/365)</f>
        <v>1</v>
      </c>
      <c r="R346" s="8">
        <f ca="1">_xll.HLV5r3.Analytics.Miscellaneous.Zero2DF(_xll.HLV5r3.Analytics.Miscellaneous.LinearInterp(Peturbed_QZ,$K346,1,R$1),ZeroCompFreq,'PDH Calc'!$K346/365)</f>
        <v>1</v>
      </c>
      <c r="S346" s="8">
        <f ca="1">_xll.HLV5r3.Analytics.Miscellaneous.Zero2DF(_xll.HLV5r3.Analytics.Miscellaneous.LinearInterp(Peturbed_QZ,$K346,1,S$1),ZeroCompFreq,'PDH Calc'!$K346/365)</f>
        <v>1</v>
      </c>
      <c r="T346" s="8">
        <f ca="1">_xll.HLV5r3.Analytics.Miscellaneous.Zero2DF(_xll.HLV5r3.Analytics.Miscellaneous.LinearInterp(Peturbed_QZ,$K346,1,T$1),ZeroCompFreq,'PDH Calc'!$K346/365)</f>
        <v>1</v>
      </c>
      <c r="U346" s="8">
        <f ca="1">_xll.HLV5r3.Analytics.Miscellaneous.Zero2DF(_xll.HLV5r3.Analytics.Miscellaneous.LinearInterp(Peturbed_QZ,$K346,1,U$1),ZeroCompFreq,'PDH Calc'!$K346/365)</f>
        <v>1</v>
      </c>
      <c r="V346" s="8">
        <f ca="1">_xll.HLV5r3.Analytics.Miscellaneous.Zero2DF(_xll.HLV5r3.Analytics.Miscellaneous.LinearInterp(Peturbed_QZ,$K346,1,V$1),ZeroCompFreq,'PDH Calc'!$K346/365)</f>
        <v>1</v>
      </c>
      <c r="W346" s="8">
        <f ca="1">_xll.HLV5r3.Analytics.Miscellaneous.Zero2DF(_xll.HLV5r3.Analytics.Miscellaneous.LinearInterp(Peturbed_QZ,$K346,1,W$1),ZeroCompFreq,'PDH Calc'!$K346/365)</f>
        <v>1</v>
      </c>
      <c r="X346" s="8">
        <f ca="1">_xll.HLV5r3.Analytics.Miscellaneous.Zero2DF(_xll.HLV5r3.Analytics.Miscellaneous.LinearInterp(Peturbed_QZ,$K346,1,X$1),ZeroCompFreq,'PDH Calc'!$K346/365)</f>
        <v>1</v>
      </c>
      <c r="Y346" s="8">
        <f ca="1">_xll.HLV5r3.Analytics.Miscellaneous.Zero2DF(_xll.HLV5r3.Analytics.Miscellaneous.LinearInterp(Peturbed_QZ,$K346,1,Y$1),ZeroCompFreq,'PDH Calc'!$K346/365)</f>
        <v>1</v>
      </c>
      <c r="Z346" s="8">
        <f ca="1">_xll.HLV5r3.Analytics.Miscellaneous.Zero2DF(_xll.HLV5r3.Analytics.Miscellaneous.LinearInterp(Peturbed_QZ,$K346,1,Z$1),ZeroCompFreq,'PDH Calc'!$K346/365)</f>
        <v>1</v>
      </c>
      <c r="AA346" s="8">
        <f ca="1">_xll.HLV5r3.Analytics.Miscellaneous.Zero2DF(_xll.HLV5r3.Analytics.Miscellaneous.LinearInterp(Peturbed_QZ,$K346,1,AA$1),ZeroCompFreq,'PDH Calc'!$K346/365)</f>
        <v>1</v>
      </c>
      <c r="AB346" s="8">
        <f ca="1">_xll.HLV5r3.Analytics.Miscellaneous.Zero2DF(_xll.HLV5r3.Analytics.Miscellaneous.LinearInterp(Peturbed_QZ,$K346,1,AB$1),ZeroCompFreq,'PDH Calc'!$K346/365)</f>
        <v>1</v>
      </c>
      <c r="AC346" s="8">
        <f ca="1">_xll.HLV5r3.Analytics.Miscellaneous.Zero2DF(_xll.HLV5r3.Analytics.Miscellaneous.LinearInterp(Peturbed_QZ,$K346,1,AC$1),ZeroCompFreq,'PDH Calc'!$K346/365)</f>
        <v>1</v>
      </c>
      <c r="AD346" s="8">
        <f ca="1">_xll.HLV5r3.Analytics.Miscellaneous.Zero2DF(_xll.HLV5r3.Analytics.Miscellaneous.LinearInterp(Peturbed_QZ,$K346,1,AD$1),ZeroCompFreq,'PDH Calc'!$K346/365)</f>
        <v>1</v>
      </c>
      <c r="AE346" s="8">
        <f ca="1">_xll.HLV5r3.Analytics.Miscellaneous.Zero2DF(_xll.HLV5r3.Analytics.Miscellaneous.LinearInterp(Peturbed_QZ,$K346,1,AE$1),ZeroCompFreq,'PDH Calc'!$K346/365)</f>
        <v>1</v>
      </c>
      <c r="AF346" s="8">
        <f ca="1">_xll.HLV5r3.Analytics.Miscellaneous.Zero2DF(_xll.HLV5r3.Analytics.Miscellaneous.LinearInterp(Peturbed_QZ,$K346,1,AF$1),ZeroCompFreq,'PDH Calc'!$K346/365)</f>
        <v>1</v>
      </c>
      <c r="AG346" s="8">
        <f ca="1">_xll.HLV5r3.Analytics.Miscellaneous.Zero2DF(_xll.HLV5r3.Analytics.Miscellaneous.LinearInterp(Peturbed_QZ,$K346,1,AG$1),ZeroCompFreq,'PDH Calc'!$K346/365)</f>
        <v>1</v>
      </c>
      <c r="AH346" s="8">
        <f ca="1">_xll.HLV5r3.Analytics.Miscellaneous.Zero2DF(_xll.HLV5r3.Analytics.Miscellaneous.LinearInterp(Peturbed_QZ,$K346,1,AH$1),ZeroCompFreq,'PDH Calc'!$K346/365)</f>
        <v>1</v>
      </c>
      <c r="AI346" s="8">
        <f ca="1">_xll.HLV5r3.Analytics.Miscellaneous.Zero2DF(_xll.HLV5r3.Analytics.Miscellaneous.LinearInterp(Peturbed_QZ,$K346,1,AI$1),ZeroCompFreq,'PDH Calc'!$K346/365)</f>
        <v>1</v>
      </c>
      <c r="AJ346" s="8">
        <f ca="1">_xll.HLV5r3.Analytics.Miscellaneous.Zero2DF(_xll.HLV5r3.Analytics.Miscellaneous.LinearInterp(Peturbed_QZ,$K346,1,AJ$1),ZeroCompFreq,'PDH Calc'!$K346/365)</f>
        <v>1</v>
      </c>
      <c r="AK346" s="8">
        <f ca="1">_xll.HLV5r3.Analytics.Miscellaneous.Zero2DF(_xll.HLV5r3.Analytics.Miscellaneous.LinearInterp(Peturbed_QZ,$K346,1,AK$1),ZeroCompFreq,'PDH Calc'!$K346/365)</f>
        <v>1</v>
      </c>
    </row>
    <row r="347" spans="1:37">
      <c r="A347" s="4"/>
      <c r="B347" s="6"/>
      <c r="F347" s="11"/>
      <c r="G347" s="6"/>
      <c r="H347" s="20"/>
      <c r="I347" s="21"/>
      <c r="J347" s="26"/>
      <c r="K347" s="6">
        <f t="shared" ref="K347:K410" ca="1" si="12">(H347-Calc_Date)*ISNUMBER(H347)</f>
        <v>0</v>
      </c>
      <c r="L347" s="8">
        <f ca="1">_xll.HLV5r3.Analytics.Miscellaneous.Zero2DF(_xll.HLV5r3.Analytics.Miscellaneous.LinearInterp(Peturbed_QZ,$K347,1,L$1),ZeroCompFreq,'PDH Calc'!$K347/365)</f>
        <v>1</v>
      </c>
      <c r="M347" s="8">
        <f ca="1">_xll.HLV5r3.Analytics.Miscellaneous.Zero2DF(_xll.HLV5r3.Analytics.Miscellaneous.LinearInterp(Peturbed_QZ,$K347,1,M$1),ZeroCompFreq,'PDH Calc'!$K347/365)</f>
        <v>1</v>
      </c>
      <c r="N347" s="8">
        <f ca="1">_xll.HLV5r3.Analytics.Miscellaneous.Zero2DF(_xll.HLV5r3.Analytics.Miscellaneous.LinearInterp(Peturbed_QZ,$K347,1,N$1),ZeroCompFreq,'PDH Calc'!$K347/365)</f>
        <v>1</v>
      </c>
      <c r="O347" s="8">
        <f ca="1">_xll.HLV5r3.Analytics.Miscellaneous.Zero2DF(_xll.HLV5r3.Analytics.Miscellaneous.LinearInterp(Peturbed_QZ,$K347,1,O$1),ZeroCompFreq,'PDH Calc'!$K347/365)</f>
        <v>1</v>
      </c>
      <c r="P347" s="8">
        <f ca="1">_xll.HLV5r3.Analytics.Miscellaneous.Zero2DF(_xll.HLV5r3.Analytics.Miscellaneous.LinearInterp(Peturbed_QZ,$K347,1,P$1),ZeroCompFreq,'PDH Calc'!$K347/365)</f>
        <v>1</v>
      </c>
      <c r="Q347" s="8">
        <f ca="1">_xll.HLV5r3.Analytics.Miscellaneous.Zero2DF(_xll.HLV5r3.Analytics.Miscellaneous.LinearInterp(Peturbed_QZ,$K347,1,Q$1),ZeroCompFreq,'PDH Calc'!$K347/365)</f>
        <v>1</v>
      </c>
      <c r="R347" s="8">
        <f ca="1">_xll.HLV5r3.Analytics.Miscellaneous.Zero2DF(_xll.HLV5r3.Analytics.Miscellaneous.LinearInterp(Peturbed_QZ,$K347,1,R$1),ZeroCompFreq,'PDH Calc'!$K347/365)</f>
        <v>1</v>
      </c>
      <c r="S347" s="8">
        <f ca="1">_xll.HLV5r3.Analytics.Miscellaneous.Zero2DF(_xll.HLV5r3.Analytics.Miscellaneous.LinearInterp(Peturbed_QZ,$K347,1,S$1),ZeroCompFreq,'PDH Calc'!$K347/365)</f>
        <v>1</v>
      </c>
      <c r="T347" s="8">
        <f ca="1">_xll.HLV5r3.Analytics.Miscellaneous.Zero2DF(_xll.HLV5r3.Analytics.Miscellaneous.LinearInterp(Peturbed_QZ,$K347,1,T$1),ZeroCompFreq,'PDH Calc'!$K347/365)</f>
        <v>1</v>
      </c>
      <c r="U347" s="8">
        <f ca="1">_xll.HLV5r3.Analytics.Miscellaneous.Zero2DF(_xll.HLV5r3.Analytics.Miscellaneous.LinearInterp(Peturbed_QZ,$K347,1,U$1),ZeroCompFreq,'PDH Calc'!$K347/365)</f>
        <v>1</v>
      </c>
      <c r="V347" s="8">
        <f ca="1">_xll.HLV5r3.Analytics.Miscellaneous.Zero2DF(_xll.HLV5r3.Analytics.Miscellaneous.LinearInterp(Peturbed_QZ,$K347,1,V$1),ZeroCompFreq,'PDH Calc'!$K347/365)</f>
        <v>1</v>
      </c>
      <c r="W347" s="8">
        <f ca="1">_xll.HLV5r3.Analytics.Miscellaneous.Zero2DF(_xll.HLV5r3.Analytics.Miscellaneous.LinearInterp(Peturbed_QZ,$K347,1,W$1),ZeroCompFreq,'PDH Calc'!$K347/365)</f>
        <v>1</v>
      </c>
      <c r="X347" s="8">
        <f ca="1">_xll.HLV5r3.Analytics.Miscellaneous.Zero2DF(_xll.HLV5r3.Analytics.Miscellaneous.LinearInterp(Peturbed_QZ,$K347,1,X$1),ZeroCompFreq,'PDH Calc'!$K347/365)</f>
        <v>1</v>
      </c>
      <c r="Y347" s="8">
        <f ca="1">_xll.HLV5r3.Analytics.Miscellaneous.Zero2DF(_xll.HLV5r3.Analytics.Miscellaneous.LinearInterp(Peturbed_QZ,$K347,1,Y$1),ZeroCompFreq,'PDH Calc'!$K347/365)</f>
        <v>1</v>
      </c>
      <c r="Z347" s="8">
        <f ca="1">_xll.HLV5r3.Analytics.Miscellaneous.Zero2DF(_xll.HLV5r3.Analytics.Miscellaneous.LinearInterp(Peturbed_QZ,$K347,1,Z$1),ZeroCompFreq,'PDH Calc'!$K347/365)</f>
        <v>1</v>
      </c>
      <c r="AA347" s="8">
        <f ca="1">_xll.HLV5r3.Analytics.Miscellaneous.Zero2DF(_xll.HLV5r3.Analytics.Miscellaneous.LinearInterp(Peturbed_QZ,$K347,1,AA$1),ZeroCompFreq,'PDH Calc'!$K347/365)</f>
        <v>1</v>
      </c>
      <c r="AB347" s="8">
        <f ca="1">_xll.HLV5r3.Analytics.Miscellaneous.Zero2DF(_xll.HLV5r3.Analytics.Miscellaneous.LinearInterp(Peturbed_QZ,$K347,1,AB$1),ZeroCompFreq,'PDH Calc'!$K347/365)</f>
        <v>1</v>
      </c>
      <c r="AC347" s="8">
        <f ca="1">_xll.HLV5r3.Analytics.Miscellaneous.Zero2DF(_xll.HLV5r3.Analytics.Miscellaneous.LinearInterp(Peturbed_QZ,$K347,1,AC$1),ZeroCompFreq,'PDH Calc'!$K347/365)</f>
        <v>1</v>
      </c>
      <c r="AD347" s="8">
        <f ca="1">_xll.HLV5r3.Analytics.Miscellaneous.Zero2DF(_xll.HLV5r3.Analytics.Miscellaneous.LinearInterp(Peturbed_QZ,$K347,1,AD$1),ZeroCompFreq,'PDH Calc'!$K347/365)</f>
        <v>1</v>
      </c>
      <c r="AE347" s="8">
        <f ca="1">_xll.HLV5r3.Analytics.Miscellaneous.Zero2DF(_xll.HLV5r3.Analytics.Miscellaneous.LinearInterp(Peturbed_QZ,$K347,1,AE$1),ZeroCompFreq,'PDH Calc'!$K347/365)</f>
        <v>1</v>
      </c>
      <c r="AF347" s="8">
        <f ca="1">_xll.HLV5r3.Analytics.Miscellaneous.Zero2DF(_xll.HLV5r3.Analytics.Miscellaneous.LinearInterp(Peturbed_QZ,$K347,1,AF$1),ZeroCompFreq,'PDH Calc'!$K347/365)</f>
        <v>1</v>
      </c>
      <c r="AG347" s="8">
        <f ca="1">_xll.HLV5r3.Analytics.Miscellaneous.Zero2DF(_xll.HLV5r3.Analytics.Miscellaneous.LinearInterp(Peturbed_QZ,$K347,1,AG$1),ZeroCompFreq,'PDH Calc'!$K347/365)</f>
        <v>1</v>
      </c>
      <c r="AH347" s="8">
        <f ca="1">_xll.HLV5r3.Analytics.Miscellaneous.Zero2DF(_xll.HLV5r3.Analytics.Miscellaneous.LinearInterp(Peturbed_QZ,$K347,1,AH$1),ZeroCompFreq,'PDH Calc'!$K347/365)</f>
        <v>1</v>
      </c>
      <c r="AI347" s="8">
        <f ca="1">_xll.HLV5r3.Analytics.Miscellaneous.Zero2DF(_xll.HLV5r3.Analytics.Miscellaneous.LinearInterp(Peturbed_QZ,$K347,1,AI$1),ZeroCompFreq,'PDH Calc'!$K347/365)</f>
        <v>1</v>
      </c>
      <c r="AJ347" s="8">
        <f ca="1">_xll.HLV5r3.Analytics.Miscellaneous.Zero2DF(_xll.HLV5r3.Analytics.Miscellaneous.LinearInterp(Peturbed_QZ,$K347,1,AJ$1),ZeroCompFreq,'PDH Calc'!$K347/365)</f>
        <v>1</v>
      </c>
      <c r="AK347" s="8">
        <f ca="1">_xll.HLV5r3.Analytics.Miscellaneous.Zero2DF(_xll.HLV5r3.Analytics.Miscellaneous.LinearInterp(Peturbed_QZ,$K347,1,AK$1),ZeroCompFreq,'PDH Calc'!$K347/365)</f>
        <v>1</v>
      </c>
    </row>
    <row r="348" spans="1:37">
      <c r="A348" s="4"/>
      <c r="B348" s="6"/>
      <c r="F348" s="11"/>
      <c r="G348" s="6"/>
      <c r="H348" s="20"/>
      <c r="I348" s="21"/>
      <c r="J348" s="26"/>
      <c r="K348" s="6">
        <f t="shared" ca="1" si="12"/>
        <v>0</v>
      </c>
      <c r="L348" s="8">
        <f ca="1">_xll.HLV5r3.Analytics.Miscellaneous.Zero2DF(_xll.HLV5r3.Analytics.Miscellaneous.LinearInterp(Peturbed_QZ,$K348,1,L$1),ZeroCompFreq,'PDH Calc'!$K348/365)</f>
        <v>1</v>
      </c>
      <c r="M348" s="8">
        <f ca="1">_xll.HLV5r3.Analytics.Miscellaneous.Zero2DF(_xll.HLV5r3.Analytics.Miscellaneous.LinearInterp(Peturbed_QZ,$K348,1,M$1),ZeroCompFreq,'PDH Calc'!$K348/365)</f>
        <v>1</v>
      </c>
      <c r="N348" s="8">
        <f ca="1">_xll.HLV5r3.Analytics.Miscellaneous.Zero2DF(_xll.HLV5r3.Analytics.Miscellaneous.LinearInterp(Peturbed_QZ,$K348,1,N$1),ZeroCompFreq,'PDH Calc'!$K348/365)</f>
        <v>1</v>
      </c>
      <c r="O348" s="8">
        <f ca="1">_xll.HLV5r3.Analytics.Miscellaneous.Zero2DF(_xll.HLV5r3.Analytics.Miscellaneous.LinearInterp(Peturbed_QZ,$K348,1,O$1),ZeroCompFreq,'PDH Calc'!$K348/365)</f>
        <v>1</v>
      </c>
      <c r="P348" s="8">
        <f ca="1">_xll.HLV5r3.Analytics.Miscellaneous.Zero2DF(_xll.HLV5r3.Analytics.Miscellaneous.LinearInterp(Peturbed_QZ,$K348,1,P$1),ZeroCompFreq,'PDH Calc'!$K348/365)</f>
        <v>1</v>
      </c>
      <c r="Q348" s="8">
        <f ca="1">_xll.HLV5r3.Analytics.Miscellaneous.Zero2DF(_xll.HLV5r3.Analytics.Miscellaneous.LinearInterp(Peturbed_QZ,$K348,1,Q$1),ZeroCompFreq,'PDH Calc'!$K348/365)</f>
        <v>1</v>
      </c>
      <c r="R348" s="8">
        <f ca="1">_xll.HLV5r3.Analytics.Miscellaneous.Zero2DF(_xll.HLV5r3.Analytics.Miscellaneous.LinearInterp(Peturbed_QZ,$K348,1,R$1),ZeroCompFreq,'PDH Calc'!$K348/365)</f>
        <v>1</v>
      </c>
      <c r="S348" s="8">
        <f ca="1">_xll.HLV5r3.Analytics.Miscellaneous.Zero2DF(_xll.HLV5r3.Analytics.Miscellaneous.LinearInterp(Peturbed_QZ,$K348,1,S$1),ZeroCompFreq,'PDH Calc'!$K348/365)</f>
        <v>1</v>
      </c>
      <c r="T348" s="8">
        <f ca="1">_xll.HLV5r3.Analytics.Miscellaneous.Zero2DF(_xll.HLV5r3.Analytics.Miscellaneous.LinearInterp(Peturbed_QZ,$K348,1,T$1),ZeroCompFreq,'PDH Calc'!$K348/365)</f>
        <v>1</v>
      </c>
      <c r="U348" s="8">
        <f ca="1">_xll.HLV5r3.Analytics.Miscellaneous.Zero2DF(_xll.HLV5r3.Analytics.Miscellaneous.LinearInterp(Peturbed_QZ,$K348,1,U$1),ZeroCompFreq,'PDH Calc'!$K348/365)</f>
        <v>1</v>
      </c>
      <c r="V348" s="8">
        <f ca="1">_xll.HLV5r3.Analytics.Miscellaneous.Zero2DF(_xll.HLV5r3.Analytics.Miscellaneous.LinearInterp(Peturbed_QZ,$K348,1,V$1),ZeroCompFreq,'PDH Calc'!$K348/365)</f>
        <v>1</v>
      </c>
      <c r="W348" s="8">
        <f ca="1">_xll.HLV5r3.Analytics.Miscellaneous.Zero2DF(_xll.HLV5r3.Analytics.Miscellaneous.LinearInterp(Peturbed_QZ,$K348,1,W$1),ZeroCompFreq,'PDH Calc'!$K348/365)</f>
        <v>1</v>
      </c>
      <c r="X348" s="8">
        <f ca="1">_xll.HLV5r3.Analytics.Miscellaneous.Zero2DF(_xll.HLV5r3.Analytics.Miscellaneous.LinearInterp(Peturbed_QZ,$K348,1,X$1),ZeroCompFreq,'PDH Calc'!$K348/365)</f>
        <v>1</v>
      </c>
      <c r="Y348" s="8">
        <f ca="1">_xll.HLV5r3.Analytics.Miscellaneous.Zero2DF(_xll.HLV5r3.Analytics.Miscellaneous.LinearInterp(Peturbed_QZ,$K348,1,Y$1),ZeroCompFreq,'PDH Calc'!$K348/365)</f>
        <v>1</v>
      </c>
      <c r="Z348" s="8">
        <f ca="1">_xll.HLV5r3.Analytics.Miscellaneous.Zero2DF(_xll.HLV5r3.Analytics.Miscellaneous.LinearInterp(Peturbed_QZ,$K348,1,Z$1),ZeroCompFreq,'PDH Calc'!$K348/365)</f>
        <v>1</v>
      </c>
      <c r="AA348" s="8">
        <f ca="1">_xll.HLV5r3.Analytics.Miscellaneous.Zero2DF(_xll.HLV5r3.Analytics.Miscellaneous.LinearInterp(Peturbed_QZ,$K348,1,AA$1),ZeroCompFreq,'PDH Calc'!$K348/365)</f>
        <v>1</v>
      </c>
      <c r="AB348" s="8">
        <f ca="1">_xll.HLV5r3.Analytics.Miscellaneous.Zero2DF(_xll.HLV5r3.Analytics.Miscellaneous.LinearInterp(Peturbed_QZ,$K348,1,AB$1),ZeroCompFreq,'PDH Calc'!$K348/365)</f>
        <v>1</v>
      </c>
      <c r="AC348" s="8">
        <f ca="1">_xll.HLV5r3.Analytics.Miscellaneous.Zero2DF(_xll.HLV5r3.Analytics.Miscellaneous.LinearInterp(Peturbed_QZ,$K348,1,AC$1),ZeroCompFreq,'PDH Calc'!$K348/365)</f>
        <v>1</v>
      </c>
      <c r="AD348" s="8">
        <f ca="1">_xll.HLV5r3.Analytics.Miscellaneous.Zero2DF(_xll.HLV5r3.Analytics.Miscellaneous.LinearInterp(Peturbed_QZ,$K348,1,AD$1),ZeroCompFreq,'PDH Calc'!$K348/365)</f>
        <v>1</v>
      </c>
      <c r="AE348" s="8">
        <f ca="1">_xll.HLV5r3.Analytics.Miscellaneous.Zero2DF(_xll.HLV5r3.Analytics.Miscellaneous.LinearInterp(Peturbed_QZ,$K348,1,AE$1),ZeroCompFreq,'PDH Calc'!$K348/365)</f>
        <v>1</v>
      </c>
      <c r="AF348" s="8">
        <f ca="1">_xll.HLV5r3.Analytics.Miscellaneous.Zero2DF(_xll.HLV5r3.Analytics.Miscellaneous.LinearInterp(Peturbed_QZ,$K348,1,AF$1),ZeroCompFreq,'PDH Calc'!$K348/365)</f>
        <v>1</v>
      </c>
      <c r="AG348" s="8">
        <f ca="1">_xll.HLV5r3.Analytics.Miscellaneous.Zero2DF(_xll.HLV5r3.Analytics.Miscellaneous.LinearInterp(Peturbed_QZ,$K348,1,AG$1),ZeroCompFreq,'PDH Calc'!$K348/365)</f>
        <v>1</v>
      </c>
      <c r="AH348" s="8">
        <f ca="1">_xll.HLV5r3.Analytics.Miscellaneous.Zero2DF(_xll.HLV5r3.Analytics.Miscellaneous.LinearInterp(Peturbed_QZ,$K348,1,AH$1),ZeroCompFreq,'PDH Calc'!$K348/365)</f>
        <v>1</v>
      </c>
      <c r="AI348" s="8">
        <f ca="1">_xll.HLV5r3.Analytics.Miscellaneous.Zero2DF(_xll.HLV5r3.Analytics.Miscellaneous.LinearInterp(Peturbed_QZ,$K348,1,AI$1),ZeroCompFreq,'PDH Calc'!$K348/365)</f>
        <v>1</v>
      </c>
      <c r="AJ348" s="8">
        <f ca="1">_xll.HLV5r3.Analytics.Miscellaneous.Zero2DF(_xll.HLV5r3.Analytics.Miscellaneous.LinearInterp(Peturbed_QZ,$K348,1,AJ$1),ZeroCompFreq,'PDH Calc'!$K348/365)</f>
        <v>1</v>
      </c>
      <c r="AK348" s="8">
        <f ca="1">_xll.HLV5r3.Analytics.Miscellaneous.Zero2DF(_xll.HLV5r3.Analytics.Miscellaneous.LinearInterp(Peturbed_QZ,$K348,1,AK$1),ZeroCompFreq,'PDH Calc'!$K348/365)</f>
        <v>1</v>
      </c>
    </row>
    <row r="349" spans="1:37">
      <c r="A349" s="4"/>
      <c r="B349" s="6"/>
      <c r="F349" s="11"/>
      <c r="G349" s="6"/>
      <c r="H349" s="20"/>
      <c r="I349" s="21"/>
      <c r="J349" s="26"/>
      <c r="K349" s="6">
        <f t="shared" ca="1" si="12"/>
        <v>0</v>
      </c>
      <c r="L349" s="8">
        <f ca="1">_xll.HLV5r3.Analytics.Miscellaneous.Zero2DF(_xll.HLV5r3.Analytics.Miscellaneous.LinearInterp(Peturbed_QZ,$K349,1,L$1),ZeroCompFreq,'PDH Calc'!$K349/365)</f>
        <v>1</v>
      </c>
      <c r="M349" s="8">
        <f ca="1">_xll.HLV5r3.Analytics.Miscellaneous.Zero2DF(_xll.HLV5r3.Analytics.Miscellaneous.LinearInterp(Peturbed_QZ,$K349,1,M$1),ZeroCompFreq,'PDH Calc'!$K349/365)</f>
        <v>1</v>
      </c>
      <c r="N349" s="8">
        <f ca="1">_xll.HLV5r3.Analytics.Miscellaneous.Zero2DF(_xll.HLV5r3.Analytics.Miscellaneous.LinearInterp(Peturbed_QZ,$K349,1,N$1),ZeroCompFreq,'PDH Calc'!$K349/365)</f>
        <v>1</v>
      </c>
      <c r="O349" s="8">
        <f ca="1">_xll.HLV5r3.Analytics.Miscellaneous.Zero2DF(_xll.HLV5r3.Analytics.Miscellaneous.LinearInterp(Peturbed_QZ,$K349,1,O$1),ZeroCompFreq,'PDH Calc'!$K349/365)</f>
        <v>1</v>
      </c>
      <c r="P349" s="8">
        <f ca="1">_xll.HLV5r3.Analytics.Miscellaneous.Zero2DF(_xll.HLV5r3.Analytics.Miscellaneous.LinearInterp(Peturbed_QZ,$K349,1,P$1),ZeroCompFreq,'PDH Calc'!$K349/365)</f>
        <v>1</v>
      </c>
      <c r="Q349" s="8">
        <f ca="1">_xll.HLV5r3.Analytics.Miscellaneous.Zero2DF(_xll.HLV5r3.Analytics.Miscellaneous.LinearInterp(Peturbed_QZ,$K349,1,Q$1),ZeroCompFreq,'PDH Calc'!$K349/365)</f>
        <v>1</v>
      </c>
      <c r="R349" s="8">
        <f ca="1">_xll.HLV5r3.Analytics.Miscellaneous.Zero2DF(_xll.HLV5r3.Analytics.Miscellaneous.LinearInterp(Peturbed_QZ,$K349,1,R$1),ZeroCompFreq,'PDH Calc'!$K349/365)</f>
        <v>1</v>
      </c>
      <c r="S349" s="8">
        <f ca="1">_xll.HLV5r3.Analytics.Miscellaneous.Zero2DF(_xll.HLV5r3.Analytics.Miscellaneous.LinearInterp(Peturbed_QZ,$K349,1,S$1),ZeroCompFreq,'PDH Calc'!$K349/365)</f>
        <v>1</v>
      </c>
      <c r="T349" s="8">
        <f ca="1">_xll.HLV5r3.Analytics.Miscellaneous.Zero2DF(_xll.HLV5r3.Analytics.Miscellaneous.LinearInterp(Peturbed_QZ,$K349,1,T$1),ZeroCompFreq,'PDH Calc'!$K349/365)</f>
        <v>1</v>
      </c>
      <c r="U349" s="8">
        <f ca="1">_xll.HLV5r3.Analytics.Miscellaneous.Zero2DF(_xll.HLV5r3.Analytics.Miscellaneous.LinearInterp(Peturbed_QZ,$K349,1,U$1),ZeroCompFreq,'PDH Calc'!$K349/365)</f>
        <v>1</v>
      </c>
      <c r="V349" s="8">
        <f ca="1">_xll.HLV5r3.Analytics.Miscellaneous.Zero2DF(_xll.HLV5r3.Analytics.Miscellaneous.LinearInterp(Peturbed_QZ,$K349,1,V$1),ZeroCompFreq,'PDH Calc'!$K349/365)</f>
        <v>1</v>
      </c>
      <c r="W349" s="8">
        <f ca="1">_xll.HLV5r3.Analytics.Miscellaneous.Zero2DF(_xll.HLV5r3.Analytics.Miscellaneous.LinearInterp(Peturbed_QZ,$K349,1,W$1),ZeroCompFreq,'PDH Calc'!$K349/365)</f>
        <v>1</v>
      </c>
      <c r="X349" s="8">
        <f ca="1">_xll.HLV5r3.Analytics.Miscellaneous.Zero2DF(_xll.HLV5r3.Analytics.Miscellaneous.LinearInterp(Peturbed_QZ,$K349,1,X$1),ZeroCompFreq,'PDH Calc'!$K349/365)</f>
        <v>1</v>
      </c>
      <c r="Y349" s="8">
        <f ca="1">_xll.HLV5r3.Analytics.Miscellaneous.Zero2DF(_xll.HLV5r3.Analytics.Miscellaneous.LinearInterp(Peturbed_QZ,$K349,1,Y$1),ZeroCompFreq,'PDH Calc'!$K349/365)</f>
        <v>1</v>
      </c>
      <c r="Z349" s="8">
        <f ca="1">_xll.HLV5r3.Analytics.Miscellaneous.Zero2DF(_xll.HLV5r3.Analytics.Miscellaneous.LinearInterp(Peturbed_QZ,$K349,1,Z$1),ZeroCompFreq,'PDH Calc'!$K349/365)</f>
        <v>1</v>
      </c>
      <c r="AA349" s="8">
        <f ca="1">_xll.HLV5r3.Analytics.Miscellaneous.Zero2DF(_xll.HLV5r3.Analytics.Miscellaneous.LinearInterp(Peturbed_QZ,$K349,1,AA$1),ZeroCompFreq,'PDH Calc'!$K349/365)</f>
        <v>1</v>
      </c>
      <c r="AB349" s="8">
        <f ca="1">_xll.HLV5r3.Analytics.Miscellaneous.Zero2DF(_xll.HLV5r3.Analytics.Miscellaneous.LinearInterp(Peturbed_QZ,$K349,1,AB$1),ZeroCompFreq,'PDH Calc'!$K349/365)</f>
        <v>1</v>
      </c>
      <c r="AC349" s="8">
        <f ca="1">_xll.HLV5r3.Analytics.Miscellaneous.Zero2DF(_xll.HLV5r3.Analytics.Miscellaneous.LinearInterp(Peturbed_QZ,$K349,1,AC$1),ZeroCompFreq,'PDH Calc'!$K349/365)</f>
        <v>1</v>
      </c>
      <c r="AD349" s="8">
        <f ca="1">_xll.HLV5r3.Analytics.Miscellaneous.Zero2DF(_xll.HLV5r3.Analytics.Miscellaneous.LinearInterp(Peturbed_QZ,$K349,1,AD$1),ZeroCompFreq,'PDH Calc'!$K349/365)</f>
        <v>1</v>
      </c>
      <c r="AE349" s="8">
        <f ca="1">_xll.HLV5r3.Analytics.Miscellaneous.Zero2DF(_xll.HLV5r3.Analytics.Miscellaneous.LinearInterp(Peturbed_QZ,$K349,1,AE$1),ZeroCompFreq,'PDH Calc'!$K349/365)</f>
        <v>1</v>
      </c>
      <c r="AF349" s="8">
        <f ca="1">_xll.HLV5r3.Analytics.Miscellaneous.Zero2DF(_xll.HLV5r3.Analytics.Miscellaneous.LinearInterp(Peturbed_QZ,$K349,1,AF$1),ZeroCompFreq,'PDH Calc'!$K349/365)</f>
        <v>1</v>
      </c>
      <c r="AG349" s="8">
        <f ca="1">_xll.HLV5r3.Analytics.Miscellaneous.Zero2DF(_xll.HLV5r3.Analytics.Miscellaneous.LinearInterp(Peturbed_QZ,$K349,1,AG$1),ZeroCompFreq,'PDH Calc'!$K349/365)</f>
        <v>1</v>
      </c>
      <c r="AH349" s="8">
        <f ca="1">_xll.HLV5r3.Analytics.Miscellaneous.Zero2DF(_xll.HLV5r3.Analytics.Miscellaneous.LinearInterp(Peturbed_QZ,$K349,1,AH$1),ZeroCompFreq,'PDH Calc'!$K349/365)</f>
        <v>1</v>
      </c>
      <c r="AI349" s="8">
        <f ca="1">_xll.HLV5r3.Analytics.Miscellaneous.Zero2DF(_xll.HLV5r3.Analytics.Miscellaneous.LinearInterp(Peturbed_QZ,$K349,1,AI$1),ZeroCompFreq,'PDH Calc'!$K349/365)</f>
        <v>1</v>
      </c>
      <c r="AJ349" s="8">
        <f ca="1">_xll.HLV5r3.Analytics.Miscellaneous.Zero2DF(_xll.HLV5r3.Analytics.Miscellaneous.LinearInterp(Peturbed_QZ,$K349,1,AJ$1),ZeroCompFreq,'PDH Calc'!$K349/365)</f>
        <v>1</v>
      </c>
      <c r="AK349" s="8">
        <f ca="1">_xll.HLV5r3.Analytics.Miscellaneous.Zero2DF(_xll.HLV5r3.Analytics.Miscellaneous.LinearInterp(Peturbed_QZ,$K349,1,AK$1),ZeroCompFreq,'PDH Calc'!$K349/365)</f>
        <v>1</v>
      </c>
    </row>
    <row r="350" spans="1:37">
      <c r="A350" s="4"/>
      <c r="B350" s="6"/>
      <c r="F350" s="11"/>
      <c r="G350" s="6"/>
      <c r="H350" s="20"/>
      <c r="I350" s="21"/>
      <c r="J350" s="26"/>
      <c r="K350" s="6">
        <f t="shared" ca="1" si="12"/>
        <v>0</v>
      </c>
      <c r="L350" s="8">
        <f ca="1">_xll.HLV5r3.Analytics.Miscellaneous.Zero2DF(_xll.HLV5r3.Analytics.Miscellaneous.LinearInterp(Peturbed_QZ,$K350,1,L$1),ZeroCompFreq,'PDH Calc'!$K350/365)</f>
        <v>1</v>
      </c>
      <c r="M350" s="8">
        <f ca="1">_xll.HLV5r3.Analytics.Miscellaneous.Zero2DF(_xll.HLV5r3.Analytics.Miscellaneous.LinearInterp(Peturbed_QZ,$K350,1,M$1),ZeroCompFreq,'PDH Calc'!$K350/365)</f>
        <v>1</v>
      </c>
      <c r="N350" s="8">
        <f ca="1">_xll.HLV5r3.Analytics.Miscellaneous.Zero2DF(_xll.HLV5r3.Analytics.Miscellaneous.LinearInterp(Peturbed_QZ,$K350,1,N$1),ZeroCompFreq,'PDH Calc'!$K350/365)</f>
        <v>1</v>
      </c>
      <c r="O350" s="8">
        <f ca="1">_xll.HLV5r3.Analytics.Miscellaneous.Zero2DF(_xll.HLV5r3.Analytics.Miscellaneous.LinearInterp(Peturbed_QZ,$K350,1,O$1),ZeroCompFreq,'PDH Calc'!$K350/365)</f>
        <v>1</v>
      </c>
      <c r="P350" s="8">
        <f ca="1">_xll.HLV5r3.Analytics.Miscellaneous.Zero2DF(_xll.HLV5r3.Analytics.Miscellaneous.LinearInterp(Peturbed_QZ,$K350,1,P$1),ZeroCompFreq,'PDH Calc'!$K350/365)</f>
        <v>1</v>
      </c>
      <c r="Q350" s="8">
        <f ca="1">_xll.HLV5r3.Analytics.Miscellaneous.Zero2DF(_xll.HLV5r3.Analytics.Miscellaneous.LinearInterp(Peturbed_QZ,$K350,1,Q$1),ZeroCompFreq,'PDH Calc'!$K350/365)</f>
        <v>1</v>
      </c>
      <c r="R350" s="8">
        <f ca="1">_xll.HLV5r3.Analytics.Miscellaneous.Zero2DF(_xll.HLV5r3.Analytics.Miscellaneous.LinearInterp(Peturbed_QZ,$K350,1,R$1),ZeroCompFreq,'PDH Calc'!$K350/365)</f>
        <v>1</v>
      </c>
      <c r="S350" s="8">
        <f ca="1">_xll.HLV5r3.Analytics.Miscellaneous.Zero2DF(_xll.HLV5r3.Analytics.Miscellaneous.LinearInterp(Peturbed_QZ,$K350,1,S$1),ZeroCompFreq,'PDH Calc'!$K350/365)</f>
        <v>1</v>
      </c>
      <c r="T350" s="8">
        <f ca="1">_xll.HLV5r3.Analytics.Miscellaneous.Zero2DF(_xll.HLV5r3.Analytics.Miscellaneous.LinearInterp(Peturbed_QZ,$K350,1,T$1),ZeroCompFreq,'PDH Calc'!$K350/365)</f>
        <v>1</v>
      </c>
      <c r="U350" s="8">
        <f ca="1">_xll.HLV5r3.Analytics.Miscellaneous.Zero2DF(_xll.HLV5r3.Analytics.Miscellaneous.LinearInterp(Peturbed_QZ,$K350,1,U$1),ZeroCompFreq,'PDH Calc'!$K350/365)</f>
        <v>1</v>
      </c>
      <c r="V350" s="8">
        <f ca="1">_xll.HLV5r3.Analytics.Miscellaneous.Zero2DF(_xll.HLV5r3.Analytics.Miscellaneous.LinearInterp(Peturbed_QZ,$K350,1,V$1),ZeroCompFreq,'PDH Calc'!$K350/365)</f>
        <v>1</v>
      </c>
      <c r="W350" s="8">
        <f ca="1">_xll.HLV5r3.Analytics.Miscellaneous.Zero2DF(_xll.HLV5r3.Analytics.Miscellaneous.LinearInterp(Peturbed_QZ,$K350,1,W$1),ZeroCompFreq,'PDH Calc'!$K350/365)</f>
        <v>1</v>
      </c>
      <c r="X350" s="8">
        <f ca="1">_xll.HLV5r3.Analytics.Miscellaneous.Zero2DF(_xll.HLV5r3.Analytics.Miscellaneous.LinearInterp(Peturbed_QZ,$K350,1,X$1),ZeroCompFreq,'PDH Calc'!$K350/365)</f>
        <v>1</v>
      </c>
      <c r="Y350" s="8">
        <f ca="1">_xll.HLV5r3.Analytics.Miscellaneous.Zero2DF(_xll.HLV5r3.Analytics.Miscellaneous.LinearInterp(Peturbed_QZ,$K350,1,Y$1),ZeroCompFreq,'PDH Calc'!$K350/365)</f>
        <v>1</v>
      </c>
      <c r="Z350" s="8">
        <f ca="1">_xll.HLV5r3.Analytics.Miscellaneous.Zero2DF(_xll.HLV5r3.Analytics.Miscellaneous.LinearInterp(Peturbed_QZ,$K350,1,Z$1),ZeroCompFreq,'PDH Calc'!$K350/365)</f>
        <v>1</v>
      </c>
      <c r="AA350" s="8">
        <f ca="1">_xll.HLV5r3.Analytics.Miscellaneous.Zero2DF(_xll.HLV5r3.Analytics.Miscellaneous.LinearInterp(Peturbed_QZ,$K350,1,AA$1),ZeroCompFreq,'PDH Calc'!$K350/365)</f>
        <v>1</v>
      </c>
      <c r="AB350" s="8">
        <f ca="1">_xll.HLV5r3.Analytics.Miscellaneous.Zero2DF(_xll.HLV5r3.Analytics.Miscellaneous.LinearInterp(Peturbed_QZ,$K350,1,AB$1),ZeroCompFreq,'PDH Calc'!$K350/365)</f>
        <v>1</v>
      </c>
      <c r="AC350" s="8">
        <f ca="1">_xll.HLV5r3.Analytics.Miscellaneous.Zero2DF(_xll.HLV5r3.Analytics.Miscellaneous.LinearInterp(Peturbed_QZ,$K350,1,AC$1),ZeroCompFreq,'PDH Calc'!$K350/365)</f>
        <v>1</v>
      </c>
      <c r="AD350" s="8">
        <f ca="1">_xll.HLV5r3.Analytics.Miscellaneous.Zero2DF(_xll.HLV5r3.Analytics.Miscellaneous.LinearInterp(Peturbed_QZ,$K350,1,AD$1),ZeroCompFreq,'PDH Calc'!$K350/365)</f>
        <v>1</v>
      </c>
      <c r="AE350" s="8">
        <f ca="1">_xll.HLV5r3.Analytics.Miscellaneous.Zero2DF(_xll.HLV5r3.Analytics.Miscellaneous.LinearInterp(Peturbed_QZ,$K350,1,AE$1),ZeroCompFreq,'PDH Calc'!$K350/365)</f>
        <v>1</v>
      </c>
      <c r="AF350" s="8">
        <f ca="1">_xll.HLV5r3.Analytics.Miscellaneous.Zero2DF(_xll.HLV5r3.Analytics.Miscellaneous.LinearInterp(Peturbed_QZ,$K350,1,AF$1),ZeroCompFreq,'PDH Calc'!$K350/365)</f>
        <v>1</v>
      </c>
      <c r="AG350" s="8">
        <f ca="1">_xll.HLV5r3.Analytics.Miscellaneous.Zero2DF(_xll.HLV5r3.Analytics.Miscellaneous.LinearInterp(Peturbed_QZ,$K350,1,AG$1),ZeroCompFreq,'PDH Calc'!$K350/365)</f>
        <v>1</v>
      </c>
      <c r="AH350" s="8">
        <f ca="1">_xll.HLV5r3.Analytics.Miscellaneous.Zero2DF(_xll.HLV5r3.Analytics.Miscellaneous.LinearInterp(Peturbed_QZ,$K350,1,AH$1),ZeroCompFreq,'PDH Calc'!$K350/365)</f>
        <v>1</v>
      </c>
      <c r="AI350" s="8">
        <f ca="1">_xll.HLV5r3.Analytics.Miscellaneous.Zero2DF(_xll.HLV5r3.Analytics.Miscellaneous.LinearInterp(Peturbed_QZ,$K350,1,AI$1),ZeroCompFreq,'PDH Calc'!$K350/365)</f>
        <v>1</v>
      </c>
      <c r="AJ350" s="8">
        <f ca="1">_xll.HLV5r3.Analytics.Miscellaneous.Zero2DF(_xll.HLV5r3.Analytics.Miscellaneous.LinearInterp(Peturbed_QZ,$K350,1,AJ$1),ZeroCompFreq,'PDH Calc'!$K350/365)</f>
        <v>1</v>
      </c>
      <c r="AK350" s="8">
        <f ca="1">_xll.HLV5r3.Analytics.Miscellaneous.Zero2DF(_xll.HLV5r3.Analytics.Miscellaneous.LinearInterp(Peturbed_QZ,$K350,1,AK$1),ZeroCompFreq,'PDH Calc'!$K350/365)</f>
        <v>1</v>
      </c>
    </row>
    <row r="351" spans="1:37">
      <c r="A351" s="4"/>
      <c r="B351" s="6"/>
      <c r="F351" s="11"/>
      <c r="G351" s="6"/>
      <c r="H351" s="20"/>
      <c r="I351" s="21"/>
      <c r="J351" s="26"/>
      <c r="K351" s="6">
        <f t="shared" ca="1" si="12"/>
        <v>0</v>
      </c>
      <c r="L351" s="8">
        <f ca="1">_xll.HLV5r3.Analytics.Miscellaneous.Zero2DF(_xll.HLV5r3.Analytics.Miscellaneous.LinearInterp(Peturbed_QZ,$K351,1,L$1),ZeroCompFreq,'PDH Calc'!$K351/365)</f>
        <v>1</v>
      </c>
      <c r="M351" s="8">
        <f ca="1">_xll.HLV5r3.Analytics.Miscellaneous.Zero2DF(_xll.HLV5r3.Analytics.Miscellaneous.LinearInterp(Peturbed_QZ,$K351,1,M$1),ZeroCompFreq,'PDH Calc'!$K351/365)</f>
        <v>1</v>
      </c>
      <c r="N351" s="8">
        <f ca="1">_xll.HLV5r3.Analytics.Miscellaneous.Zero2DF(_xll.HLV5r3.Analytics.Miscellaneous.LinearInterp(Peturbed_QZ,$K351,1,N$1),ZeroCompFreq,'PDH Calc'!$K351/365)</f>
        <v>1</v>
      </c>
      <c r="O351" s="8">
        <f ca="1">_xll.HLV5r3.Analytics.Miscellaneous.Zero2DF(_xll.HLV5r3.Analytics.Miscellaneous.LinearInterp(Peturbed_QZ,$K351,1,O$1),ZeroCompFreq,'PDH Calc'!$K351/365)</f>
        <v>1</v>
      </c>
      <c r="P351" s="8">
        <f ca="1">_xll.HLV5r3.Analytics.Miscellaneous.Zero2DF(_xll.HLV5r3.Analytics.Miscellaneous.LinearInterp(Peturbed_QZ,$K351,1,P$1),ZeroCompFreq,'PDH Calc'!$K351/365)</f>
        <v>1</v>
      </c>
      <c r="Q351" s="8">
        <f ca="1">_xll.HLV5r3.Analytics.Miscellaneous.Zero2DF(_xll.HLV5r3.Analytics.Miscellaneous.LinearInterp(Peturbed_QZ,$K351,1,Q$1),ZeroCompFreq,'PDH Calc'!$K351/365)</f>
        <v>1</v>
      </c>
      <c r="R351" s="8">
        <f ca="1">_xll.HLV5r3.Analytics.Miscellaneous.Zero2DF(_xll.HLV5r3.Analytics.Miscellaneous.LinearInterp(Peturbed_QZ,$K351,1,R$1),ZeroCompFreq,'PDH Calc'!$K351/365)</f>
        <v>1</v>
      </c>
      <c r="S351" s="8">
        <f ca="1">_xll.HLV5r3.Analytics.Miscellaneous.Zero2DF(_xll.HLV5r3.Analytics.Miscellaneous.LinearInterp(Peturbed_QZ,$K351,1,S$1),ZeroCompFreq,'PDH Calc'!$K351/365)</f>
        <v>1</v>
      </c>
      <c r="T351" s="8">
        <f ca="1">_xll.HLV5r3.Analytics.Miscellaneous.Zero2DF(_xll.HLV5r3.Analytics.Miscellaneous.LinearInterp(Peturbed_QZ,$K351,1,T$1),ZeroCompFreq,'PDH Calc'!$K351/365)</f>
        <v>1</v>
      </c>
      <c r="U351" s="8">
        <f ca="1">_xll.HLV5r3.Analytics.Miscellaneous.Zero2DF(_xll.HLV5r3.Analytics.Miscellaneous.LinearInterp(Peturbed_QZ,$K351,1,U$1),ZeroCompFreq,'PDH Calc'!$K351/365)</f>
        <v>1</v>
      </c>
      <c r="V351" s="8">
        <f ca="1">_xll.HLV5r3.Analytics.Miscellaneous.Zero2DF(_xll.HLV5r3.Analytics.Miscellaneous.LinearInterp(Peturbed_QZ,$K351,1,V$1),ZeroCompFreq,'PDH Calc'!$K351/365)</f>
        <v>1</v>
      </c>
      <c r="W351" s="8">
        <f ca="1">_xll.HLV5r3.Analytics.Miscellaneous.Zero2DF(_xll.HLV5r3.Analytics.Miscellaneous.LinearInterp(Peturbed_QZ,$K351,1,W$1),ZeroCompFreq,'PDH Calc'!$K351/365)</f>
        <v>1</v>
      </c>
      <c r="X351" s="8">
        <f ca="1">_xll.HLV5r3.Analytics.Miscellaneous.Zero2DF(_xll.HLV5r3.Analytics.Miscellaneous.LinearInterp(Peturbed_QZ,$K351,1,X$1),ZeroCompFreq,'PDH Calc'!$K351/365)</f>
        <v>1</v>
      </c>
      <c r="Y351" s="8">
        <f ca="1">_xll.HLV5r3.Analytics.Miscellaneous.Zero2DF(_xll.HLV5r3.Analytics.Miscellaneous.LinearInterp(Peturbed_QZ,$K351,1,Y$1),ZeroCompFreq,'PDH Calc'!$K351/365)</f>
        <v>1</v>
      </c>
      <c r="Z351" s="8">
        <f ca="1">_xll.HLV5r3.Analytics.Miscellaneous.Zero2DF(_xll.HLV5r3.Analytics.Miscellaneous.LinearInterp(Peturbed_QZ,$K351,1,Z$1),ZeroCompFreq,'PDH Calc'!$K351/365)</f>
        <v>1</v>
      </c>
      <c r="AA351" s="8">
        <f ca="1">_xll.HLV5r3.Analytics.Miscellaneous.Zero2DF(_xll.HLV5r3.Analytics.Miscellaneous.LinearInterp(Peturbed_QZ,$K351,1,AA$1),ZeroCompFreq,'PDH Calc'!$K351/365)</f>
        <v>1</v>
      </c>
      <c r="AB351" s="8">
        <f ca="1">_xll.HLV5r3.Analytics.Miscellaneous.Zero2DF(_xll.HLV5r3.Analytics.Miscellaneous.LinearInterp(Peturbed_QZ,$K351,1,AB$1),ZeroCompFreq,'PDH Calc'!$K351/365)</f>
        <v>1</v>
      </c>
      <c r="AC351" s="8">
        <f ca="1">_xll.HLV5r3.Analytics.Miscellaneous.Zero2DF(_xll.HLV5r3.Analytics.Miscellaneous.LinearInterp(Peturbed_QZ,$K351,1,AC$1),ZeroCompFreq,'PDH Calc'!$K351/365)</f>
        <v>1</v>
      </c>
      <c r="AD351" s="8">
        <f ca="1">_xll.HLV5r3.Analytics.Miscellaneous.Zero2DF(_xll.HLV5r3.Analytics.Miscellaneous.LinearInterp(Peturbed_QZ,$K351,1,AD$1),ZeroCompFreq,'PDH Calc'!$K351/365)</f>
        <v>1</v>
      </c>
      <c r="AE351" s="8">
        <f ca="1">_xll.HLV5r3.Analytics.Miscellaneous.Zero2DF(_xll.HLV5r3.Analytics.Miscellaneous.LinearInterp(Peturbed_QZ,$K351,1,AE$1),ZeroCompFreq,'PDH Calc'!$K351/365)</f>
        <v>1</v>
      </c>
      <c r="AF351" s="8">
        <f ca="1">_xll.HLV5r3.Analytics.Miscellaneous.Zero2DF(_xll.HLV5r3.Analytics.Miscellaneous.LinearInterp(Peturbed_QZ,$K351,1,AF$1),ZeroCompFreq,'PDH Calc'!$K351/365)</f>
        <v>1</v>
      </c>
      <c r="AG351" s="8">
        <f ca="1">_xll.HLV5r3.Analytics.Miscellaneous.Zero2DF(_xll.HLV5r3.Analytics.Miscellaneous.LinearInterp(Peturbed_QZ,$K351,1,AG$1),ZeroCompFreq,'PDH Calc'!$K351/365)</f>
        <v>1</v>
      </c>
      <c r="AH351" s="8">
        <f ca="1">_xll.HLV5r3.Analytics.Miscellaneous.Zero2DF(_xll.HLV5r3.Analytics.Miscellaneous.LinearInterp(Peturbed_QZ,$K351,1,AH$1),ZeroCompFreq,'PDH Calc'!$K351/365)</f>
        <v>1</v>
      </c>
      <c r="AI351" s="8">
        <f ca="1">_xll.HLV5r3.Analytics.Miscellaneous.Zero2DF(_xll.HLV5r3.Analytics.Miscellaneous.LinearInterp(Peturbed_QZ,$K351,1,AI$1),ZeroCompFreq,'PDH Calc'!$K351/365)</f>
        <v>1</v>
      </c>
      <c r="AJ351" s="8">
        <f ca="1">_xll.HLV5r3.Analytics.Miscellaneous.Zero2DF(_xll.HLV5r3.Analytics.Miscellaneous.LinearInterp(Peturbed_QZ,$K351,1,AJ$1),ZeroCompFreq,'PDH Calc'!$K351/365)</f>
        <v>1</v>
      </c>
      <c r="AK351" s="8">
        <f ca="1">_xll.HLV5r3.Analytics.Miscellaneous.Zero2DF(_xll.HLV5r3.Analytics.Miscellaneous.LinearInterp(Peturbed_QZ,$K351,1,AK$1),ZeroCompFreq,'PDH Calc'!$K351/365)</f>
        <v>1</v>
      </c>
    </row>
    <row r="352" spans="1:37">
      <c r="A352" s="4"/>
      <c r="B352" s="6"/>
      <c r="F352" s="11"/>
      <c r="G352" s="6"/>
      <c r="H352" s="20"/>
      <c r="I352" s="21"/>
      <c r="J352" s="26"/>
      <c r="K352" s="6">
        <f t="shared" ca="1" si="12"/>
        <v>0</v>
      </c>
      <c r="L352" s="8">
        <f ca="1">_xll.HLV5r3.Analytics.Miscellaneous.Zero2DF(_xll.HLV5r3.Analytics.Miscellaneous.LinearInterp(Peturbed_QZ,$K352,1,L$1),ZeroCompFreq,'PDH Calc'!$K352/365)</f>
        <v>1</v>
      </c>
      <c r="M352" s="8">
        <f ca="1">_xll.HLV5r3.Analytics.Miscellaneous.Zero2DF(_xll.HLV5r3.Analytics.Miscellaneous.LinearInterp(Peturbed_QZ,$K352,1,M$1),ZeroCompFreq,'PDH Calc'!$K352/365)</f>
        <v>1</v>
      </c>
      <c r="N352" s="8">
        <f ca="1">_xll.HLV5r3.Analytics.Miscellaneous.Zero2DF(_xll.HLV5r3.Analytics.Miscellaneous.LinearInterp(Peturbed_QZ,$K352,1,N$1),ZeroCompFreq,'PDH Calc'!$K352/365)</f>
        <v>1</v>
      </c>
      <c r="O352" s="8">
        <f ca="1">_xll.HLV5r3.Analytics.Miscellaneous.Zero2DF(_xll.HLV5r3.Analytics.Miscellaneous.LinearInterp(Peturbed_QZ,$K352,1,O$1),ZeroCompFreq,'PDH Calc'!$K352/365)</f>
        <v>1</v>
      </c>
      <c r="P352" s="8">
        <f ca="1">_xll.HLV5r3.Analytics.Miscellaneous.Zero2DF(_xll.HLV5r3.Analytics.Miscellaneous.LinearInterp(Peturbed_QZ,$K352,1,P$1),ZeroCompFreq,'PDH Calc'!$K352/365)</f>
        <v>1</v>
      </c>
      <c r="Q352" s="8">
        <f ca="1">_xll.HLV5r3.Analytics.Miscellaneous.Zero2DF(_xll.HLV5r3.Analytics.Miscellaneous.LinearInterp(Peturbed_QZ,$K352,1,Q$1),ZeroCompFreq,'PDH Calc'!$K352/365)</f>
        <v>1</v>
      </c>
      <c r="R352" s="8">
        <f ca="1">_xll.HLV5r3.Analytics.Miscellaneous.Zero2DF(_xll.HLV5r3.Analytics.Miscellaneous.LinearInterp(Peturbed_QZ,$K352,1,R$1),ZeroCompFreq,'PDH Calc'!$K352/365)</f>
        <v>1</v>
      </c>
      <c r="S352" s="8">
        <f ca="1">_xll.HLV5r3.Analytics.Miscellaneous.Zero2DF(_xll.HLV5r3.Analytics.Miscellaneous.LinearInterp(Peturbed_QZ,$K352,1,S$1),ZeroCompFreq,'PDH Calc'!$K352/365)</f>
        <v>1</v>
      </c>
      <c r="T352" s="8">
        <f ca="1">_xll.HLV5r3.Analytics.Miscellaneous.Zero2DF(_xll.HLV5r3.Analytics.Miscellaneous.LinearInterp(Peturbed_QZ,$K352,1,T$1),ZeroCompFreq,'PDH Calc'!$K352/365)</f>
        <v>1</v>
      </c>
      <c r="U352" s="8">
        <f ca="1">_xll.HLV5r3.Analytics.Miscellaneous.Zero2DF(_xll.HLV5r3.Analytics.Miscellaneous.LinearInterp(Peturbed_QZ,$K352,1,U$1),ZeroCompFreq,'PDH Calc'!$K352/365)</f>
        <v>1</v>
      </c>
      <c r="V352" s="8">
        <f ca="1">_xll.HLV5r3.Analytics.Miscellaneous.Zero2DF(_xll.HLV5r3.Analytics.Miscellaneous.LinearInterp(Peturbed_QZ,$K352,1,V$1),ZeroCompFreq,'PDH Calc'!$K352/365)</f>
        <v>1</v>
      </c>
      <c r="W352" s="8">
        <f ca="1">_xll.HLV5r3.Analytics.Miscellaneous.Zero2DF(_xll.HLV5r3.Analytics.Miscellaneous.LinearInterp(Peturbed_QZ,$K352,1,W$1),ZeroCompFreq,'PDH Calc'!$K352/365)</f>
        <v>1</v>
      </c>
      <c r="X352" s="8">
        <f ca="1">_xll.HLV5r3.Analytics.Miscellaneous.Zero2DF(_xll.HLV5r3.Analytics.Miscellaneous.LinearInterp(Peturbed_QZ,$K352,1,X$1),ZeroCompFreq,'PDH Calc'!$K352/365)</f>
        <v>1</v>
      </c>
      <c r="Y352" s="8">
        <f ca="1">_xll.HLV5r3.Analytics.Miscellaneous.Zero2DF(_xll.HLV5r3.Analytics.Miscellaneous.LinearInterp(Peturbed_QZ,$K352,1,Y$1),ZeroCompFreq,'PDH Calc'!$K352/365)</f>
        <v>1</v>
      </c>
      <c r="Z352" s="8">
        <f ca="1">_xll.HLV5r3.Analytics.Miscellaneous.Zero2DF(_xll.HLV5r3.Analytics.Miscellaneous.LinearInterp(Peturbed_QZ,$K352,1,Z$1),ZeroCompFreq,'PDH Calc'!$K352/365)</f>
        <v>1</v>
      </c>
      <c r="AA352" s="8">
        <f ca="1">_xll.HLV5r3.Analytics.Miscellaneous.Zero2DF(_xll.HLV5r3.Analytics.Miscellaneous.LinearInterp(Peturbed_QZ,$K352,1,AA$1),ZeroCompFreq,'PDH Calc'!$K352/365)</f>
        <v>1</v>
      </c>
      <c r="AB352" s="8">
        <f ca="1">_xll.HLV5r3.Analytics.Miscellaneous.Zero2DF(_xll.HLV5r3.Analytics.Miscellaneous.LinearInterp(Peturbed_QZ,$K352,1,AB$1),ZeroCompFreq,'PDH Calc'!$K352/365)</f>
        <v>1</v>
      </c>
      <c r="AC352" s="8">
        <f ca="1">_xll.HLV5r3.Analytics.Miscellaneous.Zero2DF(_xll.HLV5r3.Analytics.Miscellaneous.LinearInterp(Peturbed_QZ,$K352,1,AC$1),ZeroCompFreq,'PDH Calc'!$K352/365)</f>
        <v>1</v>
      </c>
      <c r="AD352" s="8">
        <f ca="1">_xll.HLV5r3.Analytics.Miscellaneous.Zero2DF(_xll.HLV5r3.Analytics.Miscellaneous.LinearInterp(Peturbed_QZ,$K352,1,AD$1),ZeroCompFreq,'PDH Calc'!$K352/365)</f>
        <v>1</v>
      </c>
      <c r="AE352" s="8">
        <f ca="1">_xll.HLV5r3.Analytics.Miscellaneous.Zero2DF(_xll.HLV5r3.Analytics.Miscellaneous.LinearInterp(Peturbed_QZ,$K352,1,AE$1),ZeroCompFreq,'PDH Calc'!$K352/365)</f>
        <v>1</v>
      </c>
      <c r="AF352" s="8">
        <f ca="1">_xll.HLV5r3.Analytics.Miscellaneous.Zero2DF(_xll.HLV5r3.Analytics.Miscellaneous.LinearInterp(Peturbed_QZ,$K352,1,AF$1),ZeroCompFreq,'PDH Calc'!$K352/365)</f>
        <v>1</v>
      </c>
      <c r="AG352" s="8">
        <f ca="1">_xll.HLV5r3.Analytics.Miscellaneous.Zero2DF(_xll.HLV5r3.Analytics.Miscellaneous.LinearInterp(Peturbed_QZ,$K352,1,AG$1),ZeroCompFreq,'PDH Calc'!$K352/365)</f>
        <v>1</v>
      </c>
      <c r="AH352" s="8">
        <f ca="1">_xll.HLV5r3.Analytics.Miscellaneous.Zero2DF(_xll.HLV5r3.Analytics.Miscellaneous.LinearInterp(Peturbed_QZ,$K352,1,AH$1),ZeroCompFreq,'PDH Calc'!$K352/365)</f>
        <v>1</v>
      </c>
      <c r="AI352" s="8">
        <f ca="1">_xll.HLV5r3.Analytics.Miscellaneous.Zero2DF(_xll.HLV5r3.Analytics.Miscellaneous.LinearInterp(Peturbed_QZ,$K352,1,AI$1),ZeroCompFreq,'PDH Calc'!$K352/365)</f>
        <v>1</v>
      </c>
      <c r="AJ352" s="8">
        <f ca="1">_xll.HLV5r3.Analytics.Miscellaneous.Zero2DF(_xll.HLV5r3.Analytics.Miscellaneous.LinearInterp(Peturbed_QZ,$K352,1,AJ$1),ZeroCompFreq,'PDH Calc'!$K352/365)</f>
        <v>1</v>
      </c>
      <c r="AK352" s="8">
        <f ca="1">_xll.HLV5r3.Analytics.Miscellaneous.Zero2DF(_xll.HLV5r3.Analytics.Miscellaneous.LinearInterp(Peturbed_QZ,$K352,1,AK$1),ZeroCompFreq,'PDH Calc'!$K352/365)</f>
        <v>1</v>
      </c>
    </row>
    <row r="353" spans="1:37">
      <c r="A353" s="4"/>
      <c r="B353" s="6"/>
      <c r="F353" s="11"/>
      <c r="G353" s="6"/>
      <c r="H353" s="20"/>
      <c r="I353" s="21"/>
      <c r="J353" s="26"/>
      <c r="K353" s="6">
        <f t="shared" ca="1" si="12"/>
        <v>0</v>
      </c>
      <c r="L353" s="8">
        <f ca="1">_xll.HLV5r3.Analytics.Miscellaneous.Zero2DF(_xll.HLV5r3.Analytics.Miscellaneous.LinearInterp(Peturbed_QZ,$K353,1,L$1),ZeroCompFreq,'PDH Calc'!$K353/365)</f>
        <v>1</v>
      </c>
      <c r="M353" s="8">
        <f ca="1">_xll.HLV5r3.Analytics.Miscellaneous.Zero2DF(_xll.HLV5r3.Analytics.Miscellaneous.LinearInterp(Peturbed_QZ,$K353,1,M$1),ZeroCompFreq,'PDH Calc'!$K353/365)</f>
        <v>1</v>
      </c>
      <c r="N353" s="8">
        <f ca="1">_xll.HLV5r3.Analytics.Miscellaneous.Zero2DF(_xll.HLV5r3.Analytics.Miscellaneous.LinearInterp(Peturbed_QZ,$K353,1,N$1),ZeroCompFreq,'PDH Calc'!$K353/365)</f>
        <v>1</v>
      </c>
      <c r="O353" s="8">
        <f ca="1">_xll.HLV5r3.Analytics.Miscellaneous.Zero2DF(_xll.HLV5r3.Analytics.Miscellaneous.LinearInterp(Peturbed_QZ,$K353,1,O$1),ZeroCompFreq,'PDH Calc'!$K353/365)</f>
        <v>1</v>
      </c>
      <c r="P353" s="8">
        <f ca="1">_xll.HLV5r3.Analytics.Miscellaneous.Zero2DF(_xll.HLV5r3.Analytics.Miscellaneous.LinearInterp(Peturbed_QZ,$K353,1,P$1),ZeroCompFreq,'PDH Calc'!$K353/365)</f>
        <v>1</v>
      </c>
      <c r="Q353" s="8">
        <f ca="1">_xll.HLV5r3.Analytics.Miscellaneous.Zero2DF(_xll.HLV5r3.Analytics.Miscellaneous.LinearInterp(Peturbed_QZ,$K353,1,Q$1),ZeroCompFreq,'PDH Calc'!$K353/365)</f>
        <v>1</v>
      </c>
      <c r="R353" s="8">
        <f ca="1">_xll.HLV5r3.Analytics.Miscellaneous.Zero2DF(_xll.HLV5r3.Analytics.Miscellaneous.LinearInterp(Peturbed_QZ,$K353,1,R$1),ZeroCompFreq,'PDH Calc'!$K353/365)</f>
        <v>1</v>
      </c>
      <c r="S353" s="8">
        <f ca="1">_xll.HLV5r3.Analytics.Miscellaneous.Zero2DF(_xll.HLV5r3.Analytics.Miscellaneous.LinearInterp(Peturbed_QZ,$K353,1,S$1),ZeroCompFreq,'PDH Calc'!$K353/365)</f>
        <v>1</v>
      </c>
      <c r="T353" s="8">
        <f ca="1">_xll.HLV5r3.Analytics.Miscellaneous.Zero2DF(_xll.HLV5r3.Analytics.Miscellaneous.LinearInterp(Peturbed_QZ,$K353,1,T$1),ZeroCompFreq,'PDH Calc'!$K353/365)</f>
        <v>1</v>
      </c>
      <c r="U353" s="8">
        <f ca="1">_xll.HLV5r3.Analytics.Miscellaneous.Zero2DF(_xll.HLV5r3.Analytics.Miscellaneous.LinearInterp(Peturbed_QZ,$K353,1,U$1),ZeroCompFreq,'PDH Calc'!$K353/365)</f>
        <v>1</v>
      </c>
      <c r="V353" s="8">
        <f ca="1">_xll.HLV5r3.Analytics.Miscellaneous.Zero2DF(_xll.HLV5r3.Analytics.Miscellaneous.LinearInterp(Peturbed_QZ,$K353,1,V$1),ZeroCompFreq,'PDH Calc'!$K353/365)</f>
        <v>1</v>
      </c>
      <c r="W353" s="8">
        <f ca="1">_xll.HLV5r3.Analytics.Miscellaneous.Zero2DF(_xll.HLV5r3.Analytics.Miscellaneous.LinearInterp(Peturbed_QZ,$K353,1,W$1),ZeroCompFreq,'PDH Calc'!$K353/365)</f>
        <v>1</v>
      </c>
      <c r="X353" s="8">
        <f ca="1">_xll.HLV5r3.Analytics.Miscellaneous.Zero2DF(_xll.HLV5r3.Analytics.Miscellaneous.LinearInterp(Peturbed_QZ,$K353,1,X$1),ZeroCompFreq,'PDH Calc'!$K353/365)</f>
        <v>1</v>
      </c>
      <c r="Y353" s="8">
        <f ca="1">_xll.HLV5r3.Analytics.Miscellaneous.Zero2DF(_xll.HLV5r3.Analytics.Miscellaneous.LinearInterp(Peturbed_QZ,$K353,1,Y$1),ZeroCompFreq,'PDH Calc'!$K353/365)</f>
        <v>1</v>
      </c>
      <c r="Z353" s="8">
        <f ca="1">_xll.HLV5r3.Analytics.Miscellaneous.Zero2DF(_xll.HLV5r3.Analytics.Miscellaneous.LinearInterp(Peturbed_QZ,$K353,1,Z$1),ZeroCompFreq,'PDH Calc'!$K353/365)</f>
        <v>1</v>
      </c>
      <c r="AA353" s="8">
        <f ca="1">_xll.HLV5r3.Analytics.Miscellaneous.Zero2DF(_xll.HLV5r3.Analytics.Miscellaneous.LinearInterp(Peturbed_QZ,$K353,1,AA$1),ZeroCompFreq,'PDH Calc'!$K353/365)</f>
        <v>1</v>
      </c>
      <c r="AB353" s="8">
        <f ca="1">_xll.HLV5r3.Analytics.Miscellaneous.Zero2DF(_xll.HLV5r3.Analytics.Miscellaneous.LinearInterp(Peturbed_QZ,$K353,1,AB$1),ZeroCompFreq,'PDH Calc'!$K353/365)</f>
        <v>1</v>
      </c>
      <c r="AC353" s="8">
        <f ca="1">_xll.HLV5r3.Analytics.Miscellaneous.Zero2DF(_xll.HLV5r3.Analytics.Miscellaneous.LinearInterp(Peturbed_QZ,$K353,1,AC$1),ZeroCompFreq,'PDH Calc'!$K353/365)</f>
        <v>1</v>
      </c>
      <c r="AD353" s="8">
        <f ca="1">_xll.HLV5r3.Analytics.Miscellaneous.Zero2DF(_xll.HLV5r3.Analytics.Miscellaneous.LinearInterp(Peturbed_QZ,$K353,1,AD$1),ZeroCompFreq,'PDH Calc'!$K353/365)</f>
        <v>1</v>
      </c>
      <c r="AE353" s="8">
        <f ca="1">_xll.HLV5r3.Analytics.Miscellaneous.Zero2DF(_xll.HLV5r3.Analytics.Miscellaneous.LinearInterp(Peturbed_QZ,$K353,1,AE$1),ZeroCompFreq,'PDH Calc'!$K353/365)</f>
        <v>1</v>
      </c>
      <c r="AF353" s="8">
        <f ca="1">_xll.HLV5r3.Analytics.Miscellaneous.Zero2DF(_xll.HLV5r3.Analytics.Miscellaneous.LinearInterp(Peturbed_QZ,$K353,1,AF$1),ZeroCompFreq,'PDH Calc'!$K353/365)</f>
        <v>1</v>
      </c>
      <c r="AG353" s="8">
        <f ca="1">_xll.HLV5r3.Analytics.Miscellaneous.Zero2DF(_xll.HLV5r3.Analytics.Miscellaneous.LinearInterp(Peturbed_QZ,$K353,1,AG$1),ZeroCompFreq,'PDH Calc'!$K353/365)</f>
        <v>1</v>
      </c>
      <c r="AH353" s="8">
        <f ca="1">_xll.HLV5r3.Analytics.Miscellaneous.Zero2DF(_xll.HLV5r3.Analytics.Miscellaneous.LinearInterp(Peturbed_QZ,$K353,1,AH$1),ZeroCompFreq,'PDH Calc'!$K353/365)</f>
        <v>1</v>
      </c>
      <c r="AI353" s="8">
        <f ca="1">_xll.HLV5r3.Analytics.Miscellaneous.Zero2DF(_xll.HLV5r3.Analytics.Miscellaneous.LinearInterp(Peturbed_QZ,$K353,1,AI$1),ZeroCompFreq,'PDH Calc'!$K353/365)</f>
        <v>1</v>
      </c>
      <c r="AJ353" s="8">
        <f ca="1">_xll.HLV5r3.Analytics.Miscellaneous.Zero2DF(_xll.HLV5r3.Analytics.Miscellaneous.LinearInterp(Peturbed_QZ,$K353,1,AJ$1),ZeroCompFreq,'PDH Calc'!$K353/365)</f>
        <v>1</v>
      </c>
      <c r="AK353" s="8">
        <f ca="1">_xll.HLV5r3.Analytics.Miscellaneous.Zero2DF(_xll.HLV5r3.Analytics.Miscellaneous.LinearInterp(Peturbed_QZ,$K353,1,AK$1),ZeroCompFreq,'PDH Calc'!$K353/365)</f>
        <v>1</v>
      </c>
    </row>
    <row r="354" spans="1:37">
      <c r="A354" s="4"/>
      <c r="B354" s="6"/>
      <c r="F354" s="11"/>
      <c r="G354" s="6"/>
      <c r="H354" s="20"/>
      <c r="I354" s="21"/>
      <c r="J354" s="26"/>
      <c r="K354" s="6">
        <f t="shared" ca="1" si="12"/>
        <v>0</v>
      </c>
      <c r="L354" s="8">
        <f ca="1">_xll.HLV5r3.Analytics.Miscellaneous.Zero2DF(_xll.HLV5r3.Analytics.Miscellaneous.LinearInterp(Peturbed_QZ,$K354,1,L$1),ZeroCompFreq,'PDH Calc'!$K354/365)</f>
        <v>1</v>
      </c>
      <c r="M354" s="8">
        <f ca="1">_xll.HLV5r3.Analytics.Miscellaneous.Zero2DF(_xll.HLV5r3.Analytics.Miscellaneous.LinearInterp(Peturbed_QZ,$K354,1,M$1),ZeroCompFreq,'PDH Calc'!$K354/365)</f>
        <v>1</v>
      </c>
      <c r="N354" s="8">
        <f ca="1">_xll.HLV5r3.Analytics.Miscellaneous.Zero2DF(_xll.HLV5r3.Analytics.Miscellaneous.LinearInterp(Peturbed_QZ,$K354,1,N$1),ZeroCompFreq,'PDH Calc'!$K354/365)</f>
        <v>1</v>
      </c>
      <c r="O354" s="8">
        <f ca="1">_xll.HLV5r3.Analytics.Miscellaneous.Zero2DF(_xll.HLV5r3.Analytics.Miscellaneous.LinearInterp(Peturbed_QZ,$K354,1,O$1),ZeroCompFreq,'PDH Calc'!$K354/365)</f>
        <v>1</v>
      </c>
      <c r="P354" s="8">
        <f ca="1">_xll.HLV5r3.Analytics.Miscellaneous.Zero2DF(_xll.HLV5r3.Analytics.Miscellaneous.LinearInterp(Peturbed_QZ,$K354,1,P$1),ZeroCompFreq,'PDH Calc'!$K354/365)</f>
        <v>1</v>
      </c>
      <c r="Q354" s="8">
        <f ca="1">_xll.HLV5r3.Analytics.Miscellaneous.Zero2DF(_xll.HLV5r3.Analytics.Miscellaneous.LinearInterp(Peturbed_QZ,$K354,1,Q$1),ZeroCompFreq,'PDH Calc'!$K354/365)</f>
        <v>1</v>
      </c>
      <c r="R354" s="8">
        <f ca="1">_xll.HLV5r3.Analytics.Miscellaneous.Zero2DF(_xll.HLV5r3.Analytics.Miscellaneous.LinearInterp(Peturbed_QZ,$K354,1,R$1),ZeroCompFreq,'PDH Calc'!$K354/365)</f>
        <v>1</v>
      </c>
      <c r="S354" s="8">
        <f ca="1">_xll.HLV5r3.Analytics.Miscellaneous.Zero2DF(_xll.HLV5r3.Analytics.Miscellaneous.LinearInterp(Peturbed_QZ,$K354,1,S$1),ZeroCompFreq,'PDH Calc'!$K354/365)</f>
        <v>1</v>
      </c>
      <c r="T354" s="8">
        <f ca="1">_xll.HLV5r3.Analytics.Miscellaneous.Zero2DF(_xll.HLV5r3.Analytics.Miscellaneous.LinearInterp(Peturbed_QZ,$K354,1,T$1),ZeroCompFreq,'PDH Calc'!$K354/365)</f>
        <v>1</v>
      </c>
      <c r="U354" s="8">
        <f ca="1">_xll.HLV5r3.Analytics.Miscellaneous.Zero2DF(_xll.HLV5r3.Analytics.Miscellaneous.LinearInterp(Peturbed_QZ,$K354,1,U$1),ZeroCompFreq,'PDH Calc'!$K354/365)</f>
        <v>1</v>
      </c>
      <c r="V354" s="8">
        <f ca="1">_xll.HLV5r3.Analytics.Miscellaneous.Zero2DF(_xll.HLV5r3.Analytics.Miscellaneous.LinearInterp(Peturbed_QZ,$K354,1,V$1),ZeroCompFreq,'PDH Calc'!$K354/365)</f>
        <v>1</v>
      </c>
      <c r="W354" s="8">
        <f ca="1">_xll.HLV5r3.Analytics.Miscellaneous.Zero2DF(_xll.HLV5r3.Analytics.Miscellaneous.LinearInterp(Peturbed_QZ,$K354,1,W$1),ZeroCompFreq,'PDH Calc'!$K354/365)</f>
        <v>1</v>
      </c>
      <c r="X354" s="8">
        <f ca="1">_xll.HLV5r3.Analytics.Miscellaneous.Zero2DF(_xll.HLV5r3.Analytics.Miscellaneous.LinearInterp(Peturbed_QZ,$K354,1,X$1),ZeroCompFreq,'PDH Calc'!$K354/365)</f>
        <v>1</v>
      </c>
      <c r="Y354" s="8">
        <f ca="1">_xll.HLV5r3.Analytics.Miscellaneous.Zero2DF(_xll.HLV5r3.Analytics.Miscellaneous.LinearInterp(Peturbed_QZ,$K354,1,Y$1),ZeroCompFreq,'PDH Calc'!$K354/365)</f>
        <v>1</v>
      </c>
      <c r="Z354" s="8">
        <f ca="1">_xll.HLV5r3.Analytics.Miscellaneous.Zero2DF(_xll.HLV5r3.Analytics.Miscellaneous.LinearInterp(Peturbed_QZ,$K354,1,Z$1),ZeroCompFreq,'PDH Calc'!$K354/365)</f>
        <v>1</v>
      </c>
      <c r="AA354" s="8">
        <f ca="1">_xll.HLV5r3.Analytics.Miscellaneous.Zero2DF(_xll.HLV5r3.Analytics.Miscellaneous.LinearInterp(Peturbed_QZ,$K354,1,AA$1),ZeroCompFreq,'PDH Calc'!$K354/365)</f>
        <v>1</v>
      </c>
      <c r="AB354" s="8">
        <f ca="1">_xll.HLV5r3.Analytics.Miscellaneous.Zero2DF(_xll.HLV5r3.Analytics.Miscellaneous.LinearInterp(Peturbed_QZ,$K354,1,AB$1),ZeroCompFreq,'PDH Calc'!$K354/365)</f>
        <v>1</v>
      </c>
      <c r="AC354" s="8">
        <f ca="1">_xll.HLV5r3.Analytics.Miscellaneous.Zero2DF(_xll.HLV5r3.Analytics.Miscellaneous.LinearInterp(Peturbed_QZ,$K354,1,AC$1),ZeroCompFreq,'PDH Calc'!$K354/365)</f>
        <v>1</v>
      </c>
      <c r="AD354" s="8">
        <f ca="1">_xll.HLV5r3.Analytics.Miscellaneous.Zero2DF(_xll.HLV5r3.Analytics.Miscellaneous.LinearInterp(Peturbed_QZ,$K354,1,AD$1),ZeroCompFreq,'PDH Calc'!$K354/365)</f>
        <v>1</v>
      </c>
      <c r="AE354" s="8">
        <f ca="1">_xll.HLV5r3.Analytics.Miscellaneous.Zero2DF(_xll.HLV5r3.Analytics.Miscellaneous.LinearInterp(Peturbed_QZ,$K354,1,AE$1),ZeroCompFreq,'PDH Calc'!$K354/365)</f>
        <v>1</v>
      </c>
      <c r="AF354" s="8">
        <f ca="1">_xll.HLV5r3.Analytics.Miscellaneous.Zero2DF(_xll.HLV5r3.Analytics.Miscellaneous.LinearInterp(Peturbed_QZ,$K354,1,AF$1),ZeroCompFreq,'PDH Calc'!$K354/365)</f>
        <v>1</v>
      </c>
      <c r="AG354" s="8">
        <f ca="1">_xll.HLV5r3.Analytics.Miscellaneous.Zero2DF(_xll.HLV5r3.Analytics.Miscellaneous.LinearInterp(Peturbed_QZ,$K354,1,AG$1),ZeroCompFreq,'PDH Calc'!$K354/365)</f>
        <v>1</v>
      </c>
      <c r="AH354" s="8">
        <f ca="1">_xll.HLV5r3.Analytics.Miscellaneous.Zero2DF(_xll.HLV5r3.Analytics.Miscellaneous.LinearInterp(Peturbed_QZ,$K354,1,AH$1),ZeroCompFreq,'PDH Calc'!$K354/365)</f>
        <v>1</v>
      </c>
      <c r="AI354" s="8">
        <f ca="1">_xll.HLV5r3.Analytics.Miscellaneous.Zero2DF(_xll.HLV5r3.Analytics.Miscellaneous.LinearInterp(Peturbed_QZ,$K354,1,AI$1),ZeroCompFreq,'PDH Calc'!$K354/365)</f>
        <v>1</v>
      </c>
      <c r="AJ354" s="8">
        <f ca="1">_xll.HLV5r3.Analytics.Miscellaneous.Zero2DF(_xll.HLV5r3.Analytics.Miscellaneous.LinearInterp(Peturbed_QZ,$K354,1,AJ$1),ZeroCompFreq,'PDH Calc'!$K354/365)</f>
        <v>1</v>
      </c>
      <c r="AK354" s="8">
        <f ca="1">_xll.HLV5r3.Analytics.Miscellaneous.Zero2DF(_xll.HLV5r3.Analytics.Miscellaneous.LinearInterp(Peturbed_QZ,$K354,1,AK$1),ZeroCompFreq,'PDH Calc'!$K354/365)</f>
        <v>1</v>
      </c>
    </row>
    <row r="355" spans="1:37">
      <c r="A355" s="4"/>
      <c r="B355" s="6"/>
      <c r="F355" s="11"/>
      <c r="G355" s="6"/>
      <c r="H355" s="20"/>
      <c r="I355" s="21"/>
      <c r="J355" s="26"/>
      <c r="K355" s="6">
        <f t="shared" ca="1" si="12"/>
        <v>0</v>
      </c>
      <c r="L355" s="8">
        <f ca="1">_xll.HLV5r3.Analytics.Miscellaneous.Zero2DF(_xll.HLV5r3.Analytics.Miscellaneous.LinearInterp(Peturbed_QZ,$K355,1,L$1),ZeroCompFreq,'PDH Calc'!$K355/365)</f>
        <v>1</v>
      </c>
      <c r="M355" s="8">
        <f ca="1">_xll.HLV5r3.Analytics.Miscellaneous.Zero2DF(_xll.HLV5r3.Analytics.Miscellaneous.LinearInterp(Peturbed_QZ,$K355,1,M$1),ZeroCompFreq,'PDH Calc'!$K355/365)</f>
        <v>1</v>
      </c>
      <c r="N355" s="8">
        <f ca="1">_xll.HLV5r3.Analytics.Miscellaneous.Zero2DF(_xll.HLV5r3.Analytics.Miscellaneous.LinearInterp(Peturbed_QZ,$K355,1,N$1),ZeroCompFreq,'PDH Calc'!$K355/365)</f>
        <v>1</v>
      </c>
      <c r="O355" s="8">
        <f ca="1">_xll.HLV5r3.Analytics.Miscellaneous.Zero2DF(_xll.HLV5r3.Analytics.Miscellaneous.LinearInterp(Peturbed_QZ,$K355,1,O$1),ZeroCompFreq,'PDH Calc'!$K355/365)</f>
        <v>1</v>
      </c>
      <c r="P355" s="8">
        <f ca="1">_xll.HLV5r3.Analytics.Miscellaneous.Zero2DF(_xll.HLV5r3.Analytics.Miscellaneous.LinearInterp(Peturbed_QZ,$K355,1,P$1),ZeroCompFreq,'PDH Calc'!$K355/365)</f>
        <v>1</v>
      </c>
      <c r="Q355" s="8">
        <f ca="1">_xll.HLV5r3.Analytics.Miscellaneous.Zero2DF(_xll.HLV5r3.Analytics.Miscellaneous.LinearInterp(Peturbed_QZ,$K355,1,Q$1),ZeroCompFreq,'PDH Calc'!$K355/365)</f>
        <v>1</v>
      </c>
      <c r="R355" s="8">
        <f ca="1">_xll.HLV5r3.Analytics.Miscellaneous.Zero2DF(_xll.HLV5r3.Analytics.Miscellaneous.LinearInterp(Peturbed_QZ,$K355,1,R$1),ZeroCompFreq,'PDH Calc'!$K355/365)</f>
        <v>1</v>
      </c>
      <c r="S355" s="8">
        <f ca="1">_xll.HLV5r3.Analytics.Miscellaneous.Zero2DF(_xll.HLV5r3.Analytics.Miscellaneous.LinearInterp(Peturbed_QZ,$K355,1,S$1),ZeroCompFreq,'PDH Calc'!$K355/365)</f>
        <v>1</v>
      </c>
      <c r="T355" s="8">
        <f ca="1">_xll.HLV5r3.Analytics.Miscellaneous.Zero2DF(_xll.HLV5r3.Analytics.Miscellaneous.LinearInterp(Peturbed_QZ,$K355,1,T$1),ZeroCompFreq,'PDH Calc'!$K355/365)</f>
        <v>1</v>
      </c>
      <c r="U355" s="8">
        <f ca="1">_xll.HLV5r3.Analytics.Miscellaneous.Zero2DF(_xll.HLV5r3.Analytics.Miscellaneous.LinearInterp(Peturbed_QZ,$K355,1,U$1),ZeroCompFreq,'PDH Calc'!$K355/365)</f>
        <v>1</v>
      </c>
      <c r="V355" s="8">
        <f ca="1">_xll.HLV5r3.Analytics.Miscellaneous.Zero2DF(_xll.HLV5r3.Analytics.Miscellaneous.LinearInterp(Peturbed_QZ,$K355,1,V$1),ZeroCompFreq,'PDH Calc'!$K355/365)</f>
        <v>1</v>
      </c>
      <c r="W355" s="8">
        <f ca="1">_xll.HLV5r3.Analytics.Miscellaneous.Zero2DF(_xll.HLV5r3.Analytics.Miscellaneous.LinearInterp(Peturbed_QZ,$K355,1,W$1),ZeroCompFreq,'PDH Calc'!$K355/365)</f>
        <v>1</v>
      </c>
      <c r="X355" s="8">
        <f ca="1">_xll.HLV5r3.Analytics.Miscellaneous.Zero2DF(_xll.HLV5r3.Analytics.Miscellaneous.LinearInterp(Peturbed_QZ,$K355,1,X$1),ZeroCompFreq,'PDH Calc'!$K355/365)</f>
        <v>1</v>
      </c>
      <c r="Y355" s="8">
        <f ca="1">_xll.HLV5r3.Analytics.Miscellaneous.Zero2DF(_xll.HLV5r3.Analytics.Miscellaneous.LinearInterp(Peturbed_QZ,$K355,1,Y$1),ZeroCompFreq,'PDH Calc'!$K355/365)</f>
        <v>1</v>
      </c>
      <c r="Z355" s="8">
        <f ca="1">_xll.HLV5r3.Analytics.Miscellaneous.Zero2DF(_xll.HLV5r3.Analytics.Miscellaneous.LinearInterp(Peturbed_QZ,$K355,1,Z$1),ZeroCompFreq,'PDH Calc'!$K355/365)</f>
        <v>1</v>
      </c>
      <c r="AA355" s="8">
        <f ca="1">_xll.HLV5r3.Analytics.Miscellaneous.Zero2DF(_xll.HLV5r3.Analytics.Miscellaneous.LinearInterp(Peturbed_QZ,$K355,1,AA$1),ZeroCompFreq,'PDH Calc'!$K355/365)</f>
        <v>1</v>
      </c>
      <c r="AB355" s="8">
        <f ca="1">_xll.HLV5r3.Analytics.Miscellaneous.Zero2DF(_xll.HLV5r3.Analytics.Miscellaneous.LinearInterp(Peturbed_QZ,$K355,1,AB$1),ZeroCompFreq,'PDH Calc'!$K355/365)</f>
        <v>1</v>
      </c>
      <c r="AC355" s="8">
        <f ca="1">_xll.HLV5r3.Analytics.Miscellaneous.Zero2DF(_xll.HLV5r3.Analytics.Miscellaneous.LinearInterp(Peturbed_QZ,$K355,1,AC$1),ZeroCompFreq,'PDH Calc'!$K355/365)</f>
        <v>1</v>
      </c>
      <c r="AD355" s="8">
        <f ca="1">_xll.HLV5r3.Analytics.Miscellaneous.Zero2DF(_xll.HLV5r3.Analytics.Miscellaneous.LinearInterp(Peturbed_QZ,$K355,1,AD$1),ZeroCompFreq,'PDH Calc'!$K355/365)</f>
        <v>1</v>
      </c>
      <c r="AE355" s="8">
        <f ca="1">_xll.HLV5r3.Analytics.Miscellaneous.Zero2DF(_xll.HLV5r3.Analytics.Miscellaneous.LinearInterp(Peturbed_QZ,$K355,1,AE$1),ZeroCompFreq,'PDH Calc'!$K355/365)</f>
        <v>1</v>
      </c>
      <c r="AF355" s="8">
        <f ca="1">_xll.HLV5r3.Analytics.Miscellaneous.Zero2DF(_xll.HLV5r3.Analytics.Miscellaneous.LinearInterp(Peturbed_QZ,$K355,1,AF$1),ZeroCompFreq,'PDH Calc'!$K355/365)</f>
        <v>1</v>
      </c>
      <c r="AG355" s="8">
        <f ca="1">_xll.HLV5r3.Analytics.Miscellaneous.Zero2DF(_xll.HLV5r3.Analytics.Miscellaneous.LinearInterp(Peturbed_QZ,$K355,1,AG$1),ZeroCompFreq,'PDH Calc'!$K355/365)</f>
        <v>1</v>
      </c>
      <c r="AH355" s="8">
        <f ca="1">_xll.HLV5r3.Analytics.Miscellaneous.Zero2DF(_xll.HLV5r3.Analytics.Miscellaneous.LinearInterp(Peturbed_QZ,$K355,1,AH$1),ZeroCompFreq,'PDH Calc'!$K355/365)</f>
        <v>1</v>
      </c>
      <c r="AI355" s="8">
        <f ca="1">_xll.HLV5r3.Analytics.Miscellaneous.Zero2DF(_xll.HLV5r3.Analytics.Miscellaneous.LinearInterp(Peturbed_QZ,$K355,1,AI$1),ZeroCompFreq,'PDH Calc'!$K355/365)</f>
        <v>1</v>
      </c>
      <c r="AJ355" s="8">
        <f ca="1">_xll.HLV5r3.Analytics.Miscellaneous.Zero2DF(_xll.HLV5r3.Analytics.Miscellaneous.LinearInterp(Peturbed_QZ,$K355,1,AJ$1),ZeroCompFreq,'PDH Calc'!$K355/365)</f>
        <v>1</v>
      </c>
      <c r="AK355" s="8">
        <f ca="1">_xll.HLV5r3.Analytics.Miscellaneous.Zero2DF(_xll.HLV5r3.Analytics.Miscellaneous.LinearInterp(Peturbed_QZ,$K355,1,AK$1),ZeroCompFreq,'PDH Calc'!$K355/365)</f>
        <v>1</v>
      </c>
    </row>
    <row r="356" spans="1:37">
      <c r="A356" s="4"/>
      <c r="B356" s="6"/>
      <c r="F356" s="11"/>
      <c r="G356" s="6"/>
      <c r="H356" s="20"/>
      <c r="I356" s="21"/>
      <c r="J356" s="26"/>
      <c r="K356" s="6">
        <f t="shared" ca="1" si="12"/>
        <v>0</v>
      </c>
      <c r="L356" s="8">
        <f ca="1">_xll.HLV5r3.Analytics.Miscellaneous.Zero2DF(_xll.HLV5r3.Analytics.Miscellaneous.LinearInterp(Peturbed_QZ,$K356,1,L$1),ZeroCompFreq,'PDH Calc'!$K356/365)</f>
        <v>1</v>
      </c>
      <c r="M356" s="8">
        <f ca="1">_xll.HLV5r3.Analytics.Miscellaneous.Zero2DF(_xll.HLV5r3.Analytics.Miscellaneous.LinearInterp(Peturbed_QZ,$K356,1,M$1),ZeroCompFreq,'PDH Calc'!$K356/365)</f>
        <v>1</v>
      </c>
      <c r="N356" s="8">
        <f ca="1">_xll.HLV5r3.Analytics.Miscellaneous.Zero2DF(_xll.HLV5r3.Analytics.Miscellaneous.LinearInterp(Peturbed_QZ,$K356,1,N$1),ZeroCompFreq,'PDH Calc'!$K356/365)</f>
        <v>1</v>
      </c>
      <c r="O356" s="8">
        <f ca="1">_xll.HLV5r3.Analytics.Miscellaneous.Zero2DF(_xll.HLV5r3.Analytics.Miscellaneous.LinearInterp(Peturbed_QZ,$K356,1,O$1),ZeroCompFreq,'PDH Calc'!$K356/365)</f>
        <v>1</v>
      </c>
      <c r="P356" s="8">
        <f ca="1">_xll.HLV5r3.Analytics.Miscellaneous.Zero2DF(_xll.HLV5r3.Analytics.Miscellaneous.LinearInterp(Peturbed_QZ,$K356,1,P$1),ZeroCompFreq,'PDH Calc'!$K356/365)</f>
        <v>1</v>
      </c>
      <c r="Q356" s="8">
        <f ca="1">_xll.HLV5r3.Analytics.Miscellaneous.Zero2DF(_xll.HLV5r3.Analytics.Miscellaneous.LinearInterp(Peturbed_QZ,$K356,1,Q$1),ZeroCompFreq,'PDH Calc'!$K356/365)</f>
        <v>1</v>
      </c>
      <c r="R356" s="8">
        <f ca="1">_xll.HLV5r3.Analytics.Miscellaneous.Zero2DF(_xll.HLV5r3.Analytics.Miscellaneous.LinearInterp(Peturbed_QZ,$K356,1,R$1),ZeroCompFreq,'PDH Calc'!$K356/365)</f>
        <v>1</v>
      </c>
      <c r="S356" s="8">
        <f ca="1">_xll.HLV5r3.Analytics.Miscellaneous.Zero2DF(_xll.HLV5r3.Analytics.Miscellaneous.LinearInterp(Peturbed_QZ,$K356,1,S$1),ZeroCompFreq,'PDH Calc'!$K356/365)</f>
        <v>1</v>
      </c>
      <c r="T356" s="8">
        <f ca="1">_xll.HLV5r3.Analytics.Miscellaneous.Zero2DF(_xll.HLV5r3.Analytics.Miscellaneous.LinearInterp(Peturbed_QZ,$K356,1,T$1),ZeroCompFreq,'PDH Calc'!$K356/365)</f>
        <v>1</v>
      </c>
      <c r="U356" s="8">
        <f ca="1">_xll.HLV5r3.Analytics.Miscellaneous.Zero2DF(_xll.HLV5r3.Analytics.Miscellaneous.LinearInterp(Peturbed_QZ,$K356,1,U$1),ZeroCompFreq,'PDH Calc'!$K356/365)</f>
        <v>1</v>
      </c>
      <c r="V356" s="8">
        <f ca="1">_xll.HLV5r3.Analytics.Miscellaneous.Zero2DF(_xll.HLV5r3.Analytics.Miscellaneous.LinearInterp(Peturbed_QZ,$K356,1,V$1),ZeroCompFreq,'PDH Calc'!$K356/365)</f>
        <v>1</v>
      </c>
      <c r="W356" s="8">
        <f ca="1">_xll.HLV5r3.Analytics.Miscellaneous.Zero2DF(_xll.HLV5r3.Analytics.Miscellaneous.LinearInterp(Peturbed_QZ,$K356,1,W$1),ZeroCompFreq,'PDH Calc'!$K356/365)</f>
        <v>1</v>
      </c>
      <c r="X356" s="8">
        <f ca="1">_xll.HLV5r3.Analytics.Miscellaneous.Zero2DF(_xll.HLV5r3.Analytics.Miscellaneous.LinearInterp(Peturbed_QZ,$K356,1,X$1),ZeroCompFreq,'PDH Calc'!$K356/365)</f>
        <v>1</v>
      </c>
      <c r="Y356" s="8">
        <f ca="1">_xll.HLV5r3.Analytics.Miscellaneous.Zero2DF(_xll.HLV5r3.Analytics.Miscellaneous.LinearInterp(Peturbed_QZ,$K356,1,Y$1),ZeroCompFreq,'PDH Calc'!$K356/365)</f>
        <v>1</v>
      </c>
      <c r="Z356" s="8">
        <f ca="1">_xll.HLV5r3.Analytics.Miscellaneous.Zero2DF(_xll.HLV5r3.Analytics.Miscellaneous.LinearInterp(Peturbed_QZ,$K356,1,Z$1),ZeroCompFreq,'PDH Calc'!$K356/365)</f>
        <v>1</v>
      </c>
      <c r="AA356" s="8">
        <f ca="1">_xll.HLV5r3.Analytics.Miscellaneous.Zero2DF(_xll.HLV5r3.Analytics.Miscellaneous.LinearInterp(Peturbed_QZ,$K356,1,AA$1),ZeroCompFreq,'PDH Calc'!$K356/365)</f>
        <v>1</v>
      </c>
      <c r="AB356" s="8">
        <f ca="1">_xll.HLV5r3.Analytics.Miscellaneous.Zero2DF(_xll.HLV5r3.Analytics.Miscellaneous.LinearInterp(Peturbed_QZ,$K356,1,AB$1),ZeroCompFreq,'PDH Calc'!$K356/365)</f>
        <v>1</v>
      </c>
      <c r="AC356" s="8">
        <f ca="1">_xll.HLV5r3.Analytics.Miscellaneous.Zero2DF(_xll.HLV5r3.Analytics.Miscellaneous.LinearInterp(Peturbed_QZ,$K356,1,AC$1),ZeroCompFreq,'PDH Calc'!$K356/365)</f>
        <v>1</v>
      </c>
      <c r="AD356" s="8">
        <f ca="1">_xll.HLV5r3.Analytics.Miscellaneous.Zero2DF(_xll.HLV5r3.Analytics.Miscellaneous.LinearInterp(Peturbed_QZ,$K356,1,AD$1),ZeroCompFreq,'PDH Calc'!$K356/365)</f>
        <v>1</v>
      </c>
      <c r="AE356" s="8">
        <f ca="1">_xll.HLV5r3.Analytics.Miscellaneous.Zero2DF(_xll.HLV5r3.Analytics.Miscellaneous.LinearInterp(Peturbed_QZ,$K356,1,AE$1),ZeroCompFreq,'PDH Calc'!$K356/365)</f>
        <v>1</v>
      </c>
      <c r="AF356" s="8">
        <f ca="1">_xll.HLV5r3.Analytics.Miscellaneous.Zero2DF(_xll.HLV5r3.Analytics.Miscellaneous.LinearInterp(Peturbed_QZ,$K356,1,AF$1),ZeroCompFreq,'PDH Calc'!$K356/365)</f>
        <v>1</v>
      </c>
      <c r="AG356" s="8">
        <f ca="1">_xll.HLV5r3.Analytics.Miscellaneous.Zero2DF(_xll.HLV5r3.Analytics.Miscellaneous.LinearInterp(Peturbed_QZ,$K356,1,AG$1),ZeroCompFreq,'PDH Calc'!$K356/365)</f>
        <v>1</v>
      </c>
      <c r="AH356" s="8">
        <f ca="1">_xll.HLV5r3.Analytics.Miscellaneous.Zero2DF(_xll.HLV5r3.Analytics.Miscellaneous.LinearInterp(Peturbed_QZ,$K356,1,AH$1),ZeroCompFreq,'PDH Calc'!$K356/365)</f>
        <v>1</v>
      </c>
      <c r="AI356" s="8">
        <f ca="1">_xll.HLV5r3.Analytics.Miscellaneous.Zero2DF(_xll.HLV5r3.Analytics.Miscellaneous.LinearInterp(Peturbed_QZ,$K356,1,AI$1),ZeroCompFreq,'PDH Calc'!$K356/365)</f>
        <v>1</v>
      </c>
      <c r="AJ356" s="8">
        <f ca="1">_xll.HLV5r3.Analytics.Miscellaneous.Zero2DF(_xll.HLV5r3.Analytics.Miscellaneous.LinearInterp(Peturbed_QZ,$K356,1,AJ$1),ZeroCompFreq,'PDH Calc'!$K356/365)</f>
        <v>1</v>
      </c>
      <c r="AK356" s="8">
        <f ca="1">_xll.HLV5r3.Analytics.Miscellaneous.Zero2DF(_xll.HLV5r3.Analytics.Miscellaneous.LinearInterp(Peturbed_QZ,$K356,1,AK$1),ZeroCompFreq,'PDH Calc'!$K356/365)</f>
        <v>1</v>
      </c>
    </row>
    <row r="357" spans="1:37">
      <c r="A357" s="4"/>
      <c r="B357" s="6"/>
      <c r="F357" s="11"/>
      <c r="G357" s="6"/>
      <c r="H357" s="20"/>
      <c r="I357" s="21"/>
      <c r="J357" s="26"/>
      <c r="K357" s="6">
        <f t="shared" ca="1" si="12"/>
        <v>0</v>
      </c>
      <c r="L357" s="8">
        <f ca="1">_xll.HLV5r3.Analytics.Miscellaneous.Zero2DF(_xll.HLV5r3.Analytics.Miscellaneous.LinearInterp(Peturbed_QZ,$K357,1,L$1),ZeroCompFreq,'PDH Calc'!$K357/365)</f>
        <v>1</v>
      </c>
      <c r="M357" s="8">
        <f ca="1">_xll.HLV5r3.Analytics.Miscellaneous.Zero2DF(_xll.HLV5r3.Analytics.Miscellaneous.LinearInterp(Peturbed_QZ,$K357,1,M$1),ZeroCompFreq,'PDH Calc'!$K357/365)</f>
        <v>1</v>
      </c>
      <c r="N357" s="8">
        <f ca="1">_xll.HLV5r3.Analytics.Miscellaneous.Zero2DF(_xll.HLV5r3.Analytics.Miscellaneous.LinearInterp(Peturbed_QZ,$K357,1,N$1),ZeroCompFreq,'PDH Calc'!$K357/365)</f>
        <v>1</v>
      </c>
      <c r="O357" s="8">
        <f ca="1">_xll.HLV5r3.Analytics.Miscellaneous.Zero2DF(_xll.HLV5r3.Analytics.Miscellaneous.LinearInterp(Peturbed_QZ,$K357,1,O$1),ZeroCompFreq,'PDH Calc'!$K357/365)</f>
        <v>1</v>
      </c>
      <c r="P357" s="8">
        <f ca="1">_xll.HLV5r3.Analytics.Miscellaneous.Zero2DF(_xll.HLV5r3.Analytics.Miscellaneous.LinearInterp(Peturbed_QZ,$K357,1,P$1),ZeroCompFreq,'PDH Calc'!$K357/365)</f>
        <v>1</v>
      </c>
      <c r="Q357" s="8">
        <f ca="1">_xll.HLV5r3.Analytics.Miscellaneous.Zero2DF(_xll.HLV5r3.Analytics.Miscellaneous.LinearInterp(Peturbed_QZ,$K357,1,Q$1),ZeroCompFreq,'PDH Calc'!$K357/365)</f>
        <v>1</v>
      </c>
      <c r="R357" s="8">
        <f ca="1">_xll.HLV5r3.Analytics.Miscellaneous.Zero2DF(_xll.HLV5r3.Analytics.Miscellaneous.LinearInterp(Peturbed_QZ,$K357,1,R$1),ZeroCompFreq,'PDH Calc'!$K357/365)</f>
        <v>1</v>
      </c>
      <c r="S357" s="8">
        <f ca="1">_xll.HLV5r3.Analytics.Miscellaneous.Zero2DF(_xll.HLV5r3.Analytics.Miscellaneous.LinearInterp(Peturbed_QZ,$K357,1,S$1),ZeroCompFreq,'PDH Calc'!$K357/365)</f>
        <v>1</v>
      </c>
      <c r="T357" s="8">
        <f ca="1">_xll.HLV5r3.Analytics.Miscellaneous.Zero2DF(_xll.HLV5r3.Analytics.Miscellaneous.LinearInterp(Peturbed_QZ,$K357,1,T$1),ZeroCompFreq,'PDH Calc'!$K357/365)</f>
        <v>1</v>
      </c>
      <c r="U357" s="8">
        <f ca="1">_xll.HLV5r3.Analytics.Miscellaneous.Zero2DF(_xll.HLV5r3.Analytics.Miscellaneous.LinearInterp(Peturbed_QZ,$K357,1,U$1),ZeroCompFreq,'PDH Calc'!$K357/365)</f>
        <v>1</v>
      </c>
      <c r="V357" s="8">
        <f ca="1">_xll.HLV5r3.Analytics.Miscellaneous.Zero2DF(_xll.HLV5r3.Analytics.Miscellaneous.LinearInterp(Peturbed_QZ,$K357,1,V$1),ZeroCompFreq,'PDH Calc'!$K357/365)</f>
        <v>1</v>
      </c>
      <c r="W357" s="8">
        <f ca="1">_xll.HLV5r3.Analytics.Miscellaneous.Zero2DF(_xll.HLV5r3.Analytics.Miscellaneous.LinearInterp(Peturbed_QZ,$K357,1,W$1),ZeroCompFreq,'PDH Calc'!$K357/365)</f>
        <v>1</v>
      </c>
      <c r="X357" s="8">
        <f ca="1">_xll.HLV5r3.Analytics.Miscellaneous.Zero2DF(_xll.HLV5r3.Analytics.Miscellaneous.LinearInterp(Peturbed_QZ,$K357,1,X$1),ZeroCompFreq,'PDH Calc'!$K357/365)</f>
        <v>1</v>
      </c>
      <c r="Y357" s="8">
        <f ca="1">_xll.HLV5r3.Analytics.Miscellaneous.Zero2DF(_xll.HLV5r3.Analytics.Miscellaneous.LinearInterp(Peturbed_QZ,$K357,1,Y$1),ZeroCompFreq,'PDH Calc'!$K357/365)</f>
        <v>1</v>
      </c>
      <c r="Z357" s="8">
        <f ca="1">_xll.HLV5r3.Analytics.Miscellaneous.Zero2DF(_xll.HLV5r3.Analytics.Miscellaneous.LinearInterp(Peturbed_QZ,$K357,1,Z$1),ZeroCompFreq,'PDH Calc'!$K357/365)</f>
        <v>1</v>
      </c>
      <c r="AA357" s="8">
        <f ca="1">_xll.HLV5r3.Analytics.Miscellaneous.Zero2DF(_xll.HLV5r3.Analytics.Miscellaneous.LinearInterp(Peturbed_QZ,$K357,1,AA$1),ZeroCompFreq,'PDH Calc'!$K357/365)</f>
        <v>1</v>
      </c>
      <c r="AB357" s="8">
        <f ca="1">_xll.HLV5r3.Analytics.Miscellaneous.Zero2DF(_xll.HLV5r3.Analytics.Miscellaneous.LinearInterp(Peturbed_QZ,$K357,1,AB$1),ZeroCompFreq,'PDH Calc'!$K357/365)</f>
        <v>1</v>
      </c>
      <c r="AC357" s="8">
        <f ca="1">_xll.HLV5r3.Analytics.Miscellaneous.Zero2DF(_xll.HLV5r3.Analytics.Miscellaneous.LinearInterp(Peturbed_QZ,$K357,1,AC$1),ZeroCompFreq,'PDH Calc'!$K357/365)</f>
        <v>1</v>
      </c>
      <c r="AD357" s="8">
        <f ca="1">_xll.HLV5r3.Analytics.Miscellaneous.Zero2DF(_xll.HLV5r3.Analytics.Miscellaneous.LinearInterp(Peturbed_QZ,$K357,1,AD$1),ZeroCompFreq,'PDH Calc'!$K357/365)</f>
        <v>1</v>
      </c>
      <c r="AE357" s="8">
        <f ca="1">_xll.HLV5r3.Analytics.Miscellaneous.Zero2DF(_xll.HLV5r3.Analytics.Miscellaneous.LinearInterp(Peturbed_QZ,$K357,1,AE$1),ZeroCompFreq,'PDH Calc'!$K357/365)</f>
        <v>1</v>
      </c>
      <c r="AF357" s="8">
        <f ca="1">_xll.HLV5r3.Analytics.Miscellaneous.Zero2DF(_xll.HLV5r3.Analytics.Miscellaneous.LinearInterp(Peturbed_QZ,$K357,1,AF$1),ZeroCompFreq,'PDH Calc'!$K357/365)</f>
        <v>1</v>
      </c>
      <c r="AG357" s="8">
        <f ca="1">_xll.HLV5r3.Analytics.Miscellaneous.Zero2DF(_xll.HLV5r3.Analytics.Miscellaneous.LinearInterp(Peturbed_QZ,$K357,1,AG$1),ZeroCompFreq,'PDH Calc'!$K357/365)</f>
        <v>1</v>
      </c>
      <c r="AH357" s="8">
        <f ca="1">_xll.HLV5r3.Analytics.Miscellaneous.Zero2DF(_xll.HLV5r3.Analytics.Miscellaneous.LinearInterp(Peturbed_QZ,$K357,1,AH$1),ZeroCompFreq,'PDH Calc'!$K357/365)</f>
        <v>1</v>
      </c>
      <c r="AI357" s="8">
        <f ca="1">_xll.HLV5r3.Analytics.Miscellaneous.Zero2DF(_xll.HLV5r3.Analytics.Miscellaneous.LinearInterp(Peturbed_QZ,$K357,1,AI$1),ZeroCompFreq,'PDH Calc'!$K357/365)</f>
        <v>1</v>
      </c>
      <c r="AJ357" s="8">
        <f ca="1">_xll.HLV5r3.Analytics.Miscellaneous.Zero2DF(_xll.HLV5r3.Analytics.Miscellaneous.LinearInterp(Peturbed_QZ,$K357,1,AJ$1),ZeroCompFreq,'PDH Calc'!$K357/365)</f>
        <v>1</v>
      </c>
      <c r="AK357" s="8">
        <f ca="1">_xll.HLV5r3.Analytics.Miscellaneous.Zero2DF(_xll.HLV5r3.Analytics.Miscellaneous.LinearInterp(Peturbed_QZ,$K357,1,AK$1),ZeroCompFreq,'PDH Calc'!$K357/365)</f>
        <v>1</v>
      </c>
    </row>
    <row r="358" spans="1:37">
      <c r="A358" s="4"/>
      <c r="B358" s="6"/>
      <c r="F358" s="11"/>
      <c r="G358" s="6"/>
      <c r="H358" s="20"/>
      <c r="I358" s="21"/>
      <c r="J358" s="26"/>
      <c r="K358" s="6">
        <f t="shared" ca="1" si="12"/>
        <v>0</v>
      </c>
      <c r="L358" s="8">
        <f ca="1">_xll.HLV5r3.Analytics.Miscellaneous.Zero2DF(_xll.HLV5r3.Analytics.Miscellaneous.LinearInterp(Peturbed_QZ,$K358,1,L$1),ZeroCompFreq,'PDH Calc'!$K358/365)</f>
        <v>1</v>
      </c>
      <c r="M358" s="8">
        <f ca="1">_xll.HLV5r3.Analytics.Miscellaneous.Zero2DF(_xll.HLV5r3.Analytics.Miscellaneous.LinearInterp(Peturbed_QZ,$K358,1,M$1),ZeroCompFreq,'PDH Calc'!$K358/365)</f>
        <v>1</v>
      </c>
      <c r="N358" s="8">
        <f ca="1">_xll.HLV5r3.Analytics.Miscellaneous.Zero2DF(_xll.HLV5r3.Analytics.Miscellaneous.LinearInterp(Peturbed_QZ,$K358,1,N$1),ZeroCompFreq,'PDH Calc'!$K358/365)</f>
        <v>1</v>
      </c>
      <c r="O358" s="8">
        <f ca="1">_xll.HLV5r3.Analytics.Miscellaneous.Zero2DF(_xll.HLV5r3.Analytics.Miscellaneous.LinearInterp(Peturbed_QZ,$K358,1,O$1),ZeroCompFreq,'PDH Calc'!$K358/365)</f>
        <v>1</v>
      </c>
      <c r="P358" s="8">
        <f ca="1">_xll.HLV5r3.Analytics.Miscellaneous.Zero2DF(_xll.HLV5r3.Analytics.Miscellaneous.LinearInterp(Peturbed_QZ,$K358,1,P$1),ZeroCompFreq,'PDH Calc'!$K358/365)</f>
        <v>1</v>
      </c>
      <c r="Q358" s="8">
        <f ca="1">_xll.HLV5r3.Analytics.Miscellaneous.Zero2DF(_xll.HLV5r3.Analytics.Miscellaneous.LinearInterp(Peturbed_QZ,$K358,1,Q$1),ZeroCompFreq,'PDH Calc'!$K358/365)</f>
        <v>1</v>
      </c>
      <c r="R358" s="8">
        <f ca="1">_xll.HLV5r3.Analytics.Miscellaneous.Zero2DF(_xll.HLV5r3.Analytics.Miscellaneous.LinearInterp(Peturbed_QZ,$K358,1,R$1),ZeroCompFreq,'PDH Calc'!$K358/365)</f>
        <v>1</v>
      </c>
      <c r="S358" s="8">
        <f ca="1">_xll.HLV5r3.Analytics.Miscellaneous.Zero2DF(_xll.HLV5r3.Analytics.Miscellaneous.LinearInterp(Peturbed_QZ,$K358,1,S$1),ZeroCompFreq,'PDH Calc'!$K358/365)</f>
        <v>1</v>
      </c>
      <c r="T358" s="8">
        <f ca="1">_xll.HLV5r3.Analytics.Miscellaneous.Zero2DF(_xll.HLV5r3.Analytics.Miscellaneous.LinearInterp(Peturbed_QZ,$K358,1,T$1),ZeroCompFreq,'PDH Calc'!$K358/365)</f>
        <v>1</v>
      </c>
      <c r="U358" s="8">
        <f ca="1">_xll.HLV5r3.Analytics.Miscellaneous.Zero2DF(_xll.HLV5r3.Analytics.Miscellaneous.LinearInterp(Peturbed_QZ,$K358,1,U$1),ZeroCompFreq,'PDH Calc'!$K358/365)</f>
        <v>1</v>
      </c>
      <c r="V358" s="8">
        <f ca="1">_xll.HLV5r3.Analytics.Miscellaneous.Zero2DF(_xll.HLV5r3.Analytics.Miscellaneous.LinearInterp(Peturbed_QZ,$K358,1,V$1),ZeroCompFreq,'PDH Calc'!$K358/365)</f>
        <v>1</v>
      </c>
      <c r="W358" s="8">
        <f ca="1">_xll.HLV5r3.Analytics.Miscellaneous.Zero2DF(_xll.HLV5r3.Analytics.Miscellaneous.LinearInterp(Peturbed_QZ,$K358,1,W$1),ZeroCompFreq,'PDH Calc'!$K358/365)</f>
        <v>1</v>
      </c>
      <c r="X358" s="8">
        <f ca="1">_xll.HLV5r3.Analytics.Miscellaneous.Zero2DF(_xll.HLV5r3.Analytics.Miscellaneous.LinearInterp(Peturbed_QZ,$K358,1,X$1),ZeroCompFreq,'PDH Calc'!$K358/365)</f>
        <v>1</v>
      </c>
      <c r="Y358" s="8">
        <f ca="1">_xll.HLV5r3.Analytics.Miscellaneous.Zero2DF(_xll.HLV5r3.Analytics.Miscellaneous.LinearInterp(Peturbed_QZ,$K358,1,Y$1),ZeroCompFreq,'PDH Calc'!$K358/365)</f>
        <v>1</v>
      </c>
      <c r="Z358" s="8">
        <f ca="1">_xll.HLV5r3.Analytics.Miscellaneous.Zero2DF(_xll.HLV5r3.Analytics.Miscellaneous.LinearInterp(Peturbed_QZ,$K358,1,Z$1),ZeroCompFreq,'PDH Calc'!$K358/365)</f>
        <v>1</v>
      </c>
      <c r="AA358" s="8">
        <f ca="1">_xll.HLV5r3.Analytics.Miscellaneous.Zero2DF(_xll.HLV5r3.Analytics.Miscellaneous.LinearInterp(Peturbed_QZ,$K358,1,AA$1),ZeroCompFreq,'PDH Calc'!$K358/365)</f>
        <v>1</v>
      </c>
      <c r="AB358" s="8">
        <f ca="1">_xll.HLV5r3.Analytics.Miscellaneous.Zero2DF(_xll.HLV5r3.Analytics.Miscellaneous.LinearInterp(Peturbed_QZ,$K358,1,AB$1),ZeroCompFreq,'PDH Calc'!$K358/365)</f>
        <v>1</v>
      </c>
      <c r="AC358" s="8">
        <f ca="1">_xll.HLV5r3.Analytics.Miscellaneous.Zero2DF(_xll.HLV5r3.Analytics.Miscellaneous.LinearInterp(Peturbed_QZ,$K358,1,AC$1),ZeroCompFreq,'PDH Calc'!$K358/365)</f>
        <v>1</v>
      </c>
      <c r="AD358" s="8">
        <f ca="1">_xll.HLV5r3.Analytics.Miscellaneous.Zero2DF(_xll.HLV5r3.Analytics.Miscellaneous.LinearInterp(Peturbed_QZ,$K358,1,AD$1),ZeroCompFreq,'PDH Calc'!$K358/365)</f>
        <v>1</v>
      </c>
      <c r="AE358" s="8">
        <f ca="1">_xll.HLV5r3.Analytics.Miscellaneous.Zero2DF(_xll.HLV5r3.Analytics.Miscellaneous.LinearInterp(Peturbed_QZ,$K358,1,AE$1),ZeroCompFreq,'PDH Calc'!$K358/365)</f>
        <v>1</v>
      </c>
      <c r="AF358" s="8">
        <f ca="1">_xll.HLV5r3.Analytics.Miscellaneous.Zero2DF(_xll.HLV5r3.Analytics.Miscellaneous.LinearInterp(Peturbed_QZ,$K358,1,AF$1),ZeroCompFreq,'PDH Calc'!$K358/365)</f>
        <v>1</v>
      </c>
      <c r="AG358" s="8">
        <f ca="1">_xll.HLV5r3.Analytics.Miscellaneous.Zero2DF(_xll.HLV5r3.Analytics.Miscellaneous.LinearInterp(Peturbed_QZ,$K358,1,AG$1),ZeroCompFreq,'PDH Calc'!$K358/365)</f>
        <v>1</v>
      </c>
      <c r="AH358" s="8">
        <f ca="1">_xll.HLV5r3.Analytics.Miscellaneous.Zero2DF(_xll.HLV5r3.Analytics.Miscellaneous.LinearInterp(Peturbed_QZ,$K358,1,AH$1),ZeroCompFreq,'PDH Calc'!$K358/365)</f>
        <v>1</v>
      </c>
      <c r="AI358" s="8">
        <f ca="1">_xll.HLV5r3.Analytics.Miscellaneous.Zero2DF(_xll.HLV5r3.Analytics.Miscellaneous.LinearInterp(Peturbed_QZ,$K358,1,AI$1),ZeroCompFreq,'PDH Calc'!$K358/365)</f>
        <v>1</v>
      </c>
      <c r="AJ358" s="8">
        <f ca="1">_xll.HLV5r3.Analytics.Miscellaneous.Zero2DF(_xll.HLV5r3.Analytics.Miscellaneous.LinearInterp(Peturbed_QZ,$K358,1,AJ$1),ZeroCompFreq,'PDH Calc'!$K358/365)</f>
        <v>1</v>
      </c>
      <c r="AK358" s="8">
        <f ca="1">_xll.HLV5r3.Analytics.Miscellaneous.Zero2DF(_xll.HLV5r3.Analytics.Miscellaneous.LinearInterp(Peturbed_QZ,$K358,1,AK$1),ZeroCompFreq,'PDH Calc'!$K358/365)</f>
        <v>1</v>
      </c>
    </row>
    <row r="359" spans="1:37">
      <c r="A359" s="4"/>
      <c r="B359" s="6"/>
      <c r="F359" s="11"/>
      <c r="G359" s="6"/>
      <c r="H359" s="20"/>
      <c r="I359" s="21"/>
      <c r="J359" s="26"/>
      <c r="K359" s="6">
        <f t="shared" ca="1" si="12"/>
        <v>0</v>
      </c>
      <c r="L359" s="8">
        <f ca="1">_xll.HLV5r3.Analytics.Miscellaneous.Zero2DF(_xll.HLV5r3.Analytics.Miscellaneous.LinearInterp(Peturbed_QZ,$K359,1,L$1),ZeroCompFreq,'PDH Calc'!$K359/365)</f>
        <v>1</v>
      </c>
      <c r="M359" s="8">
        <f ca="1">_xll.HLV5r3.Analytics.Miscellaneous.Zero2DF(_xll.HLV5r3.Analytics.Miscellaneous.LinearInterp(Peturbed_QZ,$K359,1,M$1),ZeroCompFreq,'PDH Calc'!$K359/365)</f>
        <v>1</v>
      </c>
      <c r="N359" s="8">
        <f ca="1">_xll.HLV5r3.Analytics.Miscellaneous.Zero2DF(_xll.HLV5r3.Analytics.Miscellaneous.LinearInterp(Peturbed_QZ,$K359,1,N$1),ZeroCompFreq,'PDH Calc'!$K359/365)</f>
        <v>1</v>
      </c>
      <c r="O359" s="8">
        <f ca="1">_xll.HLV5r3.Analytics.Miscellaneous.Zero2DF(_xll.HLV5r3.Analytics.Miscellaneous.LinearInterp(Peturbed_QZ,$K359,1,O$1),ZeroCompFreq,'PDH Calc'!$K359/365)</f>
        <v>1</v>
      </c>
      <c r="P359" s="8">
        <f ca="1">_xll.HLV5r3.Analytics.Miscellaneous.Zero2DF(_xll.HLV5r3.Analytics.Miscellaneous.LinearInterp(Peturbed_QZ,$K359,1,P$1),ZeroCompFreq,'PDH Calc'!$K359/365)</f>
        <v>1</v>
      </c>
      <c r="Q359" s="8">
        <f ca="1">_xll.HLV5r3.Analytics.Miscellaneous.Zero2DF(_xll.HLV5r3.Analytics.Miscellaneous.LinearInterp(Peturbed_QZ,$K359,1,Q$1),ZeroCompFreq,'PDH Calc'!$K359/365)</f>
        <v>1</v>
      </c>
      <c r="R359" s="8">
        <f ca="1">_xll.HLV5r3.Analytics.Miscellaneous.Zero2DF(_xll.HLV5r3.Analytics.Miscellaneous.LinearInterp(Peturbed_QZ,$K359,1,R$1),ZeroCompFreq,'PDH Calc'!$K359/365)</f>
        <v>1</v>
      </c>
      <c r="S359" s="8">
        <f ca="1">_xll.HLV5r3.Analytics.Miscellaneous.Zero2DF(_xll.HLV5r3.Analytics.Miscellaneous.LinearInterp(Peturbed_QZ,$K359,1,S$1),ZeroCompFreq,'PDH Calc'!$K359/365)</f>
        <v>1</v>
      </c>
      <c r="T359" s="8">
        <f ca="1">_xll.HLV5r3.Analytics.Miscellaneous.Zero2DF(_xll.HLV5r3.Analytics.Miscellaneous.LinearInterp(Peturbed_QZ,$K359,1,T$1),ZeroCompFreq,'PDH Calc'!$K359/365)</f>
        <v>1</v>
      </c>
      <c r="U359" s="8">
        <f ca="1">_xll.HLV5r3.Analytics.Miscellaneous.Zero2DF(_xll.HLV5r3.Analytics.Miscellaneous.LinearInterp(Peturbed_QZ,$K359,1,U$1),ZeroCompFreq,'PDH Calc'!$K359/365)</f>
        <v>1</v>
      </c>
      <c r="V359" s="8">
        <f ca="1">_xll.HLV5r3.Analytics.Miscellaneous.Zero2DF(_xll.HLV5r3.Analytics.Miscellaneous.LinearInterp(Peturbed_QZ,$K359,1,V$1),ZeroCompFreq,'PDH Calc'!$K359/365)</f>
        <v>1</v>
      </c>
      <c r="W359" s="8">
        <f ca="1">_xll.HLV5r3.Analytics.Miscellaneous.Zero2DF(_xll.HLV5r3.Analytics.Miscellaneous.LinearInterp(Peturbed_QZ,$K359,1,W$1),ZeroCompFreq,'PDH Calc'!$K359/365)</f>
        <v>1</v>
      </c>
      <c r="X359" s="8">
        <f ca="1">_xll.HLV5r3.Analytics.Miscellaneous.Zero2DF(_xll.HLV5r3.Analytics.Miscellaneous.LinearInterp(Peturbed_QZ,$K359,1,X$1),ZeroCompFreq,'PDH Calc'!$K359/365)</f>
        <v>1</v>
      </c>
      <c r="Y359" s="8">
        <f ca="1">_xll.HLV5r3.Analytics.Miscellaneous.Zero2DF(_xll.HLV5r3.Analytics.Miscellaneous.LinearInterp(Peturbed_QZ,$K359,1,Y$1),ZeroCompFreq,'PDH Calc'!$K359/365)</f>
        <v>1</v>
      </c>
      <c r="Z359" s="8">
        <f ca="1">_xll.HLV5r3.Analytics.Miscellaneous.Zero2DF(_xll.HLV5r3.Analytics.Miscellaneous.LinearInterp(Peturbed_QZ,$K359,1,Z$1),ZeroCompFreq,'PDH Calc'!$K359/365)</f>
        <v>1</v>
      </c>
      <c r="AA359" s="8">
        <f ca="1">_xll.HLV5r3.Analytics.Miscellaneous.Zero2DF(_xll.HLV5r3.Analytics.Miscellaneous.LinearInterp(Peturbed_QZ,$K359,1,AA$1),ZeroCompFreq,'PDH Calc'!$K359/365)</f>
        <v>1</v>
      </c>
      <c r="AB359" s="8">
        <f ca="1">_xll.HLV5r3.Analytics.Miscellaneous.Zero2DF(_xll.HLV5r3.Analytics.Miscellaneous.LinearInterp(Peturbed_QZ,$K359,1,AB$1),ZeroCompFreq,'PDH Calc'!$K359/365)</f>
        <v>1</v>
      </c>
      <c r="AC359" s="8">
        <f ca="1">_xll.HLV5r3.Analytics.Miscellaneous.Zero2DF(_xll.HLV5r3.Analytics.Miscellaneous.LinearInterp(Peturbed_QZ,$K359,1,AC$1),ZeroCompFreq,'PDH Calc'!$K359/365)</f>
        <v>1</v>
      </c>
      <c r="AD359" s="8">
        <f ca="1">_xll.HLV5r3.Analytics.Miscellaneous.Zero2DF(_xll.HLV5r3.Analytics.Miscellaneous.LinearInterp(Peturbed_QZ,$K359,1,AD$1),ZeroCompFreq,'PDH Calc'!$K359/365)</f>
        <v>1</v>
      </c>
      <c r="AE359" s="8">
        <f ca="1">_xll.HLV5r3.Analytics.Miscellaneous.Zero2DF(_xll.HLV5r3.Analytics.Miscellaneous.LinearInterp(Peturbed_QZ,$K359,1,AE$1),ZeroCompFreq,'PDH Calc'!$K359/365)</f>
        <v>1</v>
      </c>
      <c r="AF359" s="8">
        <f ca="1">_xll.HLV5r3.Analytics.Miscellaneous.Zero2DF(_xll.HLV5r3.Analytics.Miscellaneous.LinearInterp(Peturbed_QZ,$K359,1,AF$1),ZeroCompFreq,'PDH Calc'!$K359/365)</f>
        <v>1</v>
      </c>
      <c r="AG359" s="8">
        <f ca="1">_xll.HLV5r3.Analytics.Miscellaneous.Zero2DF(_xll.HLV5r3.Analytics.Miscellaneous.LinearInterp(Peturbed_QZ,$K359,1,AG$1),ZeroCompFreq,'PDH Calc'!$K359/365)</f>
        <v>1</v>
      </c>
      <c r="AH359" s="8">
        <f ca="1">_xll.HLV5r3.Analytics.Miscellaneous.Zero2DF(_xll.HLV5r3.Analytics.Miscellaneous.LinearInterp(Peturbed_QZ,$K359,1,AH$1),ZeroCompFreq,'PDH Calc'!$K359/365)</f>
        <v>1</v>
      </c>
      <c r="AI359" s="8">
        <f ca="1">_xll.HLV5r3.Analytics.Miscellaneous.Zero2DF(_xll.HLV5r3.Analytics.Miscellaneous.LinearInterp(Peturbed_QZ,$K359,1,AI$1),ZeroCompFreq,'PDH Calc'!$K359/365)</f>
        <v>1</v>
      </c>
      <c r="AJ359" s="8">
        <f ca="1">_xll.HLV5r3.Analytics.Miscellaneous.Zero2DF(_xll.HLV5r3.Analytics.Miscellaneous.LinearInterp(Peturbed_QZ,$K359,1,AJ$1),ZeroCompFreq,'PDH Calc'!$K359/365)</f>
        <v>1</v>
      </c>
      <c r="AK359" s="8">
        <f ca="1">_xll.HLV5r3.Analytics.Miscellaneous.Zero2DF(_xll.HLV5r3.Analytics.Miscellaneous.LinearInterp(Peturbed_QZ,$K359,1,AK$1),ZeroCompFreq,'PDH Calc'!$K359/365)</f>
        <v>1</v>
      </c>
    </row>
    <row r="360" spans="1:37">
      <c r="A360" s="4"/>
      <c r="B360" s="6"/>
      <c r="F360" s="11"/>
      <c r="G360" s="6"/>
      <c r="H360" s="20"/>
      <c r="I360" s="21"/>
      <c r="J360" s="26"/>
      <c r="K360" s="6">
        <f t="shared" ca="1" si="12"/>
        <v>0</v>
      </c>
      <c r="L360" s="8">
        <f ca="1">_xll.HLV5r3.Analytics.Miscellaneous.Zero2DF(_xll.HLV5r3.Analytics.Miscellaneous.LinearInterp(Peturbed_QZ,$K360,1,L$1),ZeroCompFreq,'PDH Calc'!$K360/365)</f>
        <v>1</v>
      </c>
      <c r="M360" s="8">
        <f ca="1">_xll.HLV5r3.Analytics.Miscellaneous.Zero2DF(_xll.HLV5r3.Analytics.Miscellaneous.LinearInterp(Peturbed_QZ,$K360,1,M$1),ZeroCompFreq,'PDH Calc'!$K360/365)</f>
        <v>1</v>
      </c>
      <c r="N360" s="8">
        <f ca="1">_xll.HLV5r3.Analytics.Miscellaneous.Zero2DF(_xll.HLV5r3.Analytics.Miscellaneous.LinearInterp(Peturbed_QZ,$K360,1,N$1),ZeroCompFreq,'PDH Calc'!$K360/365)</f>
        <v>1</v>
      </c>
      <c r="O360" s="8">
        <f ca="1">_xll.HLV5r3.Analytics.Miscellaneous.Zero2DF(_xll.HLV5r3.Analytics.Miscellaneous.LinearInterp(Peturbed_QZ,$K360,1,O$1),ZeroCompFreq,'PDH Calc'!$K360/365)</f>
        <v>1</v>
      </c>
      <c r="P360" s="8">
        <f ca="1">_xll.HLV5r3.Analytics.Miscellaneous.Zero2DF(_xll.HLV5r3.Analytics.Miscellaneous.LinearInterp(Peturbed_QZ,$K360,1,P$1),ZeroCompFreq,'PDH Calc'!$K360/365)</f>
        <v>1</v>
      </c>
      <c r="Q360" s="8">
        <f ca="1">_xll.HLV5r3.Analytics.Miscellaneous.Zero2DF(_xll.HLV5r3.Analytics.Miscellaneous.LinearInterp(Peturbed_QZ,$K360,1,Q$1),ZeroCompFreq,'PDH Calc'!$K360/365)</f>
        <v>1</v>
      </c>
      <c r="R360" s="8">
        <f ca="1">_xll.HLV5r3.Analytics.Miscellaneous.Zero2DF(_xll.HLV5r3.Analytics.Miscellaneous.LinearInterp(Peturbed_QZ,$K360,1,R$1),ZeroCompFreq,'PDH Calc'!$K360/365)</f>
        <v>1</v>
      </c>
      <c r="S360" s="8">
        <f ca="1">_xll.HLV5r3.Analytics.Miscellaneous.Zero2DF(_xll.HLV5r3.Analytics.Miscellaneous.LinearInterp(Peturbed_QZ,$K360,1,S$1),ZeroCompFreq,'PDH Calc'!$K360/365)</f>
        <v>1</v>
      </c>
      <c r="T360" s="8">
        <f ca="1">_xll.HLV5r3.Analytics.Miscellaneous.Zero2DF(_xll.HLV5r3.Analytics.Miscellaneous.LinearInterp(Peturbed_QZ,$K360,1,T$1),ZeroCompFreq,'PDH Calc'!$K360/365)</f>
        <v>1</v>
      </c>
      <c r="U360" s="8">
        <f ca="1">_xll.HLV5r3.Analytics.Miscellaneous.Zero2DF(_xll.HLV5r3.Analytics.Miscellaneous.LinearInterp(Peturbed_QZ,$K360,1,U$1),ZeroCompFreq,'PDH Calc'!$K360/365)</f>
        <v>1</v>
      </c>
      <c r="V360" s="8">
        <f ca="1">_xll.HLV5r3.Analytics.Miscellaneous.Zero2DF(_xll.HLV5r3.Analytics.Miscellaneous.LinearInterp(Peturbed_QZ,$K360,1,V$1),ZeroCompFreq,'PDH Calc'!$K360/365)</f>
        <v>1</v>
      </c>
      <c r="W360" s="8">
        <f ca="1">_xll.HLV5r3.Analytics.Miscellaneous.Zero2DF(_xll.HLV5r3.Analytics.Miscellaneous.LinearInterp(Peturbed_QZ,$K360,1,W$1),ZeroCompFreq,'PDH Calc'!$K360/365)</f>
        <v>1</v>
      </c>
      <c r="X360" s="8">
        <f ca="1">_xll.HLV5r3.Analytics.Miscellaneous.Zero2DF(_xll.HLV5r3.Analytics.Miscellaneous.LinearInterp(Peturbed_QZ,$K360,1,X$1),ZeroCompFreq,'PDH Calc'!$K360/365)</f>
        <v>1</v>
      </c>
      <c r="Y360" s="8">
        <f ca="1">_xll.HLV5r3.Analytics.Miscellaneous.Zero2DF(_xll.HLV5r3.Analytics.Miscellaneous.LinearInterp(Peturbed_QZ,$K360,1,Y$1),ZeroCompFreq,'PDH Calc'!$K360/365)</f>
        <v>1</v>
      </c>
      <c r="Z360" s="8">
        <f ca="1">_xll.HLV5r3.Analytics.Miscellaneous.Zero2DF(_xll.HLV5r3.Analytics.Miscellaneous.LinearInterp(Peturbed_QZ,$K360,1,Z$1),ZeroCompFreq,'PDH Calc'!$K360/365)</f>
        <v>1</v>
      </c>
      <c r="AA360" s="8">
        <f ca="1">_xll.HLV5r3.Analytics.Miscellaneous.Zero2DF(_xll.HLV5r3.Analytics.Miscellaneous.LinearInterp(Peturbed_QZ,$K360,1,AA$1),ZeroCompFreq,'PDH Calc'!$K360/365)</f>
        <v>1</v>
      </c>
      <c r="AB360" s="8">
        <f ca="1">_xll.HLV5r3.Analytics.Miscellaneous.Zero2DF(_xll.HLV5r3.Analytics.Miscellaneous.LinearInterp(Peturbed_QZ,$K360,1,AB$1),ZeroCompFreq,'PDH Calc'!$K360/365)</f>
        <v>1</v>
      </c>
      <c r="AC360" s="8">
        <f ca="1">_xll.HLV5r3.Analytics.Miscellaneous.Zero2DF(_xll.HLV5r3.Analytics.Miscellaneous.LinearInterp(Peturbed_QZ,$K360,1,AC$1),ZeroCompFreq,'PDH Calc'!$K360/365)</f>
        <v>1</v>
      </c>
      <c r="AD360" s="8">
        <f ca="1">_xll.HLV5r3.Analytics.Miscellaneous.Zero2DF(_xll.HLV5r3.Analytics.Miscellaneous.LinearInterp(Peturbed_QZ,$K360,1,AD$1),ZeroCompFreq,'PDH Calc'!$K360/365)</f>
        <v>1</v>
      </c>
      <c r="AE360" s="8">
        <f ca="1">_xll.HLV5r3.Analytics.Miscellaneous.Zero2DF(_xll.HLV5r3.Analytics.Miscellaneous.LinearInterp(Peturbed_QZ,$K360,1,AE$1),ZeroCompFreq,'PDH Calc'!$K360/365)</f>
        <v>1</v>
      </c>
      <c r="AF360" s="8">
        <f ca="1">_xll.HLV5r3.Analytics.Miscellaneous.Zero2DF(_xll.HLV5r3.Analytics.Miscellaneous.LinearInterp(Peturbed_QZ,$K360,1,AF$1),ZeroCompFreq,'PDH Calc'!$K360/365)</f>
        <v>1</v>
      </c>
      <c r="AG360" s="8">
        <f ca="1">_xll.HLV5r3.Analytics.Miscellaneous.Zero2DF(_xll.HLV5r3.Analytics.Miscellaneous.LinearInterp(Peturbed_QZ,$K360,1,AG$1),ZeroCompFreq,'PDH Calc'!$K360/365)</f>
        <v>1</v>
      </c>
      <c r="AH360" s="8">
        <f ca="1">_xll.HLV5r3.Analytics.Miscellaneous.Zero2DF(_xll.HLV5r3.Analytics.Miscellaneous.LinearInterp(Peturbed_QZ,$K360,1,AH$1),ZeroCompFreq,'PDH Calc'!$K360/365)</f>
        <v>1</v>
      </c>
      <c r="AI360" s="8">
        <f ca="1">_xll.HLV5r3.Analytics.Miscellaneous.Zero2DF(_xll.HLV5r3.Analytics.Miscellaneous.LinearInterp(Peturbed_QZ,$K360,1,AI$1),ZeroCompFreq,'PDH Calc'!$K360/365)</f>
        <v>1</v>
      </c>
      <c r="AJ360" s="8">
        <f ca="1">_xll.HLV5r3.Analytics.Miscellaneous.Zero2DF(_xll.HLV5r3.Analytics.Miscellaneous.LinearInterp(Peturbed_QZ,$K360,1,AJ$1),ZeroCompFreq,'PDH Calc'!$K360/365)</f>
        <v>1</v>
      </c>
      <c r="AK360" s="8">
        <f ca="1">_xll.HLV5r3.Analytics.Miscellaneous.Zero2DF(_xll.HLV5r3.Analytics.Miscellaneous.LinearInterp(Peturbed_QZ,$K360,1,AK$1),ZeroCompFreq,'PDH Calc'!$K360/365)</f>
        <v>1</v>
      </c>
    </row>
    <row r="361" spans="1:37">
      <c r="A361" s="4"/>
      <c r="B361" s="6"/>
      <c r="F361" s="11"/>
      <c r="G361" s="6"/>
      <c r="H361" s="20"/>
      <c r="I361" s="21"/>
      <c r="J361" s="26"/>
      <c r="K361" s="6">
        <f t="shared" ca="1" si="12"/>
        <v>0</v>
      </c>
      <c r="L361" s="8">
        <f ca="1">_xll.HLV5r3.Analytics.Miscellaneous.Zero2DF(_xll.HLV5r3.Analytics.Miscellaneous.LinearInterp(Peturbed_QZ,$K361,1,L$1),ZeroCompFreq,'PDH Calc'!$K361/365)</f>
        <v>1</v>
      </c>
      <c r="M361" s="8">
        <f ca="1">_xll.HLV5r3.Analytics.Miscellaneous.Zero2DF(_xll.HLV5r3.Analytics.Miscellaneous.LinearInterp(Peturbed_QZ,$K361,1,M$1),ZeroCompFreq,'PDH Calc'!$K361/365)</f>
        <v>1</v>
      </c>
      <c r="N361" s="8">
        <f ca="1">_xll.HLV5r3.Analytics.Miscellaneous.Zero2DF(_xll.HLV5r3.Analytics.Miscellaneous.LinearInterp(Peturbed_QZ,$K361,1,N$1),ZeroCompFreq,'PDH Calc'!$K361/365)</f>
        <v>1</v>
      </c>
      <c r="O361" s="8">
        <f ca="1">_xll.HLV5r3.Analytics.Miscellaneous.Zero2DF(_xll.HLV5r3.Analytics.Miscellaneous.LinearInterp(Peturbed_QZ,$K361,1,O$1),ZeroCompFreq,'PDH Calc'!$K361/365)</f>
        <v>1</v>
      </c>
      <c r="P361" s="8">
        <f ca="1">_xll.HLV5r3.Analytics.Miscellaneous.Zero2DF(_xll.HLV5r3.Analytics.Miscellaneous.LinearInterp(Peturbed_QZ,$K361,1,P$1),ZeroCompFreq,'PDH Calc'!$K361/365)</f>
        <v>1</v>
      </c>
      <c r="Q361" s="8">
        <f ca="1">_xll.HLV5r3.Analytics.Miscellaneous.Zero2DF(_xll.HLV5r3.Analytics.Miscellaneous.LinearInterp(Peturbed_QZ,$K361,1,Q$1),ZeroCompFreq,'PDH Calc'!$K361/365)</f>
        <v>1</v>
      </c>
      <c r="R361" s="8">
        <f ca="1">_xll.HLV5r3.Analytics.Miscellaneous.Zero2DF(_xll.HLV5r3.Analytics.Miscellaneous.LinearInterp(Peturbed_QZ,$K361,1,R$1),ZeroCompFreq,'PDH Calc'!$K361/365)</f>
        <v>1</v>
      </c>
      <c r="S361" s="8">
        <f ca="1">_xll.HLV5r3.Analytics.Miscellaneous.Zero2DF(_xll.HLV5r3.Analytics.Miscellaneous.LinearInterp(Peturbed_QZ,$K361,1,S$1),ZeroCompFreq,'PDH Calc'!$K361/365)</f>
        <v>1</v>
      </c>
      <c r="T361" s="8">
        <f ca="1">_xll.HLV5r3.Analytics.Miscellaneous.Zero2DF(_xll.HLV5r3.Analytics.Miscellaneous.LinearInterp(Peturbed_QZ,$K361,1,T$1),ZeroCompFreq,'PDH Calc'!$K361/365)</f>
        <v>1</v>
      </c>
      <c r="U361" s="8">
        <f ca="1">_xll.HLV5r3.Analytics.Miscellaneous.Zero2DF(_xll.HLV5r3.Analytics.Miscellaneous.LinearInterp(Peturbed_QZ,$K361,1,U$1),ZeroCompFreq,'PDH Calc'!$K361/365)</f>
        <v>1</v>
      </c>
      <c r="V361" s="8">
        <f ca="1">_xll.HLV5r3.Analytics.Miscellaneous.Zero2DF(_xll.HLV5r3.Analytics.Miscellaneous.LinearInterp(Peturbed_QZ,$K361,1,V$1),ZeroCompFreq,'PDH Calc'!$K361/365)</f>
        <v>1</v>
      </c>
      <c r="W361" s="8">
        <f ca="1">_xll.HLV5r3.Analytics.Miscellaneous.Zero2DF(_xll.HLV5r3.Analytics.Miscellaneous.LinearInterp(Peturbed_QZ,$K361,1,W$1),ZeroCompFreq,'PDH Calc'!$K361/365)</f>
        <v>1</v>
      </c>
      <c r="X361" s="8">
        <f ca="1">_xll.HLV5r3.Analytics.Miscellaneous.Zero2DF(_xll.HLV5r3.Analytics.Miscellaneous.LinearInterp(Peturbed_QZ,$K361,1,X$1),ZeroCompFreq,'PDH Calc'!$K361/365)</f>
        <v>1</v>
      </c>
      <c r="Y361" s="8">
        <f ca="1">_xll.HLV5r3.Analytics.Miscellaneous.Zero2DF(_xll.HLV5r3.Analytics.Miscellaneous.LinearInterp(Peturbed_QZ,$K361,1,Y$1),ZeroCompFreq,'PDH Calc'!$K361/365)</f>
        <v>1</v>
      </c>
      <c r="Z361" s="8">
        <f ca="1">_xll.HLV5r3.Analytics.Miscellaneous.Zero2DF(_xll.HLV5r3.Analytics.Miscellaneous.LinearInterp(Peturbed_QZ,$K361,1,Z$1),ZeroCompFreq,'PDH Calc'!$K361/365)</f>
        <v>1</v>
      </c>
      <c r="AA361" s="8">
        <f ca="1">_xll.HLV5r3.Analytics.Miscellaneous.Zero2DF(_xll.HLV5r3.Analytics.Miscellaneous.LinearInterp(Peturbed_QZ,$K361,1,AA$1),ZeroCompFreq,'PDH Calc'!$K361/365)</f>
        <v>1</v>
      </c>
      <c r="AB361" s="8">
        <f ca="1">_xll.HLV5r3.Analytics.Miscellaneous.Zero2DF(_xll.HLV5r3.Analytics.Miscellaneous.LinearInterp(Peturbed_QZ,$K361,1,AB$1),ZeroCompFreq,'PDH Calc'!$K361/365)</f>
        <v>1</v>
      </c>
      <c r="AC361" s="8">
        <f ca="1">_xll.HLV5r3.Analytics.Miscellaneous.Zero2DF(_xll.HLV5r3.Analytics.Miscellaneous.LinearInterp(Peturbed_QZ,$K361,1,AC$1),ZeroCompFreq,'PDH Calc'!$K361/365)</f>
        <v>1</v>
      </c>
      <c r="AD361" s="8">
        <f ca="1">_xll.HLV5r3.Analytics.Miscellaneous.Zero2DF(_xll.HLV5r3.Analytics.Miscellaneous.LinearInterp(Peturbed_QZ,$K361,1,AD$1),ZeroCompFreq,'PDH Calc'!$K361/365)</f>
        <v>1</v>
      </c>
      <c r="AE361" s="8">
        <f ca="1">_xll.HLV5r3.Analytics.Miscellaneous.Zero2DF(_xll.HLV5r3.Analytics.Miscellaneous.LinearInterp(Peturbed_QZ,$K361,1,AE$1),ZeroCompFreq,'PDH Calc'!$K361/365)</f>
        <v>1</v>
      </c>
      <c r="AF361" s="8">
        <f ca="1">_xll.HLV5r3.Analytics.Miscellaneous.Zero2DF(_xll.HLV5r3.Analytics.Miscellaneous.LinearInterp(Peturbed_QZ,$K361,1,AF$1),ZeroCompFreq,'PDH Calc'!$K361/365)</f>
        <v>1</v>
      </c>
      <c r="AG361" s="8">
        <f ca="1">_xll.HLV5r3.Analytics.Miscellaneous.Zero2DF(_xll.HLV5r3.Analytics.Miscellaneous.LinearInterp(Peturbed_QZ,$K361,1,AG$1),ZeroCompFreq,'PDH Calc'!$K361/365)</f>
        <v>1</v>
      </c>
      <c r="AH361" s="8">
        <f ca="1">_xll.HLV5r3.Analytics.Miscellaneous.Zero2DF(_xll.HLV5r3.Analytics.Miscellaneous.LinearInterp(Peturbed_QZ,$K361,1,AH$1),ZeroCompFreq,'PDH Calc'!$K361/365)</f>
        <v>1</v>
      </c>
      <c r="AI361" s="8">
        <f ca="1">_xll.HLV5r3.Analytics.Miscellaneous.Zero2DF(_xll.HLV5r3.Analytics.Miscellaneous.LinearInterp(Peturbed_QZ,$K361,1,AI$1),ZeroCompFreq,'PDH Calc'!$K361/365)</f>
        <v>1</v>
      </c>
      <c r="AJ361" s="8">
        <f ca="1">_xll.HLV5r3.Analytics.Miscellaneous.Zero2DF(_xll.HLV5r3.Analytics.Miscellaneous.LinearInterp(Peturbed_QZ,$K361,1,AJ$1),ZeroCompFreq,'PDH Calc'!$K361/365)</f>
        <v>1</v>
      </c>
      <c r="AK361" s="8">
        <f ca="1">_xll.HLV5r3.Analytics.Miscellaneous.Zero2DF(_xll.HLV5r3.Analytics.Miscellaneous.LinearInterp(Peturbed_QZ,$K361,1,AK$1),ZeroCompFreq,'PDH Calc'!$K361/365)</f>
        <v>1</v>
      </c>
    </row>
    <row r="362" spans="1:37">
      <c r="A362" s="4"/>
      <c r="B362" s="6"/>
      <c r="F362" s="11"/>
      <c r="G362" s="6"/>
      <c r="H362" s="20"/>
      <c r="I362" s="21"/>
      <c r="J362" s="26"/>
      <c r="K362" s="6">
        <f t="shared" ca="1" si="12"/>
        <v>0</v>
      </c>
      <c r="L362" s="8">
        <f ca="1">_xll.HLV5r3.Analytics.Miscellaneous.Zero2DF(_xll.HLV5r3.Analytics.Miscellaneous.LinearInterp(Peturbed_QZ,$K362,1,L$1),ZeroCompFreq,'PDH Calc'!$K362/365)</f>
        <v>1</v>
      </c>
      <c r="M362" s="8">
        <f ca="1">_xll.HLV5r3.Analytics.Miscellaneous.Zero2DF(_xll.HLV5r3.Analytics.Miscellaneous.LinearInterp(Peturbed_QZ,$K362,1,M$1),ZeroCompFreq,'PDH Calc'!$K362/365)</f>
        <v>1</v>
      </c>
      <c r="N362" s="8">
        <f ca="1">_xll.HLV5r3.Analytics.Miscellaneous.Zero2DF(_xll.HLV5r3.Analytics.Miscellaneous.LinearInterp(Peturbed_QZ,$K362,1,N$1),ZeroCompFreq,'PDH Calc'!$K362/365)</f>
        <v>1</v>
      </c>
      <c r="O362" s="8">
        <f ca="1">_xll.HLV5r3.Analytics.Miscellaneous.Zero2DF(_xll.HLV5r3.Analytics.Miscellaneous.LinearInterp(Peturbed_QZ,$K362,1,O$1),ZeroCompFreq,'PDH Calc'!$K362/365)</f>
        <v>1</v>
      </c>
      <c r="P362" s="8">
        <f ca="1">_xll.HLV5r3.Analytics.Miscellaneous.Zero2DF(_xll.HLV5r3.Analytics.Miscellaneous.LinearInterp(Peturbed_QZ,$K362,1,P$1),ZeroCompFreq,'PDH Calc'!$K362/365)</f>
        <v>1</v>
      </c>
      <c r="Q362" s="8">
        <f ca="1">_xll.HLV5r3.Analytics.Miscellaneous.Zero2DF(_xll.HLV5r3.Analytics.Miscellaneous.LinearInterp(Peturbed_QZ,$K362,1,Q$1),ZeroCompFreq,'PDH Calc'!$K362/365)</f>
        <v>1</v>
      </c>
      <c r="R362" s="8">
        <f ca="1">_xll.HLV5r3.Analytics.Miscellaneous.Zero2DF(_xll.HLV5r3.Analytics.Miscellaneous.LinearInterp(Peturbed_QZ,$K362,1,R$1),ZeroCompFreq,'PDH Calc'!$K362/365)</f>
        <v>1</v>
      </c>
      <c r="S362" s="8">
        <f ca="1">_xll.HLV5r3.Analytics.Miscellaneous.Zero2DF(_xll.HLV5r3.Analytics.Miscellaneous.LinearInterp(Peturbed_QZ,$K362,1,S$1),ZeroCompFreq,'PDH Calc'!$K362/365)</f>
        <v>1</v>
      </c>
      <c r="T362" s="8">
        <f ca="1">_xll.HLV5r3.Analytics.Miscellaneous.Zero2DF(_xll.HLV5r3.Analytics.Miscellaneous.LinearInterp(Peturbed_QZ,$K362,1,T$1),ZeroCompFreq,'PDH Calc'!$K362/365)</f>
        <v>1</v>
      </c>
      <c r="U362" s="8">
        <f ca="1">_xll.HLV5r3.Analytics.Miscellaneous.Zero2DF(_xll.HLV5r3.Analytics.Miscellaneous.LinearInterp(Peturbed_QZ,$K362,1,U$1),ZeroCompFreq,'PDH Calc'!$K362/365)</f>
        <v>1</v>
      </c>
      <c r="V362" s="8">
        <f ca="1">_xll.HLV5r3.Analytics.Miscellaneous.Zero2DF(_xll.HLV5r3.Analytics.Miscellaneous.LinearInterp(Peturbed_QZ,$K362,1,V$1),ZeroCompFreq,'PDH Calc'!$K362/365)</f>
        <v>1</v>
      </c>
      <c r="W362" s="8">
        <f ca="1">_xll.HLV5r3.Analytics.Miscellaneous.Zero2DF(_xll.HLV5r3.Analytics.Miscellaneous.LinearInterp(Peturbed_QZ,$K362,1,W$1),ZeroCompFreq,'PDH Calc'!$K362/365)</f>
        <v>1</v>
      </c>
      <c r="X362" s="8">
        <f ca="1">_xll.HLV5r3.Analytics.Miscellaneous.Zero2DF(_xll.HLV5r3.Analytics.Miscellaneous.LinearInterp(Peturbed_QZ,$K362,1,X$1),ZeroCompFreq,'PDH Calc'!$K362/365)</f>
        <v>1</v>
      </c>
      <c r="Y362" s="8">
        <f ca="1">_xll.HLV5r3.Analytics.Miscellaneous.Zero2DF(_xll.HLV5r3.Analytics.Miscellaneous.LinearInterp(Peturbed_QZ,$K362,1,Y$1),ZeroCompFreq,'PDH Calc'!$K362/365)</f>
        <v>1</v>
      </c>
      <c r="Z362" s="8">
        <f ca="1">_xll.HLV5r3.Analytics.Miscellaneous.Zero2DF(_xll.HLV5r3.Analytics.Miscellaneous.LinearInterp(Peturbed_QZ,$K362,1,Z$1),ZeroCompFreq,'PDH Calc'!$K362/365)</f>
        <v>1</v>
      </c>
      <c r="AA362" s="8">
        <f ca="1">_xll.HLV5r3.Analytics.Miscellaneous.Zero2DF(_xll.HLV5r3.Analytics.Miscellaneous.LinearInterp(Peturbed_QZ,$K362,1,AA$1),ZeroCompFreq,'PDH Calc'!$K362/365)</f>
        <v>1</v>
      </c>
      <c r="AB362" s="8">
        <f ca="1">_xll.HLV5r3.Analytics.Miscellaneous.Zero2DF(_xll.HLV5r3.Analytics.Miscellaneous.LinearInterp(Peturbed_QZ,$K362,1,AB$1),ZeroCompFreq,'PDH Calc'!$K362/365)</f>
        <v>1</v>
      </c>
      <c r="AC362" s="8">
        <f ca="1">_xll.HLV5r3.Analytics.Miscellaneous.Zero2DF(_xll.HLV5r3.Analytics.Miscellaneous.LinearInterp(Peturbed_QZ,$K362,1,AC$1),ZeroCompFreq,'PDH Calc'!$K362/365)</f>
        <v>1</v>
      </c>
      <c r="AD362" s="8">
        <f ca="1">_xll.HLV5r3.Analytics.Miscellaneous.Zero2DF(_xll.HLV5r3.Analytics.Miscellaneous.LinearInterp(Peturbed_QZ,$K362,1,AD$1),ZeroCompFreq,'PDH Calc'!$K362/365)</f>
        <v>1</v>
      </c>
      <c r="AE362" s="8">
        <f ca="1">_xll.HLV5r3.Analytics.Miscellaneous.Zero2DF(_xll.HLV5r3.Analytics.Miscellaneous.LinearInterp(Peturbed_QZ,$K362,1,AE$1),ZeroCompFreq,'PDH Calc'!$K362/365)</f>
        <v>1</v>
      </c>
      <c r="AF362" s="8">
        <f ca="1">_xll.HLV5r3.Analytics.Miscellaneous.Zero2DF(_xll.HLV5r3.Analytics.Miscellaneous.LinearInterp(Peturbed_QZ,$K362,1,AF$1),ZeroCompFreq,'PDH Calc'!$K362/365)</f>
        <v>1</v>
      </c>
      <c r="AG362" s="8">
        <f ca="1">_xll.HLV5r3.Analytics.Miscellaneous.Zero2DF(_xll.HLV5r3.Analytics.Miscellaneous.LinearInterp(Peturbed_QZ,$K362,1,AG$1),ZeroCompFreq,'PDH Calc'!$K362/365)</f>
        <v>1</v>
      </c>
      <c r="AH362" s="8">
        <f ca="1">_xll.HLV5r3.Analytics.Miscellaneous.Zero2DF(_xll.HLV5r3.Analytics.Miscellaneous.LinearInterp(Peturbed_QZ,$K362,1,AH$1),ZeroCompFreq,'PDH Calc'!$K362/365)</f>
        <v>1</v>
      </c>
      <c r="AI362" s="8">
        <f ca="1">_xll.HLV5r3.Analytics.Miscellaneous.Zero2DF(_xll.HLV5r3.Analytics.Miscellaneous.LinearInterp(Peturbed_QZ,$K362,1,AI$1),ZeroCompFreq,'PDH Calc'!$K362/365)</f>
        <v>1</v>
      </c>
      <c r="AJ362" s="8">
        <f ca="1">_xll.HLV5r3.Analytics.Miscellaneous.Zero2DF(_xll.HLV5r3.Analytics.Miscellaneous.LinearInterp(Peturbed_QZ,$K362,1,AJ$1),ZeroCompFreq,'PDH Calc'!$K362/365)</f>
        <v>1</v>
      </c>
      <c r="AK362" s="8">
        <f ca="1">_xll.HLV5r3.Analytics.Miscellaneous.Zero2DF(_xll.HLV5r3.Analytics.Miscellaneous.LinearInterp(Peturbed_QZ,$K362,1,AK$1),ZeroCompFreq,'PDH Calc'!$K362/365)</f>
        <v>1</v>
      </c>
    </row>
    <row r="363" spans="1:37">
      <c r="A363" s="4"/>
      <c r="B363" s="6"/>
      <c r="F363" s="11"/>
      <c r="G363" s="6"/>
      <c r="H363" s="20"/>
      <c r="I363" s="21"/>
      <c r="J363" s="26"/>
      <c r="K363" s="6">
        <f t="shared" ca="1" si="12"/>
        <v>0</v>
      </c>
      <c r="L363" s="8">
        <f ca="1">_xll.HLV5r3.Analytics.Miscellaneous.Zero2DF(_xll.HLV5r3.Analytics.Miscellaneous.LinearInterp(Peturbed_QZ,$K363,1,L$1),ZeroCompFreq,'PDH Calc'!$K363/365)</f>
        <v>1</v>
      </c>
      <c r="M363" s="8">
        <f ca="1">_xll.HLV5r3.Analytics.Miscellaneous.Zero2DF(_xll.HLV5r3.Analytics.Miscellaneous.LinearInterp(Peturbed_QZ,$K363,1,M$1),ZeroCompFreq,'PDH Calc'!$K363/365)</f>
        <v>1</v>
      </c>
      <c r="N363" s="8">
        <f ca="1">_xll.HLV5r3.Analytics.Miscellaneous.Zero2DF(_xll.HLV5r3.Analytics.Miscellaneous.LinearInterp(Peturbed_QZ,$K363,1,N$1),ZeroCompFreq,'PDH Calc'!$K363/365)</f>
        <v>1</v>
      </c>
      <c r="O363" s="8">
        <f ca="1">_xll.HLV5r3.Analytics.Miscellaneous.Zero2DF(_xll.HLV5r3.Analytics.Miscellaneous.LinearInterp(Peturbed_QZ,$K363,1,O$1),ZeroCompFreq,'PDH Calc'!$K363/365)</f>
        <v>1</v>
      </c>
      <c r="P363" s="8">
        <f ca="1">_xll.HLV5r3.Analytics.Miscellaneous.Zero2DF(_xll.HLV5r3.Analytics.Miscellaneous.LinearInterp(Peturbed_QZ,$K363,1,P$1),ZeroCompFreq,'PDH Calc'!$K363/365)</f>
        <v>1</v>
      </c>
      <c r="Q363" s="8">
        <f ca="1">_xll.HLV5r3.Analytics.Miscellaneous.Zero2DF(_xll.HLV5r3.Analytics.Miscellaneous.LinearInterp(Peturbed_QZ,$K363,1,Q$1),ZeroCompFreq,'PDH Calc'!$K363/365)</f>
        <v>1</v>
      </c>
      <c r="R363" s="8">
        <f ca="1">_xll.HLV5r3.Analytics.Miscellaneous.Zero2DF(_xll.HLV5r3.Analytics.Miscellaneous.LinearInterp(Peturbed_QZ,$K363,1,R$1),ZeroCompFreq,'PDH Calc'!$K363/365)</f>
        <v>1</v>
      </c>
      <c r="S363" s="8">
        <f ca="1">_xll.HLV5r3.Analytics.Miscellaneous.Zero2DF(_xll.HLV5r3.Analytics.Miscellaneous.LinearInterp(Peturbed_QZ,$K363,1,S$1),ZeroCompFreq,'PDH Calc'!$K363/365)</f>
        <v>1</v>
      </c>
      <c r="T363" s="8">
        <f ca="1">_xll.HLV5r3.Analytics.Miscellaneous.Zero2DF(_xll.HLV5r3.Analytics.Miscellaneous.LinearInterp(Peturbed_QZ,$K363,1,T$1),ZeroCompFreq,'PDH Calc'!$K363/365)</f>
        <v>1</v>
      </c>
      <c r="U363" s="8">
        <f ca="1">_xll.HLV5r3.Analytics.Miscellaneous.Zero2DF(_xll.HLV5r3.Analytics.Miscellaneous.LinearInterp(Peturbed_QZ,$K363,1,U$1),ZeroCompFreq,'PDH Calc'!$K363/365)</f>
        <v>1</v>
      </c>
      <c r="V363" s="8">
        <f ca="1">_xll.HLV5r3.Analytics.Miscellaneous.Zero2DF(_xll.HLV5r3.Analytics.Miscellaneous.LinearInterp(Peturbed_QZ,$K363,1,V$1),ZeroCompFreq,'PDH Calc'!$K363/365)</f>
        <v>1</v>
      </c>
      <c r="W363" s="8">
        <f ca="1">_xll.HLV5r3.Analytics.Miscellaneous.Zero2DF(_xll.HLV5r3.Analytics.Miscellaneous.LinearInterp(Peturbed_QZ,$K363,1,W$1),ZeroCompFreq,'PDH Calc'!$K363/365)</f>
        <v>1</v>
      </c>
      <c r="X363" s="8">
        <f ca="1">_xll.HLV5r3.Analytics.Miscellaneous.Zero2DF(_xll.HLV5r3.Analytics.Miscellaneous.LinearInterp(Peturbed_QZ,$K363,1,X$1),ZeroCompFreq,'PDH Calc'!$K363/365)</f>
        <v>1</v>
      </c>
      <c r="Y363" s="8">
        <f ca="1">_xll.HLV5r3.Analytics.Miscellaneous.Zero2DF(_xll.HLV5r3.Analytics.Miscellaneous.LinearInterp(Peturbed_QZ,$K363,1,Y$1),ZeroCompFreq,'PDH Calc'!$K363/365)</f>
        <v>1</v>
      </c>
      <c r="Z363" s="8">
        <f ca="1">_xll.HLV5r3.Analytics.Miscellaneous.Zero2DF(_xll.HLV5r3.Analytics.Miscellaneous.LinearInterp(Peturbed_QZ,$K363,1,Z$1),ZeroCompFreq,'PDH Calc'!$K363/365)</f>
        <v>1</v>
      </c>
      <c r="AA363" s="8">
        <f ca="1">_xll.HLV5r3.Analytics.Miscellaneous.Zero2DF(_xll.HLV5r3.Analytics.Miscellaneous.LinearInterp(Peturbed_QZ,$K363,1,AA$1),ZeroCompFreq,'PDH Calc'!$K363/365)</f>
        <v>1</v>
      </c>
      <c r="AB363" s="8">
        <f ca="1">_xll.HLV5r3.Analytics.Miscellaneous.Zero2DF(_xll.HLV5r3.Analytics.Miscellaneous.LinearInterp(Peturbed_QZ,$K363,1,AB$1),ZeroCompFreq,'PDH Calc'!$K363/365)</f>
        <v>1</v>
      </c>
      <c r="AC363" s="8">
        <f ca="1">_xll.HLV5r3.Analytics.Miscellaneous.Zero2DF(_xll.HLV5r3.Analytics.Miscellaneous.LinearInterp(Peturbed_QZ,$K363,1,AC$1),ZeroCompFreq,'PDH Calc'!$K363/365)</f>
        <v>1</v>
      </c>
      <c r="AD363" s="8">
        <f ca="1">_xll.HLV5r3.Analytics.Miscellaneous.Zero2DF(_xll.HLV5r3.Analytics.Miscellaneous.LinearInterp(Peturbed_QZ,$K363,1,AD$1),ZeroCompFreq,'PDH Calc'!$K363/365)</f>
        <v>1</v>
      </c>
      <c r="AE363" s="8">
        <f ca="1">_xll.HLV5r3.Analytics.Miscellaneous.Zero2DF(_xll.HLV5r3.Analytics.Miscellaneous.LinearInterp(Peturbed_QZ,$K363,1,AE$1),ZeroCompFreq,'PDH Calc'!$K363/365)</f>
        <v>1</v>
      </c>
      <c r="AF363" s="8">
        <f ca="1">_xll.HLV5r3.Analytics.Miscellaneous.Zero2DF(_xll.HLV5r3.Analytics.Miscellaneous.LinearInterp(Peturbed_QZ,$K363,1,AF$1),ZeroCompFreq,'PDH Calc'!$K363/365)</f>
        <v>1</v>
      </c>
      <c r="AG363" s="8">
        <f ca="1">_xll.HLV5r3.Analytics.Miscellaneous.Zero2DF(_xll.HLV5r3.Analytics.Miscellaneous.LinearInterp(Peturbed_QZ,$K363,1,AG$1),ZeroCompFreq,'PDH Calc'!$K363/365)</f>
        <v>1</v>
      </c>
      <c r="AH363" s="8">
        <f ca="1">_xll.HLV5r3.Analytics.Miscellaneous.Zero2DF(_xll.HLV5r3.Analytics.Miscellaneous.LinearInterp(Peturbed_QZ,$K363,1,AH$1),ZeroCompFreq,'PDH Calc'!$K363/365)</f>
        <v>1</v>
      </c>
      <c r="AI363" s="8">
        <f ca="1">_xll.HLV5r3.Analytics.Miscellaneous.Zero2DF(_xll.HLV5r3.Analytics.Miscellaneous.LinearInterp(Peturbed_QZ,$K363,1,AI$1),ZeroCompFreq,'PDH Calc'!$K363/365)</f>
        <v>1</v>
      </c>
      <c r="AJ363" s="8">
        <f ca="1">_xll.HLV5r3.Analytics.Miscellaneous.Zero2DF(_xll.HLV5r3.Analytics.Miscellaneous.LinearInterp(Peturbed_QZ,$K363,1,AJ$1),ZeroCompFreq,'PDH Calc'!$K363/365)</f>
        <v>1</v>
      </c>
      <c r="AK363" s="8">
        <f ca="1">_xll.HLV5r3.Analytics.Miscellaneous.Zero2DF(_xll.HLV5r3.Analytics.Miscellaneous.LinearInterp(Peturbed_QZ,$K363,1,AK$1),ZeroCompFreq,'PDH Calc'!$K363/365)</f>
        <v>1</v>
      </c>
    </row>
    <row r="364" spans="1:37">
      <c r="A364" s="4"/>
      <c r="B364" s="6"/>
      <c r="F364" s="11"/>
      <c r="G364" s="6"/>
      <c r="H364" s="20"/>
      <c r="I364" s="21"/>
      <c r="J364" s="26"/>
      <c r="K364" s="6">
        <f t="shared" ca="1" si="12"/>
        <v>0</v>
      </c>
      <c r="L364" s="8">
        <f ca="1">_xll.HLV5r3.Analytics.Miscellaneous.Zero2DF(_xll.HLV5r3.Analytics.Miscellaneous.LinearInterp(Peturbed_QZ,$K364,1,L$1),ZeroCompFreq,'PDH Calc'!$K364/365)</f>
        <v>1</v>
      </c>
      <c r="M364" s="8">
        <f ca="1">_xll.HLV5r3.Analytics.Miscellaneous.Zero2DF(_xll.HLV5r3.Analytics.Miscellaneous.LinearInterp(Peturbed_QZ,$K364,1,M$1),ZeroCompFreq,'PDH Calc'!$K364/365)</f>
        <v>1</v>
      </c>
      <c r="N364" s="8">
        <f ca="1">_xll.HLV5r3.Analytics.Miscellaneous.Zero2DF(_xll.HLV5r3.Analytics.Miscellaneous.LinearInterp(Peturbed_QZ,$K364,1,N$1),ZeroCompFreq,'PDH Calc'!$K364/365)</f>
        <v>1</v>
      </c>
      <c r="O364" s="8">
        <f ca="1">_xll.HLV5r3.Analytics.Miscellaneous.Zero2DF(_xll.HLV5r3.Analytics.Miscellaneous.LinearInterp(Peturbed_QZ,$K364,1,O$1),ZeroCompFreq,'PDH Calc'!$K364/365)</f>
        <v>1</v>
      </c>
      <c r="P364" s="8">
        <f ca="1">_xll.HLV5r3.Analytics.Miscellaneous.Zero2DF(_xll.HLV5r3.Analytics.Miscellaneous.LinearInterp(Peturbed_QZ,$K364,1,P$1),ZeroCompFreq,'PDH Calc'!$K364/365)</f>
        <v>1</v>
      </c>
      <c r="Q364" s="8">
        <f ca="1">_xll.HLV5r3.Analytics.Miscellaneous.Zero2DF(_xll.HLV5r3.Analytics.Miscellaneous.LinearInterp(Peturbed_QZ,$K364,1,Q$1),ZeroCompFreq,'PDH Calc'!$K364/365)</f>
        <v>1</v>
      </c>
      <c r="R364" s="8">
        <f ca="1">_xll.HLV5r3.Analytics.Miscellaneous.Zero2DF(_xll.HLV5r3.Analytics.Miscellaneous.LinearInterp(Peturbed_QZ,$K364,1,R$1),ZeroCompFreq,'PDH Calc'!$K364/365)</f>
        <v>1</v>
      </c>
      <c r="S364" s="8">
        <f ca="1">_xll.HLV5r3.Analytics.Miscellaneous.Zero2DF(_xll.HLV5r3.Analytics.Miscellaneous.LinearInterp(Peturbed_QZ,$K364,1,S$1),ZeroCompFreq,'PDH Calc'!$K364/365)</f>
        <v>1</v>
      </c>
      <c r="T364" s="8">
        <f ca="1">_xll.HLV5r3.Analytics.Miscellaneous.Zero2DF(_xll.HLV5r3.Analytics.Miscellaneous.LinearInterp(Peturbed_QZ,$K364,1,T$1),ZeroCompFreq,'PDH Calc'!$K364/365)</f>
        <v>1</v>
      </c>
      <c r="U364" s="8">
        <f ca="1">_xll.HLV5r3.Analytics.Miscellaneous.Zero2DF(_xll.HLV5r3.Analytics.Miscellaneous.LinearInterp(Peturbed_QZ,$K364,1,U$1),ZeroCompFreq,'PDH Calc'!$K364/365)</f>
        <v>1</v>
      </c>
      <c r="V364" s="8">
        <f ca="1">_xll.HLV5r3.Analytics.Miscellaneous.Zero2DF(_xll.HLV5r3.Analytics.Miscellaneous.LinearInterp(Peturbed_QZ,$K364,1,V$1),ZeroCompFreq,'PDH Calc'!$K364/365)</f>
        <v>1</v>
      </c>
      <c r="W364" s="8">
        <f ca="1">_xll.HLV5r3.Analytics.Miscellaneous.Zero2DF(_xll.HLV5r3.Analytics.Miscellaneous.LinearInterp(Peturbed_QZ,$K364,1,W$1),ZeroCompFreq,'PDH Calc'!$K364/365)</f>
        <v>1</v>
      </c>
      <c r="X364" s="8">
        <f ca="1">_xll.HLV5r3.Analytics.Miscellaneous.Zero2DF(_xll.HLV5r3.Analytics.Miscellaneous.LinearInterp(Peturbed_QZ,$K364,1,X$1),ZeroCompFreq,'PDH Calc'!$K364/365)</f>
        <v>1</v>
      </c>
      <c r="Y364" s="8">
        <f ca="1">_xll.HLV5r3.Analytics.Miscellaneous.Zero2DF(_xll.HLV5r3.Analytics.Miscellaneous.LinearInterp(Peturbed_QZ,$K364,1,Y$1),ZeroCompFreq,'PDH Calc'!$K364/365)</f>
        <v>1</v>
      </c>
      <c r="Z364" s="8">
        <f ca="1">_xll.HLV5r3.Analytics.Miscellaneous.Zero2DF(_xll.HLV5r3.Analytics.Miscellaneous.LinearInterp(Peturbed_QZ,$K364,1,Z$1),ZeroCompFreq,'PDH Calc'!$K364/365)</f>
        <v>1</v>
      </c>
      <c r="AA364" s="8">
        <f ca="1">_xll.HLV5r3.Analytics.Miscellaneous.Zero2DF(_xll.HLV5r3.Analytics.Miscellaneous.LinearInterp(Peturbed_QZ,$K364,1,AA$1),ZeroCompFreq,'PDH Calc'!$K364/365)</f>
        <v>1</v>
      </c>
      <c r="AB364" s="8">
        <f ca="1">_xll.HLV5r3.Analytics.Miscellaneous.Zero2DF(_xll.HLV5r3.Analytics.Miscellaneous.LinearInterp(Peturbed_QZ,$K364,1,AB$1),ZeroCompFreq,'PDH Calc'!$K364/365)</f>
        <v>1</v>
      </c>
      <c r="AC364" s="8">
        <f ca="1">_xll.HLV5r3.Analytics.Miscellaneous.Zero2DF(_xll.HLV5r3.Analytics.Miscellaneous.LinearInterp(Peturbed_QZ,$K364,1,AC$1),ZeroCompFreq,'PDH Calc'!$K364/365)</f>
        <v>1</v>
      </c>
      <c r="AD364" s="8">
        <f ca="1">_xll.HLV5r3.Analytics.Miscellaneous.Zero2DF(_xll.HLV5r3.Analytics.Miscellaneous.LinearInterp(Peturbed_QZ,$K364,1,AD$1),ZeroCompFreq,'PDH Calc'!$K364/365)</f>
        <v>1</v>
      </c>
      <c r="AE364" s="8">
        <f ca="1">_xll.HLV5r3.Analytics.Miscellaneous.Zero2DF(_xll.HLV5r3.Analytics.Miscellaneous.LinearInterp(Peturbed_QZ,$K364,1,AE$1),ZeroCompFreq,'PDH Calc'!$K364/365)</f>
        <v>1</v>
      </c>
      <c r="AF364" s="8">
        <f ca="1">_xll.HLV5r3.Analytics.Miscellaneous.Zero2DF(_xll.HLV5r3.Analytics.Miscellaneous.LinearInterp(Peturbed_QZ,$K364,1,AF$1),ZeroCompFreq,'PDH Calc'!$K364/365)</f>
        <v>1</v>
      </c>
      <c r="AG364" s="8">
        <f ca="1">_xll.HLV5r3.Analytics.Miscellaneous.Zero2DF(_xll.HLV5r3.Analytics.Miscellaneous.LinearInterp(Peturbed_QZ,$K364,1,AG$1),ZeroCompFreq,'PDH Calc'!$K364/365)</f>
        <v>1</v>
      </c>
      <c r="AH364" s="8">
        <f ca="1">_xll.HLV5r3.Analytics.Miscellaneous.Zero2DF(_xll.HLV5r3.Analytics.Miscellaneous.LinearInterp(Peturbed_QZ,$K364,1,AH$1),ZeroCompFreq,'PDH Calc'!$K364/365)</f>
        <v>1</v>
      </c>
      <c r="AI364" s="8">
        <f ca="1">_xll.HLV5r3.Analytics.Miscellaneous.Zero2DF(_xll.HLV5r3.Analytics.Miscellaneous.LinearInterp(Peturbed_QZ,$K364,1,AI$1),ZeroCompFreq,'PDH Calc'!$K364/365)</f>
        <v>1</v>
      </c>
      <c r="AJ364" s="8">
        <f ca="1">_xll.HLV5r3.Analytics.Miscellaneous.Zero2DF(_xll.HLV5r3.Analytics.Miscellaneous.LinearInterp(Peturbed_QZ,$K364,1,AJ$1),ZeroCompFreq,'PDH Calc'!$K364/365)</f>
        <v>1</v>
      </c>
      <c r="AK364" s="8">
        <f ca="1">_xll.HLV5r3.Analytics.Miscellaneous.Zero2DF(_xll.HLV5r3.Analytics.Miscellaneous.LinearInterp(Peturbed_QZ,$K364,1,AK$1),ZeroCompFreq,'PDH Calc'!$K364/365)</f>
        <v>1</v>
      </c>
    </row>
    <row r="365" spans="1:37">
      <c r="A365" s="4"/>
      <c r="B365" s="6"/>
      <c r="F365" s="11"/>
      <c r="G365" s="6"/>
      <c r="H365" s="20"/>
      <c r="I365" s="21"/>
      <c r="J365" s="26"/>
      <c r="K365" s="6">
        <f t="shared" ca="1" si="12"/>
        <v>0</v>
      </c>
      <c r="L365" s="8">
        <f ca="1">_xll.HLV5r3.Analytics.Miscellaneous.Zero2DF(_xll.HLV5r3.Analytics.Miscellaneous.LinearInterp(Peturbed_QZ,$K365,1,L$1),ZeroCompFreq,'PDH Calc'!$K365/365)</f>
        <v>1</v>
      </c>
      <c r="M365" s="8">
        <f ca="1">_xll.HLV5r3.Analytics.Miscellaneous.Zero2DF(_xll.HLV5r3.Analytics.Miscellaneous.LinearInterp(Peturbed_QZ,$K365,1,M$1),ZeroCompFreq,'PDH Calc'!$K365/365)</f>
        <v>1</v>
      </c>
      <c r="N365" s="8">
        <f ca="1">_xll.HLV5r3.Analytics.Miscellaneous.Zero2DF(_xll.HLV5r3.Analytics.Miscellaneous.LinearInterp(Peturbed_QZ,$K365,1,N$1),ZeroCompFreq,'PDH Calc'!$K365/365)</f>
        <v>1</v>
      </c>
      <c r="O365" s="8">
        <f ca="1">_xll.HLV5r3.Analytics.Miscellaneous.Zero2DF(_xll.HLV5r3.Analytics.Miscellaneous.LinearInterp(Peturbed_QZ,$K365,1,O$1),ZeroCompFreq,'PDH Calc'!$K365/365)</f>
        <v>1</v>
      </c>
      <c r="P365" s="8">
        <f ca="1">_xll.HLV5r3.Analytics.Miscellaneous.Zero2DF(_xll.HLV5r3.Analytics.Miscellaneous.LinearInterp(Peturbed_QZ,$K365,1,P$1),ZeroCompFreq,'PDH Calc'!$K365/365)</f>
        <v>1</v>
      </c>
      <c r="Q365" s="8">
        <f ca="1">_xll.HLV5r3.Analytics.Miscellaneous.Zero2DF(_xll.HLV5r3.Analytics.Miscellaneous.LinearInterp(Peturbed_QZ,$K365,1,Q$1),ZeroCompFreq,'PDH Calc'!$K365/365)</f>
        <v>1</v>
      </c>
      <c r="R365" s="8">
        <f ca="1">_xll.HLV5r3.Analytics.Miscellaneous.Zero2DF(_xll.HLV5r3.Analytics.Miscellaneous.LinearInterp(Peturbed_QZ,$K365,1,R$1),ZeroCompFreq,'PDH Calc'!$K365/365)</f>
        <v>1</v>
      </c>
      <c r="S365" s="8">
        <f ca="1">_xll.HLV5r3.Analytics.Miscellaneous.Zero2DF(_xll.HLV5r3.Analytics.Miscellaneous.LinearInterp(Peturbed_QZ,$K365,1,S$1),ZeroCompFreq,'PDH Calc'!$K365/365)</f>
        <v>1</v>
      </c>
      <c r="T365" s="8">
        <f ca="1">_xll.HLV5r3.Analytics.Miscellaneous.Zero2DF(_xll.HLV5r3.Analytics.Miscellaneous.LinearInterp(Peturbed_QZ,$K365,1,T$1),ZeroCompFreq,'PDH Calc'!$K365/365)</f>
        <v>1</v>
      </c>
      <c r="U365" s="8">
        <f ca="1">_xll.HLV5r3.Analytics.Miscellaneous.Zero2DF(_xll.HLV5r3.Analytics.Miscellaneous.LinearInterp(Peturbed_QZ,$K365,1,U$1),ZeroCompFreq,'PDH Calc'!$K365/365)</f>
        <v>1</v>
      </c>
      <c r="V365" s="8">
        <f ca="1">_xll.HLV5r3.Analytics.Miscellaneous.Zero2DF(_xll.HLV5r3.Analytics.Miscellaneous.LinearInterp(Peturbed_QZ,$K365,1,V$1),ZeroCompFreq,'PDH Calc'!$K365/365)</f>
        <v>1</v>
      </c>
      <c r="W365" s="8">
        <f ca="1">_xll.HLV5r3.Analytics.Miscellaneous.Zero2DF(_xll.HLV5r3.Analytics.Miscellaneous.LinearInterp(Peturbed_QZ,$K365,1,W$1),ZeroCompFreq,'PDH Calc'!$K365/365)</f>
        <v>1</v>
      </c>
      <c r="X365" s="8">
        <f ca="1">_xll.HLV5r3.Analytics.Miscellaneous.Zero2DF(_xll.HLV5r3.Analytics.Miscellaneous.LinearInterp(Peturbed_QZ,$K365,1,X$1),ZeroCompFreq,'PDH Calc'!$K365/365)</f>
        <v>1</v>
      </c>
      <c r="Y365" s="8">
        <f ca="1">_xll.HLV5r3.Analytics.Miscellaneous.Zero2DF(_xll.HLV5r3.Analytics.Miscellaneous.LinearInterp(Peturbed_QZ,$K365,1,Y$1),ZeroCompFreq,'PDH Calc'!$K365/365)</f>
        <v>1</v>
      </c>
      <c r="Z365" s="8">
        <f ca="1">_xll.HLV5r3.Analytics.Miscellaneous.Zero2DF(_xll.HLV5r3.Analytics.Miscellaneous.LinearInterp(Peturbed_QZ,$K365,1,Z$1),ZeroCompFreq,'PDH Calc'!$K365/365)</f>
        <v>1</v>
      </c>
      <c r="AA365" s="8">
        <f ca="1">_xll.HLV5r3.Analytics.Miscellaneous.Zero2DF(_xll.HLV5r3.Analytics.Miscellaneous.LinearInterp(Peturbed_QZ,$K365,1,AA$1),ZeroCompFreq,'PDH Calc'!$K365/365)</f>
        <v>1</v>
      </c>
      <c r="AB365" s="8">
        <f ca="1">_xll.HLV5r3.Analytics.Miscellaneous.Zero2DF(_xll.HLV5r3.Analytics.Miscellaneous.LinearInterp(Peturbed_QZ,$K365,1,AB$1),ZeroCompFreq,'PDH Calc'!$K365/365)</f>
        <v>1</v>
      </c>
      <c r="AC365" s="8">
        <f ca="1">_xll.HLV5r3.Analytics.Miscellaneous.Zero2DF(_xll.HLV5r3.Analytics.Miscellaneous.LinearInterp(Peturbed_QZ,$K365,1,AC$1),ZeroCompFreq,'PDH Calc'!$K365/365)</f>
        <v>1</v>
      </c>
      <c r="AD365" s="8">
        <f ca="1">_xll.HLV5r3.Analytics.Miscellaneous.Zero2DF(_xll.HLV5r3.Analytics.Miscellaneous.LinearInterp(Peturbed_QZ,$K365,1,AD$1),ZeroCompFreq,'PDH Calc'!$K365/365)</f>
        <v>1</v>
      </c>
      <c r="AE365" s="8">
        <f ca="1">_xll.HLV5r3.Analytics.Miscellaneous.Zero2DF(_xll.HLV5r3.Analytics.Miscellaneous.LinearInterp(Peturbed_QZ,$K365,1,AE$1),ZeroCompFreq,'PDH Calc'!$K365/365)</f>
        <v>1</v>
      </c>
      <c r="AF365" s="8">
        <f ca="1">_xll.HLV5r3.Analytics.Miscellaneous.Zero2DF(_xll.HLV5r3.Analytics.Miscellaneous.LinearInterp(Peturbed_QZ,$K365,1,AF$1),ZeroCompFreq,'PDH Calc'!$K365/365)</f>
        <v>1</v>
      </c>
      <c r="AG365" s="8">
        <f ca="1">_xll.HLV5r3.Analytics.Miscellaneous.Zero2DF(_xll.HLV5r3.Analytics.Miscellaneous.LinearInterp(Peturbed_QZ,$K365,1,AG$1),ZeroCompFreq,'PDH Calc'!$K365/365)</f>
        <v>1</v>
      </c>
      <c r="AH365" s="8">
        <f ca="1">_xll.HLV5r3.Analytics.Miscellaneous.Zero2DF(_xll.HLV5r3.Analytics.Miscellaneous.LinearInterp(Peturbed_QZ,$K365,1,AH$1),ZeroCompFreq,'PDH Calc'!$K365/365)</f>
        <v>1</v>
      </c>
      <c r="AI365" s="8">
        <f ca="1">_xll.HLV5r3.Analytics.Miscellaneous.Zero2DF(_xll.HLV5r3.Analytics.Miscellaneous.LinearInterp(Peturbed_QZ,$K365,1,AI$1),ZeroCompFreq,'PDH Calc'!$K365/365)</f>
        <v>1</v>
      </c>
      <c r="AJ365" s="8">
        <f ca="1">_xll.HLV5r3.Analytics.Miscellaneous.Zero2DF(_xll.HLV5r3.Analytics.Miscellaneous.LinearInterp(Peturbed_QZ,$K365,1,AJ$1),ZeroCompFreq,'PDH Calc'!$K365/365)</f>
        <v>1</v>
      </c>
      <c r="AK365" s="8">
        <f ca="1">_xll.HLV5r3.Analytics.Miscellaneous.Zero2DF(_xll.HLV5r3.Analytics.Miscellaneous.LinearInterp(Peturbed_QZ,$K365,1,AK$1),ZeroCompFreq,'PDH Calc'!$K365/365)</f>
        <v>1</v>
      </c>
    </row>
    <row r="366" spans="1:37">
      <c r="A366" s="4"/>
      <c r="B366" s="6"/>
      <c r="F366" s="11"/>
      <c r="G366" s="6"/>
      <c r="H366" s="20"/>
      <c r="I366" s="21"/>
      <c r="J366" s="26"/>
      <c r="K366" s="6">
        <f t="shared" ca="1" si="12"/>
        <v>0</v>
      </c>
      <c r="L366" s="8">
        <f ca="1">_xll.HLV5r3.Analytics.Miscellaneous.Zero2DF(_xll.HLV5r3.Analytics.Miscellaneous.LinearInterp(Peturbed_QZ,$K366,1,L$1),ZeroCompFreq,'PDH Calc'!$K366/365)</f>
        <v>1</v>
      </c>
      <c r="M366" s="8">
        <f ca="1">_xll.HLV5r3.Analytics.Miscellaneous.Zero2DF(_xll.HLV5r3.Analytics.Miscellaneous.LinearInterp(Peturbed_QZ,$K366,1,M$1),ZeroCompFreq,'PDH Calc'!$K366/365)</f>
        <v>1</v>
      </c>
      <c r="N366" s="8">
        <f ca="1">_xll.HLV5r3.Analytics.Miscellaneous.Zero2DF(_xll.HLV5r3.Analytics.Miscellaneous.LinearInterp(Peturbed_QZ,$K366,1,N$1),ZeroCompFreq,'PDH Calc'!$K366/365)</f>
        <v>1</v>
      </c>
      <c r="O366" s="8">
        <f ca="1">_xll.HLV5r3.Analytics.Miscellaneous.Zero2DF(_xll.HLV5r3.Analytics.Miscellaneous.LinearInterp(Peturbed_QZ,$K366,1,O$1),ZeroCompFreq,'PDH Calc'!$K366/365)</f>
        <v>1</v>
      </c>
      <c r="P366" s="8">
        <f ca="1">_xll.HLV5r3.Analytics.Miscellaneous.Zero2DF(_xll.HLV5r3.Analytics.Miscellaneous.LinearInterp(Peturbed_QZ,$K366,1,P$1),ZeroCompFreq,'PDH Calc'!$K366/365)</f>
        <v>1</v>
      </c>
      <c r="Q366" s="8">
        <f ca="1">_xll.HLV5r3.Analytics.Miscellaneous.Zero2DF(_xll.HLV5r3.Analytics.Miscellaneous.LinearInterp(Peturbed_QZ,$K366,1,Q$1),ZeroCompFreq,'PDH Calc'!$K366/365)</f>
        <v>1</v>
      </c>
      <c r="R366" s="8">
        <f ca="1">_xll.HLV5r3.Analytics.Miscellaneous.Zero2DF(_xll.HLV5r3.Analytics.Miscellaneous.LinearInterp(Peturbed_QZ,$K366,1,R$1),ZeroCompFreq,'PDH Calc'!$K366/365)</f>
        <v>1</v>
      </c>
      <c r="S366" s="8">
        <f ca="1">_xll.HLV5r3.Analytics.Miscellaneous.Zero2DF(_xll.HLV5r3.Analytics.Miscellaneous.LinearInterp(Peturbed_QZ,$K366,1,S$1),ZeroCompFreq,'PDH Calc'!$K366/365)</f>
        <v>1</v>
      </c>
      <c r="T366" s="8">
        <f ca="1">_xll.HLV5r3.Analytics.Miscellaneous.Zero2DF(_xll.HLV5r3.Analytics.Miscellaneous.LinearInterp(Peturbed_QZ,$K366,1,T$1),ZeroCompFreq,'PDH Calc'!$K366/365)</f>
        <v>1</v>
      </c>
      <c r="U366" s="8">
        <f ca="1">_xll.HLV5r3.Analytics.Miscellaneous.Zero2DF(_xll.HLV5r3.Analytics.Miscellaneous.LinearInterp(Peturbed_QZ,$K366,1,U$1),ZeroCompFreq,'PDH Calc'!$K366/365)</f>
        <v>1</v>
      </c>
      <c r="V366" s="8">
        <f ca="1">_xll.HLV5r3.Analytics.Miscellaneous.Zero2DF(_xll.HLV5r3.Analytics.Miscellaneous.LinearInterp(Peturbed_QZ,$K366,1,V$1),ZeroCompFreq,'PDH Calc'!$K366/365)</f>
        <v>1</v>
      </c>
      <c r="W366" s="8">
        <f ca="1">_xll.HLV5r3.Analytics.Miscellaneous.Zero2DF(_xll.HLV5r3.Analytics.Miscellaneous.LinearInterp(Peturbed_QZ,$K366,1,W$1),ZeroCompFreq,'PDH Calc'!$K366/365)</f>
        <v>1</v>
      </c>
      <c r="X366" s="8">
        <f ca="1">_xll.HLV5r3.Analytics.Miscellaneous.Zero2DF(_xll.HLV5r3.Analytics.Miscellaneous.LinearInterp(Peturbed_QZ,$K366,1,X$1),ZeroCompFreq,'PDH Calc'!$K366/365)</f>
        <v>1</v>
      </c>
      <c r="Y366" s="8">
        <f ca="1">_xll.HLV5r3.Analytics.Miscellaneous.Zero2DF(_xll.HLV5r3.Analytics.Miscellaneous.LinearInterp(Peturbed_QZ,$K366,1,Y$1),ZeroCompFreq,'PDH Calc'!$K366/365)</f>
        <v>1</v>
      </c>
      <c r="Z366" s="8">
        <f ca="1">_xll.HLV5r3.Analytics.Miscellaneous.Zero2DF(_xll.HLV5r3.Analytics.Miscellaneous.LinearInterp(Peturbed_QZ,$K366,1,Z$1),ZeroCompFreq,'PDH Calc'!$K366/365)</f>
        <v>1</v>
      </c>
      <c r="AA366" s="8">
        <f ca="1">_xll.HLV5r3.Analytics.Miscellaneous.Zero2DF(_xll.HLV5r3.Analytics.Miscellaneous.LinearInterp(Peturbed_QZ,$K366,1,AA$1),ZeroCompFreq,'PDH Calc'!$K366/365)</f>
        <v>1</v>
      </c>
      <c r="AB366" s="8">
        <f ca="1">_xll.HLV5r3.Analytics.Miscellaneous.Zero2DF(_xll.HLV5r3.Analytics.Miscellaneous.LinearInterp(Peturbed_QZ,$K366,1,AB$1),ZeroCompFreq,'PDH Calc'!$K366/365)</f>
        <v>1</v>
      </c>
      <c r="AC366" s="8">
        <f ca="1">_xll.HLV5r3.Analytics.Miscellaneous.Zero2DF(_xll.HLV5r3.Analytics.Miscellaneous.LinearInterp(Peturbed_QZ,$K366,1,AC$1),ZeroCompFreq,'PDH Calc'!$K366/365)</f>
        <v>1</v>
      </c>
      <c r="AD366" s="8">
        <f ca="1">_xll.HLV5r3.Analytics.Miscellaneous.Zero2DF(_xll.HLV5r3.Analytics.Miscellaneous.LinearInterp(Peturbed_QZ,$K366,1,AD$1),ZeroCompFreq,'PDH Calc'!$K366/365)</f>
        <v>1</v>
      </c>
      <c r="AE366" s="8">
        <f ca="1">_xll.HLV5r3.Analytics.Miscellaneous.Zero2DF(_xll.HLV5r3.Analytics.Miscellaneous.LinearInterp(Peturbed_QZ,$K366,1,AE$1),ZeroCompFreq,'PDH Calc'!$K366/365)</f>
        <v>1</v>
      </c>
      <c r="AF366" s="8">
        <f ca="1">_xll.HLV5r3.Analytics.Miscellaneous.Zero2DF(_xll.HLV5r3.Analytics.Miscellaneous.LinearInterp(Peturbed_QZ,$K366,1,AF$1),ZeroCompFreq,'PDH Calc'!$K366/365)</f>
        <v>1</v>
      </c>
      <c r="AG366" s="8">
        <f ca="1">_xll.HLV5r3.Analytics.Miscellaneous.Zero2DF(_xll.HLV5r3.Analytics.Miscellaneous.LinearInterp(Peturbed_QZ,$K366,1,AG$1),ZeroCompFreq,'PDH Calc'!$K366/365)</f>
        <v>1</v>
      </c>
      <c r="AH366" s="8">
        <f ca="1">_xll.HLV5r3.Analytics.Miscellaneous.Zero2DF(_xll.HLV5r3.Analytics.Miscellaneous.LinearInterp(Peturbed_QZ,$K366,1,AH$1),ZeroCompFreq,'PDH Calc'!$K366/365)</f>
        <v>1</v>
      </c>
      <c r="AI366" s="8">
        <f ca="1">_xll.HLV5r3.Analytics.Miscellaneous.Zero2DF(_xll.HLV5r3.Analytics.Miscellaneous.LinearInterp(Peturbed_QZ,$K366,1,AI$1),ZeroCompFreq,'PDH Calc'!$K366/365)</f>
        <v>1</v>
      </c>
      <c r="AJ366" s="8">
        <f ca="1">_xll.HLV5r3.Analytics.Miscellaneous.Zero2DF(_xll.HLV5r3.Analytics.Miscellaneous.LinearInterp(Peturbed_QZ,$K366,1,AJ$1),ZeroCompFreq,'PDH Calc'!$K366/365)</f>
        <v>1</v>
      </c>
      <c r="AK366" s="8">
        <f ca="1">_xll.HLV5r3.Analytics.Miscellaneous.Zero2DF(_xll.HLV5r3.Analytics.Miscellaneous.LinearInterp(Peturbed_QZ,$K366,1,AK$1),ZeroCompFreq,'PDH Calc'!$K366/365)</f>
        <v>1</v>
      </c>
    </row>
    <row r="367" spans="1:37">
      <c r="A367" s="4"/>
      <c r="B367" s="6"/>
      <c r="F367" s="11"/>
      <c r="G367" s="6"/>
      <c r="H367" s="20"/>
      <c r="I367" s="21"/>
      <c r="J367" s="26"/>
      <c r="K367" s="6">
        <f t="shared" ca="1" si="12"/>
        <v>0</v>
      </c>
      <c r="L367" s="8">
        <f ca="1">_xll.HLV5r3.Analytics.Miscellaneous.Zero2DF(_xll.HLV5r3.Analytics.Miscellaneous.LinearInterp(Peturbed_QZ,$K367,1,L$1),ZeroCompFreq,'PDH Calc'!$K367/365)</f>
        <v>1</v>
      </c>
      <c r="M367" s="8">
        <f ca="1">_xll.HLV5r3.Analytics.Miscellaneous.Zero2DF(_xll.HLV5r3.Analytics.Miscellaneous.LinearInterp(Peturbed_QZ,$K367,1,M$1),ZeroCompFreq,'PDH Calc'!$K367/365)</f>
        <v>1</v>
      </c>
      <c r="N367" s="8">
        <f ca="1">_xll.HLV5r3.Analytics.Miscellaneous.Zero2DF(_xll.HLV5r3.Analytics.Miscellaneous.LinearInterp(Peturbed_QZ,$K367,1,N$1),ZeroCompFreq,'PDH Calc'!$K367/365)</f>
        <v>1</v>
      </c>
      <c r="O367" s="8">
        <f ca="1">_xll.HLV5r3.Analytics.Miscellaneous.Zero2DF(_xll.HLV5r3.Analytics.Miscellaneous.LinearInterp(Peturbed_QZ,$K367,1,O$1),ZeroCompFreq,'PDH Calc'!$K367/365)</f>
        <v>1</v>
      </c>
      <c r="P367" s="8">
        <f ca="1">_xll.HLV5r3.Analytics.Miscellaneous.Zero2DF(_xll.HLV5r3.Analytics.Miscellaneous.LinearInterp(Peturbed_QZ,$K367,1,P$1),ZeroCompFreq,'PDH Calc'!$K367/365)</f>
        <v>1</v>
      </c>
      <c r="Q367" s="8">
        <f ca="1">_xll.HLV5r3.Analytics.Miscellaneous.Zero2DF(_xll.HLV5r3.Analytics.Miscellaneous.LinearInterp(Peturbed_QZ,$K367,1,Q$1),ZeroCompFreq,'PDH Calc'!$K367/365)</f>
        <v>1</v>
      </c>
      <c r="R367" s="8">
        <f ca="1">_xll.HLV5r3.Analytics.Miscellaneous.Zero2DF(_xll.HLV5r3.Analytics.Miscellaneous.LinearInterp(Peturbed_QZ,$K367,1,R$1),ZeroCompFreq,'PDH Calc'!$K367/365)</f>
        <v>1</v>
      </c>
      <c r="S367" s="8">
        <f ca="1">_xll.HLV5r3.Analytics.Miscellaneous.Zero2DF(_xll.HLV5r3.Analytics.Miscellaneous.LinearInterp(Peturbed_QZ,$K367,1,S$1),ZeroCompFreq,'PDH Calc'!$K367/365)</f>
        <v>1</v>
      </c>
      <c r="T367" s="8">
        <f ca="1">_xll.HLV5r3.Analytics.Miscellaneous.Zero2DF(_xll.HLV5r3.Analytics.Miscellaneous.LinearInterp(Peturbed_QZ,$K367,1,T$1),ZeroCompFreq,'PDH Calc'!$K367/365)</f>
        <v>1</v>
      </c>
      <c r="U367" s="8">
        <f ca="1">_xll.HLV5r3.Analytics.Miscellaneous.Zero2DF(_xll.HLV5r3.Analytics.Miscellaneous.LinearInterp(Peturbed_QZ,$K367,1,U$1),ZeroCompFreq,'PDH Calc'!$K367/365)</f>
        <v>1</v>
      </c>
      <c r="V367" s="8">
        <f ca="1">_xll.HLV5r3.Analytics.Miscellaneous.Zero2DF(_xll.HLV5r3.Analytics.Miscellaneous.LinearInterp(Peturbed_QZ,$K367,1,V$1),ZeroCompFreq,'PDH Calc'!$K367/365)</f>
        <v>1</v>
      </c>
      <c r="W367" s="8">
        <f ca="1">_xll.HLV5r3.Analytics.Miscellaneous.Zero2DF(_xll.HLV5r3.Analytics.Miscellaneous.LinearInterp(Peturbed_QZ,$K367,1,W$1),ZeroCompFreq,'PDH Calc'!$K367/365)</f>
        <v>1</v>
      </c>
      <c r="X367" s="8">
        <f ca="1">_xll.HLV5r3.Analytics.Miscellaneous.Zero2DF(_xll.HLV5r3.Analytics.Miscellaneous.LinearInterp(Peturbed_QZ,$K367,1,X$1),ZeroCompFreq,'PDH Calc'!$K367/365)</f>
        <v>1</v>
      </c>
      <c r="Y367" s="8">
        <f ca="1">_xll.HLV5r3.Analytics.Miscellaneous.Zero2DF(_xll.HLV5r3.Analytics.Miscellaneous.LinearInterp(Peturbed_QZ,$K367,1,Y$1),ZeroCompFreq,'PDH Calc'!$K367/365)</f>
        <v>1</v>
      </c>
      <c r="Z367" s="8">
        <f ca="1">_xll.HLV5r3.Analytics.Miscellaneous.Zero2DF(_xll.HLV5r3.Analytics.Miscellaneous.LinearInterp(Peturbed_QZ,$K367,1,Z$1),ZeroCompFreq,'PDH Calc'!$K367/365)</f>
        <v>1</v>
      </c>
      <c r="AA367" s="8">
        <f ca="1">_xll.HLV5r3.Analytics.Miscellaneous.Zero2DF(_xll.HLV5r3.Analytics.Miscellaneous.LinearInterp(Peturbed_QZ,$K367,1,AA$1),ZeroCompFreq,'PDH Calc'!$K367/365)</f>
        <v>1</v>
      </c>
      <c r="AB367" s="8">
        <f ca="1">_xll.HLV5r3.Analytics.Miscellaneous.Zero2DF(_xll.HLV5r3.Analytics.Miscellaneous.LinearInterp(Peturbed_QZ,$K367,1,AB$1),ZeroCompFreq,'PDH Calc'!$K367/365)</f>
        <v>1</v>
      </c>
      <c r="AC367" s="8">
        <f ca="1">_xll.HLV5r3.Analytics.Miscellaneous.Zero2DF(_xll.HLV5r3.Analytics.Miscellaneous.LinearInterp(Peturbed_QZ,$K367,1,AC$1),ZeroCompFreq,'PDH Calc'!$K367/365)</f>
        <v>1</v>
      </c>
      <c r="AD367" s="8">
        <f ca="1">_xll.HLV5r3.Analytics.Miscellaneous.Zero2DF(_xll.HLV5r3.Analytics.Miscellaneous.LinearInterp(Peturbed_QZ,$K367,1,AD$1),ZeroCompFreq,'PDH Calc'!$K367/365)</f>
        <v>1</v>
      </c>
      <c r="AE367" s="8">
        <f ca="1">_xll.HLV5r3.Analytics.Miscellaneous.Zero2DF(_xll.HLV5r3.Analytics.Miscellaneous.LinearInterp(Peturbed_QZ,$K367,1,AE$1),ZeroCompFreq,'PDH Calc'!$K367/365)</f>
        <v>1</v>
      </c>
      <c r="AF367" s="8">
        <f ca="1">_xll.HLV5r3.Analytics.Miscellaneous.Zero2DF(_xll.HLV5r3.Analytics.Miscellaneous.LinearInterp(Peturbed_QZ,$K367,1,AF$1),ZeroCompFreq,'PDH Calc'!$K367/365)</f>
        <v>1</v>
      </c>
      <c r="AG367" s="8">
        <f ca="1">_xll.HLV5r3.Analytics.Miscellaneous.Zero2DF(_xll.HLV5r3.Analytics.Miscellaneous.LinearInterp(Peturbed_QZ,$K367,1,AG$1),ZeroCompFreq,'PDH Calc'!$K367/365)</f>
        <v>1</v>
      </c>
      <c r="AH367" s="8">
        <f ca="1">_xll.HLV5r3.Analytics.Miscellaneous.Zero2DF(_xll.HLV5r3.Analytics.Miscellaneous.LinearInterp(Peturbed_QZ,$K367,1,AH$1),ZeroCompFreq,'PDH Calc'!$K367/365)</f>
        <v>1</v>
      </c>
      <c r="AI367" s="8">
        <f ca="1">_xll.HLV5r3.Analytics.Miscellaneous.Zero2DF(_xll.HLV5r3.Analytics.Miscellaneous.LinearInterp(Peturbed_QZ,$K367,1,AI$1),ZeroCompFreq,'PDH Calc'!$K367/365)</f>
        <v>1</v>
      </c>
      <c r="AJ367" s="8">
        <f ca="1">_xll.HLV5r3.Analytics.Miscellaneous.Zero2DF(_xll.HLV5r3.Analytics.Miscellaneous.LinearInterp(Peturbed_QZ,$K367,1,AJ$1),ZeroCompFreq,'PDH Calc'!$K367/365)</f>
        <v>1</v>
      </c>
      <c r="AK367" s="8">
        <f ca="1">_xll.HLV5r3.Analytics.Miscellaneous.Zero2DF(_xll.HLV5r3.Analytics.Miscellaneous.LinearInterp(Peturbed_QZ,$K367,1,AK$1),ZeroCompFreq,'PDH Calc'!$K367/365)</f>
        <v>1</v>
      </c>
    </row>
    <row r="368" spans="1:37">
      <c r="A368" s="4"/>
      <c r="B368" s="6"/>
      <c r="F368" s="11"/>
      <c r="G368" s="6"/>
      <c r="H368" s="20"/>
      <c r="I368" s="21"/>
      <c r="J368" s="26"/>
      <c r="K368" s="6">
        <f t="shared" ca="1" si="12"/>
        <v>0</v>
      </c>
      <c r="L368" s="8">
        <f ca="1">_xll.HLV5r3.Analytics.Miscellaneous.Zero2DF(_xll.HLV5r3.Analytics.Miscellaneous.LinearInterp(Peturbed_QZ,$K368,1,L$1),ZeroCompFreq,'PDH Calc'!$K368/365)</f>
        <v>1</v>
      </c>
      <c r="M368" s="8">
        <f ca="1">_xll.HLV5r3.Analytics.Miscellaneous.Zero2DF(_xll.HLV5r3.Analytics.Miscellaneous.LinearInterp(Peturbed_QZ,$K368,1,M$1),ZeroCompFreq,'PDH Calc'!$K368/365)</f>
        <v>1</v>
      </c>
      <c r="N368" s="8">
        <f ca="1">_xll.HLV5r3.Analytics.Miscellaneous.Zero2DF(_xll.HLV5r3.Analytics.Miscellaneous.LinearInterp(Peturbed_QZ,$K368,1,N$1),ZeroCompFreq,'PDH Calc'!$K368/365)</f>
        <v>1</v>
      </c>
      <c r="O368" s="8">
        <f ca="1">_xll.HLV5r3.Analytics.Miscellaneous.Zero2DF(_xll.HLV5r3.Analytics.Miscellaneous.LinearInterp(Peturbed_QZ,$K368,1,O$1),ZeroCompFreq,'PDH Calc'!$K368/365)</f>
        <v>1</v>
      </c>
      <c r="P368" s="8">
        <f ca="1">_xll.HLV5r3.Analytics.Miscellaneous.Zero2DF(_xll.HLV5r3.Analytics.Miscellaneous.LinearInterp(Peturbed_QZ,$K368,1,P$1),ZeroCompFreq,'PDH Calc'!$K368/365)</f>
        <v>1</v>
      </c>
      <c r="Q368" s="8">
        <f ca="1">_xll.HLV5r3.Analytics.Miscellaneous.Zero2DF(_xll.HLV5r3.Analytics.Miscellaneous.LinearInterp(Peturbed_QZ,$K368,1,Q$1),ZeroCompFreq,'PDH Calc'!$K368/365)</f>
        <v>1</v>
      </c>
      <c r="R368" s="8">
        <f ca="1">_xll.HLV5r3.Analytics.Miscellaneous.Zero2DF(_xll.HLV5r3.Analytics.Miscellaneous.LinearInterp(Peturbed_QZ,$K368,1,R$1),ZeroCompFreq,'PDH Calc'!$K368/365)</f>
        <v>1</v>
      </c>
      <c r="S368" s="8">
        <f ca="1">_xll.HLV5r3.Analytics.Miscellaneous.Zero2DF(_xll.HLV5r3.Analytics.Miscellaneous.LinearInterp(Peturbed_QZ,$K368,1,S$1),ZeroCompFreq,'PDH Calc'!$K368/365)</f>
        <v>1</v>
      </c>
      <c r="T368" s="8">
        <f ca="1">_xll.HLV5r3.Analytics.Miscellaneous.Zero2DF(_xll.HLV5r3.Analytics.Miscellaneous.LinearInterp(Peturbed_QZ,$K368,1,T$1),ZeroCompFreq,'PDH Calc'!$K368/365)</f>
        <v>1</v>
      </c>
      <c r="U368" s="8">
        <f ca="1">_xll.HLV5r3.Analytics.Miscellaneous.Zero2DF(_xll.HLV5r3.Analytics.Miscellaneous.LinearInterp(Peturbed_QZ,$K368,1,U$1),ZeroCompFreq,'PDH Calc'!$K368/365)</f>
        <v>1</v>
      </c>
      <c r="V368" s="8">
        <f ca="1">_xll.HLV5r3.Analytics.Miscellaneous.Zero2DF(_xll.HLV5r3.Analytics.Miscellaneous.LinearInterp(Peturbed_QZ,$K368,1,V$1),ZeroCompFreq,'PDH Calc'!$K368/365)</f>
        <v>1</v>
      </c>
      <c r="W368" s="8">
        <f ca="1">_xll.HLV5r3.Analytics.Miscellaneous.Zero2DF(_xll.HLV5r3.Analytics.Miscellaneous.LinearInterp(Peturbed_QZ,$K368,1,W$1),ZeroCompFreq,'PDH Calc'!$K368/365)</f>
        <v>1</v>
      </c>
      <c r="X368" s="8">
        <f ca="1">_xll.HLV5r3.Analytics.Miscellaneous.Zero2DF(_xll.HLV5r3.Analytics.Miscellaneous.LinearInterp(Peturbed_QZ,$K368,1,X$1),ZeroCompFreq,'PDH Calc'!$K368/365)</f>
        <v>1</v>
      </c>
      <c r="Y368" s="8">
        <f ca="1">_xll.HLV5r3.Analytics.Miscellaneous.Zero2DF(_xll.HLV5r3.Analytics.Miscellaneous.LinearInterp(Peturbed_QZ,$K368,1,Y$1),ZeroCompFreq,'PDH Calc'!$K368/365)</f>
        <v>1</v>
      </c>
      <c r="Z368" s="8">
        <f ca="1">_xll.HLV5r3.Analytics.Miscellaneous.Zero2DF(_xll.HLV5r3.Analytics.Miscellaneous.LinearInterp(Peturbed_QZ,$K368,1,Z$1),ZeroCompFreq,'PDH Calc'!$K368/365)</f>
        <v>1</v>
      </c>
      <c r="AA368" s="8">
        <f ca="1">_xll.HLV5r3.Analytics.Miscellaneous.Zero2DF(_xll.HLV5r3.Analytics.Miscellaneous.LinearInterp(Peturbed_QZ,$K368,1,AA$1),ZeroCompFreq,'PDH Calc'!$K368/365)</f>
        <v>1</v>
      </c>
      <c r="AB368" s="8">
        <f ca="1">_xll.HLV5r3.Analytics.Miscellaneous.Zero2DF(_xll.HLV5r3.Analytics.Miscellaneous.LinearInterp(Peturbed_QZ,$K368,1,AB$1),ZeroCompFreq,'PDH Calc'!$K368/365)</f>
        <v>1</v>
      </c>
      <c r="AC368" s="8">
        <f ca="1">_xll.HLV5r3.Analytics.Miscellaneous.Zero2DF(_xll.HLV5r3.Analytics.Miscellaneous.LinearInterp(Peturbed_QZ,$K368,1,AC$1),ZeroCompFreq,'PDH Calc'!$K368/365)</f>
        <v>1</v>
      </c>
      <c r="AD368" s="8">
        <f ca="1">_xll.HLV5r3.Analytics.Miscellaneous.Zero2DF(_xll.HLV5r3.Analytics.Miscellaneous.LinearInterp(Peturbed_QZ,$K368,1,AD$1),ZeroCompFreq,'PDH Calc'!$K368/365)</f>
        <v>1</v>
      </c>
      <c r="AE368" s="8">
        <f ca="1">_xll.HLV5r3.Analytics.Miscellaneous.Zero2DF(_xll.HLV5r3.Analytics.Miscellaneous.LinearInterp(Peturbed_QZ,$K368,1,AE$1),ZeroCompFreq,'PDH Calc'!$K368/365)</f>
        <v>1</v>
      </c>
      <c r="AF368" s="8">
        <f ca="1">_xll.HLV5r3.Analytics.Miscellaneous.Zero2DF(_xll.HLV5r3.Analytics.Miscellaneous.LinearInterp(Peturbed_QZ,$K368,1,AF$1),ZeroCompFreq,'PDH Calc'!$K368/365)</f>
        <v>1</v>
      </c>
      <c r="AG368" s="8">
        <f ca="1">_xll.HLV5r3.Analytics.Miscellaneous.Zero2DF(_xll.HLV5r3.Analytics.Miscellaneous.LinearInterp(Peturbed_QZ,$K368,1,AG$1),ZeroCompFreq,'PDH Calc'!$K368/365)</f>
        <v>1</v>
      </c>
      <c r="AH368" s="8">
        <f ca="1">_xll.HLV5r3.Analytics.Miscellaneous.Zero2DF(_xll.HLV5r3.Analytics.Miscellaneous.LinearInterp(Peturbed_QZ,$K368,1,AH$1),ZeroCompFreq,'PDH Calc'!$K368/365)</f>
        <v>1</v>
      </c>
      <c r="AI368" s="8">
        <f ca="1">_xll.HLV5r3.Analytics.Miscellaneous.Zero2DF(_xll.HLV5r3.Analytics.Miscellaneous.LinearInterp(Peturbed_QZ,$K368,1,AI$1),ZeroCompFreq,'PDH Calc'!$K368/365)</f>
        <v>1</v>
      </c>
      <c r="AJ368" s="8">
        <f ca="1">_xll.HLV5r3.Analytics.Miscellaneous.Zero2DF(_xll.HLV5r3.Analytics.Miscellaneous.LinearInterp(Peturbed_QZ,$K368,1,AJ$1),ZeroCompFreq,'PDH Calc'!$K368/365)</f>
        <v>1</v>
      </c>
      <c r="AK368" s="8">
        <f ca="1">_xll.HLV5r3.Analytics.Miscellaneous.Zero2DF(_xll.HLV5r3.Analytics.Miscellaneous.LinearInterp(Peturbed_QZ,$K368,1,AK$1),ZeroCompFreq,'PDH Calc'!$K368/365)</f>
        <v>1</v>
      </c>
    </row>
    <row r="369" spans="1:37">
      <c r="A369" s="4"/>
      <c r="B369" s="6"/>
      <c r="F369" s="11"/>
      <c r="G369" s="6"/>
      <c r="H369" s="20"/>
      <c r="I369" s="21"/>
      <c r="J369" s="26"/>
      <c r="K369" s="6">
        <f t="shared" ca="1" si="12"/>
        <v>0</v>
      </c>
      <c r="L369" s="8">
        <f ca="1">_xll.HLV5r3.Analytics.Miscellaneous.Zero2DF(_xll.HLV5r3.Analytics.Miscellaneous.LinearInterp(Peturbed_QZ,$K369,1,L$1),ZeroCompFreq,'PDH Calc'!$K369/365)</f>
        <v>1</v>
      </c>
      <c r="M369" s="8">
        <f ca="1">_xll.HLV5r3.Analytics.Miscellaneous.Zero2DF(_xll.HLV5r3.Analytics.Miscellaneous.LinearInterp(Peturbed_QZ,$K369,1,M$1),ZeroCompFreq,'PDH Calc'!$K369/365)</f>
        <v>1</v>
      </c>
      <c r="N369" s="8">
        <f ca="1">_xll.HLV5r3.Analytics.Miscellaneous.Zero2DF(_xll.HLV5r3.Analytics.Miscellaneous.LinearInterp(Peturbed_QZ,$K369,1,N$1),ZeroCompFreq,'PDH Calc'!$K369/365)</f>
        <v>1</v>
      </c>
      <c r="O369" s="8">
        <f ca="1">_xll.HLV5r3.Analytics.Miscellaneous.Zero2DF(_xll.HLV5r3.Analytics.Miscellaneous.LinearInterp(Peturbed_QZ,$K369,1,O$1),ZeroCompFreq,'PDH Calc'!$K369/365)</f>
        <v>1</v>
      </c>
      <c r="P369" s="8">
        <f ca="1">_xll.HLV5r3.Analytics.Miscellaneous.Zero2DF(_xll.HLV5r3.Analytics.Miscellaneous.LinearInterp(Peturbed_QZ,$K369,1,P$1),ZeroCompFreq,'PDH Calc'!$K369/365)</f>
        <v>1</v>
      </c>
      <c r="Q369" s="8">
        <f ca="1">_xll.HLV5r3.Analytics.Miscellaneous.Zero2DF(_xll.HLV5r3.Analytics.Miscellaneous.LinearInterp(Peturbed_QZ,$K369,1,Q$1),ZeroCompFreq,'PDH Calc'!$K369/365)</f>
        <v>1</v>
      </c>
      <c r="R369" s="8">
        <f ca="1">_xll.HLV5r3.Analytics.Miscellaneous.Zero2DF(_xll.HLV5r3.Analytics.Miscellaneous.LinearInterp(Peturbed_QZ,$K369,1,R$1),ZeroCompFreq,'PDH Calc'!$K369/365)</f>
        <v>1</v>
      </c>
      <c r="S369" s="8">
        <f ca="1">_xll.HLV5r3.Analytics.Miscellaneous.Zero2DF(_xll.HLV5r3.Analytics.Miscellaneous.LinearInterp(Peturbed_QZ,$K369,1,S$1),ZeroCompFreq,'PDH Calc'!$K369/365)</f>
        <v>1</v>
      </c>
      <c r="T369" s="8">
        <f ca="1">_xll.HLV5r3.Analytics.Miscellaneous.Zero2DF(_xll.HLV5r3.Analytics.Miscellaneous.LinearInterp(Peturbed_QZ,$K369,1,T$1),ZeroCompFreq,'PDH Calc'!$K369/365)</f>
        <v>1</v>
      </c>
      <c r="U369" s="8">
        <f ca="1">_xll.HLV5r3.Analytics.Miscellaneous.Zero2DF(_xll.HLV5r3.Analytics.Miscellaneous.LinearInterp(Peturbed_QZ,$K369,1,U$1),ZeroCompFreq,'PDH Calc'!$K369/365)</f>
        <v>1</v>
      </c>
      <c r="V369" s="8">
        <f ca="1">_xll.HLV5r3.Analytics.Miscellaneous.Zero2DF(_xll.HLV5r3.Analytics.Miscellaneous.LinearInterp(Peturbed_QZ,$K369,1,V$1),ZeroCompFreq,'PDH Calc'!$K369/365)</f>
        <v>1</v>
      </c>
      <c r="W369" s="8">
        <f ca="1">_xll.HLV5r3.Analytics.Miscellaneous.Zero2DF(_xll.HLV5r3.Analytics.Miscellaneous.LinearInterp(Peturbed_QZ,$K369,1,W$1),ZeroCompFreq,'PDH Calc'!$K369/365)</f>
        <v>1</v>
      </c>
      <c r="X369" s="8">
        <f ca="1">_xll.HLV5r3.Analytics.Miscellaneous.Zero2DF(_xll.HLV5r3.Analytics.Miscellaneous.LinearInterp(Peturbed_QZ,$K369,1,X$1),ZeroCompFreq,'PDH Calc'!$K369/365)</f>
        <v>1</v>
      </c>
      <c r="Y369" s="8">
        <f ca="1">_xll.HLV5r3.Analytics.Miscellaneous.Zero2DF(_xll.HLV5r3.Analytics.Miscellaneous.LinearInterp(Peturbed_QZ,$K369,1,Y$1),ZeroCompFreq,'PDH Calc'!$K369/365)</f>
        <v>1</v>
      </c>
      <c r="Z369" s="8">
        <f ca="1">_xll.HLV5r3.Analytics.Miscellaneous.Zero2DF(_xll.HLV5r3.Analytics.Miscellaneous.LinearInterp(Peturbed_QZ,$K369,1,Z$1),ZeroCompFreq,'PDH Calc'!$K369/365)</f>
        <v>1</v>
      </c>
      <c r="AA369" s="8">
        <f ca="1">_xll.HLV5r3.Analytics.Miscellaneous.Zero2DF(_xll.HLV5r3.Analytics.Miscellaneous.LinearInterp(Peturbed_QZ,$K369,1,AA$1),ZeroCompFreq,'PDH Calc'!$K369/365)</f>
        <v>1</v>
      </c>
      <c r="AB369" s="8">
        <f ca="1">_xll.HLV5r3.Analytics.Miscellaneous.Zero2DF(_xll.HLV5r3.Analytics.Miscellaneous.LinearInterp(Peturbed_QZ,$K369,1,AB$1),ZeroCompFreq,'PDH Calc'!$K369/365)</f>
        <v>1</v>
      </c>
      <c r="AC369" s="8">
        <f ca="1">_xll.HLV5r3.Analytics.Miscellaneous.Zero2DF(_xll.HLV5r3.Analytics.Miscellaneous.LinearInterp(Peturbed_QZ,$K369,1,AC$1),ZeroCompFreq,'PDH Calc'!$K369/365)</f>
        <v>1</v>
      </c>
      <c r="AD369" s="8">
        <f ca="1">_xll.HLV5r3.Analytics.Miscellaneous.Zero2DF(_xll.HLV5r3.Analytics.Miscellaneous.LinearInterp(Peturbed_QZ,$K369,1,AD$1),ZeroCompFreq,'PDH Calc'!$K369/365)</f>
        <v>1</v>
      </c>
      <c r="AE369" s="8">
        <f ca="1">_xll.HLV5r3.Analytics.Miscellaneous.Zero2DF(_xll.HLV5r3.Analytics.Miscellaneous.LinearInterp(Peturbed_QZ,$K369,1,AE$1),ZeroCompFreq,'PDH Calc'!$K369/365)</f>
        <v>1</v>
      </c>
      <c r="AF369" s="8">
        <f ca="1">_xll.HLV5r3.Analytics.Miscellaneous.Zero2DF(_xll.HLV5r3.Analytics.Miscellaneous.LinearInterp(Peturbed_QZ,$K369,1,AF$1),ZeroCompFreq,'PDH Calc'!$K369/365)</f>
        <v>1</v>
      </c>
      <c r="AG369" s="8">
        <f ca="1">_xll.HLV5r3.Analytics.Miscellaneous.Zero2DF(_xll.HLV5r3.Analytics.Miscellaneous.LinearInterp(Peturbed_QZ,$K369,1,AG$1),ZeroCompFreq,'PDH Calc'!$K369/365)</f>
        <v>1</v>
      </c>
      <c r="AH369" s="8">
        <f ca="1">_xll.HLV5r3.Analytics.Miscellaneous.Zero2DF(_xll.HLV5r3.Analytics.Miscellaneous.LinearInterp(Peturbed_QZ,$K369,1,AH$1),ZeroCompFreq,'PDH Calc'!$K369/365)</f>
        <v>1</v>
      </c>
      <c r="AI369" s="8">
        <f ca="1">_xll.HLV5r3.Analytics.Miscellaneous.Zero2DF(_xll.HLV5r3.Analytics.Miscellaneous.LinearInterp(Peturbed_QZ,$K369,1,AI$1),ZeroCompFreq,'PDH Calc'!$K369/365)</f>
        <v>1</v>
      </c>
      <c r="AJ369" s="8">
        <f ca="1">_xll.HLV5r3.Analytics.Miscellaneous.Zero2DF(_xll.HLV5r3.Analytics.Miscellaneous.LinearInterp(Peturbed_QZ,$K369,1,AJ$1),ZeroCompFreq,'PDH Calc'!$K369/365)</f>
        <v>1</v>
      </c>
      <c r="AK369" s="8">
        <f ca="1">_xll.HLV5r3.Analytics.Miscellaneous.Zero2DF(_xll.HLV5r3.Analytics.Miscellaneous.LinearInterp(Peturbed_QZ,$K369,1,AK$1),ZeroCompFreq,'PDH Calc'!$K369/365)</f>
        <v>1</v>
      </c>
    </row>
    <row r="370" spans="1:37">
      <c r="A370" s="4"/>
      <c r="B370" s="6"/>
      <c r="F370" s="11"/>
      <c r="G370" s="6"/>
      <c r="H370" s="20"/>
      <c r="I370" s="21"/>
      <c r="J370" s="26"/>
      <c r="K370" s="6">
        <f t="shared" ca="1" si="12"/>
        <v>0</v>
      </c>
      <c r="L370" s="8">
        <f ca="1">_xll.HLV5r3.Analytics.Miscellaneous.Zero2DF(_xll.HLV5r3.Analytics.Miscellaneous.LinearInterp(Peturbed_QZ,$K370,1,L$1),ZeroCompFreq,'PDH Calc'!$K370/365)</f>
        <v>1</v>
      </c>
      <c r="M370" s="8">
        <f ca="1">_xll.HLV5r3.Analytics.Miscellaneous.Zero2DF(_xll.HLV5r3.Analytics.Miscellaneous.LinearInterp(Peturbed_QZ,$K370,1,M$1),ZeroCompFreq,'PDH Calc'!$K370/365)</f>
        <v>1</v>
      </c>
      <c r="N370" s="8">
        <f ca="1">_xll.HLV5r3.Analytics.Miscellaneous.Zero2DF(_xll.HLV5r3.Analytics.Miscellaneous.LinearInterp(Peturbed_QZ,$K370,1,N$1),ZeroCompFreq,'PDH Calc'!$K370/365)</f>
        <v>1</v>
      </c>
      <c r="O370" s="8">
        <f ca="1">_xll.HLV5r3.Analytics.Miscellaneous.Zero2DF(_xll.HLV5r3.Analytics.Miscellaneous.LinearInterp(Peturbed_QZ,$K370,1,O$1),ZeroCompFreq,'PDH Calc'!$K370/365)</f>
        <v>1</v>
      </c>
      <c r="P370" s="8">
        <f ca="1">_xll.HLV5r3.Analytics.Miscellaneous.Zero2DF(_xll.HLV5r3.Analytics.Miscellaneous.LinearInterp(Peturbed_QZ,$K370,1,P$1),ZeroCompFreq,'PDH Calc'!$K370/365)</f>
        <v>1</v>
      </c>
      <c r="Q370" s="8">
        <f ca="1">_xll.HLV5r3.Analytics.Miscellaneous.Zero2DF(_xll.HLV5r3.Analytics.Miscellaneous.LinearInterp(Peturbed_QZ,$K370,1,Q$1),ZeroCompFreq,'PDH Calc'!$K370/365)</f>
        <v>1</v>
      </c>
      <c r="R370" s="8">
        <f ca="1">_xll.HLV5r3.Analytics.Miscellaneous.Zero2DF(_xll.HLV5r3.Analytics.Miscellaneous.LinearInterp(Peturbed_QZ,$K370,1,R$1),ZeroCompFreq,'PDH Calc'!$K370/365)</f>
        <v>1</v>
      </c>
      <c r="S370" s="8">
        <f ca="1">_xll.HLV5r3.Analytics.Miscellaneous.Zero2DF(_xll.HLV5r3.Analytics.Miscellaneous.LinearInterp(Peturbed_QZ,$K370,1,S$1),ZeroCompFreq,'PDH Calc'!$K370/365)</f>
        <v>1</v>
      </c>
      <c r="T370" s="8">
        <f ca="1">_xll.HLV5r3.Analytics.Miscellaneous.Zero2DF(_xll.HLV5r3.Analytics.Miscellaneous.LinearInterp(Peturbed_QZ,$K370,1,T$1),ZeroCompFreq,'PDH Calc'!$K370/365)</f>
        <v>1</v>
      </c>
      <c r="U370" s="8">
        <f ca="1">_xll.HLV5r3.Analytics.Miscellaneous.Zero2DF(_xll.HLV5r3.Analytics.Miscellaneous.LinearInterp(Peturbed_QZ,$K370,1,U$1),ZeroCompFreq,'PDH Calc'!$K370/365)</f>
        <v>1</v>
      </c>
      <c r="V370" s="8">
        <f ca="1">_xll.HLV5r3.Analytics.Miscellaneous.Zero2DF(_xll.HLV5r3.Analytics.Miscellaneous.LinearInterp(Peturbed_QZ,$K370,1,V$1),ZeroCompFreq,'PDH Calc'!$K370/365)</f>
        <v>1</v>
      </c>
      <c r="W370" s="8">
        <f ca="1">_xll.HLV5r3.Analytics.Miscellaneous.Zero2DF(_xll.HLV5r3.Analytics.Miscellaneous.LinearInterp(Peturbed_QZ,$K370,1,W$1),ZeroCompFreq,'PDH Calc'!$K370/365)</f>
        <v>1</v>
      </c>
      <c r="X370" s="8">
        <f ca="1">_xll.HLV5r3.Analytics.Miscellaneous.Zero2DF(_xll.HLV5r3.Analytics.Miscellaneous.LinearInterp(Peturbed_QZ,$K370,1,X$1),ZeroCompFreq,'PDH Calc'!$K370/365)</f>
        <v>1</v>
      </c>
      <c r="Y370" s="8">
        <f ca="1">_xll.HLV5r3.Analytics.Miscellaneous.Zero2DF(_xll.HLV5r3.Analytics.Miscellaneous.LinearInterp(Peturbed_QZ,$K370,1,Y$1),ZeroCompFreq,'PDH Calc'!$K370/365)</f>
        <v>1</v>
      </c>
      <c r="Z370" s="8">
        <f ca="1">_xll.HLV5r3.Analytics.Miscellaneous.Zero2DF(_xll.HLV5r3.Analytics.Miscellaneous.LinearInterp(Peturbed_QZ,$K370,1,Z$1),ZeroCompFreq,'PDH Calc'!$K370/365)</f>
        <v>1</v>
      </c>
      <c r="AA370" s="8">
        <f ca="1">_xll.HLV5r3.Analytics.Miscellaneous.Zero2DF(_xll.HLV5r3.Analytics.Miscellaneous.LinearInterp(Peturbed_QZ,$K370,1,AA$1),ZeroCompFreq,'PDH Calc'!$K370/365)</f>
        <v>1</v>
      </c>
      <c r="AB370" s="8">
        <f ca="1">_xll.HLV5r3.Analytics.Miscellaneous.Zero2DF(_xll.HLV5r3.Analytics.Miscellaneous.LinearInterp(Peturbed_QZ,$K370,1,AB$1),ZeroCompFreq,'PDH Calc'!$K370/365)</f>
        <v>1</v>
      </c>
      <c r="AC370" s="8">
        <f ca="1">_xll.HLV5r3.Analytics.Miscellaneous.Zero2DF(_xll.HLV5r3.Analytics.Miscellaneous.LinearInterp(Peturbed_QZ,$K370,1,AC$1),ZeroCompFreq,'PDH Calc'!$K370/365)</f>
        <v>1</v>
      </c>
      <c r="AD370" s="8">
        <f ca="1">_xll.HLV5r3.Analytics.Miscellaneous.Zero2DF(_xll.HLV5r3.Analytics.Miscellaneous.LinearInterp(Peturbed_QZ,$K370,1,AD$1),ZeroCompFreq,'PDH Calc'!$K370/365)</f>
        <v>1</v>
      </c>
      <c r="AE370" s="8">
        <f ca="1">_xll.HLV5r3.Analytics.Miscellaneous.Zero2DF(_xll.HLV5r3.Analytics.Miscellaneous.LinearInterp(Peturbed_QZ,$K370,1,AE$1),ZeroCompFreq,'PDH Calc'!$K370/365)</f>
        <v>1</v>
      </c>
      <c r="AF370" s="8">
        <f ca="1">_xll.HLV5r3.Analytics.Miscellaneous.Zero2DF(_xll.HLV5r3.Analytics.Miscellaneous.LinearInterp(Peturbed_QZ,$K370,1,AF$1),ZeroCompFreq,'PDH Calc'!$K370/365)</f>
        <v>1</v>
      </c>
      <c r="AG370" s="8">
        <f ca="1">_xll.HLV5r3.Analytics.Miscellaneous.Zero2DF(_xll.HLV5r3.Analytics.Miscellaneous.LinearInterp(Peturbed_QZ,$K370,1,AG$1),ZeroCompFreq,'PDH Calc'!$K370/365)</f>
        <v>1</v>
      </c>
      <c r="AH370" s="8">
        <f ca="1">_xll.HLV5r3.Analytics.Miscellaneous.Zero2DF(_xll.HLV5r3.Analytics.Miscellaneous.LinearInterp(Peturbed_QZ,$K370,1,AH$1),ZeroCompFreq,'PDH Calc'!$K370/365)</f>
        <v>1</v>
      </c>
      <c r="AI370" s="8">
        <f ca="1">_xll.HLV5r3.Analytics.Miscellaneous.Zero2DF(_xll.HLV5r3.Analytics.Miscellaneous.LinearInterp(Peturbed_QZ,$K370,1,AI$1),ZeroCompFreq,'PDH Calc'!$K370/365)</f>
        <v>1</v>
      </c>
      <c r="AJ370" s="8">
        <f ca="1">_xll.HLV5r3.Analytics.Miscellaneous.Zero2DF(_xll.HLV5r3.Analytics.Miscellaneous.LinearInterp(Peturbed_QZ,$K370,1,AJ$1),ZeroCompFreq,'PDH Calc'!$K370/365)</f>
        <v>1</v>
      </c>
      <c r="AK370" s="8">
        <f ca="1">_xll.HLV5r3.Analytics.Miscellaneous.Zero2DF(_xll.HLV5r3.Analytics.Miscellaneous.LinearInterp(Peturbed_QZ,$K370,1,AK$1),ZeroCompFreq,'PDH Calc'!$K370/365)</f>
        <v>1</v>
      </c>
    </row>
    <row r="371" spans="1:37">
      <c r="A371" s="4"/>
      <c r="B371" s="6"/>
      <c r="F371" s="11"/>
      <c r="G371" s="6"/>
      <c r="H371" s="20"/>
      <c r="I371" s="21"/>
      <c r="J371" s="26"/>
      <c r="K371" s="6">
        <f t="shared" ca="1" si="12"/>
        <v>0</v>
      </c>
      <c r="L371" s="8">
        <f ca="1">_xll.HLV5r3.Analytics.Miscellaneous.Zero2DF(_xll.HLV5r3.Analytics.Miscellaneous.LinearInterp(Peturbed_QZ,$K371,1,L$1),ZeroCompFreq,'PDH Calc'!$K371/365)</f>
        <v>1</v>
      </c>
      <c r="M371" s="8">
        <f ca="1">_xll.HLV5r3.Analytics.Miscellaneous.Zero2DF(_xll.HLV5r3.Analytics.Miscellaneous.LinearInterp(Peturbed_QZ,$K371,1,M$1),ZeroCompFreq,'PDH Calc'!$K371/365)</f>
        <v>1</v>
      </c>
      <c r="N371" s="8">
        <f ca="1">_xll.HLV5r3.Analytics.Miscellaneous.Zero2DF(_xll.HLV5r3.Analytics.Miscellaneous.LinearInterp(Peturbed_QZ,$K371,1,N$1),ZeroCompFreq,'PDH Calc'!$K371/365)</f>
        <v>1</v>
      </c>
      <c r="O371" s="8">
        <f ca="1">_xll.HLV5r3.Analytics.Miscellaneous.Zero2DF(_xll.HLV5r3.Analytics.Miscellaneous.LinearInterp(Peturbed_QZ,$K371,1,O$1),ZeroCompFreq,'PDH Calc'!$K371/365)</f>
        <v>1</v>
      </c>
      <c r="P371" s="8">
        <f ca="1">_xll.HLV5r3.Analytics.Miscellaneous.Zero2DF(_xll.HLV5r3.Analytics.Miscellaneous.LinearInterp(Peturbed_QZ,$K371,1,P$1),ZeroCompFreq,'PDH Calc'!$K371/365)</f>
        <v>1</v>
      </c>
      <c r="Q371" s="8">
        <f ca="1">_xll.HLV5r3.Analytics.Miscellaneous.Zero2DF(_xll.HLV5r3.Analytics.Miscellaneous.LinearInterp(Peturbed_QZ,$K371,1,Q$1),ZeroCompFreq,'PDH Calc'!$K371/365)</f>
        <v>1</v>
      </c>
      <c r="R371" s="8">
        <f ca="1">_xll.HLV5r3.Analytics.Miscellaneous.Zero2DF(_xll.HLV5r3.Analytics.Miscellaneous.LinearInterp(Peturbed_QZ,$K371,1,R$1),ZeroCompFreq,'PDH Calc'!$K371/365)</f>
        <v>1</v>
      </c>
      <c r="S371" s="8">
        <f ca="1">_xll.HLV5r3.Analytics.Miscellaneous.Zero2DF(_xll.HLV5r3.Analytics.Miscellaneous.LinearInterp(Peturbed_QZ,$K371,1,S$1),ZeroCompFreq,'PDH Calc'!$K371/365)</f>
        <v>1</v>
      </c>
      <c r="T371" s="8">
        <f ca="1">_xll.HLV5r3.Analytics.Miscellaneous.Zero2DF(_xll.HLV5r3.Analytics.Miscellaneous.LinearInterp(Peturbed_QZ,$K371,1,T$1),ZeroCompFreq,'PDH Calc'!$K371/365)</f>
        <v>1</v>
      </c>
      <c r="U371" s="8">
        <f ca="1">_xll.HLV5r3.Analytics.Miscellaneous.Zero2DF(_xll.HLV5r3.Analytics.Miscellaneous.LinearInterp(Peturbed_QZ,$K371,1,U$1),ZeroCompFreq,'PDH Calc'!$K371/365)</f>
        <v>1</v>
      </c>
      <c r="V371" s="8">
        <f ca="1">_xll.HLV5r3.Analytics.Miscellaneous.Zero2DF(_xll.HLV5r3.Analytics.Miscellaneous.LinearInterp(Peturbed_QZ,$K371,1,V$1),ZeroCompFreq,'PDH Calc'!$K371/365)</f>
        <v>1</v>
      </c>
      <c r="W371" s="8">
        <f ca="1">_xll.HLV5r3.Analytics.Miscellaneous.Zero2DF(_xll.HLV5r3.Analytics.Miscellaneous.LinearInterp(Peturbed_QZ,$K371,1,W$1),ZeroCompFreq,'PDH Calc'!$K371/365)</f>
        <v>1</v>
      </c>
      <c r="X371" s="8">
        <f ca="1">_xll.HLV5r3.Analytics.Miscellaneous.Zero2DF(_xll.HLV5r3.Analytics.Miscellaneous.LinearInterp(Peturbed_QZ,$K371,1,X$1),ZeroCompFreq,'PDH Calc'!$K371/365)</f>
        <v>1</v>
      </c>
      <c r="Y371" s="8">
        <f ca="1">_xll.HLV5r3.Analytics.Miscellaneous.Zero2DF(_xll.HLV5r3.Analytics.Miscellaneous.LinearInterp(Peturbed_QZ,$K371,1,Y$1),ZeroCompFreq,'PDH Calc'!$K371/365)</f>
        <v>1</v>
      </c>
      <c r="Z371" s="8">
        <f ca="1">_xll.HLV5r3.Analytics.Miscellaneous.Zero2DF(_xll.HLV5r3.Analytics.Miscellaneous.LinearInterp(Peturbed_QZ,$K371,1,Z$1),ZeroCompFreq,'PDH Calc'!$K371/365)</f>
        <v>1</v>
      </c>
      <c r="AA371" s="8">
        <f ca="1">_xll.HLV5r3.Analytics.Miscellaneous.Zero2DF(_xll.HLV5r3.Analytics.Miscellaneous.LinearInterp(Peturbed_QZ,$K371,1,AA$1),ZeroCompFreq,'PDH Calc'!$K371/365)</f>
        <v>1</v>
      </c>
      <c r="AB371" s="8">
        <f ca="1">_xll.HLV5r3.Analytics.Miscellaneous.Zero2DF(_xll.HLV5r3.Analytics.Miscellaneous.LinearInterp(Peturbed_QZ,$K371,1,AB$1),ZeroCompFreq,'PDH Calc'!$K371/365)</f>
        <v>1</v>
      </c>
      <c r="AC371" s="8">
        <f ca="1">_xll.HLV5r3.Analytics.Miscellaneous.Zero2DF(_xll.HLV5r3.Analytics.Miscellaneous.LinearInterp(Peturbed_QZ,$K371,1,AC$1),ZeroCompFreq,'PDH Calc'!$K371/365)</f>
        <v>1</v>
      </c>
      <c r="AD371" s="8">
        <f ca="1">_xll.HLV5r3.Analytics.Miscellaneous.Zero2DF(_xll.HLV5r3.Analytics.Miscellaneous.LinearInterp(Peturbed_QZ,$K371,1,AD$1),ZeroCompFreq,'PDH Calc'!$K371/365)</f>
        <v>1</v>
      </c>
      <c r="AE371" s="8">
        <f ca="1">_xll.HLV5r3.Analytics.Miscellaneous.Zero2DF(_xll.HLV5r3.Analytics.Miscellaneous.LinearInterp(Peturbed_QZ,$K371,1,AE$1),ZeroCompFreq,'PDH Calc'!$K371/365)</f>
        <v>1</v>
      </c>
      <c r="AF371" s="8">
        <f ca="1">_xll.HLV5r3.Analytics.Miscellaneous.Zero2DF(_xll.HLV5r3.Analytics.Miscellaneous.LinearInterp(Peturbed_QZ,$K371,1,AF$1),ZeroCompFreq,'PDH Calc'!$K371/365)</f>
        <v>1</v>
      </c>
      <c r="AG371" s="8">
        <f ca="1">_xll.HLV5r3.Analytics.Miscellaneous.Zero2DF(_xll.HLV5r3.Analytics.Miscellaneous.LinearInterp(Peturbed_QZ,$K371,1,AG$1),ZeroCompFreq,'PDH Calc'!$K371/365)</f>
        <v>1</v>
      </c>
      <c r="AH371" s="8">
        <f ca="1">_xll.HLV5r3.Analytics.Miscellaneous.Zero2DF(_xll.HLV5r3.Analytics.Miscellaneous.LinearInterp(Peturbed_QZ,$K371,1,AH$1),ZeroCompFreq,'PDH Calc'!$K371/365)</f>
        <v>1</v>
      </c>
      <c r="AI371" s="8">
        <f ca="1">_xll.HLV5r3.Analytics.Miscellaneous.Zero2DF(_xll.HLV5r3.Analytics.Miscellaneous.LinearInterp(Peturbed_QZ,$K371,1,AI$1),ZeroCompFreq,'PDH Calc'!$K371/365)</f>
        <v>1</v>
      </c>
      <c r="AJ371" s="8">
        <f ca="1">_xll.HLV5r3.Analytics.Miscellaneous.Zero2DF(_xll.HLV5r3.Analytics.Miscellaneous.LinearInterp(Peturbed_QZ,$K371,1,AJ$1),ZeroCompFreq,'PDH Calc'!$K371/365)</f>
        <v>1</v>
      </c>
      <c r="AK371" s="8">
        <f ca="1">_xll.HLV5r3.Analytics.Miscellaneous.Zero2DF(_xll.HLV5r3.Analytics.Miscellaneous.LinearInterp(Peturbed_QZ,$K371,1,AK$1),ZeroCompFreq,'PDH Calc'!$K371/365)</f>
        <v>1</v>
      </c>
    </row>
    <row r="372" spans="1:37">
      <c r="A372" s="4"/>
      <c r="B372" s="6"/>
      <c r="F372" s="11"/>
      <c r="G372" s="6"/>
      <c r="H372" s="20"/>
      <c r="I372" s="21"/>
      <c r="J372" s="26"/>
      <c r="K372" s="6">
        <f t="shared" ca="1" si="12"/>
        <v>0</v>
      </c>
      <c r="L372" s="8">
        <f ca="1">_xll.HLV5r3.Analytics.Miscellaneous.Zero2DF(_xll.HLV5r3.Analytics.Miscellaneous.LinearInterp(Peturbed_QZ,$K372,1,L$1),ZeroCompFreq,'PDH Calc'!$K372/365)</f>
        <v>1</v>
      </c>
      <c r="M372" s="8">
        <f ca="1">_xll.HLV5r3.Analytics.Miscellaneous.Zero2DF(_xll.HLV5r3.Analytics.Miscellaneous.LinearInterp(Peturbed_QZ,$K372,1,M$1),ZeroCompFreq,'PDH Calc'!$K372/365)</f>
        <v>1</v>
      </c>
      <c r="N372" s="8">
        <f ca="1">_xll.HLV5r3.Analytics.Miscellaneous.Zero2DF(_xll.HLV5r3.Analytics.Miscellaneous.LinearInterp(Peturbed_QZ,$K372,1,N$1),ZeroCompFreq,'PDH Calc'!$K372/365)</f>
        <v>1</v>
      </c>
      <c r="O372" s="8">
        <f ca="1">_xll.HLV5r3.Analytics.Miscellaneous.Zero2DF(_xll.HLV5r3.Analytics.Miscellaneous.LinearInterp(Peturbed_QZ,$K372,1,O$1),ZeroCompFreq,'PDH Calc'!$K372/365)</f>
        <v>1</v>
      </c>
      <c r="P372" s="8">
        <f ca="1">_xll.HLV5r3.Analytics.Miscellaneous.Zero2DF(_xll.HLV5r3.Analytics.Miscellaneous.LinearInterp(Peturbed_QZ,$K372,1,P$1),ZeroCompFreq,'PDH Calc'!$K372/365)</f>
        <v>1</v>
      </c>
      <c r="Q372" s="8">
        <f ca="1">_xll.HLV5r3.Analytics.Miscellaneous.Zero2DF(_xll.HLV5r3.Analytics.Miscellaneous.LinearInterp(Peturbed_QZ,$K372,1,Q$1),ZeroCompFreq,'PDH Calc'!$K372/365)</f>
        <v>1</v>
      </c>
      <c r="R372" s="8">
        <f ca="1">_xll.HLV5r3.Analytics.Miscellaneous.Zero2DF(_xll.HLV5r3.Analytics.Miscellaneous.LinearInterp(Peturbed_QZ,$K372,1,R$1),ZeroCompFreq,'PDH Calc'!$K372/365)</f>
        <v>1</v>
      </c>
      <c r="S372" s="8">
        <f ca="1">_xll.HLV5r3.Analytics.Miscellaneous.Zero2DF(_xll.HLV5r3.Analytics.Miscellaneous.LinearInterp(Peturbed_QZ,$K372,1,S$1),ZeroCompFreq,'PDH Calc'!$K372/365)</f>
        <v>1</v>
      </c>
      <c r="T372" s="8">
        <f ca="1">_xll.HLV5r3.Analytics.Miscellaneous.Zero2DF(_xll.HLV5r3.Analytics.Miscellaneous.LinearInterp(Peturbed_QZ,$K372,1,T$1),ZeroCompFreq,'PDH Calc'!$K372/365)</f>
        <v>1</v>
      </c>
      <c r="U372" s="8">
        <f ca="1">_xll.HLV5r3.Analytics.Miscellaneous.Zero2DF(_xll.HLV5r3.Analytics.Miscellaneous.LinearInterp(Peturbed_QZ,$K372,1,U$1),ZeroCompFreq,'PDH Calc'!$K372/365)</f>
        <v>1</v>
      </c>
      <c r="V372" s="8">
        <f ca="1">_xll.HLV5r3.Analytics.Miscellaneous.Zero2DF(_xll.HLV5r3.Analytics.Miscellaneous.LinearInterp(Peturbed_QZ,$K372,1,V$1),ZeroCompFreq,'PDH Calc'!$K372/365)</f>
        <v>1</v>
      </c>
      <c r="W372" s="8">
        <f ca="1">_xll.HLV5r3.Analytics.Miscellaneous.Zero2DF(_xll.HLV5r3.Analytics.Miscellaneous.LinearInterp(Peturbed_QZ,$K372,1,W$1),ZeroCompFreq,'PDH Calc'!$K372/365)</f>
        <v>1</v>
      </c>
      <c r="X372" s="8">
        <f ca="1">_xll.HLV5r3.Analytics.Miscellaneous.Zero2DF(_xll.HLV5r3.Analytics.Miscellaneous.LinearInterp(Peturbed_QZ,$K372,1,X$1),ZeroCompFreq,'PDH Calc'!$K372/365)</f>
        <v>1</v>
      </c>
      <c r="Y372" s="8">
        <f ca="1">_xll.HLV5r3.Analytics.Miscellaneous.Zero2DF(_xll.HLV5r3.Analytics.Miscellaneous.LinearInterp(Peturbed_QZ,$K372,1,Y$1),ZeroCompFreq,'PDH Calc'!$K372/365)</f>
        <v>1</v>
      </c>
      <c r="Z372" s="8">
        <f ca="1">_xll.HLV5r3.Analytics.Miscellaneous.Zero2DF(_xll.HLV5r3.Analytics.Miscellaneous.LinearInterp(Peturbed_QZ,$K372,1,Z$1),ZeroCompFreq,'PDH Calc'!$K372/365)</f>
        <v>1</v>
      </c>
      <c r="AA372" s="8">
        <f ca="1">_xll.HLV5r3.Analytics.Miscellaneous.Zero2DF(_xll.HLV5r3.Analytics.Miscellaneous.LinearInterp(Peturbed_QZ,$K372,1,AA$1),ZeroCompFreq,'PDH Calc'!$K372/365)</f>
        <v>1</v>
      </c>
      <c r="AB372" s="8">
        <f ca="1">_xll.HLV5r3.Analytics.Miscellaneous.Zero2DF(_xll.HLV5r3.Analytics.Miscellaneous.LinearInterp(Peturbed_QZ,$K372,1,AB$1),ZeroCompFreq,'PDH Calc'!$K372/365)</f>
        <v>1</v>
      </c>
      <c r="AC372" s="8">
        <f ca="1">_xll.HLV5r3.Analytics.Miscellaneous.Zero2DF(_xll.HLV5r3.Analytics.Miscellaneous.LinearInterp(Peturbed_QZ,$K372,1,AC$1),ZeroCompFreq,'PDH Calc'!$K372/365)</f>
        <v>1</v>
      </c>
      <c r="AD372" s="8">
        <f ca="1">_xll.HLV5r3.Analytics.Miscellaneous.Zero2DF(_xll.HLV5r3.Analytics.Miscellaneous.LinearInterp(Peturbed_QZ,$K372,1,AD$1),ZeroCompFreq,'PDH Calc'!$K372/365)</f>
        <v>1</v>
      </c>
      <c r="AE372" s="8">
        <f ca="1">_xll.HLV5r3.Analytics.Miscellaneous.Zero2DF(_xll.HLV5r3.Analytics.Miscellaneous.LinearInterp(Peturbed_QZ,$K372,1,AE$1),ZeroCompFreq,'PDH Calc'!$K372/365)</f>
        <v>1</v>
      </c>
      <c r="AF372" s="8">
        <f ca="1">_xll.HLV5r3.Analytics.Miscellaneous.Zero2DF(_xll.HLV5r3.Analytics.Miscellaneous.LinearInterp(Peturbed_QZ,$K372,1,AF$1),ZeroCompFreq,'PDH Calc'!$K372/365)</f>
        <v>1</v>
      </c>
      <c r="AG372" s="8">
        <f ca="1">_xll.HLV5r3.Analytics.Miscellaneous.Zero2DF(_xll.HLV5r3.Analytics.Miscellaneous.LinearInterp(Peturbed_QZ,$K372,1,AG$1),ZeroCompFreq,'PDH Calc'!$K372/365)</f>
        <v>1</v>
      </c>
      <c r="AH372" s="8">
        <f ca="1">_xll.HLV5r3.Analytics.Miscellaneous.Zero2DF(_xll.HLV5r3.Analytics.Miscellaneous.LinearInterp(Peturbed_QZ,$K372,1,AH$1),ZeroCompFreq,'PDH Calc'!$K372/365)</f>
        <v>1</v>
      </c>
      <c r="AI372" s="8">
        <f ca="1">_xll.HLV5r3.Analytics.Miscellaneous.Zero2DF(_xll.HLV5r3.Analytics.Miscellaneous.LinearInterp(Peturbed_QZ,$K372,1,AI$1),ZeroCompFreq,'PDH Calc'!$K372/365)</f>
        <v>1</v>
      </c>
      <c r="AJ372" s="8">
        <f ca="1">_xll.HLV5r3.Analytics.Miscellaneous.Zero2DF(_xll.HLV5r3.Analytics.Miscellaneous.LinearInterp(Peturbed_QZ,$K372,1,AJ$1),ZeroCompFreq,'PDH Calc'!$K372/365)</f>
        <v>1</v>
      </c>
      <c r="AK372" s="8">
        <f ca="1">_xll.HLV5r3.Analytics.Miscellaneous.Zero2DF(_xll.HLV5r3.Analytics.Miscellaneous.LinearInterp(Peturbed_QZ,$K372,1,AK$1),ZeroCompFreq,'PDH Calc'!$K372/365)</f>
        <v>1</v>
      </c>
    </row>
    <row r="373" spans="1:37">
      <c r="A373" s="4"/>
      <c r="B373" s="6"/>
      <c r="F373" s="11"/>
      <c r="G373" s="6"/>
      <c r="H373" s="20"/>
      <c r="I373" s="21"/>
      <c r="J373" s="26"/>
      <c r="K373" s="6">
        <f t="shared" ca="1" si="12"/>
        <v>0</v>
      </c>
      <c r="L373" s="8">
        <f ca="1">_xll.HLV5r3.Analytics.Miscellaneous.Zero2DF(_xll.HLV5r3.Analytics.Miscellaneous.LinearInterp(Peturbed_QZ,$K373,1,L$1),ZeroCompFreq,'PDH Calc'!$K373/365)</f>
        <v>1</v>
      </c>
      <c r="M373" s="8">
        <f ca="1">_xll.HLV5r3.Analytics.Miscellaneous.Zero2DF(_xll.HLV5r3.Analytics.Miscellaneous.LinearInterp(Peturbed_QZ,$K373,1,M$1),ZeroCompFreq,'PDH Calc'!$K373/365)</f>
        <v>1</v>
      </c>
      <c r="N373" s="8">
        <f ca="1">_xll.HLV5r3.Analytics.Miscellaneous.Zero2DF(_xll.HLV5r3.Analytics.Miscellaneous.LinearInterp(Peturbed_QZ,$K373,1,N$1),ZeroCompFreq,'PDH Calc'!$K373/365)</f>
        <v>1</v>
      </c>
      <c r="O373" s="8">
        <f ca="1">_xll.HLV5r3.Analytics.Miscellaneous.Zero2DF(_xll.HLV5r3.Analytics.Miscellaneous.LinearInterp(Peturbed_QZ,$K373,1,O$1),ZeroCompFreq,'PDH Calc'!$K373/365)</f>
        <v>1</v>
      </c>
      <c r="P373" s="8">
        <f ca="1">_xll.HLV5r3.Analytics.Miscellaneous.Zero2DF(_xll.HLV5r3.Analytics.Miscellaneous.LinearInterp(Peturbed_QZ,$K373,1,P$1),ZeroCompFreq,'PDH Calc'!$K373/365)</f>
        <v>1</v>
      </c>
      <c r="Q373" s="8">
        <f ca="1">_xll.HLV5r3.Analytics.Miscellaneous.Zero2DF(_xll.HLV5r3.Analytics.Miscellaneous.LinearInterp(Peturbed_QZ,$K373,1,Q$1),ZeroCompFreq,'PDH Calc'!$K373/365)</f>
        <v>1</v>
      </c>
      <c r="R373" s="8">
        <f ca="1">_xll.HLV5r3.Analytics.Miscellaneous.Zero2DF(_xll.HLV5r3.Analytics.Miscellaneous.LinearInterp(Peturbed_QZ,$K373,1,R$1),ZeroCompFreq,'PDH Calc'!$K373/365)</f>
        <v>1</v>
      </c>
      <c r="S373" s="8">
        <f ca="1">_xll.HLV5r3.Analytics.Miscellaneous.Zero2DF(_xll.HLV5r3.Analytics.Miscellaneous.LinearInterp(Peturbed_QZ,$K373,1,S$1),ZeroCompFreq,'PDH Calc'!$K373/365)</f>
        <v>1</v>
      </c>
      <c r="T373" s="8">
        <f ca="1">_xll.HLV5r3.Analytics.Miscellaneous.Zero2DF(_xll.HLV5r3.Analytics.Miscellaneous.LinearInterp(Peturbed_QZ,$K373,1,T$1),ZeroCompFreq,'PDH Calc'!$K373/365)</f>
        <v>1</v>
      </c>
      <c r="U373" s="8">
        <f ca="1">_xll.HLV5r3.Analytics.Miscellaneous.Zero2DF(_xll.HLV5r3.Analytics.Miscellaneous.LinearInterp(Peturbed_QZ,$K373,1,U$1),ZeroCompFreq,'PDH Calc'!$K373/365)</f>
        <v>1</v>
      </c>
      <c r="V373" s="8">
        <f ca="1">_xll.HLV5r3.Analytics.Miscellaneous.Zero2DF(_xll.HLV5r3.Analytics.Miscellaneous.LinearInterp(Peturbed_QZ,$K373,1,V$1),ZeroCompFreq,'PDH Calc'!$K373/365)</f>
        <v>1</v>
      </c>
      <c r="W373" s="8">
        <f ca="1">_xll.HLV5r3.Analytics.Miscellaneous.Zero2DF(_xll.HLV5r3.Analytics.Miscellaneous.LinearInterp(Peturbed_QZ,$K373,1,W$1),ZeroCompFreq,'PDH Calc'!$K373/365)</f>
        <v>1</v>
      </c>
      <c r="X373" s="8">
        <f ca="1">_xll.HLV5r3.Analytics.Miscellaneous.Zero2DF(_xll.HLV5r3.Analytics.Miscellaneous.LinearInterp(Peturbed_QZ,$K373,1,X$1),ZeroCompFreq,'PDH Calc'!$K373/365)</f>
        <v>1</v>
      </c>
      <c r="Y373" s="8">
        <f ca="1">_xll.HLV5r3.Analytics.Miscellaneous.Zero2DF(_xll.HLV5r3.Analytics.Miscellaneous.LinearInterp(Peturbed_QZ,$K373,1,Y$1),ZeroCompFreq,'PDH Calc'!$K373/365)</f>
        <v>1</v>
      </c>
      <c r="Z373" s="8">
        <f ca="1">_xll.HLV5r3.Analytics.Miscellaneous.Zero2DF(_xll.HLV5r3.Analytics.Miscellaneous.LinearInterp(Peturbed_QZ,$K373,1,Z$1),ZeroCompFreq,'PDH Calc'!$K373/365)</f>
        <v>1</v>
      </c>
      <c r="AA373" s="8">
        <f ca="1">_xll.HLV5r3.Analytics.Miscellaneous.Zero2DF(_xll.HLV5r3.Analytics.Miscellaneous.LinearInterp(Peturbed_QZ,$K373,1,AA$1),ZeroCompFreq,'PDH Calc'!$K373/365)</f>
        <v>1</v>
      </c>
      <c r="AB373" s="8">
        <f ca="1">_xll.HLV5r3.Analytics.Miscellaneous.Zero2DF(_xll.HLV5r3.Analytics.Miscellaneous.LinearInterp(Peturbed_QZ,$K373,1,AB$1),ZeroCompFreq,'PDH Calc'!$K373/365)</f>
        <v>1</v>
      </c>
      <c r="AC373" s="8">
        <f ca="1">_xll.HLV5r3.Analytics.Miscellaneous.Zero2DF(_xll.HLV5r3.Analytics.Miscellaneous.LinearInterp(Peturbed_QZ,$K373,1,AC$1),ZeroCompFreq,'PDH Calc'!$K373/365)</f>
        <v>1</v>
      </c>
      <c r="AD373" s="8">
        <f ca="1">_xll.HLV5r3.Analytics.Miscellaneous.Zero2DF(_xll.HLV5r3.Analytics.Miscellaneous.LinearInterp(Peturbed_QZ,$K373,1,AD$1),ZeroCompFreq,'PDH Calc'!$K373/365)</f>
        <v>1</v>
      </c>
      <c r="AE373" s="8">
        <f ca="1">_xll.HLV5r3.Analytics.Miscellaneous.Zero2DF(_xll.HLV5r3.Analytics.Miscellaneous.LinearInterp(Peturbed_QZ,$K373,1,AE$1),ZeroCompFreq,'PDH Calc'!$K373/365)</f>
        <v>1</v>
      </c>
      <c r="AF373" s="8">
        <f ca="1">_xll.HLV5r3.Analytics.Miscellaneous.Zero2DF(_xll.HLV5r3.Analytics.Miscellaneous.LinearInterp(Peturbed_QZ,$K373,1,AF$1),ZeroCompFreq,'PDH Calc'!$K373/365)</f>
        <v>1</v>
      </c>
      <c r="AG373" s="8">
        <f ca="1">_xll.HLV5r3.Analytics.Miscellaneous.Zero2DF(_xll.HLV5r3.Analytics.Miscellaneous.LinearInterp(Peturbed_QZ,$K373,1,AG$1),ZeroCompFreq,'PDH Calc'!$K373/365)</f>
        <v>1</v>
      </c>
      <c r="AH373" s="8">
        <f ca="1">_xll.HLV5r3.Analytics.Miscellaneous.Zero2DF(_xll.HLV5r3.Analytics.Miscellaneous.LinearInterp(Peturbed_QZ,$K373,1,AH$1),ZeroCompFreq,'PDH Calc'!$K373/365)</f>
        <v>1</v>
      </c>
      <c r="AI373" s="8">
        <f ca="1">_xll.HLV5r3.Analytics.Miscellaneous.Zero2DF(_xll.HLV5r3.Analytics.Miscellaneous.LinearInterp(Peturbed_QZ,$K373,1,AI$1),ZeroCompFreq,'PDH Calc'!$K373/365)</f>
        <v>1</v>
      </c>
      <c r="AJ373" s="8">
        <f ca="1">_xll.HLV5r3.Analytics.Miscellaneous.Zero2DF(_xll.HLV5r3.Analytics.Miscellaneous.LinearInterp(Peturbed_QZ,$K373,1,AJ$1),ZeroCompFreq,'PDH Calc'!$K373/365)</f>
        <v>1</v>
      </c>
      <c r="AK373" s="8">
        <f ca="1">_xll.HLV5r3.Analytics.Miscellaneous.Zero2DF(_xll.HLV5r3.Analytics.Miscellaneous.LinearInterp(Peturbed_QZ,$K373,1,AK$1),ZeroCompFreq,'PDH Calc'!$K373/365)</f>
        <v>1</v>
      </c>
    </row>
    <row r="374" spans="1:37">
      <c r="A374" s="4"/>
      <c r="B374" s="6"/>
      <c r="F374" s="11"/>
      <c r="G374" s="6"/>
      <c r="H374" s="20"/>
      <c r="I374" s="21"/>
      <c r="J374" s="26"/>
      <c r="K374" s="6">
        <f t="shared" ca="1" si="12"/>
        <v>0</v>
      </c>
      <c r="L374" s="8">
        <f ca="1">_xll.HLV5r3.Analytics.Miscellaneous.Zero2DF(_xll.HLV5r3.Analytics.Miscellaneous.LinearInterp(Peturbed_QZ,$K374,1,L$1),ZeroCompFreq,'PDH Calc'!$K374/365)</f>
        <v>1</v>
      </c>
      <c r="M374" s="8">
        <f ca="1">_xll.HLV5r3.Analytics.Miscellaneous.Zero2DF(_xll.HLV5r3.Analytics.Miscellaneous.LinearInterp(Peturbed_QZ,$K374,1,M$1),ZeroCompFreq,'PDH Calc'!$K374/365)</f>
        <v>1</v>
      </c>
      <c r="N374" s="8">
        <f ca="1">_xll.HLV5r3.Analytics.Miscellaneous.Zero2DF(_xll.HLV5r3.Analytics.Miscellaneous.LinearInterp(Peturbed_QZ,$K374,1,N$1),ZeroCompFreq,'PDH Calc'!$K374/365)</f>
        <v>1</v>
      </c>
      <c r="O374" s="8">
        <f ca="1">_xll.HLV5r3.Analytics.Miscellaneous.Zero2DF(_xll.HLV5r3.Analytics.Miscellaneous.LinearInterp(Peturbed_QZ,$K374,1,O$1),ZeroCompFreq,'PDH Calc'!$K374/365)</f>
        <v>1</v>
      </c>
      <c r="P374" s="8">
        <f ca="1">_xll.HLV5r3.Analytics.Miscellaneous.Zero2DF(_xll.HLV5r3.Analytics.Miscellaneous.LinearInterp(Peturbed_QZ,$K374,1,P$1),ZeroCompFreq,'PDH Calc'!$K374/365)</f>
        <v>1</v>
      </c>
      <c r="Q374" s="8">
        <f ca="1">_xll.HLV5r3.Analytics.Miscellaneous.Zero2DF(_xll.HLV5r3.Analytics.Miscellaneous.LinearInterp(Peturbed_QZ,$K374,1,Q$1),ZeroCompFreq,'PDH Calc'!$K374/365)</f>
        <v>1</v>
      </c>
      <c r="R374" s="8">
        <f ca="1">_xll.HLV5r3.Analytics.Miscellaneous.Zero2DF(_xll.HLV5r3.Analytics.Miscellaneous.LinearInterp(Peturbed_QZ,$K374,1,R$1),ZeroCompFreq,'PDH Calc'!$K374/365)</f>
        <v>1</v>
      </c>
      <c r="S374" s="8">
        <f ca="1">_xll.HLV5r3.Analytics.Miscellaneous.Zero2DF(_xll.HLV5r3.Analytics.Miscellaneous.LinearInterp(Peturbed_QZ,$K374,1,S$1),ZeroCompFreq,'PDH Calc'!$K374/365)</f>
        <v>1</v>
      </c>
      <c r="T374" s="8">
        <f ca="1">_xll.HLV5r3.Analytics.Miscellaneous.Zero2DF(_xll.HLV5r3.Analytics.Miscellaneous.LinearInterp(Peturbed_QZ,$K374,1,T$1),ZeroCompFreq,'PDH Calc'!$K374/365)</f>
        <v>1</v>
      </c>
      <c r="U374" s="8">
        <f ca="1">_xll.HLV5r3.Analytics.Miscellaneous.Zero2DF(_xll.HLV5r3.Analytics.Miscellaneous.LinearInterp(Peturbed_QZ,$K374,1,U$1),ZeroCompFreq,'PDH Calc'!$K374/365)</f>
        <v>1</v>
      </c>
      <c r="V374" s="8">
        <f ca="1">_xll.HLV5r3.Analytics.Miscellaneous.Zero2DF(_xll.HLV5r3.Analytics.Miscellaneous.LinearInterp(Peturbed_QZ,$K374,1,V$1),ZeroCompFreq,'PDH Calc'!$K374/365)</f>
        <v>1</v>
      </c>
      <c r="W374" s="8">
        <f ca="1">_xll.HLV5r3.Analytics.Miscellaneous.Zero2DF(_xll.HLV5r3.Analytics.Miscellaneous.LinearInterp(Peturbed_QZ,$K374,1,W$1),ZeroCompFreq,'PDH Calc'!$K374/365)</f>
        <v>1</v>
      </c>
      <c r="X374" s="8">
        <f ca="1">_xll.HLV5r3.Analytics.Miscellaneous.Zero2DF(_xll.HLV5r3.Analytics.Miscellaneous.LinearInterp(Peturbed_QZ,$K374,1,X$1),ZeroCompFreq,'PDH Calc'!$K374/365)</f>
        <v>1</v>
      </c>
      <c r="Y374" s="8">
        <f ca="1">_xll.HLV5r3.Analytics.Miscellaneous.Zero2DF(_xll.HLV5r3.Analytics.Miscellaneous.LinearInterp(Peturbed_QZ,$K374,1,Y$1),ZeroCompFreq,'PDH Calc'!$K374/365)</f>
        <v>1</v>
      </c>
      <c r="Z374" s="8">
        <f ca="1">_xll.HLV5r3.Analytics.Miscellaneous.Zero2DF(_xll.HLV5r3.Analytics.Miscellaneous.LinearInterp(Peturbed_QZ,$K374,1,Z$1),ZeroCompFreq,'PDH Calc'!$K374/365)</f>
        <v>1</v>
      </c>
      <c r="AA374" s="8">
        <f ca="1">_xll.HLV5r3.Analytics.Miscellaneous.Zero2DF(_xll.HLV5r3.Analytics.Miscellaneous.LinearInterp(Peturbed_QZ,$K374,1,AA$1),ZeroCompFreq,'PDH Calc'!$K374/365)</f>
        <v>1</v>
      </c>
      <c r="AB374" s="8">
        <f ca="1">_xll.HLV5r3.Analytics.Miscellaneous.Zero2DF(_xll.HLV5r3.Analytics.Miscellaneous.LinearInterp(Peturbed_QZ,$K374,1,AB$1),ZeroCompFreq,'PDH Calc'!$K374/365)</f>
        <v>1</v>
      </c>
      <c r="AC374" s="8">
        <f ca="1">_xll.HLV5r3.Analytics.Miscellaneous.Zero2DF(_xll.HLV5r3.Analytics.Miscellaneous.LinearInterp(Peturbed_QZ,$K374,1,AC$1),ZeroCompFreq,'PDH Calc'!$K374/365)</f>
        <v>1</v>
      </c>
      <c r="AD374" s="8">
        <f ca="1">_xll.HLV5r3.Analytics.Miscellaneous.Zero2DF(_xll.HLV5r3.Analytics.Miscellaneous.LinearInterp(Peturbed_QZ,$K374,1,AD$1),ZeroCompFreq,'PDH Calc'!$K374/365)</f>
        <v>1</v>
      </c>
      <c r="AE374" s="8">
        <f ca="1">_xll.HLV5r3.Analytics.Miscellaneous.Zero2DF(_xll.HLV5r3.Analytics.Miscellaneous.LinearInterp(Peturbed_QZ,$K374,1,AE$1),ZeroCompFreq,'PDH Calc'!$K374/365)</f>
        <v>1</v>
      </c>
      <c r="AF374" s="8">
        <f ca="1">_xll.HLV5r3.Analytics.Miscellaneous.Zero2DF(_xll.HLV5r3.Analytics.Miscellaneous.LinearInterp(Peturbed_QZ,$K374,1,AF$1),ZeroCompFreq,'PDH Calc'!$K374/365)</f>
        <v>1</v>
      </c>
      <c r="AG374" s="8">
        <f ca="1">_xll.HLV5r3.Analytics.Miscellaneous.Zero2DF(_xll.HLV5r3.Analytics.Miscellaneous.LinearInterp(Peturbed_QZ,$K374,1,AG$1),ZeroCompFreq,'PDH Calc'!$K374/365)</f>
        <v>1</v>
      </c>
      <c r="AH374" s="8">
        <f ca="1">_xll.HLV5r3.Analytics.Miscellaneous.Zero2DF(_xll.HLV5r3.Analytics.Miscellaneous.LinearInterp(Peturbed_QZ,$K374,1,AH$1),ZeroCompFreq,'PDH Calc'!$K374/365)</f>
        <v>1</v>
      </c>
      <c r="AI374" s="8">
        <f ca="1">_xll.HLV5r3.Analytics.Miscellaneous.Zero2DF(_xll.HLV5r3.Analytics.Miscellaneous.LinearInterp(Peturbed_QZ,$K374,1,AI$1),ZeroCompFreq,'PDH Calc'!$K374/365)</f>
        <v>1</v>
      </c>
      <c r="AJ374" s="8">
        <f ca="1">_xll.HLV5r3.Analytics.Miscellaneous.Zero2DF(_xll.HLV5r3.Analytics.Miscellaneous.LinearInterp(Peturbed_QZ,$K374,1,AJ$1),ZeroCompFreq,'PDH Calc'!$K374/365)</f>
        <v>1</v>
      </c>
      <c r="AK374" s="8">
        <f ca="1">_xll.HLV5r3.Analytics.Miscellaneous.Zero2DF(_xll.HLV5r3.Analytics.Miscellaneous.LinearInterp(Peturbed_QZ,$K374,1,AK$1),ZeroCompFreq,'PDH Calc'!$K374/365)</f>
        <v>1</v>
      </c>
    </row>
    <row r="375" spans="1:37">
      <c r="A375" s="4"/>
      <c r="B375" s="6"/>
      <c r="F375" s="11"/>
      <c r="G375" s="6"/>
      <c r="H375" s="20"/>
      <c r="I375" s="21"/>
      <c r="J375" s="26"/>
      <c r="K375" s="6">
        <f t="shared" ca="1" si="12"/>
        <v>0</v>
      </c>
      <c r="L375" s="8">
        <f ca="1">_xll.HLV5r3.Analytics.Miscellaneous.Zero2DF(_xll.HLV5r3.Analytics.Miscellaneous.LinearInterp(Peturbed_QZ,$K375,1,L$1),ZeroCompFreq,'PDH Calc'!$K375/365)</f>
        <v>1</v>
      </c>
      <c r="M375" s="8">
        <f ca="1">_xll.HLV5r3.Analytics.Miscellaneous.Zero2DF(_xll.HLV5r3.Analytics.Miscellaneous.LinearInterp(Peturbed_QZ,$K375,1,M$1),ZeroCompFreq,'PDH Calc'!$K375/365)</f>
        <v>1</v>
      </c>
      <c r="N375" s="8">
        <f ca="1">_xll.HLV5r3.Analytics.Miscellaneous.Zero2DF(_xll.HLV5r3.Analytics.Miscellaneous.LinearInterp(Peturbed_QZ,$K375,1,N$1),ZeroCompFreq,'PDH Calc'!$K375/365)</f>
        <v>1</v>
      </c>
      <c r="O375" s="8">
        <f ca="1">_xll.HLV5r3.Analytics.Miscellaneous.Zero2DF(_xll.HLV5r3.Analytics.Miscellaneous.LinearInterp(Peturbed_QZ,$K375,1,O$1),ZeroCompFreq,'PDH Calc'!$K375/365)</f>
        <v>1</v>
      </c>
      <c r="P375" s="8">
        <f ca="1">_xll.HLV5r3.Analytics.Miscellaneous.Zero2DF(_xll.HLV5r3.Analytics.Miscellaneous.LinearInterp(Peturbed_QZ,$K375,1,P$1),ZeroCompFreq,'PDH Calc'!$K375/365)</f>
        <v>1</v>
      </c>
      <c r="Q375" s="8">
        <f ca="1">_xll.HLV5r3.Analytics.Miscellaneous.Zero2DF(_xll.HLV5r3.Analytics.Miscellaneous.LinearInterp(Peturbed_QZ,$K375,1,Q$1),ZeroCompFreq,'PDH Calc'!$K375/365)</f>
        <v>1</v>
      </c>
      <c r="R375" s="8">
        <f ca="1">_xll.HLV5r3.Analytics.Miscellaneous.Zero2DF(_xll.HLV5r3.Analytics.Miscellaneous.LinearInterp(Peturbed_QZ,$K375,1,R$1),ZeroCompFreq,'PDH Calc'!$K375/365)</f>
        <v>1</v>
      </c>
      <c r="S375" s="8">
        <f ca="1">_xll.HLV5r3.Analytics.Miscellaneous.Zero2DF(_xll.HLV5r3.Analytics.Miscellaneous.LinearInterp(Peturbed_QZ,$K375,1,S$1),ZeroCompFreq,'PDH Calc'!$K375/365)</f>
        <v>1</v>
      </c>
      <c r="T375" s="8">
        <f ca="1">_xll.HLV5r3.Analytics.Miscellaneous.Zero2DF(_xll.HLV5r3.Analytics.Miscellaneous.LinearInterp(Peturbed_QZ,$K375,1,T$1),ZeroCompFreq,'PDH Calc'!$K375/365)</f>
        <v>1</v>
      </c>
      <c r="U375" s="8">
        <f ca="1">_xll.HLV5r3.Analytics.Miscellaneous.Zero2DF(_xll.HLV5r3.Analytics.Miscellaneous.LinearInterp(Peturbed_QZ,$K375,1,U$1),ZeroCompFreq,'PDH Calc'!$K375/365)</f>
        <v>1</v>
      </c>
      <c r="V375" s="8">
        <f ca="1">_xll.HLV5r3.Analytics.Miscellaneous.Zero2DF(_xll.HLV5r3.Analytics.Miscellaneous.LinearInterp(Peturbed_QZ,$K375,1,V$1),ZeroCompFreq,'PDH Calc'!$K375/365)</f>
        <v>1</v>
      </c>
      <c r="W375" s="8">
        <f ca="1">_xll.HLV5r3.Analytics.Miscellaneous.Zero2DF(_xll.HLV5r3.Analytics.Miscellaneous.LinearInterp(Peturbed_QZ,$K375,1,W$1),ZeroCompFreq,'PDH Calc'!$K375/365)</f>
        <v>1</v>
      </c>
      <c r="X375" s="8">
        <f ca="1">_xll.HLV5r3.Analytics.Miscellaneous.Zero2DF(_xll.HLV5r3.Analytics.Miscellaneous.LinearInterp(Peturbed_QZ,$K375,1,X$1),ZeroCompFreq,'PDH Calc'!$K375/365)</f>
        <v>1</v>
      </c>
      <c r="Y375" s="8">
        <f ca="1">_xll.HLV5r3.Analytics.Miscellaneous.Zero2DF(_xll.HLV5r3.Analytics.Miscellaneous.LinearInterp(Peturbed_QZ,$K375,1,Y$1),ZeroCompFreq,'PDH Calc'!$K375/365)</f>
        <v>1</v>
      </c>
      <c r="Z375" s="8">
        <f ca="1">_xll.HLV5r3.Analytics.Miscellaneous.Zero2DF(_xll.HLV5r3.Analytics.Miscellaneous.LinearInterp(Peturbed_QZ,$K375,1,Z$1),ZeroCompFreq,'PDH Calc'!$K375/365)</f>
        <v>1</v>
      </c>
      <c r="AA375" s="8">
        <f ca="1">_xll.HLV5r3.Analytics.Miscellaneous.Zero2DF(_xll.HLV5r3.Analytics.Miscellaneous.LinearInterp(Peturbed_QZ,$K375,1,AA$1),ZeroCompFreq,'PDH Calc'!$K375/365)</f>
        <v>1</v>
      </c>
      <c r="AB375" s="8">
        <f ca="1">_xll.HLV5r3.Analytics.Miscellaneous.Zero2DF(_xll.HLV5r3.Analytics.Miscellaneous.LinearInterp(Peturbed_QZ,$K375,1,AB$1),ZeroCompFreq,'PDH Calc'!$K375/365)</f>
        <v>1</v>
      </c>
      <c r="AC375" s="8">
        <f ca="1">_xll.HLV5r3.Analytics.Miscellaneous.Zero2DF(_xll.HLV5r3.Analytics.Miscellaneous.LinearInterp(Peturbed_QZ,$K375,1,AC$1),ZeroCompFreq,'PDH Calc'!$K375/365)</f>
        <v>1</v>
      </c>
      <c r="AD375" s="8">
        <f ca="1">_xll.HLV5r3.Analytics.Miscellaneous.Zero2DF(_xll.HLV5r3.Analytics.Miscellaneous.LinearInterp(Peturbed_QZ,$K375,1,AD$1),ZeroCompFreq,'PDH Calc'!$K375/365)</f>
        <v>1</v>
      </c>
      <c r="AE375" s="8">
        <f ca="1">_xll.HLV5r3.Analytics.Miscellaneous.Zero2DF(_xll.HLV5r3.Analytics.Miscellaneous.LinearInterp(Peturbed_QZ,$K375,1,AE$1),ZeroCompFreq,'PDH Calc'!$K375/365)</f>
        <v>1</v>
      </c>
      <c r="AF375" s="8">
        <f ca="1">_xll.HLV5r3.Analytics.Miscellaneous.Zero2DF(_xll.HLV5r3.Analytics.Miscellaneous.LinearInterp(Peturbed_QZ,$K375,1,AF$1),ZeroCompFreq,'PDH Calc'!$K375/365)</f>
        <v>1</v>
      </c>
      <c r="AG375" s="8">
        <f ca="1">_xll.HLV5r3.Analytics.Miscellaneous.Zero2DF(_xll.HLV5r3.Analytics.Miscellaneous.LinearInterp(Peturbed_QZ,$K375,1,AG$1),ZeroCompFreq,'PDH Calc'!$K375/365)</f>
        <v>1</v>
      </c>
      <c r="AH375" s="8">
        <f ca="1">_xll.HLV5r3.Analytics.Miscellaneous.Zero2DF(_xll.HLV5r3.Analytics.Miscellaneous.LinearInterp(Peturbed_QZ,$K375,1,AH$1),ZeroCompFreq,'PDH Calc'!$K375/365)</f>
        <v>1</v>
      </c>
      <c r="AI375" s="8">
        <f ca="1">_xll.HLV5r3.Analytics.Miscellaneous.Zero2DF(_xll.HLV5r3.Analytics.Miscellaneous.LinearInterp(Peturbed_QZ,$K375,1,AI$1),ZeroCompFreq,'PDH Calc'!$K375/365)</f>
        <v>1</v>
      </c>
      <c r="AJ375" s="8">
        <f ca="1">_xll.HLV5r3.Analytics.Miscellaneous.Zero2DF(_xll.HLV5r3.Analytics.Miscellaneous.LinearInterp(Peturbed_QZ,$K375,1,AJ$1),ZeroCompFreq,'PDH Calc'!$K375/365)</f>
        <v>1</v>
      </c>
      <c r="AK375" s="8">
        <f ca="1">_xll.HLV5r3.Analytics.Miscellaneous.Zero2DF(_xll.HLV5r3.Analytics.Miscellaneous.LinearInterp(Peturbed_QZ,$K375,1,AK$1),ZeroCompFreq,'PDH Calc'!$K375/365)</f>
        <v>1</v>
      </c>
    </row>
    <row r="376" spans="1:37">
      <c r="A376" s="4"/>
      <c r="B376" s="6"/>
      <c r="F376" s="11"/>
      <c r="G376" s="6"/>
      <c r="H376" s="20"/>
      <c r="I376" s="21"/>
      <c r="J376" s="26"/>
      <c r="K376" s="6">
        <f t="shared" ca="1" si="12"/>
        <v>0</v>
      </c>
      <c r="L376" s="8">
        <f ca="1">_xll.HLV5r3.Analytics.Miscellaneous.Zero2DF(_xll.HLV5r3.Analytics.Miscellaneous.LinearInterp(Peturbed_QZ,$K376,1,L$1),ZeroCompFreq,'PDH Calc'!$K376/365)</f>
        <v>1</v>
      </c>
      <c r="M376" s="8">
        <f ca="1">_xll.HLV5r3.Analytics.Miscellaneous.Zero2DF(_xll.HLV5r3.Analytics.Miscellaneous.LinearInterp(Peturbed_QZ,$K376,1,M$1),ZeroCompFreq,'PDH Calc'!$K376/365)</f>
        <v>1</v>
      </c>
      <c r="N376" s="8">
        <f ca="1">_xll.HLV5r3.Analytics.Miscellaneous.Zero2DF(_xll.HLV5r3.Analytics.Miscellaneous.LinearInterp(Peturbed_QZ,$K376,1,N$1),ZeroCompFreq,'PDH Calc'!$K376/365)</f>
        <v>1</v>
      </c>
      <c r="O376" s="8">
        <f ca="1">_xll.HLV5r3.Analytics.Miscellaneous.Zero2DF(_xll.HLV5r3.Analytics.Miscellaneous.LinearInterp(Peturbed_QZ,$K376,1,O$1),ZeroCompFreq,'PDH Calc'!$K376/365)</f>
        <v>1</v>
      </c>
      <c r="P376" s="8">
        <f ca="1">_xll.HLV5r3.Analytics.Miscellaneous.Zero2DF(_xll.HLV5r3.Analytics.Miscellaneous.LinearInterp(Peturbed_QZ,$K376,1,P$1),ZeroCompFreq,'PDH Calc'!$K376/365)</f>
        <v>1</v>
      </c>
      <c r="Q376" s="8">
        <f ca="1">_xll.HLV5r3.Analytics.Miscellaneous.Zero2DF(_xll.HLV5r3.Analytics.Miscellaneous.LinearInterp(Peturbed_QZ,$K376,1,Q$1),ZeroCompFreq,'PDH Calc'!$K376/365)</f>
        <v>1</v>
      </c>
      <c r="R376" s="8">
        <f ca="1">_xll.HLV5r3.Analytics.Miscellaneous.Zero2DF(_xll.HLV5r3.Analytics.Miscellaneous.LinearInterp(Peturbed_QZ,$K376,1,R$1),ZeroCompFreq,'PDH Calc'!$K376/365)</f>
        <v>1</v>
      </c>
      <c r="S376" s="8">
        <f ca="1">_xll.HLV5r3.Analytics.Miscellaneous.Zero2DF(_xll.HLV5r3.Analytics.Miscellaneous.LinearInterp(Peturbed_QZ,$K376,1,S$1),ZeroCompFreq,'PDH Calc'!$K376/365)</f>
        <v>1</v>
      </c>
      <c r="T376" s="8">
        <f ca="1">_xll.HLV5r3.Analytics.Miscellaneous.Zero2DF(_xll.HLV5r3.Analytics.Miscellaneous.LinearInterp(Peturbed_QZ,$K376,1,T$1),ZeroCompFreq,'PDH Calc'!$K376/365)</f>
        <v>1</v>
      </c>
      <c r="U376" s="8">
        <f ca="1">_xll.HLV5r3.Analytics.Miscellaneous.Zero2DF(_xll.HLV5r3.Analytics.Miscellaneous.LinearInterp(Peturbed_QZ,$K376,1,U$1),ZeroCompFreq,'PDH Calc'!$K376/365)</f>
        <v>1</v>
      </c>
      <c r="V376" s="8">
        <f ca="1">_xll.HLV5r3.Analytics.Miscellaneous.Zero2DF(_xll.HLV5r3.Analytics.Miscellaneous.LinearInterp(Peturbed_QZ,$K376,1,V$1),ZeroCompFreq,'PDH Calc'!$K376/365)</f>
        <v>1</v>
      </c>
      <c r="W376" s="8">
        <f ca="1">_xll.HLV5r3.Analytics.Miscellaneous.Zero2DF(_xll.HLV5r3.Analytics.Miscellaneous.LinearInterp(Peturbed_QZ,$K376,1,W$1),ZeroCompFreq,'PDH Calc'!$K376/365)</f>
        <v>1</v>
      </c>
      <c r="X376" s="8">
        <f ca="1">_xll.HLV5r3.Analytics.Miscellaneous.Zero2DF(_xll.HLV5r3.Analytics.Miscellaneous.LinearInterp(Peturbed_QZ,$K376,1,X$1),ZeroCompFreq,'PDH Calc'!$K376/365)</f>
        <v>1</v>
      </c>
      <c r="Y376" s="8">
        <f ca="1">_xll.HLV5r3.Analytics.Miscellaneous.Zero2DF(_xll.HLV5r3.Analytics.Miscellaneous.LinearInterp(Peturbed_QZ,$K376,1,Y$1),ZeroCompFreq,'PDH Calc'!$K376/365)</f>
        <v>1</v>
      </c>
      <c r="Z376" s="8">
        <f ca="1">_xll.HLV5r3.Analytics.Miscellaneous.Zero2DF(_xll.HLV5r3.Analytics.Miscellaneous.LinearInterp(Peturbed_QZ,$K376,1,Z$1),ZeroCompFreq,'PDH Calc'!$K376/365)</f>
        <v>1</v>
      </c>
      <c r="AA376" s="8">
        <f ca="1">_xll.HLV5r3.Analytics.Miscellaneous.Zero2DF(_xll.HLV5r3.Analytics.Miscellaneous.LinearInterp(Peturbed_QZ,$K376,1,AA$1),ZeroCompFreq,'PDH Calc'!$K376/365)</f>
        <v>1</v>
      </c>
      <c r="AB376" s="8">
        <f ca="1">_xll.HLV5r3.Analytics.Miscellaneous.Zero2DF(_xll.HLV5r3.Analytics.Miscellaneous.LinearInterp(Peturbed_QZ,$K376,1,AB$1),ZeroCompFreq,'PDH Calc'!$K376/365)</f>
        <v>1</v>
      </c>
      <c r="AC376" s="8">
        <f ca="1">_xll.HLV5r3.Analytics.Miscellaneous.Zero2DF(_xll.HLV5r3.Analytics.Miscellaneous.LinearInterp(Peturbed_QZ,$K376,1,AC$1),ZeroCompFreq,'PDH Calc'!$K376/365)</f>
        <v>1</v>
      </c>
      <c r="AD376" s="8">
        <f ca="1">_xll.HLV5r3.Analytics.Miscellaneous.Zero2DF(_xll.HLV5r3.Analytics.Miscellaneous.LinearInterp(Peturbed_QZ,$K376,1,AD$1),ZeroCompFreq,'PDH Calc'!$K376/365)</f>
        <v>1</v>
      </c>
      <c r="AE376" s="8">
        <f ca="1">_xll.HLV5r3.Analytics.Miscellaneous.Zero2DF(_xll.HLV5r3.Analytics.Miscellaneous.LinearInterp(Peturbed_QZ,$K376,1,AE$1),ZeroCompFreq,'PDH Calc'!$K376/365)</f>
        <v>1</v>
      </c>
      <c r="AF376" s="8">
        <f ca="1">_xll.HLV5r3.Analytics.Miscellaneous.Zero2DF(_xll.HLV5r3.Analytics.Miscellaneous.LinearInterp(Peturbed_QZ,$K376,1,AF$1),ZeroCompFreq,'PDH Calc'!$K376/365)</f>
        <v>1</v>
      </c>
      <c r="AG376" s="8">
        <f ca="1">_xll.HLV5r3.Analytics.Miscellaneous.Zero2DF(_xll.HLV5r3.Analytics.Miscellaneous.LinearInterp(Peturbed_QZ,$K376,1,AG$1),ZeroCompFreq,'PDH Calc'!$K376/365)</f>
        <v>1</v>
      </c>
      <c r="AH376" s="8">
        <f ca="1">_xll.HLV5r3.Analytics.Miscellaneous.Zero2DF(_xll.HLV5r3.Analytics.Miscellaneous.LinearInterp(Peturbed_QZ,$K376,1,AH$1),ZeroCompFreq,'PDH Calc'!$K376/365)</f>
        <v>1</v>
      </c>
      <c r="AI376" s="8">
        <f ca="1">_xll.HLV5r3.Analytics.Miscellaneous.Zero2DF(_xll.HLV5r3.Analytics.Miscellaneous.LinearInterp(Peturbed_QZ,$K376,1,AI$1),ZeroCompFreq,'PDH Calc'!$K376/365)</f>
        <v>1</v>
      </c>
      <c r="AJ376" s="8">
        <f ca="1">_xll.HLV5r3.Analytics.Miscellaneous.Zero2DF(_xll.HLV5r3.Analytics.Miscellaneous.LinearInterp(Peturbed_QZ,$K376,1,AJ$1),ZeroCompFreq,'PDH Calc'!$K376/365)</f>
        <v>1</v>
      </c>
      <c r="AK376" s="8">
        <f ca="1">_xll.HLV5r3.Analytics.Miscellaneous.Zero2DF(_xll.HLV5r3.Analytics.Miscellaneous.LinearInterp(Peturbed_QZ,$K376,1,AK$1),ZeroCompFreq,'PDH Calc'!$K376/365)</f>
        <v>1</v>
      </c>
    </row>
    <row r="377" spans="1:37">
      <c r="A377" s="4"/>
      <c r="B377" s="6"/>
      <c r="F377" s="11"/>
      <c r="G377" s="6"/>
      <c r="H377" s="20"/>
      <c r="I377" s="21"/>
      <c r="J377" s="26"/>
      <c r="K377" s="6">
        <f t="shared" ca="1" si="12"/>
        <v>0</v>
      </c>
      <c r="L377" s="8">
        <f ca="1">_xll.HLV5r3.Analytics.Miscellaneous.Zero2DF(_xll.HLV5r3.Analytics.Miscellaneous.LinearInterp(Peturbed_QZ,$K377,1,L$1),ZeroCompFreq,'PDH Calc'!$K377/365)</f>
        <v>1</v>
      </c>
      <c r="M377" s="8">
        <f ca="1">_xll.HLV5r3.Analytics.Miscellaneous.Zero2DF(_xll.HLV5r3.Analytics.Miscellaneous.LinearInterp(Peturbed_QZ,$K377,1,M$1),ZeroCompFreq,'PDH Calc'!$K377/365)</f>
        <v>1</v>
      </c>
      <c r="N377" s="8">
        <f ca="1">_xll.HLV5r3.Analytics.Miscellaneous.Zero2DF(_xll.HLV5r3.Analytics.Miscellaneous.LinearInterp(Peturbed_QZ,$K377,1,N$1),ZeroCompFreq,'PDH Calc'!$K377/365)</f>
        <v>1</v>
      </c>
      <c r="O377" s="8">
        <f ca="1">_xll.HLV5r3.Analytics.Miscellaneous.Zero2DF(_xll.HLV5r3.Analytics.Miscellaneous.LinearInterp(Peturbed_QZ,$K377,1,O$1),ZeroCompFreq,'PDH Calc'!$K377/365)</f>
        <v>1</v>
      </c>
      <c r="P377" s="8">
        <f ca="1">_xll.HLV5r3.Analytics.Miscellaneous.Zero2DF(_xll.HLV5r3.Analytics.Miscellaneous.LinearInterp(Peturbed_QZ,$K377,1,P$1),ZeroCompFreq,'PDH Calc'!$K377/365)</f>
        <v>1</v>
      </c>
      <c r="Q377" s="8">
        <f ca="1">_xll.HLV5r3.Analytics.Miscellaneous.Zero2DF(_xll.HLV5r3.Analytics.Miscellaneous.LinearInterp(Peturbed_QZ,$K377,1,Q$1),ZeroCompFreq,'PDH Calc'!$K377/365)</f>
        <v>1</v>
      </c>
      <c r="R377" s="8">
        <f ca="1">_xll.HLV5r3.Analytics.Miscellaneous.Zero2DF(_xll.HLV5r3.Analytics.Miscellaneous.LinearInterp(Peturbed_QZ,$K377,1,R$1),ZeroCompFreq,'PDH Calc'!$K377/365)</f>
        <v>1</v>
      </c>
      <c r="S377" s="8">
        <f ca="1">_xll.HLV5r3.Analytics.Miscellaneous.Zero2DF(_xll.HLV5r3.Analytics.Miscellaneous.LinearInterp(Peturbed_QZ,$K377,1,S$1),ZeroCompFreq,'PDH Calc'!$K377/365)</f>
        <v>1</v>
      </c>
      <c r="T377" s="8">
        <f ca="1">_xll.HLV5r3.Analytics.Miscellaneous.Zero2DF(_xll.HLV5r3.Analytics.Miscellaneous.LinearInterp(Peturbed_QZ,$K377,1,T$1),ZeroCompFreq,'PDH Calc'!$K377/365)</f>
        <v>1</v>
      </c>
      <c r="U377" s="8">
        <f ca="1">_xll.HLV5r3.Analytics.Miscellaneous.Zero2DF(_xll.HLV5r3.Analytics.Miscellaneous.LinearInterp(Peturbed_QZ,$K377,1,U$1),ZeroCompFreq,'PDH Calc'!$K377/365)</f>
        <v>1</v>
      </c>
      <c r="V377" s="8">
        <f ca="1">_xll.HLV5r3.Analytics.Miscellaneous.Zero2DF(_xll.HLV5r3.Analytics.Miscellaneous.LinearInterp(Peturbed_QZ,$K377,1,V$1),ZeroCompFreq,'PDH Calc'!$K377/365)</f>
        <v>1</v>
      </c>
      <c r="W377" s="8">
        <f ca="1">_xll.HLV5r3.Analytics.Miscellaneous.Zero2DF(_xll.HLV5r3.Analytics.Miscellaneous.LinearInterp(Peturbed_QZ,$K377,1,W$1),ZeroCompFreq,'PDH Calc'!$K377/365)</f>
        <v>1</v>
      </c>
      <c r="X377" s="8">
        <f ca="1">_xll.HLV5r3.Analytics.Miscellaneous.Zero2DF(_xll.HLV5r3.Analytics.Miscellaneous.LinearInterp(Peturbed_QZ,$K377,1,X$1),ZeroCompFreq,'PDH Calc'!$K377/365)</f>
        <v>1</v>
      </c>
      <c r="Y377" s="8">
        <f ca="1">_xll.HLV5r3.Analytics.Miscellaneous.Zero2DF(_xll.HLV5r3.Analytics.Miscellaneous.LinearInterp(Peturbed_QZ,$K377,1,Y$1),ZeroCompFreq,'PDH Calc'!$K377/365)</f>
        <v>1</v>
      </c>
      <c r="Z377" s="8">
        <f ca="1">_xll.HLV5r3.Analytics.Miscellaneous.Zero2DF(_xll.HLV5r3.Analytics.Miscellaneous.LinearInterp(Peturbed_QZ,$K377,1,Z$1),ZeroCompFreq,'PDH Calc'!$K377/365)</f>
        <v>1</v>
      </c>
      <c r="AA377" s="8">
        <f ca="1">_xll.HLV5r3.Analytics.Miscellaneous.Zero2DF(_xll.HLV5r3.Analytics.Miscellaneous.LinearInterp(Peturbed_QZ,$K377,1,AA$1),ZeroCompFreq,'PDH Calc'!$K377/365)</f>
        <v>1</v>
      </c>
      <c r="AB377" s="8">
        <f ca="1">_xll.HLV5r3.Analytics.Miscellaneous.Zero2DF(_xll.HLV5r3.Analytics.Miscellaneous.LinearInterp(Peturbed_QZ,$K377,1,AB$1),ZeroCompFreq,'PDH Calc'!$K377/365)</f>
        <v>1</v>
      </c>
      <c r="AC377" s="8">
        <f ca="1">_xll.HLV5r3.Analytics.Miscellaneous.Zero2DF(_xll.HLV5r3.Analytics.Miscellaneous.LinearInterp(Peturbed_QZ,$K377,1,AC$1),ZeroCompFreq,'PDH Calc'!$K377/365)</f>
        <v>1</v>
      </c>
      <c r="AD377" s="8">
        <f ca="1">_xll.HLV5r3.Analytics.Miscellaneous.Zero2DF(_xll.HLV5r3.Analytics.Miscellaneous.LinearInterp(Peturbed_QZ,$K377,1,AD$1),ZeroCompFreq,'PDH Calc'!$K377/365)</f>
        <v>1</v>
      </c>
      <c r="AE377" s="8">
        <f ca="1">_xll.HLV5r3.Analytics.Miscellaneous.Zero2DF(_xll.HLV5r3.Analytics.Miscellaneous.LinearInterp(Peturbed_QZ,$K377,1,AE$1),ZeroCompFreq,'PDH Calc'!$K377/365)</f>
        <v>1</v>
      </c>
      <c r="AF377" s="8">
        <f ca="1">_xll.HLV5r3.Analytics.Miscellaneous.Zero2DF(_xll.HLV5r3.Analytics.Miscellaneous.LinearInterp(Peturbed_QZ,$K377,1,AF$1),ZeroCompFreq,'PDH Calc'!$K377/365)</f>
        <v>1</v>
      </c>
      <c r="AG377" s="8">
        <f ca="1">_xll.HLV5r3.Analytics.Miscellaneous.Zero2DF(_xll.HLV5r3.Analytics.Miscellaneous.LinearInterp(Peturbed_QZ,$K377,1,AG$1),ZeroCompFreq,'PDH Calc'!$K377/365)</f>
        <v>1</v>
      </c>
      <c r="AH377" s="8">
        <f ca="1">_xll.HLV5r3.Analytics.Miscellaneous.Zero2DF(_xll.HLV5r3.Analytics.Miscellaneous.LinearInterp(Peturbed_QZ,$K377,1,AH$1),ZeroCompFreq,'PDH Calc'!$K377/365)</f>
        <v>1</v>
      </c>
      <c r="AI377" s="8">
        <f ca="1">_xll.HLV5r3.Analytics.Miscellaneous.Zero2DF(_xll.HLV5r3.Analytics.Miscellaneous.LinearInterp(Peturbed_QZ,$K377,1,AI$1),ZeroCompFreq,'PDH Calc'!$K377/365)</f>
        <v>1</v>
      </c>
      <c r="AJ377" s="8">
        <f ca="1">_xll.HLV5r3.Analytics.Miscellaneous.Zero2DF(_xll.HLV5r3.Analytics.Miscellaneous.LinearInterp(Peturbed_QZ,$K377,1,AJ$1),ZeroCompFreq,'PDH Calc'!$K377/365)</f>
        <v>1</v>
      </c>
      <c r="AK377" s="8">
        <f ca="1">_xll.HLV5r3.Analytics.Miscellaneous.Zero2DF(_xll.HLV5r3.Analytics.Miscellaneous.LinearInterp(Peturbed_QZ,$K377,1,AK$1),ZeroCompFreq,'PDH Calc'!$K377/365)</f>
        <v>1</v>
      </c>
    </row>
    <row r="378" spans="1:37">
      <c r="A378" s="4"/>
      <c r="B378" s="6"/>
      <c r="F378" s="11"/>
      <c r="G378" s="6"/>
      <c r="H378" s="20"/>
      <c r="I378" s="21"/>
      <c r="J378" s="26"/>
      <c r="K378" s="6">
        <f t="shared" ca="1" si="12"/>
        <v>0</v>
      </c>
      <c r="L378" s="8">
        <f ca="1">_xll.HLV5r3.Analytics.Miscellaneous.Zero2DF(_xll.HLV5r3.Analytics.Miscellaneous.LinearInterp(Peturbed_QZ,$K378,1,L$1),ZeroCompFreq,'PDH Calc'!$K378/365)</f>
        <v>1</v>
      </c>
      <c r="M378" s="8">
        <f ca="1">_xll.HLV5r3.Analytics.Miscellaneous.Zero2DF(_xll.HLV5r3.Analytics.Miscellaneous.LinearInterp(Peturbed_QZ,$K378,1,M$1),ZeroCompFreq,'PDH Calc'!$K378/365)</f>
        <v>1</v>
      </c>
      <c r="N378" s="8">
        <f ca="1">_xll.HLV5r3.Analytics.Miscellaneous.Zero2DF(_xll.HLV5r3.Analytics.Miscellaneous.LinearInterp(Peturbed_QZ,$K378,1,N$1),ZeroCompFreq,'PDH Calc'!$K378/365)</f>
        <v>1</v>
      </c>
      <c r="O378" s="8">
        <f ca="1">_xll.HLV5r3.Analytics.Miscellaneous.Zero2DF(_xll.HLV5r3.Analytics.Miscellaneous.LinearInterp(Peturbed_QZ,$K378,1,O$1),ZeroCompFreq,'PDH Calc'!$K378/365)</f>
        <v>1</v>
      </c>
      <c r="P378" s="8">
        <f ca="1">_xll.HLV5r3.Analytics.Miscellaneous.Zero2DF(_xll.HLV5r3.Analytics.Miscellaneous.LinearInterp(Peturbed_QZ,$K378,1,P$1),ZeroCompFreq,'PDH Calc'!$K378/365)</f>
        <v>1</v>
      </c>
      <c r="Q378" s="8">
        <f ca="1">_xll.HLV5r3.Analytics.Miscellaneous.Zero2DF(_xll.HLV5r3.Analytics.Miscellaneous.LinearInterp(Peturbed_QZ,$K378,1,Q$1),ZeroCompFreq,'PDH Calc'!$K378/365)</f>
        <v>1</v>
      </c>
      <c r="R378" s="8">
        <f ca="1">_xll.HLV5r3.Analytics.Miscellaneous.Zero2DF(_xll.HLV5r3.Analytics.Miscellaneous.LinearInterp(Peturbed_QZ,$K378,1,R$1),ZeroCompFreq,'PDH Calc'!$K378/365)</f>
        <v>1</v>
      </c>
      <c r="S378" s="8">
        <f ca="1">_xll.HLV5r3.Analytics.Miscellaneous.Zero2DF(_xll.HLV5r3.Analytics.Miscellaneous.LinearInterp(Peturbed_QZ,$K378,1,S$1),ZeroCompFreq,'PDH Calc'!$K378/365)</f>
        <v>1</v>
      </c>
      <c r="T378" s="8">
        <f ca="1">_xll.HLV5r3.Analytics.Miscellaneous.Zero2DF(_xll.HLV5r3.Analytics.Miscellaneous.LinearInterp(Peturbed_QZ,$K378,1,T$1),ZeroCompFreq,'PDH Calc'!$K378/365)</f>
        <v>1</v>
      </c>
      <c r="U378" s="8">
        <f ca="1">_xll.HLV5r3.Analytics.Miscellaneous.Zero2DF(_xll.HLV5r3.Analytics.Miscellaneous.LinearInterp(Peturbed_QZ,$K378,1,U$1),ZeroCompFreq,'PDH Calc'!$K378/365)</f>
        <v>1</v>
      </c>
      <c r="V378" s="8">
        <f ca="1">_xll.HLV5r3.Analytics.Miscellaneous.Zero2DF(_xll.HLV5r3.Analytics.Miscellaneous.LinearInterp(Peturbed_QZ,$K378,1,V$1),ZeroCompFreq,'PDH Calc'!$K378/365)</f>
        <v>1</v>
      </c>
      <c r="W378" s="8">
        <f ca="1">_xll.HLV5r3.Analytics.Miscellaneous.Zero2DF(_xll.HLV5r3.Analytics.Miscellaneous.LinearInterp(Peturbed_QZ,$K378,1,W$1),ZeroCompFreq,'PDH Calc'!$K378/365)</f>
        <v>1</v>
      </c>
      <c r="X378" s="8">
        <f ca="1">_xll.HLV5r3.Analytics.Miscellaneous.Zero2DF(_xll.HLV5r3.Analytics.Miscellaneous.LinearInterp(Peturbed_QZ,$K378,1,X$1),ZeroCompFreq,'PDH Calc'!$K378/365)</f>
        <v>1</v>
      </c>
      <c r="Y378" s="8">
        <f ca="1">_xll.HLV5r3.Analytics.Miscellaneous.Zero2DF(_xll.HLV5r3.Analytics.Miscellaneous.LinearInterp(Peturbed_QZ,$K378,1,Y$1),ZeroCompFreq,'PDH Calc'!$K378/365)</f>
        <v>1</v>
      </c>
      <c r="Z378" s="8">
        <f ca="1">_xll.HLV5r3.Analytics.Miscellaneous.Zero2DF(_xll.HLV5r3.Analytics.Miscellaneous.LinearInterp(Peturbed_QZ,$K378,1,Z$1),ZeroCompFreq,'PDH Calc'!$K378/365)</f>
        <v>1</v>
      </c>
      <c r="AA378" s="8">
        <f ca="1">_xll.HLV5r3.Analytics.Miscellaneous.Zero2DF(_xll.HLV5r3.Analytics.Miscellaneous.LinearInterp(Peturbed_QZ,$K378,1,AA$1),ZeroCompFreq,'PDH Calc'!$K378/365)</f>
        <v>1</v>
      </c>
      <c r="AB378" s="8">
        <f ca="1">_xll.HLV5r3.Analytics.Miscellaneous.Zero2DF(_xll.HLV5r3.Analytics.Miscellaneous.LinearInterp(Peturbed_QZ,$K378,1,AB$1),ZeroCompFreq,'PDH Calc'!$K378/365)</f>
        <v>1</v>
      </c>
      <c r="AC378" s="8">
        <f ca="1">_xll.HLV5r3.Analytics.Miscellaneous.Zero2DF(_xll.HLV5r3.Analytics.Miscellaneous.LinearInterp(Peturbed_QZ,$K378,1,AC$1),ZeroCompFreq,'PDH Calc'!$K378/365)</f>
        <v>1</v>
      </c>
      <c r="AD378" s="8">
        <f ca="1">_xll.HLV5r3.Analytics.Miscellaneous.Zero2DF(_xll.HLV5r3.Analytics.Miscellaneous.LinearInterp(Peturbed_QZ,$K378,1,AD$1),ZeroCompFreq,'PDH Calc'!$K378/365)</f>
        <v>1</v>
      </c>
      <c r="AE378" s="8">
        <f ca="1">_xll.HLV5r3.Analytics.Miscellaneous.Zero2DF(_xll.HLV5r3.Analytics.Miscellaneous.LinearInterp(Peturbed_QZ,$K378,1,AE$1),ZeroCompFreq,'PDH Calc'!$K378/365)</f>
        <v>1</v>
      </c>
      <c r="AF378" s="8">
        <f ca="1">_xll.HLV5r3.Analytics.Miscellaneous.Zero2DF(_xll.HLV5r3.Analytics.Miscellaneous.LinearInterp(Peturbed_QZ,$K378,1,AF$1),ZeroCompFreq,'PDH Calc'!$K378/365)</f>
        <v>1</v>
      </c>
      <c r="AG378" s="8">
        <f ca="1">_xll.HLV5r3.Analytics.Miscellaneous.Zero2DF(_xll.HLV5r3.Analytics.Miscellaneous.LinearInterp(Peturbed_QZ,$K378,1,AG$1),ZeroCompFreq,'PDH Calc'!$K378/365)</f>
        <v>1</v>
      </c>
      <c r="AH378" s="8">
        <f ca="1">_xll.HLV5r3.Analytics.Miscellaneous.Zero2DF(_xll.HLV5r3.Analytics.Miscellaneous.LinearInterp(Peturbed_QZ,$K378,1,AH$1),ZeroCompFreq,'PDH Calc'!$K378/365)</f>
        <v>1</v>
      </c>
      <c r="AI378" s="8">
        <f ca="1">_xll.HLV5r3.Analytics.Miscellaneous.Zero2DF(_xll.HLV5r3.Analytics.Miscellaneous.LinearInterp(Peturbed_QZ,$K378,1,AI$1),ZeroCompFreq,'PDH Calc'!$K378/365)</f>
        <v>1</v>
      </c>
      <c r="AJ378" s="8">
        <f ca="1">_xll.HLV5r3.Analytics.Miscellaneous.Zero2DF(_xll.HLV5r3.Analytics.Miscellaneous.LinearInterp(Peturbed_QZ,$K378,1,AJ$1),ZeroCompFreq,'PDH Calc'!$K378/365)</f>
        <v>1</v>
      </c>
      <c r="AK378" s="8">
        <f ca="1">_xll.HLV5r3.Analytics.Miscellaneous.Zero2DF(_xll.HLV5r3.Analytics.Miscellaneous.LinearInterp(Peturbed_QZ,$K378,1,AK$1),ZeroCompFreq,'PDH Calc'!$K378/365)</f>
        <v>1</v>
      </c>
    </row>
    <row r="379" spans="1:37">
      <c r="A379" s="4"/>
      <c r="B379" s="6"/>
      <c r="F379" s="11"/>
      <c r="G379" s="6"/>
      <c r="H379" s="20"/>
      <c r="I379" s="21"/>
      <c r="J379" s="26"/>
      <c r="K379" s="6">
        <f t="shared" ca="1" si="12"/>
        <v>0</v>
      </c>
      <c r="L379" s="8">
        <f ca="1">_xll.HLV5r3.Analytics.Miscellaneous.Zero2DF(_xll.HLV5r3.Analytics.Miscellaneous.LinearInterp(Peturbed_QZ,$K379,1,L$1),ZeroCompFreq,'PDH Calc'!$K379/365)</f>
        <v>1</v>
      </c>
      <c r="M379" s="8">
        <f ca="1">_xll.HLV5r3.Analytics.Miscellaneous.Zero2DF(_xll.HLV5r3.Analytics.Miscellaneous.LinearInterp(Peturbed_QZ,$K379,1,M$1),ZeroCompFreq,'PDH Calc'!$K379/365)</f>
        <v>1</v>
      </c>
      <c r="N379" s="8">
        <f ca="1">_xll.HLV5r3.Analytics.Miscellaneous.Zero2DF(_xll.HLV5r3.Analytics.Miscellaneous.LinearInterp(Peturbed_QZ,$K379,1,N$1),ZeroCompFreq,'PDH Calc'!$K379/365)</f>
        <v>1</v>
      </c>
      <c r="O379" s="8">
        <f ca="1">_xll.HLV5r3.Analytics.Miscellaneous.Zero2DF(_xll.HLV5r3.Analytics.Miscellaneous.LinearInterp(Peturbed_QZ,$K379,1,O$1),ZeroCompFreq,'PDH Calc'!$K379/365)</f>
        <v>1</v>
      </c>
      <c r="P379" s="8">
        <f ca="1">_xll.HLV5r3.Analytics.Miscellaneous.Zero2DF(_xll.HLV5r3.Analytics.Miscellaneous.LinearInterp(Peturbed_QZ,$K379,1,P$1),ZeroCompFreq,'PDH Calc'!$K379/365)</f>
        <v>1</v>
      </c>
      <c r="Q379" s="8">
        <f ca="1">_xll.HLV5r3.Analytics.Miscellaneous.Zero2DF(_xll.HLV5r3.Analytics.Miscellaneous.LinearInterp(Peturbed_QZ,$K379,1,Q$1),ZeroCompFreq,'PDH Calc'!$K379/365)</f>
        <v>1</v>
      </c>
      <c r="R379" s="8">
        <f ca="1">_xll.HLV5r3.Analytics.Miscellaneous.Zero2DF(_xll.HLV5r3.Analytics.Miscellaneous.LinearInterp(Peturbed_QZ,$K379,1,R$1),ZeroCompFreq,'PDH Calc'!$K379/365)</f>
        <v>1</v>
      </c>
      <c r="S379" s="8">
        <f ca="1">_xll.HLV5r3.Analytics.Miscellaneous.Zero2DF(_xll.HLV5r3.Analytics.Miscellaneous.LinearInterp(Peturbed_QZ,$K379,1,S$1),ZeroCompFreq,'PDH Calc'!$K379/365)</f>
        <v>1</v>
      </c>
      <c r="T379" s="8">
        <f ca="1">_xll.HLV5r3.Analytics.Miscellaneous.Zero2DF(_xll.HLV5r3.Analytics.Miscellaneous.LinearInterp(Peturbed_QZ,$K379,1,T$1),ZeroCompFreq,'PDH Calc'!$K379/365)</f>
        <v>1</v>
      </c>
      <c r="U379" s="8">
        <f ca="1">_xll.HLV5r3.Analytics.Miscellaneous.Zero2DF(_xll.HLV5r3.Analytics.Miscellaneous.LinearInterp(Peturbed_QZ,$K379,1,U$1),ZeroCompFreq,'PDH Calc'!$K379/365)</f>
        <v>1</v>
      </c>
      <c r="V379" s="8">
        <f ca="1">_xll.HLV5r3.Analytics.Miscellaneous.Zero2DF(_xll.HLV5r3.Analytics.Miscellaneous.LinearInterp(Peturbed_QZ,$K379,1,V$1),ZeroCompFreq,'PDH Calc'!$K379/365)</f>
        <v>1</v>
      </c>
      <c r="W379" s="8">
        <f ca="1">_xll.HLV5r3.Analytics.Miscellaneous.Zero2DF(_xll.HLV5r3.Analytics.Miscellaneous.LinearInterp(Peturbed_QZ,$K379,1,W$1),ZeroCompFreq,'PDH Calc'!$K379/365)</f>
        <v>1</v>
      </c>
      <c r="X379" s="8">
        <f ca="1">_xll.HLV5r3.Analytics.Miscellaneous.Zero2DF(_xll.HLV5r3.Analytics.Miscellaneous.LinearInterp(Peturbed_QZ,$K379,1,X$1),ZeroCompFreq,'PDH Calc'!$K379/365)</f>
        <v>1</v>
      </c>
      <c r="Y379" s="8">
        <f ca="1">_xll.HLV5r3.Analytics.Miscellaneous.Zero2DF(_xll.HLV5r3.Analytics.Miscellaneous.LinearInterp(Peturbed_QZ,$K379,1,Y$1),ZeroCompFreq,'PDH Calc'!$K379/365)</f>
        <v>1</v>
      </c>
      <c r="Z379" s="8">
        <f ca="1">_xll.HLV5r3.Analytics.Miscellaneous.Zero2DF(_xll.HLV5r3.Analytics.Miscellaneous.LinearInterp(Peturbed_QZ,$K379,1,Z$1),ZeroCompFreq,'PDH Calc'!$K379/365)</f>
        <v>1</v>
      </c>
      <c r="AA379" s="8">
        <f ca="1">_xll.HLV5r3.Analytics.Miscellaneous.Zero2DF(_xll.HLV5r3.Analytics.Miscellaneous.LinearInterp(Peturbed_QZ,$K379,1,AA$1),ZeroCompFreq,'PDH Calc'!$K379/365)</f>
        <v>1</v>
      </c>
      <c r="AB379" s="8">
        <f ca="1">_xll.HLV5r3.Analytics.Miscellaneous.Zero2DF(_xll.HLV5r3.Analytics.Miscellaneous.LinearInterp(Peturbed_QZ,$K379,1,AB$1),ZeroCompFreq,'PDH Calc'!$K379/365)</f>
        <v>1</v>
      </c>
      <c r="AC379" s="8">
        <f ca="1">_xll.HLV5r3.Analytics.Miscellaneous.Zero2DF(_xll.HLV5r3.Analytics.Miscellaneous.LinearInterp(Peturbed_QZ,$K379,1,AC$1),ZeroCompFreq,'PDH Calc'!$K379/365)</f>
        <v>1</v>
      </c>
      <c r="AD379" s="8">
        <f ca="1">_xll.HLV5r3.Analytics.Miscellaneous.Zero2DF(_xll.HLV5r3.Analytics.Miscellaneous.LinearInterp(Peturbed_QZ,$K379,1,AD$1),ZeroCompFreq,'PDH Calc'!$K379/365)</f>
        <v>1</v>
      </c>
      <c r="AE379" s="8">
        <f ca="1">_xll.HLV5r3.Analytics.Miscellaneous.Zero2DF(_xll.HLV5r3.Analytics.Miscellaneous.LinearInterp(Peturbed_QZ,$K379,1,AE$1),ZeroCompFreq,'PDH Calc'!$K379/365)</f>
        <v>1</v>
      </c>
      <c r="AF379" s="8">
        <f ca="1">_xll.HLV5r3.Analytics.Miscellaneous.Zero2DF(_xll.HLV5r3.Analytics.Miscellaneous.LinearInterp(Peturbed_QZ,$K379,1,AF$1),ZeroCompFreq,'PDH Calc'!$K379/365)</f>
        <v>1</v>
      </c>
      <c r="AG379" s="8">
        <f ca="1">_xll.HLV5r3.Analytics.Miscellaneous.Zero2DF(_xll.HLV5r3.Analytics.Miscellaneous.LinearInterp(Peturbed_QZ,$K379,1,AG$1),ZeroCompFreq,'PDH Calc'!$K379/365)</f>
        <v>1</v>
      </c>
      <c r="AH379" s="8">
        <f ca="1">_xll.HLV5r3.Analytics.Miscellaneous.Zero2DF(_xll.HLV5r3.Analytics.Miscellaneous.LinearInterp(Peturbed_QZ,$K379,1,AH$1),ZeroCompFreq,'PDH Calc'!$K379/365)</f>
        <v>1</v>
      </c>
      <c r="AI379" s="8">
        <f ca="1">_xll.HLV5r3.Analytics.Miscellaneous.Zero2DF(_xll.HLV5r3.Analytics.Miscellaneous.LinearInterp(Peturbed_QZ,$K379,1,AI$1),ZeroCompFreq,'PDH Calc'!$K379/365)</f>
        <v>1</v>
      </c>
      <c r="AJ379" s="8">
        <f ca="1">_xll.HLV5r3.Analytics.Miscellaneous.Zero2DF(_xll.HLV5r3.Analytics.Miscellaneous.LinearInterp(Peturbed_QZ,$K379,1,AJ$1),ZeroCompFreq,'PDH Calc'!$K379/365)</f>
        <v>1</v>
      </c>
      <c r="AK379" s="8">
        <f ca="1">_xll.HLV5r3.Analytics.Miscellaneous.Zero2DF(_xll.HLV5r3.Analytics.Miscellaneous.LinearInterp(Peturbed_QZ,$K379,1,AK$1),ZeroCompFreq,'PDH Calc'!$K379/365)</f>
        <v>1</v>
      </c>
    </row>
    <row r="380" spans="1:37">
      <c r="A380" s="4"/>
      <c r="B380" s="6"/>
      <c r="F380" s="11"/>
      <c r="G380" s="6"/>
      <c r="H380" s="20"/>
      <c r="I380" s="21"/>
      <c r="J380" s="26"/>
      <c r="K380" s="6">
        <f t="shared" ca="1" si="12"/>
        <v>0</v>
      </c>
      <c r="L380" s="8">
        <f ca="1">_xll.HLV5r3.Analytics.Miscellaneous.Zero2DF(_xll.HLV5r3.Analytics.Miscellaneous.LinearInterp(Peturbed_QZ,$K380,1,L$1),ZeroCompFreq,'PDH Calc'!$K380/365)</f>
        <v>1</v>
      </c>
      <c r="M380" s="8">
        <f ca="1">_xll.HLV5r3.Analytics.Miscellaneous.Zero2DF(_xll.HLV5r3.Analytics.Miscellaneous.LinearInterp(Peturbed_QZ,$K380,1,M$1),ZeroCompFreq,'PDH Calc'!$K380/365)</f>
        <v>1</v>
      </c>
      <c r="N380" s="8">
        <f ca="1">_xll.HLV5r3.Analytics.Miscellaneous.Zero2DF(_xll.HLV5r3.Analytics.Miscellaneous.LinearInterp(Peturbed_QZ,$K380,1,N$1),ZeroCompFreq,'PDH Calc'!$K380/365)</f>
        <v>1</v>
      </c>
      <c r="O380" s="8">
        <f ca="1">_xll.HLV5r3.Analytics.Miscellaneous.Zero2DF(_xll.HLV5r3.Analytics.Miscellaneous.LinearInterp(Peturbed_QZ,$K380,1,O$1),ZeroCompFreq,'PDH Calc'!$K380/365)</f>
        <v>1</v>
      </c>
      <c r="P380" s="8">
        <f ca="1">_xll.HLV5r3.Analytics.Miscellaneous.Zero2DF(_xll.HLV5r3.Analytics.Miscellaneous.LinearInterp(Peturbed_QZ,$K380,1,P$1),ZeroCompFreq,'PDH Calc'!$K380/365)</f>
        <v>1</v>
      </c>
      <c r="Q380" s="8">
        <f ca="1">_xll.HLV5r3.Analytics.Miscellaneous.Zero2DF(_xll.HLV5r3.Analytics.Miscellaneous.LinearInterp(Peturbed_QZ,$K380,1,Q$1),ZeroCompFreq,'PDH Calc'!$K380/365)</f>
        <v>1</v>
      </c>
      <c r="R380" s="8">
        <f ca="1">_xll.HLV5r3.Analytics.Miscellaneous.Zero2DF(_xll.HLV5r3.Analytics.Miscellaneous.LinearInterp(Peturbed_QZ,$K380,1,R$1),ZeroCompFreq,'PDH Calc'!$K380/365)</f>
        <v>1</v>
      </c>
      <c r="S380" s="8">
        <f ca="1">_xll.HLV5r3.Analytics.Miscellaneous.Zero2DF(_xll.HLV5r3.Analytics.Miscellaneous.LinearInterp(Peturbed_QZ,$K380,1,S$1),ZeroCompFreq,'PDH Calc'!$K380/365)</f>
        <v>1</v>
      </c>
      <c r="T380" s="8">
        <f ca="1">_xll.HLV5r3.Analytics.Miscellaneous.Zero2DF(_xll.HLV5r3.Analytics.Miscellaneous.LinearInterp(Peturbed_QZ,$K380,1,T$1),ZeroCompFreq,'PDH Calc'!$K380/365)</f>
        <v>1</v>
      </c>
      <c r="U380" s="8">
        <f ca="1">_xll.HLV5r3.Analytics.Miscellaneous.Zero2DF(_xll.HLV5r3.Analytics.Miscellaneous.LinearInterp(Peturbed_QZ,$K380,1,U$1),ZeroCompFreq,'PDH Calc'!$K380/365)</f>
        <v>1</v>
      </c>
      <c r="V380" s="8">
        <f ca="1">_xll.HLV5r3.Analytics.Miscellaneous.Zero2DF(_xll.HLV5r3.Analytics.Miscellaneous.LinearInterp(Peturbed_QZ,$K380,1,V$1),ZeroCompFreq,'PDH Calc'!$K380/365)</f>
        <v>1</v>
      </c>
      <c r="W380" s="8">
        <f ca="1">_xll.HLV5r3.Analytics.Miscellaneous.Zero2DF(_xll.HLV5r3.Analytics.Miscellaneous.LinearInterp(Peturbed_QZ,$K380,1,W$1),ZeroCompFreq,'PDH Calc'!$K380/365)</f>
        <v>1</v>
      </c>
      <c r="X380" s="8">
        <f ca="1">_xll.HLV5r3.Analytics.Miscellaneous.Zero2DF(_xll.HLV5r3.Analytics.Miscellaneous.LinearInterp(Peturbed_QZ,$K380,1,X$1),ZeroCompFreq,'PDH Calc'!$K380/365)</f>
        <v>1</v>
      </c>
      <c r="Y380" s="8">
        <f ca="1">_xll.HLV5r3.Analytics.Miscellaneous.Zero2DF(_xll.HLV5r3.Analytics.Miscellaneous.LinearInterp(Peturbed_QZ,$K380,1,Y$1),ZeroCompFreq,'PDH Calc'!$K380/365)</f>
        <v>1</v>
      </c>
      <c r="Z380" s="8">
        <f ca="1">_xll.HLV5r3.Analytics.Miscellaneous.Zero2DF(_xll.HLV5r3.Analytics.Miscellaneous.LinearInterp(Peturbed_QZ,$K380,1,Z$1),ZeroCompFreq,'PDH Calc'!$K380/365)</f>
        <v>1</v>
      </c>
      <c r="AA380" s="8">
        <f ca="1">_xll.HLV5r3.Analytics.Miscellaneous.Zero2DF(_xll.HLV5r3.Analytics.Miscellaneous.LinearInterp(Peturbed_QZ,$K380,1,AA$1),ZeroCompFreq,'PDH Calc'!$K380/365)</f>
        <v>1</v>
      </c>
      <c r="AB380" s="8">
        <f ca="1">_xll.HLV5r3.Analytics.Miscellaneous.Zero2DF(_xll.HLV5r3.Analytics.Miscellaneous.LinearInterp(Peturbed_QZ,$K380,1,AB$1),ZeroCompFreq,'PDH Calc'!$K380/365)</f>
        <v>1</v>
      </c>
      <c r="AC380" s="8">
        <f ca="1">_xll.HLV5r3.Analytics.Miscellaneous.Zero2DF(_xll.HLV5r3.Analytics.Miscellaneous.LinearInterp(Peturbed_QZ,$K380,1,AC$1),ZeroCompFreq,'PDH Calc'!$K380/365)</f>
        <v>1</v>
      </c>
      <c r="AD380" s="8">
        <f ca="1">_xll.HLV5r3.Analytics.Miscellaneous.Zero2DF(_xll.HLV5r3.Analytics.Miscellaneous.LinearInterp(Peturbed_QZ,$K380,1,AD$1),ZeroCompFreq,'PDH Calc'!$K380/365)</f>
        <v>1</v>
      </c>
      <c r="AE380" s="8">
        <f ca="1">_xll.HLV5r3.Analytics.Miscellaneous.Zero2DF(_xll.HLV5r3.Analytics.Miscellaneous.LinearInterp(Peturbed_QZ,$K380,1,AE$1),ZeroCompFreq,'PDH Calc'!$K380/365)</f>
        <v>1</v>
      </c>
      <c r="AF380" s="8">
        <f ca="1">_xll.HLV5r3.Analytics.Miscellaneous.Zero2DF(_xll.HLV5r3.Analytics.Miscellaneous.LinearInterp(Peturbed_QZ,$K380,1,AF$1),ZeroCompFreq,'PDH Calc'!$K380/365)</f>
        <v>1</v>
      </c>
      <c r="AG380" s="8">
        <f ca="1">_xll.HLV5r3.Analytics.Miscellaneous.Zero2DF(_xll.HLV5r3.Analytics.Miscellaneous.LinearInterp(Peturbed_QZ,$K380,1,AG$1),ZeroCompFreq,'PDH Calc'!$K380/365)</f>
        <v>1</v>
      </c>
      <c r="AH380" s="8">
        <f ca="1">_xll.HLV5r3.Analytics.Miscellaneous.Zero2DF(_xll.HLV5r3.Analytics.Miscellaneous.LinearInterp(Peturbed_QZ,$K380,1,AH$1),ZeroCompFreq,'PDH Calc'!$K380/365)</f>
        <v>1</v>
      </c>
      <c r="AI380" s="8">
        <f ca="1">_xll.HLV5r3.Analytics.Miscellaneous.Zero2DF(_xll.HLV5r3.Analytics.Miscellaneous.LinearInterp(Peturbed_QZ,$K380,1,AI$1),ZeroCompFreq,'PDH Calc'!$K380/365)</f>
        <v>1</v>
      </c>
      <c r="AJ380" s="8">
        <f ca="1">_xll.HLV5r3.Analytics.Miscellaneous.Zero2DF(_xll.HLV5r3.Analytics.Miscellaneous.LinearInterp(Peturbed_QZ,$K380,1,AJ$1),ZeroCompFreq,'PDH Calc'!$K380/365)</f>
        <v>1</v>
      </c>
      <c r="AK380" s="8">
        <f ca="1">_xll.HLV5r3.Analytics.Miscellaneous.Zero2DF(_xll.HLV5r3.Analytics.Miscellaneous.LinearInterp(Peturbed_QZ,$K380,1,AK$1),ZeroCompFreq,'PDH Calc'!$K380/365)</f>
        <v>1</v>
      </c>
    </row>
    <row r="381" spans="1:37">
      <c r="A381" s="4"/>
      <c r="B381" s="6"/>
      <c r="F381" s="11"/>
      <c r="G381" s="6"/>
      <c r="H381" s="20"/>
      <c r="I381" s="21"/>
      <c r="J381" s="26"/>
      <c r="K381" s="6">
        <f t="shared" ca="1" si="12"/>
        <v>0</v>
      </c>
      <c r="L381" s="8">
        <f ca="1">_xll.HLV5r3.Analytics.Miscellaneous.Zero2DF(_xll.HLV5r3.Analytics.Miscellaneous.LinearInterp(Peturbed_QZ,$K381,1,L$1),ZeroCompFreq,'PDH Calc'!$K381/365)</f>
        <v>1</v>
      </c>
      <c r="M381" s="8">
        <f ca="1">_xll.HLV5r3.Analytics.Miscellaneous.Zero2DF(_xll.HLV5r3.Analytics.Miscellaneous.LinearInterp(Peturbed_QZ,$K381,1,M$1),ZeroCompFreq,'PDH Calc'!$K381/365)</f>
        <v>1</v>
      </c>
      <c r="N381" s="8">
        <f ca="1">_xll.HLV5r3.Analytics.Miscellaneous.Zero2DF(_xll.HLV5r3.Analytics.Miscellaneous.LinearInterp(Peturbed_QZ,$K381,1,N$1),ZeroCompFreq,'PDH Calc'!$K381/365)</f>
        <v>1</v>
      </c>
      <c r="O381" s="8">
        <f ca="1">_xll.HLV5r3.Analytics.Miscellaneous.Zero2DF(_xll.HLV5r3.Analytics.Miscellaneous.LinearInterp(Peturbed_QZ,$K381,1,O$1),ZeroCompFreq,'PDH Calc'!$K381/365)</f>
        <v>1</v>
      </c>
      <c r="P381" s="8">
        <f ca="1">_xll.HLV5r3.Analytics.Miscellaneous.Zero2DF(_xll.HLV5r3.Analytics.Miscellaneous.LinearInterp(Peturbed_QZ,$K381,1,P$1),ZeroCompFreq,'PDH Calc'!$K381/365)</f>
        <v>1</v>
      </c>
      <c r="Q381" s="8">
        <f ca="1">_xll.HLV5r3.Analytics.Miscellaneous.Zero2DF(_xll.HLV5r3.Analytics.Miscellaneous.LinearInterp(Peturbed_QZ,$K381,1,Q$1),ZeroCompFreq,'PDH Calc'!$K381/365)</f>
        <v>1</v>
      </c>
      <c r="R381" s="8">
        <f ca="1">_xll.HLV5r3.Analytics.Miscellaneous.Zero2DF(_xll.HLV5r3.Analytics.Miscellaneous.LinearInterp(Peturbed_QZ,$K381,1,R$1),ZeroCompFreq,'PDH Calc'!$K381/365)</f>
        <v>1</v>
      </c>
      <c r="S381" s="8">
        <f ca="1">_xll.HLV5r3.Analytics.Miscellaneous.Zero2DF(_xll.HLV5r3.Analytics.Miscellaneous.LinearInterp(Peturbed_QZ,$K381,1,S$1),ZeroCompFreq,'PDH Calc'!$K381/365)</f>
        <v>1</v>
      </c>
      <c r="T381" s="8">
        <f ca="1">_xll.HLV5r3.Analytics.Miscellaneous.Zero2DF(_xll.HLV5r3.Analytics.Miscellaneous.LinearInterp(Peturbed_QZ,$K381,1,T$1),ZeroCompFreq,'PDH Calc'!$K381/365)</f>
        <v>1</v>
      </c>
      <c r="U381" s="8">
        <f ca="1">_xll.HLV5r3.Analytics.Miscellaneous.Zero2DF(_xll.HLV5r3.Analytics.Miscellaneous.LinearInterp(Peturbed_QZ,$K381,1,U$1),ZeroCompFreq,'PDH Calc'!$K381/365)</f>
        <v>1</v>
      </c>
      <c r="V381" s="8">
        <f ca="1">_xll.HLV5r3.Analytics.Miscellaneous.Zero2DF(_xll.HLV5r3.Analytics.Miscellaneous.LinearInterp(Peturbed_QZ,$K381,1,V$1),ZeroCompFreq,'PDH Calc'!$K381/365)</f>
        <v>1</v>
      </c>
      <c r="W381" s="8">
        <f ca="1">_xll.HLV5r3.Analytics.Miscellaneous.Zero2DF(_xll.HLV5r3.Analytics.Miscellaneous.LinearInterp(Peturbed_QZ,$K381,1,W$1),ZeroCompFreq,'PDH Calc'!$K381/365)</f>
        <v>1</v>
      </c>
      <c r="X381" s="8">
        <f ca="1">_xll.HLV5r3.Analytics.Miscellaneous.Zero2DF(_xll.HLV5r3.Analytics.Miscellaneous.LinearInterp(Peturbed_QZ,$K381,1,X$1),ZeroCompFreq,'PDH Calc'!$K381/365)</f>
        <v>1</v>
      </c>
      <c r="Y381" s="8">
        <f ca="1">_xll.HLV5r3.Analytics.Miscellaneous.Zero2DF(_xll.HLV5r3.Analytics.Miscellaneous.LinearInterp(Peturbed_QZ,$K381,1,Y$1),ZeroCompFreq,'PDH Calc'!$K381/365)</f>
        <v>1</v>
      </c>
      <c r="Z381" s="8">
        <f ca="1">_xll.HLV5r3.Analytics.Miscellaneous.Zero2DF(_xll.HLV5r3.Analytics.Miscellaneous.LinearInterp(Peturbed_QZ,$K381,1,Z$1),ZeroCompFreq,'PDH Calc'!$K381/365)</f>
        <v>1</v>
      </c>
      <c r="AA381" s="8">
        <f ca="1">_xll.HLV5r3.Analytics.Miscellaneous.Zero2DF(_xll.HLV5r3.Analytics.Miscellaneous.LinearInterp(Peturbed_QZ,$K381,1,AA$1),ZeroCompFreq,'PDH Calc'!$K381/365)</f>
        <v>1</v>
      </c>
      <c r="AB381" s="8">
        <f ca="1">_xll.HLV5r3.Analytics.Miscellaneous.Zero2DF(_xll.HLV5r3.Analytics.Miscellaneous.LinearInterp(Peturbed_QZ,$K381,1,AB$1),ZeroCompFreq,'PDH Calc'!$K381/365)</f>
        <v>1</v>
      </c>
      <c r="AC381" s="8">
        <f ca="1">_xll.HLV5r3.Analytics.Miscellaneous.Zero2DF(_xll.HLV5r3.Analytics.Miscellaneous.LinearInterp(Peturbed_QZ,$K381,1,AC$1),ZeroCompFreq,'PDH Calc'!$K381/365)</f>
        <v>1</v>
      </c>
      <c r="AD381" s="8">
        <f ca="1">_xll.HLV5r3.Analytics.Miscellaneous.Zero2DF(_xll.HLV5r3.Analytics.Miscellaneous.LinearInterp(Peturbed_QZ,$K381,1,AD$1),ZeroCompFreq,'PDH Calc'!$K381/365)</f>
        <v>1</v>
      </c>
      <c r="AE381" s="8">
        <f ca="1">_xll.HLV5r3.Analytics.Miscellaneous.Zero2DF(_xll.HLV5r3.Analytics.Miscellaneous.LinearInterp(Peturbed_QZ,$K381,1,AE$1),ZeroCompFreq,'PDH Calc'!$K381/365)</f>
        <v>1</v>
      </c>
      <c r="AF381" s="8">
        <f ca="1">_xll.HLV5r3.Analytics.Miscellaneous.Zero2DF(_xll.HLV5r3.Analytics.Miscellaneous.LinearInterp(Peturbed_QZ,$K381,1,AF$1),ZeroCompFreq,'PDH Calc'!$K381/365)</f>
        <v>1</v>
      </c>
      <c r="AG381" s="8">
        <f ca="1">_xll.HLV5r3.Analytics.Miscellaneous.Zero2DF(_xll.HLV5r3.Analytics.Miscellaneous.LinearInterp(Peturbed_QZ,$K381,1,AG$1),ZeroCompFreq,'PDH Calc'!$K381/365)</f>
        <v>1</v>
      </c>
      <c r="AH381" s="8">
        <f ca="1">_xll.HLV5r3.Analytics.Miscellaneous.Zero2DF(_xll.HLV5r3.Analytics.Miscellaneous.LinearInterp(Peturbed_QZ,$K381,1,AH$1),ZeroCompFreq,'PDH Calc'!$K381/365)</f>
        <v>1</v>
      </c>
      <c r="AI381" s="8">
        <f ca="1">_xll.HLV5r3.Analytics.Miscellaneous.Zero2DF(_xll.HLV5r3.Analytics.Miscellaneous.LinearInterp(Peturbed_QZ,$K381,1,AI$1),ZeroCompFreq,'PDH Calc'!$K381/365)</f>
        <v>1</v>
      </c>
      <c r="AJ381" s="8">
        <f ca="1">_xll.HLV5r3.Analytics.Miscellaneous.Zero2DF(_xll.HLV5r3.Analytics.Miscellaneous.LinearInterp(Peturbed_QZ,$K381,1,AJ$1),ZeroCompFreq,'PDH Calc'!$K381/365)</f>
        <v>1</v>
      </c>
      <c r="AK381" s="8">
        <f ca="1">_xll.HLV5r3.Analytics.Miscellaneous.Zero2DF(_xll.HLV5r3.Analytics.Miscellaneous.LinearInterp(Peturbed_QZ,$K381,1,AK$1),ZeroCompFreq,'PDH Calc'!$K381/365)</f>
        <v>1</v>
      </c>
    </row>
    <row r="382" spans="1:37">
      <c r="A382" s="4"/>
      <c r="B382" s="6"/>
      <c r="F382" s="11"/>
      <c r="G382" s="6"/>
      <c r="H382" s="20"/>
      <c r="I382" s="21"/>
      <c r="J382" s="26"/>
      <c r="K382" s="6">
        <f t="shared" ca="1" si="12"/>
        <v>0</v>
      </c>
      <c r="L382" s="8">
        <f ca="1">_xll.HLV5r3.Analytics.Miscellaneous.Zero2DF(_xll.HLV5r3.Analytics.Miscellaneous.LinearInterp(Peturbed_QZ,$K382,1,L$1),ZeroCompFreq,'PDH Calc'!$K382/365)</f>
        <v>1</v>
      </c>
      <c r="M382" s="8">
        <f ca="1">_xll.HLV5r3.Analytics.Miscellaneous.Zero2DF(_xll.HLV5r3.Analytics.Miscellaneous.LinearInterp(Peturbed_QZ,$K382,1,M$1),ZeroCompFreq,'PDH Calc'!$K382/365)</f>
        <v>1</v>
      </c>
      <c r="N382" s="8">
        <f ca="1">_xll.HLV5r3.Analytics.Miscellaneous.Zero2DF(_xll.HLV5r3.Analytics.Miscellaneous.LinearInterp(Peturbed_QZ,$K382,1,N$1),ZeroCompFreq,'PDH Calc'!$K382/365)</f>
        <v>1</v>
      </c>
      <c r="O382" s="8">
        <f ca="1">_xll.HLV5r3.Analytics.Miscellaneous.Zero2DF(_xll.HLV5r3.Analytics.Miscellaneous.LinearInterp(Peturbed_QZ,$K382,1,O$1),ZeroCompFreq,'PDH Calc'!$K382/365)</f>
        <v>1</v>
      </c>
      <c r="P382" s="8">
        <f ca="1">_xll.HLV5r3.Analytics.Miscellaneous.Zero2DF(_xll.HLV5r3.Analytics.Miscellaneous.LinearInterp(Peturbed_QZ,$K382,1,P$1),ZeroCompFreq,'PDH Calc'!$K382/365)</f>
        <v>1</v>
      </c>
      <c r="Q382" s="8">
        <f ca="1">_xll.HLV5r3.Analytics.Miscellaneous.Zero2DF(_xll.HLV5r3.Analytics.Miscellaneous.LinearInterp(Peturbed_QZ,$K382,1,Q$1),ZeroCompFreq,'PDH Calc'!$K382/365)</f>
        <v>1</v>
      </c>
      <c r="R382" s="8">
        <f ca="1">_xll.HLV5r3.Analytics.Miscellaneous.Zero2DF(_xll.HLV5r3.Analytics.Miscellaneous.LinearInterp(Peturbed_QZ,$K382,1,R$1),ZeroCompFreq,'PDH Calc'!$K382/365)</f>
        <v>1</v>
      </c>
      <c r="S382" s="8">
        <f ca="1">_xll.HLV5r3.Analytics.Miscellaneous.Zero2DF(_xll.HLV5r3.Analytics.Miscellaneous.LinearInterp(Peturbed_QZ,$K382,1,S$1),ZeroCompFreq,'PDH Calc'!$K382/365)</f>
        <v>1</v>
      </c>
      <c r="T382" s="8">
        <f ca="1">_xll.HLV5r3.Analytics.Miscellaneous.Zero2DF(_xll.HLV5r3.Analytics.Miscellaneous.LinearInterp(Peturbed_QZ,$K382,1,T$1),ZeroCompFreq,'PDH Calc'!$K382/365)</f>
        <v>1</v>
      </c>
      <c r="U382" s="8">
        <f ca="1">_xll.HLV5r3.Analytics.Miscellaneous.Zero2DF(_xll.HLV5r3.Analytics.Miscellaneous.LinearInterp(Peturbed_QZ,$K382,1,U$1),ZeroCompFreq,'PDH Calc'!$K382/365)</f>
        <v>1</v>
      </c>
      <c r="V382" s="8">
        <f ca="1">_xll.HLV5r3.Analytics.Miscellaneous.Zero2DF(_xll.HLV5r3.Analytics.Miscellaneous.LinearInterp(Peturbed_QZ,$K382,1,V$1),ZeroCompFreq,'PDH Calc'!$K382/365)</f>
        <v>1</v>
      </c>
      <c r="W382" s="8">
        <f ca="1">_xll.HLV5r3.Analytics.Miscellaneous.Zero2DF(_xll.HLV5r3.Analytics.Miscellaneous.LinearInterp(Peturbed_QZ,$K382,1,W$1),ZeroCompFreq,'PDH Calc'!$K382/365)</f>
        <v>1</v>
      </c>
      <c r="X382" s="8">
        <f ca="1">_xll.HLV5r3.Analytics.Miscellaneous.Zero2DF(_xll.HLV5r3.Analytics.Miscellaneous.LinearInterp(Peturbed_QZ,$K382,1,X$1),ZeroCompFreq,'PDH Calc'!$K382/365)</f>
        <v>1</v>
      </c>
      <c r="Y382" s="8">
        <f ca="1">_xll.HLV5r3.Analytics.Miscellaneous.Zero2DF(_xll.HLV5r3.Analytics.Miscellaneous.LinearInterp(Peturbed_QZ,$K382,1,Y$1),ZeroCompFreq,'PDH Calc'!$K382/365)</f>
        <v>1</v>
      </c>
      <c r="Z382" s="8">
        <f ca="1">_xll.HLV5r3.Analytics.Miscellaneous.Zero2DF(_xll.HLV5r3.Analytics.Miscellaneous.LinearInterp(Peturbed_QZ,$K382,1,Z$1),ZeroCompFreq,'PDH Calc'!$K382/365)</f>
        <v>1</v>
      </c>
      <c r="AA382" s="8">
        <f ca="1">_xll.HLV5r3.Analytics.Miscellaneous.Zero2DF(_xll.HLV5r3.Analytics.Miscellaneous.LinearInterp(Peturbed_QZ,$K382,1,AA$1),ZeroCompFreq,'PDH Calc'!$K382/365)</f>
        <v>1</v>
      </c>
      <c r="AB382" s="8">
        <f ca="1">_xll.HLV5r3.Analytics.Miscellaneous.Zero2DF(_xll.HLV5r3.Analytics.Miscellaneous.LinearInterp(Peturbed_QZ,$K382,1,AB$1),ZeroCompFreq,'PDH Calc'!$K382/365)</f>
        <v>1</v>
      </c>
      <c r="AC382" s="8">
        <f ca="1">_xll.HLV5r3.Analytics.Miscellaneous.Zero2DF(_xll.HLV5r3.Analytics.Miscellaneous.LinearInterp(Peturbed_QZ,$K382,1,AC$1),ZeroCompFreq,'PDH Calc'!$K382/365)</f>
        <v>1</v>
      </c>
      <c r="AD382" s="8">
        <f ca="1">_xll.HLV5r3.Analytics.Miscellaneous.Zero2DF(_xll.HLV5r3.Analytics.Miscellaneous.LinearInterp(Peturbed_QZ,$K382,1,AD$1),ZeroCompFreq,'PDH Calc'!$K382/365)</f>
        <v>1</v>
      </c>
      <c r="AE382" s="8">
        <f ca="1">_xll.HLV5r3.Analytics.Miscellaneous.Zero2DF(_xll.HLV5r3.Analytics.Miscellaneous.LinearInterp(Peturbed_QZ,$K382,1,AE$1),ZeroCompFreq,'PDH Calc'!$K382/365)</f>
        <v>1</v>
      </c>
      <c r="AF382" s="8">
        <f ca="1">_xll.HLV5r3.Analytics.Miscellaneous.Zero2DF(_xll.HLV5r3.Analytics.Miscellaneous.LinearInterp(Peturbed_QZ,$K382,1,AF$1),ZeroCompFreq,'PDH Calc'!$K382/365)</f>
        <v>1</v>
      </c>
      <c r="AG382" s="8">
        <f ca="1">_xll.HLV5r3.Analytics.Miscellaneous.Zero2DF(_xll.HLV5r3.Analytics.Miscellaneous.LinearInterp(Peturbed_QZ,$K382,1,AG$1),ZeroCompFreq,'PDH Calc'!$K382/365)</f>
        <v>1</v>
      </c>
      <c r="AH382" s="8">
        <f ca="1">_xll.HLV5r3.Analytics.Miscellaneous.Zero2DF(_xll.HLV5r3.Analytics.Miscellaneous.LinearInterp(Peturbed_QZ,$K382,1,AH$1),ZeroCompFreq,'PDH Calc'!$K382/365)</f>
        <v>1</v>
      </c>
      <c r="AI382" s="8">
        <f ca="1">_xll.HLV5r3.Analytics.Miscellaneous.Zero2DF(_xll.HLV5r3.Analytics.Miscellaneous.LinearInterp(Peturbed_QZ,$K382,1,AI$1),ZeroCompFreq,'PDH Calc'!$K382/365)</f>
        <v>1</v>
      </c>
      <c r="AJ382" s="8">
        <f ca="1">_xll.HLV5r3.Analytics.Miscellaneous.Zero2DF(_xll.HLV5r3.Analytics.Miscellaneous.LinearInterp(Peturbed_QZ,$K382,1,AJ$1),ZeroCompFreq,'PDH Calc'!$K382/365)</f>
        <v>1</v>
      </c>
      <c r="AK382" s="8">
        <f ca="1">_xll.HLV5r3.Analytics.Miscellaneous.Zero2DF(_xll.HLV5r3.Analytics.Miscellaneous.LinearInterp(Peturbed_QZ,$K382,1,AK$1),ZeroCompFreq,'PDH Calc'!$K382/365)</f>
        <v>1</v>
      </c>
    </row>
    <row r="383" spans="1:37">
      <c r="A383" s="4"/>
      <c r="B383" s="6"/>
      <c r="F383" s="11"/>
      <c r="G383" s="6"/>
      <c r="H383" s="20"/>
      <c r="I383" s="21"/>
      <c r="J383" s="26"/>
      <c r="K383" s="6">
        <f t="shared" ca="1" si="12"/>
        <v>0</v>
      </c>
      <c r="L383" s="8">
        <f ca="1">_xll.HLV5r3.Analytics.Miscellaneous.Zero2DF(_xll.HLV5r3.Analytics.Miscellaneous.LinearInterp(Peturbed_QZ,$K383,1,L$1),ZeroCompFreq,'PDH Calc'!$K383/365)</f>
        <v>1</v>
      </c>
      <c r="M383" s="8">
        <f ca="1">_xll.HLV5r3.Analytics.Miscellaneous.Zero2DF(_xll.HLV5r3.Analytics.Miscellaneous.LinearInterp(Peturbed_QZ,$K383,1,M$1),ZeroCompFreq,'PDH Calc'!$K383/365)</f>
        <v>1</v>
      </c>
      <c r="N383" s="8">
        <f ca="1">_xll.HLV5r3.Analytics.Miscellaneous.Zero2DF(_xll.HLV5r3.Analytics.Miscellaneous.LinearInterp(Peturbed_QZ,$K383,1,N$1),ZeroCompFreq,'PDH Calc'!$K383/365)</f>
        <v>1</v>
      </c>
      <c r="O383" s="8">
        <f ca="1">_xll.HLV5r3.Analytics.Miscellaneous.Zero2DF(_xll.HLV5r3.Analytics.Miscellaneous.LinearInterp(Peturbed_QZ,$K383,1,O$1),ZeroCompFreq,'PDH Calc'!$K383/365)</f>
        <v>1</v>
      </c>
      <c r="P383" s="8">
        <f ca="1">_xll.HLV5r3.Analytics.Miscellaneous.Zero2DF(_xll.HLV5r3.Analytics.Miscellaneous.LinearInterp(Peturbed_QZ,$K383,1,P$1),ZeroCompFreq,'PDH Calc'!$K383/365)</f>
        <v>1</v>
      </c>
      <c r="Q383" s="8">
        <f ca="1">_xll.HLV5r3.Analytics.Miscellaneous.Zero2DF(_xll.HLV5r3.Analytics.Miscellaneous.LinearInterp(Peturbed_QZ,$K383,1,Q$1),ZeroCompFreq,'PDH Calc'!$K383/365)</f>
        <v>1</v>
      </c>
      <c r="R383" s="8">
        <f ca="1">_xll.HLV5r3.Analytics.Miscellaneous.Zero2DF(_xll.HLV5r3.Analytics.Miscellaneous.LinearInterp(Peturbed_QZ,$K383,1,R$1),ZeroCompFreq,'PDH Calc'!$K383/365)</f>
        <v>1</v>
      </c>
      <c r="S383" s="8">
        <f ca="1">_xll.HLV5r3.Analytics.Miscellaneous.Zero2DF(_xll.HLV5r3.Analytics.Miscellaneous.LinearInterp(Peturbed_QZ,$K383,1,S$1),ZeroCompFreq,'PDH Calc'!$K383/365)</f>
        <v>1</v>
      </c>
      <c r="T383" s="8">
        <f ca="1">_xll.HLV5r3.Analytics.Miscellaneous.Zero2DF(_xll.HLV5r3.Analytics.Miscellaneous.LinearInterp(Peturbed_QZ,$K383,1,T$1),ZeroCompFreq,'PDH Calc'!$K383/365)</f>
        <v>1</v>
      </c>
      <c r="U383" s="8">
        <f ca="1">_xll.HLV5r3.Analytics.Miscellaneous.Zero2DF(_xll.HLV5r3.Analytics.Miscellaneous.LinearInterp(Peturbed_QZ,$K383,1,U$1),ZeroCompFreq,'PDH Calc'!$K383/365)</f>
        <v>1</v>
      </c>
      <c r="V383" s="8">
        <f ca="1">_xll.HLV5r3.Analytics.Miscellaneous.Zero2DF(_xll.HLV5r3.Analytics.Miscellaneous.LinearInterp(Peturbed_QZ,$K383,1,V$1),ZeroCompFreq,'PDH Calc'!$K383/365)</f>
        <v>1</v>
      </c>
      <c r="W383" s="8">
        <f ca="1">_xll.HLV5r3.Analytics.Miscellaneous.Zero2DF(_xll.HLV5r3.Analytics.Miscellaneous.LinearInterp(Peturbed_QZ,$K383,1,W$1),ZeroCompFreq,'PDH Calc'!$K383/365)</f>
        <v>1</v>
      </c>
      <c r="X383" s="8">
        <f ca="1">_xll.HLV5r3.Analytics.Miscellaneous.Zero2DF(_xll.HLV5r3.Analytics.Miscellaneous.LinearInterp(Peturbed_QZ,$K383,1,X$1),ZeroCompFreq,'PDH Calc'!$K383/365)</f>
        <v>1</v>
      </c>
      <c r="Y383" s="8">
        <f ca="1">_xll.HLV5r3.Analytics.Miscellaneous.Zero2DF(_xll.HLV5r3.Analytics.Miscellaneous.LinearInterp(Peturbed_QZ,$K383,1,Y$1),ZeroCompFreq,'PDH Calc'!$K383/365)</f>
        <v>1</v>
      </c>
      <c r="Z383" s="8">
        <f ca="1">_xll.HLV5r3.Analytics.Miscellaneous.Zero2DF(_xll.HLV5r3.Analytics.Miscellaneous.LinearInterp(Peturbed_QZ,$K383,1,Z$1),ZeroCompFreq,'PDH Calc'!$K383/365)</f>
        <v>1</v>
      </c>
      <c r="AA383" s="8">
        <f ca="1">_xll.HLV5r3.Analytics.Miscellaneous.Zero2DF(_xll.HLV5r3.Analytics.Miscellaneous.LinearInterp(Peturbed_QZ,$K383,1,AA$1),ZeroCompFreq,'PDH Calc'!$K383/365)</f>
        <v>1</v>
      </c>
      <c r="AB383" s="8">
        <f ca="1">_xll.HLV5r3.Analytics.Miscellaneous.Zero2DF(_xll.HLV5r3.Analytics.Miscellaneous.LinearInterp(Peturbed_QZ,$K383,1,AB$1),ZeroCompFreq,'PDH Calc'!$K383/365)</f>
        <v>1</v>
      </c>
      <c r="AC383" s="8">
        <f ca="1">_xll.HLV5r3.Analytics.Miscellaneous.Zero2DF(_xll.HLV5r3.Analytics.Miscellaneous.LinearInterp(Peturbed_QZ,$K383,1,AC$1),ZeroCompFreq,'PDH Calc'!$K383/365)</f>
        <v>1</v>
      </c>
      <c r="AD383" s="8">
        <f ca="1">_xll.HLV5r3.Analytics.Miscellaneous.Zero2DF(_xll.HLV5r3.Analytics.Miscellaneous.LinearInterp(Peturbed_QZ,$K383,1,AD$1),ZeroCompFreq,'PDH Calc'!$K383/365)</f>
        <v>1</v>
      </c>
      <c r="AE383" s="8">
        <f ca="1">_xll.HLV5r3.Analytics.Miscellaneous.Zero2DF(_xll.HLV5r3.Analytics.Miscellaneous.LinearInterp(Peturbed_QZ,$K383,1,AE$1),ZeroCompFreq,'PDH Calc'!$K383/365)</f>
        <v>1</v>
      </c>
      <c r="AF383" s="8">
        <f ca="1">_xll.HLV5r3.Analytics.Miscellaneous.Zero2DF(_xll.HLV5r3.Analytics.Miscellaneous.LinearInterp(Peturbed_QZ,$K383,1,AF$1),ZeroCompFreq,'PDH Calc'!$K383/365)</f>
        <v>1</v>
      </c>
      <c r="AG383" s="8">
        <f ca="1">_xll.HLV5r3.Analytics.Miscellaneous.Zero2DF(_xll.HLV5r3.Analytics.Miscellaneous.LinearInterp(Peturbed_QZ,$K383,1,AG$1),ZeroCompFreq,'PDH Calc'!$K383/365)</f>
        <v>1</v>
      </c>
      <c r="AH383" s="8">
        <f ca="1">_xll.HLV5r3.Analytics.Miscellaneous.Zero2DF(_xll.HLV5r3.Analytics.Miscellaneous.LinearInterp(Peturbed_QZ,$K383,1,AH$1),ZeroCompFreq,'PDH Calc'!$K383/365)</f>
        <v>1</v>
      </c>
      <c r="AI383" s="8">
        <f ca="1">_xll.HLV5r3.Analytics.Miscellaneous.Zero2DF(_xll.HLV5r3.Analytics.Miscellaneous.LinearInterp(Peturbed_QZ,$K383,1,AI$1),ZeroCompFreq,'PDH Calc'!$K383/365)</f>
        <v>1</v>
      </c>
      <c r="AJ383" s="8">
        <f ca="1">_xll.HLV5r3.Analytics.Miscellaneous.Zero2DF(_xll.HLV5r3.Analytics.Miscellaneous.LinearInterp(Peturbed_QZ,$K383,1,AJ$1),ZeroCompFreq,'PDH Calc'!$K383/365)</f>
        <v>1</v>
      </c>
      <c r="AK383" s="8">
        <f ca="1">_xll.HLV5r3.Analytics.Miscellaneous.Zero2DF(_xll.HLV5r3.Analytics.Miscellaneous.LinearInterp(Peturbed_QZ,$K383,1,AK$1),ZeroCompFreq,'PDH Calc'!$K383/365)</f>
        <v>1</v>
      </c>
    </row>
    <row r="384" spans="1:37">
      <c r="A384" s="4"/>
      <c r="B384" s="6"/>
      <c r="F384" s="11"/>
      <c r="G384" s="6"/>
      <c r="H384" s="20"/>
      <c r="I384" s="21"/>
      <c r="J384" s="26"/>
      <c r="K384" s="6">
        <f t="shared" ca="1" si="12"/>
        <v>0</v>
      </c>
      <c r="L384" s="8">
        <f ca="1">_xll.HLV5r3.Analytics.Miscellaneous.Zero2DF(_xll.HLV5r3.Analytics.Miscellaneous.LinearInterp(Peturbed_QZ,$K384,1,L$1),ZeroCompFreq,'PDH Calc'!$K384/365)</f>
        <v>1</v>
      </c>
      <c r="M384" s="8">
        <f ca="1">_xll.HLV5r3.Analytics.Miscellaneous.Zero2DF(_xll.HLV5r3.Analytics.Miscellaneous.LinearInterp(Peturbed_QZ,$K384,1,M$1),ZeroCompFreq,'PDH Calc'!$K384/365)</f>
        <v>1</v>
      </c>
      <c r="N384" s="8">
        <f ca="1">_xll.HLV5r3.Analytics.Miscellaneous.Zero2DF(_xll.HLV5r3.Analytics.Miscellaneous.LinearInterp(Peturbed_QZ,$K384,1,N$1),ZeroCompFreq,'PDH Calc'!$K384/365)</f>
        <v>1</v>
      </c>
      <c r="O384" s="8">
        <f ca="1">_xll.HLV5r3.Analytics.Miscellaneous.Zero2DF(_xll.HLV5r3.Analytics.Miscellaneous.LinearInterp(Peturbed_QZ,$K384,1,O$1),ZeroCompFreq,'PDH Calc'!$K384/365)</f>
        <v>1</v>
      </c>
      <c r="P384" s="8">
        <f ca="1">_xll.HLV5r3.Analytics.Miscellaneous.Zero2DF(_xll.HLV5r3.Analytics.Miscellaneous.LinearInterp(Peturbed_QZ,$K384,1,P$1),ZeroCompFreq,'PDH Calc'!$K384/365)</f>
        <v>1</v>
      </c>
      <c r="Q384" s="8">
        <f ca="1">_xll.HLV5r3.Analytics.Miscellaneous.Zero2DF(_xll.HLV5r3.Analytics.Miscellaneous.LinearInterp(Peturbed_QZ,$K384,1,Q$1),ZeroCompFreq,'PDH Calc'!$K384/365)</f>
        <v>1</v>
      </c>
      <c r="R384" s="8">
        <f ca="1">_xll.HLV5r3.Analytics.Miscellaneous.Zero2DF(_xll.HLV5r3.Analytics.Miscellaneous.LinearInterp(Peturbed_QZ,$K384,1,R$1),ZeroCompFreq,'PDH Calc'!$K384/365)</f>
        <v>1</v>
      </c>
      <c r="S384" s="8">
        <f ca="1">_xll.HLV5r3.Analytics.Miscellaneous.Zero2DF(_xll.HLV5r3.Analytics.Miscellaneous.LinearInterp(Peturbed_QZ,$K384,1,S$1),ZeroCompFreq,'PDH Calc'!$K384/365)</f>
        <v>1</v>
      </c>
      <c r="T384" s="8">
        <f ca="1">_xll.HLV5r3.Analytics.Miscellaneous.Zero2DF(_xll.HLV5r3.Analytics.Miscellaneous.LinearInterp(Peturbed_QZ,$K384,1,T$1),ZeroCompFreq,'PDH Calc'!$K384/365)</f>
        <v>1</v>
      </c>
      <c r="U384" s="8">
        <f ca="1">_xll.HLV5r3.Analytics.Miscellaneous.Zero2DF(_xll.HLV5r3.Analytics.Miscellaneous.LinearInterp(Peturbed_QZ,$K384,1,U$1),ZeroCompFreq,'PDH Calc'!$K384/365)</f>
        <v>1</v>
      </c>
      <c r="V384" s="8">
        <f ca="1">_xll.HLV5r3.Analytics.Miscellaneous.Zero2DF(_xll.HLV5r3.Analytics.Miscellaneous.LinearInterp(Peturbed_QZ,$K384,1,V$1),ZeroCompFreq,'PDH Calc'!$K384/365)</f>
        <v>1</v>
      </c>
      <c r="W384" s="8">
        <f ca="1">_xll.HLV5r3.Analytics.Miscellaneous.Zero2DF(_xll.HLV5r3.Analytics.Miscellaneous.LinearInterp(Peturbed_QZ,$K384,1,W$1),ZeroCompFreq,'PDH Calc'!$K384/365)</f>
        <v>1</v>
      </c>
      <c r="X384" s="8">
        <f ca="1">_xll.HLV5r3.Analytics.Miscellaneous.Zero2DF(_xll.HLV5r3.Analytics.Miscellaneous.LinearInterp(Peturbed_QZ,$K384,1,X$1),ZeroCompFreq,'PDH Calc'!$K384/365)</f>
        <v>1</v>
      </c>
      <c r="Y384" s="8">
        <f ca="1">_xll.HLV5r3.Analytics.Miscellaneous.Zero2DF(_xll.HLV5r3.Analytics.Miscellaneous.LinearInterp(Peturbed_QZ,$K384,1,Y$1),ZeroCompFreq,'PDH Calc'!$K384/365)</f>
        <v>1</v>
      </c>
      <c r="Z384" s="8">
        <f ca="1">_xll.HLV5r3.Analytics.Miscellaneous.Zero2DF(_xll.HLV5r3.Analytics.Miscellaneous.LinearInterp(Peturbed_QZ,$K384,1,Z$1),ZeroCompFreq,'PDH Calc'!$K384/365)</f>
        <v>1</v>
      </c>
      <c r="AA384" s="8">
        <f ca="1">_xll.HLV5r3.Analytics.Miscellaneous.Zero2DF(_xll.HLV5r3.Analytics.Miscellaneous.LinearInterp(Peturbed_QZ,$K384,1,AA$1),ZeroCompFreq,'PDH Calc'!$K384/365)</f>
        <v>1</v>
      </c>
      <c r="AB384" s="8">
        <f ca="1">_xll.HLV5r3.Analytics.Miscellaneous.Zero2DF(_xll.HLV5r3.Analytics.Miscellaneous.LinearInterp(Peturbed_QZ,$K384,1,AB$1),ZeroCompFreq,'PDH Calc'!$K384/365)</f>
        <v>1</v>
      </c>
      <c r="AC384" s="8">
        <f ca="1">_xll.HLV5r3.Analytics.Miscellaneous.Zero2DF(_xll.HLV5r3.Analytics.Miscellaneous.LinearInterp(Peturbed_QZ,$K384,1,AC$1),ZeroCompFreq,'PDH Calc'!$K384/365)</f>
        <v>1</v>
      </c>
      <c r="AD384" s="8">
        <f ca="1">_xll.HLV5r3.Analytics.Miscellaneous.Zero2DF(_xll.HLV5r3.Analytics.Miscellaneous.LinearInterp(Peturbed_QZ,$K384,1,AD$1),ZeroCompFreq,'PDH Calc'!$K384/365)</f>
        <v>1</v>
      </c>
      <c r="AE384" s="8">
        <f ca="1">_xll.HLV5r3.Analytics.Miscellaneous.Zero2DF(_xll.HLV5r3.Analytics.Miscellaneous.LinearInterp(Peturbed_QZ,$K384,1,AE$1),ZeroCompFreq,'PDH Calc'!$K384/365)</f>
        <v>1</v>
      </c>
      <c r="AF384" s="8">
        <f ca="1">_xll.HLV5r3.Analytics.Miscellaneous.Zero2DF(_xll.HLV5r3.Analytics.Miscellaneous.LinearInterp(Peturbed_QZ,$K384,1,AF$1),ZeroCompFreq,'PDH Calc'!$K384/365)</f>
        <v>1</v>
      </c>
      <c r="AG384" s="8">
        <f ca="1">_xll.HLV5r3.Analytics.Miscellaneous.Zero2DF(_xll.HLV5r3.Analytics.Miscellaneous.LinearInterp(Peturbed_QZ,$K384,1,AG$1),ZeroCompFreq,'PDH Calc'!$K384/365)</f>
        <v>1</v>
      </c>
      <c r="AH384" s="8">
        <f ca="1">_xll.HLV5r3.Analytics.Miscellaneous.Zero2DF(_xll.HLV5r3.Analytics.Miscellaneous.LinearInterp(Peturbed_QZ,$K384,1,AH$1),ZeroCompFreq,'PDH Calc'!$K384/365)</f>
        <v>1</v>
      </c>
      <c r="AI384" s="8">
        <f ca="1">_xll.HLV5r3.Analytics.Miscellaneous.Zero2DF(_xll.HLV5r3.Analytics.Miscellaneous.LinearInterp(Peturbed_QZ,$K384,1,AI$1),ZeroCompFreq,'PDH Calc'!$K384/365)</f>
        <v>1</v>
      </c>
      <c r="AJ384" s="8">
        <f ca="1">_xll.HLV5r3.Analytics.Miscellaneous.Zero2DF(_xll.HLV5r3.Analytics.Miscellaneous.LinearInterp(Peturbed_QZ,$K384,1,AJ$1),ZeroCompFreq,'PDH Calc'!$K384/365)</f>
        <v>1</v>
      </c>
      <c r="AK384" s="8">
        <f ca="1">_xll.HLV5r3.Analytics.Miscellaneous.Zero2DF(_xll.HLV5r3.Analytics.Miscellaneous.LinearInterp(Peturbed_QZ,$K384,1,AK$1),ZeroCompFreq,'PDH Calc'!$K384/365)</f>
        <v>1</v>
      </c>
    </row>
    <row r="385" spans="1:37">
      <c r="A385" s="4"/>
      <c r="B385" s="6"/>
      <c r="F385" s="11"/>
      <c r="G385" s="6"/>
      <c r="H385" s="20"/>
      <c r="I385" s="21"/>
      <c r="J385" s="26"/>
      <c r="K385" s="6">
        <f t="shared" ca="1" si="12"/>
        <v>0</v>
      </c>
      <c r="L385" s="8">
        <f ca="1">_xll.HLV5r3.Analytics.Miscellaneous.Zero2DF(_xll.HLV5r3.Analytics.Miscellaneous.LinearInterp(Peturbed_QZ,$K385,1,L$1),ZeroCompFreq,'PDH Calc'!$K385/365)</f>
        <v>1</v>
      </c>
      <c r="M385" s="8">
        <f ca="1">_xll.HLV5r3.Analytics.Miscellaneous.Zero2DF(_xll.HLV5r3.Analytics.Miscellaneous.LinearInterp(Peturbed_QZ,$K385,1,M$1),ZeroCompFreq,'PDH Calc'!$K385/365)</f>
        <v>1</v>
      </c>
      <c r="N385" s="8">
        <f ca="1">_xll.HLV5r3.Analytics.Miscellaneous.Zero2DF(_xll.HLV5r3.Analytics.Miscellaneous.LinearInterp(Peturbed_QZ,$K385,1,N$1),ZeroCompFreq,'PDH Calc'!$K385/365)</f>
        <v>1</v>
      </c>
      <c r="O385" s="8">
        <f ca="1">_xll.HLV5r3.Analytics.Miscellaneous.Zero2DF(_xll.HLV5r3.Analytics.Miscellaneous.LinearInterp(Peturbed_QZ,$K385,1,O$1),ZeroCompFreq,'PDH Calc'!$K385/365)</f>
        <v>1</v>
      </c>
      <c r="P385" s="8">
        <f ca="1">_xll.HLV5r3.Analytics.Miscellaneous.Zero2DF(_xll.HLV5r3.Analytics.Miscellaneous.LinearInterp(Peturbed_QZ,$K385,1,P$1),ZeroCompFreq,'PDH Calc'!$K385/365)</f>
        <v>1</v>
      </c>
      <c r="Q385" s="8">
        <f ca="1">_xll.HLV5r3.Analytics.Miscellaneous.Zero2DF(_xll.HLV5r3.Analytics.Miscellaneous.LinearInterp(Peturbed_QZ,$K385,1,Q$1),ZeroCompFreq,'PDH Calc'!$K385/365)</f>
        <v>1</v>
      </c>
      <c r="R385" s="8">
        <f ca="1">_xll.HLV5r3.Analytics.Miscellaneous.Zero2DF(_xll.HLV5r3.Analytics.Miscellaneous.LinearInterp(Peturbed_QZ,$K385,1,R$1),ZeroCompFreq,'PDH Calc'!$K385/365)</f>
        <v>1</v>
      </c>
      <c r="S385" s="8">
        <f ca="1">_xll.HLV5r3.Analytics.Miscellaneous.Zero2DF(_xll.HLV5r3.Analytics.Miscellaneous.LinearInterp(Peturbed_QZ,$K385,1,S$1),ZeroCompFreq,'PDH Calc'!$K385/365)</f>
        <v>1</v>
      </c>
      <c r="T385" s="8">
        <f ca="1">_xll.HLV5r3.Analytics.Miscellaneous.Zero2DF(_xll.HLV5r3.Analytics.Miscellaneous.LinearInterp(Peturbed_QZ,$K385,1,T$1),ZeroCompFreq,'PDH Calc'!$K385/365)</f>
        <v>1</v>
      </c>
      <c r="U385" s="8">
        <f ca="1">_xll.HLV5r3.Analytics.Miscellaneous.Zero2DF(_xll.HLV5r3.Analytics.Miscellaneous.LinearInterp(Peturbed_QZ,$K385,1,U$1),ZeroCompFreq,'PDH Calc'!$K385/365)</f>
        <v>1</v>
      </c>
      <c r="V385" s="8">
        <f ca="1">_xll.HLV5r3.Analytics.Miscellaneous.Zero2DF(_xll.HLV5r3.Analytics.Miscellaneous.LinearInterp(Peturbed_QZ,$K385,1,V$1),ZeroCompFreq,'PDH Calc'!$K385/365)</f>
        <v>1</v>
      </c>
      <c r="W385" s="8">
        <f ca="1">_xll.HLV5r3.Analytics.Miscellaneous.Zero2DF(_xll.HLV5r3.Analytics.Miscellaneous.LinearInterp(Peturbed_QZ,$K385,1,W$1),ZeroCompFreq,'PDH Calc'!$K385/365)</f>
        <v>1</v>
      </c>
      <c r="X385" s="8">
        <f ca="1">_xll.HLV5r3.Analytics.Miscellaneous.Zero2DF(_xll.HLV5r3.Analytics.Miscellaneous.LinearInterp(Peturbed_QZ,$K385,1,X$1),ZeroCompFreq,'PDH Calc'!$K385/365)</f>
        <v>1</v>
      </c>
      <c r="Y385" s="8">
        <f ca="1">_xll.HLV5r3.Analytics.Miscellaneous.Zero2DF(_xll.HLV5r3.Analytics.Miscellaneous.LinearInterp(Peturbed_QZ,$K385,1,Y$1),ZeroCompFreq,'PDH Calc'!$K385/365)</f>
        <v>1</v>
      </c>
      <c r="Z385" s="8">
        <f ca="1">_xll.HLV5r3.Analytics.Miscellaneous.Zero2DF(_xll.HLV5r3.Analytics.Miscellaneous.LinearInterp(Peturbed_QZ,$K385,1,Z$1),ZeroCompFreq,'PDH Calc'!$K385/365)</f>
        <v>1</v>
      </c>
      <c r="AA385" s="8">
        <f ca="1">_xll.HLV5r3.Analytics.Miscellaneous.Zero2DF(_xll.HLV5r3.Analytics.Miscellaneous.LinearInterp(Peturbed_QZ,$K385,1,AA$1),ZeroCompFreq,'PDH Calc'!$K385/365)</f>
        <v>1</v>
      </c>
      <c r="AB385" s="8">
        <f ca="1">_xll.HLV5r3.Analytics.Miscellaneous.Zero2DF(_xll.HLV5r3.Analytics.Miscellaneous.LinearInterp(Peturbed_QZ,$K385,1,AB$1),ZeroCompFreq,'PDH Calc'!$K385/365)</f>
        <v>1</v>
      </c>
      <c r="AC385" s="8">
        <f ca="1">_xll.HLV5r3.Analytics.Miscellaneous.Zero2DF(_xll.HLV5r3.Analytics.Miscellaneous.LinearInterp(Peturbed_QZ,$K385,1,AC$1),ZeroCompFreq,'PDH Calc'!$K385/365)</f>
        <v>1</v>
      </c>
      <c r="AD385" s="8">
        <f ca="1">_xll.HLV5r3.Analytics.Miscellaneous.Zero2DF(_xll.HLV5r3.Analytics.Miscellaneous.LinearInterp(Peturbed_QZ,$K385,1,AD$1),ZeroCompFreq,'PDH Calc'!$K385/365)</f>
        <v>1</v>
      </c>
      <c r="AE385" s="8">
        <f ca="1">_xll.HLV5r3.Analytics.Miscellaneous.Zero2DF(_xll.HLV5r3.Analytics.Miscellaneous.LinearInterp(Peturbed_QZ,$K385,1,AE$1),ZeroCompFreq,'PDH Calc'!$K385/365)</f>
        <v>1</v>
      </c>
      <c r="AF385" s="8">
        <f ca="1">_xll.HLV5r3.Analytics.Miscellaneous.Zero2DF(_xll.HLV5r3.Analytics.Miscellaneous.LinearInterp(Peturbed_QZ,$K385,1,AF$1),ZeroCompFreq,'PDH Calc'!$K385/365)</f>
        <v>1</v>
      </c>
      <c r="AG385" s="8">
        <f ca="1">_xll.HLV5r3.Analytics.Miscellaneous.Zero2DF(_xll.HLV5r3.Analytics.Miscellaneous.LinearInterp(Peturbed_QZ,$K385,1,AG$1),ZeroCompFreq,'PDH Calc'!$K385/365)</f>
        <v>1</v>
      </c>
      <c r="AH385" s="8">
        <f ca="1">_xll.HLV5r3.Analytics.Miscellaneous.Zero2DF(_xll.HLV5r3.Analytics.Miscellaneous.LinearInterp(Peturbed_QZ,$K385,1,AH$1),ZeroCompFreq,'PDH Calc'!$K385/365)</f>
        <v>1</v>
      </c>
      <c r="AI385" s="8">
        <f ca="1">_xll.HLV5r3.Analytics.Miscellaneous.Zero2DF(_xll.HLV5r3.Analytics.Miscellaneous.LinearInterp(Peturbed_QZ,$K385,1,AI$1),ZeroCompFreq,'PDH Calc'!$K385/365)</f>
        <v>1</v>
      </c>
      <c r="AJ385" s="8">
        <f ca="1">_xll.HLV5r3.Analytics.Miscellaneous.Zero2DF(_xll.HLV5r3.Analytics.Miscellaneous.LinearInterp(Peturbed_QZ,$K385,1,AJ$1),ZeroCompFreq,'PDH Calc'!$K385/365)</f>
        <v>1</v>
      </c>
      <c r="AK385" s="8">
        <f ca="1">_xll.HLV5r3.Analytics.Miscellaneous.Zero2DF(_xll.HLV5r3.Analytics.Miscellaneous.LinearInterp(Peturbed_QZ,$K385,1,AK$1),ZeroCompFreq,'PDH Calc'!$K385/365)</f>
        <v>1</v>
      </c>
    </row>
    <row r="386" spans="1:37">
      <c r="A386" s="4"/>
      <c r="B386" s="6"/>
      <c r="F386" s="11"/>
      <c r="G386" s="6"/>
      <c r="H386" s="20"/>
      <c r="I386" s="21"/>
      <c r="J386" s="26"/>
      <c r="K386" s="6">
        <f t="shared" ca="1" si="12"/>
        <v>0</v>
      </c>
      <c r="L386" s="8">
        <f ca="1">_xll.HLV5r3.Analytics.Miscellaneous.Zero2DF(_xll.HLV5r3.Analytics.Miscellaneous.LinearInterp(Peturbed_QZ,$K386,1,L$1),ZeroCompFreq,'PDH Calc'!$K386/365)</f>
        <v>1</v>
      </c>
      <c r="M386" s="8">
        <f ca="1">_xll.HLV5r3.Analytics.Miscellaneous.Zero2DF(_xll.HLV5r3.Analytics.Miscellaneous.LinearInterp(Peturbed_QZ,$K386,1,M$1),ZeroCompFreq,'PDH Calc'!$K386/365)</f>
        <v>1</v>
      </c>
      <c r="N386" s="8">
        <f ca="1">_xll.HLV5r3.Analytics.Miscellaneous.Zero2DF(_xll.HLV5r3.Analytics.Miscellaneous.LinearInterp(Peturbed_QZ,$K386,1,N$1),ZeroCompFreq,'PDH Calc'!$K386/365)</f>
        <v>1</v>
      </c>
      <c r="O386" s="8">
        <f ca="1">_xll.HLV5r3.Analytics.Miscellaneous.Zero2DF(_xll.HLV5r3.Analytics.Miscellaneous.LinearInterp(Peturbed_QZ,$K386,1,O$1),ZeroCompFreq,'PDH Calc'!$K386/365)</f>
        <v>1</v>
      </c>
      <c r="P386" s="8">
        <f ca="1">_xll.HLV5r3.Analytics.Miscellaneous.Zero2DF(_xll.HLV5r3.Analytics.Miscellaneous.LinearInterp(Peturbed_QZ,$K386,1,P$1),ZeroCompFreq,'PDH Calc'!$K386/365)</f>
        <v>1</v>
      </c>
      <c r="Q386" s="8">
        <f ca="1">_xll.HLV5r3.Analytics.Miscellaneous.Zero2DF(_xll.HLV5r3.Analytics.Miscellaneous.LinearInterp(Peturbed_QZ,$K386,1,Q$1),ZeroCompFreq,'PDH Calc'!$K386/365)</f>
        <v>1</v>
      </c>
      <c r="R386" s="8">
        <f ca="1">_xll.HLV5r3.Analytics.Miscellaneous.Zero2DF(_xll.HLV5r3.Analytics.Miscellaneous.LinearInterp(Peturbed_QZ,$K386,1,R$1),ZeroCompFreq,'PDH Calc'!$K386/365)</f>
        <v>1</v>
      </c>
      <c r="S386" s="8">
        <f ca="1">_xll.HLV5r3.Analytics.Miscellaneous.Zero2DF(_xll.HLV5r3.Analytics.Miscellaneous.LinearInterp(Peturbed_QZ,$K386,1,S$1),ZeroCompFreq,'PDH Calc'!$K386/365)</f>
        <v>1</v>
      </c>
      <c r="T386" s="8">
        <f ca="1">_xll.HLV5r3.Analytics.Miscellaneous.Zero2DF(_xll.HLV5r3.Analytics.Miscellaneous.LinearInterp(Peturbed_QZ,$K386,1,T$1),ZeroCompFreq,'PDH Calc'!$K386/365)</f>
        <v>1</v>
      </c>
      <c r="U386" s="8">
        <f ca="1">_xll.HLV5r3.Analytics.Miscellaneous.Zero2DF(_xll.HLV5r3.Analytics.Miscellaneous.LinearInterp(Peturbed_QZ,$K386,1,U$1),ZeroCompFreq,'PDH Calc'!$K386/365)</f>
        <v>1</v>
      </c>
      <c r="V386" s="8">
        <f ca="1">_xll.HLV5r3.Analytics.Miscellaneous.Zero2DF(_xll.HLV5r3.Analytics.Miscellaneous.LinearInterp(Peturbed_QZ,$K386,1,V$1),ZeroCompFreq,'PDH Calc'!$K386/365)</f>
        <v>1</v>
      </c>
      <c r="W386" s="8">
        <f ca="1">_xll.HLV5r3.Analytics.Miscellaneous.Zero2DF(_xll.HLV5r3.Analytics.Miscellaneous.LinearInterp(Peturbed_QZ,$K386,1,W$1),ZeroCompFreq,'PDH Calc'!$K386/365)</f>
        <v>1</v>
      </c>
      <c r="X386" s="8">
        <f ca="1">_xll.HLV5r3.Analytics.Miscellaneous.Zero2DF(_xll.HLV5r3.Analytics.Miscellaneous.LinearInterp(Peturbed_QZ,$K386,1,X$1),ZeroCompFreq,'PDH Calc'!$K386/365)</f>
        <v>1</v>
      </c>
      <c r="Y386" s="8">
        <f ca="1">_xll.HLV5r3.Analytics.Miscellaneous.Zero2DF(_xll.HLV5r3.Analytics.Miscellaneous.LinearInterp(Peturbed_QZ,$K386,1,Y$1),ZeroCompFreq,'PDH Calc'!$K386/365)</f>
        <v>1</v>
      </c>
      <c r="Z386" s="8">
        <f ca="1">_xll.HLV5r3.Analytics.Miscellaneous.Zero2DF(_xll.HLV5r3.Analytics.Miscellaneous.LinearInterp(Peturbed_QZ,$K386,1,Z$1),ZeroCompFreq,'PDH Calc'!$K386/365)</f>
        <v>1</v>
      </c>
      <c r="AA386" s="8">
        <f ca="1">_xll.HLV5r3.Analytics.Miscellaneous.Zero2DF(_xll.HLV5r3.Analytics.Miscellaneous.LinearInterp(Peturbed_QZ,$K386,1,AA$1),ZeroCompFreq,'PDH Calc'!$K386/365)</f>
        <v>1</v>
      </c>
      <c r="AB386" s="8">
        <f ca="1">_xll.HLV5r3.Analytics.Miscellaneous.Zero2DF(_xll.HLV5r3.Analytics.Miscellaneous.LinearInterp(Peturbed_QZ,$K386,1,AB$1),ZeroCompFreq,'PDH Calc'!$K386/365)</f>
        <v>1</v>
      </c>
      <c r="AC386" s="8">
        <f ca="1">_xll.HLV5r3.Analytics.Miscellaneous.Zero2DF(_xll.HLV5r3.Analytics.Miscellaneous.LinearInterp(Peturbed_QZ,$K386,1,AC$1),ZeroCompFreq,'PDH Calc'!$K386/365)</f>
        <v>1</v>
      </c>
      <c r="AD386" s="8">
        <f ca="1">_xll.HLV5r3.Analytics.Miscellaneous.Zero2DF(_xll.HLV5r3.Analytics.Miscellaneous.LinearInterp(Peturbed_QZ,$K386,1,AD$1),ZeroCompFreq,'PDH Calc'!$K386/365)</f>
        <v>1</v>
      </c>
      <c r="AE386" s="8">
        <f ca="1">_xll.HLV5r3.Analytics.Miscellaneous.Zero2DF(_xll.HLV5r3.Analytics.Miscellaneous.LinearInterp(Peturbed_QZ,$K386,1,AE$1),ZeroCompFreq,'PDH Calc'!$K386/365)</f>
        <v>1</v>
      </c>
      <c r="AF386" s="8">
        <f ca="1">_xll.HLV5r3.Analytics.Miscellaneous.Zero2DF(_xll.HLV5r3.Analytics.Miscellaneous.LinearInterp(Peturbed_QZ,$K386,1,AF$1),ZeroCompFreq,'PDH Calc'!$K386/365)</f>
        <v>1</v>
      </c>
      <c r="AG386" s="8">
        <f ca="1">_xll.HLV5r3.Analytics.Miscellaneous.Zero2DF(_xll.HLV5r3.Analytics.Miscellaneous.LinearInterp(Peturbed_QZ,$K386,1,AG$1),ZeroCompFreq,'PDH Calc'!$K386/365)</f>
        <v>1</v>
      </c>
      <c r="AH386" s="8">
        <f ca="1">_xll.HLV5r3.Analytics.Miscellaneous.Zero2DF(_xll.HLV5r3.Analytics.Miscellaneous.LinearInterp(Peturbed_QZ,$K386,1,AH$1),ZeroCompFreq,'PDH Calc'!$K386/365)</f>
        <v>1</v>
      </c>
      <c r="AI386" s="8">
        <f ca="1">_xll.HLV5r3.Analytics.Miscellaneous.Zero2DF(_xll.HLV5r3.Analytics.Miscellaneous.LinearInterp(Peturbed_QZ,$K386,1,AI$1),ZeroCompFreq,'PDH Calc'!$K386/365)</f>
        <v>1</v>
      </c>
      <c r="AJ386" s="8">
        <f ca="1">_xll.HLV5r3.Analytics.Miscellaneous.Zero2DF(_xll.HLV5r3.Analytics.Miscellaneous.LinearInterp(Peturbed_QZ,$K386,1,AJ$1),ZeroCompFreq,'PDH Calc'!$K386/365)</f>
        <v>1</v>
      </c>
      <c r="AK386" s="8">
        <f ca="1">_xll.HLV5r3.Analytics.Miscellaneous.Zero2DF(_xll.HLV5r3.Analytics.Miscellaneous.LinearInterp(Peturbed_QZ,$K386,1,AK$1),ZeroCompFreq,'PDH Calc'!$K386/365)</f>
        <v>1</v>
      </c>
    </row>
    <row r="387" spans="1:37">
      <c r="A387" s="4"/>
      <c r="B387" s="6"/>
      <c r="F387" s="11"/>
      <c r="G387" s="6"/>
      <c r="H387" s="20"/>
      <c r="I387" s="21"/>
      <c r="J387" s="26"/>
      <c r="K387" s="6">
        <f t="shared" ca="1" si="12"/>
        <v>0</v>
      </c>
      <c r="L387" s="8">
        <f ca="1">_xll.HLV5r3.Analytics.Miscellaneous.Zero2DF(_xll.HLV5r3.Analytics.Miscellaneous.LinearInterp(Peturbed_QZ,$K387,1,L$1),ZeroCompFreq,'PDH Calc'!$K387/365)</f>
        <v>1</v>
      </c>
      <c r="M387" s="8">
        <f ca="1">_xll.HLV5r3.Analytics.Miscellaneous.Zero2DF(_xll.HLV5r3.Analytics.Miscellaneous.LinearInterp(Peturbed_QZ,$K387,1,M$1),ZeroCompFreq,'PDH Calc'!$K387/365)</f>
        <v>1</v>
      </c>
      <c r="N387" s="8">
        <f ca="1">_xll.HLV5r3.Analytics.Miscellaneous.Zero2DF(_xll.HLV5r3.Analytics.Miscellaneous.LinearInterp(Peturbed_QZ,$K387,1,N$1),ZeroCompFreq,'PDH Calc'!$K387/365)</f>
        <v>1</v>
      </c>
      <c r="O387" s="8">
        <f ca="1">_xll.HLV5r3.Analytics.Miscellaneous.Zero2DF(_xll.HLV5r3.Analytics.Miscellaneous.LinearInterp(Peturbed_QZ,$K387,1,O$1),ZeroCompFreq,'PDH Calc'!$K387/365)</f>
        <v>1</v>
      </c>
      <c r="P387" s="8">
        <f ca="1">_xll.HLV5r3.Analytics.Miscellaneous.Zero2DF(_xll.HLV5r3.Analytics.Miscellaneous.LinearInterp(Peturbed_QZ,$K387,1,P$1),ZeroCompFreq,'PDH Calc'!$K387/365)</f>
        <v>1</v>
      </c>
      <c r="Q387" s="8">
        <f ca="1">_xll.HLV5r3.Analytics.Miscellaneous.Zero2DF(_xll.HLV5r3.Analytics.Miscellaneous.LinearInterp(Peturbed_QZ,$K387,1,Q$1),ZeroCompFreq,'PDH Calc'!$K387/365)</f>
        <v>1</v>
      </c>
      <c r="R387" s="8">
        <f ca="1">_xll.HLV5r3.Analytics.Miscellaneous.Zero2DF(_xll.HLV5r3.Analytics.Miscellaneous.LinearInterp(Peturbed_QZ,$K387,1,R$1),ZeroCompFreq,'PDH Calc'!$K387/365)</f>
        <v>1</v>
      </c>
      <c r="S387" s="8">
        <f ca="1">_xll.HLV5r3.Analytics.Miscellaneous.Zero2DF(_xll.HLV5r3.Analytics.Miscellaneous.LinearInterp(Peturbed_QZ,$K387,1,S$1),ZeroCompFreq,'PDH Calc'!$K387/365)</f>
        <v>1</v>
      </c>
      <c r="T387" s="8">
        <f ca="1">_xll.HLV5r3.Analytics.Miscellaneous.Zero2DF(_xll.HLV5r3.Analytics.Miscellaneous.LinearInterp(Peturbed_QZ,$K387,1,T$1),ZeroCompFreq,'PDH Calc'!$K387/365)</f>
        <v>1</v>
      </c>
      <c r="U387" s="8">
        <f ca="1">_xll.HLV5r3.Analytics.Miscellaneous.Zero2DF(_xll.HLV5r3.Analytics.Miscellaneous.LinearInterp(Peturbed_QZ,$K387,1,U$1),ZeroCompFreq,'PDH Calc'!$K387/365)</f>
        <v>1</v>
      </c>
      <c r="V387" s="8">
        <f ca="1">_xll.HLV5r3.Analytics.Miscellaneous.Zero2DF(_xll.HLV5r3.Analytics.Miscellaneous.LinearInterp(Peturbed_QZ,$K387,1,V$1),ZeroCompFreq,'PDH Calc'!$K387/365)</f>
        <v>1</v>
      </c>
      <c r="W387" s="8">
        <f ca="1">_xll.HLV5r3.Analytics.Miscellaneous.Zero2DF(_xll.HLV5r3.Analytics.Miscellaneous.LinearInterp(Peturbed_QZ,$K387,1,W$1),ZeroCompFreq,'PDH Calc'!$K387/365)</f>
        <v>1</v>
      </c>
      <c r="X387" s="8">
        <f ca="1">_xll.HLV5r3.Analytics.Miscellaneous.Zero2DF(_xll.HLV5r3.Analytics.Miscellaneous.LinearInterp(Peturbed_QZ,$K387,1,X$1),ZeroCompFreq,'PDH Calc'!$K387/365)</f>
        <v>1</v>
      </c>
      <c r="Y387" s="8">
        <f ca="1">_xll.HLV5r3.Analytics.Miscellaneous.Zero2DF(_xll.HLV5r3.Analytics.Miscellaneous.LinearInterp(Peturbed_QZ,$K387,1,Y$1),ZeroCompFreq,'PDH Calc'!$K387/365)</f>
        <v>1</v>
      </c>
      <c r="Z387" s="8">
        <f ca="1">_xll.HLV5r3.Analytics.Miscellaneous.Zero2DF(_xll.HLV5r3.Analytics.Miscellaneous.LinearInterp(Peturbed_QZ,$K387,1,Z$1),ZeroCompFreq,'PDH Calc'!$K387/365)</f>
        <v>1</v>
      </c>
      <c r="AA387" s="8">
        <f ca="1">_xll.HLV5r3.Analytics.Miscellaneous.Zero2DF(_xll.HLV5r3.Analytics.Miscellaneous.LinearInterp(Peturbed_QZ,$K387,1,AA$1),ZeroCompFreq,'PDH Calc'!$K387/365)</f>
        <v>1</v>
      </c>
      <c r="AB387" s="8">
        <f ca="1">_xll.HLV5r3.Analytics.Miscellaneous.Zero2DF(_xll.HLV5r3.Analytics.Miscellaneous.LinearInterp(Peturbed_QZ,$K387,1,AB$1),ZeroCompFreq,'PDH Calc'!$K387/365)</f>
        <v>1</v>
      </c>
      <c r="AC387" s="8">
        <f ca="1">_xll.HLV5r3.Analytics.Miscellaneous.Zero2DF(_xll.HLV5r3.Analytics.Miscellaneous.LinearInterp(Peturbed_QZ,$K387,1,AC$1),ZeroCompFreq,'PDH Calc'!$K387/365)</f>
        <v>1</v>
      </c>
      <c r="AD387" s="8">
        <f ca="1">_xll.HLV5r3.Analytics.Miscellaneous.Zero2DF(_xll.HLV5r3.Analytics.Miscellaneous.LinearInterp(Peturbed_QZ,$K387,1,AD$1),ZeroCompFreq,'PDH Calc'!$K387/365)</f>
        <v>1</v>
      </c>
      <c r="AE387" s="8">
        <f ca="1">_xll.HLV5r3.Analytics.Miscellaneous.Zero2DF(_xll.HLV5r3.Analytics.Miscellaneous.LinearInterp(Peturbed_QZ,$K387,1,AE$1),ZeroCompFreq,'PDH Calc'!$K387/365)</f>
        <v>1</v>
      </c>
      <c r="AF387" s="8">
        <f ca="1">_xll.HLV5r3.Analytics.Miscellaneous.Zero2DF(_xll.HLV5r3.Analytics.Miscellaneous.LinearInterp(Peturbed_QZ,$K387,1,AF$1),ZeroCompFreq,'PDH Calc'!$K387/365)</f>
        <v>1</v>
      </c>
      <c r="AG387" s="8">
        <f ca="1">_xll.HLV5r3.Analytics.Miscellaneous.Zero2DF(_xll.HLV5r3.Analytics.Miscellaneous.LinearInterp(Peturbed_QZ,$K387,1,AG$1),ZeroCompFreq,'PDH Calc'!$K387/365)</f>
        <v>1</v>
      </c>
      <c r="AH387" s="8">
        <f ca="1">_xll.HLV5r3.Analytics.Miscellaneous.Zero2DF(_xll.HLV5r3.Analytics.Miscellaneous.LinearInterp(Peturbed_QZ,$K387,1,AH$1),ZeroCompFreq,'PDH Calc'!$K387/365)</f>
        <v>1</v>
      </c>
      <c r="AI387" s="8">
        <f ca="1">_xll.HLV5r3.Analytics.Miscellaneous.Zero2DF(_xll.HLV5r3.Analytics.Miscellaneous.LinearInterp(Peturbed_QZ,$K387,1,AI$1),ZeroCompFreq,'PDH Calc'!$K387/365)</f>
        <v>1</v>
      </c>
      <c r="AJ387" s="8">
        <f ca="1">_xll.HLV5r3.Analytics.Miscellaneous.Zero2DF(_xll.HLV5r3.Analytics.Miscellaneous.LinearInterp(Peturbed_QZ,$K387,1,AJ$1),ZeroCompFreq,'PDH Calc'!$K387/365)</f>
        <v>1</v>
      </c>
      <c r="AK387" s="8">
        <f ca="1">_xll.HLV5r3.Analytics.Miscellaneous.Zero2DF(_xll.HLV5r3.Analytics.Miscellaneous.LinearInterp(Peturbed_QZ,$K387,1,AK$1),ZeroCompFreq,'PDH Calc'!$K387/365)</f>
        <v>1</v>
      </c>
    </row>
    <row r="388" spans="1:37">
      <c r="A388" s="4"/>
      <c r="B388" s="6"/>
      <c r="F388" s="11"/>
      <c r="G388" s="6"/>
      <c r="H388" s="20"/>
      <c r="I388" s="21"/>
      <c r="J388" s="26"/>
      <c r="K388" s="6">
        <f t="shared" ca="1" si="12"/>
        <v>0</v>
      </c>
      <c r="L388" s="8">
        <f ca="1">_xll.HLV5r3.Analytics.Miscellaneous.Zero2DF(_xll.HLV5r3.Analytics.Miscellaneous.LinearInterp(Peturbed_QZ,$K388,1,L$1),ZeroCompFreq,'PDH Calc'!$K388/365)</f>
        <v>1</v>
      </c>
      <c r="M388" s="8">
        <f ca="1">_xll.HLV5r3.Analytics.Miscellaneous.Zero2DF(_xll.HLV5r3.Analytics.Miscellaneous.LinearInterp(Peturbed_QZ,$K388,1,M$1),ZeroCompFreq,'PDH Calc'!$K388/365)</f>
        <v>1</v>
      </c>
      <c r="N388" s="8">
        <f ca="1">_xll.HLV5r3.Analytics.Miscellaneous.Zero2DF(_xll.HLV5r3.Analytics.Miscellaneous.LinearInterp(Peturbed_QZ,$K388,1,N$1),ZeroCompFreq,'PDH Calc'!$K388/365)</f>
        <v>1</v>
      </c>
      <c r="O388" s="8">
        <f ca="1">_xll.HLV5r3.Analytics.Miscellaneous.Zero2DF(_xll.HLV5r3.Analytics.Miscellaneous.LinearInterp(Peturbed_QZ,$K388,1,O$1),ZeroCompFreq,'PDH Calc'!$K388/365)</f>
        <v>1</v>
      </c>
      <c r="P388" s="8">
        <f ca="1">_xll.HLV5r3.Analytics.Miscellaneous.Zero2DF(_xll.HLV5r3.Analytics.Miscellaneous.LinearInterp(Peturbed_QZ,$K388,1,P$1),ZeroCompFreq,'PDH Calc'!$K388/365)</f>
        <v>1</v>
      </c>
      <c r="Q388" s="8">
        <f ca="1">_xll.HLV5r3.Analytics.Miscellaneous.Zero2DF(_xll.HLV5r3.Analytics.Miscellaneous.LinearInterp(Peturbed_QZ,$K388,1,Q$1),ZeroCompFreq,'PDH Calc'!$K388/365)</f>
        <v>1</v>
      </c>
      <c r="R388" s="8">
        <f ca="1">_xll.HLV5r3.Analytics.Miscellaneous.Zero2DF(_xll.HLV5r3.Analytics.Miscellaneous.LinearInterp(Peturbed_QZ,$K388,1,R$1),ZeroCompFreq,'PDH Calc'!$K388/365)</f>
        <v>1</v>
      </c>
      <c r="S388" s="8">
        <f ca="1">_xll.HLV5r3.Analytics.Miscellaneous.Zero2DF(_xll.HLV5r3.Analytics.Miscellaneous.LinearInterp(Peturbed_QZ,$K388,1,S$1),ZeroCompFreq,'PDH Calc'!$K388/365)</f>
        <v>1</v>
      </c>
      <c r="T388" s="8">
        <f ca="1">_xll.HLV5r3.Analytics.Miscellaneous.Zero2DF(_xll.HLV5r3.Analytics.Miscellaneous.LinearInterp(Peturbed_QZ,$K388,1,T$1),ZeroCompFreq,'PDH Calc'!$K388/365)</f>
        <v>1</v>
      </c>
      <c r="U388" s="8">
        <f ca="1">_xll.HLV5r3.Analytics.Miscellaneous.Zero2DF(_xll.HLV5r3.Analytics.Miscellaneous.LinearInterp(Peturbed_QZ,$K388,1,U$1),ZeroCompFreq,'PDH Calc'!$K388/365)</f>
        <v>1</v>
      </c>
      <c r="V388" s="8">
        <f ca="1">_xll.HLV5r3.Analytics.Miscellaneous.Zero2DF(_xll.HLV5r3.Analytics.Miscellaneous.LinearInterp(Peturbed_QZ,$K388,1,V$1),ZeroCompFreq,'PDH Calc'!$K388/365)</f>
        <v>1</v>
      </c>
      <c r="W388" s="8">
        <f ca="1">_xll.HLV5r3.Analytics.Miscellaneous.Zero2DF(_xll.HLV5r3.Analytics.Miscellaneous.LinearInterp(Peturbed_QZ,$K388,1,W$1),ZeroCompFreq,'PDH Calc'!$K388/365)</f>
        <v>1</v>
      </c>
      <c r="X388" s="8">
        <f ca="1">_xll.HLV5r3.Analytics.Miscellaneous.Zero2DF(_xll.HLV5r3.Analytics.Miscellaneous.LinearInterp(Peturbed_QZ,$K388,1,X$1),ZeroCompFreq,'PDH Calc'!$K388/365)</f>
        <v>1</v>
      </c>
      <c r="Y388" s="8">
        <f ca="1">_xll.HLV5r3.Analytics.Miscellaneous.Zero2DF(_xll.HLV5r3.Analytics.Miscellaneous.LinearInterp(Peturbed_QZ,$K388,1,Y$1),ZeroCompFreq,'PDH Calc'!$K388/365)</f>
        <v>1</v>
      </c>
      <c r="Z388" s="8">
        <f ca="1">_xll.HLV5r3.Analytics.Miscellaneous.Zero2DF(_xll.HLV5r3.Analytics.Miscellaneous.LinearInterp(Peturbed_QZ,$K388,1,Z$1),ZeroCompFreq,'PDH Calc'!$K388/365)</f>
        <v>1</v>
      </c>
      <c r="AA388" s="8">
        <f ca="1">_xll.HLV5r3.Analytics.Miscellaneous.Zero2DF(_xll.HLV5r3.Analytics.Miscellaneous.LinearInterp(Peturbed_QZ,$K388,1,AA$1),ZeroCompFreq,'PDH Calc'!$K388/365)</f>
        <v>1</v>
      </c>
      <c r="AB388" s="8">
        <f ca="1">_xll.HLV5r3.Analytics.Miscellaneous.Zero2DF(_xll.HLV5r3.Analytics.Miscellaneous.LinearInterp(Peturbed_QZ,$K388,1,AB$1),ZeroCompFreq,'PDH Calc'!$K388/365)</f>
        <v>1</v>
      </c>
      <c r="AC388" s="8">
        <f ca="1">_xll.HLV5r3.Analytics.Miscellaneous.Zero2DF(_xll.HLV5r3.Analytics.Miscellaneous.LinearInterp(Peturbed_QZ,$K388,1,AC$1),ZeroCompFreq,'PDH Calc'!$K388/365)</f>
        <v>1</v>
      </c>
      <c r="AD388" s="8">
        <f ca="1">_xll.HLV5r3.Analytics.Miscellaneous.Zero2DF(_xll.HLV5r3.Analytics.Miscellaneous.LinearInterp(Peturbed_QZ,$K388,1,AD$1),ZeroCompFreq,'PDH Calc'!$K388/365)</f>
        <v>1</v>
      </c>
      <c r="AE388" s="8">
        <f ca="1">_xll.HLV5r3.Analytics.Miscellaneous.Zero2DF(_xll.HLV5r3.Analytics.Miscellaneous.LinearInterp(Peturbed_QZ,$K388,1,AE$1),ZeroCompFreq,'PDH Calc'!$K388/365)</f>
        <v>1</v>
      </c>
      <c r="AF388" s="8">
        <f ca="1">_xll.HLV5r3.Analytics.Miscellaneous.Zero2DF(_xll.HLV5r3.Analytics.Miscellaneous.LinearInterp(Peturbed_QZ,$K388,1,AF$1),ZeroCompFreq,'PDH Calc'!$K388/365)</f>
        <v>1</v>
      </c>
      <c r="AG388" s="8">
        <f ca="1">_xll.HLV5r3.Analytics.Miscellaneous.Zero2DF(_xll.HLV5r3.Analytics.Miscellaneous.LinearInterp(Peturbed_QZ,$K388,1,AG$1),ZeroCompFreq,'PDH Calc'!$K388/365)</f>
        <v>1</v>
      </c>
      <c r="AH388" s="8">
        <f ca="1">_xll.HLV5r3.Analytics.Miscellaneous.Zero2DF(_xll.HLV5r3.Analytics.Miscellaneous.LinearInterp(Peturbed_QZ,$K388,1,AH$1),ZeroCompFreq,'PDH Calc'!$K388/365)</f>
        <v>1</v>
      </c>
      <c r="AI388" s="8">
        <f ca="1">_xll.HLV5r3.Analytics.Miscellaneous.Zero2DF(_xll.HLV5r3.Analytics.Miscellaneous.LinearInterp(Peturbed_QZ,$K388,1,AI$1),ZeroCompFreq,'PDH Calc'!$K388/365)</f>
        <v>1</v>
      </c>
      <c r="AJ388" s="8">
        <f ca="1">_xll.HLV5r3.Analytics.Miscellaneous.Zero2DF(_xll.HLV5r3.Analytics.Miscellaneous.LinearInterp(Peturbed_QZ,$K388,1,AJ$1),ZeroCompFreq,'PDH Calc'!$K388/365)</f>
        <v>1</v>
      </c>
      <c r="AK388" s="8">
        <f ca="1">_xll.HLV5r3.Analytics.Miscellaneous.Zero2DF(_xll.HLV5r3.Analytics.Miscellaneous.LinearInterp(Peturbed_QZ,$K388,1,AK$1),ZeroCompFreq,'PDH Calc'!$K388/365)</f>
        <v>1</v>
      </c>
    </row>
    <row r="389" spans="1:37">
      <c r="A389" s="4"/>
      <c r="B389" s="6"/>
      <c r="F389" s="11"/>
      <c r="G389" s="6"/>
      <c r="H389" s="20"/>
      <c r="I389" s="21"/>
      <c r="J389" s="26"/>
      <c r="K389" s="6">
        <f t="shared" ca="1" si="12"/>
        <v>0</v>
      </c>
      <c r="L389" s="8">
        <f ca="1">_xll.HLV5r3.Analytics.Miscellaneous.Zero2DF(_xll.HLV5r3.Analytics.Miscellaneous.LinearInterp(Peturbed_QZ,$K389,1,L$1),ZeroCompFreq,'PDH Calc'!$K389/365)</f>
        <v>1</v>
      </c>
      <c r="M389" s="8">
        <f ca="1">_xll.HLV5r3.Analytics.Miscellaneous.Zero2DF(_xll.HLV5r3.Analytics.Miscellaneous.LinearInterp(Peturbed_QZ,$K389,1,M$1),ZeroCompFreq,'PDH Calc'!$K389/365)</f>
        <v>1</v>
      </c>
      <c r="N389" s="8">
        <f ca="1">_xll.HLV5r3.Analytics.Miscellaneous.Zero2DF(_xll.HLV5r3.Analytics.Miscellaneous.LinearInterp(Peturbed_QZ,$K389,1,N$1),ZeroCompFreq,'PDH Calc'!$K389/365)</f>
        <v>1</v>
      </c>
      <c r="O389" s="8">
        <f ca="1">_xll.HLV5r3.Analytics.Miscellaneous.Zero2DF(_xll.HLV5r3.Analytics.Miscellaneous.LinearInterp(Peturbed_QZ,$K389,1,O$1),ZeroCompFreq,'PDH Calc'!$K389/365)</f>
        <v>1</v>
      </c>
      <c r="P389" s="8">
        <f ca="1">_xll.HLV5r3.Analytics.Miscellaneous.Zero2DF(_xll.HLV5r3.Analytics.Miscellaneous.LinearInterp(Peturbed_QZ,$K389,1,P$1),ZeroCompFreq,'PDH Calc'!$K389/365)</f>
        <v>1</v>
      </c>
      <c r="Q389" s="8">
        <f ca="1">_xll.HLV5r3.Analytics.Miscellaneous.Zero2DF(_xll.HLV5r3.Analytics.Miscellaneous.LinearInterp(Peturbed_QZ,$K389,1,Q$1),ZeroCompFreq,'PDH Calc'!$K389/365)</f>
        <v>1</v>
      </c>
      <c r="R389" s="8">
        <f ca="1">_xll.HLV5r3.Analytics.Miscellaneous.Zero2DF(_xll.HLV5r3.Analytics.Miscellaneous.LinearInterp(Peturbed_QZ,$K389,1,R$1),ZeroCompFreq,'PDH Calc'!$K389/365)</f>
        <v>1</v>
      </c>
      <c r="S389" s="8">
        <f ca="1">_xll.HLV5r3.Analytics.Miscellaneous.Zero2DF(_xll.HLV5r3.Analytics.Miscellaneous.LinearInterp(Peturbed_QZ,$K389,1,S$1),ZeroCompFreq,'PDH Calc'!$K389/365)</f>
        <v>1</v>
      </c>
      <c r="T389" s="8">
        <f ca="1">_xll.HLV5r3.Analytics.Miscellaneous.Zero2DF(_xll.HLV5r3.Analytics.Miscellaneous.LinearInterp(Peturbed_QZ,$K389,1,T$1),ZeroCompFreq,'PDH Calc'!$K389/365)</f>
        <v>1</v>
      </c>
      <c r="U389" s="8">
        <f ca="1">_xll.HLV5r3.Analytics.Miscellaneous.Zero2DF(_xll.HLV5r3.Analytics.Miscellaneous.LinearInterp(Peturbed_QZ,$K389,1,U$1),ZeroCompFreq,'PDH Calc'!$K389/365)</f>
        <v>1</v>
      </c>
      <c r="V389" s="8">
        <f ca="1">_xll.HLV5r3.Analytics.Miscellaneous.Zero2DF(_xll.HLV5r3.Analytics.Miscellaneous.LinearInterp(Peturbed_QZ,$K389,1,V$1),ZeroCompFreq,'PDH Calc'!$K389/365)</f>
        <v>1</v>
      </c>
      <c r="W389" s="8">
        <f ca="1">_xll.HLV5r3.Analytics.Miscellaneous.Zero2DF(_xll.HLV5r3.Analytics.Miscellaneous.LinearInterp(Peturbed_QZ,$K389,1,W$1),ZeroCompFreq,'PDH Calc'!$K389/365)</f>
        <v>1</v>
      </c>
      <c r="X389" s="8">
        <f ca="1">_xll.HLV5r3.Analytics.Miscellaneous.Zero2DF(_xll.HLV5r3.Analytics.Miscellaneous.LinearInterp(Peturbed_QZ,$K389,1,X$1),ZeroCompFreq,'PDH Calc'!$K389/365)</f>
        <v>1</v>
      </c>
      <c r="Y389" s="8">
        <f ca="1">_xll.HLV5r3.Analytics.Miscellaneous.Zero2DF(_xll.HLV5r3.Analytics.Miscellaneous.LinearInterp(Peturbed_QZ,$K389,1,Y$1),ZeroCompFreq,'PDH Calc'!$K389/365)</f>
        <v>1</v>
      </c>
      <c r="Z389" s="8">
        <f ca="1">_xll.HLV5r3.Analytics.Miscellaneous.Zero2DF(_xll.HLV5r3.Analytics.Miscellaneous.LinearInterp(Peturbed_QZ,$K389,1,Z$1),ZeroCompFreq,'PDH Calc'!$K389/365)</f>
        <v>1</v>
      </c>
      <c r="AA389" s="8">
        <f ca="1">_xll.HLV5r3.Analytics.Miscellaneous.Zero2DF(_xll.HLV5r3.Analytics.Miscellaneous.LinearInterp(Peturbed_QZ,$K389,1,AA$1),ZeroCompFreq,'PDH Calc'!$K389/365)</f>
        <v>1</v>
      </c>
      <c r="AB389" s="8">
        <f ca="1">_xll.HLV5r3.Analytics.Miscellaneous.Zero2DF(_xll.HLV5r3.Analytics.Miscellaneous.LinearInterp(Peturbed_QZ,$K389,1,AB$1),ZeroCompFreq,'PDH Calc'!$K389/365)</f>
        <v>1</v>
      </c>
      <c r="AC389" s="8">
        <f ca="1">_xll.HLV5r3.Analytics.Miscellaneous.Zero2DF(_xll.HLV5r3.Analytics.Miscellaneous.LinearInterp(Peturbed_QZ,$K389,1,AC$1),ZeroCompFreq,'PDH Calc'!$K389/365)</f>
        <v>1</v>
      </c>
      <c r="AD389" s="8">
        <f ca="1">_xll.HLV5r3.Analytics.Miscellaneous.Zero2DF(_xll.HLV5r3.Analytics.Miscellaneous.LinearInterp(Peturbed_QZ,$K389,1,AD$1),ZeroCompFreq,'PDH Calc'!$K389/365)</f>
        <v>1</v>
      </c>
      <c r="AE389" s="8">
        <f ca="1">_xll.HLV5r3.Analytics.Miscellaneous.Zero2DF(_xll.HLV5r3.Analytics.Miscellaneous.LinearInterp(Peturbed_QZ,$K389,1,AE$1),ZeroCompFreq,'PDH Calc'!$K389/365)</f>
        <v>1</v>
      </c>
      <c r="AF389" s="8">
        <f ca="1">_xll.HLV5r3.Analytics.Miscellaneous.Zero2DF(_xll.HLV5r3.Analytics.Miscellaneous.LinearInterp(Peturbed_QZ,$K389,1,AF$1),ZeroCompFreq,'PDH Calc'!$K389/365)</f>
        <v>1</v>
      </c>
      <c r="AG389" s="8">
        <f ca="1">_xll.HLV5r3.Analytics.Miscellaneous.Zero2DF(_xll.HLV5r3.Analytics.Miscellaneous.LinearInterp(Peturbed_QZ,$K389,1,AG$1),ZeroCompFreq,'PDH Calc'!$K389/365)</f>
        <v>1</v>
      </c>
      <c r="AH389" s="8">
        <f ca="1">_xll.HLV5r3.Analytics.Miscellaneous.Zero2DF(_xll.HLV5r3.Analytics.Miscellaneous.LinearInterp(Peturbed_QZ,$K389,1,AH$1),ZeroCompFreq,'PDH Calc'!$K389/365)</f>
        <v>1</v>
      </c>
      <c r="AI389" s="8">
        <f ca="1">_xll.HLV5r3.Analytics.Miscellaneous.Zero2DF(_xll.HLV5r3.Analytics.Miscellaneous.LinearInterp(Peturbed_QZ,$K389,1,AI$1),ZeroCompFreq,'PDH Calc'!$K389/365)</f>
        <v>1</v>
      </c>
      <c r="AJ389" s="8">
        <f ca="1">_xll.HLV5r3.Analytics.Miscellaneous.Zero2DF(_xll.HLV5r3.Analytics.Miscellaneous.LinearInterp(Peturbed_QZ,$K389,1,AJ$1),ZeroCompFreq,'PDH Calc'!$K389/365)</f>
        <v>1</v>
      </c>
      <c r="AK389" s="8">
        <f ca="1">_xll.HLV5r3.Analytics.Miscellaneous.Zero2DF(_xll.HLV5r3.Analytics.Miscellaneous.LinearInterp(Peturbed_QZ,$K389,1,AK$1),ZeroCompFreq,'PDH Calc'!$K389/365)</f>
        <v>1</v>
      </c>
    </row>
    <row r="390" spans="1:37">
      <c r="A390" s="4"/>
      <c r="B390" s="6"/>
      <c r="F390" s="11"/>
      <c r="G390" s="6"/>
      <c r="H390" s="20"/>
      <c r="I390" s="21"/>
      <c r="J390" s="26"/>
      <c r="K390" s="6">
        <f t="shared" ca="1" si="12"/>
        <v>0</v>
      </c>
      <c r="L390" s="8">
        <f ca="1">_xll.HLV5r3.Analytics.Miscellaneous.Zero2DF(_xll.HLV5r3.Analytics.Miscellaneous.LinearInterp(Peturbed_QZ,$K390,1,L$1),ZeroCompFreq,'PDH Calc'!$K390/365)</f>
        <v>1</v>
      </c>
      <c r="M390" s="8">
        <f ca="1">_xll.HLV5r3.Analytics.Miscellaneous.Zero2DF(_xll.HLV5r3.Analytics.Miscellaneous.LinearInterp(Peturbed_QZ,$K390,1,M$1),ZeroCompFreq,'PDH Calc'!$K390/365)</f>
        <v>1</v>
      </c>
      <c r="N390" s="8">
        <f ca="1">_xll.HLV5r3.Analytics.Miscellaneous.Zero2DF(_xll.HLV5r3.Analytics.Miscellaneous.LinearInterp(Peturbed_QZ,$K390,1,N$1),ZeroCompFreq,'PDH Calc'!$K390/365)</f>
        <v>1</v>
      </c>
      <c r="O390" s="8">
        <f ca="1">_xll.HLV5r3.Analytics.Miscellaneous.Zero2DF(_xll.HLV5r3.Analytics.Miscellaneous.LinearInterp(Peturbed_QZ,$K390,1,O$1),ZeroCompFreq,'PDH Calc'!$K390/365)</f>
        <v>1</v>
      </c>
      <c r="P390" s="8">
        <f ca="1">_xll.HLV5r3.Analytics.Miscellaneous.Zero2DF(_xll.HLV5r3.Analytics.Miscellaneous.LinearInterp(Peturbed_QZ,$K390,1,P$1),ZeroCompFreq,'PDH Calc'!$K390/365)</f>
        <v>1</v>
      </c>
      <c r="Q390" s="8">
        <f ca="1">_xll.HLV5r3.Analytics.Miscellaneous.Zero2DF(_xll.HLV5r3.Analytics.Miscellaneous.LinearInterp(Peturbed_QZ,$K390,1,Q$1),ZeroCompFreq,'PDH Calc'!$K390/365)</f>
        <v>1</v>
      </c>
      <c r="R390" s="8">
        <f ca="1">_xll.HLV5r3.Analytics.Miscellaneous.Zero2DF(_xll.HLV5r3.Analytics.Miscellaneous.LinearInterp(Peturbed_QZ,$K390,1,R$1),ZeroCompFreq,'PDH Calc'!$K390/365)</f>
        <v>1</v>
      </c>
      <c r="S390" s="8">
        <f ca="1">_xll.HLV5r3.Analytics.Miscellaneous.Zero2DF(_xll.HLV5r3.Analytics.Miscellaneous.LinearInterp(Peturbed_QZ,$K390,1,S$1),ZeroCompFreq,'PDH Calc'!$K390/365)</f>
        <v>1</v>
      </c>
      <c r="T390" s="8">
        <f ca="1">_xll.HLV5r3.Analytics.Miscellaneous.Zero2DF(_xll.HLV5r3.Analytics.Miscellaneous.LinearInterp(Peturbed_QZ,$K390,1,T$1),ZeroCompFreq,'PDH Calc'!$K390/365)</f>
        <v>1</v>
      </c>
      <c r="U390" s="8">
        <f ca="1">_xll.HLV5r3.Analytics.Miscellaneous.Zero2DF(_xll.HLV5r3.Analytics.Miscellaneous.LinearInterp(Peturbed_QZ,$K390,1,U$1),ZeroCompFreq,'PDH Calc'!$K390/365)</f>
        <v>1</v>
      </c>
      <c r="V390" s="8">
        <f ca="1">_xll.HLV5r3.Analytics.Miscellaneous.Zero2DF(_xll.HLV5r3.Analytics.Miscellaneous.LinearInterp(Peturbed_QZ,$K390,1,V$1),ZeroCompFreq,'PDH Calc'!$K390/365)</f>
        <v>1</v>
      </c>
      <c r="W390" s="8">
        <f ca="1">_xll.HLV5r3.Analytics.Miscellaneous.Zero2DF(_xll.HLV5r3.Analytics.Miscellaneous.LinearInterp(Peturbed_QZ,$K390,1,W$1),ZeroCompFreq,'PDH Calc'!$K390/365)</f>
        <v>1</v>
      </c>
      <c r="X390" s="8">
        <f ca="1">_xll.HLV5r3.Analytics.Miscellaneous.Zero2DF(_xll.HLV5r3.Analytics.Miscellaneous.LinearInterp(Peturbed_QZ,$K390,1,X$1),ZeroCompFreq,'PDH Calc'!$K390/365)</f>
        <v>1</v>
      </c>
      <c r="Y390" s="8">
        <f ca="1">_xll.HLV5r3.Analytics.Miscellaneous.Zero2DF(_xll.HLV5r3.Analytics.Miscellaneous.LinearInterp(Peturbed_QZ,$K390,1,Y$1),ZeroCompFreq,'PDH Calc'!$K390/365)</f>
        <v>1</v>
      </c>
      <c r="Z390" s="8">
        <f ca="1">_xll.HLV5r3.Analytics.Miscellaneous.Zero2DF(_xll.HLV5r3.Analytics.Miscellaneous.LinearInterp(Peturbed_QZ,$K390,1,Z$1),ZeroCompFreq,'PDH Calc'!$K390/365)</f>
        <v>1</v>
      </c>
      <c r="AA390" s="8">
        <f ca="1">_xll.HLV5r3.Analytics.Miscellaneous.Zero2DF(_xll.HLV5r3.Analytics.Miscellaneous.LinearInterp(Peturbed_QZ,$K390,1,AA$1),ZeroCompFreq,'PDH Calc'!$K390/365)</f>
        <v>1</v>
      </c>
      <c r="AB390" s="8">
        <f ca="1">_xll.HLV5r3.Analytics.Miscellaneous.Zero2DF(_xll.HLV5r3.Analytics.Miscellaneous.LinearInterp(Peturbed_QZ,$K390,1,AB$1),ZeroCompFreq,'PDH Calc'!$K390/365)</f>
        <v>1</v>
      </c>
      <c r="AC390" s="8">
        <f ca="1">_xll.HLV5r3.Analytics.Miscellaneous.Zero2DF(_xll.HLV5r3.Analytics.Miscellaneous.LinearInterp(Peturbed_QZ,$K390,1,AC$1),ZeroCompFreq,'PDH Calc'!$K390/365)</f>
        <v>1</v>
      </c>
      <c r="AD390" s="8">
        <f ca="1">_xll.HLV5r3.Analytics.Miscellaneous.Zero2DF(_xll.HLV5r3.Analytics.Miscellaneous.LinearInterp(Peturbed_QZ,$K390,1,AD$1),ZeroCompFreq,'PDH Calc'!$K390/365)</f>
        <v>1</v>
      </c>
      <c r="AE390" s="8">
        <f ca="1">_xll.HLV5r3.Analytics.Miscellaneous.Zero2DF(_xll.HLV5r3.Analytics.Miscellaneous.LinearInterp(Peturbed_QZ,$K390,1,AE$1),ZeroCompFreq,'PDH Calc'!$K390/365)</f>
        <v>1</v>
      </c>
      <c r="AF390" s="8">
        <f ca="1">_xll.HLV5r3.Analytics.Miscellaneous.Zero2DF(_xll.HLV5r3.Analytics.Miscellaneous.LinearInterp(Peturbed_QZ,$K390,1,AF$1),ZeroCompFreq,'PDH Calc'!$K390/365)</f>
        <v>1</v>
      </c>
      <c r="AG390" s="8">
        <f ca="1">_xll.HLV5r3.Analytics.Miscellaneous.Zero2DF(_xll.HLV5r3.Analytics.Miscellaneous.LinearInterp(Peturbed_QZ,$K390,1,AG$1),ZeroCompFreq,'PDH Calc'!$K390/365)</f>
        <v>1</v>
      </c>
      <c r="AH390" s="8">
        <f ca="1">_xll.HLV5r3.Analytics.Miscellaneous.Zero2DF(_xll.HLV5r3.Analytics.Miscellaneous.LinearInterp(Peturbed_QZ,$K390,1,AH$1),ZeroCompFreq,'PDH Calc'!$K390/365)</f>
        <v>1</v>
      </c>
      <c r="AI390" s="8">
        <f ca="1">_xll.HLV5r3.Analytics.Miscellaneous.Zero2DF(_xll.HLV5r3.Analytics.Miscellaneous.LinearInterp(Peturbed_QZ,$K390,1,AI$1),ZeroCompFreq,'PDH Calc'!$K390/365)</f>
        <v>1</v>
      </c>
      <c r="AJ390" s="8">
        <f ca="1">_xll.HLV5r3.Analytics.Miscellaneous.Zero2DF(_xll.HLV5r3.Analytics.Miscellaneous.LinearInterp(Peturbed_QZ,$K390,1,AJ$1),ZeroCompFreq,'PDH Calc'!$K390/365)</f>
        <v>1</v>
      </c>
      <c r="AK390" s="8">
        <f ca="1">_xll.HLV5r3.Analytics.Miscellaneous.Zero2DF(_xll.HLV5r3.Analytics.Miscellaneous.LinearInterp(Peturbed_QZ,$K390,1,AK$1),ZeroCompFreq,'PDH Calc'!$K390/365)</f>
        <v>1</v>
      </c>
    </row>
    <row r="391" spans="1:37">
      <c r="A391" s="4"/>
      <c r="B391" s="6"/>
      <c r="F391" s="11"/>
      <c r="G391" s="6"/>
      <c r="H391" s="20"/>
      <c r="I391" s="21"/>
      <c r="J391" s="26"/>
      <c r="K391" s="6">
        <f t="shared" ca="1" si="12"/>
        <v>0</v>
      </c>
      <c r="L391" s="8">
        <f ca="1">_xll.HLV5r3.Analytics.Miscellaneous.Zero2DF(_xll.HLV5r3.Analytics.Miscellaneous.LinearInterp(Peturbed_QZ,$K391,1,L$1),ZeroCompFreq,'PDH Calc'!$K391/365)</f>
        <v>1</v>
      </c>
      <c r="M391" s="8">
        <f ca="1">_xll.HLV5r3.Analytics.Miscellaneous.Zero2DF(_xll.HLV5r3.Analytics.Miscellaneous.LinearInterp(Peturbed_QZ,$K391,1,M$1),ZeroCompFreq,'PDH Calc'!$K391/365)</f>
        <v>1</v>
      </c>
      <c r="N391" s="8">
        <f ca="1">_xll.HLV5r3.Analytics.Miscellaneous.Zero2DF(_xll.HLV5r3.Analytics.Miscellaneous.LinearInterp(Peturbed_QZ,$K391,1,N$1),ZeroCompFreq,'PDH Calc'!$K391/365)</f>
        <v>1</v>
      </c>
      <c r="O391" s="8">
        <f ca="1">_xll.HLV5r3.Analytics.Miscellaneous.Zero2DF(_xll.HLV5r3.Analytics.Miscellaneous.LinearInterp(Peturbed_QZ,$K391,1,O$1),ZeroCompFreq,'PDH Calc'!$K391/365)</f>
        <v>1</v>
      </c>
      <c r="P391" s="8">
        <f ca="1">_xll.HLV5r3.Analytics.Miscellaneous.Zero2DF(_xll.HLV5r3.Analytics.Miscellaneous.LinearInterp(Peturbed_QZ,$K391,1,P$1),ZeroCompFreq,'PDH Calc'!$K391/365)</f>
        <v>1</v>
      </c>
      <c r="Q391" s="8">
        <f ca="1">_xll.HLV5r3.Analytics.Miscellaneous.Zero2DF(_xll.HLV5r3.Analytics.Miscellaneous.LinearInterp(Peturbed_QZ,$K391,1,Q$1),ZeroCompFreq,'PDH Calc'!$K391/365)</f>
        <v>1</v>
      </c>
      <c r="R391" s="8">
        <f ca="1">_xll.HLV5r3.Analytics.Miscellaneous.Zero2DF(_xll.HLV5r3.Analytics.Miscellaneous.LinearInterp(Peturbed_QZ,$K391,1,R$1),ZeroCompFreq,'PDH Calc'!$K391/365)</f>
        <v>1</v>
      </c>
      <c r="S391" s="8">
        <f ca="1">_xll.HLV5r3.Analytics.Miscellaneous.Zero2DF(_xll.HLV5r3.Analytics.Miscellaneous.LinearInterp(Peturbed_QZ,$K391,1,S$1),ZeroCompFreq,'PDH Calc'!$K391/365)</f>
        <v>1</v>
      </c>
      <c r="T391" s="8">
        <f ca="1">_xll.HLV5r3.Analytics.Miscellaneous.Zero2DF(_xll.HLV5r3.Analytics.Miscellaneous.LinearInterp(Peturbed_QZ,$K391,1,T$1),ZeroCompFreq,'PDH Calc'!$K391/365)</f>
        <v>1</v>
      </c>
      <c r="U391" s="8">
        <f ca="1">_xll.HLV5r3.Analytics.Miscellaneous.Zero2DF(_xll.HLV5r3.Analytics.Miscellaneous.LinearInterp(Peturbed_QZ,$K391,1,U$1),ZeroCompFreq,'PDH Calc'!$K391/365)</f>
        <v>1</v>
      </c>
      <c r="V391" s="8">
        <f ca="1">_xll.HLV5r3.Analytics.Miscellaneous.Zero2DF(_xll.HLV5r3.Analytics.Miscellaneous.LinearInterp(Peturbed_QZ,$K391,1,V$1),ZeroCompFreq,'PDH Calc'!$K391/365)</f>
        <v>1</v>
      </c>
      <c r="W391" s="8">
        <f ca="1">_xll.HLV5r3.Analytics.Miscellaneous.Zero2DF(_xll.HLV5r3.Analytics.Miscellaneous.LinearInterp(Peturbed_QZ,$K391,1,W$1),ZeroCompFreq,'PDH Calc'!$K391/365)</f>
        <v>1</v>
      </c>
      <c r="X391" s="8">
        <f ca="1">_xll.HLV5r3.Analytics.Miscellaneous.Zero2DF(_xll.HLV5r3.Analytics.Miscellaneous.LinearInterp(Peturbed_QZ,$K391,1,X$1),ZeroCompFreq,'PDH Calc'!$K391/365)</f>
        <v>1</v>
      </c>
      <c r="Y391" s="8">
        <f ca="1">_xll.HLV5r3.Analytics.Miscellaneous.Zero2DF(_xll.HLV5r3.Analytics.Miscellaneous.LinearInterp(Peturbed_QZ,$K391,1,Y$1),ZeroCompFreq,'PDH Calc'!$K391/365)</f>
        <v>1</v>
      </c>
      <c r="Z391" s="8">
        <f ca="1">_xll.HLV5r3.Analytics.Miscellaneous.Zero2DF(_xll.HLV5r3.Analytics.Miscellaneous.LinearInterp(Peturbed_QZ,$K391,1,Z$1),ZeroCompFreq,'PDH Calc'!$K391/365)</f>
        <v>1</v>
      </c>
      <c r="AA391" s="8">
        <f ca="1">_xll.HLV5r3.Analytics.Miscellaneous.Zero2DF(_xll.HLV5r3.Analytics.Miscellaneous.LinearInterp(Peturbed_QZ,$K391,1,AA$1),ZeroCompFreq,'PDH Calc'!$K391/365)</f>
        <v>1</v>
      </c>
      <c r="AB391" s="8">
        <f ca="1">_xll.HLV5r3.Analytics.Miscellaneous.Zero2DF(_xll.HLV5r3.Analytics.Miscellaneous.LinearInterp(Peturbed_QZ,$K391,1,AB$1),ZeroCompFreq,'PDH Calc'!$K391/365)</f>
        <v>1</v>
      </c>
      <c r="AC391" s="8">
        <f ca="1">_xll.HLV5r3.Analytics.Miscellaneous.Zero2DF(_xll.HLV5r3.Analytics.Miscellaneous.LinearInterp(Peturbed_QZ,$K391,1,AC$1),ZeroCompFreq,'PDH Calc'!$K391/365)</f>
        <v>1</v>
      </c>
      <c r="AD391" s="8">
        <f ca="1">_xll.HLV5r3.Analytics.Miscellaneous.Zero2DF(_xll.HLV5r3.Analytics.Miscellaneous.LinearInterp(Peturbed_QZ,$K391,1,AD$1),ZeroCompFreq,'PDH Calc'!$K391/365)</f>
        <v>1</v>
      </c>
      <c r="AE391" s="8">
        <f ca="1">_xll.HLV5r3.Analytics.Miscellaneous.Zero2DF(_xll.HLV5r3.Analytics.Miscellaneous.LinearInterp(Peturbed_QZ,$K391,1,AE$1),ZeroCompFreq,'PDH Calc'!$K391/365)</f>
        <v>1</v>
      </c>
      <c r="AF391" s="8">
        <f ca="1">_xll.HLV5r3.Analytics.Miscellaneous.Zero2DF(_xll.HLV5r3.Analytics.Miscellaneous.LinearInterp(Peturbed_QZ,$K391,1,AF$1),ZeroCompFreq,'PDH Calc'!$K391/365)</f>
        <v>1</v>
      </c>
      <c r="AG391" s="8">
        <f ca="1">_xll.HLV5r3.Analytics.Miscellaneous.Zero2DF(_xll.HLV5r3.Analytics.Miscellaneous.LinearInterp(Peturbed_QZ,$K391,1,AG$1),ZeroCompFreq,'PDH Calc'!$K391/365)</f>
        <v>1</v>
      </c>
      <c r="AH391" s="8">
        <f ca="1">_xll.HLV5r3.Analytics.Miscellaneous.Zero2DF(_xll.HLV5r3.Analytics.Miscellaneous.LinearInterp(Peturbed_QZ,$K391,1,AH$1),ZeroCompFreq,'PDH Calc'!$K391/365)</f>
        <v>1</v>
      </c>
      <c r="AI391" s="8">
        <f ca="1">_xll.HLV5r3.Analytics.Miscellaneous.Zero2DF(_xll.HLV5r3.Analytics.Miscellaneous.LinearInterp(Peturbed_QZ,$K391,1,AI$1),ZeroCompFreq,'PDH Calc'!$K391/365)</f>
        <v>1</v>
      </c>
      <c r="AJ391" s="8">
        <f ca="1">_xll.HLV5r3.Analytics.Miscellaneous.Zero2DF(_xll.HLV5r3.Analytics.Miscellaneous.LinearInterp(Peturbed_QZ,$K391,1,AJ$1),ZeroCompFreq,'PDH Calc'!$K391/365)</f>
        <v>1</v>
      </c>
      <c r="AK391" s="8">
        <f ca="1">_xll.HLV5r3.Analytics.Miscellaneous.Zero2DF(_xll.HLV5r3.Analytics.Miscellaneous.LinearInterp(Peturbed_QZ,$K391,1,AK$1),ZeroCompFreq,'PDH Calc'!$K391/365)</f>
        <v>1</v>
      </c>
    </row>
    <row r="392" spans="1:37">
      <c r="A392" s="4"/>
      <c r="B392" s="6"/>
      <c r="F392" s="11"/>
      <c r="G392" s="6"/>
      <c r="H392" s="20"/>
      <c r="I392" s="21"/>
      <c r="J392" s="26"/>
      <c r="K392" s="6">
        <f t="shared" ca="1" si="12"/>
        <v>0</v>
      </c>
      <c r="L392" s="8">
        <f ca="1">_xll.HLV5r3.Analytics.Miscellaneous.Zero2DF(_xll.HLV5r3.Analytics.Miscellaneous.LinearInterp(Peturbed_QZ,$K392,1,L$1),ZeroCompFreq,'PDH Calc'!$K392/365)</f>
        <v>1</v>
      </c>
      <c r="M392" s="8">
        <f ca="1">_xll.HLV5r3.Analytics.Miscellaneous.Zero2DF(_xll.HLV5r3.Analytics.Miscellaneous.LinearInterp(Peturbed_QZ,$K392,1,M$1),ZeroCompFreq,'PDH Calc'!$K392/365)</f>
        <v>1</v>
      </c>
      <c r="N392" s="8">
        <f ca="1">_xll.HLV5r3.Analytics.Miscellaneous.Zero2DF(_xll.HLV5r3.Analytics.Miscellaneous.LinearInterp(Peturbed_QZ,$K392,1,N$1),ZeroCompFreq,'PDH Calc'!$K392/365)</f>
        <v>1</v>
      </c>
      <c r="O392" s="8">
        <f ca="1">_xll.HLV5r3.Analytics.Miscellaneous.Zero2DF(_xll.HLV5r3.Analytics.Miscellaneous.LinearInterp(Peturbed_QZ,$K392,1,O$1),ZeroCompFreq,'PDH Calc'!$K392/365)</f>
        <v>1</v>
      </c>
      <c r="P392" s="8">
        <f ca="1">_xll.HLV5r3.Analytics.Miscellaneous.Zero2DF(_xll.HLV5r3.Analytics.Miscellaneous.LinearInterp(Peturbed_QZ,$K392,1,P$1),ZeroCompFreq,'PDH Calc'!$K392/365)</f>
        <v>1</v>
      </c>
      <c r="Q392" s="8">
        <f ca="1">_xll.HLV5r3.Analytics.Miscellaneous.Zero2DF(_xll.HLV5r3.Analytics.Miscellaneous.LinearInterp(Peturbed_QZ,$K392,1,Q$1),ZeroCompFreq,'PDH Calc'!$K392/365)</f>
        <v>1</v>
      </c>
      <c r="R392" s="8">
        <f ca="1">_xll.HLV5r3.Analytics.Miscellaneous.Zero2DF(_xll.HLV5r3.Analytics.Miscellaneous.LinearInterp(Peturbed_QZ,$K392,1,R$1),ZeroCompFreq,'PDH Calc'!$K392/365)</f>
        <v>1</v>
      </c>
      <c r="S392" s="8">
        <f ca="1">_xll.HLV5r3.Analytics.Miscellaneous.Zero2DF(_xll.HLV5r3.Analytics.Miscellaneous.LinearInterp(Peturbed_QZ,$K392,1,S$1),ZeroCompFreq,'PDH Calc'!$K392/365)</f>
        <v>1</v>
      </c>
      <c r="T392" s="8">
        <f ca="1">_xll.HLV5r3.Analytics.Miscellaneous.Zero2DF(_xll.HLV5r3.Analytics.Miscellaneous.LinearInterp(Peturbed_QZ,$K392,1,T$1),ZeroCompFreq,'PDH Calc'!$K392/365)</f>
        <v>1</v>
      </c>
      <c r="U392" s="8">
        <f ca="1">_xll.HLV5r3.Analytics.Miscellaneous.Zero2DF(_xll.HLV5r3.Analytics.Miscellaneous.LinearInterp(Peturbed_QZ,$K392,1,U$1),ZeroCompFreq,'PDH Calc'!$K392/365)</f>
        <v>1</v>
      </c>
      <c r="V392" s="8">
        <f ca="1">_xll.HLV5r3.Analytics.Miscellaneous.Zero2DF(_xll.HLV5r3.Analytics.Miscellaneous.LinearInterp(Peturbed_QZ,$K392,1,V$1),ZeroCompFreq,'PDH Calc'!$K392/365)</f>
        <v>1</v>
      </c>
      <c r="W392" s="8">
        <f ca="1">_xll.HLV5r3.Analytics.Miscellaneous.Zero2DF(_xll.HLV5r3.Analytics.Miscellaneous.LinearInterp(Peturbed_QZ,$K392,1,W$1),ZeroCompFreq,'PDH Calc'!$K392/365)</f>
        <v>1</v>
      </c>
      <c r="X392" s="8">
        <f ca="1">_xll.HLV5r3.Analytics.Miscellaneous.Zero2DF(_xll.HLV5r3.Analytics.Miscellaneous.LinearInterp(Peturbed_QZ,$K392,1,X$1),ZeroCompFreq,'PDH Calc'!$K392/365)</f>
        <v>1</v>
      </c>
      <c r="Y392" s="8">
        <f ca="1">_xll.HLV5r3.Analytics.Miscellaneous.Zero2DF(_xll.HLV5r3.Analytics.Miscellaneous.LinearInterp(Peturbed_QZ,$K392,1,Y$1),ZeroCompFreq,'PDH Calc'!$K392/365)</f>
        <v>1</v>
      </c>
      <c r="Z392" s="8">
        <f ca="1">_xll.HLV5r3.Analytics.Miscellaneous.Zero2DF(_xll.HLV5r3.Analytics.Miscellaneous.LinearInterp(Peturbed_QZ,$K392,1,Z$1),ZeroCompFreq,'PDH Calc'!$K392/365)</f>
        <v>1</v>
      </c>
      <c r="AA392" s="8">
        <f ca="1">_xll.HLV5r3.Analytics.Miscellaneous.Zero2DF(_xll.HLV5r3.Analytics.Miscellaneous.LinearInterp(Peturbed_QZ,$K392,1,AA$1),ZeroCompFreq,'PDH Calc'!$K392/365)</f>
        <v>1</v>
      </c>
      <c r="AB392" s="8">
        <f ca="1">_xll.HLV5r3.Analytics.Miscellaneous.Zero2DF(_xll.HLV5r3.Analytics.Miscellaneous.LinearInterp(Peturbed_QZ,$K392,1,AB$1),ZeroCompFreq,'PDH Calc'!$K392/365)</f>
        <v>1</v>
      </c>
      <c r="AC392" s="8">
        <f ca="1">_xll.HLV5r3.Analytics.Miscellaneous.Zero2DF(_xll.HLV5r3.Analytics.Miscellaneous.LinearInterp(Peturbed_QZ,$K392,1,AC$1),ZeroCompFreq,'PDH Calc'!$K392/365)</f>
        <v>1</v>
      </c>
      <c r="AD392" s="8">
        <f ca="1">_xll.HLV5r3.Analytics.Miscellaneous.Zero2DF(_xll.HLV5r3.Analytics.Miscellaneous.LinearInterp(Peturbed_QZ,$K392,1,AD$1),ZeroCompFreq,'PDH Calc'!$K392/365)</f>
        <v>1</v>
      </c>
      <c r="AE392" s="8">
        <f ca="1">_xll.HLV5r3.Analytics.Miscellaneous.Zero2DF(_xll.HLV5r3.Analytics.Miscellaneous.LinearInterp(Peturbed_QZ,$K392,1,AE$1),ZeroCompFreq,'PDH Calc'!$K392/365)</f>
        <v>1</v>
      </c>
      <c r="AF392" s="8">
        <f ca="1">_xll.HLV5r3.Analytics.Miscellaneous.Zero2DF(_xll.HLV5r3.Analytics.Miscellaneous.LinearInterp(Peturbed_QZ,$K392,1,AF$1),ZeroCompFreq,'PDH Calc'!$K392/365)</f>
        <v>1</v>
      </c>
      <c r="AG392" s="8">
        <f ca="1">_xll.HLV5r3.Analytics.Miscellaneous.Zero2DF(_xll.HLV5r3.Analytics.Miscellaneous.LinearInterp(Peturbed_QZ,$K392,1,AG$1),ZeroCompFreq,'PDH Calc'!$K392/365)</f>
        <v>1</v>
      </c>
      <c r="AH392" s="8">
        <f ca="1">_xll.HLV5r3.Analytics.Miscellaneous.Zero2DF(_xll.HLV5r3.Analytics.Miscellaneous.LinearInterp(Peturbed_QZ,$K392,1,AH$1),ZeroCompFreq,'PDH Calc'!$K392/365)</f>
        <v>1</v>
      </c>
      <c r="AI392" s="8">
        <f ca="1">_xll.HLV5r3.Analytics.Miscellaneous.Zero2DF(_xll.HLV5r3.Analytics.Miscellaneous.LinearInterp(Peturbed_QZ,$K392,1,AI$1),ZeroCompFreq,'PDH Calc'!$K392/365)</f>
        <v>1</v>
      </c>
      <c r="AJ392" s="8">
        <f ca="1">_xll.HLV5r3.Analytics.Miscellaneous.Zero2DF(_xll.HLV5r3.Analytics.Miscellaneous.LinearInterp(Peturbed_QZ,$K392,1,AJ$1),ZeroCompFreq,'PDH Calc'!$K392/365)</f>
        <v>1</v>
      </c>
      <c r="AK392" s="8">
        <f ca="1">_xll.HLV5r3.Analytics.Miscellaneous.Zero2DF(_xll.HLV5r3.Analytics.Miscellaneous.LinearInterp(Peturbed_QZ,$K392,1,AK$1),ZeroCompFreq,'PDH Calc'!$K392/365)</f>
        <v>1</v>
      </c>
    </row>
    <row r="393" spans="1:37">
      <c r="A393" s="4"/>
      <c r="B393" s="6"/>
      <c r="F393" s="11"/>
      <c r="G393" s="6"/>
      <c r="H393" s="20"/>
      <c r="I393" s="21"/>
      <c r="J393" s="26"/>
      <c r="K393" s="6">
        <f t="shared" ca="1" si="12"/>
        <v>0</v>
      </c>
      <c r="L393" s="8">
        <f ca="1">_xll.HLV5r3.Analytics.Miscellaneous.Zero2DF(_xll.HLV5r3.Analytics.Miscellaneous.LinearInterp(Peturbed_QZ,$K393,1,L$1),ZeroCompFreq,'PDH Calc'!$K393/365)</f>
        <v>1</v>
      </c>
      <c r="M393" s="8">
        <f ca="1">_xll.HLV5r3.Analytics.Miscellaneous.Zero2DF(_xll.HLV5r3.Analytics.Miscellaneous.LinearInterp(Peturbed_QZ,$K393,1,M$1),ZeroCompFreq,'PDH Calc'!$K393/365)</f>
        <v>1</v>
      </c>
      <c r="N393" s="8">
        <f ca="1">_xll.HLV5r3.Analytics.Miscellaneous.Zero2DF(_xll.HLV5r3.Analytics.Miscellaneous.LinearInterp(Peturbed_QZ,$K393,1,N$1),ZeroCompFreq,'PDH Calc'!$K393/365)</f>
        <v>1</v>
      </c>
      <c r="O393" s="8">
        <f ca="1">_xll.HLV5r3.Analytics.Miscellaneous.Zero2DF(_xll.HLV5r3.Analytics.Miscellaneous.LinearInterp(Peturbed_QZ,$K393,1,O$1),ZeroCompFreq,'PDH Calc'!$K393/365)</f>
        <v>1</v>
      </c>
      <c r="P393" s="8">
        <f ca="1">_xll.HLV5r3.Analytics.Miscellaneous.Zero2DF(_xll.HLV5r3.Analytics.Miscellaneous.LinearInterp(Peturbed_QZ,$K393,1,P$1),ZeroCompFreq,'PDH Calc'!$K393/365)</f>
        <v>1</v>
      </c>
      <c r="Q393" s="8">
        <f ca="1">_xll.HLV5r3.Analytics.Miscellaneous.Zero2DF(_xll.HLV5r3.Analytics.Miscellaneous.LinearInterp(Peturbed_QZ,$K393,1,Q$1),ZeroCompFreq,'PDH Calc'!$K393/365)</f>
        <v>1</v>
      </c>
      <c r="R393" s="8">
        <f ca="1">_xll.HLV5r3.Analytics.Miscellaneous.Zero2DF(_xll.HLV5r3.Analytics.Miscellaneous.LinearInterp(Peturbed_QZ,$K393,1,R$1),ZeroCompFreq,'PDH Calc'!$K393/365)</f>
        <v>1</v>
      </c>
      <c r="S393" s="8">
        <f ca="1">_xll.HLV5r3.Analytics.Miscellaneous.Zero2DF(_xll.HLV5r3.Analytics.Miscellaneous.LinearInterp(Peturbed_QZ,$K393,1,S$1),ZeroCompFreq,'PDH Calc'!$K393/365)</f>
        <v>1</v>
      </c>
      <c r="T393" s="8">
        <f ca="1">_xll.HLV5r3.Analytics.Miscellaneous.Zero2DF(_xll.HLV5r3.Analytics.Miscellaneous.LinearInterp(Peturbed_QZ,$K393,1,T$1),ZeroCompFreq,'PDH Calc'!$K393/365)</f>
        <v>1</v>
      </c>
      <c r="U393" s="8">
        <f ca="1">_xll.HLV5r3.Analytics.Miscellaneous.Zero2DF(_xll.HLV5r3.Analytics.Miscellaneous.LinearInterp(Peturbed_QZ,$K393,1,U$1),ZeroCompFreq,'PDH Calc'!$K393/365)</f>
        <v>1</v>
      </c>
      <c r="V393" s="8">
        <f ca="1">_xll.HLV5r3.Analytics.Miscellaneous.Zero2DF(_xll.HLV5r3.Analytics.Miscellaneous.LinearInterp(Peturbed_QZ,$K393,1,V$1),ZeroCompFreq,'PDH Calc'!$K393/365)</f>
        <v>1</v>
      </c>
      <c r="W393" s="8">
        <f ca="1">_xll.HLV5r3.Analytics.Miscellaneous.Zero2DF(_xll.HLV5r3.Analytics.Miscellaneous.LinearInterp(Peturbed_QZ,$K393,1,W$1),ZeroCompFreq,'PDH Calc'!$K393/365)</f>
        <v>1</v>
      </c>
      <c r="X393" s="8">
        <f ca="1">_xll.HLV5r3.Analytics.Miscellaneous.Zero2DF(_xll.HLV5r3.Analytics.Miscellaneous.LinearInterp(Peturbed_QZ,$K393,1,X$1),ZeroCompFreq,'PDH Calc'!$K393/365)</f>
        <v>1</v>
      </c>
      <c r="Y393" s="8">
        <f ca="1">_xll.HLV5r3.Analytics.Miscellaneous.Zero2DF(_xll.HLV5r3.Analytics.Miscellaneous.LinearInterp(Peturbed_QZ,$K393,1,Y$1),ZeroCompFreq,'PDH Calc'!$K393/365)</f>
        <v>1</v>
      </c>
      <c r="Z393" s="8">
        <f ca="1">_xll.HLV5r3.Analytics.Miscellaneous.Zero2DF(_xll.HLV5r3.Analytics.Miscellaneous.LinearInterp(Peturbed_QZ,$K393,1,Z$1),ZeroCompFreq,'PDH Calc'!$K393/365)</f>
        <v>1</v>
      </c>
      <c r="AA393" s="8">
        <f ca="1">_xll.HLV5r3.Analytics.Miscellaneous.Zero2DF(_xll.HLV5r3.Analytics.Miscellaneous.LinearInterp(Peturbed_QZ,$K393,1,AA$1),ZeroCompFreq,'PDH Calc'!$K393/365)</f>
        <v>1</v>
      </c>
      <c r="AB393" s="8">
        <f ca="1">_xll.HLV5r3.Analytics.Miscellaneous.Zero2DF(_xll.HLV5r3.Analytics.Miscellaneous.LinearInterp(Peturbed_QZ,$K393,1,AB$1),ZeroCompFreq,'PDH Calc'!$K393/365)</f>
        <v>1</v>
      </c>
      <c r="AC393" s="8">
        <f ca="1">_xll.HLV5r3.Analytics.Miscellaneous.Zero2DF(_xll.HLV5r3.Analytics.Miscellaneous.LinearInterp(Peturbed_QZ,$K393,1,AC$1),ZeroCompFreq,'PDH Calc'!$K393/365)</f>
        <v>1</v>
      </c>
      <c r="AD393" s="8">
        <f ca="1">_xll.HLV5r3.Analytics.Miscellaneous.Zero2DF(_xll.HLV5r3.Analytics.Miscellaneous.LinearInterp(Peturbed_QZ,$K393,1,AD$1),ZeroCompFreq,'PDH Calc'!$K393/365)</f>
        <v>1</v>
      </c>
      <c r="AE393" s="8">
        <f ca="1">_xll.HLV5r3.Analytics.Miscellaneous.Zero2DF(_xll.HLV5r3.Analytics.Miscellaneous.LinearInterp(Peturbed_QZ,$K393,1,AE$1),ZeroCompFreq,'PDH Calc'!$K393/365)</f>
        <v>1</v>
      </c>
      <c r="AF393" s="8">
        <f ca="1">_xll.HLV5r3.Analytics.Miscellaneous.Zero2DF(_xll.HLV5r3.Analytics.Miscellaneous.LinearInterp(Peturbed_QZ,$K393,1,AF$1),ZeroCompFreq,'PDH Calc'!$K393/365)</f>
        <v>1</v>
      </c>
      <c r="AG393" s="8">
        <f ca="1">_xll.HLV5r3.Analytics.Miscellaneous.Zero2DF(_xll.HLV5r3.Analytics.Miscellaneous.LinearInterp(Peturbed_QZ,$K393,1,AG$1),ZeroCompFreq,'PDH Calc'!$K393/365)</f>
        <v>1</v>
      </c>
      <c r="AH393" s="8">
        <f ca="1">_xll.HLV5r3.Analytics.Miscellaneous.Zero2DF(_xll.HLV5r3.Analytics.Miscellaneous.LinearInterp(Peturbed_QZ,$K393,1,AH$1),ZeroCompFreq,'PDH Calc'!$K393/365)</f>
        <v>1</v>
      </c>
      <c r="AI393" s="8">
        <f ca="1">_xll.HLV5r3.Analytics.Miscellaneous.Zero2DF(_xll.HLV5r3.Analytics.Miscellaneous.LinearInterp(Peturbed_QZ,$K393,1,AI$1),ZeroCompFreq,'PDH Calc'!$K393/365)</f>
        <v>1</v>
      </c>
      <c r="AJ393" s="8">
        <f ca="1">_xll.HLV5r3.Analytics.Miscellaneous.Zero2DF(_xll.HLV5r3.Analytics.Miscellaneous.LinearInterp(Peturbed_QZ,$K393,1,AJ$1),ZeroCompFreq,'PDH Calc'!$K393/365)</f>
        <v>1</v>
      </c>
      <c r="AK393" s="8">
        <f ca="1">_xll.HLV5r3.Analytics.Miscellaneous.Zero2DF(_xll.HLV5r3.Analytics.Miscellaneous.LinearInterp(Peturbed_QZ,$K393,1,AK$1),ZeroCompFreq,'PDH Calc'!$K393/365)</f>
        <v>1</v>
      </c>
    </row>
    <row r="394" spans="1:37">
      <c r="A394" s="4"/>
      <c r="B394" s="6"/>
      <c r="F394" s="11"/>
      <c r="G394" s="6"/>
      <c r="H394" s="20"/>
      <c r="I394" s="21"/>
      <c r="J394" s="26"/>
      <c r="K394" s="6">
        <f t="shared" ca="1" si="12"/>
        <v>0</v>
      </c>
      <c r="L394" s="8">
        <f ca="1">_xll.HLV5r3.Analytics.Miscellaneous.Zero2DF(_xll.HLV5r3.Analytics.Miscellaneous.LinearInterp(Peturbed_QZ,$K394,1,L$1),ZeroCompFreq,'PDH Calc'!$K394/365)</f>
        <v>1</v>
      </c>
      <c r="M394" s="8">
        <f ca="1">_xll.HLV5r3.Analytics.Miscellaneous.Zero2DF(_xll.HLV5r3.Analytics.Miscellaneous.LinearInterp(Peturbed_QZ,$K394,1,M$1),ZeroCompFreq,'PDH Calc'!$K394/365)</f>
        <v>1</v>
      </c>
      <c r="N394" s="8">
        <f ca="1">_xll.HLV5r3.Analytics.Miscellaneous.Zero2DF(_xll.HLV5r3.Analytics.Miscellaneous.LinearInterp(Peturbed_QZ,$K394,1,N$1),ZeroCompFreq,'PDH Calc'!$K394/365)</f>
        <v>1</v>
      </c>
      <c r="O394" s="8">
        <f ca="1">_xll.HLV5r3.Analytics.Miscellaneous.Zero2DF(_xll.HLV5r3.Analytics.Miscellaneous.LinearInterp(Peturbed_QZ,$K394,1,O$1),ZeroCompFreq,'PDH Calc'!$K394/365)</f>
        <v>1</v>
      </c>
      <c r="P394" s="8">
        <f ca="1">_xll.HLV5r3.Analytics.Miscellaneous.Zero2DF(_xll.HLV5r3.Analytics.Miscellaneous.LinearInterp(Peturbed_QZ,$K394,1,P$1),ZeroCompFreq,'PDH Calc'!$K394/365)</f>
        <v>1</v>
      </c>
      <c r="Q394" s="8">
        <f ca="1">_xll.HLV5r3.Analytics.Miscellaneous.Zero2DF(_xll.HLV5r3.Analytics.Miscellaneous.LinearInterp(Peturbed_QZ,$K394,1,Q$1),ZeroCompFreq,'PDH Calc'!$K394/365)</f>
        <v>1</v>
      </c>
      <c r="R394" s="8">
        <f ca="1">_xll.HLV5r3.Analytics.Miscellaneous.Zero2DF(_xll.HLV5r3.Analytics.Miscellaneous.LinearInterp(Peturbed_QZ,$K394,1,R$1),ZeroCompFreq,'PDH Calc'!$K394/365)</f>
        <v>1</v>
      </c>
      <c r="S394" s="8">
        <f ca="1">_xll.HLV5r3.Analytics.Miscellaneous.Zero2DF(_xll.HLV5r3.Analytics.Miscellaneous.LinearInterp(Peturbed_QZ,$K394,1,S$1),ZeroCompFreq,'PDH Calc'!$K394/365)</f>
        <v>1</v>
      </c>
      <c r="T394" s="8">
        <f ca="1">_xll.HLV5r3.Analytics.Miscellaneous.Zero2DF(_xll.HLV5r3.Analytics.Miscellaneous.LinearInterp(Peturbed_QZ,$K394,1,T$1),ZeroCompFreq,'PDH Calc'!$K394/365)</f>
        <v>1</v>
      </c>
      <c r="U394" s="8">
        <f ca="1">_xll.HLV5r3.Analytics.Miscellaneous.Zero2DF(_xll.HLV5r3.Analytics.Miscellaneous.LinearInterp(Peturbed_QZ,$K394,1,U$1),ZeroCompFreq,'PDH Calc'!$K394/365)</f>
        <v>1</v>
      </c>
      <c r="V394" s="8">
        <f ca="1">_xll.HLV5r3.Analytics.Miscellaneous.Zero2DF(_xll.HLV5r3.Analytics.Miscellaneous.LinearInterp(Peturbed_QZ,$K394,1,V$1),ZeroCompFreq,'PDH Calc'!$K394/365)</f>
        <v>1</v>
      </c>
      <c r="W394" s="8">
        <f ca="1">_xll.HLV5r3.Analytics.Miscellaneous.Zero2DF(_xll.HLV5r3.Analytics.Miscellaneous.LinearInterp(Peturbed_QZ,$K394,1,W$1),ZeroCompFreq,'PDH Calc'!$K394/365)</f>
        <v>1</v>
      </c>
      <c r="X394" s="8">
        <f ca="1">_xll.HLV5r3.Analytics.Miscellaneous.Zero2DF(_xll.HLV5r3.Analytics.Miscellaneous.LinearInterp(Peturbed_QZ,$K394,1,X$1),ZeroCompFreq,'PDH Calc'!$K394/365)</f>
        <v>1</v>
      </c>
      <c r="Y394" s="8">
        <f ca="1">_xll.HLV5r3.Analytics.Miscellaneous.Zero2DF(_xll.HLV5r3.Analytics.Miscellaneous.LinearInterp(Peturbed_QZ,$K394,1,Y$1),ZeroCompFreq,'PDH Calc'!$K394/365)</f>
        <v>1</v>
      </c>
      <c r="Z394" s="8">
        <f ca="1">_xll.HLV5r3.Analytics.Miscellaneous.Zero2DF(_xll.HLV5r3.Analytics.Miscellaneous.LinearInterp(Peturbed_QZ,$K394,1,Z$1),ZeroCompFreq,'PDH Calc'!$K394/365)</f>
        <v>1</v>
      </c>
      <c r="AA394" s="8">
        <f ca="1">_xll.HLV5r3.Analytics.Miscellaneous.Zero2DF(_xll.HLV5r3.Analytics.Miscellaneous.LinearInterp(Peturbed_QZ,$K394,1,AA$1),ZeroCompFreq,'PDH Calc'!$K394/365)</f>
        <v>1</v>
      </c>
      <c r="AB394" s="8">
        <f ca="1">_xll.HLV5r3.Analytics.Miscellaneous.Zero2DF(_xll.HLV5r3.Analytics.Miscellaneous.LinearInterp(Peturbed_QZ,$K394,1,AB$1),ZeroCompFreq,'PDH Calc'!$K394/365)</f>
        <v>1</v>
      </c>
      <c r="AC394" s="8">
        <f ca="1">_xll.HLV5r3.Analytics.Miscellaneous.Zero2DF(_xll.HLV5r3.Analytics.Miscellaneous.LinearInterp(Peturbed_QZ,$K394,1,AC$1),ZeroCompFreq,'PDH Calc'!$K394/365)</f>
        <v>1</v>
      </c>
      <c r="AD394" s="8">
        <f ca="1">_xll.HLV5r3.Analytics.Miscellaneous.Zero2DF(_xll.HLV5r3.Analytics.Miscellaneous.LinearInterp(Peturbed_QZ,$K394,1,AD$1),ZeroCompFreq,'PDH Calc'!$K394/365)</f>
        <v>1</v>
      </c>
      <c r="AE394" s="8">
        <f ca="1">_xll.HLV5r3.Analytics.Miscellaneous.Zero2DF(_xll.HLV5r3.Analytics.Miscellaneous.LinearInterp(Peturbed_QZ,$K394,1,AE$1),ZeroCompFreq,'PDH Calc'!$K394/365)</f>
        <v>1</v>
      </c>
      <c r="AF394" s="8">
        <f ca="1">_xll.HLV5r3.Analytics.Miscellaneous.Zero2DF(_xll.HLV5r3.Analytics.Miscellaneous.LinearInterp(Peturbed_QZ,$K394,1,AF$1),ZeroCompFreq,'PDH Calc'!$K394/365)</f>
        <v>1</v>
      </c>
      <c r="AG394" s="8">
        <f ca="1">_xll.HLV5r3.Analytics.Miscellaneous.Zero2DF(_xll.HLV5r3.Analytics.Miscellaneous.LinearInterp(Peturbed_QZ,$K394,1,AG$1),ZeroCompFreq,'PDH Calc'!$K394/365)</f>
        <v>1</v>
      </c>
      <c r="AH394" s="8">
        <f ca="1">_xll.HLV5r3.Analytics.Miscellaneous.Zero2DF(_xll.HLV5r3.Analytics.Miscellaneous.LinearInterp(Peturbed_QZ,$K394,1,AH$1),ZeroCompFreq,'PDH Calc'!$K394/365)</f>
        <v>1</v>
      </c>
      <c r="AI394" s="8">
        <f ca="1">_xll.HLV5r3.Analytics.Miscellaneous.Zero2DF(_xll.HLV5r3.Analytics.Miscellaneous.LinearInterp(Peturbed_QZ,$K394,1,AI$1),ZeroCompFreq,'PDH Calc'!$K394/365)</f>
        <v>1</v>
      </c>
      <c r="AJ394" s="8">
        <f ca="1">_xll.HLV5r3.Analytics.Miscellaneous.Zero2DF(_xll.HLV5r3.Analytics.Miscellaneous.LinearInterp(Peturbed_QZ,$K394,1,AJ$1),ZeroCompFreq,'PDH Calc'!$K394/365)</f>
        <v>1</v>
      </c>
      <c r="AK394" s="8">
        <f ca="1">_xll.HLV5r3.Analytics.Miscellaneous.Zero2DF(_xll.HLV5r3.Analytics.Miscellaneous.LinearInterp(Peturbed_QZ,$K394,1,AK$1),ZeroCompFreq,'PDH Calc'!$K394/365)</f>
        <v>1</v>
      </c>
    </row>
    <row r="395" spans="1:37">
      <c r="A395" s="4"/>
      <c r="B395" s="6"/>
      <c r="F395" s="11"/>
      <c r="G395" s="6"/>
      <c r="H395" s="20"/>
      <c r="I395" s="21"/>
      <c r="J395" s="26"/>
      <c r="K395" s="6">
        <f t="shared" ca="1" si="12"/>
        <v>0</v>
      </c>
      <c r="L395" s="8">
        <f ca="1">_xll.HLV5r3.Analytics.Miscellaneous.Zero2DF(_xll.HLV5r3.Analytics.Miscellaneous.LinearInterp(Peturbed_QZ,$K395,1,L$1),ZeroCompFreq,'PDH Calc'!$K395/365)</f>
        <v>1</v>
      </c>
      <c r="M395" s="8">
        <f ca="1">_xll.HLV5r3.Analytics.Miscellaneous.Zero2DF(_xll.HLV5r3.Analytics.Miscellaneous.LinearInterp(Peturbed_QZ,$K395,1,M$1),ZeroCompFreq,'PDH Calc'!$K395/365)</f>
        <v>1</v>
      </c>
      <c r="N395" s="8">
        <f ca="1">_xll.HLV5r3.Analytics.Miscellaneous.Zero2DF(_xll.HLV5r3.Analytics.Miscellaneous.LinearInterp(Peturbed_QZ,$K395,1,N$1),ZeroCompFreq,'PDH Calc'!$K395/365)</f>
        <v>1</v>
      </c>
      <c r="O395" s="8">
        <f ca="1">_xll.HLV5r3.Analytics.Miscellaneous.Zero2DF(_xll.HLV5r3.Analytics.Miscellaneous.LinearInterp(Peturbed_QZ,$K395,1,O$1),ZeroCompFreq,'PDH Calc'!$K395/365)</f>
        <v>1</v>
      </c>
      <c r="P395" s="8">
        <f ca="1">_xll.HLV5r3.Analytics.Miscellaneous.Zero2DF(_xll.HLV5r3.Analytics.Miscellaneous.LinearInterp(Peturbed_QZ,$K395,1,P$1),ZeroCompFreq,'PDH Calc'!$K395/365)</f>
        <v>1</v>
      </c>
      <c r="Q395" s="8">
        <f ca="1">_xll.HLV5r3.Analytics.Miscellaneous.Zero2DF(_xll.HLV5r3.Analytics.Miscellaneous.LinearInterp(Peturbed_QZ,$K395,1,Q$1),ZeroCompFreq,'PDH Calc'!$K395/365)</f>
        <v>1</v>
      </c>
      <c r="R395" s="8">
        <f ca="1">_xll.HLV5r3.Analytics.Miscellaneous.Zero2DF(_xll.HLV5r3.Analytics.Miscellaneous.LinearInterp(Peturbed_QZ,$K395,1,R$1),ZeroCompFreq,'PDH Calc'!$K395/365)</f>
        <v>1</v>
      </c>
      <c r="S395" s="8">
        <f ca="1">_xll.HLV5r3.Analytics.Miscellaneous.Zero2DF(_xll.HLV5r3.Analytics.Miscellaneous.LinearInterp(Peturbed_QZ,$K395,1,S$1),ZeroCompFreq,'PDH Calc'!$K395/365)</f>
        <v>1</v>
      </c>
      <c r="T395" s="8">
        <f ca="1">_xll.HLV5r3.Analytics.Miscellaneous.Zero2DF(_xll.HLV5r3.Analytics.Miscellaneous.LinearInterp(Peturbed_QZ,$K395,1,T$1),ZeroCompFreq,'PDH Calc'!$K395/365)</f>
        <v>1</v>
      </c>
      <c r="U395" s="8">
        <f ca="1">_xll.HLV5r3.Analytics.Miscellaneous.Zero2DF(_xll.HLV5r3.Analytics.Miscellaneous.LinearInterp(Peturbed_QZ,$K395,1,U$1),ZeroCompFreq,'PDH Calc'!$K395/365)</f>
        <v>1</v>
      </c>
      <c r="V395" s="8">
        <f ca="1">_xll.HLV5r3.Analytics.Miscellaneous.Zero2DF(_xll.HLV5r3.Analytics.Miscellaneous.LinearInterp(Peturbed_QZ,$K395,1,V$1),ZeroCompFreq,'PDH Calc'!$K395/365)</f>
        <v>1</v>
      </c>
      <c r="W395" s="8">
        <f ca="1">_xll.HLV5r3.Analytics.Miscellaneous.Zero2DF(_xll.HLV5r3.Analytics.Miscellaneous.LinearInterp(Peturbed_QZ,$K395,1,W$1),ZeroCompFreq,'PDH Calc'!$K395/365)</f>
        <v>1</v>
      </c>
      <c r="X395" s="8">
        <f ca="1">_xll.HLV5r3.Analytics.Miscellaneous.Zero2DF(_xll.HLV5r3.Analytics.Miscellaneous.LinearInterp(Peturbed_QZ,$K395,1,X$1),ZeroCompFreq,'PDH Calc'!$K395/365)</f>
        <v>1</v>
      </c>
      <c r="Y395" s="8">
        <f ca="1">_xll.HLV5r3.Analytics.Miscellaneous.Zero2DF(_xll.HLV5r3.Analytics.Miscellaneous.LinearInterp(Peturbed_QZ,$K395,1,Y$1),ZeroCompFreq,'PDH Calc'!$K395/365)</f>
        <v>1</v>
      </c>
      <c r="Z395" s="8">
        <f ca="1">_xll.HLV5r3.Analytics.Miscellaneous.Zero2DF(_xll.HLV5r3.Analytics.Miscellaneous.LinearInterp(Peturbed_QZ,$K395,1,Z$1),ZeroCompFreq,'PDH Calc'!$K395/365)</f>
        <v>1</v>
      </c>
      <c r="AA395" s="8">
        <f ca="1">_xll.HLV5r3.Analytics.Miscellaneous.Zero2DF(_xll.HLV5r3.Analytics.Miscellaneous.LinearInterp(Peturbed_QZ,$K395,1,AA$1),ZeroCompFreq,'PDH Calc'!$K395/365)</f>
        <v>1</v>
      </c>
      <c r="AB395" s="8">
        <f ca="1">_xll.HLV5r3.Analytics.Miscellaneous.Zero2DF(_xll.HLV5r3.Analytics.Miscellaneous.LinearInterp(Peturbed_QZ,$K395,1,AB$1),ZeroCompFreq,'PDH Calc'!$K395/365)</f>
        <v>1</v>
      </c>
      <c r="AC395" s="8">
        <f ca="1">_xll.HLV5r3.Analytics.Miscellaneous.Zero2DF(_xll.HLV5r3.Analytics.Miscellaneous.LinearInterp(Peturbed_QZ,$K395,1,AC$1),ZeroCompFreq,'PDH Calc'!$K395/365)</f>
        <v>1</v>
      </c>
      <c r="AD395" s="8">
        <f ca="1">_xll.HLV5r3.Analytics.Miscellaneous.Zero2DF(_xll.HLV5r3.Analytics.Miscellaneous.LinearInterp(Peturbed_QZ,$K395,1,AD$1),ZeroCompFreq,'PDH Calc'!$K395/365)</f>
        <v>1</v>
      </c>
      <c r="AE395" s="8">
        <f ca="1">_xll.HLV5r3.Analytics.Miscellaneous.Zero2DF(_xll.HLV5r3.Analytics.Miscellaneous.LinearInterp(Peturbed_QZ,$K395,1,AE$1),ZeroCompFreq,'PDH Calc'!$K395/365)</f>
        <v>1</v>
      </c>
      <c r="AF395" s="8">
        <f ca="1">_xll.HLV5r3.Analytics.Miscellaneous.Zero2DF(_xll.HLV5r3.Analytics.Miscellaneous.LinearInterp(Peturbed_QZ,$K395,1,AF$1),ZeroCompFreq,'PDH Calc'!$K395/365)</f>
        <v>1</v>
      </c>
      <c r="AG395" s="8">
        <f ca="1">_xll.HLV5r3.Analytics.Miscellaneous.Zero2DF(_xll.HLV5r3.Analytics.Miscellaneous.LinearInterp(Peturbed_QZ,$K395,1,AG$1),ZeroCompFreq,'PDH Calc'!$K395/365)</f>
        <v>1</v>
      </c>
      <c r="AH395" s="8">
        <f ca="1">_xll.HLV5r3.Analytics.Miscellaneous.Zero2DF(_xll.HLV5r3.Analytics.Miscellaneous.LinearInterp(Peturbed_QZ,$K395,1,AH$1),ZeroCompFreq,'PDH Calc'!$K395/365)</f>
        <v>1</v>
      </c>
      <c r="AI395" s="8">
        <f ca="1">_xll.HLV5r3.Analytics.Miscellaneous.Zero2DF(_xll.HLV5r3.Analytics.Miscellaneous.LinearInterp(Peturbed_QZ,$K395,1,AI$1),ZeroCompFreq,'PDH Calc'!$K395/365)</f>
        <v>1</v>
      </c>
      <c r="AJ395" s="8">
        <f ca="1">_xll.HLV5r3.Analytics.Miscellaneous.Zero2DF(_xll.HLV5r3.Analytics.Miscellaneous.LinearInterp(Peturbed_QZ,$K395,1,AJ$1),ZeroCompFreq,'PDH Calc'!$K395/365)</f>
        <v>1</v>
      </c>
      <c r="AK395" s="8">
        <f ca="1">_xll.HLV5r3.Analytics.Miscellaneous.Zero2DF(_xll.HLV5r3.Analytics.Miscellaneous.LinearInterp(Peturbed_QZ,$K395,1,AK$1),ZeroCompFreq,'PDH Calc'!$K395/365)</f>
        <v>1</v>
      </c>
    </row>
    <row r="396" spans="1:37">
      <c r="A396" s="4"/>
      <c r="B396" s="6"/>
      <c r="F396" s="11"/>
      <c r="G396" s="6"/>
      <c r="H396" s="20"/>
      <c r="I396" s="21"/>
      <c r="J396" s="26"/>
      <c r="K396" s="6">
        <f t="shared" ca="1" si="12"/>
        <v>0</v>
      </c>
      <c r="L396" s="8">
        <f ca="1">_xll.HLV5r3.Analytics.Miscellaneous.Zero2DF(_xll.HLV5r3.Analytics.Miscellaneous.LinearInterp(Peturbed_QZ,$K396,1,L$1),ZeroCompFreq,'PDH Calc'!$K396/365)</f>
        <v>1</v>
      </c>
      <c r="M396" s="8">
        <f ca="1">_xll.HLV5r3.Analytics.Miscellaneous.Zero2DF(_xll.HLV5r3.Analytics.Miscellaneous.LinearInterp(Peturbed_QZ,$K396,1,M$1),ZeroCompFreq,'PDH Calc'!$K396/365)</f>
        <v>1</v>
      </c>
      <c r="N396" s="8">
        <f ca="1">_xll.HLV5r3.Analytics.Miscellaneous.Zero2DF(_xll.HLV5r3.Analytics.Miscellaneous.LinearInterp(Peturbed_QZ,$K396,1,N$1),ZeroCompFreq,'PDH Calc'!$K396/365)</f>
        <v>1</v>
      </c>
      <c r="O396" s="8">
        <f ca="1">_xll.HLV5r3.Analytics.Miscellaneous.Zero2DF(_xll.HLV5r3.Analytics.Miscellaneous.LinearInterp(Peturbed_QZ,$K396,1,O$1),ZeroCompFreq,'PDH Calc'!$K396/365)</f>
        <v>1</v>
      </c>
      <c r="P396" s="8">
        <f ca="1">_xll.HLV5r3.Analytics.Miscellaneous.Zero2DF(_xll.HLV5r3.Analytics.Miscellaneous.LinearInterp(Peturbed_QZ,$K396,1,P$1),ZeroCompFreq,'PDH Calc'!$K396/365)</f>
        <v>1</v>
      </c>
      <c r="Q396" s="8">
        <f ca="1">_xll.HLV5r3.Analytics.Miscellaneous.Zero2DF(_xll.HLV5r3.Analytics.Miscellaneous.LinearInterp(Peturbed_QZ,$K396,1,Q$1),ZeroCompFreq,'PDH Calc'!$K396/365)</f>
        <v>1</v>
      </c>
      <c r="R396" s="8">
        <f ca="1">_xll.HLV5r3.Analytics.Miscellaneous.Zero2DF(_xll.HLV5r3.Analytics.Miscellaneous.LinearInterp(Peturbed_QZ,$K396,1,R$1),ZeroCompFreq,'PDH Calc'!$K396/365)</f>
        <v>1</v>
      </c>
      <c r="S396" s="8">
        <f ca="1">_xll.HLV5r3.Analytics.Miscellaneous.Zero2DF(_xll.HLV5r3.Analytics.Miscellaneous.LinearInterp(Peturbed_QZ,$K396,1,S$1),ZeroCompFreq,'PDH Calc'!$K396/365)</f>
        <v>1</v>
      </c>
      <c r="T396" s="8">
        <f ca="1">_xll.HLV5r3.Analytics.Miscellaneous.Zero2DF(_xll.HLV5r3.Analytics.Miscellaneous.LinearInterp(Peturbed_QZ,$K396,1,T$1),ZeroCompFreq,'PDH Calc'!$K396/365)</f>
        <v>1</v>
      </c>
      <c r="U396" s="8">
        <f ca="1">_xll.HLV5r3.Analytics.Miscellaneous.Zero2DF(_xll.HLV5r3.Analytics.Miscellaneous.LinearInterp(Peturbed_QZ,$K396,1,U$1),ZeroCompFreq,'PDH Calc'!$K396/365)</f>
        <v>1</v>
      </c>
      <c r="V396" s="8">
        <f ca="1">_xll.HLV5r3.Analytics.Miscellaneous.Zero2DF(_xll.HLV5r3.Analytics.Miscellaneous.LinearInterp(Peturbed_QZ,$K396,1,V$1),ZeroCompFreq,'PDH Calc'!$K396/365)</f>
        <v>1</v>
      </c>
      <c r="W396" s="8">
        <f ca="1">_xll.HLV5r3.Analytics.Miscellaneous.Zero2DF(_xll.HLV5r3.Analytics.Miscellaneous.LinearInterp(Peturbed_QZ,$K396,1,W$1),ZeroCompFreq,'PDH Calc'!$K396/365)</f>
        <v>1</v>
      </c>
      <c r="X396" s="8">
        <f ca="1">_xll.HLV5r3.Analytics.Miscellaneous.Zero2DF(_xll.HLV5r3.Analytics.Miscellaneous.LinearInterp(Peturbed_QZ,$K396,1,X$1),ZeroCompFreq,'PDH Calc'!$K396/365)</f>
        <v>1</v>
      </c>
      <c r="Y396" s="8">
        <f ca="1">_xll.HLV5r3.Analytics.Miscellaneous.Zero2DF(_xll.HLV5r3.Analytics.Miscellaneous.LinearInterp(Peturbed_QZ,$K396,1,Y$1),ZeroCompFreq,'PDH Calc'!$K396/365)</f>
        <v>1</v>
      </c>
      <c r="Z396" s="8">
        <f ca="1">_xll.HLV5r3.Analytics.Miscellaneous.Zero2DF(_xll.HLV5r3.Analytics.Miscellaneous.LinearInterp(Peturbed_QZ,$K396,1,Z$1),ZeroCompFreq,'PDH Calc'!$K396/365)</f>
        <v>1</v>
      </c>
      <c r="AA396" s="8">
        <f ca="1">_xll.HLV5r3.Analytics.Miscellaneous.Zero2DF(_xll.HLV5r3.Analytics.Miscellaneous.LinearInterp(Peturbed_QZ,$K396,1,AA$1),ZeroCompFreq,'PDH Calc'!$K396/365)</f>
        <v>1</v>
      </c>
      <c r="AB396" s="8">
        <f ca="1">_xll.HLV5r3.Analytics.Miscellaneous.Zero2DF(_xll.HLV5r3.Analytics.Miscellaneous.LinearInterp(Peturbed_QZ,$K396,1,AB$1),ZeroCompFreq,'PDH Calc'!$K396/365)</f>
        <v>1</v>
      </c>
      <c r="AC396" s="8">
        <f ca="1">_xll.HLV5r3.Analytics.Miscellaneous.Zero2DF(_xll.HLV5r3.Analytics.Miscellaneous.LinearInterp(Peturbed_QZ,$K396,1,AC$1),ZeroCompFreq,'PDH Calc'!$K396/365)</f>
        <v>1</v>
      </c>
      <c r="AD396" s="8">
        <f ca="1">_xll.HLV5r3.Analytics.Miscellaneous.Zero2DF(_xll.HLV5r3.Analytics.Miscellaneous.LinearInterp(Peturbed_QZ,$K396,1,AD$1),ZeroCompFreq,'PDH Calc'!$K396/365)</f>
        <v>1</v>
      </c>
      <c r="AE396" s="8">
        <f ca="1">_xll.HLV5r3.Analytics.Miscellaneous.Zero2DF(_xll.HLV5r3.Analytics.Miscellaneous.LinearInterp(Peturbed_QZ,$K396,1,AE$1),ZeroCompFreq,'PDH Calc'!$K396/365)</f>
        <v>1</v>
      </c>
      <c r="AF396" s="8">
        <f ca="1">_xll.HLV5r3.Analytics.Miscellaneous.Zero2DF(_xll.HLV5r3.Analytics.Miscellaneous.LinearInterp(Peturbed_QZ,$K396,1,AF$1),ZeroCompFreq,'PDH Calc'!$K396/365)</f>
        <v>1</v>
      </c>
      <c r="AG396" s="8">
        <f ca="1">_xll.HLV5r3.Analytics.Miscellaneous.Zero2DF(_xll.HLV5r3.Analytics.Miscellaneous.LinearInterp(Peturbed_QZ,$K396,1,AG$1),ZeroCompFreq,'PDH Calc'!$K396/365)</f>
        <v>1</v>
      </c>
      <c r="AH396" s="8">
        <f ca="1">_xll.HLV5r3.Analytics.Miscellaneous.Zero2DF(_xll.HLV5r3.Analytics.Miscellaneous.LinearInterp(Peturbed_QZ,$K396,1,AH$1),ZeroCompFreq,'PDH Calc'!$K396/365)</f>
        <v>1</v>
      </c>
      <c r="AI396" s="8">
        <f ca="1">_xll.HLV5r3.Analytics.Miscellaneous.Zero2DF(_xll.HLV5r3.Analytics.Miscellaneous.LinearInterp(Peturbed_QZ,$K396,1,AI$1),ZeroCompFreq,'PDH Calc'!$K396/365)</f>
        <v>1</v>
      </c>
      <c r="AJ396" s="8">
        <f ca="1">_xll.HLV5r3.Analytics.Miscellaneous.Zero2DF(_xll.HLV5r3.Analytics.Miscellaneous.LinearInterp(Peturbed_QZ,$K396,1,AJ$1),ZeroCompFreq,'PDH Calc'!$K396/365)</f>
        <v>1</v>
      </c>
      <c r="AK396" s="8">
        <f ca="1">_xll.HLV5r3.Analytics.Miscellaneous.Zero2DF(_xll.HLV5r3.Analytics.Miscellaneous.LinearInterp(Peturbed_QZ,$K396,1,AK$1),ZeroCompFreq,'PDH Calc'!$K396/365)</f>
        <v>1</v>
      </c>
    </row>
    <row r="397" spans="1:37">
      <c r="A397" s="4"/>
      <c r="B397" s="6"/>
      <c r="F397" s="11"/>
      <c r="G397" s="6"/>
      <c r="H397" s="20"/>
      <c r="I397" s="21"/>
      <c r="J397" s="26"/>
      <c r="K397" s="6">
        <f t="shared" ca="1" si="12"/>
        <v>0</v>
      </c>
      <c r="L397" s="8">
        <f ca="1">_xll.HLV5r3.Analytics.Miscellaneous.Zero2DF(_xll.HLV5r3.Analytics.Miscellaneous.LinearInterp(Peturbed_QZ,$K397,1,L$1),ZeroCompFreq,'PDH Calc'!$K397/365)</f>
        <v>1</v>
      </c>
      <c r="M397" s="8">
        <f ca="1">_xll.HLV5r3.Analytics.Miscellaneous.Zero2DF(_xll.HLV5r3.Analytics.Miscellaneous.LinearInterp(Peturbed_QZ,$K397,1,M$1),ZeroCompFreq,'PDH Calc'!$K397/365)</f>
        <v>1</v>
      </c>
      <c r="N397" s="8">
        <f ca="1">_xll.HLV5r3.Analytics.Miscellaneous.Zero2DF(_xll.HLV5r3.Analytics.Miscellaneous.LinearInterp(Peturbed_QZ,$K397,1,N$1),ZeroCompFreq,'PDH Calc'!$K397/365)</f>
        <v>1</v>
      </c>
      <c r="O397" s="8">
        <f ca="1">_xll.HLV5r3.Analytics.Miscellaneous.Zero2DF(_xll.HLV5r3.Analytics.Miscellaneous.LinearInterp(Peturbed_QZ,$K397,1,O$1),ZeroCompFreq,'PDH Calc'!$K397/365)</f>
        <v>1</v>
      </c>
      <c r="P397" s="8">
        <f ca="1">_xll.HLV5r3.Analytics.Miscellaneous.Zero2DF(_xll.HLV5r3.Analytics.Miscellaneous.LinearInterp(Peturbed_QZ,$K397,1,P$1),ZeroCompFreq,'PDH Calc'!$K397/365)</f>
        <v>1</v>
      </c>
      <c r="Q397" s="8">
        <f ca="1">_xll.HLV5r3.Analytics.Miscellaneous.Zero2DF(_xll.HLV5r3.Analytics.Miscellaneous.LinearInterp(Peturbed_QZ,$K397,1,Q$1),ZeroCompFreq,'PDH Calc'!$K397/365)</f>
        <v>1</v>
      </c>
      <c r="R397" s="8">
        <f ca="1">_xll.HLV5r3.Analytics.Miscellaneous.Zero2DF(_xll.HLV5r3.Analytics.Miscellaneous.LinearInterp(Peturbed_QZ,$K397,1,R$1),ZeroCompFreq,'PDH Calc'!$K397/365)</f>
        <v>1</v>
      </c>
      <c r="S397" s="8">
        <f ca="1">_xll.HLV5r3.Analytics.Miscellaneous.Zero2DF(_xll.HLV5r3.Analytics.Miscellaneous.LinearInterp(Peturbed_QZ,$K397,1,S$1),ZeroCompFreq,'PDH Calc'!$K397/365)</f>
        <v>1</v>
      </c>
      <c r="T397" s="8">
        <f ca="1">_xll.HLV5r3.Analytics.Miscellaneous.Zero2DF(_xll.HLV5r3.Analytics.Miscellaneous.LinearInterp(Peturbed_QZ,$K397,1,T$1),ZeroCompFreq,'PDH Calc'!$K397/365)</f>
        <v>1</v>
      </c>
      <c r="U397" s="8">
        <f ca="1">_xll.HLV5r3.Analytics.Miscellaneous.Zero2DF(_xll.HLV5r3.Analytics.Miscellaneous.LinearInterp(Peturbed_QZ,$K397,1,U$1),ZeroCompFreq,'PDH Calc'!$K397/365)</f>
        <v>1</v>
      </c>
      <c r="V397" s="8">
        <f ca="1">_xll.HLV5r3.Analytics.Miscellaneous.Zero2DF(_xll.HLV5r3.Analytics.Miscellaneous.LinearInterp(Peturbed_QZ,$K397,1,V$1),ZeroCompFreq,'PDH Calc'!$K397/365)</f>
        <v>1</v>
      </c>
      <c r="W397" s="8">
        <f ca="1">_xll.HLV5r3.Analytics.Miscellaneous.Zero2DF(_xll.HLV5r3.Analytics.Miscellaneous.LinearInterp(Peturbed_QZ,$K397,1,W$1),ZeroCompFreq,'PDH Calc'!$K397/365)</f>
        <v>1</v>
      </c>
      <c r="X397" s="8">
        <f ca="1">_xll.HLV5r3.Analytics.Miscellaneous.Zero2DF(_xll.HLV5r3.Analytics.Miscellaneous.LinearInterp(Peturbed_QZ,$K397,1,X$1),ZeroCompFreq,'PDH Calc'!$K397/365)</f>
        <v>1</v>
      </c>
      <c r="Y397" s="8">
        <f ca="1">_xll.HLV5r3.Analytics.Miscellaneous.Zero2DF(_xll.HLV5r3.Analytics.Miscellaneous.LinearInterp(Peturbed_QZ,$K397,1,Y$1),ZeroCompFreq,'PDH Calc'!$K397/365)</f>
        <v>1</v>
      </c>
      <c r="Z397" s="8">
        <f ca="1">_xll.HLV5r3.Analytics.Miscellaneous.Zero2DF(_xll.HLV5r3.Analytics.Miscellaneous.LinearInterp(Peturbed_QZ,$K397,1,Z$1),ZeroCompFreq,'PDH Calc'!$K397/365)</f>
        <v>1</v>
      </c>
      <c r="AA397" s="8">
        <f ca="1">_xll.HLV5r3.Analytics.Miscellaneous.Zero2DF(_xll.HLV5r3.Analytics.Miscellaneous.LinearInterp(Peturbed_QZ,$K397,1,AA$1),ZeroCompFreq,'PDH Calc'!$K397/365)</f>
        <v>1</v>
      </c>
      <c r="AB397" s="8">
        <f ca="1">_xll.HLV5r3.Analytics.Miscellaneous.Zero2DF(_xll.HLV5r3.Analytics.Miscellaneous.LinearInterp(Peturbed_QZ,$K397,1,AB$1),ZeroCompFreq,'PDH Calc'!$K397/365)</f>
        <v>1</v>
      </c>
      <c r="AC397" s="8">
        <f ca="1">_xll.HLV5r3.Analytics.Miscellaneous.Zero2DF(_xll.HLV5r3.Analytics.Miscellaneous.LinearInterp(Peturbed_QZ,$K397,1,AC$1),ZeroCompFreq,'PDH Calc'!$K397/365)</f>
        <v>1</v>
      </c>
      <c r="AD397" s="8">
        <f ca="1">_xll.HLV5r3.Analytics.Miscellaneous.Zero2DF(_xll.HLV5r3.Analytics.Miscellaneous.LinearInterp(Peturbed_QZ,$K397,1,AD$1),ZeroCompFreq,'PDH Calc'!$K397/365)</f>
        <v>1</v>
      </c>
      <c r="AE397" s="8">
        <f ca="1">_xll.HLV5r3.Analytics.Miscellaneous.Zero2DF(_xll.HLV5r3.Analytics.Miscellaneous.LinearInterp(Peturbed_QZ,$K397,1,AE$1),ZeroCompFreq,'PDH Calc'!$K397/365)</f>
        <v>1</v>
      </c>
      <c r="AF397" s="8">
        <f ca="1">_xll.HLV5r3.Analytics.Miscellaneous.Zero2DF(_xll.HLV5r3.Analytics.Miscellaneous.LinearInterp(Peturbed_QZ,$K397,1,AF$1),ZeroCompFreq,'PDH Calc'!$K397/365)</f>
        <v>1</v>
      </c>
      <c r="AG397" s="8">
        <f ca="1">_xll.HLV5r3.Analytics.Miscellaneous.Zero2DF(_xll.HLV5r3.Analytics.Miscellaneous.LinearInterp(Peturbed_QZ,$K397,1,AG$1),ZeroCompFreq,'PDH Calc'!$K397/365)</f>
        <v>1</v>
      </c>
      <c r="AH397" s="8">
        <f ca="1">_xll.HLV5r3.Analytics.Miscellaneous.Zero2DF(_xll.HLV5r3.Analytics.Miscellaneous.LinearInterp(Peturbed_QZ,$K397,1,AH$1),ZeroCompFreq,'PDH Calc'!$K397/365)</f>
        <v>1</v>
      </c>
      <c r="AI397" s="8">
        <f ca="1">_xll.HLV5r3.Analytics.Miscellaneous.Zero2DF(_xll.HLV5r3.Analytics.Miscellaneous.LinearInterp(Peturbed_QZ,$K397,1,AI$1),ZeroCompFreq,'PDH Calc'!$K397/365)</f>
        <v>1</v>
      </c>
      <c r="AJ397" s="8">
        <f ca="1">_xll.HLV5r3.Analytics.Miscellaneous.Zero2DF(_xll.HLV5r3.Analytics.Miscellaneous.LinearInterp(Peturbed_QZ,$K397,1,AJ$1),ZeroCompFreq,'PDH Calc'!$K397/365)</f>
        <v>1</v>
      </c>
      <c r="AK397" s="8">
        <f ca="1">_xll.HLV5r3.Analytics.Miscellaneous.Zero2DF(_xll.HLV5r3.Analytics.Miscellaneous.LinearInterp(Peturbed_QZ,$K397,1,AK$1),ZeroCompFreq,'PDH Calc'!$K397/365)</f>
        <v>1</v>
      </c>
    </row>
    <row r="398" spans="1:37">
      <c r="A398" s="4"/>
      <c r="B398" s="6"/>
      <c r="F398" s="11"/>
      <c r="G398" s="6"/>
      <c r="H398" s="20"/>
      <c r="I398" s="21"/>
      <c r="J398" s="26"/>
      <c r="K398" s="6">
        <f t="shared" ca="1" si="12"/>
        <v>0</v>
      </c>
      <c r="L398" s="8">
        <f ca="1">_xll.HLV5r3.Analytics.Miscellaneous.Zero2DF(_xll.HLV5r3.Analytics.Miscellaneous.LinearInterp(Peturbed_QZ,$K398,1,L$1),ZeroCompFreq,'PDH Calc'!$K398/365)</f>
        <v>1</v>
      </c>
      <c r="M398" s="8">
        <f ca="1">_xll.HLV5r3.Analytics.Miscellaneous.Zero2DF(_xll.HLV5r3.Analytics.Miscellaneous.LinearInterp(Peturbed_QZ,$K398,1,M$1),ZeroCompFreq,'PDH Calc'!$K398/365)</f>
        <v>1</v>
      </c>
      <c r="N398" s="8">
        <f ca="1">_xll.HLV5r3.Analytics.Miscellaneous.Zero2DF(_xll.HLV5r3.Analytics.Miscellaneous.LinearInterp(Peturbed_QZ,$K398,1,N$1),ZeroCompFreq,'PDH Calc'!$K398/365)</f>
        <v>1</v>
      </c>
      <c r="O398" s="8">
        <f ca="1">_xll.HLV5r3.Analytics.Miscellaneous.Zero2DF(_xll.HLV5r3.Analytics.Miscellaneous.LinearInterp(Peturbed_QZ,$K398,1,O$1),ZeroCompFreq,'PDH Calc'!$K398/365)</f>
        <v>1</v>
      </c>
      <c r="P398" s="8">
        <f ca="1">_xll.HLV5r3.Analytics.Miscellaneous.Zero2DF(_xll.HLV5r3.Analytics.Miscellaneous.LinearInterp(Peturbed_QZ,$K398,1,P$1),ZeroCompFreq,'PDH Calc'!$K398/365)</f>
        <v>1</v>
      </c>
      <c r="Q398" s="8">
        <f ca="1">_xll.HLV5r3.Analytics.Miscellaneous.Zero2DF(_xll.HLV5r3.Analytics.Miscellaneous.LinearInterp(Peturbed_QZ,$K398,1,Q$1),ZeroCompFreq,'PDH Calc'!$K398/365)</f>
        <v>1</v>
      </c>
      <c r="R398" s="8">
        <f ca="1">_xll.HLV5r3.Analytics.Miscellaneous.Zero2DF(_xll.HLV5r3.Analytics.Miscellaneous.LinearInterp(Peturbed_QZ,$K398,1,R$1),ZeroCompFreq,'PDH Calc'!$K398/365)</f>
        <v>1</v>
      </c>
      <c r="S398" s="8">
        <f ca="1">_xll.HLV5r3.Analytics.Miscellaneous.Zero2DF(_xll.HLV5r3.Analytics.Miscellaneous.LinearInterp(Peturbed_QZ,$K398,1,S$1),ZeroCompFreq,'PDH Calc'!$K398/365)</f>
        <v>1</v>
      </c>
      <c r="T398" s="8">
        <f ca="1">_xll.HLV5r3.Analytics.Miscellaneous.Zero2DF(_xll.HLV5r3.Analytics.Miscellaneous.LinearInterp(Peturbed_QZ,$K398,1,T$1),ZeroCompFreq,'PDH Calc'!$K398/365)</f>
        <v>1</v>
      </c>
      <c r="U398" s="8">
        <f ca="1">_xll.HLV5r3.Analytics.Miscellaneous.Zero2DF(_xll.HLV5r3.Analytics.Miscellaneous.LinearInterp(Peturbed_QZ,$K398,1,U$1),ZeroCompFreq,'PDH Calc'!$K398/365)</f>
        <v>1</v>
      </c>
      <c r="V398" s="8">
        <f ca="1">_xll.HLV5r3.Analytics.Miscellaneous.Zero2DF(_xll.HLV5r3.Analytics.Miscellaneous.LinearInterp(Peturbed_QZ,$K398,1,V$1),ZeroCompFreq,'PDH Calc'!$K398/365)</f>
        <v>1</v>
      </c>
      <c r="W398" s="8">
        <f ca="1">_xll.HLV5r3.Analytics.Miscellaneous.Zero2DF(_xll.HLV5r3.Analytics.Miscellaneous.LinearInterp(Peturbed_QZ,$K398,1,W$1),ZeroCompFreq,'PDH Calc'!$K398/365)</f>
        <v>1</v>
      </c>
      <c r="X398" s="8">
        <f ca="1">_xll.HLV5r3.Analytics.Miscellaneous.Zero2DF(_xll.HLV5r3.Analytics.Miscellaneous.LinearInterp(Peturbed_QZ,$K398,1,X$1),ZeroCompFreq,'PDH Calc'!$K398/365)</f>
        <v>1</v>
      </c>
      <c r="Y398" s="8">
        <f ca="1">_xll.HLV5r3.Analytics.Miscellaneous.Zero2DF(_xll.HLV5r3.Analytics.Miscellaneous.LinearInterp(Peturbed_QZ,$K398,1,Y$1),ZeroCompFreq,'PDH Calc'!$K398/365)</f>
        <v>1</v>
      </c>
      <c r="Z398" s="8">
        <f ca="1">_xll.HLV5r3.Analytics.Miscellaneous.Zero2DF(_xll.HLV5r3.Analytics.Miscellaneous.LinearInterp(Peturbed_QZ,$K398,1,Z$1),ZeroCompFreq,'PDH Calc'!$K398/365)</f>
        <v>1</v>
      </c>
      <c r="AA398" s="8">
        <f ca="1">_xll.HLV5r3.Analytics.Miscellaneous.Zero2DF(_xll.HLV5r3.Analytics.Miscellaneous.LinearInterp(Peturbed_QZ,$K398,1,AA$1),ZeroCompFreq,'PDH Calc'!$K398/365)</f>
        <v>1</v>
      </c>
      <c r="AB398" s="8">
        <f ca="1">_xll.HLV5r3.Analytics.Miscellaneous.Zero2DF(_xll.HLV5r3.Analytics.Miscellaneous.LinearInterp(Peturbed_QZ,$K398,1,AB$1),ZeroCompFreq,'PDH Calc'!$K398/365)</f>
        <v>1</v>
      </c>
      <c r="AC398" s="8">
        <f ca="1">_xll.HLV5r3.Analytics.Miscellaneous.Zero2DF(_xll.HLV5r3.Analytics.Miscellaneous.LinearInterp(Peturbed_QZ,$K398,1,AC$1),ZeroCompFreq,'PDH Calc'!$K398/365)</f>
        <v>1</v>
      </c>
      <c r="AD398" s="8">
        <f ca="1">_xll.HLV5r3.Analytics.Miscellaneous.Zero2DF(_xll.HLV5r3.Analytics.Miscellaneous.LinearInterp(Peturbed_QZ,$K398,1,AD$1),ZeroCompFreq,'PDH Calc'!$K398/365)</f>
        <v>1</v>
      </c>
      <c r="AE398" s="8">
        <f ca="1">_xll.HLV5r3.Analytics.Miscellaneous.Zero2DF(_xll.HLV5r3.Analytics.Miscellaneous.LinearInterp(Peturbed_QZ,$K398,1,AE$1),ZeroCompFreq,'PDH Calc'!$K398/365)</f>
        <v>1</v>
      </c>
      <c r="AF398" s="8">
        <f ca="1">_xll.HLV5r3.Analytics.Miscellaneous.Zero2DF(_xll.HLV5r3.Analytics.Miscellaneous.LinearInterp(Peturbed_QZ,$K398,1,AF$1),ZeroCompFreq,'PDH Calc'!$K398/365)</f>
        <v>1</v>
      </c>
      <c r="AG398" s="8">
        <f ca="1">_xll.HLV5r3.Analytics.Miscellaneous.Zero2DF(_xll.HLV5r3.Analytics.Miscellaneous.LinearInterp(Peturbed_QZ,$K398,1,AG$1),ZeroCompFreq,'PDH Calc'!$K398/365)</f>
        <v>1</v>
      </c>
      <c r="AH398" s="8">
        <f ca="1">_xll.HLV5r3.Analytics.Miscellaneous.Zero2DF(_xll.HLV5r3.Analytics.Miscellaneous.LinearInterp(Peturbed_QZ,$K398,1,AH$1),ZeroCompFreq,'PDH Calc'!$K398/365)</f>
        <v>1</v>
      </c>
      <c r="AI398" s="8">
        <f ca="1">_xll.HLV5r3.Analytics.Miscellaneous.Zero2DF(_xll.HLV5r3.Analytics.Miscellaneous.LinearInterp(Peturbed_QZ,$K398,1,AI$1),ZeroCompFreq,'PDH Calc'!$K398/365)</f>
        <v>1</v>
      </c>
      <c r="AJ398" s="8">
        <f ca="1">_xll.HLV5r3.Analytics.Miscellaneous.Zero2DF(_xll.HLV5r3.Analytics.Miscellaneous.LinearInterp(Peturbed_QZ,$K398,1,AJ$1),ZeroCompFreq,'PDH Calc'!$K398/365)</f>
        <v>1</v>
      </c>
      <c r="AK398" s="8">
        <f ca="1">_xll.HLV5r3.Analytics.Miscellaneous.Zero2DF(_xll.HLV5r3.Analytics.Miscellaneous.LinearInterp(Peturbed_QZ,$K398,1,AK$1),ZeroCompFreq,'PDH Calc'!$K398/365)</f>
        <v>1</v>
      </c>
    </row>
    <row r="399" spans="1:37">
      <c r="A399" s="4"/>
      <c r="B399" s="6"/>
      <c r="F399" s="11"/>
      <c r="G399" s="6"/>
      <c r="H399" s="20"/>
      <c r="I399" s="21"/>
      <c r="J399" s="26"/>
      <c r="K399" s="6">
        <f t="shared" ca="1" si="12"/>
        <v>0</v>
      </c>
      <c r="L399" s="8">
        <f ca="1">_xll.HLV5r3.Analytics.Miscellaneous.Zero2DF(_xll.HLV5r3.Analytics.Miscellaneous.LinearInterp(Peturbed_QZ,$K399,1,L$1),ZeroCompFreq,'PDH Calc'!$K399/365)</f>
        <v>1</v>
      </c>
      <c r="M399" s="8">
        <f ca="1">_xll.HLV5r3.Analytics.Miscellaneous.Zero2DF(_xll.HLV5r3.Analytics.Miscellaneous.LinearInterp(Peturbed_QZ,$K399,1,M$1),ZeroCompFreq,'PDH Calc'!$K399/365)</f>
        <v>1</v>
      </c>
      <c r="N399" s="8">
        <f ca="1">_xll.HLV5r3.Analytics.Miscellaneous.Zero2DF(_xll.HLV5r3.Analytics.Miscellaneous.LinearInterp(Peturbed_QZ,$K399,1,N$1),ZeroCompFreq,'PDH Calc'!$K399/365)</f>
        <v>1</v>
      </c>
      <c r="O399" s="8">
        <f ca="1">_xll.HLV5r3.Analytics.Miscellaneous.Zero2DF(_xll.HLV5r3.Analytics.Miscellaneous.LinearInterp(Peturbed_QZ,$K399,1,O$1),ZeroCompFreq,'PDH Calc'!$K399/365)</f>
        <v>1</v>
      </c>
      <c r="P399" s="8">
        <f ca="1">_xll.HLV5r3.Analytics.Miscellaneous.Zero2DF(_xll.HLV5r3.Analytics.Miscellaneous.LinearInterp(Peturbed_QZ,$K399,1,P$1),ZeroCompFreq,'PDH Calc'!$K399/365)</f>
        <v>1</v>
      </c>
      <c r="Q399" s="8">
        <f ca="1">_xll.HLV5r3.Analytics.Miscellaneous.Zero2DF(_xll.HLV5r3.Analytics.Miscellaneous.LinearInterp(Peturbed_QZ,$K399,1,Q$1),ZeroCompFreq,'PDH Calc'!$K399/365)</f>
        <v>1</v>
      </c>
      <c r="R399" s="8">
        <f ca="1">_xll.HLV5r3.Analytics.Miscellaneous.Zero2DF(_xll.HLV5r3.Analytics.Miscellaneous.LinearInterp(Peturbed_QZ,$K399,1,R$1),ZeroCompFreq,'PDH Calc'!$K399/365)</f>
        <v>1</v>
      </c>
      <c r="S399" s="8">
        <f ca="1">_xll.HLV5r3.Analytics.Miscellaneous.Zero2DF(_xll.HLV5r3.Analytics.Miscellaneous.LinearInterp(Peturbed_QZ,$K399,1,S$1),ZeroCompFreq,'PDH Calc'!$K399/365)</f>
        <v>1</v>
      </c>
      <c r="T399" s="8">
        <f ca="1">_xll.HLV5r3.Analytics.Miscellaneous.Zero2DF(_xll.HLV5r3.Analytics.Miscellaneous.LinearInterp(Peturbed_QZ,$K399,1,T$1),ZeroCompFreq,'PDH Calc'!$K399/365)</f>
        <v>1</v>
      </c>
      <c r="U399" s="8">
        <f ca="1">_xll.HLV5r3.Analytics.Miscellaneous.Zero2DF(_xll.HLV5r3.Analytics.Miscellaneous.LinearInterp(Peturbed_QZ,$K399,1,U$1),ZeroCompFreq,'PDH Calc'!$K399/365)</f>
        <v>1</v>
      </c>
      <c r="V399" s="8">
        <f ca="1">_xll.HLV5r3.Analytics.Miscellaneous.Zero2DF(_xll.HLV5r3.Analytics.Miscellaneous.LinearInterp(Peturbed_QZ,$K399,1,V$1),ZeroCompFreq,'PDH Calc'!$K399/365)</f>
        <v>1</v>
      </c>
      <c r="W399" s="8">
        <f ca="1">_xll.HLV5r3.Analytics.Miscellaneous.Zero2DF(_xll.HLV5r3.Analytics.Miscellaneous.LinearInterp(Peturbed_QZ,$K399,1,W$1),ZeroCompFreq,'PDH Calc'!$K399/365)</f>
        <v>1</v>
      </c>
      <c r="X399" s="8">
        <f ca="1">_xll.HLV5r3.Analytics.Miscellaneous.Zero2DF(_xll.HLV5r3.Analytics.Miscellaneous.LinearInterp(Peturbed_QZ,$K399,1,X$1),ZeroCompFreq,'PDH Calc'!$K399/365)</f>
        <v>1</v>
      </c>
      <c r="Y399" s="8">
        <f ca="1">_xll.HLV5r3.Analytics.Miscellaneous.Zero2DF(_xll.HLV5r3.Analytics.Miscellaneous.LinearInterp(Peturbed_QZ,$K399,1,Y$1),ZeroCompFreq,'PDH Calc'!$K399/365)</f>
        <v>1</v>
      </c>
      <c r="Z399" s="8">
        <f ca="1">_xll.HLV5r3.Analytics.Miscellaneous.Zero2DF(_xll.HLV5r3.Analytics.Miscellaneous.LinearInterp(Peturbed_QZ,$K399,1,Z$1),ZeroCompFreq,'PDH Calc'!$K399/365)</f>
        <v>1</v>
      </c>
      <c r="AA399" s="8">
        <f ca="1">_xll.HLV5r3.Analytics.Miscellaneous.Zero2DF(_xll.HLV5r3.Analytics.Miscellaneous.LinearInterp(Peturbed_QZ,$K399,1,AA$1),ZeroCompFreq,'PDH Calc'!$K399/365)</f>
        <v>1</v>
      </c>
      <c r="AB399" s="8">
        <f ca="1">_xll.HLV5r3.Analytics.Miscellaneous.Zero2DF(_xll.HLV5r3.Analytics.Miscellaneous.LinearInterp(Peturbed_QZ,$K399,1,AB$1),ZeroCompFreq,'PDH Calc'!$K399/365)</f>
        <v>1</v>
      </c>
      <c r="AC399" s="8">
        <f ca="1">_xll.HLV5r3.Analytics.Miscellaneous.Zero2DF(_xll.HLV5r3.Analytics.Miscellaneous.LinearInterp(Peturbed_QZ,$K399,1,AC$1),ZeroCompFreq,'PDH Calc'!$K399/365)</f>
        <v>1</v>
      </c>
      <c r="AD399" s="8">
        <f ca="1">_xll.HLV5r3.Analytics.Miscellaneous.Zero2DF(_xll.HLV5r3.Analytics.Miscellaneous.LinearInterp(Peturbed_QZ,$K399,1,AD$1),ZeroCompFreq,'PDH Calc'!$K399/365)</f>
        <v>1</v>
      </c>
      <c r="AE399" s="8">
        <f ca="1">_xll.HLV5r3.Analytics.Miscellaneous.Zero2DF(_xll.HLV5r3.Analytics.Miscellaneous.LinearInterp(Peturbed_QZ,$K399,1,AE$1),ZeroCompFreq,'PDH Calc'!$K399/365)</f>
        <v>1</v>
      </c>
      <c r="AF399" s="8">
        <f ca="1">_xll.HLV5r3.Analytics.Miscellaneous.Zero2DF(_xll.HLV5r3.Analytics.Miscellaneous.LinearInterp(Peturbed_QZ,$K399,1,AF$1),ZeroCompFreq,'PDH Calc'!$K399/365)</f>
        <v>1</v>
      </c>
      <c r="AG399" s="8">
        <f ca="1">_xll.HLV5r3.Analytics.Miscellaneous.Zero2DF(_xll.HLV5r3.Analytics.Miscellaneous.LinearInterp(Peturbed_QZ,$K399,1,AG$1),ZeroCompFreq,'PDH Calc'!$K399/365)</f>
        <v>1</v>
      </c>
      <c r="AH399" s="8">
        <f ca="1">_xll.HLV5r3.Analytics.Miscellaneous.Zero2DF(_xll.HLV5r3.Analytics.Miscellaneous.LinearInterp(Peturbed_QZ,$K399,1,AH$1),ZeroCompFreq,'PDH Calc'!$K399/365)</f>
        <v>1</v>
      </c>
      <c r="AI399" s="8">
        <f ca="1">_xll.HLV5r3.Analytics.Miscellaneous.Zero2DF(_xll.HLV5r3.Analytics.Miscellaneous.LinearInterp(Peturbed_QZ,$K399,1,AI$1),ZeroCompFreq,'PDH Calc'!$K399/365)</f>
        <v>1</v>
      </c>
      <c r="AJ399" s="8">
        <f ca="1">_xll.HLV5r3.Analytics.Miscellaneous.Zero2DF(_xll.HLV5r3.Analytics.Miscellaneous.LinearInterp(Peturbed_QZ,$K399,1,AJ$1),ZeroCompFreq,'PDH Calc'!$K399/365)</f>
        <v>1</v>
      </c>
      <c r="AK399" s="8">
        <f ca="1">_xll.HLV5r3.Analytics.Miscellaneous.Zero2DF(_xll.HLV5r3.Analytics.Miscellaneous.LinearInterp(Peturbed_QZ,$K399,1,AK$1),ZeroCompFreq,'PDH Calc'!$K399/365)</f>
        <v>1</v>
      </c>
    </row>
    <row r="400" spans="1:37">
      <c r="A400" s="4"/>
      <c r="B400" s="6"/>
      <c r="F400" s="11"/>
      <c r="G400" s="6"/>
      <c r="H400" s="20"/>
      <c r="I400" s="21"/>
      <c r="J400" s="26"/>
      <c r="K400" s="6">
        <f t="shared" ca="1" si="12"/>
        <v>0</v>
      </c>
      <c r="L400" s="8">
        <f ca="1">_xll.HLV5r3.Analytics.Miscellaneous.Zero2DF(_xll.HLV5r3.Analytics.Miscellaneous.LinearInterp(Peturbed_QZ,$K400,1,L$1),ZeroCompFreq,'PDH Calc'!$K400/365)</f>
        <v>1</v>
      </c>
      <c r="M400" s="8">
        <f ca="1">_xll.HLV5r3.Analytics.Miscellaneous.Zero2DF(_xll.HLV5r3.Analytics.Miscellaneous.LinearInterp(Peturbed_QZ,$K400,1,M$1),ZeroCompFreq,'PDH Calc'!$K400/365)</f>
        <v>1</v>
      </c>
      <c r="N400" s="8">
        <f ca="1">_xll.HLV5r3.Analytics.Miscellaneous.Zero2DF(_xll.HLV5r3.Analytics.Miscellaneous.LinearInterp(Peturbed_QZ,$K400,1,N$1),ZeroCompFreq,'PDH Calc'!$K400/365)</f>
        <v>1</v>
      </c>
      <c r="O400" s="8">
        <f ca="1">_xll.HLV5r3.Analytics.Miscellaneous.Zero2DF(_xll.HLV5r3.Analytics.Miscellaneous.LinearInterp(Peturbed_QZ,$K400,1,O$1),ZeroCompFreq,'PDH Calc'!$K400/365)</f>
        <v>1</v>
      </c>
      <c r="P400" s="8">
        <f ca="1">_xll.HLV5r3.Analytics.Miscellaneous.Zero2DF(_xll.HLV5r3.Analytics.Miscellaneous.LinearInterp(Peturbed_QZ,$K400,1,P$1),ZeroCompFreq,'PDH Calc'!$K400/365)</f>
        <v>1</v>
      </c>
      <c r="Q400" s="8">
        <f ca="1">_xll.HLV5r3.Analytics.Miscellaneous.Zero2DF(_xll.HLV5r3.Analytics.Miscellaneous.LinearInterp(Peturbed_QZ,$K400,1,Q$1),ZeroCompFreq,'PDH Calc'!$K400/365)</f>
        <v>1</v>
      </c>
      <c r="R400" s="8">
        <f ca="1">_xll.HLV5r3.Analytics.Miscellaneous.Zero2DF(_xll.HLV5r3.Analytics.Miscellaneous.LinearInterp(Peturbed_QZ,$K400,1,R$1),ZeroCompFreq,'PDH Calc'!$K400/365)</f>
        <v>1</v>
      </c>
      <c r="S400" s="8">
        <f ca="1">_xll.HLV5r3.Analytics.Miscellaneous.Zero2DF(_xll.HLV5r3.Analytics.Miscellaneous.LinearInterp(Peturbed_QZ,$K400,1,S$1),ZeroCompFreq,'PDH Calc'!$K400/365)</f>
        <v>1</v>
      </c>
      <c r="T400" s="8">
        <f ca="1">_xll.HLV5r3.Analytics.Miscellaneous.Zero2DF(_xll.HLV5r3.Analytics.Miscellaneous.LinearInterp(Peturbed_QZ,$K400,1,T$1),ZeroCompFreq,'PDH Calc'!$K400/365)</f>
        <v>1</v>
      </c>
      <c r="U400" s="8">
        <f ca="1">_xll.HLV5r3.Analytics.Miscellaneous.Zero2DF(_xll.HLV5r3.Analytics.Miscellaneous.LinearInterp(Peturbed_QZ,$K400,1,U$1),ZeroCompFreq,'PDH Calc'!$K400/365)</f>
        <v>1</v>
      </c>
      <c r="V400" s="8">
        <f ca="1">_xll.HLV5r3.Analytics.Miscellaneous.Zero2DF(_xll.HLV5r3.Analytics.Miscellaneous.LinearInterp(Peturbed_QZ,$K400,1,V$1),ZeroCompFreq,'PDH Calc'!$K400/365)</f>
        <v>1</v>
      </c>
      <c r="W400" s="8">
        <f ca="1">_xll.HLV5r3.Analytics.Miscellaneous.Zero2DF(_xll.HLV5r3.Analytics.Miscellaneous.LinearInterp(Peturbed_QZ,$K400,1,W$1),ZeroCompFreq,'PDH Calc'!$K400/365)</f>
        <v>1</v>
      </c>
      <c r="X400" s="8">
        <f ca="1">_xll.HLV5r3.Analytics.Miscellaneous.Zero2DF(_xll.HLV5r3.Analytics.Miscellaneous.LinearInterp(Peturbed_QZ,$K400,1,X$1),ZeroCompFreq,'PDH Calc'!$K400/365)</f>
        <v>1</v>
      </c>
      <c r="Y400" s="8">
        <f ca="1">_xll.HLV5r3.Analytics.Miscellaneous.Zero2DF(_xll.HLV5r3.Analytics.Miscellaneous.LinearInterp(Peturbed_QZ,$K400,1,Y$1),ZeroCompFreq,'PDH Calc'!$K400/365)</f>
        <v>1</v>
      </c>
      <c r="Z400" s="8">
        <f ca="1">_xll.HLV5r3.Analytics.Miscellaneous.Zero2DF(_xll.HLV5r3.Analytics.Miscellaneous.LinearInterp(Peturbed_QZ,$K400,1,Z$1),ZeroCompFreq,'PDH Calc'!$K400/365)</f>
        <v>1</v>
      </c>
      <c r="AA400" s="8">
        <f ca="1">_xll.HLV5r3.Analytics.Miscellaneous.Zero2DF(_xll.HLV5r3.Analytics.Miscellaneous.LinearInterp(Peturbed_QZ,$K400,1,AA$1),ZeroCompFreq,'PDH Calc'!$K400/365)</f>
        <v>1</v>
      </c>
      <c r="AB400" s="8">
        <f ca="1">_xll.HLV5r3.Analytics.Miscellaneous.Zero2DF(_xll.HLV5r3.Analytics.Miscellaneous.LinearInterp(Peturbed_QZ,$K400,1,AB$1),ZeroCompFreq,'PDH Calc'!$K400/365)</f>
        <v>1</v>
      </c>
      <c r="AC400" s="8">
        <f ca="1">_xll.HLV5r3.Analytics.Miscellaneous.Zero2DF(_xll.HLV5r3.Analytics.Miscellaneous.LinearInterp(Peturbed_QZ,$K400,1,AC$1),ZeroCompFreq,'PDH Calc'!$K400/365)</f>
        <v>1</v>
      </c>
      <c r="AD400" s="8">
        <f ca="1">_xll.HLV5r3.Analytics.Miscellaneous.Zero2DF(_xll.HLV5r3.Analytics.Miscellaneous.LinearInterp(Peturbed_QZ,$K400,1,AD$1),ZeroCompFreq,'PDH Calc'!$K400/365)</f>
        <v>1</v>
      </c>
      <c r="AE400" s="8">
        <f ca="1">_xll.HLV5r3.Analytics.Miscellaneous.Zero2DF(_xll.HLV5r3.Analytics.Miscellaneous.LinearInterp(Peturbed_QZ,$K400,1,AE$1),ZeroCompFreq,'PDH Calc'!$K400/365)</f>
        <v>1</v>
      </c>
      <c r="AF400" s="8">
        <f ca="1">_xll.HLV5r3.Analytics.Miscellaneous.Zero2DF(_xll.HLV5r3.Analytics.Miscellaneous.LinearInterp(Peturbed_QZ,$K400,1,AF$1),ZeroCompFreq,'PDH Calc'!$K400/365)</f>
        <v>1</v>
      </c>
      <c r="AG400" s="8">
        <f ca="1">_xll.HLV5r3.Analytics.Miscellaneous.Zero2DF(_xll.HLV5r3.Analytics.Miscellaneous.LinearInterp(Peturbed_QZ,$K400,1,AG$1),ZeroCompFreq,'PDH Calc'!$K400/365)</f>
        <v>1</v>
      </c>
      <c r="AH400" s="8">
        <f ca="1">_xll.HLV5r3.Analytics.Miscellaneous.Zero2DF(_xll.HLV5r3.Analytics.Miscellaneous.LinearInterp(Peturbed_QZ,$K400,1,AH$1),ZeroCompFreq,'PDH Calc'!$K400/365)</f>
        <v>1</v>
      </c>
      <c r="AI400" s="8">
        <f ca="1">_xll.HLV5r3.Analytics.Miscellaneous.Zero2DF(_xll.HLV5r3.Analytics.Miscellaneous.LinearInterp(Peturbed_QZ,$K400,1,AI$1),ZeroCompFreq,'PDH Calc'!$K400/365)</f>
        <v>1</v>
      </c>
      <c r="AJ400" s="8">
        <f ca="1">_xll.HLV5r3.Analytics.Miscellaneous.Zero2DF(_xll.HLV5r3.Analytics.Miscellaneous.LinearInterp(Peturbed_QZ,$K400,1,AJ$1),ZeroCompFreq,'PDH Calc'!$K400/365)</f>
        <v>1</v>
      </c>
      <c r="AK400" s="8">
        <f ca="1">_xll.HLV5r3.Analytics.Miscellaneous.Zero2DF(_xll.HLV5r3.Analytics.Miscellaneous.LinearInterp(Peturbed_QZ,$K400,1,AK$1),ZeroCompFreq,'PDH Calc'!$K400/365)</f>
        <v>1</v>
      </c>
    </row>
    <row r="401" spans="1:37">
      <c r="A401" s="4"/>
      <c r="B401" s="6"/>
      <c r="F401" s="11"/>
      <c r="G401" s="6"/>
      <c r="H401" s="20"/>
      <c r="I401" s="21"/>
      <c r="J401" s="26"/>
      <c r="K401" s="6">
        <f t="shared" ca="1" si="12"/>
        <v>0</v>
      </c>
      <c r="L401" s="8">
        <f ca="1">_xll.HLV5r3.Analytics.Miscellaneous.Zero2DF(_xll.HLV5r3.Analytics.Miscellaneous.LinearInterp(Peturbed_QZ,$K401,1,L$1),ZeroCompFreq,'PDH Calc'!$K401/365)</f>
        <v>1</v>
      </c>
      <c r="M401" s="8">
        <f ca="1">_xll.HLV5r3.Analytics.Miscellaneous.Zero2DF(_xll.HLV5r3.Analytics.Miscellaneous.LinearInterp(Peturbed_QZ,$K401,1,M$1),ZeroCompFreq,'PDH Calc'!$K401/365)</f>
        <v>1</v>
      </c>
      <c r="N401" s="8">
        <f ca="1">_xll.HLV5r3.Analytics.Miscellaneous.Zero2DF(_xll.HLV5r3.Analytics.Miscellaneous.LinearInterp(Peturbed_QZ,$K401,1,N$1),ZeroCompFreq,'PDH Calc'!$K401/365)</f>
        <v>1</v>
      </c>
      <c r="O401" s="8">
        <f ca="1">_xll.HLV5r3.Analytics.Miscellaneous.Zero2DF(_xll.HLV5r3.Analytics.Miscellaneous.LinearInterp(Peturbed_QZ,$K401,1,O$1),ZeroCompFreq,'PDH Calc'!$K401/365)</f>
        <v>1</v>
      </c>
      <c r="P401" s="8">
        <f ca="1">_xll.HLV5r3.Analytics.Miscellaneous.Zero2DF(_xll.HLV5r3.Analytics.Miscellaneous.LinearInterp(Peturbed_QZ,$K401,1,P$1),ZeroCompFreq,'PDH Calc'!$K401/365)</f>
        <v>1</v>
      </c>
      <c r="Q401" s="8">
        <f ca="1">_xll.HLV5r3.Analytics.Miscellaneous.Zero2DF(_xll.HLV5r3.Analytics.Miscellaneous.LinearInterp(Peturbed_QZ,$K401,1,Q$1),ZeroCompFreq,'PDH Calc'!$K401/365)</f>
        <v>1</v>
      </c>
      <c r="R401" s="8">
        <f ca="1">_xll.HLV5r3.Analytics.Miscellaneous.Zero2DF(_xll.HLV5r3.Analytics.Miscellaneous.LinearInterp(Peturbed_QZ,$K401,1,R$1),ZeroCompFreq,'PDH Calc'!$K401/365)</f>
        <v>1</v>
      </c>
      <c r="S401" s="8">
        <f ca="1">_xll.HLV5r3.Analytics.Miscellaneous.Zero2DF(_xll.HLV5r3.Analytics.Miscellaneous.LinearInterp(Peturbed_QZ,$K401,1,S$1),ZeroCompFreq,'PDH Calc'!$K401/365)</f>
        <v>1</v>
      </c>
      <c r="T401" s="8">
        <f ca="1">_xll.HLV5r3.Analytics.Miscellaneous.Zero2DF(_xll.HLV5r3.Analytics.Miscellaneous.LinearInterp(Peturbed_QZ,$K401,1,T$1),ZeroCompFreq,'PDH Calc'!$K401/365)</f>
        <v>1</v>
      </c>
      <c r="U401" s="8">
        <f ca="1">_xll.HLV5r3.Analytics.Miscellaneous.Zero2DF(_xll.HLV5r3.Analytics.Miscellaneous.LinearInterp(Peturbed_QZ,$K401,1,U$1),ZeroCompFreq,'PDH Calc'!$K401/365)</f>
        <v>1</v>
      </c>
      <c r="V401" s="8">
        <f ca="1">_xll.HLV5r3.Analytics.Miscellaneous.Zero2DF(_xll.HLV5r3.Analytics.Miscellaneous.LinearInterp(Peturbed_QZ,$K401,1,V$1),ZeroCompFreq,'PDH Calc'!$K401/365)</f>
        <v>1</v>
      </c>
      <c r="W401" s="8">
        <f ca="1">_xll.HLV5r3.Analytics.Miscellaneous.Zero2DF(_xll.HLV5r3.Analytics.Miscellaneous.LinearInterp(Peturbed_QZ,$K401,1,W$1),ZeroCompFreq,'PDH Calc'!$K401/365)</f>
        <v>1</v>
      </c>
      <c r="X401" s="8">
        <f ca="1">_xll.HLV5r3.Analytics.Miscellaneous.Zero2DF(_xll.HLV5r3.Analytics.Miscellaneous.LinearInterp(Peturbed_QZ,$K401,1,X$1),ZeroCompFreq,'PDH Calc'!$K401/365)</f>
        <v>1</v>
      </c>
      <c r="Y401" s="8">
        <f ca="1">_xll.HLV5r3.Analytics.Miscellaneous.Zero2DF(_xll.HLV5r3.Analytics.Miscellaneous.LinearInterp(Peturbed_QZ,$K401,1,Y$1),ZeroCompFreq,'PDH Calc'!$K401/365)</f>
        <v>1</v>
      </c>
      <c r="Z401" s="8">
        <f ca="1">_xll.HLV5r3.Analytics.Miscellaneous.Zero2DF(_xll.HLV5r3.Analytics.Miscellaneous.LinearInterp(Peturbed_QZ,$K401,1,Z$1),ZeroCompFreq,'PDH Calc'!$K401/365)</f>
        <v>1</v>
      </c>
      <c r="AA401" s="8">
        <f ca="1">_xll.HLV5r3.Analytics.Miscellaneous.Zero2DF(_xll.HLV5r3.Analytics.Miscellaneous.LinearInterp(Peturbed_QZ,$K401,1,AA$1),ZeroCompFreq,'PDH Calc'!$K401/365)</f>
        <v>1</v>
      </c>
      <c r="AB401" s="8">
        <f ca="1">_xll.HLV5r3.Analytics.Miscellaneous.Zero2DF(_xll.HLV5r3.Analytics.Miscellaneous.LinearInterp(Peturbed_QZ,$K401,1,AB$1),ZeroCompFreq,'PDH Calc'!$K401/365)</f>
        <v>1</v>
      </c>
      <c r="AC401" s="8">
        <f ca="1">_xll.HLV5r3.Analytics.Miscellaneous.Zero2DF(_xll.HLV5r3.Analytics.Miscellaneous.LinearInterp(Peturbed_QZ,$K401,1,AC$1),ZeroCompFreq,'PDH Calc'!$K401/365)</f>
        <v>1</v>
      </c>
      <c r="AD401" s="8">
        <f ca="1">_xll.HLV5r3.Analytics.Miscellaneous.Zero2DF(_xll.HLV5r3.Analytics.Miscellaneous.LinearInterp(Peturbed_QZ,$K401,1,AD$1),ZeroCompFreq,'PDH Calc'!$K401/365)</f>
        <v>1</v>
      </c>
      <c r="AE401" s="8">
        <f ca="1">_xll.HLV5r3.Analytics.Miscellaneous.Zero2DF(_xll.HLV5r3.Analytics.Miscellaneous.LinearInterp(Peturbed_QZ,$K401,1,AE$1),ZeroCompFreq,'PDH Calc'!$K401/365)</f>
        <v>1</v>
      </c>
      <c r="AF401" s="8">
        <f ca="1">_xll.HLV5r3.Analytics.Miscellaneous.Zero2DF(_xll.HLV5r3.Analytics.Miscellaneous.LinearInterp(Peturbed_QZ,$K401,1,AF$1),ZeroCompFreq,'PDH Calc'!$K401/365)</f>
        <v>1</v>
      </c>
      <c r="AG401" s="8">
        <f ca="1">_xll.HLV5r3.Analytics.Miscellaneous.Zero2DF(_xll.HLV5r3.Analytics.Miscellaneous.LinearInterp(Peturbed_QZ,$K401,1,AG$1),ZeroCompFreq,'PDH Calc'!$K401/365)</f>
        <v>1</v>
      </c>
      <c r="AH401" s="8">
        <f ca="1">_xll.HLV5r3.Analytics.Miscellaneous.Zero2DF(_xll.HLV5r3.Analytics.Miscellaneous.LinearInterp(Peturbed_QZ,$K401,1,AH$1),ZeroCompFreq,'PDH Calc'!$K401/365)</f>
        <v>1</v>
      </c>
      <c r="AI401" s="8">
        <f ca="1">_xll.HLV5r3.Analytics.Miscellaneous.Zero2DF(_xll.HLV5r3.Analytics.Miscellaneous.LinearInterp(Peturbed_QZ,$K401,1,AI$1),ZeroCompFreq,'PDH Calc'!$K401/365)</f>
        <v>1</v>
      </c>
      <c r="AJ401" s="8">
        <f ca="1">_xll.HLV5r3.Analytics.Miscellaneous.Zero2DF(_xll.HLV5r3.Analytics.Miscellaneous.LinearInterp(Peturbed_QZ,$K401,1,AJ$1),ZeroCompFreq,'PDH Calc'!$K401/365)</f>
        <v>1</v>
      </c>
      <c r="AK401" s="8">
        <f ca="1">_xll.HLV5r3.Analytics.Miscellaneous.Zero2DF(_xll.HLV5r3.Analytics.Miscellaneous.LinearInterp(Peturbed_QZ,$K401,1,AK$1),ZeroCompFreq,'PDH Calc'!$K401/365)</f>
        <v>1</v>
      </c>
    </row>
    <row r="402" spans="1:37">
      <c r="A402" s="4"/>
      <c r="B402" s="6"/>
      <c r="F402" s="11"/>
      <c r="G402" s="6"/>
      <c r="H402" s="20"/>
      <c r="I402" s="21"/>
      <c r="J402" s="26"/>
      <c r="K402" s="6">
        <f t="shared" ca="1" si="12"/>
        <v>0</v>
      </c>
      <c r="L402" s="8">
        <f ca="1">_xll.HLV5r3.Analytics.Miscellaneous.Zero2DF(_xll.HLV5r3.Analytics.Miscellaneous.LinearInterp(Peturbed_QZ,$K402,1,L$1),ZeroCompFreq,'PDH Calc'!$K402/365)</f>
        <v>1</v>
      </c>
      <c r="M402" s="8">
        <f ca="1">_xll.HLV5r3.Analytics.Miscellaneous.Zero2DF(_xll.HLV5r3.Analytics.Miscellaneous.LinearInterp(Peturbed_QZ,$K402,1,M$1),ZeroCompFreq,'PDH Calc'!$K402/365)</f>
        <v>1</v>
      </c>
      <c r="N402" s="8">
        <f ca="1">_xll.HLV5r3.Analytics.Miscellaneous.Zero2DF(_xll.HLV5r3.Analytics.Miscellaneous.LinearInterp(Peturbed_QZ,$K402,1,N$1),ZeroCompFreq,'PDH Calc'!$K402/365)</f>
        <v>1</v>
      </c>
      <c r="O402" s="8">
        <f ca="1">_xll.HLV5r3.Analytics.Miscellaneous.Zero2DF(_xll.HLV5r3.Analytics.Miscellaneous.LinearInterp(Peturbed_QZ,$K402,1,O$1),ZeroCompFreq,'PDH Calc'!$K402/365)</f>
        <v>1</v>
      </c>
      <c r="P402" s="8">
        <f ca="1">_xll.HLV5r3.Analytics.Miscellaneous.Zero2DF(_xll.HLV5r3.Analytics.Miscellaneous.LinearInterp(Peturbed_QZ,$K402,1,P$1),ZeroCompFreq,'PDH Calc'!$K402/365)</f>
        <v>1</v>
      </c>
      <c r="Q402" s="8">
        <f ca="1">_xll.HLV5r3.Analytics.Miscellaneous.Zero2DF(_xll.HLV5r3.Analytics.Miscellaneous.LinearInterp(Peturbed_QZ,$K402,1,Q$1),ZeroCompFreq,'PDH Calc'!$K402/365)</f>
        <v>1</v>
      </c>
      <c r="R402" s="8">
        <f ca="1">_xll.HLV5r3.Analytics.Miscellaneous.Zero2DF(_xll.HLV5r3.Analytics.Miscellaneous.LinearInterp(Peturbed_QZ,$K402,1,R$1),ZeroCompFreq,'PDH Calc'!$K402/365)</f>
        <v>1</v>
      </c>
      <c r="S402" s="8">
        <f ca="1">_xll.HLV5r3.Analytics.Miscellaneous.Zero2DF(_xll.HLV5r3.Analytics.Miscellaneous.LinearInterp(Peturbed_QZ,$K402,1,S$1),ZeroCompFreq,'PDH Calc'!$K402/365)</f>
        <v>1</v>
      </c>
      <c r="T402" s="8">
        <f ca="1">_xll.HLV5r3.Analytics.Miscellaneous.Zero2DF(_xll.HLV5r3.Analytics.Miscellaneous.LinearInterp(Peturbed_QZ,$K402,1,T$1),ZeroCompFreq,'PDH Calc'!$K402/365)</f>
        <v>1</v>
      </c>
      <c r="U402" s="8">
        <f ca="1">_xll.HLV5r3.Analytics.Miscellaneous.Zero2DF(_xll.HLV5r3.Analytics.Miscellaneous.LinearInterp(Peturbed_QZ,$K402,1,U$1),ZeroCompFreq,'PDH Calc'!$K402/365)</f>
        <v>1</v>
      </c>
      <c r="V402" s="8">
        <f ca="1">_xll.HLV5r3.Analytics.Miscellaneous.Zero2DF(_xll.HLV5r3.Analytics.Miscellaneous.LinearInterp(Peturbed_QZ,$K402,1,V$1),ZeroCompFreq,'PDH Calc'!$K402/365)</f>
        <v>1</v>
      </c>
      <c r="W402" s="8">
        <f ca="1">_xll.HLV5r3.Analytics.Miscellaneous.Zero2DF(_xll.HLV5r3.Analytics.Miscellaneous.LinearInterp(Peturbed_QZ,$K402,1,W$1),ZeroCompFreq,'PDH Calc'!$K402/365)</f>
        <v>1</v>
      </c>
      <c r="X402" s="8">
        <f ca="1">_xll.HLV5r3.Analytics.Miscellaneous.Zero2DF(_xll.HLV5r3.Analytics.Miscellaneous.LinearInterp(Peturbed_QZ,$K402,1,X$1),ZeroCompFreq,'PDH Calc'!$K402/365)</f>
        <v>1</v>
      </c>
      <c r="Y402" s="8">
        <f ca="1">_xll.HLV5r3.Analytics.Miscellaneous.Zero2DF(_xll.HLV5r3.Analytics.Miscellaneous.LinearInterp(Peturbed_QZ,$K402,1,Y$1),ZeroCompFreq,'PDH Calc'!$K402/365)</f>
        <v>1</v>
      </c>
      <c r="Z402" s="8">
        <f ca="1">_xll.HLV5r3.Analytics.Miscellaneous.Zero2DF(_xll.HLV5r3.Analytics.Miscellaneous.LinearInterp(Peturbed_QZ,$K402,1,Z$1),ZeroCompFreq,'PDH Calc'!$K402/365)</f>
        <v>1</v>
      </c>
      <c r="AA402" s="8">
        <f ca="1">_xll.HLV5r3.Analytics.Miscellaneous.Zero2DF(_xll.HLV5r3.Analytics.Miscellaneous.LinearInterp(Peturbed_QZ,$K402,1,AA$1),ZeroCompFreq,'PDH Calc'!$K402/365)</f>
        <v>1</v>
      </c>
      <c r="AB402" s="8">
        <f ca="1">_xll.HLV5r3.Analytics.Miscellaneous.Zero2DF(_xll.HLV5r3.Analytics.Miscellaneous.LinearInterp(Peturbed_QZ,$K402,1,AB$1),ZeroCompFreq,'PDH Calc'!$K402/365)</f>
        <v>1</v>
      </c>
      <c r="AC402" s="8">
        <f ca="1">_xll.HLV5r3.Analytics.Miscellaneous.Zero2DF(_xll.HLV5r3.Analytics.Miscellaneous.LinearInterp(Peturbed_QZ,$K402,1,AC$1),ZeroCompFreq,'PDH Calc'!$K402/365)</f>
        <v>1</v>
      </c>
      <c r="AD402" s="8">
        <f ca="1">_xll.HLV5r3.Analytics.Miscellaneous.Zero2DF(_xll.HLV5r3.Analytics.Miscellaneous.LinearInterp(Peturbed_QZ,$K402,1,AD$1),ZeroCompFreq,'PDH Calc'!$K402/365)</f>
        <v>1</v>
      </c>
      <c r="AE402" s="8">
        <f ca="1">_xll.HLV5r3.Analytics.Miscellaneous.Zero2DF(_xll.HLV5r3.Analytics.Miscellaneous.LinearInterp(Peturbed_QZ,$K402,1,AE$1),ZeroCompFreq,'PDH Calc'!$K402/365)</f>
        <v>1</v>
      </c>
      <c r="AF402" s="8">
        <f ca="1">_xll.HLV5r3.Analytics.Miscellaneous.Zero2DF(_xll.HLV5r3.Analytics.Miscellaneous.LinearInterp(Peturbed_QZ,$K402,1,AF$1),ZeroCompFreq,'PDH Calc'!$K402/365)</f>
        <v>1</v>
      </c>
      <c r="AG402" s="8">
        <f ca="1">_xll.HLV5r3.Analytics.Miscellaneous.Zero2DF(_xll.HLV5r3.Analytics.Miscellaneous.LinearInterp(Peturbed_QZ,$K402,1,AG$1),ZeroCompFreq,'PDH Calc'!$K402/365)</f>
        <v>1</v>
      </c>
      <c r="AH402" s="8">
        <f ca="1">_xll.HLV5r3.Analytics.Miscellaneous.Zero2DF(_xll.HLV5r3.Analytics.Miscellaneous.LinearInterp(Peturbed_QZ,$K402,1,AH$1),ZeroCompFreq,'PDH Calc'!$K402/365)</f>
        <v>1</v>
      </c>
      <c r="AI402" s="8">
        <f ca="1">_xll.HLV5r3.Analytics.Miscellaneous.Zero2DF(_xll.HLV5r3.Analytics.Miscellaneous.LinearInterp(Peturbed_QZ,$K402,1,AI$1),ZeroCompFreq,'PDH Calc'!$K402/365)</f>
        <v>1</v>
      </c>
      <c r="AJ402" s="8">
        <f ca="1">_xll.HLV5r3.Analytics.Miscellaneous.Zero2DF(_xll.HLV5r3.Analytics.Miscellaneous.LinearInterp(Peturbed_QZ,$K402,1,AJ$1),ZeroCompFreq,'PDH Calc'!$K402/365)</f>
        <v>1</v>
      </c>
      <c r="AK402" s="8">
        <f ca="1">_xll.HLV5r3.Analytics.Miscellaneous.Zero2DF(_xll.HLV5r3.Analytics.Miscellaneous.LinearInterp(Peturbed_QZ,$K402,1,AK$1),ZeroCompFreq,'PDH Calc'!$K402/365)</f>
        <v>1</v>
      </c>
    </row>
    <row r="403" spans="1:37">
      <c r="A403" s="4"/>
      <c r="B403" s="6"/>
      <c r="F403" s="11"/>
      <c r="G403" s="6"/>
      <c r="H403" s="20"/>
      <c r="I403" s="21"/>
      <c r="J403" s="26"/>
      <c r="K403" s="6">
        <f t="shared" ca="1" si="12"/>
        <v>0</v>
      </c>
      <c r="L403" s="8">
        <f ca="1">_xll.HLV5r3.Analytics.Miscellaneous.Zero2DF(_xll.HLV5r3.Analytics.Miscellaneous.LinearInterp(Peturbed_QZ,$K403,1,L$1),ZeroCompFreq,'PDH Calc'!$K403/365)</f>
        <v>1</v>
      </c>
      <c r="M403" s="8">
        <f ca="1">_xll.HLV5r3.Analytics.Miscellaneous.Zero2DF(_xll.HLV5r3.Analytics.Miscellaneous.LinearInterp(Peturbed_QZ,$K403,1,M$1),ZeroCompFreq,'PDH Calc'!$K403/365)</f>
        <v>1</v>
      </c>
      <c r="N403" s="8">
        <f ca="1">_xll.HLV5r3.Analytics.Miscellaneous.Zero2DF(_xll.HLV5r3.Analytics.Miscellaneous.LinearInterp(Peturbed_QZ,$K403,1,N$1),ZeroCompFreq,'PDH Calc'!$K403/365)</f>
        <v>1</v>
      </c>
      <c r="O403" s="8">
        <f ca="1">_xll.HLV5r3.Analytics.Miscellaneous.Zero2DF(_xll.HLV5r3.Analytics.Miscellaneous.LinearInterp(Peturbed_QZ,$K403,1,O$1),ZeroCompFreq,'PDH Calc'!$K403/365)</f>
        <v>1</v>
      </c>
      <c r="P403" s="8">
        <f ca="1">_xll.HLV5r3.Analytics.Miscellaneous.Zero2DF(_xll.HLV5r3.Analytics.Miscellaneous.LinearInterp(Peturbed_QZ,$K403,1,P$1),ZeroCompFreq,'PDH Calc'!$K403/365)</f>
        <v>1</v>
      </c>
      <c r="Q403" s="8">
        <f ca="1">_xll.HLV5r3.Analytics.Miscellaneous.Zero2DF(_xll.HLV5r3.Analytics.Miscellaneous.LinearInterp(Peturbed_QZ,$K403,1,Q$1),ZeroCompFreq,'PDH Calc'!$K403/365)</f>
        <v>1</v>
      </c>
      <c r="R403" s="8">
        <f ca="1">_xll.HLV5r3.Analytics.Miscellaneous.Zero2DF(_xll.HLV5r3.Analytics.Miscellaneous.LinearInterp(Peturbed_QZ,$K403,1,R$1),ZeroCompFreq,'PDH Calc'!$K403/365)</f>
        <v>1</v>
      </c>
      <c r="S403" s="8">
        <f ca="1">_xll.HLV5r3.Analytics.Miscellaneous.Zero2DF(_xll.HLV5r3.Analytics.Miscellaneous.LinearInterp(Peturbed_QZ,$K403,1,S$1),ZeroCompFreq,'PDH Calc'!$K403/365)</f>
        <v>1</v>
      </c>
      <c r="T403" s="8">
        <f ca="1">_xll.HLV5r3.Analytics.Miscellaneous.Zero2DF(_xll.HLV5r3.Analytics.Miscellaneous.LinearInterp(Peturbed_QZ,$K403,1,T$1),ZeroCompFreq,'PDH Calc'!$K403/365)</f>
        <v>1</v>
      </c>
      <c r="U403" s="8">
        <f ca="1">_xll.HLV5r3.Analytics.Miscellaneous.Zero2DF(_xll.HLV5r3.Analytics.Miscellaneous.LinearInterp(Peturbed_QZ,$K403,1,U$1),ZeroCompFreq,'PDH Calc'!$K403/365)</f>
        <v>1</v>
      </c>
      <c r="V403" s="8">
        <f ca="1">_xll.HLV5r3.Analytics.Miscellaneous.Zero2DF(_xll.HLV5r3.Analytics.Miscellaneous.LinearInterp(Peturbed_QZ,$K403,1,V$1),ZeroCompFreq,'PDH Calc'!$K403/365)</f>
        <v>1</v>
      </c>
      <c r="W403" s="8">
        <f ca="1">_xll.HLV5r3.Analytics.Miscellaneous.Zero2DF(_xll.HLV5r3.Analytics.Miscellaneous.LinearInterp(Peturbed_QZ,$K403,1,W$1),ZeroCompFreq,'PDH Calc'!$K403/365)</f>
        <v>1</v>
      </c>
      <c r="X403" s="8">
        <f ca="1">_xll.HLV5r3.Analytics.Miscellaneous.Zero2DF(_xll.HLV5r3.Analytics.Miscellaneous.LinearInterp(Peturbed_QZ,$K403,1,X$1),ZeroCompFreq,'PDH Calc'!$K403/365)</f>
        <v>1</v>
      </c>
      <c r="Y403" s="8">
        <f ca="1">_xll.HLV5r3.Analytics.Miscellaneous.Zero2DF(_xll.HLV5r3.Analytics.Miscellaneous.LinearInterp(Peturbed_QZ,$K403,1,Y$1),ZeroCompFreq,'PDH Calc'!$K403/365)</f>
        <v>1</v>
      </c>
      <c r="Z403" s="8">
        <f ca="1">_xll.HLV5r3.Analytics.Miscellaneous.Zero2DF(_xll.HLV5r3.Analytics.Miscellaneous.LinearInterp(Peturbed_QZ,$K403,1,Z$1),ZeroCompFreq,'PDH Calc'!$K403/365)</f>
        <v>1</v>
      </c>
      <c r="AA403" s="8">
        <f ca="1">_xll.HLV5r3.Analytics.Miscellaneous.Zero2DF(_xll.HLV5r3.Analytics.Miscellaneous.LinearInterp(Peturbed_QZ,$K403,1,AA$1),ZeroCompFreq,'PDH Calc'!$K403/365)</f>
        <v>1</v>
      </c>
      <c r="AB403" s="8">
        <f ca="1">_xll.HLV5r3.Analytics.Miscellaneous.Zero2DF(_xll.HLV5r3.Analytics.Miscellaneous.LinearInterp(Peturbed_QZ,$K403,1,AB$1),ZeroCompFreq,'PDH Calc'!$K403/365)</f>
        <v>1</v>
      </c>
      <c r="AC403" s="8">
        <f ca="1">_xll.HLV5r3.Analytics.Miscellaneous.Zero2DF(_xll.HLV5r3.Analytics.Miscellaneous.LinearInterp(Peturbed_QZ,$K403,1,AC$1),ZeroCompFreq,'PDH Calc'!$K403/365)</f>
        <v>1</v>
      </c>
      <c r="AD403" s="8">
        <f ca="1">_xll.HLV5r3.Analytics.Miscellaneous.Zero2DF(_xll.HLV5r3.Analytics.Miscellaneous.LinearInterp(Peturbed_QZ,$K403,1,AD$1),ZeroCompFreq,'PDH Calc'!$K403/365)</f>
        <v>1</v>
      </c>
      <c r="AE403" s="8">
        <f ca="1">_xll.HLV5r3.Analytics.Miscellaneous.Zero2DF(_xll.HLV5r3.Analytics.Miscellaneous.LinearInterp(Peturbed_QZ,$K403,1,AE$1),ZeroCompFreq,'PDH Calc'!$K403/365)</f>
        <v>1</v>
      </c>
      <c r="AF403" s="8">
        <f ca="1">_xll.HLV5r3.Analytics.Miscellaneous.Zero2DF(_xll.HLV5r3.Analytics.Miscellaneous.LinearInterp(Peturbed_QZ,$K403,1,AF$1),ZeroCompFreq,'PDH Calc'!$K403/365)</f>
        <v>1</v>
      </c>
      <c r="AG403" s="8">
        <f ca="1">_xll.HLV5r3.Analytics.Miscellaneous.Zero2DF(_xll.HLV5r3.Analytics.Miscellaneous.LinearInterp(Peturbed_QZ,$K403,1,AG$1),ZeroCompFreq,'PDH Calc'!$K403/365)</f>
        <v>1</v>
      </c>
      <c r="AH403" s="8">
        <f ca="1">_xll.HLV5r3.Analytics.Miscellaneous.Zero2DF(_xll.HLV5r3.Analytics.Miscellaneous.LinearInterp(Peturbed_QZ,$K403,1,AH$1),ZeroCompFreq,'PDH Calc'!$K403/365)</f>
        <v>1</v>
      </c>
      <c r="AI403" s="8">
        <f ca="1">_xll.HLV5r3.Analytics.Miscellaneous.Zero2DF(_xll.HLV5r3.Analytics.Miscellaneous.LinearInterp(Peturbed_QZ,$K403,1,AI$1),ZeroCompFreq,'PDH Calc'!$K403/365)</f>
        <v>1</v>
      </c>
      <c r="AJ403" s="8">
        <f ca="1">_xll.HLV5r3.Analytics.Miscellaneous.Zero2DF(_xll.HLV5r3.Analytics.Miscellaneous.LinearInterp(Peturbed_QZ,$K403,1,AJ$1),ZeroCompFreq,'PDH Calc'!$K403/365)</f>
        <v>1</v>
      </c>
      <c r="AK403" s="8">
        <f ca="1">_xll.HLV5r3.Analytics.Miscellaneous.Zero2DF(_xll.HLV5r3.Analytics.Miscellaneous.LinearInterp(Peturbed_QZ,$K403,1,AK$1),ZeroCompFreq,'PDH Calc'!$K403/365)</f>
        <v>1</v>
      </c>
    </row>
    <row r="404" spans="1:37">
      <c r="A404" s="4"/>
      <c r="B404" s="6"/>
      <c r="F404" s="11"/>
      <c r="G404" s="6"/>
      <c r="H404" s="20"/>
      <c r="I404" s="21"/>
      <c r="J404" s="26"/>
      <c r="K404" s="6">
        <f t="shared" ca="1" si="12"/>
        <v>0</v>
      </c>
      <c r="L404" s="8">
        <f ca="1">_xll.HLV5r3.Analytics.Miscellaneous.Zero2DF(_xll.HLV5r3.Analytics.Miscellaneous.LinearInterp(Peturbed_QZ,$K404,1,L$1),ZeroCompFreq,'PDH Calc'!$K404/365)</f>
        <v>1</v>
      </c>
      <c r="M404" s="8">
        <f ca="1">_xll.HLV5r3.Analytics.Miscellaneous.Zero2DF(_xll.HLV5r3.Analytics.Miscellaneous.LinearInterp(Peturbed_QZ,$K404,1,M$1),ZeroCompFreq,'PDH Calc'!$K404/365)</f>
        <v>1</v>
      </c>
      <c r="N404" s="8">
        <f ca="1">_xll.HLV5r3.Analytics.Miscellaneous.Zero2DF(_xll.HLV5r3.Analytics.Miscellaneous.LinearInterp(Peturbed_QZ,$K404,1,N$1),ZeroCompFreq,'PDH Calc'!$K404/365)</f>
        <v>1</v>
      </c>
      <c r="O404" s="8">
        <f ca="1">_xll.HLV5r3.Analytics.Miscellaneous.Zero2DF(_xll.HLV5r3.Analytics.Miscellaneous.LinearInterp(Peturbed_QZ,$K404,1,O$1),ZeroCompFreq,'PDH Calc'!$K404/365)</f>
        <v>1</v>
      </c>
      <c r="P404" s="8">
        <f ca="1">_xll.HLV5r3.Analytics.Miscellaneous.Zero2DF(_xll.HLV5r3.Analytics.Miscellaneous.LinearInterp(Peturbed_QZ,$K404,1,P$1),ZeroCompFreq,'PDH Calc'!$K404/365)</f>
        <v>1</v>
      </c>
      <c r="Q404" s="8">
        <f ca="1">_xll.HLV5r3.Analytics.Miscellaneous.Zero2DF(_xll.HLV5r3.Analytics.Miscellaneous.LinearInterp(Peturbed_QZ,$K404,1,Q$1),ZeroCompFreq,'PDH Calc'!$K404/365)</f>
        <v>1</v>
      </c>
      <c r="R404" s="8">
        <f ca="1">_xll.HLV5r3.Analytics.Miscellaneous.Zero2DF(_xll.HLV5r3.Analytics.Miscellaneous.LinearInterp(Peturbed_QZ,$K404,1,R$1),ZeroCompFreq,'PDH Calc'!$K404/365)</f>
        <v>1</v>
      </c>
      <c r="S404" s="8">
        <f ca="1">_xll.HLV5r3.Analytics.Miscellaneous.Zero2DF(_xll.HLV5r3.Analytics.Miscellaneous.LinearInterp(Peturbed_QZ,$K404,1,S$1),ZeroCompFreq,'PDH Calc'!$K404/365)</f>
        <v>1</v>
      </c>
      <c r="T404" s="8">
        <f ca="1">_xll.HLV5r3.Analytics.Miscellaneous.Zero2DF(_xll.HLV5r3.Analytics.Miscellaneous.LinearInterp(Peturbed_QZ,$K404,1,T$1),ZeroCompFreq,'PDH Calc'!$K404/365)</f>
        <v>1</v>
      </c>
      <c r="U404" s="8">
        <f ca="1">_xll.HLV5r3.Analytics.Miscellaneous.Zero2DF(_xll.HLV5r3.Analytics.Miscellaneous.LinearInterp(Peturbed_QZ,$K404,1,U$1),ZeroCompFreq,'PDH Calc'!$K404/365)</f>
        <v>1</v>
      </c>
      <c r="V404" s="8">
        <f ca="1">_xll.HLV5r3.Analytics.Miscellaneous.Zero2DF(_xll.HLV5r3.Analytics.Miscellaneous.LinearInterp(Peturbed_QZ,$K404,1,V$1),ZeroCompFreq,'PDH Calc'!$K404/365)</f>
        <v>1</v>
      </c>
      <c r="W404" s="8">
        <f ca="1">_xll.HLV5r3.Analytics.Miscellaneous.Zero2DF(_xll.HLV5r3.Analytics.Miscellaneous.LinearInterp(Peturbed_QZ,$K404,1,W$1),ZeroCompFreq,'PDH Calc'!$K404/365)</f>
        <v>1</v>
      </c>
      <c r="X404" s="8">
        <f ca="1">_xll.HLV5r3.Analytics.Miscellaneous.Zero2DF(_xll.HLV5r3.Analytics.Miscellaneous.LinearInterp(Peturbed_QZ,$K404,1,X$1),ZeroCompFreq,'PDH Calc'!$K404/365)</f>
        <v>1</v>
      </c>
      <c r="Y404" s="8">
        <f ca="1">_xll.HLV5r3.Analytics.Miscellaneous.Zero2DF(_xll.HLV5r3.Analytics.Miscellaneous.LinearInterp(Peturbed_QZ,$K404,1,Y$1),ZeroCompFreq,'PDH Calc'!$K404/365)</f>
        <v>1</v>
      </c>
      <c r="Z404" s="8">
        <f ca="1">_xll.HLV5r3.Analytics.Miscellaneous.Zero2DF(_xll.HLV5r3.Analytics.Miscellaneous.LinearInterp(Peturbed_QZ,$K404,1,Z$1),ZeroCompFreq,'PDH Calc'!$K404/365)</f>
        <v>1</v>
      </c>
      <c r="AA404" s="8">
        <f ca="1">_xll.HLV5r3.Analytics.Miscellaneous.Zero2DF(_xll.HLV5r3.Analytics.Miscellaneous.LinearInterp(Peturbed_QZ,$K404,1,AA$1),ZeroCompFreq,'PDH Calc'!$K404/365)</f>
        <v>1</v>
      </c>
      <c r="AB404" s="8">
        <f ca="1">_xll.HLV5r3.Analytics.Miscellaneous.Zero2DF(_xll.HLV5r3.Analytics.Miscellaneous.LinearInterp(Peturbed_QZ,$K404,1,AB$1),ZeroCompFreq,'PDH Calc'!$K404/365)</f>
        <v>1</v>
      </c>
      <c r="AC404" s="8">
        <f ca="1">_xll.HLV5r3.Analytics.Miscellaneous.Zero2DF(_xll.HLV5r3.Analytics.Miscellaneous.LinearInterp(Peturbed_QZ,$K404,1,AC$1),ZeroCompFreq,'PDH Calc'!$K404/365)</f>
        <v>1</v>
      </c>
      <c r="AD404" s="8">
        <f ca="1">_xll.HLV5r3.Analytics.Miscellaneous.Zero2DF(_xll.HLV5r3.Analytics.Miscellaneous.LinearInterp(Peturbed_QZ,$K404,1,AD$1),ZeroCompFreq,'PDH Calc'!$K404/365)</f>
        <v>1</v>
      </c>
      <c r="AE404" s="8">
        <f ca="1">_xll.HLV5r3.Analytics.Miscellaneous.Zero2DF(_xll.HLV5r3.Analytics.Miscellaneous.LinearInterp(Peturbed_QZ,$K404,1,AE$1),ZeroCompFreq,'PDH Calc'!$K404/365)</f>
        <v>1</v>
      </c>
      <c r="AF404" s="8">
        <f ca="1">_xll.HLV5r3.Analytics.Miscellaneous.Zero2DF(_xll.HLV5r3.Analytics.Miscellaneous.LinearInterp(Peturbed_QZ,$K404,1,AF$1),ZeroCompFreq,'PDH Calc'!$K404/365)</f>
        <v>1</v>
      </c>
      <c r="AG404" s="8">
        <f ca="1">_xll.HLV5r3.Analytics.Miscellaneous.Zero2DF(_xll.HLV5r3.Analytics.Miscellaneous.LinearInterp(Peturbed_QZ,$K404,1,AG$1),ZeroCompFreq,'PDH Calc'!$K404/365)</f>
        <v>1</v>
      </c>
      <c r="AH404" s="8">
        <f ca="1">_xll.HLV5r3.Analytics.Miscellaneous.Zero2DF(_xll.HLV5r3.Analytics.Miscellaneous.LinearInterp(Peturbed_QZ,$K404,1,AH$1),ZeroCompFreq,'PDH Calc'!$K404/365)</f>
        <v>1</v>
      </c>
      <c r="AI404" s="8">
        <f ca="1">_xll.HLV5r3.Analytics.Miscellaneous.Zero2DF(_xll.HLV5r3.Analytics.Miscellaneous.LinearInterp(Peturbed_QZ,$K404,1,AI$1),ZeroCompFreq,'PDH Calc'!$K404/365)</f>
        <v>1</v>
      </c>
      <c r="AJ404" s="8">
        <f ca="1">_xll.HLV5r3.Analytics.Miscellaneous.Zero2DF(_xll.HLV5r3.Analytics.Miscellaneous.LinearInterp(Peturbed_QZ,$K404,1,AJ$1),ZeroCompFreq,'PDH Calc'!$K404/365)</f>
        <v>1</v>
      </c>
      <c r="AK404" s="8">
        <f ca="1">_xll.HLV5r3.Analytics.Miscellaneous.Zero2DF(_xll.HLV5r3.Analytics.Miscellaneous.LinearInterp(Peturbed_QZ,$K404,1,AK$1),ZeroCompFreq,'PDH Calc'!$K404/365)</f>
        <v>1</v>
      </c>
    </row>
    <row r="405" spans="1:37">
      <c r="A405" s="4"/>
      <c r="B405" s="6"/>
      <c r="F405" s="11"/>
      <c r="G405" s="6"/>
      <c r="H405" s="20"/>
      <c r="I405" s="21"/>
      <c r="J405" s="26"/>
      <c r="K405" s="6">
        <f t="shared" ca="1" si="12"/>
        <v>0</v>
      </c>
      <c r="L405" s="8">
        <f ca="1">_xll.HLV5r3.Analytics.Miscellaneous.Zero2DF(_xll.HLV5r3.Analytics.Miscellaneous.LinearInterp(Peturbed_QZ,$K405,1,L$1),ZeroCompFreq,'PDH Calc'!$K405/365)</f>
        <v>1</v>
      </c>
      <c r="M405" s="8">
        <f ca="1">_xll.HLV5r3.Analytics.Miscellaneous.Zero2DF(_xll.HLV5r3.Analytics.Miscellaneous.LinearInterp(Peturbed_QZ,$K405,1,M$1),ZeroCompFreq,'PDH Calc'!$K405/365)</f>
        <v>1</v>
      </c>
      <c r="N405" s="8">
        <f ca="1">_xll.HLV5r3.Analytics.Miscellaneous.Zero2DF(_xll.HLV5r3.Analytics.Miscellaneous.LinearInterp(Peturbed_QZ,$K405,1,N$1),ZeroCompFreq,'PDH Calc'!$K405/365)</f>
        <v>1</v>
      </c>
      <c r="O405" s="8">
        <f ca="1">_xll.HLV5r3.Analytics.Miscellaneous.Zero2DF(_xll.HLV5r3.Analytics.Miscellaneous.LinearInterp(Peturbed_QZ,$K405,1,O$1),ZeroCompFreq,'PDH Calc'!$K405/365)</f>
        <v>1</v>
      </c>
      <c r="P405" s="8">
        <f ca="1">_xll.HLV5r3.Analytics.Miscellaneous.Zero2DF(_xll.HLV5r3.Analytics.Miscellaneous.LinearInterp(Peturbed_QZ,$K405,1,P$1),ZeroCompFreq,'PDH Calc'!$K405/365)</f>
        <v>1</v>
      </c>
      <c r="Q405" s="8">
        <f ca="1">_xll.HLV5r3.Analytics.Miscellaneous.Zero2DF(_xll.HLV5r3.Analytics.Miscellaneous.LinearInterp(Peturbed_QZ,$K405,1,Q$1),ZeroCompFreq,'PDH Calc'!$K405/365)</f>
        <v>1</v>
      </c>
      <c r="R405" s="8">
        <f ca="1">_xll.HLV5r3.Analytics.Miscellaneous.Zero2DF(_xll.HLV5r3.Analytics.Miscellaneous.LinearInterp(Peturbed_QZ,$K405,1,R$1),ZeroCompFreq,'PDH Calc'!$K405/365)</f>
        <v>1</v>
      </c>
      <c r="S405" s="8">
        <f ca="1">_xll.HLV5r3.Analytics.Miscellaneous.Zero2DF(_xll.HLV5r3.Analytics.Miscellaneous.LinearInterp(Peturbed_QZ,$K405,1,S$1),ZeroCompFreq,'PDH Calc'!$K405/365)</f>
        <v>1</v>
      </c>
      <c r="T405" s="8">
        <f ca="1">_xll.HLV5r3.Analytics.Miscellaneous.Zero2DF(_xll.HLV5r3.Analytics.Miscellaneous.LinearInterp(Peturbed_QZ,$K405,1,T$1),ZeroCompFreq,'PDH Calc'!$K405/365)</f>
        <v>1</v>
      </c>
      <c r="U405" s="8">
        <f ca="1">_xll.HLV5r3.Analytics.Miscellaneous.Zero2DF(_xll.HLV5r3.Analytics.Miscellaneous.LinearInterp(Peturbed_QZ,$K405,1,U$1),ZeroCompFreq,'PDH Calc'!$K405/365)</f>
        <v>1</v>
      </c>
      <c r="V405" s="8">
        <f ca="1">_xll.HLV5r3.Analytics.Miscellaneous.Zero2DF(_xll.HLV5r3.Analytics.Miscellaneous.LinearInterp(Peturbed_QZ,$K405,1,V$1),ZeroCompFreq,'PDH Calc'!$K405/365)</f>
        <v>1</v>
      </c>
      <c r="W405" s="8">
        <f ca="1">_xll.HLV5r3.Analytics.Miscellaneous.Zero2DF(_xll.HLV5r3.Analytics.Miscellaneous.LinearInterp(Peturbed_QZ,$K405,1,W$1),ZeroCompFreq,'PDH Calc'!$K405/365)</f>
        <v>1</v>
      </c>
      <c r="X405" s="8">
        <f ca="1">_xll.HLV5r3.Analytics.Miscellaneous.Zero2DF(_xll.HLV5r3.Analytics.Miscellaneous.LinearInterp(Peturbed_QZ,$K405,1,X$1),ZeroCompFreq,'PDH Calc'!$K405/365)</f>
        <v>1</v>
      </c>
      <c r="Y405" s="8">
        <f ca="1">_xll.HLV5r3.Analytics.Miscellaneous.Zero2DF(_xll.HLV5r3.Analytics.Miscellaneous.LinearInterp(Peturbed_QZ,$K405,1,Y$1),ZeroCompFreq,'PDH Calc'!$K405/365)</f>
        <v>1</v>
      </c>
      <c r="Z405" s="8">
        <f ca="1">_xll.HLV5r3.Analytics.Miscellaneous.Zero2DF(_xll.HLV5r3.Analytics.Miscellaneous.LinearInterp(Peturbed_QZ,$K405,1,Z$1),ZeroCompFreq,'PDH Calc'!$K405/365)</f>
        <v>1</v>
      </c>
      <c r="AA405" s="8">
        <f ca="1">_xll.HLV5r3.Analytics.Miscellaneous.Zero2DF(_xll.HLV5r3.Analytics.Miscellaneous.LinearInterp(Peturbed_QZ,$K405,1,AA$1),ZeroCompFreq,'PDH Calc'!$K405/365)</f>
        <v>1</v>
      </c>
      <c r="AB405" s="8">
        <f ca="1">_xll.HLV5r3.Analytics.Miscellaneous.Zero2DF(_xll.HLV5r3.Analytics.Miscellaneous.LinearInterp(Peturbed_QZ,$K405,1,AB$1),ZeroCompFreq,'PDH Calc'!$K405/365)</f>
        <v>1</v>
      </c>
      <c r="AC405" s="8">
        <f ca="1">_xll.HLV5r3.Analytics.Miscellaneous.Zero2DF(_xll.HLV5r3.Analytics.Miscellaneous.LinearInterp(Peturbed_QZ,$K405,1,AC$1),ZeroCompFreq,'PDH Calc'!$K405/365)</f>
        <v>1</v>
      </c>
      <c r="AD405" s="8">
        <f ca="1">_xll.HLV5r3.Analytics.Miscellaneous.Zero2DF(_xll.HLV5r3.Analytics.Miscellaneous.LinearInterp(Peturbed_QZ,$K405,1,AD$1),ZeroCompFreq,'PDH Calc'!$K405/365)</f>
        <v>1</v>
      </c>
      <c r="AE405" s="8">
        <f ca="1">_xll.HLV5r3.Analytics.Miscellaneous.Zero2DF(_xll.HLV5r3.Analytics.Miscellaneous.LinearInterp(Peturbed_QZ,$K405,1,AE$1),ZeroCompFreq,'PDH Calc'!$K405/365)</f>
        <v>1</v>
      </c>
      <c r="AF405" s="8">
        <f ca="1">_xll.HLV5r3.Analytics.Miscellaneous.Zero2DF(_xll.HLV5r3.Analytics.Miscellaneous.LinearInterp(Peturbed_QZ,$K405,1,AF$1),ZeroCompFreq,'PDH Calc'!$K405/365)</f>
        <v>1</v>
      </c>
      <c r="AG405" s="8">
        <f ca="1">_xll.HLV5r3.Analytics.Miscellaneous.Zero2DF(_xll.HLV5r3.Analytics.Miscellaneous.LinearInterp(Peturbed_QZ,$K405,1,AG$1),ZeroCompFreq,'PDH Calc'!$K405/365)</f>
        <v>1</v>
      </c>
      <c r="AH405" s="8">
        <f ca="1">_xll.HLV5r3.Analytics.Miscellaneous.Zero2DF(_xll.HLV5r3.Analytics.Miscellaneous.LinearInterp(Peturbed_QZ,$K405,1,AH$1),ZeroCompFreq,'PDH Calc'!$K405/365)</f>
        <v>1</v>
      </c>
      <c r="AI405" s="8">
        <f ca="1">_xll.HLV5r3.Analytics.Miscellaneous.Zero2DF(_xll.HLV5r3.Analytics.Miscellaneous.LinearInterp(Peturbed_QZ,$K405,1,AI$1),ZeroCompFreq,'PDH Calc'!$K405/365)</f>
        <v>1</v>
      </c>
      <c r="AJ405" s="8">
        <f ca="1">_xll.HLV5r3.Analytics.Miscellaneous.Zero2DF(_xll.HLV5r3.Analytics.Miscellaneous.LinearInterp(Peturbed_QZ,$K405,1,AJ$1),ZeroCompFreq,'PDH Calc'!$K405/365)</f>
        <v>1</v>
      </c>
      <c r="AK405" s="8">
        <f ca="1">_xll.HLV5r3.Analytics.Miscellaneous.Zero2DF(_xll.HLV5r3.Analytics.Miscellaneous.LinearInterp(Peturbed_QZ,$K405,1,AK$1),ZeroCompFreq,'PDH Calc'!$K405/365)</f>
        <v>1</v>
      </c>
    </row>
    <row r="406" spans="1:37">
      <c r="A406" s="4"/>
      <c r="B406" s="6"/>
      <c r="F406" s="11"/>
      <c r="G406" s="6"/>
      <c r="H406" s="20"/>
      <c r="I406" s="21"/>
      <c r="J406" s="26"/>
      <c r="K406" s="6">
        <f t="shared" ca="1" si="12"/>
        <v>0</v>
      </c>
      <c r="L406" s="8">
        <f ca="1">_xll.HLV5r3.Analytics.Miscellaneous.Zero2DF(_xll.HLV5r3.Analytics.Miscellaneous.LinearInterp(Peturbed_QZ,$K406,1,L$1),ZeroCompFreq,'PDH Calc'!$K406/365)</f>
        <v>1</v>
      </c>
      <c r="M406" s="8">
        <f ca="1">_xll.HLV5r3.Analytics.Miscellaneous.Zero2DF(_xll.HLV5r3.Analytics.Miscellaneous.LinearInterp(Peturbed_QZ,$K406,1,M$1),ZeroCompFreq,'PDH Calc'!$K406/365)</f>
        <v>1</v>
      </c>
      <c r="N406" s="8">
        <f ca="1">_xll.HLV5r3.Analytics.Miscellaneous.Zero2DF(_xll.HLV5r3.Analytics.Miscellaneous.LinearInterp(Peturbed_QZ,$K406,1,N$1),ZeroCompFreq,'PDH Calc'!$K406/365)</f>
        <v>1</v>
      </c>
      <c r="O406" s="8">
        <f ca="1">_xll.HLV5r3.Analytics.Miscellaneous.Zero2DF(_xll.HLV5r3.Analytics.Miscellaneous.LinearInterp(Peturbed_QZ,$K406,1,O$1),ZeroCompFreq,'PDH Calc'!$K406/365)</f>
        <v>1</v>
      </c>
      <c r="P406" s="8">
        <f ca="1">_xll.HLV5r3.Analytics.Miscellaneous.Zero2DF(_xll.HLV5r3.Analytics.Miscellaneous.LinearInterp(Peturbed_QZ,$K406,1,P$1),ZeroCompFreq,'PDH Calc'!$K406/365)</f>
        <v>1</v>
      </c>
      <c r="Q406" s="8">
        <f ca="1">_xll.HLV5r3.Analytics.Miscellaneous.Zero2DF(_xll.HLV5r3.Analytics.Miscellaneous.LinearInterp(Peturbed_QZ,$K406,1,Q$1),ZeroCompFreq,'PDH Calc'!$K406/365)</f>
        <v>1</v>
      </c>
      <c r="R406" s="8">
        <f ca="1">_xll.HLV5r3.Analytics.Miscellaneous.Zero2DF(_xll.HLV5r3.Analytics.Miscellaneous.LinearInterp(Peturbed_QZ,$K406,1,R$1),ZeroCompFreq,'PDH Calc'!$K406/365)</f>
        <v>1</v>
      </c>
      <c r="S406" s="8">
        <f ca="1">_xll.HLV5r3.Analytics.Miscellaneous.Zero2DF(_xll.HLV5r3.Analytics.Miscellaneous.LinearInterp(Peturbed_QZ,$K406,1,S$1),ZeroCompFreq,'PDH Calc'!$K406/365)</f>
        <v>1</v>
      </c>
      <c r="T406" s="8">
        <f ca="1">_xll.HLV5r3.Analytics.Miscellaneous.Zero2DF(_xll.HLV5r3.Analytics.Miscellaneous.LinearInterp(Peturbed_QZ,$K406,1,T$1),ZeroCompFreq,'PDH Calc'!$K406/365)</f>
        <v>1</v>
      </c>
      <c r="U406" s="8">
        <f ca="1">_xll.HLV5r3.Analytics.Miscellaneous.Zero2DF(_xll.HLV5r3.Analytics.Miscellaneous.LinearInterp(Peturbed_QZ,$K406,1,U$1),ZeroCompFreq,'PDH Calc'!$K406/365)</f>
        <v>1</v>
      </c>
      <c r="V406" s="8">
        <f ca="1">_xll.HLV5r3.Analytics.Miscellaneous.Zero2DF(_xll.HLV5r3.Analytics.Miscellaneous.LinearInterp(Peturbed_QZ,$K406,1,V$1),ZeroCompFreq,'PDH Calc'!$K406/365)</f>
        <v>1</v>
      </c>
      <c r="W406" s="8">
        <f ca="1">_xll.HLV5r3.Analytics.Miscellaneous.Zero2DF(_xll.HLV5r3.Analytics.Miscellaneous.LinearInterp(Peturbed_QZ,$K406,1,W$1),ZeroCompFreq,'PDH Calc'!$K406/365)</f>
        <v>1</v>
      </c>
      <c r="X406" s="8">
        <f ca="1">_xll.HLV5r3.Analytics.Miscellaneous.Zero2DF(_xll.HLV5r3.Analytics.Miscellaneous.LinearInterp(Peturbed_QZ,$K406,1,X$1),ZeroCompFreq,'PDH Calc'!$K406/365)</f>
        <v>1</v>
      </c>
      <c r="Y406" s="8">
        <f ca="1">_xll.HLV5r3.Analytics.Miscellaneous.Zero2DF(_xll.HLV5r3.Analytics.Miscellaneous.LinearInterp(Peturbed_QZ,$K406,1,Y$1),ZeroCompFreq,'PDH Calc'!$K406/365)</f>
        <v>1</v>
      </c>
      <c r="Z406" s="8">
        <f ca="1">_xll.HLV5r3.Analytics.Miscellaneous.Zero2DF(_xll.HLV5r3.Analytics.Miscellaneous.LinearInterp(Peturbed_QZ,$K406,1,Z$1),ZeroCompFreq,'PDH Calc'!$K406/365)</f>
        <v>1</v>
      </c>
      <c r="AA406" s="8">
        <f ca="1">_xll.HLV5r3.Analytics.Miscellaneous.Zero2DF(_xll.HLV5r3.Analytics.Miscellaneous.LinearInterp(Peturbed_QZ,$K406,1,AA$1),ZeroCompFreq,'PDH Calc'!$K406/365)</f>
        <v>1</v>
      </c>
      <c r="AB406" s="8">
        <f ca="1">_xll.HLV5r3.Analytics.Miscellaneous.Zero2DF(_xll.HLV5r3.Analytics.Miscellaneous.LinearInterp(Peturbed_QZ,$K406,1,AB$1),ZeroCompFreq,'PDH Calc'!$K406/365)</f>
        <v>1</v>
      </c>
      <c r="AC406" s="8">
        <f ca="1">_xll.HLV5r3.Analytics.Miscellaneous.Zero2DF(_xll.HLV5r3.Analytics.Miscellaneous.LinearInterp(Peturbed_QZ,$K406,1,AC$1),ZeroCompFreq,'PDH Calc'!$K406/365)</f>
        <v>1</v>
      </c>
      <c r="AD406" s="8">
        <f ca="1">_xll.HLV5r3.Analytics.Miscellaneous.Zero2DF(_xll.HLV5r3.Analytics.Miscellaneous.LinearInterp(Peturbed_QZ,$K406,1,AD$1),ZeroCompFreq,'PDH Calc'!$K406/365)</f>
        <v>1</v>
      </c>
      <c r="AE406" s="8">
        <f ca="1">_xll.HLV5r3.Analytics.Miscellaneous.Zero2DF(_xll.HLV5r3.Analytics.Miscellaneous.LinearInterp(Peturbed_QZ,$K406,1,AE$1),ZeroCompFreq,'PDH Calc'!$K406/365)</f>
        <v>1</v>
      </c>
      <c r="AF406" s="8">
        <f ca="1">_xll.HLV5r3.Analytics.Miscellaneous.Zero2DF(_xll.HLV5r3.Analytics.Miscellaneous.LinearInterp(Peturbed_QZ,$K406,1,AF$1),ZeroCompFreq,'PDH Calc'!$K406/365)</f>
        <v>1</v>
      </c>
      <c r="AG406" s="8">
        <f ca="1">_xll.HLV5r3.Analytics.Miscellaneous.Zero2DF(_xll.HLV5r3.Analytics.Miscellaneous.LinearInterp(Peturbed_QZ,$K406,1,AG$1),ZeroCompFreq,'PDH Calc'!$K406/365)</f>
        <v>1</v>
      </c>
      <c r="AH406" s="8">
        <f ca="1">_xll.HLV5r3.Analytics.Miscellaneous.Zero2DF(_xll.HLV5r3.Analytics.Miscellaneous.LinearInterp(Peturbed_QZ,$K406,1,AH$1),ZeroCompFreq,'PDH Calc'!$K406/365)</f>
        <v>1</v>
      </c>
      <c r="AI406" s="8">
        <f ca="1">_xll.HLV5r3.Analytics.Miscellaneous.Zero2DF(_xll.HLV5r3.Analytics.Miscellaneous.LinearInterp(Peturbed_QZ,$K406,1,AI$1),ZeroCompFreq,'PDH Calc'!$K406/365)</f>
        <v>1</v>
      </c>
      <c r="AJ406" s="8">
        <f ca="1">_xll.HLV5r3.Analytics.Miscellaneous.Zero2DF(_xll.HLV5r3.Analytics.Miscellaneous.LinearInterp(Peturbed_QZ,$K406,1,AJ$1),ZeroCompFreq,'PDH Calc'!$K406/365)</f>
        <v>1</v>
      </c>
      <c r="AK406" s="8">
        <f ca="1">_xll.HLV5r3.Analytics.Miscellaneous.Zero2DF(_xll.HLV5r3.Analytics.Miscellaneous.LinearInterp(Peturbed_QZ,$K406,1,AK$1),ZeroCompFreq,'PDH Calc'!$K406/365)</f>
        <v>1</v>
      </c>
    </row>
    <row r="407" spans="1:37">
      <c r="A407" s="4"/>
      <c r="B407" s="6"/>
      <c r="F407" s="11"/>
      <c r="G407" s="6"/>
      <c r="H407" s="20"/>
      <c r="I407" s="21"/>
      <c r="J407" s="26"/>
      <c r="K407" s="6">
        <f t="shared" ca="1" si="12"/>
        <v>0</v>
      </c>
      <c r="L407" s="8">
        <f ca="1">_xll.HLV5r3.Analytics.Miscellaneous.Zero2DF(_xll.HLV5r3.Analytics.Miscellaneous.LinearInterp(Peturbed_QZ,$K407,1,L$1),ZeroCompFreq,'PDH Calc'!$K407/365)</f>
        <v>1</v>
      </c>
      <c r="M407" s="8">
        <f ca="1">_xll.HLV5r3.Analytics.Miscellaneous.Zero2DF(_xll.HLV5r3.Analytics.Miscellaneous.LinearInterp(Peturbed_QZ,$K407,1,M$1),ZeroCompFreq,'PDH Calc'!$K407/365)</f>
        <v>1</v>
      </c>
      <c r="N407" s="8">
        <f ca="1">_xll.HLV5r3.Analytics.Miscellaneous.Zero2DF(_xll.HLV5r3.Analytics.Miscellaneous.LinearInterp(Peturbed_QZ,$K407,1,N$1),ZeroCompFreq,'PDH Calc'!$K407/365)</f>
        <v>1</v>
      </c>
      <c r="O407" s="8">
        <f ca="1">_xll.HLV5r3.Analytics.Miscellaneous.Zero2DF(_xll.HLV5r3.Analytics.Miscellaneous.LinearInterp(Peturbed_QZ,$K407,1,O$1),ZeroCompFreq,'PDH Calc'!$K407/365)</f>
        <v>1</v>
      </c>
      <c r="P407" s="8">
        <f ca="1">_xll.HLV5r3.Analytics.Miscellaneous.Zero2DF(_xll.HLV5r3.Analytics.Miscellaneous.LinearInterp(Peturbed_QZ,$K407,1,P$1),ZeroCompFreq,'PDH Calc'!$K407/365)</f>
        <v>1</v>
      </c>
      <c r="Q407" s="8">
        <f ca="1">_xll.HLV5r3.Analytics.Miscellaneous.Zero2DF(_xll.HLV5r3.Analytics.Miscellaneous.LinearInterp(Peturbed_QZ,$K407,1,Q$1),ZeroCompFreq,'PDH Calc'!$K407/365)</f>
        <v>1</v>
      </c>
      <c r="R407" s="8">
        <f ca="1">_xll.HLV5r3.Analytics.Miscellaneous.Zero2DF(_xll.HLV5r3.Analytics.Miscellaneous.LinearInterp(Peturbed_QZ,$K407,1,R$1),ZeroCompFreq,'PDH Calc'!$K407/365)</f>
        <v>1</v>
      </c>
      <c r="S407" s="8">
        <f ca="1">_xll.HLV5r3.Analytics.Miscellaneous.Zero2DF(_xll.HLV5r3.Analytics.Miscellaneous.LinearInterp(Peturbed_QZ,$K407,1,S$1),ZeroCompFreq,'PDH Calc'!$K407/365)</f>
        <v>1</v>
      </c>
      <c r="T407" s="8">
        <f ca="1">_xll.HLV5r3.Analytics.Miscellaneous.Zero2DF(_xll.HLV5r3.Analytics.Miscellaneous.LinearInterp(Peturbed_QZ,$K407,1,T$1),ZeroCompFreq,'PDH Calc'!$K407/365)</f>
        <v>1</v>
      </c>
      <c r="U407" s="8">
        <f ca="1">_xll.HLV5r3.Analytics.Miscellaneous.Zero2DF(_xll.HLV5r3.Analytics.Miscellaneous.LinearInterp(Peturbed_QZ,$K407,1,U$1),ZeroCompFreq,'PDH Calc'!$K407/365)</f>
        <v>1</v>
      </c>
      <c r="V407" s="8">
        <f ca="1">_xll.HLV5r3.Analytics.Miscellaneous.Zero2DF(_xll.HLV5r3.Analytics.Miscellaneous.LinearInterp(Peturbed_QZ,$K407,1,V$1),ZeroCompFreq,'PDH Calc'!$K407/365)</f>
        <v>1</v>
      </c>
      <c r="W407" s="8">
        <f ca="1">_xll.HLV5r3.Analytics.Miscellaneous.Zero2DF(_xll.HLV5r3.Analytics.Miscellaneous.LinearInterp(Peturbed_QZ,$K407,1,W$1),ZeroCompFreq,'PDH Calc'!$K407/365)</f>
        <v>1</v>
      </c>
      <c r="X407" s="8">
        <f ca="1">_xll.HLV5r3.Analytics.Miscellaneous.Zero2DF(_xll.HLV5r3.Analytics.Miscellaneous.LinearInterp(Peturbed_QZ,$K407,1,X$1),ZeroCompFreq,'PDH Calc'!$K407/365)</f>
        <v>1</v>
      </c>
      <c r="Y407" s="8">
        <f ca="1">_xll.HLV5r3.Analytics.Miscellaneous.Zero2DF(_xll.HLV5r3.Analytics.Miscellaneous.LinearInterp(Peturbed_QZ,$K407,1,Y$1),ZeroCompFreq,'PDH Calc'!$K407/365)</f>
        <v>1</v>
      </c>
      <c r="Z407" s="8">
        <f ca="1">_xll.HLV5r3.Analytics.Miscellaneous.Zero2DF(_xll.HLV5r3.Analytics.Miscellaneous.LinearInterp(Peturbed_QZ,$K407,1,Z$1),ZeroCompFreq,'PDH Calc'!$K407/365)</f>
        <v>1</v>
      </c>
      <c r="AA407" s="8">
        <f ca="1">_xll.HLV5r3.Analytics.Miscellaneous.Zero2DF(_xll.HLV5r3.Analytics.Miscellaneous.LinearInterp(Peturbed_QZ,$K407,1,AA$1),ZeroCompFreq,'PDH Calc'!$K407/365)</f>
        <v>1</v>
      </c>
      <c r="AB407" s="8">
        <f ca="1">_xll.HLV5r3.Analytics.Miscellaneous.Zero2DF(_xll.HLV5r3.Analytics.Miscellaneous.LinearInterp(Peturbed_QZ,$K407,1,AB$1),ZeroCompFreq,'PDH Calc'!$K407/365)</f>
        <v>1</v>
      </c>
      <c r="AC407" s="8">
        <f ca="1">_xll.HLV5r3.Analytics.Miscellaneous.Zero2DF(_xll.HLV5r3.Analytics.Miscellaneous.LinearInterp(Peturbed_QZ,$K407,1,AC$1),ZeroCompFreq,'PDH Calc'!$K407/365)</f>
        <v>1</v>
      </c>
      <c r="AD407" s="8">
        <f ca="1">_xll.HLV5r3.Analytics.Miscellaneous.Zero2DF(_xll.HLV5r3.Analytics.Miscellaneous.LinearInterp(Peturbed_QZ,$K407,1,AD$1),ZeroCompFreq,'PDH Calc'!$K407/365)</f>
        <v>1</v>
      </c>
      <c r="AE407" s="8">
        <f ca="1">_xll.HLV5r3.Analytics.Miscellaneous.Zero2DF(_xll.HLV5r3.Analytics.Miscellaneous.LinearInterp(Peturbed_QZ,$K407,1,AE$1),ZeroCompFreq,'PDH Calc'!$K407/365)</f>
        <v>1</v>
      </c>
      <c r="AF407" s="8">
        <f ca="1">_xll.HLV5r3.Analytics.Miscellaneous.Zero2DF(_xll.HLV5r3.Analytics.Miscellaneous.LinearInterp(Peturbed_QZ,$K407,1,AF$1),ZeroCompFreq,'PDH Calc'!$K407/365)</f>
        <v>1</v>
      </c>
      <c r="AG407" s="8">
        <f ca="1">_xll.HLV5r3.Analytics.Miscellaneous.Zero2DF(_xll.HLV5r3.Analytics.Miscellaneous.LinearInterp(Peturbed_QZ,$K407,1,AG$1),ZeroCompFreq,'PDH Calc'!$K407/365)</f>
        <v>1</v>
      </c>
      <c r="AH407" s="8">
        <f ca="1">_xll.HLV5r3.Analytics.Miscellaneous.Zero2DF(_xll.HLV5r3.Analytics.Miscellaneous.LinearInterp(Peturbed_QZ,$K407,1,AH$1),ZeroCompFreq,'PDH Calc'!$K407/365)</f>
        <v>1</v>
      </c>
      <c r="AI407" s="8">
        <f ca="1">_xll.HLV5r3.Analytics.Miscellaneous.Zero2DF(_xll.HLV5r3.Analytics.Miscellaneous.LinearInterp(Peturbed_QZ,$K407,1,AI$1),ZeroCompFreq,'PDH Calc'!$K407/365)</f>
        <v>1</v>
      </c>
      <c r="AJ407" s="8">
        <f ca="1">_xll.HLV5r3.Analytics.Miscellaneous.Zero2DF(_xll.HLV5r3.Analytics.Miscellaneous.LinearInterp(Peturbed_QZ,$K407,1,AJ$1),ZeroCompFreq,'PDH Calc'!$K407/365)</f>
        <v>1</v>
      </c>
      <c r="AK407" s="8">
        <f ca="1">_xll.HLV5r3.Analytics.Miscellaneous.Zero2DF(_xll.HLV5r3.Analytics.Miscellaneous.LinearInterp(Peturbed_QZ,$K407,1,AK$1),ZeroCompFreq,'PDH Calc'!$K407/365)</f>
        <v>1</v>
      </c>
    </row>
    <row r="408" spans="1:37">
      <c r="A408" s="4"/>
      <c r="B408" s="6"/>
      <c r="F408" s="11"/>
      <c r="G408" s="6"/>
      <c r="H408" s="20"/>
      <c r="I408" s="21"/>
      <c r="J408" s="26"/>
      <c r="K408" s="6">
        <f t="shared" ca="1" si="12"/>
        <v>0</v>
      </c>
      <c r="L408" s="8">
        <f ca="1">_xll.HLV5r3.Analytics.Miscellaneous.Zero2DF(_xll.HLV5r3.Analytics.Miscellaneous.LinearInterp(Peturbed_QZ,$K408,1,L$1),ZeroCompFreq,'PDH Calc'!$K408/365)</f>
        <v>1</v>
      </c>
      <c r="M408" s="8">
        <f ca="1">_xll.HLV5r3.Analytics.Miscellaneous.Zero2DF(_xll.HLV5r3.Analytics.Miscellaneous.LinearInterp(Peturbed_QZ,$K408,1,M$1),ZeroCompFreq,'PDH Calc'!$K408/365)</f>
        <v>1</v>
      </c>
      <c r="N408" s="8">
        <f ca="1">_xll.HLV5r3.Analytics.Miscellaneous.Zero2DF(_xll.HLV5r3.Analytics.Miscellaneous.LinearInterp(Peturbed_QZ,$K408,1,N$1),ZeroCompFreq,'PDH Calc'!$K408/365)</f>
        <v>1</v>
      </c>
      <c r="O408" s="8">
        <f ca="1">_xll.HLV5r3.Analytics.Miscellaneous.Zero2DF(_xll.HLV5r3.Analytics.Miscellaneous.LinearInterp(Peturbed_QZ,$K408,1,O$1),ZeroCompFreq,'PDH Calc'!$K408/365)</f>
        <v>1</v>
      </c>
      <c r="P408" s="8">
        <f ca="1">_xll.HLV5r3.Analytics.Miscellaneous.Zero2DF(_xll.HLV5r3.Analytics.Miscellaneous.LinearInterp(Peturbed_QZ,$K408,1,P$1),ZeroCompFreq,'PDH Calc'!$K408/365)</f>
        <v>1</v>
      </c>
      <c r="Q408" s="8">
        <f ca="1">_xll.HLV5r3.Analytics.Miscellaneous.Zero2DF(_xll.HLV5r3.Analytics.Miscellaneous.LinearInterp(Peturbed_QZ,$K408,1,Q$1),ZeroCompFreq,'PDH Calc'!$K408/365)</f>
        <v>1</v>
      </c>
      <c r="R408" s="8">
        <f ca="1">_xll.HLV5r3.Analytics.Miscellaneous.Zero2DF(_xll.HLV5r3.Analytics.Miscellaneous.LinearInterp(Peturbed_QZ,$K408,1,R$1),ZeroCompFreq,'PDH Calc'!$K408/365)</f>
        <v>1</v>
      </c>
      <c r="S408" s="8">
        <f ca="1">_xll.HLV5r3.Analytics.Miscellaneous.Zero2DF(_xll.HLV5r3.Analytics.Miscellaneous.LinearInterp(Peturbed_QZ,$K408,1,S$1),ZeroCompFreq,'PDH Calc'!$K408/365)</f>
        <v>1</v>
      </c>
      <c r="T408" s="8">
        <f ca="1">_xll.HLV5r3.Analytics.Miscellaneous.Zero2DF(_xll.HLV5r3.Analytics.Miscellaneous.LinearInterp(Peturbed_QZ,$K408,1,T$1),ZeroCompFreq,'PDH Calc'!$K408/365)</f>
        <v>1</v>
      </c>
      <c r="U408" s="8">
        <f ca="1">_xll.HLV5r3.Analytics.Miscellaneous.Zero2DF(_xll.HLV5r3.Analytics.Miscellaneous.LinearInterp(Peturbed_QZ,$K408,1,U$1),ZeroCompFreq,'PDH Calc'!$K408/365)</f>
        <v>1</v>
      </c>
      <c r="V408" s="8">
        <f ca="1">_xll.HLV5r3.Analytics.Miscellaneous.Zero2DF(_xll.HLV5r3.Analytics.Miscellaneous.LinearInterp(Peturbed_QZ,$K408,1,V$1),ZeroCompFreq,'PDH Calc'!$K408/365)</f>
        <v>1</v>
      </c>
      <c r="W408" s="8">
        <f ca="1">_xll.HLV5r3.Analytics.Miscellaneous.Zero2DF(_xll.HLV5r3.Analytics.Miscellaneous.LinearInterp(Peturbed_QZ,$K408,1,W$1),ZeroCompFreq,'PDH Calc'!$K408/365)</f>
        <v>1</v>
      </c>
      <c r="X408" s="8">
        <f ca="1">_xll.HLV5r3.Analytics.Miscellaneous.Zero2DF(_xll.HLV5r3.Analytics.Miscellaneous.LinearInterp(Peturbed_QZ,$K408,1,X$1),ZeroCompFreq,'PDH Calc'!$K408/365)</f>
        <v>1</v>
      </c>
      <c r="Y408" s="8">
        <f ca="1">_xll.HLV5r3.Analytics.Miscellaneous.Zero2DF(_xll.HLV5r3.Analytics.Miscellaneous.LinearInterp(Peturbed_QZ,$K408,1,Y$1),ZeroCompFreq,'PDH Calc'!$K408/365)</f>
        <v>1</v>
      </c>
      <c r="Z408" s="8">
        <f ca="1">_xll.HLV5r3.Analytics.Miscellaneous.Zero2DF(_xll.HLV5r3.Analytics.Miscellaneous.LinearInterp(Peturbed_QZ,$K408,1,Z$1),ZeroCompFreq,'PDH Calc'!$K408/365)</f>
        <v>1</v>
      </c>
      <c r="AA408" s="8">
        <f ca="1">_xll.HLV5r3.Analytics.Miscellaneous.Zero2DF(_xll.HLV5r3.Analytics.Miscellaneous.LinearInterp(Peturbed_QZ,$K408,1,AA$1),ZeroCompFreq,'PDH Calc'!$K408/365)</f>
        <v>1</v>
      </c>
      <c r="AB408" s="8">
        <f ca="1">_xll.HLV5r3.Analytics.Miscellaneous.Zero2DF(_xll.HLV5r3.Analytics.Miscellaneous.LinearInterp(Peturbed_QZ,$K408,1,AB$1),ZeroCompFreq,'PDH Calc'!$K408/365)</f>
        <v>1</v>
      </c>
      <c r="AC408" s="8">
        <f ca="1">_xll.HLV5r3.Analytics.Miscellaneous.Zero2DF(_xll.HLV5r3.Analytics.Miscellaneous.LinearInterp(Peturbed_QZ,$K408,1,AC$1),ZeroCompFreq,'PDH Calc'!$K408/365)</f>
        <v>1</v>
      </c>
      <c r="AD408" s="8">
        <f ca="1">_xll.HLV5r3.Analytics.Miscellaneous.Zero2DF(_xll.HLV5r3.Analytics.Miscellaneous.LinearInterp(Peturbed_QZ,$K408,1,AD$1),ZeroCompFreq,'PDH Calc'!$K408/365)</f>
        <v>1</v>
      </c>
      <c r="AE408" s="8">
        <f ca="1">_xll.HLV5r3.Analytics.Miscellaneous.Zero2DF(_xll.HLV5r3.Analytics.Miscellaneous.LinearInterp(Peturbed_QZ,$K408,1,AE$1),ZeroCompFreq,'PDH Calc'!$K408/365)</f>
        <v>1</v>
      </c>
      <c r="AF408" s="8">
        <f ca="1">_xll.HLV5r3.Analytics.Miscellaneous.Zero2DF(_xll.HLV5r3.Analytics.Miscellaneous.LinearInterp(Peturbed_QZ,$K408,1,AF$1),ZeroCompFreq,'PDH Calc'!$K408/365)</f>
        <v>1</v>
      </c>
      <c r="AG408" s="8">
        <f ca="1">_xll.HLV5r3.Analytics.Miscellaneous.Zero2DF(_xll.HLV5r3.Analytics.Miscellaneous.LinearInterp(Peturbed_QZ,$K408,1,AG$1),ZeroCompFreq,'PDH Calc'!$K408/365)</f>
        <v>1</v>
      </c>
      <c r="AH408" s="8">
        <f ca="1">_xll.HLV5r3.Analytics.Miscellaneous.Zero2DF(_xll.HLV5r3.Analytics.Miscellaneous.LinearInterp(Peturbed_QZ,$K408,1,AH$1),ZeroCompFreq,'PDH Calc'!$K408/365)</f>
        <v>1</v>
      </c>
      <c r="AI408" s="8">
        <f ca="1">_xll.HLV5r3.Analytics.Miscellaneous.Zero2DF(_xll.HLV5r3.Analytics.Miscellaneous.LinearInterp(Peturbed_QZ,$K408,1,AI$1),ZeroCompFreq,'PDH Calc'!$K408/365)</f>
        <v>1</v>
      </c>
      <c r="AJ408" s="8">
        <f ca="1">_xll.HLV5r3.Analytics.Miscellaneous.Zero2DF(_xll.HLV5r3.Analytics.Miscellaneous.LinearInterp(Peturbed_QZ,$K408,1,AJ$1),ZeroCompFreq,'PDH Calc'!$K408/365)</f>
        <v>1</v>
      </c>
      <c r="AK408" s="8">
        <f ca="1">_xll.HLV5r3.Analytics.Miscellaneous.Zero2DF(_xll.HLV5r3.Analytics.Miscellaneous.LinearInterp(Peturbed_QZ,$K408,1,AK$1),ZeroCompFreq,'PDH Calc'!$K408/365)</f>
        <v>1</v>
      </c>
    </row>
    <row r="409" spans="1:37">
      <c r="A409" s="4"/>
      <c r="B409" s="6"/>
      <c r="F409" s="11"/>
      <c r="G409" s="6"/>
      <c r="H409" s="20"/>
      <c r="I409" s="21"/>
      <c r="J409" s="26"/>
      <c r="K409" s="6">
        <f t="shared" ca="1" si="12"/>
        <v>0</v>
      </c>
      <c r="L409" s="8">
        <f ca="1">_xll.HLV5r3.Analytics.Miscellaneous.Zero2DF(_xll.HLV5r3.Analytics.Miscellaneous.LinearInterp(Peturbed_QZ,$K409,1,L$1),ZeroCompFreq,'PDH Calc'!$K409/365)</f>
        <v>1</v>
      </c>
      <c r="M409" s="8">
        <f ca="1">_xll.HLV5r3.Analytics.Miscellaneous.Zero2DF(_xll.HLV5r3.Analytics.Miscellaneous.LinearInterp(Peturbed_QZ,$K409,1,M$1),ZeroCompFreq,'PDH Calc'!$K409/365)</f>
        <v>1</v>
      </c>
      <c r="N409" s="8">
        <f ca="1">_xll.HLV5r3.Analytics.Miscellaneous.Zero2DF(_xll.HLV5r3.Analytics.Miscellaneous.LinearInterp(Peturbed_QZ,$K409,1,N$1),ZeroCompFreq,'PDH Calc'!$K409/365)</f>
        <v>1</v>
      </c>
      <c r="O409" s="8">
        <f ca="1">_xll.HLV5r3.Analytics.Miscellaneous.Zero2DF(_xll.HLV5r3.Analytics.Miscellaneous.LinearInterp(Peturbed_QZ,$K409,1,O$1),ZeroCompFreq,'PDH Calc'!$K409/365)</f>
        <v>1</v>
      </c>
      <c r="P409" s="8">
        <f ca="1">_xll.HLV5r3.Analytics.Miscellaneous.Zero2DF(_xll.HLV5r3.Analytics.Miscellaneous.LinearInterp(Peturbed_QZ,$K409,1,P$1),ZeroCompFreq,'PDH Calc'!$K409/365)</f>
        <v>1</v>
      </c>
      <c r="Q409" s="8">
        <f ca="1">_xll.HLV5r3.Analytics.Miscellaneous.Zero2DF(_xll.HLV5r3.Analytics.Miscellaneous.LinearInterp(Peturbed_QZ,$K409,1,Q$1),ZeroCompFreq,'PDH Calc'!$K409/365)</f>
        <v>1</v>
      </c>
      <c r="R409" s="8">
        <f ca="1">_xll.HLV5r3.Analytics.Miscellaneous.Zero2DF(_xll.HLV5r3.Analytics.Miscellaneous.LinearInterp(Peturbed_QZ,$K409,1,R$1),ZeroCompFreq,'PDH Calc'!$K409/365)</f>
        <v>1</v>
      </c>
      <c r="S409" s="8">
        <f ca="1">_xll.HLV5r3.Analytics.Miscellaneous.Zero2DF(_xll.HLV5r3.Analytics.Miscellaneous.LinearInterp(Peturbed_QZ,$K409,1,S$1),ZeroCompFreq,'PDH Calc'!$K409/365)</f>
        <v>1</v>
      </c>
      <c r="T409" s="8">
        <f ca="1">_xll.HLV5r3.Analytics.Miscellaneous.Zero2DF(_xll.HLV5r3.Analytics.Miscellaneous.LinearInterp(Peturbed_QZ,$K409,1,T$1),ZeroCompFreq,'PDH Calc'!$K409/365)</f>
        <v>1</v>
      </c>
      <c r="U409" s="8">
        <f ca="1">_xll.HLV5r3.Analytics.Miscellaneous.Zero2DF(_xll.HLV5r3.Analytics.Miscellaneous.LinearInterp(Peturbed_QZ,$K409,1,U$1),ZeroCompFreq,'PDH Calc'!$K409/365)</f>
        <v>1</v>
      </c>
      <c r="V409" s="8">
        <f ca="1">_xll.HLV5r3.Analytics.Miscellaneous.Zero2DF(_xll.HLV5r3.Analytics.Miscellaneous.LinearInterp(Peturbed_QZ,$K409,1,V$1),ZeroCompFreq,'PDH Calc'!$K409/365)</f>
        <v>1</v>
      </c>
      <c r="W409" s="8">
        <f ca="1">_xll.HLV5r3.Analytics.Miscellaneous.Zero2DF(_xll.HLV5r3.Analytics.Miscellaneous.LinearInterp(Peturbed_QZ,$K409,1,W$1),ZeroCompFreq,'PDH Calc'!$K409/365)</f>
        <v>1</v>
      </c>
      <c r="X409" s="8">
        <f ca="1">_xll.HLV5r3.Analytics.Miscellaneous.Zero2DF(_xll.HLV5r3.Analytics.Miscellaneous.LinearInterp(Peturbed_QZ,$K409,1,X$1),ZeroCompFreq,'PDH Calc'!$K409/365)</f>
        <v>1</v>
      </c>
      <c r="Y409" s="8">
        <f ca="1">_xll.HLV5r3.Analytics.Miscellaneous.Zero2DF(_xll.HLV5r3.Analytics.Miscellaneous.LinearInterp(Peturbed_QZ,$K409,1,Y$1),ZeroCompFreq,'PDH Calc'!$K409/365)</f>
        <v>1</v>
      </c>
      <c r="Z409" s="8">
        <f ca="1">_xll.HLV5r3.Analytics.Miscellaneous.Zero2DF(_xll.HLV5r3.Analytics.Miscellaneous.LinearInterp(Peturbed_QZ,$K409,1,Z$1),ZeroCompFreq,'PDH Calc'!$K409/365)</f>
        <v>1</v>
      </c>
      <c r="AA409" s="8">
        <f ca="1">_xll.HLV5r3.Analytics.Miscellaneous.Zero2DF(_xll.HLV5r3.Analytics.Miscellaneous.LinearInterp(Peturbed_QZ,$K409,1,AA$1),ZeroCompFreq,'PDH Calc'!$K409/365)</f>
        <v>1</v>
      </c>
      <c r="AB409" s="8">
        <f ca="1">_xll.HLV5r3.Analytics.Miscellaneous.Zero2DF(_xll.HLV5r3.Analytics.Miscellaneous.LinearInterp(Peturbed_QZ,$K409,1,AB$1),ZeroCompFreq,'PDH Calc'!$K409/365)</f>
        <v>1</v>
      </c>
      <c r="AC409" s="8">
        <f ca="1">_xll.HLV5r3.Analytics.Miscellaneous.Zero2DF(_xll.HLV5r3.Analytics.Miscellaneous.LinearInterp(Peturbed_QZ,$K409,1,AC$1),ZeroCompFreq,'PDH Calc'!$K409/365)</f>
        <v>1</v>
      </c>
      <c r="AD409" s="8">
        <f ca="1">_xll.HLV5r3.Analytics.Miscellaneous.Zero2DF(_xll.HLV5r3.Analytics.Miscellaneous.LinearInterp(Peturbed_QZ,$K409,1,AD$1),ZeroCompFreq,'PDH Calc'!$K409/365)</f>
        <v>1</v>
      </c>
      <c r="AE409" s="8">
        <f ca="1">_xll.HLV5r3.Analytics.Miscellaneous.Zero2DF(_xll.HLV5r3.Analytics.Miscellaneous.LinearInterp(Peturbed_QZ,$K409,1,AE$1),ZeroCompFreq,'PDH Calc'!$K409/365)</f>
        <v>1</v>
      </c>
      <c r="AF409" s="8">
        <f ca="1">_xll.HLV5r3.Analytics.Miscellaneous.Zero2DF(_xll.HLV5r3.Analytics.Miscellaneous.LinearInterp(Peturbed_QZ,$K409,1,AF$1),ZeroCompFreq,'PDH Calc'!$K409/365)</f>
        <v>1</v>
      </c>
      <c r="AG409" s="8">
        <f ca="1">_xll.HLV5r3.Analytics.Miscellaneous.Zero2DF(_xll.HLV5r3.Analytics.Miscellaneous.LinearInterp(Peturbed_QZ,$K409,1,AG$1),ZeroCompFreq,'PDH Calc'!$K409/365)</f>
        <v>1</v>
      </c>
      <c r="AH409" s="8">
        <f ca="1">_xll.HLV5r3.Analytics.Miscellaneous.Zero2DF(_xll.HLV5r3.Analytics.Miscellaneous.LinearInterp(Peturbed_QZ,$K409,1,AH$1),ZeroCompFreq,'PDH Calc'!$K409/365)</f>
        <v>1</v>
      </c>
      <c r="AI409" s="8">
        <f ca="1">_xll.HLV5r3.Analytics.Miscellaneous.Zero2DF(_xll.HLV5r3.Analytics.Miscellaneous.LinearInterp(Peturbed_QZ,$K409,1,AI$1),ZeroCompFreq,'PDH Calc'!$K409/365)</f>
        <v>1</v>
      </c>
      <c r="AJ409" s="8">
        <f ca="1">_xll.HLV5r3.Analytics.Miscellaneous.Zero2DF(_xll.HLV5r3.Analytics.Miscellaneous.LinearInterp(Peturbed_QZ,$K409,1,AJ$1),ZeroCompFreq,'PDH Calc'!$K409/365)</f>
        <v>1</v>
      </c>
      <c r="AK409" s="8">
        <f ca="1">_xll.HLV5r3.Analytics.Miscellaneous.Zero2DF(_xll.HLV5r3.Analytics.Miscellaneous.LinearInterp(Peturbed_QZ,$K409,1,AK$1),ZeroCompFreq,'PDH Calc'!$K409/365)</f>
        <v>1</v>
      </c>
    </row>
    <row r="410" spans="1:37">
      <c r="A410" s="4"/>
      <c r="B410" s="6"/>
      <c r="F410" s="11"/>
      <c r="G410" s="6"/>
      <c r="H410" s="20"/>
      <c r="I410" s="21"/>
      <c r="J410" s="26"/>
      <c r="K410" s="6">
        <f t="shared" ca="1" si="12"/>
        <v>0</v>
      </c>
      <c r="L410" s="8">
        <f ca="1">_xll.HLV5r3.Analytics.Miscellaneous.Zero2DF(_xll.HLV5r3.Analytics.Miscellaneous.LinearInterp(Peturbed_QZ,$K410,1,L$1),ZeroCompFreq,'PDH Calc'!$K410/365)</f>
        <v>1</v>
      </c>
      <c r="M410" s="8">
        <f ca="1">_xll.HLV5r3.Analytics.Miscellaneous.Zero2DF(_xll.HLV5r3.Analytics.Miscellaneous.LinearInterp(Peturbed_QZ,$K410,1,M$1),ZeroCompFreq,'PDH Calc'!$K410/365)</f>
        <v>1</v>
      </c>
      <c r="N410" s="8">
        <f ca="1">_xll.HLV5r3.Analytics.Miscellaneous.Zero2DF(_xll.HLV5r3.Analytics.Miscellaneous.LinearInterp(Peturbed_QZ,$K410,1,N$1),ZeroCompFreq,'PDH Calc'!$K410/365)</f>
        <v>1</v>
      </c>
      <c r="O410" s="8">
        <f ca="1">_xll.HLV5r3.Analytics.Miscellaneous.Zero2DF(_xll.HLV5r3.Analytics.Miscellaneous.LinearInterp(Peturbed_QZ,$K410,1,O$1),ZeroCompFreq,'PDH Calc'!$K410/365)</f>
        <v>1</v>
      </c>
      <c r="P410" s="8">
        <f ca="1">_xll.HLV5r3.Analytics.Miscellaneous.Zero2DF(_xll.HLV5r3.Analytics.Miscellaneous.LinearInterp(Peturbed_QZ,$K410,1,P$1),ZeroCompFreq,'PDH Calc'!$K410/365)</f>
        <v>1</v>
      </c>
      <c r="Q410" s="8">
        <f ca="1">_xll.HLV5r3.Analytics.Miscellaneous.Zero2DF(_xll.HLV5r3.Analytics.Miscellaneous.LinearInterp(Peturbed_QZ,$K410,1,Q$1),ZeroCompFreq,'PDH Calc'!$K410/365)</f>
        <v>1</v>
      </c>
      <c r="R410" s="8">
        <f ca="1">_xll.HLV5r3.Analytics.Miscellaneous.Zero2DF(_xll.HLV5r3.Analytics.Miscellaneous.LinearInterp(Peturbed_QZ,$K410,1,R$1),ZeroCompFreq,'PDH Calc'!$K410/365)</f>
        <v>1</v>
      </c>
      <c r="S410" s="8">
        <f ca="1">_xll.HLV5r3.Analytics.Miscellaneous.Zero2DF(_xll.HLV5r3.Analytics.Miscellaneous.LinearInterp(Peturbed_QZ,$K410,1,S$1),ZeroCompFreq,'PDH Calc'!$K410/365)</f>
        <v>1</v>
      </c>
      <c r="T410" s="8">
        <f ca="1">_xll.HLV5r3.Analytics.Miscellaneous.Zero2DF(_xll.HLV5r3.Analytics.Miscellaneous.LinearInterp(Peturbed_QZ,$K410,1,T$1),ZeroCompFreq,'PDH Calc'!$K410/365)</f>
        <v>1</v>
      </c>
      <c r="U410" s="8">
        <f ca="1">_xll.HLV5r3.Analytics.Miscellaneous.Zero2DF(_xll.HLV5r3.Analytics.Miscellaneous.LinearInterp(Peturbed_QZ,$K410,1,U$1),ZeroCompFreq,'PDH Calc'!$K410/365)</f>
        <v>1</v>
      </c>
      <c r="V410" s="8">
        <f ca="1">_xll.HLV5r3.Analytics.Miscellaneous.Zero2DF(_xll.HLV5r3.Analytics.Miscellaneous.LinearInterp(Peturbed_QZ,$K410,1,V$1),ZeroCompFreq,'PDH Calc'!$K410/365)</f>
        <v>1</v>
      </c>
      <c r="W410" s="8">
        <f ca="1">_xll.HLV5r3.Analytics.Miscellaneous.Zero2DF(_xll.HLV5r3.Analytics.Miscellaneous.LinearInterp(Peturbed_QZ,$K410,1,W$1),ZeroCompFreq,'PDH Calc'!$K410/365)</f>
        <v>1</v>
      </c>
      <c r="X410" s="8">
        <f ca="1">_xll.HLV5r3.Analytics.Miscellaneous.Zero2DF(_xll.HLV5r3.Analytics.Miscellaneous.LinearInterp(Peturbed_QZ,$K410,1,X$1),ZeroCompFreq,'PDH Calc'!$K410/365)</f>
        <v>1</v>
      </c>
      <c r="Y410" s="8">
        <f ca="1">_xll.HLV5r3.Analytics.Miscellaneous.Zero2DF(_xll.HLV5r3.Analytics.Miscellaneous.LinearInterp(Peturbed_QZ,$K410,1,Y$1),ZeroCompFreq,'PDH Calc'!$K410/365)</f>
        <v>1</v>
      </c>
      <c r="Z410" s="8">
        <f ca="1">_xll.HLV5r3.Analytics.Miscellaneous.Zero2DF(_xll.HLV5r3.Analytics.Miscellaneous.LinearInterp(Peturbed_QZ,$K410,1,Z$1),ZeroCompFreq,'PDH Calc'!$K410/365)</f>
        <v>1</v>
      </c>
      <c r="AA410" s="8">
        <f ca="1">_xll.HLV5r3.Analytics.Miscellaneous.Zero2DF(_xll.HLV5r3.Analytics.Miscellaneous.LinearInterp(Peturbed_QZ,$K410,1,AA$1),ZeroCompFreq,'PDH Calc'!$K410/365)</f>
        <v>1</v>
      </c>
      <c r="AB410" s="8">
        <f ca="1">_xll.HLV5r3.Analytics.Miscellaneous.Zero2DF(_xll.HLV5r3.Analytics.Miscellaneous.LinearInterp(Peturbed_QZ,$K410,1,AB$1),ZeroCompFreq,'PDH Calc'!$K410/365)</f>
        <v>1</v>
      </c>
      <c r="AC410" s="8">
        <f ca="1">_xll.HLV5r3.Analytics.Miscellaneous.Zero2DF(_xll.HLV5r3.Analytics.Miscellaneous.LinearInterp(Peturbed_QZ,$K410,1,AC$1),ZeroCompFreq,'PDH Calc'!$K410/365)</f>
        <v>1</v>
      </c>
      <c r="AD410" s="8">
        <f ca="1">_xll.HLV5r3.Analytics.Miscellaneous.Zero2DF(_xll.HLV5r3.Analytics.Miscellaneous.LinearInterp(Peturbed_QZ,$K410,1,AD$1),ZeroCompFreq,'PDH Calc'!$K410/365)</f>
        <v>1</v>
      </c>
      <c r="AE410" s="8">
        <f ca="1">_xll.HLV5r3.Analytics.Miscellaneous.Zero2DF(_xll.HLV5r3.Analytics.Miscellaneous.LinearInterp(Peturbed_QZ,$K410,1,AE$1),ZeroCompFreq,'PDH Calc'!$K410/365)</f>
        <v>1</v>
      </c>
      <c r="AF410" s="8">
        <f ca="1">_xll.HLV5r3.Analytics.Miscellaneous.Zero2DF(_xll.HLV5r3.Analytics.Miscellaneous.LinearInterp(Peturbed_QZ,$K410,1,AF$1),ZeroCompFreq,'PDH Calc'!$K410/365)</f>
        <v>1</v>
      </c>
      <c r="AG410" s="8">
        <f ca="1">_xll.HLV5r3.Analytics.Miscellaneous.Zero2DF(_xll.HLV5r3.Analytics.Miscellaneous.LinearInterp(Peturbed_QZ,$K410,1,AG$1),ZeroCompFreq,'PDH Calc'!$K410/365)</f>
        <v>1</v>
      </c>
      <c r="AH410" s="8">
        <f ca="1">_xll.HLV5r3.Analytics.Miscellaneous.Zero2DF(_xll.HLV5r3.Analytics.Miscellaneous.LinearInterp(Peturbed_QZ,$K410,1,AH$1),ZeroCompFreq,'PDH Calc'!$K410/365)</f>
        <v>1</v>
      </c>
      <c r="AI410" s="8">
        <f ca="1">_xll.HLV5r3.Analytics.Miscellaneous.Zero2DF(_xll.HLV5r3.Analytics.Miscellaneous.LinearInterp(Peturbed_QZ,$K410,1,AI$1),ZeroCompFreq,'PDH Calc'!$K410/365)</f>
        <v>1</v>
      </c>
      <c r="AJ410" s="8">
        <f ca="1">_xll.HLV5r3.Analytics.Miscellaneous.Zero2DF(_xll.HLV5r3.Analytics.Miscellaneous.LinearInterp(Peturbed_QZ,$K410,1,AJ$1),ZeroCompFreq,'PDH Calc'!$K410/365)</f>
        <v>1</v>
      </c>
      <c r="AK410" s="8">
        <f ca="1">_xll.HLV5r3.Analytics.Miscellaneous.Zero2DF(_xll.HLV5r3.Analytics.Miscellaneous.LinearInterp(Peturbed_QZ,$K410,1,AK$1),ZeroCompFreq,'PDH Calc'!$K410/365)</f>
        <v>1</v>
      </c>
    </row>
    <row r="411" spans="1:37">
      <c r="A411" s="4"/>
      <c r="B411" s="6"/>
      <c r="F411" s="11"/>
      <c r="G411" s="6"/>
      <c r="H411" s="20"/>
      <c r="I411" s="21"/>
      <c r="J411" s="26"/>
      <c r="K411" s="6">
        <f t="shared" ref="K411:K434" ca="1" si="13">(H411-Calc_Date)*ISNUMBER(H411)</f>
        <v>0</v>
      </c>
      <c r="L411" s="8">
        <f ca="1">_xll.HLV5r3.Analytics.Miscellaneous.Zero2DF(_xll.HLV5r3.Analytics.Miscellaneous.LinearInterp(Peturbed_QZ,$K411,1,L$1),ZeroCompFreq,'PDH Calc'!$K411/365)</f>
        <v>1</v>
      </c>
      <c r="M411" s="8">
        <f ca="1">_xll.HLV5r3.Analytics.Miscellaneous.Zero2DF(_xll.HLV5r3.Analytics.Miscellaneous.LinearInterp(Peturbed_QZ,$K411,1,M$1),ZeroCompFreq,'PDH Calc'!$K411/365)</f>
        <v>1</v>
      </c>
      <c r="N411" s="8">
        <f ca="1">_xll.HLV5r3.Analytics.Miscellaneous.Zero2DF(_xll.HLV5r3.Analytics.Miscellaneous.LinearInterp(Peturbed_QZ,$K411,1,N$1),ZeroCompFreq,'PDH Calc'!$K411/365)</f>
        <v>1</v>
      </c>
      <c r="O411" s="8">
        <f ca="1">_xll.HLV5r3.Analytics.Miscellaneous.Zero2DF(_xll.HLV5r3.Analytics.Miscellaneous.LinearInterp(Peturbed_QZ,$K411,1,O$1),ZeroCompFreq,'PDH Calc'!$K411/365)</f>
        <v>1</v>
      </c>
      <c r="P411" s="8">
        <f ca="1">_xll.HLV5r3.Analytics.Miscellaneous.Zero2DF(_xll.HLV5r3.Analytics.Miscellaneous.LinearInterp(Peturbed_QZ,$K411,1,P$1),ZeroCompFreq,'PDH Calc'!$K411/365)</f>
        <v>1</v>
      </c>
      <c r="Q411" s="8">
        <f ca="1">_xll.HLV5r3.Analytics.Miscellaneous.Zero2DF(_xll.HLV5r3.Analytics.Miscellaneous.LinearInterp(Peturbed_QZ,$K411,1,Q$1),ZeroCompFreq,'PDH Calc'!$K411/365)</f>
        <v>1</v>
      </c>
      <c r="R411" s="8">
        <f ca="1">_xll.HLV5r3.Analytics.Miscellaneous.Zero2DF(_xll.HLV5r3.Analytics.Miscellaneous.LinearInterp(Peturbed_QZ,$K411,1,R$1),ZeroCompFreq,'PDH Calc'!$K411/365)</f>
        <v>1</v>
      </c>
      <c r="S411" s="8">
        <f ca="1">_xll.HLV5r3.Analytics.Miscellaneous.Zero2DF(_xll.HLV5r3.Analytics.Miscellaneous.LinearInterp(Peturbed_QZ,$K411,1,S$1),ZeroCompFreq,'PDH Calc'!$K411/365)</f>
        <v>1</v>
      </c>
      <c r="T411" s="8">
        <f ca="1">_xll.HLV5r3.Analytics.Miscellaneous.Zero2DF(_xll.HLV5r3.Analytics.Miscellaneous.LinearInterp(Peturbed_QZ,$K411,1,T$1),ZeroCompFreq,'PDH Calc'!$K411/365)</f>
        <v>1</v>
      </c>
      <c r="U411" s="8">
        <f ca="1">_xll.HLV5r3.Analytics.Miscellaneous.Zero2DF(_xll.HLV5r3.Analytics.Miscellaneous.LinearInterp(Peturbed_QZ,$K411,1,U$1),ZeroCompFreq,'PDH Calc'!$K411/365)</f>
        <v>1</v>
      </c>
      <c r="V411" s="8">
        <f ca="1">_xll.HLV5r3.Analytics.Miscellaneous.Zero2DF(_xll.HLV5r3.Analytics.Miscellaneous.LinearInterp(Peturbed_QZ,$K411,1,V$1),ZeroCompFreq,'PDH Calc'!$K411/365)</f>
        <v>1</v>
      </c>
      <c r="W411" s="8">
        <f ca="1">_xll.HLV5r3.Analytics.Miscellaneous.Zero2DF(_xll.HLV5r3.Analytics.Miscellaneous.LinearInterp(Peturbed_QZ,$K411,1,W$1),ZeroCompFreq,'PDH Calc'!$K411/365)</f>
        <v>1</v>
      </c>
      <c r="X411" s="8">
        <f ca="1">_xll.HLV5r3.Analytics.Miscellaneous.Zero2DF(_xll.HLV5r3.Analytics.Miscellaneous.LinearInterp(Peturbed_QZ,$K411,1,X$1),ZeroCompFreq,'PDH Calc'!$K411/365)</f>
        <v>1</v>
      </c>
      <c r="Y411" s="8">
        <f ca="1">_xll.HLV5r3.Analytics.Miscellaneous.Zero2DF(_xll.HLV5r3.Analytics.Miscellaneous.LinearInterp(Peturbed_QZ,$K411,1,Y$1),ZeroCompFreq,'PDH Calc'!$K411/365)</f>
        <v>1</v>
      </c>
      <c r="Z411" s="8">
        <f ca="1">_xll.HLV5r3.Analytics.Miscellaneous.Zero2DF(_xll.HLV5r3.Analytics.Miscellaneous.LinearInterp(Peturbed_QZ,$K411,1,Z$1),ZeroCompFreq,'PDH Calc'!$K411/365)</f>
        <v>1</v>
      </c>
      <c r="AA411" s="8">
        <f ca="1">_xll.HLV5r3.Analytics.Miscellaneous.Zero2DF(_xll.HLV5r3.Analytics.Miscellaneous.LinearInterp(Peturbed_QZ,$K411,1,AA$1),ZeroCompFreq,'PDH Calc'!$K411/365)</f>
        <v>1</v>
      </c>
      <c r="AB411" s="8">
        <f ca="1">_xll.HLV5r3.Analytics.Miscellaneous.Zero2DF(_xll.HLV5r3.Analytics.Miscellaneous.LinearInterp(Peturbed_QZ,$K411,1,AB$1),ZeroCompFreq,'PDH Calc'!$K411/365)</f>
        <v>1</v>
      </c>
      <c r="AC411" s="8">
        <f ca="1">_xll.HLV5r3.Analytics.Miscellaneous.Zero2DF(_xll.HLV5r3.Analytics.Miscellaneous.LinearInterp(Peturbed_QZ,$K411,1,AC$1),ZeroCompFreq,'PDH Calc'!$K411/365)</f>
        <v>1</v>
      </c>
      <c r="AD411" s="8">
        <f ca="1">_xll.HLV5r3.Analytics.Miscellaneous.Zero2DF(_xll.HLV5r3.Analytics.Miscellaneous.LinearInterp(Peturbed_QZ,$K411,1,AD$1),ZeroCompFreq,'PDH Calc'!$K411/365)</f>
        <v>1</v>
      </c>
      <c r="AE411" s="8">
        <f ca="1">_xll.HLV5r3.Analytics.Miscellaneous.Zero2DF(_xll.HLV5r3.Analytics.Miscellaneous.LinearInterp(Peturbed_QZ,$K411,1,AE$1),ZeroCompFreq,'PDH Calc'!$K411/365)</f>
        <v>1</v>
      </c>
      <c r="AF411" s="8">
        <f ca="1">_xll.HLV5r3.Analytics.Miscellaneous.Zero2DF(_xll.HLV5r3.Analytics.Miscellaneous.LinearInterp(Peturbed_QZ,$K411,1,AF$1),ZeroCompFreq,'PDH Calc'!$K411/365)</f>
        <v>1</v>
      </c>
      <c r="AG411" s="8">
        <f ca="1">_xll.HLV5r3.Analytics.Miscellaneous.Zero2DF(_xll.HLV5r3.Analytics.Miscellaneous.LinearInterp(Peturbed_QZ,$K411,1,AG$1),ZeroCompFreq,'PDH Calc'!$K411/365)</f>
        <v>1</v>
      </c>
      <c r="AH411" s="8">
        <f ca="1">_xll.HLV5r3.Analytics.Miscellaneous.Zero2DF(_xll.HLV5r3.Analytics.Miscellaneous.LinearInterp(Peturbed_QZ,$K411,1,AH$1),ZeroCompFreq,'PDH Calc'!$K411/365)</f>
        <v>1</v>
      </c>
      <c r="AI411" s="8">
        <f ca="1">_xll.HLV5r3.Analytics.Miscellaneous.Zero2DF(_xll.HLV5r3.Analytics.Miscellaneous.LinearInterp(Peturbed_QZ,$K411,1,AI$1),ZeroCompFreq,'PDH Calc'!$K411/365)</f>
        <v>1</v>
      </c>
      <c r="AJ411" s="8">
        <f ca="1">_xll.HLV5r3.Analytics.Miscellaneous.Zero2DF(_xll.HLV5r3.Analytics.Miscellaneous.LinearInterp(Peturbed_QZ,$K411,1,AJ$1),ZeroCompFreq,'PDH Calc'!$K411/365)</f>
        <v>1</v>
      </c>
      <c r="AK411" s="8">
        <f ca="1">_xll.HLV5r3.Analytics.Miscellaneous.Zero2DF(_xll.HLV5r3.Analytics.Miscellaneous.LinearInterp(Peturbed_QZ,$K411,1,AK$1),ZeroCompFreq,'PDH Calc'!$K411/365)</f>
        <v>1</v>
      </c>
    </row>
    <row r="412" spans="1:37">
      <c r="A412" s="4"/>
      <c r="B412" s="6"/>
      <c r="F412" s="11"/>
      <c r="G412" s="6"/>
      <c r="H412" s="20"/>
      <c r="I412" s="21"/>
      <c r="J412" s="26"/>
      <c r="K412" s="6">
        <f t="shared" ca="1" si="13"/>
        <v>0</v>
      </c>
      <c r="L412" s="8">
        <f ca="1">_xll.HLV5r3.Analytics.Miscellaneous.Zero2DF(_xll.HLV5r3.Analytics.Miscellaneous.LinearInterp(Peturbed_QZ,$K412,1,L$1),ZeroCompFreq,'PDH Calc'!$K412/365)</f>
        <v>1</v>
      </c>
      <c r="M412" s="8">
        <f ca="1">_xll.HLV5r3.Analytics.Miscellaneous.Zero2DF(_xll.HLV5r3.Analytics.Miscellaneous.LinearInterp(Peturbed_QZ,$K412,1,M$1),ZeroCompFreq,'PDH Calc'!$K412/365)</f>
        <v>1</v>
      </c>
      <c r="N412" s="8">
        <f ca="1">_xll.HLV5r3.Analytics.Miscellaneous.Zero2DF(_xll.HLV5r3.Analytics.Miscellaneous.LinearInterp(Peturbed_QZ,$K412,1,N$1),ZeroCompFreq,'PDH Calc'!$K412/365)</f>
        <v>1</v>
      </c>
      <c r="O412" s="8">
        <f ca="1">_xll.HLV5r3.Analytics.Miscellaneous.Zero2DF(_xll.HLV5r3.Analytics.Miscellaneous.LinearInterp(Peturbed_QZ,$K412,1,O$1),ZeroCompFreq,'PDH Calc'!$K412/365)</f>
        <v>1</v>
      </c>
      <c r="P412" s="8">
        <f ca="1">_xll.HLV5r3.Analytics.Miscellaneous.Zero2DF(_xll.HLV5r3.Analytics.Miscellaneous.LinearInterp(Peturbed_QZ,$K412,1,P$1),ZeroCompFreq,'PDH Calc'!$K412/365)</f>
        <v>1</v>
      </c>
      <c r="Q412" s="8">
        <f ca="1">_xll.HLV5r3.Analytics.Miscellaneous.Zero2DF(_xll.HLV5r3.Analytics.Miscellaneous.LinearInterp(Peturbed_QZ,$K412,1,Q$1),ZeroCompFreq,'PDH Calc'!$K412/365)</f>
        <v>1</v>
      </c>
      <c r="R412" s="8">
        <f ca="1">_xll.HLV5r3.Analytics.Miscellaneous.Zero2DF(_xll.HLV5r3.Analytics.Miscellaneous.LinearInterp(Peturbed_QZ,$K412,1,R$1),ZeroCompFreq,'PDH Calc'!$K412/365)</f>
        <v>1</v>
      </c>
      <c r="S412" s="8">
        <f ca="1">_xll.HLV5r3.Analytics.Miscellaneous.Zero2DF(_xll.HLV5r3.Analytics.Miscellaneous.LinearInterp(Peturbed_QZ,$K412,1,S$1),ZeroCompFreq,'PDH Calc'!$K412/365)</f>
        <v>1</v>
      </c>
      <c r="T412" s="8">
        <f ca="1">_xll.HLV5r3.Analytics.Miscellaneous.Zero2DF(_xll.HLV5r3.Analytics.Miscellaneous.LinearInterp(Peturbed_QZ,$K412,1,T$1),ZeroCompFreq,'PDH Calc'!$K412/365)</f>
        <v>1</v>
      </c>
      <c r="U412" s="8">
        <f ca="1">_xll.HLV5r3.Analytics.Miscellaneous.Zero2DF(_xll.HLV5r3.Analytics.Miscellaneous.LinearInterp(Peturbed_QZ,$K412,1,U$1),ZeroCompFreq,'PDH Calc'!$K412/365)</f>
        <v>1</v>
      </c>
      <c r="V412" s="8">
        <f ca="1">_xll.HLV5r3.Analytics.Miscellaneous.Zero2DF(_xll.HLV5r3.Analytics.Miscellaneous.LinearInterp(Peturbed_QZ,$K412,1,V$1),ZeroCompFreq,'PDH Calc'!$K412/365)</f>
        <v>1</v>
      </c>
      <c r="W412" s="8">
        <f ca="1">_xll.HLV5r3.Analytics.Miscellaneous.Zero2DF(_xll.HLV5r3.Analytics.Miscellaneous.LinearInterp(Peturbed_QZ,$K412,1,W$1),ZeroCompFreq,'PDH Calc'!$K412/365)</f>
        <v>1</v>
      </c>
      <c r="X412" s="8">
        <f ca="1">_xll.HLV5r3.Analytics.Miscellaneous.Zero2DF(_xll.HLV5r3.Analytics.Miscellaneous.LinearInterp(Peturbed_QZ,$K412,1,X$1),ZeroCompFreq,'PDH Calc'!$K412/365)</f>
        <v>1</v>
      </c>
      <c r="Y412" s="8">
        <f ca="1">_xll.HLV5r3.Analytics.Miscellaneous.Zero2DF(_xll.HLV5r3.Analytics.Miscellaneous.LinearInterp(Peturbed_QZ,$K412,1,Y$1),ZeroCompFreq,'PDH Calc'!$K412/365)</f>
        <v>1</v>
      </c>
      <c r="Z412" s="8">
        <f ca="1">_xll.HLV5r3.Analytics.Miscellaneous.Zero2DF(_xll.HLV5r3.Analytics.Miscellaneous.LinearInterp(Peturbed_QZ,$K412,1,Z$1),ZeroCompFreq,'PDH Calc'!$K412/365)</f>
        <v>1</v>
      </c>
      <c r="AA412" s="8">
        <f ca="1">_xll.HLV5r3.Analytics.Miscellaneous.Zero2DF(_xll.HLV5r3.Analytics.Miscellaneous.LinearInterp(Peturbed_QZ,$K412,1,AA$1),ZeroCompFreq,'PDH Calc'!$K412/365)</f>
        <v>1</v>
      </c>
      <c r="AB412" s="8">
        <f ca="1">_xll.HLV5r3.Analytics.Miscellaneous.Zero2DF(_xll.HLV5r3.Analytics.Miscellaneous.LinearInterp(Peturbed_QZ,$K412,1,AB$1),ZeroCompFreq,'PDH Calc'!$K412/365)</f>
        <v>1</v>
      </c>
      <c r="AC412" s="8">
        <f ca="1">_xll.HLV5r3.Analytics.Miscellaneous.Zero2DF(_xll.HLV5r3.Analytics.Miscellaneous.LinearInterp(Peturbed_QZ,$K412,1,AC$1),ZeroCompFreq,'PDH Calc'!$K412/365)</f>
        <v>1</v>
      </c>
      <c r="AD412" s="8">
        <f ca="1">_xll.HLV5r3.Analytics.Miscellaneous.Zero2DF(_xll.HLV5r3.Analytics.Miscellaneous.LinearInterp(Peturbed_QZ,$K412,1,AD$1),ZeroCompFreq,'PDH Calc'!$K412/365)</f>
        <v>1</v>
      </c>
      <c r="AE412" s="8">
        <f ca="1">_xll.HLV5r3.Analytics.Miscellaneous.Zero2DF(_xll.HLV5r3.Analytics.Miscellaneous.LinearInterp(Peturbed_QZ,$K412,1,AE$1),ZeroCompFreq,'PDH Calc'!$K412/365)</f>
        <v>1</v>
      </c>
      <c r="AF412" s="8">
        <f ca="1">_xll.HLV5r3.Analytics.Miscellaneous.Zero2DF(_xll.HLV5r3.Analytics.Miscellaneous.LinearInterp(Peturbed_QZ,$K412,1,AF$1),ZeroCompFreq,'PDH Calc'!$K412/365)</f>
        <v>1</v>
      </c>
      <c r="AG412" s="8">
        <f ca="1">_xll.HLV5r3.Analytics.Miscellaneous.Zero2DF(_xll.HLV5r3.Analytics.Miscellaneous.LinearInterp(Peturbed_QZ,$K412,1,AG$1),ZeroCompFreq,'PDH Calc'!$K412/365)</f>
        <v>1</v>
      </c>
      <c r="AH412" s="8">
        <f ca="1">_xll.HLV5r3.Analytics.Miscellaneous.Zero2DF(_xll.HLV5r3.Analytics.Miscellaneous.LinearInterp(Peturbed_QZ,$K412,1,AH$1),ZeroCompFreq,'PDH Calc'!$K412/365)</f>
        <v>1</v>
      </c>
      <c r="AI412" s="8">
        <f ca="1">_xll.HLV5r3.Analytics.Miscellaneous.Zero2DF(_xll.HLV5r3.Analytics.Miscellaneous.LinearInterp(Peturbed_QZ,$K412,1,AI$1),ZeroCompFreq,'PDH Calc'!$K412/365)</f>
        <v>1</v>
      </c>
      <c r="AJ412" s="8">
        <f ca="1">_xll.HLV5r3.Analytics.Miscellaneous.Zero2DF(_xll.HLV5r3.Analytics.Miscellaneous.LinearInterp(Peturbed_QZ,$K412,1,AJ$1),ZeroCompFreq,'PDH Calc'!$K412/365)</f>
        <v>1</v>
      </c>
      <c r="AK412" s="8">
        <f ca="1">_xll.HLV5r3.Analytics.Miscellaneous.Zero2DF(_xll.HLV5r3.Analytics.Miscellaneous.LinearInterp(Peturbed_QZ,$K412,1,AK$1),ZeroCompFreq,'PDH Calc'!$K412/365)</f>
        <v>1</v>
      </c>
    </row>
    <row r="413" spans="1:37">
      <c r="A413" s="4"/>
      <c r="B413" s="6"/>
      <c r="F413" s="11"/>
      <c r="G413" s="6"/>
      <c r="H413" s="20"/>
      <c r="I413" s="21"/>
      <c r="J413" s="26"/>
      <c r="K413" s="6">
        <f t="shared" ca="1" si="13"/>
        <v>0</v>
      </c>
      <c r="L413" s="8">
        <f ca="1">_xll.HLV5r3.Analytics.Miscellaneous.Zero2DF(_xll.HLV5r3.Analytics.Miscellaneous.LinearInterp(Peturbed_QZ,$K413,1,L$1),ZeroCompFreq,'PDH Calc'!$K413/365)</f>
        <v>1</v>
      </c>
      <c r="M413" s="8">
        <f ca="1">_xll.HLV5r3.Analytics.Miscellaneous.Zero2DF(_xll.HLV5r3.Analytics.Miscellaneous.LinearInterp(Peturbed_QZ,$K413,1,M$1),ZeroCompFreq,'PDH Calc'!$K413/365)</f>
        <v>1</v>
      </c>
      <c r="N413" s="8">
        <f ca="1">_xll.HLV5r3.Analytics.Miscellaneous.Zero2DF(_xll.HLV5r3.Analytics.Miscellaneous.LinearInterp(Peturbed_QZ,$K413,1,N$1),ZeroCompFreq,'PDH Calc'!$K413/365)</f>
        <v>1</v>
      </c>
      <c r="O413" s="8">
        <f ca="1">_xll.HLV5r3.Analytics.Miscellaneous.Zero2DF(_xll.HLV5r3.Analytics.Miscellaneous.LinearInterp(Peturbed_QZ,$K413,1,O$1),ZeroCompFreq,'PDH Calc'!$K413/365)</f>
        <v>1</v>
      </c>
      <c r="P413" s="8">
        <f ca="1">_xll.HLV5r3.Analytics.Miscellaneous.Zero2DF(_xll.HLV5r3.Analytics.Miscellaneous.LinearInterp(Peturbed_QZ,$K413,1,P$1),ZeroCompFreq,'PDH Calc'!$K413/365)</f>
        <v>1</v>
      </c>
      <c r="Q413" s="8">
        <f ca="1">_xll.HLV5r3.Analytics.Miscellaneous.Zero2DF(_xll.HLV5r3.Analytics.Miscellaneous.LinearInterp(Peturbed_QZ,$K413,1,Q$1),ZeroCompFreq,'PDH Calc'!$K413/365)</f>
        <v>1</v>
      </c>
      <c r="R413" s="8">
        <f ca="1">_xll.HLV5r3.Analytics.Miscellaneous.Zero2DF(_xll.HLV5r3.Analytics.Miscellaneous.LinearInterp(Peturbed_QZ,$K413,1,R$1),ZeroCompFreq,'PDH Calc'!$K413/365)</f>
        <v>1</v>
      </c>
      <c r="S413" s="8">
        <f ca="1">_xll.HLV5r3.Analytics.Miscellaneous.Zero2DF(_xll.HLV5r3.Analytics.Miscellaneous.LinearInterp(Peturbed_QZ,$K413,1,S$1),ZeroCompFreq,'PDH Calc'!$K413/365)</f>
        <v>1</v>
      </c>
      <c r="T413" s="8">
        <f ca="1">_xll.HLV5r3.Analytics.Miscellaneous.Zero2DF(_xll.HLV5r3.Analytics.Miscellaneous.LinearInterp(Peturbed_QZ,$K413,1,T$1),ZeroCompFreq,'PDH Calc'!$K413/365)</f>
        <v>1</v>
      </c>
      <c r="U413" s="8">
        <f ca="1">_xll.HLV5r3.Analytics.Miscellaneous.Zero2DF(_xll.HLV5r3.Analytics.Miscellaneous.LinearInterp(Peturbed_QZ,$K413,1,U$1),ZeroCompFreq,'PDH Calc'!$K413/365)</f>
        <v>1</v>
      </c>
      <c r="V413" s="8">
        <f ca="1">_xll.HLV5r3.Analytics.Miscellaneous.Zero2DF(_xll.HLV5r3.Analytics.Miscellaneous.LinearInterp(Peturbed_QZ,$K413,1,V$1),ZeroCompFreq,'PDH Calc'!$K413/365)</f>
        <v>1</v>
      </c>
      <c r="W413" s="8">
        <f ca="1">_xll.HLV5r3.Analytics.Miscellaneous.Zero2DF(_xll.HLV5r3.Analytics.Miscellaneous.LinearInterp(Peturbed_QZ,$K413,1,W$1),ZeroCompFreq,'PDH Calc'!$K413/365)</f>
        <v>1</v>
      </c>
      <c r="X413" s="8">
        <f ca="1">_xll.HLV5r3.Analytics.Miscellaneous.Zero2DF(_xll.HLV5r3.Analytics.Miscellaneous.LinearInterp(Peturbed_QZ,$K413,1,X$1),ZeroCompFreq,'PDH Calc'!$K413/365)</f>
        <v>1</v>
      </c>
      <c r="Y413" s="8">
        <f ca="1">_xll.HLV5r3.Analytics.Miscellaneous.Zero2DF(_xll.HLV5r3.Analytics.Miscellaneous.LinearInterp(Peturbed_QZ,$K413,1,Y$1),ZeroCompFreq,'PDH Calc'!$K413/365)</f>
        <v>1</v>
      </c>
      <c r="Z413" s="8">
        <f ca="1">_xll.HLV5r3.Analytics.Miscellaneous.Zero2DF(_xll.HLV5r3.Analytics.Miscellaneous.LinearInterp(Peturbed_QZ,$K413,1,Z$1),ZeroCompFreq,'PDH Calc'!$K413/365)</f>
        <v>1</v>
      </c>
      <c r="AA413" s="8">
        <f ca="1">_xll.HLV5r3.Analytics.Miscellaneous.Zero2DF(_xll.HLV5r3.Analytics.Miscellaneous.LinearInterp(Peturbed_QZ,$K413,1,AA$1),ZeroCompFreq,'PDH Calc'!$K413/365)</f>
        <v>1</v>
      </c>
      <c r="AB413" s="8">
        <f ca="1">_xll.HLV5r3.Analytics.Miscellaneous.Zero2DF(_xll.HLV5r3.Analytics.Miscellaneous.LinearInterp(Peturbed_QZ,$K413,1,AB$1),ZeroCompFreq,'PDH Calc'!$K413/365)</f>
        <v>1</v>
      </c>
      <c r="AC413" s="8">
        <f ca="1">_xll.HLV5r3.Analytics.Miscellaneous.Zero2DF(_xll.HLV5r3.Analytics.Miscellaneous.LinearInterp(Peturbed_QZ,$K413,1,AC$1),ZeroCompFreq,'PDH Calc'!$K413/365)</f>
        <v>1</v>
      </c>
      <c r="AD413" s="8">
        <f ca="1">_xll.HLV5r3.Analytics.Miscellaneous.Zero2DF(_xll.HLV5r3.Analytics.Miscellaneous.LinearInterp(Peturbed_QZ,$K413,1,AD$1),ZeroCompFreq,'PDH Calc'!$K413/365)</f>
        <v>1</v>
      </c>
      <c r="AE413" s="8">
        <f ca="1">_xll.HLV5r3.Analytics.Miscellaneous.Zero2DF(_xll.HLV5r3.Analytics.Miscellaneous.LinearInterp(Peturbed_QZ,$K413,1,AE$1),ZeroCompFreq,'PDH Calc'!$K413/365)</f>
        <v>1</v>
      </c>
      <c r="AF413" s="8">
        <f ca="1">_xll.HLV5r3.Analytics.Miscellaneous.Zero2DF(_xll.HLV5r3.Analytics.Miscellaneous.LinearInterp(Peturbed_QZ,$K413,1,AF$1),ZeroCompFreq,'PDH Calc'!$K413/365)</f>
        <v>1</v>
      </c>
      <c r="AG413" s="8">
        <f ca="1">_xll.HLV5r3.Analytics.Miscellaneous.Zero2DF(_xll.HLV5r3.Analytics.Miscellaneous.LinearInterp(Peturbed_QZ,$K413,1,AG$1),ZeroCompFreq,'PDH Calc'!$K413/365)</f>
        <v>1</v>
      </c>
      <c r="AH413" s="8">
        <f ca="1">_xll.HLV5r3.Analytics.Miscellaneous.Zero2DF(_xll.HLV5r3.Analytics.Miscellaneous.LinearInterp(Peturbed_QZ,$K413,1,AH$1),ZeroCompFreq,'PDH Calc'!$K413/365)</f>
        <v>1</v>
      </c>
      <c r="AI413" s="8">
        <f ca="1">_xll.HLV5r3.Analytics.Miscellaneous.Zero2DF(_xll.HLV5r3.Analytics.Miscellaneous.LinearInterp(Peturbed_QZ,$K413,1,AI$1),ZeroCompFreq,'PDH Calc'!$K413/365)</f>
        <v>1</v>
      </c>
      <c r="AJ413" s="8">
        <f ca="1">_xll.HLV5r3.Analytics.Miscellaneous.Zero2DF(_xll.HLV5r3.Analytics.Miscellaneous.LinearInterp(Peturbed_QZ,$K413,1,AJ$1),ZeroCompFreq,'PDH Calc'!$K413/365)</f>
        <v>1</v>
      </c>
      <c r="AK413" s="8">
        <f ca="1">_xll.HLV5r3.Analytics.Miscellaneous.Zero2DF(_xll.HLV5r3.Analytics.Miscellaneous.LinearInterp(Peturbed_QZ,$K413,1,AK$1),ZeroCompFreq,'PDH Calc'!$K413/365)</f>
        <v>1</v>
      </c>
    </row>
    <row r="414" spans="1:37">
      <c r="A414" s="4"/>
      <c r="B414" s="6"/>
      <c r="F414" s="11"/>
      <c r="G414" s="6"/>
      <c r="H414" s="20"/>
      <c r="I414" s="21"/>
      <c r="J414" s="26"/>
      <c r="K414" s="6">
        <f t="shared" ca="1" si="13"/>
        <v>0</v>
      </c>
      <c r="L414" s="8">
        <f ca="1">_xll.HLV5r3.Analytics.Miscellaneous.Zero2DF(_xll.HLV5r3.Analytics.Miscellaneous.LinearInterp(Peturbed_QZ,$K414,1,L$1),ZeroCompFreq,'PDH Calc'!$K414/365)</f>
        <v>1</v>
      </c>
      <c r="M414" s="8">
        <f ca="1">_xll.HLV5r3.Analytics.Miscellaneous.Zero2DF(_xll.HLV5r3.Analytics.Miscellaneous.LinearInterp(Peturbed_QZ,$K414,1,M$1),ZeroCompFreq,'PDH Calc'!$K414/365)</f>
        <v>1</v>
      </c>
      <c r="N414" s="8">
        <f ca="1">_xll.HLV5r3.Analytics.Miscellaneous.Zero2DF(_xll.HLV5r3.Analytics.Miscellaneous.LinearInterp(Peturbed_QZ,$K414,1,N$1),ZeroCompFreq,'PDH Calc'!$K414/365)</f>
        <v>1</v>
      </c>
      <c r="O414" s="8">
        <f ca="1">_xll.HLV5r3.Analytics.Miscellaneous.Zero2DF(_xll.HLV5r3.Analytics.Miscellaneous.LinearInterp(Peturbed_QZ,$K414,1,O$1),ZeroCompFreq,'PDH Calc'!$K414/365)</f>
        <v>1</v>
      </c>
      <c r="P414" s="8">
        <f ca="1">_xll.HLV5r3.Analytics.Miscellaneous.Zero2DF(_xll.HLV5r3.Analytics.Miscellaneous.LinearInterp(Peturbed_QZ,$K414,1,P$1),ZeroCompFreq,'PDH Calc'!$K414/365)</f>
        <v>1</v>
      </c>
      <c r="Q414" s="8">
        <f ca="1">_xll.HLV5r3.Analytics.Miscellaneous.Zero2DF(_xll.HLV5r3.Analytics.Miscellaneous.LinearInterp(Peturbed_QZ,$K414,1,Q$1),ZeroCompFreq,'PDH Calc'!$K414/365)</f>
        <v>1</v>
      </c>
      <c r="R414" s="8">
        <f ca="1">_xll.HLV5r3.Analytics.Miscellaneous.Zero2DF(_xll.HLV5r3.Analytics.Miscellaneous.LinearInterp(Peturbed_QZ,$K414,1,R$1),ZeroCompFreq,'PDH Calc'!$K414/365)</f>
        <v>1</v>
      </c>
      <c r="S414" s="8">
        <f ca="1">_xll.HLV5r3.Analytics.Miscellaneous.Zero2DF(_xll.HLV5r3.Analytics.Miscellaneous.LinearInterp(Peturbed_QZ,$K414,1,S$1),ZeroCompFreq,'PDH Calc'!$K414/365)</f>
        <v>1</v>
      </c>
      <c r="T414" s="8">
        <f ca="1">_xll.HLV5r3.Analytics.Miscellaneous.Zero2DF(_xll.HLV5r3.Analytics.Miscellaneous.LinearInterp(Peturbed_QZ,$K414,1,T$1),ZeroCompFreq,'PDH Calc'!$K414/365)</f>
        <v>1</v>
      </c>
      <c r="U414" s="8">
        <f ca="1">_xll.HLV5r3.Analytics.Miscellaneous.Zero2DF(_xll.HLV5r3.Analytics.Miscellaneous.LinearInterp(Peturbed_QZ,$K414,1,U$1),ZeroCompFreq,'PDH Calc'!$K414/365)</f>
        <v>1</v>
      </c>
      <c r="V414" s="8">
        <f ca="1">_xll.HLV5r3.Analytics.Miscellaneous.Zero2DF(_xll.HLV5r3.Analytics.Miscellaneous.LinearInterp(Peturbed_QZ,$K414,1,V$1),ZeroCompFreq,'PDH Calc'!$K414/365)</f>
        <v>1</v>
      </c>
      <c r="W414" s="8">
        <f ca="1">_xll.HLV5r3.Analytics.Miscellaneous.Zero2DF(_xll.HLV5r3.Analytics.Miscellaneous.LinearInterp(Peturbed_QZ,$K414,1,W$1),ZeroCompFreq,'PDH Calc'!$K414/365)</f>
        <v>1</v>
      </c>
      <c r="X414" s="8">
        <f ca="1">_xll.HLV5r3.Analytics.Miscellaneous.Zero2DF(_xll.HLV5r3.Analytics.Miscellaneous.LinearInterp(Peturbed_QZ,$K414,1,X$1),ZeroCompFreq,'PDH Calc'!$K414/365)</f>
        <v>1</v>
      </c>
      <c r="Y414" s="8">
        <f ca="1">_xll.HLV5r3.Analytics.Miscellaneous.Zero2DF(_xll.HLV5r3.Analytics.Miscellaneous.LinearInterp(Peturbed_QZ,$K414,1,Y$1),ZeroCompFreq,'PDH Calc'!$K414/365)</f>
        <v>1</v>
      </c>
      <c r="Z414" s="8">
        <f ca="1">_xll.HLV5r3.Analytics.Miscellaneous.Zero2DF(_xll.HLV5r3.Analytics.Miscellaneous.LinearInterp(Peturbed_QZ,$K414,1,Z$1),ZeroCompFreq,'PDH Calc'!$K414/365)</f>
        <v>1</v>
      </c>
      <c r="AA414" s="8">
        <f ca="1">_xll.HLV5r3.Analytics.Miscellaneous.Zero2DF(_xll.HLV5r3.Analytics.Miscellaneous.LinearInterp(Peturbed_QZ,$K414,1,AA$1),ZeroCompFreq,'PDH Calc'!$K414/365)</f>
        <v>1</v>
      </c>
      <c r="AB414" s="8">
        <f ca="1">_xll.HLV5r3.Analytics.Miscellaneous.Zero2DF(_xll.HLV5r3.Analytics.Miscellaneous.LinearInterp(Peturbed_QZ,$K414,1,AB$1),ZeroCompFreq,'PDH Calc'!$K414/365)</f>
        <v>1</v>
      </c>
      <c r="AC414" s="8">
        <f ca="1">_xll.HLV5r3.Analytics.Miscellaneous.Zero2DF(_xll.HLV5r3.Analytics.Miscellaneous.LinearInterp(Peturbed_QZ,$K414,1,AC$1),ZeroCompFreq,'PDH Calc'!$K414/365)</f>
        <v>1</v>
      </c>
      <c r="AD414" s="8">
        <f ca="1">_xll.HLV5r3.Analytics.Miscellaneous.Zero2DF(_xll.HLV5r3.Analytics.Miscellaneous.LinearInterp(Peturbed_QZ,$K414,1,AD$1),ZeroCompFreq,'PDH Calc'!$K414/365)</f>
        <v>1</v>
      </c>
      <c r="AE414" s="8">
        <f ca="1">_xll.HLV5r3.Analytics.Miscellaneous.Zero2DF(_xll.HLV5r3.Analytics.Miscellaneous.LinearInterp(Peturbed_QZ,$K414,1,AE$1),ZeroCompFreq,'PDH Calc'!$K414/365)</f>
        <v>1</v>
      </c>
      <c r="AF414" s="8">
        <f ca="1">_xll.HLV5r3.Analytics.Miscellaneous.Zero2DF(_xll.HLV5r3.Analytics.Miscellaneous.LinearInterp(Peturbed_QZ,$K414,1,AF$1),ZeroCompFreq,'PDH Calc'!$K414/365)</f>
        <v>1</v>
      </c>
      <c r="AG414" s="8">
        <f ca="1">_xll.HLV5r3.Analytics.Miscellaneous.Zero2DF(_xll.HLV5r3.Analytics.Miscellaneous.LinearInterp(Peturbed_QZ,$K414,1,AG$1),ZeroCompFreq,'PDH Calc'!$K414/365)</f>
        <v>1</v>
      </c>
      <c r="AH414" s="8">
        <f ca="1">_xll.HLV5r3.Analytics.Miscellaneous.Zero2DF(_xll.HLV5r3.Analytics.Miscellaneous.LinearInterp(Peturbed_QZ,$K414,1,AH$1),ZeroCompFreq,'PDH Calc'!$K414/365)</f>
        <v>1</v>
      </c>
      <c r="AI414" s="8">
        <f ca="1">_xll.HLV5r3.Analytics.Miscellaneous.Zero2DF(_xll.HLV5r3.Analytics.Miscellaneous.LinearInterp(Peturbed_QZ,$K414,1,AI$1),ZeroCompFreq,'PDH Calc'!$K414/365)</f>
        <v>1</v>
      </c>
      <c r="AJ414" s="8">
        <f ca="1">_xll.HLV5r3.Analytics.Miscellaneous.Zero2DF(_xll.HLV5r3.Analytics.Miscellaneous.LinearInterp(Peturbed_QZ,$K414,1,AJ$1),ZeroCompFreq,'PDH Calc'!$K414/365)</f>
        <v>1</v>
      </c>
      <c r="AK414" s="8">
        <f ca="1">_xll.HLV5r3.Analytics.Miscellaneous.Zero2DF(_xll.HLV5r3.Analytics.Miscellaneous.LinearInterp(Peturbed_QZ,$K414,1,AK$1),ZeroCompFreq,'PDH Calc'!$K414/365)</f>
        <v>1</v>
      </c>
    </row>
    <row r="415" spans="1:37">
      <c r="A415" s="4"/>
      <c r="B415" s="6"/>
      <c r="F415" s="11"/>
      <c r="G415" s="6"/>
      <c r="H415" s="20"/>
      <c r="I415" s="21"/>
      <c r="J415" s="26"/>
      <c r="K415" s="6">
        <f t="shared" ca="1" si="13"/>
        <v>0</v>
      </c>
      <c r="L415" s="8">
        <f ca="1">_xll.HLV5r3.Analytics.Miscellaneous.Zero2DF(_xll.HLV5r3.Analytics.Miscellaneous.LinearInterp(Peturbed_QZ,$K415,1,L$1),ZeroCompFreq,'PDH Calc'!$K415/365)</f>
        <v>1</v>
      </c>
      <c r="M415" s="8">
        <f ca="1">_xll.HLV5r3.Analytics.Miscellaneous.Zero2DF(_xll.HLV5r3.Analytics.Miscellaneous.LinearInterp(Peturbed_QZ,$K415,1,M$1),ZeroCompFreq,'PDH Calc'!$K415/365)</f>
        <v>1</v>
      </c>
      <c r="N415" s="8">
        <f ca="1">_xll.HLV5r3.Analytics.Miscellaneous.Zero2DF(_xll.HLV5r3.Analytics.Miscellaneous.LinearInterp(Peturbed_QZ,$K415,1,N$1),ZeroCompFreq,'PDH Calc'!$K415/365)</f>
        <v>1</v>
      </c>
      <c r="O415" s="8">
        <f ca="1">_xll.HLV5r3.Analytics.Miscellaneous.Zero2DF(_xll.HLV5r3.Analytics.Miscellaneous.LinearInterp(Peturbed_QZ,$K415,1,O$1),ZeroCompFreq,'PDH Calc'!$K415/365)</f>
        <v>1</v>
      </c>
      <c r="P415" s="8">
        <f ca="1">_xll.HLV5r3.Analytics.Miscellaneous.Zero2DF(_xll.HLV5r3.Analytics.Miscellaneous.LinearInterp(Peturbed_QZ,$K415,1,P$1),ZeroCompFreq,'PDH Calc'!$K415/365)</f>
        <v>1</v>
      </c>
      <c r="Q415" s="8">
        <f ca="1">_xll.HLV5r3.Analytics.Miscellaneous.Zero2DF(_xll.HLV5r3.Analytics.Miscellaneous.LinearInterp(Peturbed_QZ,$K415,1,Q$1),ZeroCompFreq,'PDH Calc'!$K415/365)</f>
        <v>1</v>
      </c>
      <c r="R415" s="8">
        <f ca="1">_xll.HLV5r3.Analytics.Miscellaneous.Zero2DF(_xll.HLV5r3.Analytics.Miscellaneous.LinearInterp(Peturbed_QZ,$K415,1,R$1),ZeroCompFreq,'PDH Calc'!$K415/365)</f>
        <v>1</v>
      </c>
      <c r="S415" s="8">
        <f ca="1">_xll.HLV5r3.Analytics.Miscellaneous.Zero2DF(_xll.HLV5r3.Analytics.Miscellaneous.LinearInterp(Peturbed_QZ,$K415,1,S$1),ZeroCompFreq,'PDH Calc'!$K415/365)</f>
        <v>1</v>
      </c>
      <c r="T415" s="8">
        <f ca="1">_xll.HLV5r3.Analytics.Miscellaneous.Zero2DF(_xll.HLV5r3.Analytics.Miscellaneous.LinearInterp(Peturbed_QZ,$K415,1,T$1),ZeroCompFreq,'PDH Calc'!$K415/365)</f>
        <v>1</v>
      </c>
      <c r="U415" s="8">
        <f ca="1">_xll.HLV5r3.Analytics.Miscellaneous.Zero2DF(_xll.HLV5r3.Analytics.Miscellaneous.LinearInterp(Peturbed_QZ,$K415,1,U$1),ZeroCompFreq,'PDH Calc'!$K415/365)</f>
        <v>1</v>
      </c>
      <c r="V415" s="8">
        <f ca="1">_xll.HLV5r3.Analytics.Miscellaneous.Zero2DF(_xll.HLV5r3.Analytics.Miscellaneous.LinearInterp(Peturbed_QZ,$K415,1,V$1),ZeroCompFreq,'PDH Calc'!$K415/365)</f>
        <v>1</v>
      </c>
      <c r="W415" s="8">
        <f ca="1">_xll.HLV5r3.Analytics.Miscellaneous.Zero2DF(_xll.HLV5r3.Analytics.Miscellaneous.LinearInterp(Peturbed_QZ,$K415,1,W$1),ZeroCompFreq,'PDH Calc'!$K415/365)</f>
        <v>1</v>
      </c>
      <c r="X415" s="8">
        <f ca="1">_xll.HLV5r3.Analytics.Miscellaneous.Zero2DF(_xll.HLV5r3.Analytics.Miscellaneous.LinearInterp(Peturbed_QZ,$K415,1,X$1),ZeroCompFreq,'PDH Calc'!$K415/365)</f>
        <v>1</v>
      </c>
      <c r="Y415" s="8">
        <f ca="1">_xll.HLV5r3.Analytics.Miscellaneous.Zero2DF(_xll.HLV5r3.Analytics.Miscellaneous.LinearInterp(Peturbed_QZ,$K415,1,Y$1),ZeroCompFreq,'PDH Calc'!$K415/365)</f>
        <v>1</v>
      </c>
      <c r="Z415" s="8">
        <f ca="1">_xll.HLV5r3.Analytics.Miscellaneous.Zero2DF(_xll.HLV5r3.Analytics.Miscellaneous.LinearInterp(Peturbed_QZ,$K415,1,Z$1),ZeroCompFreq,'PDH Calc'!$K415/365)</f>
        <v>1</v>
      </c>
      <c r="AA415" s="8">
        <f ca="1">_xll.HLV5r3.Analytics.Miscellaneous.Zero2DF(_xll.HLV5r3.Analytics.Miscellaneous.LinearInterp(Peturbed_QZ,$K415,1,AA$1),ZeroCompFreq,'PDH Calc'!$K415/365)</f>
        <v>1</v>
      </c>
      <c r="AB415" s="8">
        <f ca="1">_xll.HLV5r3.Analytics.Miscellaneous.Zero2DF(_xll.HLV5r3.Analytics.Miscellaneous.LinearInterp(Peturbed_QZ,$K415,1,AB$1),ZeroCompFreq,'PDH Calc'!$K415/365)</f>
        <v>1</v>
      </c>
      <c r="AC415" s="8">
        <f ca="1">_xll.HLV5r3.Analytics.Miscellaneous.Zero2DF(_xll.HLV5r3.Analytics.Miscellaneous.LinearInterp(Peturbed_QZ,$K415,1,AC$1),ZeroCompFreq,'PDH Calc'!$K415/365)</f>
        <v>1</v>
      </c>
      <c r="AD415" s="8">
        <f ca="1">_xll.HLV5r3.Analytics.Miscellaneous.Zero2DF(_xll.HLV5r3.Analytics.Miscellaneous.LinearInterp(Peturbed_QZ,$K415,1,AD$1),ZeroCompFreq,'PDH Calc'!$K415/365)</f>
        <v>1</v>
      </c>
      <c r="AE415" s="8">
        <f ca="1">_xll.HLV5r3.Analytics.Miscellaneous.Zero2DF(_xll.HLV5r3.Analytics.Miscellaneous.LinearInterp(Peturbed_QZ,$K415,1,AE$1),ZeroCompFreq,'PDH Calc'!$K415/365)</f>
        <v>1</v>
      </c>
      <c r="AF415" s="8">
        <f ca="1">_xll.HLV5r3.Analytics.Miscellaneous.Zero2DF(_xll.HLV5r3.Analytics.Miscellaneous.LinearInterp(Peturbed_QZ,$K415,1,AF$1),ZeroCompFreq,'PDH Calc'!$K415/365)</f>
        <v>1</v>
      </c>
      <c r="AG415" s="8">
        <f ca="1">_xll.HLV5r3.Analytics.Miscellaneous.Zero2DF(_xll.HLV5r3.Analytics.Miscellaneous.LinearInterp(Peturbed_QZ,$K415,1,AG$1),ZeroCompFreq,'PDH Calc'!$K415/365)</f>
        <v>1</v>
      </c>
      <c r="AH415" s="8">
        <f ca="1">_xll.HLV5r3.Analytics.Miscellaneous.Zero2DF(_xll.HLV5r3.Analytics.Miscellaneous.LinearInterp(Peturbed_QZ,$K415,1,AH$1),ZeroCompFreq,'PDH Calc'!$K415/365)</f>
        <v>1</v>
      </c>
      <c r="AI415" s="8">
        <f ca="1">_xll.HLV5r3.Analytics.Miscellaneous.Zero2DF(_xll.HLV5r3.Analytics.Miscellaneous.LinearInterp(Peturbed_QZ,$K415,1,AI$1),ZeroCompFreq,'PDH Calc'!$K415/365)</f>
        <v>1</v>
      </c>
      <c r="AJ415" s="8">
        <f ca="1">_xll.HLV5r3.Analytics.Miscellaneous.Zero2DF(_xll.HLV5r3.Analytics.Miscellaneous.LinearInterp(Peturbed_QZ,$K415,1,AJ$1),ZeroCompFreq,'PDH Calc'!$K415/365)</f>
        <v>1</v>
      </c>
      <c r="AK415" s="8">
        <f ca="1">_xll.HLV5r3.Analytics.Miscellaneous.Zero2DF(_xll.HLV5r3.Analytics.Miscellaneous.LinearInterp(Peturbed_QZ,$K415,1,AK$1),ZeroCompFreq,'PDH Calc'!$K415/365)</f>
        <v>1</v>
      </c>
    </row>
    <row r="416" spans="1:37">
      <c r="A416" s="4"/>
      <c r="B416" s="6"/>
      <c r="F416" s="11"/>
      <c r="G416" s="6"/>
      <c r="H416" s="20"/>
      <c r="I416" s="21"/>
      <c r="J416" s="26"/>
      <c r="K416" s="6">
        <f t="shared" ca="1" si="13"/>
        <v>0</v>
      </c>
      <c r="L416" s="8">
        <f ca="1">_xll.HLV5r3.Analytics.Miscellaneous.Zero2DF(_xll.HLV5r3.Analytics.Miscellaneous.LinearInterp(Peturbed_QZ,$K416,1,L$1),ZeroCompFreq,'PDH Calc'!$K416/365)</f>
        <v>1</v>
      </c>
      <c r="M416" s="8">
        <f ca="1">_xll.HLV5r3.Analytics.Miscellaneous.Zero2DF(_xll.HLV5r3.Analytics.Miscellaneous.LinearInterp(Peturbed_QZ,$K416,1,M$1),ZeroCompFreq,'PDH Calc'!$K416/365)</f>
        <v>1</v>
      </c>
      <c r="N416" s="8">
        <f ca="1">_xll.HLV5r3.Analytics.Miscellaneous.Zero2DF(_xll.HLV5r3.Analytics.Miscellaneous.LinearInterp(Peturbed_QZ,$K416,1,N$1),ZeroCompFreq,'PDH Calc'!$K416/365)</f>
        <v>1</v>
      </c>
      <c r="O416" s="8">
        <f ca="1">_xll.HLV5r3.Analytics.Miscellaneous.Zero2DF(_xll.HLV5r3.Analytics.Miscellaneous.LinearInterp(Peturbed_QZ,$K416,1,O$1),ZeroCompFreq,'PDH Calc'!$K416/365)</f>
        <v>1</v>
      </c>
      <c r="P416" s="8">
        <f ca="1">_xll.HLV5r3.Analytics.Miscellaneous.Zero2DF(_xll.HLV5r3.Analytics.Miscellaneous.LinearInterp(Peturbed_QZ,$K416,1,P$1),ZeroCompFreq,'PDH Calc'!$K416/365)</f>
        <v>1</v>
      </c>
      <c r="Q416" s="8">
        <f ca="1">_xll.HLV5r3.Analytics.Miscellaneous.Zero2DF(_xll.HLV5r3.Analytics.Miscellaneous.LinearInterp(Peturbed_QZ,$K416,1,Q$1),ZeroCompFreq,'PDH Calc'!$K416/365)</f>
        <v>1</v>
      </c>
      <c r="R416" s="8">
        <f ca="1">_xll.HLV5r3.Analytics.Miscellaneous.Zero2DF(_xll.HLV5r3.Analytics.Miscellaneous.LinearInterp(Peturbed_QZ,$K416,1,R$1),ZeroCompFreq,'PDH Calc'!$K416/365)</f>
        <v>1</v>
      </c>
      <c r="S416" s="8">
        <f ca="1">_xll.HLV5r3.Analytics.Miscellaneous.Zero2DF(_xll.HLV5r3.Analytics.Miscellaneous.LinearInterp(Peturbed_QZ,$K416,1,S$1),ZeroCompFreq,'PDH Calc'!$K416/365)</f>
        <v>1</v>
      </c>
      <c r="T416" s="8">
        <f ca="1">_xll.HLV5r3.Analytics.Miscellaneous.Zero2DF(_xll.HLV5r3.Analytics.Miscellaneous.LinearInterp(Peturbed_QZ,$K416,1,T$1),ZeroCompFreq,'PDH Calc'!$K416/365)</f>
        <v>1</v>
      </c>
      <c r="U416" s="8">
        <f ca="1">_xll.HLV5r3.Analytics.Miscellaneous.Zero2DF(_xll.HLV5r3.Analytics.Miscellaneous.LinearInterp(Peturbed_QZ,$K416,1,U$1),ZeroCompFreq,'PDH Calc'!$K416/365)</f>
        <v>1</v>
      </c>
      <c r="V416" s="8">
        <f ca="1">_xll.HLV5r3.Analytics.Miscellaneous.Zero2DF(_xll.HLV5r3.Analytics.Miscellaneous.LinearInterp(Peturbed_QZ,$K416,1,V$1),ZeroCompFreq,'PDH Calc'!$K416/365)</f>
        <v>1</v>
      </c>
      <c r="W416" s="8">
        <f ca="1">_xll.HLV5r3.Analytics.Miscellaneous.Zero2DF(_xll.HLV5r3.Analytics.Miscellaneous.LinearInterp(Peturbed_QZ,$K416,1,W$1),ZeroCompFreq,'PDH Calc'!$K416/365)</f>
        <v>1</v>
      </c>
      <c r="X416" s="8">
        <f ca="1">_xll.HLV5r3.Analytics.Miscellaneous.Zero2DF(_xll.HLV5r3.Analytics.Miscellaneous.LinearInterp(Peturbed_QZ,$K416,1,X$1),ZeroCompFreq,'PDH Calc'!$K416/365)</f>
        <v>1</v>
      </c>
      <c r="Y416" s="8">
        <f ca="1">_xll.HLV5r3.Analytics.Miscellaneous.Zero2DF(_xll.HLV5r3.Analytics.Miscellaneous.LinearInterp(Peturbed_QZ,$K416,1,Y$1),ZeroCompFreq,'PDH Calc'!$K416/365)</f>
        <v>1</v>
      </c>
      <c r="Z416" s="8">
        <f ca="1">_xll.HLV5r3.Analytics.Miscellaneous.Zero2DF(_xll.HLV5r3.Analytics.Miscellaneous.LinearInterp(Peturbed_QZ,$K416,1,Z$1),ZeroCompFreq,'PDH Calc'!$K416/365)</f>
        <v>1</v>
      </c>
      <c r="AA416" s="8">
        <f ca="1">_xll.HLV5r3.Analytics.Miscellaneous.Zero2DF(_xll.HLV5r3.Analytics.Miscellaneous.LinearInterp(Peturbed_QZ,$K416,1,AA$1),ZeroCompFreq,'PDH Calc'!$K416/365)</f>
        <v>1</v>
      </c>
      <c r="AB416" s="8">
        <f ca="1">_xll.HLV5r3.Analytics.Miscellaneous.Zero2DF(_xll.HLV5r3.Analytics.Miscellaneous.LinearInterp(Peturbed_QZ,$K416,1,AB$1),ZeroCompFreq,'PDH Calc'!$K416/365)</f>
        <v>1</v>
      </c>
      <c r="AC416" s="8">
        <f ca="1">_xll.HLV5r3.Analytics.Miscellaneous.Zero2DF(_xll.HLV5r3.Analytics.Miscellaneous.LinearInterp(Peturbed_QZ,$K416,1,AC$1),ZeroCompFreq,'PDH Calc'!$K416/365)</f>
        <v>1</v>
      </c>
      <c r="AD416" s="8">
        <f ca="1">_xll.HLV5r3.Analytics.Miscellaneous.Zero2DF(_xll.HLV5r3.Analytics.Miscellaneous.LinearInterp(Peturbed_QZ,$K416,1,AD$1),ZeroCompFreq,'PDH Calc'!$K416/365)</f>
        <v>1</v>
      </c>
      <c r="AE416" s="8">
        <f ca="1">_xll.HLV5r3.Analytics.Miscellaneous.Zero2DF(_xll.HLV5r3.Analytics.Miscellaneous.LinearInterp(Peturbed_QZ,$K416,1,AE$1),ZeroCompFreq,'PDH Calc'!$K416/365)</f>
        <v>1</v>
      </c>
      <c r="AF416" s="8">
        <f ca="1">_xll.HLV5r3.Analytics.Miscellaneous.Zero2DF(_xll.HLV5r3.Analytics.Miscellaneous.LinearInterp(Peturbed_QZ,$K416,1,AF$1),ZeroCompFreq,'PDH Calc'!$K416/365)</f>
        <v>1</v>
      </c>
      <c r="AG416" s="8">
        <f ca="1">_xll.HLV5r3.Analytics.Miscellaneous.Zero2DF(_xll.HLV5r3.Analytics.Miscellaneous.LinearInterp(Peturbed_QZ,$K416,1,AG$1),ZeroCompFreq,'PDH Calc'!$K416/365)</f>
        <v>1</v>
      </c>
      <c r="AH416" s="8">
        <f ca="1">_xll.HLV5r3.Analytics.Miscellaneous.Zero2DF(_xll.HLV5r3.Analytics.Miscellaneous.LinearInterp(Peturbed_QZ,$K416,1,AH$1),ZeroCompFreq,'PDH Calc'!$K416/365)</f>
        <v>1</v>
      </c>
      <c r="AI416" s="8">
        <f ca="1">_xll.HLV5r3.Analytics.Miscellaneous.Zero2DF(_xll.HLV5r3.Analytics.Miscellaneous.LinearInterp(Peturbed_QZ,$K416,1,AI$1),ZeroCompFreq,'PDH Calc'!$K416/365)</f>
        <v>1</v>
      </c>
      <c r="AJ416" s="8">
        <f ca="1">_xll.HLV5r3.Analytics.Miscellaneous.Zero2DF(_xll.HLV5r3.Analytics.Miscellaneous.LinearInterp(Peturbed_QZ,$K416,1,AJ$1),ZeroCompFreq,'PDH Calc'!$K416/365)</f>
        <v>1</v>
      </c>
      <c r="AK416" s="8">
        <f ca="1">_xll.HLV5r3.Analytics.Miscellaneous.Zero2DF(_xll.HLV5r3.Analytics.Miscellaneous.LinearInterp(Peturbed_QZ,$K416,1,AK$1),ZeroCompFreq,'PDH Calc'!$K416/365)</f>
        <v>1</v>
      </c>
    </row>
    <row r="417" spans="1:37">
      <c r="A417" s="4"/>
      <c r="B417" s="6"/>
      <c r="F417" s="11"/>
      <c r="G417" s="6"/>
      <c r="H417" s="20"/>
      <c r="I417" s="21"/>
      <c r="J417" s="26"/>
      <c r="K417" s="6">
        <f t="shared" ca="1" si="13"/>
        <v>0</v>
      </c>
      <c r="L417" s="8">
        <f ca="1">_xll.HLV5r3.Analytics.Miscellaneous.Zero2DF(_xll.HLV5r3.Analytics.Miscellaneous.LinearInterp(Peturbed_QZ,$K417,1,L$1),ZeroCompFreq,'PDH Calc'!$K417/365)</f>
        <v>1</v>
      </c>
      <c r="M417" s="8">
        <f ca="1">_xll.HLV5r3.Analytics.Miscellaneous.Zero2DF(_xll.HLV5r3.Analytics.Miscellaneous.LinearInterp(Peturbed_QZ,$K417,1,M$1),ZeroCompFreq,'PDH Calc'!$K417/365)</f>
        <v>1</v>
      </c>
      <c r="N417" s="8">
        <f ca="1">_xll.HLV5r3.Analytics.Miscellaneous.Zero2DF(_xll.HLV5r3.Analytics.Miscellaneous.LinearInterp(Peturbed_QZ,$K417,1,N$1),ZeroCompFreq,'PDH Calc'!$K417/365)</f>
        <v>1</v>
      </c>
      <c r="O417" s="8">
        <f ca="1">_xll.HLV5r3.Analytics.Miscellaneous.Zero2DF(_xll.HLV5r3.Analytics.Miscellaneous.LinearInterp(Peturbed_QZ,$K417,1,O$1),ZeroCompFreq,'PDH Calc'!$K417/365)</f>
        <v>1</v>
      </c>
      <c r="P417" s="8">
        <f ca="1">_xll.HLV5r3.Analytics.Miscellaneous.Zero2DF(_xll.HLV5r3.Analytics.Miscellaneous.LinearInterp(Peturbed_QZ,$K417,1,P$1),ZeroCompFreq,'PDH Calc'!$K417/365)</f>
        <v>1</v>
      </c>
      <c r="Q417" s="8">
        <f ca="1">_xll.HLV5r3.Analytics.Miscellaneous.Zero2DF(_xll.HLV5r3.Analytics.Miscellaneous.LinearInterp(Peturbed_QZ,$K417,1,Q$1),ZeroCompFreq,'PDH Calc'!$K417/365)</f>
        <v>1</v>
      </c>
      <c r="R417" s="8">
        <f ca="1">_xll.HLV5r3.Analytics.Miscellaneous.Zero2DF(_xll.HLV5r3.Analytics.Miscellaneous.LinearInterp(Peturbed_QZ,$K417,1,R$1),ZeroCompFreq,'PDH Calc'!$K417/365)</f>
        <v>1</v>
      </c>
      <c r="S417" s="8">
        <f ca="1">_xll.HLV5r3.Analytics.Miscellaneous.Zero2DF(_xll.HLV5r3.Analytics.Miscellaneous.LinearInterp(Peturbed_QZ,$K417,1,S$1),ZeroCompFreq,'PDH Calc'!$K417/365)</f>
        <v>1</v>
      </c>
      <c r="T417" s="8">
        <f ca="1">_xll.HLV5r3.Analytics.Miscellaneous.Zero2DF(_xll.HLV5r3.Analytics.Miscellaneous.LinearInterp(Peturbed_QZ,$K417,1,T$1),ZeroCompFreq,'PDH Calc'!$K417/365)</f>
        <v>1</v>
      </c>
      <c r="U417" s="8">
        <f ca="1">_xll.HLV5r3.Analytics.Miscellaneous.Zero2DF(_xll.HLV5r3.Analytics.Miscellaneous.LinearInterp(Peturbed_QZ,$K417,1,U$1),ZeroCompFreq,'PDH Calc'!$K417/365)</f>
        <v>1</v>
      </c>
      <c r="V417" s="8">
        <f ca="1">_xll.HLV5r3.Analytics.Miscellaneous.Zero2DF(_xll.HLV5r3.Analytics.Miscellaneous.LinearInterp(Peturbed_QZ,$K417,1,V$1),ZeroCompFreq,'PDH Calc'!$K417/365)</f>
        <v>1</v>
      </c>
      <c r="W417" s="8">
        <f ca="1">_xll.HLV5r3.Analytics.Miscellaneous.Zero2DF(_xll.HLV5r3.Analytics.Miscellaneous.LinearInterp(Peturbed_QZ,$K417,1,W$1),ZeroCompFreq,'PDH Calc'!$K417/365)</f>
        <v>1</v>
      </c>
      <c r="X417" s="8">
        <f ca="1">_xll.HLV5r3.Analytics.Miscellaneous.Zero2DF(_xll.HLV5r3.Analytics.Miscellaneous.LinearInterp(Peturbed_QZ,$K417,1,X$1),ZeroCompFreq,'PDH Calc'!$K417/365)</f>
        <v>1</v>
      </c>
      <c r="Y417" s="8">
        <f ca="1">_xll.HLV5r3.Analytics.Miscellaneous.Zero2DF(_xll.HLV5r3.Analytics.Miscellaneous.LinearInterp(Peturbed_QZ,$K417,1,Y$1),ZeroCompFreq,'PDH Calc'!$K417/365)</f>
        <v>1</v>
      </c>
      <c r="Z417" s="8">
        <f ca="1">_xll.HLV5r3.Analytics.Miscellaneous.Zero2DF(_xll.HLV5r3.Analytics.Miscellaneous.LinearInterp(Peturbed_QZ,$K417,1,Z$1),ZeroCompFreq,'PDH Calc'!$K417/365)</f>
        <v>1</v>
      </c>
      <c r="AA417" s="8">
        <f ca="1">_xll.HLV5r3.Analytics.Miscellaneous.Zero2DF(_xll.HLV5r3.Analytics.Miscellaneous.LinearInterp(Peturbed_QZ,$K417,1,AA$1),ZeroCompFreq,'PDH Calc'!$K417/365)</f>
        <v>1</v>
      </c>
      <c r="AB417" s="8">
        <f ca="1">_xll.HLV5r3.Analytics.Miscellaneous.Zero2DF(_xll.HLV5r3.Analytics.Miscellaneous.LinearInterp(Peturbed_QZ,$K417,1,AB$1),ZeroCompFreq,'PDH Calc'!$K417/365)</f>
        <v>1</v>
      </c>
      <c r="AC417" s="8">
        <f ca="1">_xll.HLV5r3.Analytics.Miscellaneous.Zero2DF(_xll.HLV5r3.Analytics.Miscellaneous.LinearInterp(Peturbed_QZ,$K417,1,AC$1),ZeroCompFreq,'PDH Calc'!$K417/365)</f>
        <v>1</v>
      </c>
      <c r="AD417" s="8">
        <f ca="1">_xll.HLV5r3.Analytics.Miscellaneous.Zero2DF(_xll.HLV5r3.Analytics.Miscellaneous.LinearInterp(Peturbed_QZ,$K417,1,AD$1),ZeroCompFreq,'PDH Calc'!$K417/365)</f>
        <v>1</v>
      </c>
      <c r="AE417" s="8">
        <f ca="1">_xll.HLV5r3.Analytics.Miscellaneous.Zero2DF(_xll.HLV5r3.Analytics.Miscellaneous.LinearInterp(Peturbed_QZ,$K417,1,AE$1),ZeroCompFreq,'PDH Calc'!$K417/365)</f>
        <v>1</v>
      </c>
      <c r="AF417" s="8">
        <f ca="1">_xll.HLV5r3.Analytics.Miscellaneous.Zero2DF(_xll.HLV5r3.Analytics.Miscellaneous.LinearInterp(Peturbed_QZ,$K417,1,AF$1),ZeroCompFreq,'PDH Calc'!$K417/365)</f>
        <v>1</v>
      </c>
      <c r="AG417" s="8">
        <f ca="1">_xll.HLV5r3.Analytics.Miscellaneous.Zero2DF(_xll.HLV5r3.Analytics.Miscellaneous.LinearInterp(Peturbed_QZ,$K417,1,AG$1),ZeroCompFreq,'PDH Calc'!$K417/365)</f>
        <v>1</v>
      </c>
      <c r="AH417" s="8">
        <f ca="1">_xll.HLV5r3.Analytics.Miscellaneous.Zero2DF(_xll.HLV5r3.Analytics.Miscellaneous.LinearInterp(Peturbed_QZ,$K417,1,AH$1),ZeroCompFreq,'PDH Calc'!$K417/365)</f>
        <v>1</v>
      </c>
      <c r="AI417" s="8">
        <f ca="1">_xll.HLV5r3.Analytics.Miscellaneous.Zero2DF(_xll.HLV5r3.Analytics.Miscellaneous.LinearInterp(Peturbed_QZ,$K417,1,AI$1),ZeroCompFreq,'PDH Calc'!$K417/365)</f>
        <v>1</v>
      </c>
      <c r="AJ417" s="8">
        <f ca="1">_xll.HLV5r3.Analytics.Miscellaneous.Zero2DF(_xll.HLV5r3.Analytics.Miscellaneous.LinearInterp(Peturbed_QZ,$K417,1,AJ$1),ZeroCompFreq,'PDH Calc'!$K417/365)</f>
        <v>1</v>
      </c>
      <c r="AK417" s="8">
        <f ca="1">_xll.HLV5r3.Analytics.Miscellaneous.Zero2DF(_xll.HLV5r3.Analytics.Miscellaneous.LinearInterp(Peturbed_QZ,$K417,1,AK$1),ZeroCompFreq,'PDH Calc'!$K417/365)</f>
        <v>1</v>
      </c>
    </row>
    <row r="418" spans="1:37">
      <c r="A418" s="4"/>
      <c r="B418" s="6"/>
      <c r="F418" s="11"/>
      <c r="G418" s="6"/>
      <c r="H418" s="20"/>
      <c r="I418" s="21"/>
      <c r="J418" s="26"/>
      <c r="K418" s="6">
        <f t="shared" ca="1" si="13"/>
        <v>0</v>
      </c>
      <c r="L418" s="8">
        <f ca="1">_xll.HLV5r3.Analytics.Miscellaneous.Zero2DF(_xll.HLV5r3.Analytics.Miscellaneous.LinearInterp(Peturbed_QZ,$K418,1,L$1),ZeroCompFreq,'PDH Calc'!$K418/365)</f>
        <v>1</v>
      </c>
      <c r="M418" s="8">
        <f ca="1">_xll.HLV5r3.Analytics.Miscellaneous.Zero2DF(_xll.HLV5r3.Analytics.Miscellaneous.LinearInterp(Peturbed_QZ,$K418,1,M$1),ZeroCompFreq,'PDH Calc'!$K418/365)</f>
        <v>1</v>
      </c>
      <c r="N418" s="8">
        <f ca="1">_xll.HLV5r3.Analytics.Miscellaneous.Zero2DF(_xll.HLV5r3.Analytics.Miscellaneous.LinearInterp(Peturbed_QZ,$K418,1,N$1),ZeroCompFreq,'PDH Calc'!$K418/365)</f>
        <v>1</v>
      </c>
      <c r="O418" s="8">
        <f ca="1">_xll.HLV5r3.Analytics.Miscellaneous.Zero2DF(_xll.HLV5r3.Analytics.Miscellaneous.LinearInterp(Peturbed_QZ,$K418,1,O$1),ZeroCompFreq,'PDH Calc'!$K418/365)</f>
        <v>1</v>
      </c>
      <c r="P418" s="8">
        <f ca="1">_xll.HLV5r3.Analytics.Miscellaneous.Zero2DF(_xll.HLV5r3.Analytics.Miscellaneous.LinearInterp(Peturbed_QZ,$K418,1,P$1),ZeroCompFreq,'PDH Calc'!$K418/365)</f>
        <v>1</v>
      </c>
      <c r="Q418" s="8">
        <f ca="1">_xll.HLV5r3.Analytics.Miscellaneous.Zero2DF(_xll.HLV5r3.Analytics.Miscellaneous.LinearInterp(Peturbed_QZ,$K418,1,Q$1),ZeroCompFreq,'PDH Calc'!$K418/365)</f>
        <v>1</v>
      </c>
      <c r="R418" s="8">
        <f ca="1">_xll.HLV5r3.Analytics.Miscellaneous.Zero2DF(_xll.HLV5r3.Analytics.Miscellaneous.LinearInterp(Peturbed_QZ,$K418,1,R$1),ZeroCompFreq,'PDH Calc'!$K418/365)</f>
        <v>1</v>
      </c>
      <c r="S418" s="8">
        <f ca="1">_xll.HLV5r3.Analytics.Miscellaneous.Zero2DF(_xll.HLV5r3.Analytics.Miscellaneous.LinearInterp(Peturbed_QZ,$K418,1,S$1),ZeroCompFreq,'PDH Calc'!$K418/365)</f>
        <v>1</v>
      </c>
      <c r="T418" s="8">
        <f ca="1">_xll.HLV5r3.Analytics.Miscellaneous.Zero2DF(_xll.HLV5r3.Analytics.Miscellaneous.LinearInterp(Peturbed_QZ,$K418,1,T$1),ZeroCompFreq,'PDH Calc'!$K418/365)</f>
        <v>1</v>
      </c>
      <c r="U418" s="8">
        <f ca="1">_xll.HLV5r3.Analytics.Miscellaneous.Zero2DF(_xll.HLV5r3.Analytics.Miscellaneous.LinearInterp(Peturbed_QZ,$K418,1,U$1),ZeroCompFreq,'PDH Calc'!$K418/365)</f>
        <v>1</v>
      </c>
      <c r="V418" s="8">
        <f ca="1">_xll.HLV5r3.Analytics.Miscellaneous.Zero2DF(_xll.HLV5r3.Analytics.Miscellaneous.LinearInterp(Peturbed_QZ,$K418,1,V$1),ZeroCompFreq,'PDH Calc'!$K418/365)</f>
        <v>1</v>
      </c>
      <c r="W418" s="8">
        <f ca="1">_xll.HLV5r3.Analytics.Miscellaneous.Zero2DF(_xll.HLV5r3.Analytics.Miscellaneous.LinearInterp(Peturbed_QZ,$K418,1,W$1),ZeroCompFreq,'PDH Calc'!$K418/365)</f>
        <v>1</v>
      </c>
      <c r="X418" s="8">
        <f ca="1">_xll.HLV5r3.Analytics.Miscellaneous.Zero2DF(_xll.HLV5r3.Analytics.Miscellaneous.LinearInterp(Peturbed_QZ,$K418,1,X$1),ZeroCompFreq,'PDH Calc'!$K418/365)</f>
        <v>1</v>
      </c>
      <c r="Y418" s="8">
        <f ca="1">_xll.HLV5r3.Analytics.Miscellaneous.Zero2DF(_xll.HLV5r3.Analytics.Miscellaneous.LinearInterp(Peturbed_QZ,$K418,1,Y$1),ZeroCompFreq,'PDH Calc'!$K418/365)</f>
        <v>1</v>
      </c>
      <c r="Z418" s="8">
        <f ca="1">_xll.HLV5r3.Analytics.Miscellaneous.Zero2DF(_xll.HLV5r3.Analytics.Miscellaneous.LinearInterp(Peturbed_QZ,$K418,1,Z$1),ZeroCompFreq,'PDH Calc'!$K418/365)</f>
        <v>1</v>
      </c>
      <c r="AA418" s="8">
        <f ca="1">_xll.HLV5r3.Analytics.Miscellaneous.Zero2DF(_xll.HLV5r3.Analytics.Miscellaneous.LinearInterp(Peturbed_QZ,$K418,1,AA$1),ZeroCompFreq,'PDH Calc'!$K418/365)</f>
        <v>1</v>
      </c>
      <c r="AB418" s="8">
        <f ca="1">_xll.HLV5r3.Analytics.Miscellaneous.Zero2DF(_xll.HLV5r3.Analytics.Miscellaneous.LinearInterp(Peturbed_QZ,$K418,1,AB$1),ZeroCompFreq,'PDH Calc'!$K418/365)</f>
        <v>1</v>
      </c>
      <c r="AC418" s="8">
        <f ca="1">_xll.HLV5r3.Analytics.Miscellaneous.Zero2DF(_xll.HLV5r3.Analytics.Miscellaneous.LinearInterp(Peturbed_QZ,$K418,1,AC$1),ZeroCompFreq,'PDH Calc'!$K418/365)</f>
        <v>1</v>
      </c>
      <c r="AD418" s="8">
        <f ca="1">_xll.HLV5r3.Analytics.Miscellaneous.Zero2DF(_xll.HLV5r3.Analytics.Miscellaneous.LinearInterp(Peturbed_QZ,$K418,1,AD$1),ZeroCompFreq,'PDH Calc'!$K418/365)</f>
        <v>1</v>
      </c>
      <c r="AE418" s="8">
        <f ca="1">_xll.HLV5r3.Analytics.Miscellaneous.Zero2DF(_xll.HLV5r3.Analytics.Miscellaneous.LinearInterp(Peturbed_QZ,$K418,1,AE$1),ZeroCompFreq,'PDH Calc'!$K418/365)</f>
        <v>1</v>
      </c>
      <c r="AF418" s="8">
        <f ca="1">_xll.HLV5r3.Analytics.Miscellaneous.Zero2DF(_xll.HLV5r3.Analytics.Miscellaneous.LinearInterp(Peturbed_QZ,$K418,1,AF$1),ZeroCompFreq,'PDH Calc'!$K418/365)</f>
        <v>1</v>
      </c>
      <c r="AG418" s="8">
        <f ca="1">_xll.HLV5r3.Analytics.Miscellaneous.Zero2DF(_xll.HLV5r3.Analytics.Miscellaneous.LinearInterp(Peturbed_QZ,$K418,1,AG$1),ZeroCompFreq,'PDH Calc'!$K418/365)</f>
        <v>1</v>
      </c>
      <c r="AH418" s="8">
        <f ca="1">_xll.HLV5r3.Analytics.Miscellaneous.Zero2DF(_xll.HLV5r3.Analytics.Miscellaneous.LinearInterp(Peturbed_QZ,$K418,1,AH$1),ZeroCompFreq,'PDH Calc'!$K418/365)</f>
        <v>1</v>
      </c>
      <c r="AI418" s="8">
        <f ca="1">_xll.HLV5r3.Analytics.Miscellaneous.Zero2DF(_xll.HLV5r3.Analytics.Miscellaneous.LinearInterp(Peturbed_QZ,$K418,1,AI$1),ZeroCompFreq,'PDH Calc'!$K418/365)</f>
        <v>1</v>
      </c>
      <c r="AJ418" s="8">
        <f ca="1">_xll.HLV5r3.Analytics.Miscellaneous.Zero2DF(_xll.HLV5r3.Analytics.Miscellaneous.LinearInterp(Peturbed_QZ,$K418,1,AJ$1),ZeroCompFreq,'PDH Calc'!$K418/365)</f>
        <v>1</v>
      </c>
      <c r="AK418" s="8">
        <f ca="1">_xll.HLV5r3.Analytics.Miscellaneous.Zero2DF(_xll.HLV5r3.Analytics.Miscellaneous.LinearInterp(Peturbed_QZ,$K418,1,AK$1),ZeroCompFreq,'PDH Calc'!$K418/365)</f>
        <v>1</v>
      </c>
    </row>
    <row r="419" spans="1:37">
      <c r="A419" s="4"/>
      <c r="B419" s="6"/>
      <c r="F419" s="11"/>
      <c r="G419" s="6"/>
      <c r="H419" s="20"/>
      <c r="I419" s="21"/>
      <c r="J419" s="26"/>
      <c r="K419" s="6">
        <f t="shared" ca="1" si="13"/>
        <v>0</v>
      </c>
      <c r="L419" s="8">
        <f ca="1">_xll.HLV5r3.Analytics.Miscellaneous.Zero2DF(_xll.HLV5r3.Analytics.Miscellaneous.LinearInterp(Peturbed_QZ,$K419,1,L$1),ZeroCompFreq,'PDH Calc'!$K419/365)</f>
        <v>1</v>
      </c>
      <c r="M419" s="8">
        <f ca="1">_xll.HLV5r3.Analytics.Miscellaneous.Zero2DF(_xll.HLV5r3.Analytics.Miscellaneous.LinearInterp(Peturbed_QZ,$K419,1,M$1),ZeroCompFreq,'PDH Calc'!$K419/365)</f>
        <v>1</v>
      </c>
      <c r="N419" s="8">
        <f ca="1">_xll.HLV5r3.Analytics.Miscellaneous.Zero2DF(_xll.HLV5r3.Analytics.Miscellaneous.LinearInterp(Peturbed_QZ,$K419,1,N$1),ZeroCompFreq,'PDH Calc'!$K419/365)</f>
        <v>1</v>
      </c>
      <c r="O419" s="8">
        <f ca="1">_xll.HLV5r3.Analytics.Miscellaneous.Zero2DF(_xll.HLV5r3.Analytics.Miscellaneous.LinearInterp(Peturbed_QZ,$K419,1,O$1),ZeroCompFreq,'PDH Calc'!$K419/365)</f>
        <v>1</v>
      </c>
      <c r="P419" s="8">
        <f ca="1">_xll.HLV5r3.Analytics.Miscellaneous.Zero2DF(_xll.HLV5r3.Analytics.Miscellaneous.LinearInterp(Peturbed_QZ,$K419,1,P$1),ZeroCompFreq,'PDH Calc'!$K419/365)</f>
        <v>1</v>
      </c>
      <c r="Q419" s="8">
        <f ca="1">_xll.HLV5r3.Analytics.Miscellaneous.Zero2DF(_xll.HLV5r3.Analytics.Miscellaneous.LinearInterp(Peturbed_QZ,$K419,1,Q$1),ZeroCompFreq,'PDH Calc'!$K419/365)</f>
        <v>1</v>
      </c>
      <c r="R419" s="8">
        <f ca="1">_xll.HLV5r3.Analytics.Miscellaneous.Zero2DF(_xll.HLV5r3.Analytics.Miscellaneous.LinearInterp(Peturbed_QZ,$K419,1,R$1),ZeroCompFreq,'PDH Calc'!$K419/365)</f>
        <v>1</v>
      </c>
      <c r="S419" s="8">
        <f ca="1">_xll.HLV5r3.Analytics.Miscellaneous.Zero2DF(_xll.HLV5r3.Analytics.Miscellaneous.LinearInterp(Peturbed_QZ,$K419,1,S$1),ZeroCompFreq,'PDH Calc'!$K419/365)</f>
        <v>1</v>
      </c>
      <c r="T419" s="8">
        <f ca="1">_xll.HLV5r3.Analytics.Miscellaneous.Zero2DF(_xll.HLV5r3.Analytics.Miscellaneous.LinearInterp(Peturbed_QZ,$K419,1,T$1),ZeroCompFreq,'PDH Calc'!$K419/365)</f>
        <v>1</v>
      </c>
      <c r="U419" s="8">
        <f ca="1">_xll.HLV5r3.Analytics.Miscellaneous.Zero2DF(_xll.HLV5r3.Analytics.Miscellaneous.LinearInterp(Peturbed_QZ,$K419,1,U$1),ZeroCompFreq,'PDH Calc'!$K419/365)</f>
        <v>1</v>
      </c>
      <c r="V419" s="8">
        <f ca="1">_xll.HLV5r3.Analytics.Miscellaneous.Zero2DF(_xll.HLV5r3.Analytics.Miscellaneous.LinearInterp(Peturbed_QZ,$K419,1,V$1),ZeroCompFreq,'PDH Calc'!$K419/365)</f>
        <v>1</v>
      </c>
      <c r="W419" s="8">
        <f ca="1">_xll.HLV5r3.Analytics.Miscellaneous.Zero2DF(_xll.HLV5r3.Analytics.Miscellaneous.LinearInterp(Peturbed_QZ,$K419,1,W$1),ZeroCompFreq,'PDH Calc'!$K419/365)</f>
        <v>1</v>
      </c>
      <c r="X419" s="8">
        <f ca="1">_xll.HLV5r3.Analytics.Miscellaneous.Zero2DF(_xll.HLV5r3.Analytics.Miscellaneous.LinearInterp(Peturbed_QZ,$K419,1,X$1),ZeroCompFreq,'PDH Calc'!$K419/365)</f>
        <v>1</v>
      </c>
      <c r="Y419" s="8">
        <f ca="1">_xll.HLV5r3.Analytics.Miscellaneous.Zero2DF(_xll.HLV5r3.Analytics.Miscellaneous.LinearInterp(Peturbed_QZ,$K419,1,Y$1),ZeroCompFreq,'PDH Calc'!$K419/365)</f>
        <v>1</v>
      </c>
      <c r="Z419" s="8">
        <f ca="1">_xll.HLV5r3.Analytics.Miscellaneous.Zero2DF(_xll.HLV5r3.Analytics.Miscellaneous.LinearInterp(Peturbed_QZ,$K419,1,Z$1),ZeroCompFreq,'PDH Calc'!$K419/365)</f>
        <v>1</v>
      </c>
      <c r="AA419" s="8">
        <f ca="1">_xll.HLV5r3.Analytics.Miscellaneous.Zero2DF(_xll.HLV5r3.Analytics.Miscellaneous.LinearInterp(Peturbed_QZ,$K419,1,AA$1),ZeroCompFreq,'PDH Calc'!$K419/365)</f>
        <v>1</v>
      </c>
      <c r="AB419" s="8">
        <f ca="1">_xll.HLV5r3.Analytics.Miscellaneous.Zero2DF(_xll.HLV5r3.Analytics.Miscellaneous.LinearInterp(Peturbed_QZ,$K419,1,AB$1),ZeroCompFreq,'PDH Calc'!$K419/365)</f>
        <v>1</v>
      </c>
      <c r="AC419" s="8">
        <f ca="1">_xll.HLV5r3.Analytics.Miscellaneous.Zero2DF(_xll.HLV5r3.Analytics.Miscellaneous.LinearInterp(Peturbed_QZ,$K419,1,AC$1),ZeroCompFreq,'PDH Calc'!$K419/365)</f>
        <v>1</v>
      </c>
      <c r="AD419" s="8">
        <f ca="1">_xll.HLV5r3.Analytics.Miscellaneous.Zero2DF(_xll.HLV5r3.Analytics.Miscellaneous.LinearInterp(Peturbed_QZ,$K419,1,AD$1),ZeroCompFreq,'PDH Calc'!$K419/365)</f>
        <v>1</v>
      </c>
      <c r="AE419" s="8">
        <f ca="1">_xll.HLV5r3.Analytics.Miscellaneous.Zero2DF(_xll.HLV5r3.Analytics.Miscellaneous.LinearInterp(Peturbed_QZ,$K419,1,AE$1),ZeroCompFreq,'PDH Calc'!$K419/365)</f>
        <v>1</v>
      </c>
      <c r="AF419" s="8">
        <f ca="1">_xll.HLV5r3.Analytics.Miscellaneous.Zero2DF(_xll.HLV5r3.Analytics.Miscellaneous.LinearInterp(Peturbed_QZ,$K419,1,AF$1),ZeroCompFreq,'PDH Calc'!$K419/365)</f>
        <v>1</v>
      </c>
      <c r="AG419" s="8">
        <f ca="1">_xll.HLV5r3.Analytics.Miscellaneous.Zero2DF(_xll.HLV5r3.Analytics.Miscellaneous.LinearInterp(Peturbed_QZ,$K419,1,AG$1),ZeroCompFreq,'PDH Calc'!$K419/365)</f>
        <v>1</v>
      </c>
      <c r="AH419" s="8">
        <f ca="1">_xll.HLV5r3.Analytics.Miscellaneous.Zero2DF(_xll.HLV5r3.Analytics.Miscellaneous.LinearInterp(Peturbed_QZ,$K419,1,AH$1),ZeroCompFreq,'PDH Calc'!$K419/365)</f>
        <v>1</v>
      </c>
      <c r="AI419" s="8">
        <f ca="1">_xll.HLV5r3.Analytics.Miscellaneous.Zero2DF(_xll.HLV5r3.Analytics.Miscellaneous.LinearInterp(Peturbed_QZ,$K419,1,AI$1),ZeroCompFreq,'PDH Calc'!$K419/365)</f>
        <v>1</v>
      </c>
      <c r="AJ419" s="8">
        <f ca="1">_xll.HLV5r3.Analytics.Miscellaneous.Zero2DF(_xll.HLV5r3.Analytics.Miscellaneous.LinearInterp(Peturbed_QZ,$K419,1,AJ$1),ZeroCompFreq,'PDH Calc'!$K419/365)</f>
        <v>1</v>
      </c>
      <c r="AK419" s="8">
        <f ca="1">_xll.HLV5r3.Analytics.Miscellaneous.Zero2DF(_xll.HLV5r3.Analytics.Miscellaneous.LinearInterp(Peturbed_QZ,$K419,1,AK$1),ZeroCompFreq,'PDH Calc'!$K419/365)</f>
        <v>1</v>
      </c>
    </row>
    <row r="420" spans="1:37">
      <c r="A420" s="4"/>
      <c r="B420" s="6"/>
      <c r="F420" s="11"/>
      <c r="G420" s="6"/>
      <c r="H420" s="20"/>
      <c r="I420" s="21"/>
      <c r="J420" s="26"/>
      <c r="K420" s="6">
        <f t="shared" ca="1" si="13"/>
        <v>0</v>
      </c>
      <c r="L420" s="8">
        <f ca="1">_xll.HLV5r3.Analytics.Miscellaneous.Zero2DF(_xll.HLV5r3.Analytics.Miscellaneous.LinearInterp(Peturbed_QZ,$K420,1,L$1),ZeroCompFreq,'PDH Calc'!$K420/365)</f>
        <v>1</v>
      </c>
      <c r="M420" s="8">
        <f ca="1">_xll.HLV5r3.Analytics.Miscellaneous.Zero2DF(_xll.HLV5r3.Analytics.Miscellaneous.LinearInterp(Peturbed_QZ,$K420,1,M$1),ZeroCompFreq,'PDH Calc'!$K420/365)</f>
        <v>1</v>
      </c>
      <c r="N420" s="8">
        <f ca="1">_xll.HLV5r3.Analytics.Miscellaneous.Zero2DF(_xll.HLV5r3.Analytics.Miscellaneous.LinearInterp(Peturbed_QZ,$K420,1,N$1),ZeroCompFreq,'PDH Calc'!$K420/365)</f>
        <v>1</v>
      </c>
      <c r="O420" s="8">
        <f ca="1">_xll.HLV5r3.Analytics.Miscellaneous.Zero2DF(_xll.HLV5r3.Analytics.Miscellaneous.LinearInterp(Peturbed_QZ,$K420,1,O$1),ZeroCompFreq,'PDH Calc'!$K420/365)</f>
        <v>1</v>
      </c>
      <c r="P420" s="8">
        <f ca="1">_xll.HLV5r3.Analytics.Miscellaneous.Zero2DF(_xll.HLV5r3.Analytics.Miscellaneous.LinearInterp(Peturbed_QZ,$K420,1,P$1),ZeroCompFreq,'PDH Calc'!$K420/365)</f>
        <v>1</v>
      </c>
      <c r="Q420" s="8">
        <f ca="1">_xll.HLV5r3.Analytics.Miscellaneous.Zero2DF(_xll.HLV5r3.Analytics.Miscellaneous.LinearInterp(Peturbed_QZ,$K420,1,Q$1),ZeroCompFreq,'PDH Calc'!$K420/365)</f>
        <v>1</v>
      </c>
      <c r="R420" s="8">
        <f ca="1">_xll.HLV5r3.Analytics.Miscellaneous.Zero2DF(_xll.HLV5r3.Analytics.Miscellaneous.LinearInterp(Peturbed_QZ,$K420,1,R$1),ZeroCompFreq,'PDH Calc'!$K420/365)</f>
        <v>1</v>
      </c>
      <c r="S420" s="8">
        <f ca="1">_xll.HLV5r3.Analytics.Miscellaneous.Zero2DF(_xll.HLV5r3.Analytics.Miscellaneous.LinearInterp(Peturbed_QZ,$K420,1,S$1),ZeroCompFreq,'PDH Calc'!$K420/365)</f>
        <v>1</v>
      </c>
      <c r="T420" s="8">
        <f ca="1">_xll.HLV5r3.Analytics.Miscellaneous.Zero2DF(_xll.HLV5r3.Analytics.Miscellaneous.LinearInterp(Peturbed_QZ,$K420,1,T$1),ZeroCompFreq,'PDH Calc'!$K420/365)</f>
        <v>1</v>
      </c>
      <c r="U420" s="8">
        <f ca="1">_xll.HLV5r3.Analytics.Miscellaneous.Zero2DF(_xll.HLV5r3.Analytics.Miscellaneous.LinearInterp(Peturbed_QZ,$K420,1,U$1),ZeroCompFreq,'PDH Calc'!$K420/365)</f>
        <v>1</v>
      </c>
      <c r="V420" s="8">
        <f ca="1">_xll.HLV5r3.Analytics.Miscellaneous.Zero2DF(_xll.HLV5r3.Analytics.Miscellaneous.LinearInterp(Peturbed_QZ,$K420,1,V$1),ZeroCompFreq,'PDH Calc'!$K420/365)</f>
        <v>1</v>
      </c>
      <c r="W420" s="8">
        <f ca="1">_xll.HLV5r3.Analytics.Miscellaneous.Zero2DF(_xll.HLV5r3.Analytics.Miscellaneous.LinearInterp(Peturbed_QZ,$K420,1,W$1),ZeroCompFreq,'PDH Calc'!$K420/365)</f>
        <v>1</v>
      </c>
      <c r="X420" s="8">
        <f ca="1">_xll.HLV5r3.Analytics.Miscellaneous.Zero2DF(_xll.HLV5r3.Analytics.Miscellaneous.LinearInterp(Peturbed_QZ,$K420,1,X$1),ZeroCompFreq,'PDH Calc'!$K420/365)</f>
        <v>1</v>
      </c>
      <c r="Y420" s="8">
        <f ca="1">_xll.HLV5r3.Analytics.Miscellaneous.Zero2DF(_xll.HLV5r3.Analytics.Miscellaneous.LinearInterp(Peturbed_QZ,$K420,1,Y$1),ZeroCompFreq,'PDH Calc'!$K420/365)</f>
        <v>1</v>
      </c>
      <c r="Z420" s="8">
        <f ca="1">_xll.HLV5r3.Analytics.Miscellaneous.Zero2DF(_xll.HLV5r3.Analytics.Miscellaneous.LinearInterp(Peturbed_QZ,$K420,1,Z$1),ZeroCompFreq,'PDH Calc'!$K420/365)</f>
        <v>1</v>
      </c>
      <c r="AA420" s="8">
        <f ca="1">_xll.HLV5r3.Analytics.Miscellaneous.Zero2DF(_xll.HLV5r3.Analytics.Miscellaneous.LinearInterp(Peturbed_QZ,$K420,1,AA$1),ZeroCompFreq,'PDH Calc'!$K420/365)</f>
        <v>1</v>
      </c>
      <c r="AB420" s="8">
        <f ca="1">_xll.HLV5r3.Analytics.Miscellaneous.Zero2DF(_xll.HLV5r3.Analytics.Miscellaneous.LinearInterp(Peturbed_QZ,$K420,1,AB$1),ZeroCompFreq,'PDH Calc'!$K420/365)</f>
        <v>1</v>
      </c>
      <c r="AC420" s="8">
        <f ca="1">_xll.HLV5r3.Analytics.Miscellaneous.Zero2DF(_xll.HLV5r3.Analytics.Miscellaneous.LinearInterp(Peturbed_QZ,$K420,1,AC$1),ZeroCompFreq,'PDH Calc'!$K420/365)</f>
        <v>1</v>
      </c>
      <c r="AD420" s="8">
        <f ca="1">_xll.HLV5r3.Analytics.Miscellaneous.Zero2DF(_xll.HLV5r3.Analytics.Miscellaneous.LinearInterp(Peturbed_QZ,$K420,1,AD$1),ZeroCompFreq,'PDH Calc'!$K420/365)</f>
        <v>1</v>
      </c>
      <c r="AE420" s="8">
        <f ca="1">_xll.HLV5r3.Analytics.Miscellaneous.Zero2DF(_xll.HLV5r3.Analytics.Miscellaneous.LinearInterp(Peturbed_QZ,$K420,1,AE$1),ZeroCompFreq,'PDH Calc'!$K420/365)</f>
        <v>1</v>
      </c>
      <c r="AF420" s="8">
        <f ca="1">_xll.HLV5r3.Analytics.Miscellaneous.Zero2DF(_xll.HLV5r3.Analytics.Miscellaneous.LinearInterp(Peturbed_QZ,$K420,1,AF$1),ZeroCompFreq,'PDH Calc'!$K420/365)</f>
        <v>1</v>
      </c>
      <c r="AG420" s="8">
        <f ca="1">_xll.HLV5r3.Analytics.Miscellaneous.Zero2DF(_xll.HLV5r3.Analytics.Miscellaneous.LinearInterp(Peturbed_QZ,$K420,1,AG$1),ZeroCompFreq,'PDH Calc'!$K420/365)</f>
        <v>1</v>
      </c>
      <c r="AH420" s="8">
        <f ca="1">_xll.HLV5r3.Analytics.Miscellaneous.Zero2DF(_xll.HLV5r3.Analytics.Miscellaneous.LinearInterp(Peturbed_QZ,$K420,1,AH$1),ZeroCompFreq,'PDH Calc'!$K420/365)</f>
        <v>1</v>
      </c>
      <c r="AI420" s="8">
        <f ca="1">_xll.HLV5r3.Analytics.Miscellaneous.Zero2DF(_xll.HLV5r3.Analytics.Miscellaneous.LinearInterp(Peturbed_QZ,$K420,1,AI$1),ZeroCompFreq,'PDH Calc'!$K420/365)</f>
        <v>1</v>
      </c>
      <c r="AJ420" s="8">
        <f ca="1">_xll.HLV5r3.Analytics.Miscellaneous.Zero2DF(_xll.HLV5r3.Analytics.Miscellaneous.LinearInterp(Peturbed_QZ,$K420,1,AJ$1),ZeroCompFreq,'PDH Calc'!$K420/365)</f>
        <v>1</v>
      </c>
      <c r="AK420" s="8">
        <f ca="1">_xll.HLV5r3.Analytics.Miscellaneous.Zero2DF(_xll.HLV5r3.Analytics.Miscellaneous.LinearInterp(Peturbed_QZ,$K420,1,AK$1),ZeroCompFreq,'PDH Calc'!$K420/365)</f>
        <v>1</v>
      </c>
    </row>
    <row r="421" spans="1:37">
      <c r="A421" s="4"/>
      <c r="B421" s="6"/>
      <c r="F421" s="11"/>
      <c r="G421" s="6"/>
      <c r="H421" s="20"/>
      <c r="I421" s="21"/>
      <c r="J421" s="26"/>
      <c r="K421" s="6">
        <f t="shared" ca="1" si="13"/>
        <v>0</v>
      </c>
      <c r="L421" s="8">
        <f ca="1">_xll.HLV5r3.Analytics.Miscellaneous.Zero2DF(_xll.HLV5r3.Analytics.Miscellaneous.LinearInterp(Peturbed_QZ,$K421,1,L$1),ZeroCompFreq,'PDH Calc'!$K421/365)</f>
        <v>1</v>
      </c>
      <c r="M421" s="8">
        <f ca="1">_xll.HLV5r3.Analytics.Miscellaneous.Zero2DF(_xll.HLV5r3.Analytics.Miscellaneous.LinearInterp(Peturbed_QZ,$K421,1,M$1),ZeroCompFreq,'PDH Calc'!$K421/365)</f>
        <v>1</v>
      </c>
      <c r="N421" s="8">
        <f ca="1">_xll.HLV5r3.Analytics.Miscellaneous.Zero2DF(_xll.HLV5r3.Analytics.Miscellaneous.LinearInterp(Peturbed_QZ,$K421,1,N$1),ZeroCompFreq,'PDH Calc'!$K421/365)</f>
        <v>1</v>
      </c>
      <c r="O421" s="8">
        <f ca="1">_xll.HLV5r3.Analytics.Miscellaneous.Zero2DF(_xll.HLV5r3.Analytics.Miscellaneous.LinearInterp(Peturbed_QZ,$K421,1,O$1),ZeroCompFreq,'PDH Calc'!$K421/365)</f>
        <v>1</v>
      </c>
      <c r="P421" s="8">
        <f ca="1">_xll.HLV5r3.Analytics.Miscellaneous.Zero2DF(_xll.HLV5r3.Analytics.Miscellaneous.LinearInterp(Peturbed_QZ,$K421,1,P$1),ZeroCompFreq,'PDH Calc'!$K421/365)</f>
        <v>1</v>
      </c>
      <c r="Q421" s="8">
        <f ca="1">_xll.HLV5r3.Analytics.Miscellaneous.Zero2DF(_xll.HLV5r3.Analytics.Miscellaneous.LinearInterp(Peturbed_QZ,$K421,1,Q$1),ZeroCompFreq,'PDH Calc'!$K421/365)</f>
        <v>1</v>
      </c>
      <c r="R421" s="8">
        <f ca="1">_xll.HLV5r3.Analytics.Miscellaneous.Zero2DF(_xll.HLV5r3.Analytics.Miscellaneous.LinearInterp(Peturbed_QZ,$K421,1,R$1),ZeroCompFreq,'PDH Calc'!$K421/365)</f>
        <v>1</v>
      </c>
      <c r="S421" s="8">
        <f ca="1">_xll.HLV5r3.Analytics.Miscellaneous.Zero2DF(_xll.HLV5r3.Analytics.Miscellaneous.LinearInterp(Peturbed_QZ,$K421,1,S$1),ZeroCompFreq,'PDH Calc'!$K421/365)</f>
        <v>1</v>
      </c>
      <c r="T421" s="8">
        <f ca="1">_xll.HLV5r3.Analytics.Miscellaneous.Zero2DF(_xll.HLV5r3.Analytics.Miscellaneous.LinearInterp(Peturbed_QZ,$K421,1,T$1),ZeroCompFreq,'PDH Calc'!$K421/365)</f>
        <v>1</v>
      </c>
      <c r="U421" s="8">
        <f ca="1">_xll.HLV5r3.Analytics.Miscellaneous.Zero2DF(_xll.HLV5r3.Analytics.Miscellaneous.LinearInterp(Peturbed_QZ,$K421,1,U$1),ZeroCompFreq,'PDH Calc'!$K421/365)</f>
        <v>1</v>
      </c>
      <c r="V421" s="8">
        <f ca="1">_xll.HLV5r3.Analytics.Miscellaneous.Zero2DF(_xll.HLV5r3.Analytics.Miscellaneous.LinearInterp(Peturbed_QZ,$K421,1,V$1),ZeroCompFreq,'PDH Calc'!$K421/365)</f>
        <v>1</v>
      </c>
      <c r="W421" s="8">
        <f ca="1">_xll.HLV5r3.Analytics.Miscellaneous.Zero2DF(_xll.HLV5r3.Analytics.Miscellaneous.LinearInterp(Peturbed_QZ,$K421,1,W$1),ZeroCompFreq,'PDH Calc'!$K421/365)</f>
        <v>1</v>
      </c>
      <c r="X421" s="8">
        <f ca="1">_xll.HLV5r3.Analytics.Miscellaneous.Zero2DF(_xll.HLV5r3.Analytics.Miscellaneous.LinearInterp(Peturbed_QZ,$K421,1,X$1),ZeroCompFreq,'PDH Calc'!$K421/365)</f>
        <v>1</v>
      </c>
      <c r="Y421" s="8">
        <f ca="1">_xll.HLV5r3.Analytics.Miscellaneous.Zero2DF(_xll.HLV5r3.Analytics.Miscellaneous.LinearInterp(Peturbed_QZ,$K421,1,Y$1),ZeroCompFreq,'PDH Calc'!$K421/365)</f>
        <v>1</v>
      </c>
      <c r="Z421" s="8">
        <f ca="1">_xll.HLV5r3.Analytics.Miscellaneous.Zero2DF(_xll.HLV5r3.Analytics.Miscellaneous.LinearInterp(Peturbed_QZ,$K421,1,Z$1),ZeroCompFreq,'PDH Calc'!$K421/365)</f>
        <v>1</v>
      </c>
      <c r="AA421" s="8">
        <f ca="1">_xll.HLV5r3.Analytics.Miscellaneous.Zero2DF(_xll.HLV5r3.Analytics.Miscellaneous.LinearInterp(Peturbed_QZ,$K421,1,AA$1),ZeroCompFreq,'PDH Calc'!$K421/365)</f>
        <v>1</v>
      </c>
      <c r="AB421" s="8">
        <f ca="1">_xll.HLV5r3.Analytics.Miscellaneous.Zero2DF(_xll.HLV5r3.Analytics.Miscellaneous.LinearInterp(Peturbed_QZ,$K421,1,AB$1),ZeroCompFreq,'PDH Calc'!$K421/365)</f>
        <v>1</v>
      </c>
      <c r="AC421" s="8">
        <f ca="1">_xll.HLV5r3.Analytics.Miscellaneous.Zero2DF(_xll.HLV5r3.Analytics.Miscellaneous.LinearInterp(Peturbed_QZ,$K421,1,AC$1),ZeroCompFreq,'PDH Calc'!$K421/365)</f>
        <v>1</v>
      </c>
      <c r="AD421" s="8">
        <f ca="1">_xll.HLV5r3.Analytics.Miscellaneous.Zero2DF(_xll.HLV5r3.Analytics.Miscellaneous.LinearInterp(Peturbed_QZ,$K421,1,AD$1),ZeroCompFreq,'PDH Calc'!$K421/365)</f>
        <v>1</v>
      </c>
      <c r="AE421" s="8">
        <f ca="1">_xll.HLV5r3.Analytics.Miscellaneous.Zero2DF(_xll.HLV5r3.Analytics.Miscellaneous.LinearInterp(Peturbed_QZ,$K421,1,AE$1),ZeroCompFreq,'PDH Calc'!$K421/365)</f>
        <v>1</v>
      </c>
      <c r="AF421" s="8">
        <f ca="1">_xll.HLV5r3.Analytics.Miscellaneous.Zero2DF(_xll.HLV5r3.Analytics.Miscellaneous.LinearInterp(Peturbed_QZ,$K421,1,AF$1),ZeroCompFreq,'PDH Calc'!$K421/365)</f>
        <v>1</v>
      </c>
      <c r="AG421" s="8">
        <f ca="1">_xll.HLV5r3.Analytics.Miscellaneous.Zero2DF(_xll.HLV5r3.Analytics.Miscellaneous.LinearInterp(Peturbed_QZ,$K421,1,AG$1),ZeroCompFreq,'PDH Calc'!$K421/365)</f>
        <v>1</v>
      </c>
      <c r="AH421" s="8">
        <f ca="1">_xll.HLV5r3.Analytics.Miscellaneous.Zero2DF(_xll.HLV5r3.Analytics.Miscellaneous.LinearInterp(Peturbed_QZ,$K421,1,AH$1),ZeroCompFreq,'PDH Calc'!$K421/365)</f>
        <v>1</v>
      </c>
      <c r="AI421" s="8">
        <f ca="1">_xll.HLV5r3.Analytics.Miscellaneous.Zero2DF(_xll.HLV5r3.Analytics.Miscellaneous.LinearInterp(Peturbed_QZ,$K421,1,AI$1),ZeroCompFreq,'PDH Calc'!$K421/365)</f>
        <v>1</v>
      </c>
      <c r="AJ421" s="8">
        <f ca="1">_xll.HLV5r3.Analytics.Miscellaneous.Zero2DF(_xll.HLV5r3.Analytics.Miscellaneous.LinearInterp(Peturbed_QZ,$K421,1,AJ$1),ZeroCompFreq,'PDH Calc'!$K421/365)</f>
        <v>1</v>
      </c>
      <c r="AK421" s="8">
        <f ca="1">_xll.HLV5r3.Analytics.Miscellaneous.Zero2DF(_xll.HLV5r3.Analytics.Miscellaneous.LinearInterp(Peturbed_QZ,$K421,1,AK$1),ZeroCompFreq,'PDH Calc'!$K421/365)</f>
        <v>1</v>
      </c>
    </row>
    <row r="422" spans="1:37">
      <c r="A422" s="4"/>
      <c r="B422" s="6"/>
      <c r="F422" s="11"/>
      <c r="G422" s="6"/>
      <c r="H422" s="20"/>
      <c r="I422" s="21"/>
      <c r="J422" s="26"/>
      <c r="K422" s="6">
        <f t="shared" ca="1" si="13"/>
        <v>0</v>
      </c>
      <c r="L422" s="8">
        <f ca="1">_xll.HLV5r3.Analytics.Miscellaneous.Zero2DF(_xll.HLV5r3.Analytics.Miscellaneous.LinearInterp(Peturbed_QZ,$K422,1,L$1),ZeroCompFreq,'PDH Calc'!$K422/365)</f>
        <v>1</v>
      </c>
      <c r="M422" s="8">
        <f ca="1">_xll.HLV5r3.Analytics.Miscellaneous.Zero2DF(_xll.HLV5r3.Analytics.Miscellaneous.LinearInterp(Peturbed_QZ,$K422,1,M$1),ZeroCompFreq,'PDH Calc'!$K422/365)</f>
        <v>1</v>
      </c>
      <c r="N422" s="8">
        <f ca="1">_xll.HLV5r3.Analytics.Miscellaneous.Zero2DF(_xll.HLV5r3.Analytics.Miscellaneous.LinearInterp(Peturbed_QZ,$K422,1,N$1),ZeroCompFreq,'PDH Calc'!$K422/365)</f>
        <v>1</v>
      </c>
      <c r="O422" s="8">
        <f ca="1">_xll.HLV5r3.Analytics.Miscellaneous.Zero2DF(_xll.HLV5r3.Analytics.Miscellaneous.LinearInterp(Peturbed_QZ,$K422,1,O$1),ZeroCompFreq,'PDH Calc'!$K422/365)</f>
        <v>1</v>
      </c>
      <c r="P422" s="8">
        <f ca="1">_xll.HLV5r3.Analytics.Miscellaneous.Zero2DF(_xll.HLV5r3.Analytics.Miscellaneous.LinearInterp(Peturbed_QZ,$K422,1,P$1),ZeroCompFreq,'PDH Calc'!$K422/365)</f>
        <v>1</v>
      </c>
      <c r="Q422" s="8">
        <f ca="1">_xll.HLV5r3.Analytics.Miscellaneous.Zero2DF(_xll.HLV5r3.Analytics.Miscellaneous.LinearInterp(Peturbed_QZ,$K422,1,Q$1),ZeroCompFreq,'PDH Calc'!$K422/365)</f>
        <v>1</v>
      </c>
      <c r="R422" s="8">
        <f ca="1">_xll.HLV5r3.Analytics.Miscellaneous.Zero2DF(_xll.HLV5r3.Analytics.Miscellaneous.LinearInterp(Peturbed_QZ,$K422,1,R$1),ZeroCompFreq,'PDH Calc'!$K422/365)</f>
        <v>1</v>
      </c>
      <c r="S422" s="8">
        <f ca="1">_xll.HLV5r3.Analytics.Miscellaneous.Zero2DF(_xll.HLV5r3.Analytics.Miscellaneous.LinearInterp(Peturbed_QZ,$K422,1,S$1),ZeroCompFreq,'PDH Calc'!$K422/365)</f>
        <v>1</v>
      </c>
      <c r="T422" s="8">
        <f ca="1">_xll.HLV5r3.Analytics.Miscellaneous.Zero2DF(_xll.HLV5r3.Analytics.Miscellaneous.LinearInterp(Peturbed_QZ,$K422,1,T$1),ZeroCompFreq,'PDH Calc'!$K422/365)</f>
        <v>1</v>
      </c>
      <c r="U422" s="8">
        <f ca="1">_xll.HLV5r3.Analytics.Miscellaneous.Zero2DF(_xll.HLV5r3.Analytics.Miscellaneous.LinearInterp(Peturbed_QZ,$K422,1,U$1),ZeroCompFreq,'PDH Calc'!$K422/365)</f>
        <v>1</v>
      </c>
      <c r="V422" s="8">
        <f ca="1">_xll.HLV5r3.Analytics.Miscellaneous.Zero2DF(_xll.HLV5r3.Analytics.Miscellaneous.LinearInterp(Peturbed_QZ,$K422,1,V$1),ZeroCompFreq,'PDH Calc'!$K422/365)</f>
        <v>1</v>
      </c>
      <c r="W422" s="8">
        <f ca="1">_xll.HLV5r3.Analytics.Miscellaneous.Zero2DF(_xll.HLV5r3.Analytics.Miscellaneous.LinearInterp(Peturbed_QZ,$K422,1,W$1),ZeroCompFreq,'PDH Calc'!$K422/365)</f>
        <v>1</v>
      </c>
      <c r="X422" s="8">
        <f ca="1">_xll.HLV5r3.Analytics.Miscellaneous.Zero2DF(_xll.HLV5r3.Analytics.Miscellaneous.LinearInterp(Peturbed_QZ,$K422,1,X$1),ZeroCompFreq,'PDH Calc'!$K422/365)</f>
        <v>1</v>
      </c>
      <c r="Y422" s="8">
        <f ca="1">_xll.HLV5r3.Analytics.Miscellaneous.Zero2DF(_xll.HLV5r3.Analytics.Miscellaneous.LinearInterp(Peturbed_QZ,$K422,1,Y$1),ZeroCompFreq,'PDH Calc'!$K422/365)</f>
        <v>1</v>
      </c>
      <c r="Z422" s="8">
        <f ca="1">_xll.HLV5r3.Analytics.Miscellaneous.Zero2DF(_xll.HLV5r3.Analytics.Miscellaneous.LinearInterp(Peturbed_QZ,$K422,1,Z$1),ZeroCompFreq,'PDH Calc'!$K422/365)</f>
        <v>1</v>
      </c>
      <c r="AA422" s="8">
        <f ca="1">_xll.HLV5r3.Analytics.Miscellaneous.Zero2DF(_xll.HLV5r3.Analytics.Miscellaneous.LinearInterp(Peturbed_QZ,$K422,1,AA$1),ZeroCompFreq,'PDH Calc'!$K422/365)</f>
        <v>1</v>
      </c>
      <c r="AB422" s="8">
        <f ca="1">_xll.HLV5r3.Analytics.Miscellaneous.Zero2DF(_xll.HLV5r3.Analytics.Miscellaneous.LinearInterp(Peturbed_QZ,$K422,1,AB$1),ZeroCompFreq,'PDH Calc'!$K422/365)</f>
        <v>1</v>
      </c>
      <c r="AC422" s="8">
        <f ca="1">_xll.HLV5r3.Analytics.Miscellaneous.Zero2DF(_xll.HLV5r3.Analytics.Miscellaneous.LinearInterp(Peturbed_QZ,$K422,1,AC$1),ZeroCompFreq,'PDH Calc'!$K422/365)</f>
        <v>1</v>
      </c>
      <c r="AD422" s="8">
        <f ca="1">_xll.HLV5r3.Analytics.Miscellaneous.Zero2DF(_xll.HLV5r3.Analytics.Miscellaneous.LinearInterp(Peturbed_QZ,$K422,1,AD$1),ZeroCompFreq,'PDH Calc'!$K422/365)</f>
        <v>1</v>
      </c>
      <c r="AE422" s="8">
        <f ca="1">_xll.HLV5r3.Analytics.Miscellaneous.Zero2DF(_xll.HLV5r3.Analytics.Miscellaneous.LinearInterp(Peturbed_QZ,$K422,1,AE$1),ZeroCompFreq,'PDH Calc'!$K422/365)</f>
        <v>1</v>
      </c>
      <c r="AF422" s="8">
        <f ca="1">_xll.HLV5r3.Analytics.Miscellaneous.Zero2DF(_xll.HLV5r3.Analytics.Miscellaneous.LinearInterp(Peturbed_QZ,$K422,1,AF$1),ZeroCompFreq,'PDH Calc'!$K422/365)</f>
        <v>1</v>
      </c>
      <c r="AG422" s="8">
        <f ca="1">_xll.HLV5r3.Analytics.Miscellaneous.Zero2DF(_xll.HLV5r3.Analytics.Miscellaneous.LinearInterp(Peturbed_QZ,$K422,1,AG$1),ZeroCompFreq,'PDH Calc'!$K422/365)</f>
        <v>1</v>
      </c>
      <c r="AH422" s="8">
        <f ca="1">_xll.HLV5r3.Analytics.Miscellaneous.Zero2DF(_xll.HLV5r3.Analytics.Miscellaneous.LinearInterp(Peturbed_QZ,$K422,1,AH$1),ZeroCompFreq,'PDH Calc'!$K422/365)</f>
        <v>1</v>
      </c>
      <c r="AI422" s="8">
        <f ca="1">_xll.HLV5r3.Analytics.Miscellaneous.Zero2DF(_xll.HLV5r3.Analytics.Miscellaneous.LinearInterp(Peturbed_QZ,$K422,1,AI$1),ZeroCompFreq,'PDH Calc'!$K422/365)</f>
        <v>1</v>
      </c>
      <c r="AJ422" s="8">
        <f ca="1">_xll.HLV5r3.Analytics.Miscellaneous.Zero2DF(_xll.HLV5r3.Analytics.Miscellaneous.LinearInterp(Peturbed_QZ,$K422,1,AJ$1),ZeroCompFreq,'PDH Calc'!$K422/365)</f>
        <v>1</v>
      </c>
      <c r="AK422" s="8">
        <f ca="1">_xll.HLV5r3.Analytics.Miscellaneous.Zero2DF(_xll.HLV5r3.Analytics.Miscellaneous.LinearInterp(Peturbed_QZ,$K422,1,AK$1),ZeroCompFreq,'PDH Calc'!$K422/365)</f>
        <v>1</v>
      </c>
    </row>
    <row r="423" spans="1:37">
      <c r="A423" s="4"/>
      <c r="B423" s="6"/>
      <c r="F423" s="11"/>
      <c r="G423" s="6"/>
      <c r="H423" s="20"/>
      <c r="I423" s="21"/>
      <c r="J423" s="26"/>
      <c r="K423" s="6">
        <f t="shared" ca="1" si="13"/>
        <v>0</v>
      </c>
      <c r="L423" s="8">
        <f ca="1">_xll.HLV5r3.Analytics.Miscellaneous.Zero2DF(_xll.HLV5r3.Analytics.Miscellaneous.LinearInterp(Peturbed_QZ,$K423,1,L$1),ZeroCompFreq,'PDH Calc'!$K423/365)</f>
        <v>1</v>
      </c>
      <c r="M423" s="8">
        <f ca="1">_xll.HLV5r3.Analytics.Miscellaneous.Zero2DF(_xll.HLV5r3.Analytics.Miscellaneous.LinearInterp(Peturbed_QZ,$K423,1,M$1),ZeroCompFreq,'PDH Calc'!$K423/365)</f>
        <v>1</v>
      </c>
      <c r="N423" s="8">
        <f ca="1">_xll.HLV5r3.Analytics.Miscellaneous.Zero2DF(_xll.HLV5r3.Analytics.Miscellaneous.LinearInterp(Peturbed_QZ,$K423,1,N$1),ZeroCompFreq,'PDH Calc'!$K423/365)</f>
        <v>1</v>
      </c>
      <c r="O423" s="8">
        <f ca="1">_xll.HLV5r3.Analytics.Miscellaneous.Zero2DF(_xll.HLV5r3.Analytics.Miscellaneous.LinearInterp(Peturbed_QZ,$K423,1,O$1),ZeroCompFreq,'PDH Calc'!$K423/365)</f>
        <v>1</v>
      </c>
      <c r="P423" s="8">
        <f ca="1">_xll.HLV5r3.Analytics.Miscellaneous.Zero2DF(_xll.HLV5r3.Analytics.Miscellaneous.LinearInterp(Peturbed_QZ,$K423,1,P$1),ZeroCompFreq,'PDH Calc'!$K423/365)</f>
        <v>1</v>
      </c>
      <c r="Q423" s="8">
        <f ca="1">_xll.HLV5r3.Analytics.Miscellaneous.Zero2DF(_xll.HLV5r3.Analytics.Miscellaneous.LinearInterp(Peturbed_QZ,$K423,1,Q$1),ZeroCompFreq,'PDH Calc'!$K423/365)</f>
        <v>1</v>
      </c>
      <c r="R423" s="8">
        <f ca="1">_xll.HLV5r3.Analytics.Miscellaneous.Zero2DF(_xll.HLV5r3.Analytics.Miscellaneous.LinearInterp(Peturbed_QZ,$K423,1,R$1),ZeroCompFreq,'PDH Calc'!$K423/365)</f>
        <v>1</v>
      </c>
      <c r="S423" s="8">
        <f ca="1">_xll.HLV5r3.Analytics.Miscellaneous.Zero2DF(_xll.HLV5r3.Analytics.Miscellaneous.LinearInterp(Peturbed_QZ,$K423,1,S$1),ZeroCompFreq,'PDH Calc'!$K423/365)</f>
        <v>1</v>
      </c>
      <c r="T423" s="8">
        <f ca="1">_xll.HLV5r3.Analytics.Miscellaneous.Zero2DF(_xll.HLV5r3.Analytics.Miscellaneous.LinearInterp(Peturbed_QZ,$K423,1,T$1),ZeroCompFreq,'PDH Calc'!$K423/365)</f>
        <v>1</v>
      </c>
      <c r="U423" s="8">
        <f ca="1">_xll.HLV5r3.Analytics.Miscellaneous.Zero2DF(_xll.HLV5r3.Analytics.Miscellaneous.LinearInterp(Peturbed_QZ,$K423,1,U$1),ZeroCompFreq,'PDH Calc'!$K423/365)</f>
        <v>1</v>
      </c>
      <c r="V423" s="8">
        <f ca="1">_xll.HLV5r3.Analytics.Miscellaneous.Zero2DF(_xll.HLV5r3.Analytics.Miscellaneous.LinearInterp(Peturbed_QZ,$K423,1,V$1),ZeroCompFreq,'PDH Calc'!$K423/365)</f>
        <v>1</v>
      </c>
      <c r="W423" s="8">
        <f ca="1">_xll.HLV5r3.Analytics.Miscellaneous.Zero2DF(_xll.HLV5r3.Analytics.Miscellaneous.LinearInterp(Peturbed_QZ,$K423,1,W$1),ZeroCompFreq,'PDH Calc'!$K423/365)</f>
        <v>1</v>
      </c>
      <c r="X423" s="8">
        <f ca="1">_xll.HLV5r3.Analytics.Miscellaneous.Zero2DF(_xll.HLV5r3.Analytics.Miscellaneous.LinearInterp(Peturbed_QZ,$K423,1,X$1),ZeroCompFreq,'PDH Calc'!$K423/365)</f>
        <v>1</v>
      </c>
      <c r="Y423" s="8">
        <f ca="1">_xll.HLV5r3.Analytics.Miscellaneous.Zero2DF(_xll.HLV5r3.Analytics.Miscellaneous.LinearInterp(Peturbed_QZ,$K423,1,Y$1),ZeroCompFreq,'PDH Calc'!$K423/365)</f>
        <v>1</v>
      </c>
      <c r="Z423" s="8">
        <f ca="1">_xll.HLV5r3.Analytics.Miscellaneous.Zero2DF(_xll.HLV5r3.Analytics.Miscellaneous.LinearInterp(Peturbed_QZ,$K423,1,Z$1),ZeroCompFreq,'PDH Calc'!$K423/365)</f>
        <v>1</v>
      </c>
      <c r="AA423" s="8">
        <f ca="1">_xll.HLV5r3.Analytics.Miscellaneous.Zero2DF(_xll.HLV5r3.Analytics.Miscellaneous.LinearInterp(Peturbed_QZ,$K423,1,AA$1),ZeroCompFreq,'PDH Calc'!$K423/365)</f>
        <v>1</v>
      </c>
      <c r="AB423" s="8">
        <f ca="1">_xll.HLV5r3.Analytics.Miscellaneous.Zero2DF(_xll.HLV5r3.Analytics.Miscellaneous.LinearInterp(Peturbed_QZ,$K423,1,AB$1),ZeroCompFreq,'PDH Calc'!$K423/365)</f>
        <v>1</v>
      </c>
      <c r="AC423" s="8">
        <f ca="1">_xll.HLV5r3.Analytics.Miscellaneous.Zero2DF(_xll.HLV5r3.Analytics.Miscellaneous.LinearInterp(Peturbed_QZ,$K423,1,AC$1),ZeroCompFreq,'PDH Calc'!$K423/365)</f>
        <v>1</v>
      </c>
      <c r="AD423" s="8">
        <f ca="1">_xll.HLV5r3.Analytics.Miscellaneous.Zero2DF(_xll.HLV5r3.Analytics.Miscellaneous.LinearInterp(Peturbed_QZ,$K423,1,AD$1),ZeroCompFreq,'PDH Calc'!$K423/365)</f>
        <v>1</v>
      </c>
      <c r="AE423" s="8">
        <f ca="1">_xll.HLV5r3.Analytics.Miscellaneous.Zero2DF(_xll.HLV5r3.Analytics.Miscellaneous.LinearInterp(Peturbed_QZ,$K423,1,AE$1),ZeroCompFreq,'PDH Calc'!$K423/365)</f>
        <v>1</v>
      </c>
      <c r="AF423" s="8">
        <f ca="1">_xll.HLV5r3.Analytics.Miscellaneous.Zero2DF(_xll.HLV5r3.Analytics.Miscellaneous.LinearInterp(Peturbed_QZ,$K423,1,AF$1),ZeroCompFreq,'PDH Calc'!$K423/365)</f>
        <v>1</v>
      </c>
      <c r="AG423" s="8">
        <f ca="1">_xll.HLV5r3.Analytics.Miscellaneous.Zero2DF(_xll.HLV5r3.Analytics.Miscellaneous.LinearInterp(Peturbed_QZ,$K423,1,AG$1),ZeroCompFreq,'PDH Calc'!$K423/365)</f>
        <v>1</v>
      </c>
      <c r="AH423" s="8">
        <f ca="1">_xll.HLV5r3.Analytics.Miscellaneous.Zero2DF(_xll.HLV5r3.Analytics.Miscellaneous.LinearInterp(Peturbed_QZ,$K423,1,AH$1),ZeroCompFreq,'PDH Calc'!$K423/365)</f>
        <v>1</v>
      </c>
      <c r="AI423" s="8">
        <f ca="1">_xll.HLV5r3.Analytics.Miscellaneous.Zero2DF(_xll.HLV5r3.Analytics.Miscellaneous.LinearInterp(Peturbed_QZ,$K423,1,AI$1),ZeroCompFreq,'PDH Calc'!$K423/365)</f>
        <v>1</v>
      </c>
      <c r="AJ423" s="8">
        <f ca="1">_xll.HLV5r3.Analytics.Miscellaneous.Zero2DF(_xll.HLV5r3.Analytics.Miscellaneous.LinearInterp(Peturbed_QZ,$K423,1,AJ$1),ZeroCompFreq,'PDH Calc'!$K423/365)</f>
        <v>1</v>
      </c>
      <c r="AK423" s="8">
        <f ca="1">_xll.HLV5r3.Analytics.Miscellaneous.Zero2DF(_xll.HLV5r3.Analytics.Miscellaneous.LinearInterp(Peturbed_QZ,$K423,1,AK$1),ZeroCompFreq,'PDH Calc'!$K423/365)</f>
        <v>1</v>
      </c>
    </row>
    <row r="424" spans="1:37">
      <c r="A424" s="4"/>
      <c r="B424" s="6"/>
      <c r="F424" s="11"/>
      <c r="G424" s="6"/>
      <c r="H424" s="20"/>
      <c r="I424" s="21"/>
      <c r="J424" s="26"/>
      <c r="K424" s="6">
        <f t="shared" ca="1" si="13"/>
        <v>0</v>
      </c>
      <c r="L424" s="8">
        <f ca="1">_xll.HLV5r3.Analytics.Miscellaneous.Zero2DF(_xll.HLV5r3.Analytics.Miscellaneous.LinearInterp(Peturbed_QZ,$K424,1,L$1),ZeroCompFreq,'PDH Calc'!$K424/365)</f>
        <v>1</v>
      </c>
      <c r="M424" s="8">
        <f ca="1">_xll.HLV5r3.Analytics.Miscellaneous.Zero2DF(_xll.HLV5r3.Analytics.Miscellaneous.LinearInterp(Peturbed_QZ,$K424,1,M$1),ZeroCompFreq,'PDH Calc'!$K424/365)</f>
        <v>1</v>
      </c>
      <c r="N424" s="8">
        <f ca="1">_xll.HLV5r3.Analytics.Miscellaneous.Zero2DF(_xll.HLV5r3.Analytics.Miscellaneous.LinearInterp(Peturbed_QZ,$K424,1,N$1),ZeroCompFreq,'PDH Calc'!$K424/365)</f>
        <v>1</v>
      </c>
      <c r="O424" s="8">
        <f ca="1">_xll.HLV5r3.Analytics.Miscellaneous.Zero2DF(_xll.HLV5r3.Analytics.Miscellaneous.LinearInterp(Peturbed_QZ,$K424,1,O$1),ZeroCompFreq,'PDH Calc'!$K424/365)</f>
        <v>1</v>
      </c>
      <c r="P424" s="8">
        <f ca="1">_xll.HLV5r3.Analytics.Miscellaneous.Zero2DF(_xll.HLV5r3.Analytics.Miscellaneous.LinearInterp(Peturbed_QZ,$K424,1,P$1),ZeroCompFreq,'PDH Calc'!$K424/365)</f>
        <v>1</v>
      </c>
      <c r="Q424" s="8">
        <f ca="1">_xll.HLV5r3.Analytics.Miscellaneous.Zero2DF(_xll.HLV5r3.Analytics.Miscellaneous.LinearInterp(Peturbed_QZ,$K424,1,Q$1),ZeroCompFreq,'PDH Calc'!$K424/365)</f>
        <v>1</v>
      </c>
      <c r="R424" s="8">
        <f ca="1">_xll.HLV5r3.Analytics.Miscellaneous.Zero2DF(_xll.HLV5r3.Analytics.Miscellaneous.LinearInterp(Peturbed_QZ,$K424,1,R$1),ZeroCompFreq,'PDH Calc'!$K424/365)</f>
        <v>1</v>
      </c>
      <c r="S424" s="8">
        <f ca="1">_xll.HLV5r3.Analytics.Miscellaneous.Zero2DF(_xll.HLV5r3.Analytics.Miscellaneous.LinearInterp(Peturbed_QZ,$K424,1,S$1),ZeroCompFreq,'PDH Calc'!$K424/365)</f>
        <v>1</v>
      </c>
      <c r="T424" s="8">
        <f ca="1">_xll.HLV5r3.Analytics.Miscellaneous.Zero2DF(_xll.HLV5r3.Analytics.Miscellaneous.LinearInterp(Peturbed_QZ,$K424,1,T$1),ZeroCompFreq,'PDH Calc'!$K424/365)</f>
        <v>1</v>
      </c>
      <c r="U424" s="8">
        <f ca="1">_xll.HLV5r3.Analytics.Miscellaneous.Zero2DF(_xll.HLV5r3.Analytics.Miscellaneous.LinearInterp(Peturbed_QZ,$K424,1,U$1),ZeroCompFreq,'PDH Calc'!$K424/365)</f>
        <v>1</v>
      </c>
      <c r="V424" s="8">
        <f ca="1">_xll.HLV5r3.Analytics.Miscellaneous.Zero2DF(_xll.HLV5r3.Analytics.Miscellaneous.LinearInterp(Peturbed_QZ,$K424,1,V$1),ZeroCompFreq,'PDH Calc'!$K424/365)</f>
        <v>1</v>
      </c>
      <c r="W424" s="8">
        <f ca="1">_xll.HLV5r3.Analytics.Miscellaneous.Zero2DF(_xll.HLV5r3.Analytics.Miscellaneous.LinearInterp(Peturbed_QZ,$K424,1,W$1),ZeroCompFreq,'PDH Calc'!$K424/365)</f>
        <v>1</v>
      </c>
      <c r="X424" s="8">
        <f ca="1">_xll.HLV5r3.Analytics.Miscellaneous.Zero2DF(_xll.HLV5r3.Analytics.Miscellaneous.LinearInterp(Peturbed_QZ,$K424,1,X$1),ZeroCompFreq,'PDH Calc'!$K424/365)</f>
        <v>1</v>
      </c>
      <c r="Y424" s="8">
        <f ca="1">_xll.HLV5r3.Analytics.Miscellaneous.Zero2DF(_xll.HLV5r3.Analytics.Miscellaneous.LinearInterp(Peturbed_QZ,$K424,1,Y$1),ZeroCompFreq,'PDH Calc'!$K424/365)</f>
        <v>1</v>
      </c>
      <c r="Z424" s="8">
        <f ca="1">_xll.HLV5r3.Analytics.Miscellaneous.Zero2DF(_xll.HLV5r3.Analytics.Miscellaneous.LinearInterp(Peturbed_QZ,$K424,1,Z$1),ZeroCompFreq,'PDH Calc'!$K424/365)</f>
        <v>1</v>
      </c>
      <c r="AA424" s="8">
        <f ca="1">_xll.HLV5r3.Analytics.Miscellaneous.Zero2DF(_xll.HLV5r3.Analytics.Miscellaneous.LinearInterp(Peturbed_QZ,$K424,1,AA$1),ZeroCompFreq,'PDH Calc'!$K424/365)</f>
        <v>1</v>
      </c>
      <c r="AB424" s="8">
        <f ca="1">_xll.HLV5r3.Analytics.Miscellaneous.Zero2DF(_xll.HLV5r3.Analytics.Miscellaneous.LinearInterp(Peturbed_QZ,$K424,1,AB$1),ZeroCompFreq,'PDH Calc'!$K424/365)</f>
        <v>1</v>
      </c>
      <c r="AC424" s="8">
        <f ca="1">_xll.HLV5r3.Analytics.Miscellaneous.Zero2DF(_xll.HLV5r3.Analytics.Miscellaneous.LinearInterp(Peturbed_QZ,$K424,1,AC$1),ZeroCompFreq,'PDH Calc'!$K424/365)</f>
        <v>1</v>
      </c>
      <c r="AD424" s="8">
        <f ca="1">_xll.HLV5r3.Analytics.Miscellaneous.Zero2DF(_xll.HLV5r3.Analytics.Miscellaneous.LinearInterp(Peturbed_QZ,$K424,1,AD$1),ZeroCompFreq,'PDH Calc'!$K424/365)</f>
        <v>1</v>
      </c>
      <c r="AE424" s="8">
        <f ca="1">_xll.HLV5r3.Analytics.Miscellaneous.Zero2DF(_xll.HLV5r3.Analytics.Miscellaneous.LinearInterp(Peturbed_QZ,$K424,1,AE$1),ZeroCompFreq,'PDH Calc'!$K424/365)</f>
        <v>1</v>
      </c>
      <c r="AF424" s="8">
        <f ca="1">_xll.HLV5r3.Analytics.Miscellaneous.Zero2DF(_xll.HLV5r3.Analytics.Miscellaneous.LinearInterp(Peturbed_QZ,$K424,1,AF$1),ZeroCompFreq,'PDH Calc'!$K424/365)</f>
        <v>1</v>
      </c>
      <c r="AG424" s="8">
        <f ca="1">_xll.HLV5r3.Analytics.Miscellaneous.Zero2DF(_xll.HLV5r3.Analytics.Miscellaneous.LinearInterp(Peturbed_QZ,$K424,1,AG$1),ZeroCompFreq,'PDH Calc'!$K424/365)</f>
        <v>1</v>
      </c>
      <c r="AH424" s="8">
        <f ca="1">_xll.HLV5r3.Analytics.Miscellaneous.Zero2DF(_xll.HLV5r3.Analytics.Miscellaneous.LinearInterp(Peturbed_QZ,$K424,1,AH$1),ZeroCompFreq,'PDH Calc'!$K424/365)</f>
        <v>1</v>
      </c>
      <c r="AI424" s="8">
        <f ca="1">_xll.HLV5r3.Analytics.Miscellaneous.Zero2DF(_xll.HLV5r3.Analytics.Miscellaneous.LinearInterp(Peturbed_QZ,$K424,1,AI$1),ZeroCompFreq,'PDH Calc'!$K424/365)</f>
        <v>1</v>
      </c>
      <c r="AJ424" s="8">
        <f ca="1">_xll.HLV5r3.Analytics.Miscellaneous.Zero2DF(_xll.HLV5r3.Analytics.Miscellaneous.LinearInterp(Peturbed_QZ,$K424,1,AJ$1),ZeroCompFreq,'PDH Calc'!$K424/365)</f>
        <v>1</v>
      </c>
      <c r="AK424" s="8">
        <f ca="1">_xll.HLV5r3.Analytics.Miscellaneous.Zero2DF(_xll.HLV5r3.Analytics.Miscellaneous.LinearInterp(Peturbed_QZ,$K424,1,AK$1),ZeroCompFreq,'PDH Calc'!$K424/365)</f>
        <v>1</v>
      </c>
    </row>
    <row r="425" spans="1:37">
      <c r="A425" s="4"/>
      <c r="B425" s="6"/>
      <c r="F425" s="11"/>
      <c r="G425" s="6"/>
      <c r="H425" s="20"/>
      <c r="I425" s="21"/>
      <c r="J425" s="26"/>
      <c r="K425" s="6">
        <f t="shared" ca="1" si="13"/>
        <v>0</v>
      </c>
      <c r="L425" s="8">
        <f ca="1">_xll.HLV5r3.Analytics.Miscellaneous.Zero2DF(_xll.HLV5r3.Analytics.Miscellaneous.LinearInterp(Peturbed_QZ,$K425,1,L$1),ZeroCompFreq,'PDH Calc'!$K425/365)</f>
        <v>1</v>
      </c>
      <c r="M425" s="8">
        <f ca="1">_xll.HLV5r3.Analytics.Miscellaneous.Zero2DF(_xll.HLV5r3.Analytics.Miscellaneous.LinearInterp(Peturbed_QZ,$K425,1,M$1),ZeroCompFreq,'PDH Calc'!$K425/365)</f>
        <v>1</v>
      </c>
      <c r="N425" s="8">
        <f ca="1">_xll.HLV5r3.Analytics.Miscellaneous.Zero2DF(_xll.HLV5r3.Analytics.Miscellaneous.LinearInterp(Peturbed_QZ,$K425,1,N$1),ZeroCompFreq,'PDH Calc'!$K425/365)</f>
        <v>1</v>
      </c>
      <c r="O425" s="8">
        <f ca="1">_xll.HLV5r3.Analytics.Miscellaneous.Zero2DF(_xll.HLV5r3.Analytics.Miscellaneous.LinearInterp(Peturbed_QZ,$K425,1,O$1),ZeroCompFreq,'PDH Calc'!$K425/365)</f>
        <v>1</v>
      </c>
      <c r="P425" s="8">
        <f ca="1">_xll.HLV5r3.Analytics.Miscellaneous.Zero2DF(_xll.HLV5r3.Analytics.Miscellaneous.LinearInterp(Peturbed_QZ,$K425,1,P$1),ZeroCompFreq,'PDH Calc'!$K425/365)</f>
        <v>1</v>
      </c>
      <c r="Q425" s="8">
        <f ca="1">_xll.HLV5r3.Analytics.Miscellaneous.Zero2DF(_xll.HLV5r3.Analytics.Miscellaneous.LinearInterp(Peturbed_QZ,$K425,1,Q$1),ZeroCompFreq,'PDH Calc'!$K425/365)</f>
        <v>1</v>
      </c>
      <c r="R425" s="8">
        <f ca="1">_xll.HLV5r3.Analytics.Miscellaneous.Zero2DF(_xll.HLV5r3.Analytics.Miscellaneous.LinearInterp(Peturbed_QZ,$K425,1,R$1),ZeroCompFreq,'PDH Calc'!$K425/365)</f>
        <v>1</v>
      </c>
      <c r="S425" s="8">
        <f ca="1">_xll.HLV5r3.Analytics.Miscellaneous.Zero2DF(_xll.HLV5r3.Analytics.Miscellaneous.LinearInterp(Peturbed_QZ,$K425,1,S$1),ZeroCompFreq,'PDH Calc'!$K425/365)</f>
        <v>1</v>
      </c>
      <c r="T425" s="8">
        <f ca="1">_xll.HLV5r3.Analytics.Miscellaneous.Zero2DF(_xll.HLV5r3.Analytics.Miscellaneous.LinearInterp(Peturbed_QZ,$K425,1,T$1),ZeroCompFreq,'PDH Calc'!$K425/365)</f>
        <v>1</v>
      </c>
      <c r="U425" s="8">
        <f ca="1">_xll.HLV5r3.Analytics.Miscellaneous.Zero2DF(_xll.HLV5r3.Analytics.Miscellaneous.LinearInterp(Peturbed_QZ,$K425,1,U$1),ZeroCompFreq,'PDH Calc'!$K425/365)</f>
        <v>1</v>
      </c>
      <c r="V425" s="8">
        <f ca="1">_xll.HLV5r3.Analytics.Miscellaneous.Zero2DF(_xll.HLV5r3.Analytics.Miscellaneous.LinearInterp(Peturbed_QZ,$K425,1,V$1),ZeroCompFreq,'PDH Calc'!$K425/365)</f>
        <v>1</v>
      </c>
      <c r="W425" s="8">
        <f ca="1">_xll.HLV5r3.Analytics.Miscellaneous.Zero2DF(_xll.HLV5r3.Analytics.Miscellaneous.LinearInterp(Peturbed_QZ,$K425,1,W$1),ZeroCompFreq,'PDH Calc'!$K425/365)</f>
        <v>1</v>
      </c>
      <c r="X425" s="8">
        <f ca="1">_xll.HLV5r3.Analytics.Miscellaneous.Zero2DF(_xll.HLV5r3.Analytics.Miscellaneous.LinearInterp(Peturbed_QZ,$K425,1,X$1),ZeroCompFreq,'PDH Calc'!$K425/365)</f>
        <v>1</v>
      </c>
      <c r="Y425" s="8">
        <f ca="1">_xll.HLV5r3.Analytics.Miscellaneous.Zero2DF(_xll.HLV5r3.Analytics.Miscellaneous.LinearInterp(Peturbed_QZ,$K425,1,Y$1),ZeroCompFreq,'PDH Calc'!$K425/365)</f>
        <v>1</v>
      </c>
      <c r="Z425" s="8">
        <f ca="1">_xll.HLV5r3.Analytics.Miscellaneous.Zero2DF(_xll.HLV5r3.Analytics.Miscellaneous.LinearInterp(Peturbed_QZ,$K425,1,Z$1),ZeroCompFreq,'PDH Calc'!$K425/365)</f>
        <v>1</v>
      </c>
      <c r="AA425" s="8">
        <f ca="1">_xll.HLV5r3.Analytics.Miscellaneous.Zero2DF(_xll.HLV5r3.Analytics.Miscellaneous.LinearInterp(Peturbed_QZ,$K425,1,AA$1),ZeroCompFreq,'PDH Calc'!$K425/365)</f>
        <v>1</v>
      </c>
      <c r="AB425" s="8">
        <f ca="1">_xll.HLV5r3.Analytics.Miscellaneous.Zero2DF(_xll.HLV5r3.Analytics.Miscellaneous.LinearInterp(Peturbed_QZ,$K425,1,AB$1),ZeroCompFreq,'PDH Calc'!$K425/365)</f>
        <v>1</v>
      </c>
      <c r="AC425" s="8">
        <f ca="1">_xll.HLV5r3.Analytics.Miscellaneous.Zero2DF(_xll.HLV5r3.Analytics.Miscellaneous.LinearInterp(Peturbed_QZ,$K425,1,AC$1),ZeroCompFreq,'PDH Calc'!$K425/365)</f>
        <v>1</v>
      </c>
      <c r="AD425" s="8">
        <f ca="1">_xll.HLV5r3.Analytics.Miscellaneous.Zero2DF(_xll.HLV5r3.Analytics.Miscellaneous.LinearInterp(Peturbed_QZ,$K425,1,AD$1),ZeroCompFreq,'PDH Calc'!$K425/365)</f>
        <v>1</v>
      </c>
      <c r="AE425" s="8">
        <f ca="1">_xll.HLV5r3.Analytics.Miscellaneous.Zero2DF(_xll.HLV5r3.Analytics.Miscellaneous.LinearInterp(Peturbed_QZ,$K425,1,AE$1),ZeroCompFreq,'PDH Calc'!$K425/365)</f>
        <v>1</v>
      </c>
      <c r="AF425" s="8">
        <f ca="1">_xll.HLV5r3.Analytics.Miscellaneous.Zero2DF(_xll.HLV5r3.Analytics.Miscellaneous.LinearInterp(Peturbed_QZ,$K425,1,AF$1),ZeroCompFreq,'PDH Calc'!$K425/365)</f>
        <v>1</v>
      </c>
      <c r="AG425" s="8">
        <f ca="1">_xll.HLV5r3.Analytics.Miscellaneous.Zero2DF(_xll.HLV5r3.Analytics.Miscellaneous.LinearInterp(Peturbed_QZ,$K425,1,AG$1),ZeroCompFreq,'PDH Calc'!$K425/365)</f>
        <v>1</v>
      </c>
      <c r="AH425" s="8">
        <f ca="1">_xll.HLV5r3.Analytics.Miscellaneous.Zero2DF(_xll.HLV5r3.Analytics.Miscellaneous.LinearInterp(Peturbed_QZ,$K425,1,AH$1),ZeroCompFreq,'PDH Calc'!$K425/365)</f>
        <v>1</v>
      </c>
      <c r="AI425" s="8">
        <f ca="1">_xll.HLV5r3.Analytics.Miscellaneous.Zero2DF(_xll.HLV5r3.Analytics.Miscellaneous.LinearInterp(Peturbed_QZ,$K425,1,AI$1),ZeroCompFreq,'PDH Calc'!$K425/365)</f>
        <v>1</v>
      </c>
      <c r="AJ425" s="8">
        <f ca="1">_xll.HLV5r3.Analytics.Miscellaneous.Zero2DF(_xll.HLV5r3.Analytics.Miscellaneous.LinearInterp(Peturbed_QZ,$K425,1,AJ$1),ZeroCompFreq,'PDH Calc'!$K425/365)</f>
        <v>1</v>
      </c>
      <c r="AK425" s="8">
        <f ca="1">_xll.HLV5r3.Analytics.Miscellaneous.Zero2DF(_xll.HLV5r3.Analytics.Miscellaneous.LinearInterp(Peturbed_QZ,$K425,1,AK$1),ZeroCompFreq,'PDH Calc'!$K425/365)</f>
        <v>1</v>
      </c>
    </row>
    <row r="426" spans="1:37">
      <c r="A426" s="4"/>
      <c r="B426" s="6"/>
      <c r="F426" s="11"/>
      <c r="G426" s="6"/>
      <c r="H426" s="20"/>
      <c r="I426" s="21"/>
      <c r="J426" s="26"/>
      <c r="K426" s="6">
        <f t="shared" ca="1" si="13"/>
        <v>0</v>
      </c>
      <c r="L426" s="8">
        <f ca="1">_xll.HLV5r3.Analytics.Miscellaneous.Zero2DF(_xll.HLV5r3.Analytics.Miscellaneous.LinearInterp(Peturbed_QZ,$K426,1,L$1),ZeroCompFreq,'PDH Calc'!$K426/365)</f>
        <v>1</v>
      </c>
      <c r="M426" s="8">
        <f ca="1">_xll.HLV5r3.Analytics.Miscellaneous.Zero2DF(_xll.HLV5r3.Analytics.Miscellaneous.LinearInterp(Peturbed_QZ,$K426,1,M$1),ZeroCompFreq,'PDH Calc'!$K426/365)</f>
        <v>1</v>
      </c>
      <c r="N426" s="8">
        <f ca="1">_xll.HLV5r3.Analytics.Miscellaneous.Zero2DF(_xll.HLV5r3.Analytics.Miscellaneous.LinearInterp(Peturbed_QZ,$K426,1,N$1),ZeroCompFreq,'PDH Calc'!$K426/365)</f>
        <v>1</v>
      </c>
      <c r="O426" s="8">
        <f ca="1">_xll.HLV5r3.Analytics.Miscellaneous.Zero2DF(_xll.HLV5r3.Analytics.Miscellaneous.LinearInterp(Peturbed_QZ,$K426,1,O$1),ZeroCompFreq,'PDH Calc'!$K426/365)</f>
        <v>1</v>
      </c>
      <c r="P426" s="8">
        <f ca="1">_xll.HLV5r3.Analytics.Miscellaneous.Zero2DF(_xll.HLV5r3.Analytics.Miscellaneous.LinearInterp(Peturbed_QZ,$K426,1,P$1),ZeroCompFreq,'PDH Calc'!$K426/365)</f>
        <v>1</v>
      </c>
      <c r="Q426" s="8">
        <f ca="1">_xll.HLV5r3.Analytics.Miscellaneous.Zero2DF(_xll.HLV5r3.Analytics.Miscellaneous.LinearInterp(Peturbed_QZ,$K426,1,Q$1),ZeroCompFreq,'PDH Calc'!$K426/365)</f>
        <v>1</v>
      </c>
      <c r="R426" s="8">
        <f ca="1">_xll.HLV5r3.Analytics.Miscellaneous.Zero2DF(_xll.HLV5r3.Analytics.Miscellaneous.LinearInterp(Peturbed_QZ,$K426,1,R$1),ZeroCompFreq,'PDH Calc'!$K426/365)</f>
        <v>1</v>
      </c>
      <c r="S426" s="8">
        <f ca="1">_xll.HLV5r3.Analytics.Miscellaneous.Zero2DF(_xll.HLV5r3.Analytics.Miscellaneous.LinearInterp(Peturbed_QZ,$K426,1,S$1),ZeroCompFreq,'PDH Calc'!$K426/365)</f>
        <v>1</v>
      </c>
      <c r="T426" s="8">
        <f ca="1">_xll.HLV5r3.Analytics.Miscellaneous.Zero2DF(_xll.HLV5r3.Analytics.Miscellaneous.LinearInterp(Peturbed_QZ,$K426,1,T$1),ZeroCompFreq,'PDH Calc'!$K426/365)</f>
        <v>1</v>
      </c>
      <c r="U426" s="8">
        <f ca="1">_xll.HLV5r3.Analytics.Miscellaneous.Zero2DF(_xll.HLV5r3.Analytics.Miscellaneous.LinearInterp(Peturbed_QZ,$K426,1,U$1),ZeroCompFreq,'PDH Calc'!$K426/365)</f>
        <v>1</v>
      </c>
      <c r="V426" s="8">
        <f ca="1">_xll.HLV5r3.Analytics.Miscellaneous.Zero2DF(_xll.HLV5r3.Analytics.Miscellaneous.LinearInterp(Peturbed_QZ,$K426,1,V$1),ZeroCompFreq,'PDH Calc'!$K426/365)</f>
        <v>1</v>
      </c>
      <c r="W426" s="8">
        <f ca="1">_xll.HLV5r3.Analytics.Miscellaneous.Zero2DF(_xll.HLV5r3.Analytics.Miscellaneous.LinearInterp(Peturbed_QZ,$K426,1,W$1),ZeroCompFreq,'PDH Calc'!$K426/365)</f>
        <v>1</v>
      </c>
      <c r="X426" s="8">
        <f ca="1">_xll.HLV5r3.Analytics.Miscellaneous.Zero2DF(_xll.HLV5r3.Analytics.Miscellaneous.LinearInterp(Peturbed_QZ,$K426,1,X$1),ZeroCompFreq,'PDH Calc'!$K426/365)</f>
        <v>1</v>
      </c>
      <c r="Y426" s="8">
        <f ca="1">_xll.HLV5r3.Analytics.Miscellaneous.Zero2DF(_xll.HLV5r3.Analytics.Miscellaneous.LinearInterp(Peturbed_QZ,$K426,1,Y$1),ZeroCompFreq,'PDH Calc'!$K426/365)</f>
        <v>1</v>
      </c>
      <c r="Z426" s="8">
        <f ca="1">_xll.HLV5r3.Analytics.Miscellaneous.Zero2DF(_xll.HLV5r3.Analytics.Miscellaneous.LinearInterp(Peturbed_QZ,$K426,1,Z$1),ZeroCompFreq,'PDH Calc'!$K426/365)</f>
        <v>1</v>
      </c>
      <c r="AA426" s="8">
        <f ca="1">_xll.HLV5r3.Analytics.Miscellaneous.Zero2DF(_xll.HLV5r3.Analytics.Miscellaneous.LinearInterp(Peturbed_QZ,$K426,1,AA$1),ZeroCompFreq,'PDH Calc'!$K426/365)</f>
        <v>1</v>
      </c>
      <c r="AB426" s="8">
        <f ca="1">_xll.HLV5r3.Analytics.Miscellaneous.Zero2DF(_xll.HLV5r3.Analytics.Miscellaneous.LinearInterp(Peturbed_QZ,$K426,1,AB$1),ZeroCompFreq,'PDH Calc'!$K426/365)</f>
        <v>1</v>
      </c>
      <c r="AC426" s="8">
        <f ca="1">_xll.HLV5r3.Analytics.Miscellaneous.Zero2DF(_xll.HLV5r3.Analytics.Miscellaneous.LinearInterp(Peturbed_QZ,$K426,1,AC$1),ZeroCompFreq,'PDH Calc'!$K426/365)</f>
        <v>1</v>
      </c>
      <c r="AD426" s="8">
        <f ca="1">_xll.HLV5r3.Analytics.Miscellaneous.Zero2DF(_xll.HLV5r3.Analytics.Miscellaneous.LinearInterp(Peturbed_QZ,$K426,1,AD$1),ZeroCompFreq,'PDH Calc'!$K426/365)</f>
        <v>1</v>
      </c>
      <c r="AE426" s="8">
        <f ca="1">_xll.HLV5r3.Analytics.Miscellaneous.Zero2DF(_xll.HLV5r3.Analytics.Miscellaneous.LinearInterp(Peturbed_QZ,$K426,1,AE$1),ZeroCompFreq,'PDH Calc'!$K426/365)</f>
        <v>1</v>
      </c>
      <c r="AF426" s="8">
        <f ca="1">_xll.HLV5r3.Analytics.Miscellaneous.Zero2DF(_xll.HLV5r3.Analytics.Miscellaneous.LinearInterp(Peturbed_QZ,$K426,1,AF$1),ZeroCompFreq,'PDH Calc'!$K426/365)</f>
        <v>1</v>
      </c>
      <c r="AG426" s="8">
        <f ca="1">_xll.HLV5r3.Analytics.Miscellaneous.Zero2DF(_xll.HLV5r3.Analytics.Miscellaneous.LinearInterp(Peturbed_QZ,$K426,1,AG$1),ZeroCompFreq,'PDH Calc'!$K426/365)</f>
        <v>1</v>
      </c>
      <c r="AH426" s="8">
        <f ca="1">_xll.HLV5r3.Analytics.Miscellaneous.Zero2DF(_xll.HLV5r3.Analytics.Miscellaneous.LinearInterp(Peturbed_QZ,$K426,1,AH$1),ZeroCompFreq,'PDH Calc'!$K426/365)</f>
        <v>1</v>
      </c>
      <c r="AI426" s="8">
        <f ca="1">_xll.HLV5r3.Analytics.Miscellaneous.Zero2DF(_xll.HLV5r3.Analytics.Miscellaneous.LinearInterp(Peturbed_QZ,$K426,1,AI$1),ZeroCompFreq,'PDH Calc'!$K426/365)</f>
        <v>1</v>
      </c>
      <c r="AJ426" s="8">
        <f ca="1">_xll.HLV5r3.Analytics.Miscellaneous.Zero2DF(_xll.HLV5r3.Analytics.Miscellaneous.LinearInterp(Peturbed_QZ,$K426,1,AJ$1),ZeroCompFreq,'PDH Calc'!$K426/365)</f>
        <v>1</v>
      </c>
      <c r="AK426" s="8">
        <f ca="1">_xll.HLV5r3.Analytics.Miscellaneous.Zero2DF(_xll.HLV5r3.Analytics.Miscellaneous.LinearInterp(Peturbed_QZ,$K426,1,AK$1),ZeroCompFreq,'PDH Calc'!$K426/365)</f>
        <v>1</v>
      </c>
    </row>
    <row r="427" spans="1:37">
      <c r="A427" s="4"/>
      <c r="B427" s="6"/>
      <c r="F427" s="11"/>
      <c r="G427" s="6"/>
      <c r="H427" s="20"/>
      <c r="I427" s="21"/>
      <c r="J427" s="26"/>
      <c r="K427" s="6">
        <f t="shared" ca="1" si="13"/>
        <v>0</v>
      </c>
      <c r="L427" s="8">
        <f ca="1">_xll.HLV5r3.Analytics.Miscellaneous.Zero2DF(_xll.HLV5r3.Analytics.Miscellaneous.LinearInterp(Peturbed_QZ,$K427,1,L$1),ZeroCompFreq,'PDH Calc'!$K427/365)</f>
        <v>1</v>
      </c>
      <c r="M427" s="8">
        <f ca="1">_xll.HLV5r3.Analytics.Miscellaneous.Zero2DF(_xll.HLV5r3.Analytics.Miscellaneous.LinearInterp(Peturbed_QZ,$K427,1,M$1),ZeroCompFreq,'PDH Calc'!$K427/365)</f>
        <v>1</v>
      </c>
      <c r="N427" s="8">
        <f ca="1">_xll.HLV5r3.Analytics.Miscellaneous.Zero2DF(_xll.HLV5r3.Analytics.Miscellaneous.LinearInterp(Peturbed_QZ,$K427,1,N$1),ZeroCompFreq,'PDH Calc'!$K427/365)</f>
        <v>1</v>
      </c>
      <c r="O427" s="8">
        <f ca="1">_xll.HLV5r3.Analytics.Miscellaneous.Zero2DF(_xll.HLV5r3.Analytics.Miscellaneous.LinearInterp(Peturbed_QZ,$K427,1,O$1),ZeroCompFreq,'PDH Calc'!$K427/365)</f>
        <v>1</v>
      </c>
      <c r="P427" s="8">
        <f ca="1">_xll.HLV5r3.Analytics.Miscellaneous.Zero2DF(_xll.HLV5r3.Analytics.Miscellaneous.LinearInterp(Peturbed_QZ,$K427,1,P$1),ZeroCompFreq,'PDH Calc'!$K427/365)</f>
        <v>1</v>
      </c>
      <c r="Q427" s="8">
        <f ca="1">_xll.HLV5r3.Analytics.Miscellaneous.Zero2DF(_xll.HLV5r3.Analytics.Miscellaneous.LinearInterp(Peturbed_QZ,$K427,1,Q$1),ZeroCompFreq,'PDH Calc'!$K427/365)</f>
        <v>1</v>
      </c>
      <c r="R427" s="8">
        <f ca="1">_xll.HLV5r3.Analytics.Miscellaneous.Zero2DF(_xll.HLV5r3.Analytics.Miscellaneous.LinearInterp(Peturbed_QZ,$K427,1,R$1),ZeroCompFreq,'PDH Calc'!$K427/365)</f>
        <v>1</v>
      </c>
      <c r="S427" s="8">
        <f ca="1">_xll.HLV5r3.Analytics.Miscellaneous.Zero2DF(_xll.HLV5r3.Analytics.Miscellaneous.LinearInterp(Peturbed_QZ,$K427,1,S$1),ZeroCompFreq,'PDH Calc'!$K427/365)</f>
        <v>1</v>
      </c>
      <c r="T427" s="8">
        <f ca="1">_xll.HLV5r3.Analytics.Miscellaneous.Zero2DF(_xll.HLV5r3.Analytics.Miscellaneous.LinearInterp(Peturbed_QZ,$K427,1,T$1),ZeroCompFreq,'PDH Calc'!$K427/365)</f>
        <v>1</v>
      </c>
      <c r="U427" s="8">
        <f ca="1">_xll.HLV5r3.Analytics.Miscellaneous.Zero2DF(_xll.HLV5r3.Analytics.Miscellaneous.LinearInterp(Peturbed_QZ,$K427,1,U$1),ZeroCompFreq,'PDH Calc'!$K427/365)</f>
        <v>1</v>
      </c>
      <c r="V427" s="8">
        <f ca="1">_xll.HLV5r3.Analytics.Miscellaneous.Zero2DF(_xll.HLV5r3.Analytics.Miscellaneous.LinearInterp(Peturbed_QZ,$K427,1,V$1),ZeroCompFreq,'PDH Calc'!$K427/365)</f>
        <v>1</v>
      </c>
      <c r="W427" s="8">
        <f ca="1">_xll.HLV5r3.Analytics.Miscellaneous.Zero2DF(_xll.HLV5r3.Analytics.Miscellaneous.LinearInterp(Peturbed_QZ,$K427,1,W$1),ZeroCompFreq,'PDH Calc'!$K427/365)</f>
        <v>1</v>
      </c>
      <c r="X427" s="8">
        <f ca="1">_xll.HLV5r3.Analytics.Miscellaneous.Zero2DF(_xll.HLV5r3.Analytics.Miscellaneous.LinearInterp(Peturbed_QZ,$K427,1,X$1),ZeroCompFreq,'PDH Calc'!$K427/365)</f>
        <v>1</v>
      </c>
      <c r="Y427" s="8">
        <f ca="1">_xll.HLV5r3.Analytics.Miscellaneous.Zero2DF(_xll.HLV5r3.Analytics.Miscellaneous.LinearInterp(Peturbed_QZ,$K427,1,Y$1),ZeroCompFreq,'PDH Calc'!$K427/365)</f>
        <v>1</v>
      </c>
      <c r="Z427" s="8">
        <f ca="1">_xll.HLV5r3.Analytics.Miscellaneous.Zero2DF(_xll.HLV5r3.Analytics.Miscellaneous.LinearInterp(Peturbed_QZ,$K427,1,Z$1),ZeroCompFreq,'PDH Calc'!$K427/365)</f>
        <v>1</v>
      </c>
      <c r="AA427" s="8">
        <f ca="1">_xll.HLV5r3.Analytics.Miscellaneous.Zero2DF(_xll.HLV5r3.Analytics.Miscellaneous.LinearInterp(Peturbed_QZ,$K427,1,AA$1),ZeroCompFreq,'PDH Calc'!$K427/365)</f>
        <v>1</v>
      </c>
      <c r="AB427" s="8">
        <f ca="1">_xll.HLV5r3.Analytics.Miscellaneous.Zero2DF(_xll.HLV5r3.Analytics.Miscellaneous.LinearInterp(Peturbed_QZ,$K427,1,AB$1),ZeroCompFreq,'PDH Calc'!$K427/365)</f>
        <v>1</v>
      </c>
      <c r="AC427" s="8">
        <f ca="1">_xll.HLV5r3.Analytics.Miscellaneous.Zero2DF(_xll.HLV5r3.Analytics.Miscellaneous.LinearInterp(Peturbed_QZ,$K427,1,AC$1),ZeroCompFreq,'PDH Calc'!$K427/365)</f>
        <v>1</v>
      </c>
      <c r="AD427" s="8">
        <f ca="1">_xll.HLV5r3.Analytics.Miscellaneous.Zero2DF(_xll.HLV5r3.Analytics.Miscellaneous.LinearInterp(Peturbed_QZ,$K427,1,AD$1),ZeroCompFreq,'PDH Calc'!$K427/365)</f>
        <v>1</v>
      </c>
      <c r="AE427" s="8">
        <f ca="1">_xll.HLV5r3.Analytics.Miscellaneous.Zero2DF(_xll.HLV5r3.Analytics.Miscellaneous.LinearInterp(Peturbed_QZ,$K427,1,AE$1),ZeroCompFreq,'PDH Calc'!$K427/365)</f>
        <v>1</v>
      </c>
      <c r="AF427" s="8">
        <f ca="1">_xll.HLV5r3.Analytics.Miscellaneous.Zero2DF(_xll.HLV5r3.Analytics.Miscellaneous.LinearInterp(Peturbed_QZ,$K427,1,AF$1),ZeroCompFreq,'PDH Calc'!$K427/365)</f>
        <v>1</v>
      </c>
      <c r="AG427" s="8">
        <f ca="1">_xll.HLV5r3.Analytics.Miscellaneous.Zero2DF(_xll.HLV5r3.Analytics.Miscellaneous.LinearInterp(Peturbed_QZ,$K427,1,AG$1),ZeroCompFreq,'PDH Calc'!$K427/365)</f>
        <v>1</v>
      </c>
      <c r="AH427" s="8">
        <f ca="1">_xll.HLV5r3.Analytics.Miscellaneous.Zero2DF(_xll.HLV5r3.Analytics.Miscellaneous.LinearInterp(Peturbed_QZ,$K427,1,AH$1),ZeroCompFreq,'PDH Calc'!$K427/365)</f>
        <v>1</v>
      </c>
      <c r="AI427" s="8">
        <f ca="1">_xll.HLV5r3.Analytics.Miscellaneous.Zero2DF(_xll.HLV5r3.Analytics.Miscellaneous.LinearInterp(Peturbed_QZ,$K427,1,AI$1),ZeroCompFreq,'PDH Calc'!$K427/365)</f>
        <v>1</v>
      </c>
      <c r="AJ427" s="8">
        <f ca="1">_xll.HLV5r3.Analytics.Miscellaneous.Zero2DF(_xll.HLV5r3.Analytics.Miscellaneous.LinearInterp(Peturbed_QZ,$K427,1,AJ$1),ZeroCompFreq,'PDH Calc'!$K427/365)</f>
        <v>1</v>
      </c>
      <c r="AK427" s="8">
        <f ca="1">_xll.HLV5r3.Analytics.Miscellaneous.Zero2DF(_xll.HLV5r3.Analytics.Miscellaneous.LinearInterp(Peturbed_QZ,$K427,1,AK$1),ZeroCompFreq,'PDH Calc'!$K427/365)</f>
        <v>1</v>
      </c>
    </row>
    <row r="428" spans="1:37">
      <c r="A428" s="4"/>
      <c r="B428" s="6"/>
      <c r="F428" s="11"/>
      <c r="G428" s="6"/>
      <c r="H428" s="20"/>
      <c r="I428" s="21"/>
      <c r="J428" s="26"/>
      <c r="K428" s="6">
        <f t="shared" ca="1" si="13"/>
        <v>0</v>
      </c>
      <c r="L428" s="8">
        <f ca="1">_xll.HLV5r3.Analytics.Miscellaneous.Zero2DF(_xll.HLV5r3.Analytics.Miscellaneous.LinearInterp(Peturbed_QZ,$K428,1,L$1),ZeroCompFreq,'PDH Calc'!$K428/365)</f>
        <v>1</v>
      </c>
      <c r="M428" s="8">
        <f ca="1">_xll.HLV5r3.Analytics.Miscellaneous.Zero2DF(_xll.HLV5r3.Analytics.Miscellaneous.LinearInterp(Peturbed_QZ,$K428,1,M$1),ZeroCompFreq,'PDH Calc'!$K428/365)</f>
        <v>1</v>
      </c>
      <c r="N428" s="8">
        <f ca="1">_xll.HLV5r3.Analytics.Miscellaneous.Zero2DF(_xll.HLV5r3.Analytics.Miscellaneous.LinearInterp(Peturbed_QZ,$K428,1,N$1),ZeroCompFreq,'PDH Calc'!$K428/365)</f>
        <v>1</v>
      </c>
      <c r="O428" s="8">
        <f ca="1">_xll.HLV5r3.Analytics.Miscellaneous.Zero2DF(_xll.HLV5r3.Analytics.Miscellaneous.LinearInterp(Peturbed_QZ,$K428,1,O$1),ZeroCompFreq,'PDH Calc'!$K428/365)</f>
        <v>1</v>
      </c>
      <c r="P428" s="8">
        <f ca="1">_xll.HLV5r3.Analytics.Miscellaneous.Zero2DF(_xll.HLV5r3.Analytics.Miscellaneous.LinearInterp(Peturbed_QZ,$K428,1,P$1),ZeroCompFreq,'PDH Calc'!$K428/365)</f>
        <v>1</v>
      </c>
      <c r="Q428" s="8">
        <f ca="1">_xll.HLV5r3.Analytics.Miscellaneous.Zero2DF(_xll.HLV5r3.Analytics.Miscellaneous.LinearInterp(Peturbed_QZ,$K428,1,Q$1),ZeroCompFreq,'PDH Calc'!$K428/365)</f>
        <v>1</v>
      </c>
      <c r="R428" s="8">
        <f ca="1">_xll.HLV5r3.Analytics.Miscellaneous.Zero2DF(_xll.HLV5r3.Analytics.Miscellaneous.LinearInterp(Peturbed_QZ,$K428,1,R$1),ZeroCompFreq,'PDH Calc'!$K428/365)</f>
        <v>1</v>
      </c>
      <c r="S428" s="8">
        <f ca="1">_xll.HLV5r3.Analytics.Miscellaneous.Zero2DF(_xll.HLV5r3.Analytics.Miscellaneous.LinearInterp(Peturbed_QZ,$K428,1,S$1),ZeroCompFreq,'PDH Calc'!$K428/365)</f>
        <v>1</v>
      </c>
      <c r="T428" s="8">
        <f ca="1">_xll.HLV5r3.Analytics.Miscellaneous.Zero2DF(_xll.HLV5r3.Analytics.Miscellaneous.LinearInterp(Peturbed_QZ,$K428,1,T$1),ZeroCompFreq,'PDH Calc'!$K428/365)</f>
        <v>1</v>
      </c>
      <c r="U428" s="8">
        <f ca="1">_xll.HLV5r3.Analytics.Miscellaneous.Zero2DF(_xll.HLV5r3.Analytics.Miscellaneous.LinearInterp(Peturbed_QZ,$K428,1,U$1),ZeroCompFreq,'PDH Calc'!$K428/365)</f>
        <v>1</v>
      </c>
      <c r="V428" s="8">
        <f ca="1">_xll.HLV5r3.Analytics.Miscellaneous.Zero2DF(_xll.HLV5r3.Analytics.Miscellaneous.LinearInterp(Peturbed_QZ,$K428,1,V$1),ZeroCompFreq,'PDH Calc'!$K428/365)</f>
        <v>1</v>
      </c>
      <c r="W428" s="8">
        <f ca="1">_xll.HLV5r3.Analytics.Miscellaneous.Zero2DF(_xll.HLV5r3.Analytics.Miscellaneous.LinearInterp(Peturbed_QZ,$K428,1,W$1),ZeroCompFreq,'PDH Calc'!$K428/365)</f>
        <v>1</v>
      </c>
      <c r="X428" s="8">
        <f ca="1">_xll.HLV5r3.Analytics.Miscellaneous.Zero2DF(_xll.HLV5r3.Analytics.Miscellaneous.LinearInterp(Peturbed_QZ,$K428,1,X$1),ZeroCompFreq,'PDH Calc'!$K428/365)</f>
        <v>1</v>
      </c>
      <c r="Y428" s="8">
        <f ca="1">_xll.HLV5r3.Analytics.Miscellaneous.Zero2DF(_xll.HLV5r3.Analytics.Miscellaneous.LinearInterp(Peturbed_QZ,$K428,1,Y$1),ZeroCompFreq,'PDH Calc'!$K428/365)</f>
        <v>1</v>
      </c>
      <c r="Z428" s="8">
        <f ca="1">_xll.HLV5r3.Analytics.Miscellaneous.Zero2DF(_xll.HLV5r3.Analytics.Miscellaneous.LinearInterp(Peturbed_QZ,$K428,1,Z$1),ZeroCompFreq,'PDH Calc'!$K428/365)</f>
        <v>1</v>
      </c>
      <c r="AA428" s="8">
        <f ca="1">_xll.HLV5r3.Analytics.Miscellaneous.Zero2DF(_xll.HLV5r3.Analytics.Miscellaneous.LinearInterp(Peturbed_QZ,$K428,1,AA$1),ZeroCompFreq,'PDH Calc'!$K428/365)</f>
        <v>1</v>
      </c>
      <c r="AB428" s="8">
        <f ca="1">_xll.HLV5r3.Analytics.Miscellaneous.Zero2DF(_xll.HLV5r3.Analytics.Miscellaneous.LinearInterp(Peturbed_QZ,$K428,1,AB$1),ZeroCompFreq,'PDH Calc'!$K428/365)</f>
        <v>1</v>
      </c>
      <c r="AC428" s="8">
        <f ca="1">_xll.HLV5r3.Analytics.Miscellaneous.Zero2DF(_xll.HLV5r3.Analytics.Miscellaneous.LinearInterp(Peturbed_QZ,$K428,1,AC$1),ZeroCompFreq,'PDH Calc'!$K428/365)</f>
        <v>1</v>
      </c>
      <c r="AD428" s="8">
        <f ca="1">_xll.HLV5r3.Analytics.Miscellaneous.Zero2DF(_xll.HLV5r3.Analytics.Miscellaneous.LinearInterp(Peturbed_QZ,$K428,1,AD$1),ZeroCompFreq,'PDH Calc'!$K428/365)</f>
        <v>1</v>
      </c>
      <c r="AE428" s="8">
        <f ca="1">_xll.HLV5r3.Analytics.Miscellaneous.Zero2DF(_xll.HLV5r3.Analytics.Miscellaneous.LinearInterp(Peturbed_QZ,$K428,1,AE$1),ZeroCompFreq,'PDH Calc'!$K428/365)</f>
        <v>1</v>
      </c>
      <c r="AF428" s="8">
        <f ca="1">_xll.HLV5r3.Analytics.Miscellaneous.Zero2DF(_xll.HLV5r3.Analytics.Miscellaneous.LinearInterp(Peturbed_QZ,$K428,1,AF$1),ZeroCompFreq,'PDH Calc'!$K428/365)</f>
        <v>1</v>
      </c>
      <c r="AG428" s="8">
        <f ca="1">_xll.HLV5r3.Analytics.Miscellaneous.Zero2DF(_xll.HLV5r3.Analytics.Miscellaneous.LinearInterp(Peturbed_QZ,$K428,1,AG$1),ZeroCompFreq,'PDH Calc'!$K428/365)</f>
        <v>1</v>
      </c>
      <c r="AH428" s="8">
        <f ca="1">_xll.HLV5r3.Analytics.Miscellaneous.Zero2DF(_xll.HLV5r3.Analytics.Miscellaneous.LinearInterp(Peturbed_QZ,$K428,1,AH$1),ZeroCompFreq,'PDH Calc'!$K428/365)</f>
        <v>1</v>
      </c>
      <c r="AI428" s="8">
        <f ca="1">_xll.HLV5r3.Analytics.Miscellaneous.Zero2DF(_xll.HLV5r3.Analytics.Miscellaneous.LinearInterp(Peturbed_QZ,$K428,1,AI$1),ZeroCompFreq,'PDH Calc'!$K428/365)</f>
        <v>1</v>
      </c>
      <c r="AJ428" s="8">
        <f ca="1">_xll.HLV5r3.Analytics.Miscellaneous.Zero2DF(_xll.HLV5r3.Analytics.Miscellaneous.LinearInterp(Peturbed_QZ,$K428,1,AJ$1),ZeroCompFreq,'PDH Calc'!$K428/365)</f>
        <v>1</v>
      </c>
      <c r="AK428" s="8">
        <f ca="1">_xll.HLV5r3.Analytics.Miscellaneous.Zero2DF(_xll.HLV5r3.Analytics.Miscellaneous.LinearInterp(Peturbed_QZ,$K428,1,AK$1),ZeroCompFreq,'PDH Calc'!$K428/365)</f>
        <v>1</v>
      </c>
    </row>
    <row r="429" spans="1:37">
      <c r="A429" s="4"/>
      <c r="B429" s="6"/>
      <c r="F429" s="11"/>
      <c r="G429" s="6"/>
      <c r="H429" s="20"/>
      <c r="I429" s="21"/>
      <c r="J429" s="26"/>
      <c r="K429" s="6">
        <f t="shared" ca="1" si="13"/>
        <v>0</v>
      </c>
      <c r="L429" s="8">
        <f ca="1">_xll.HLV5r3.Analytics.Miscellaneous.Zero2DF(_xll.HLV5r3.Analytics.Miscellaneous.LinearInterp(Peturbed_QZ,$K429,1,L$1),ZeroCompFreq,'PDH Calc'!$K429/365)</f>
        <v>1</v>
      </c>
      <c r="M429" s="8">
        <f ca="1">_xll.HLV5r3.Analytics.Miscellaneous.Zero2DF(_xll.HLV5r3.Analytics.Miscellaneous.LinearInterp(Peturbed_QZ,$K429,1,M$1),ZeroCompFreq,'PDH Calc'!$K429/365)</f>
        <v>1</v>
      </c>
      <c r="N429" s="8">
        <f ca="1">_xll.HLV5r3.Analytics.Miscellaneous.Zero2DF(_xll.HLV5r3.Analytics.Miscellaneous.LinearInterp(Peturbed_QZ,$K429,1,N$1),ZeroCompFreq,'PDH Calc'!$K429/365)</f>
        <v>1</v>
      </c>
      <c r="O429" s="8">
        <f ca="1">_xll.HLV5r3.Analytics.Miscellaneous.Zero2DF(_xll.HLV5r3.Analytics.Miscellaneous.LinearInterp(Peturbed_QZ,$K429,1,O$1),ZeroCompFreq,'PDH Calc'!$K429/365)</f>
        <v>1</v>
      </c>
      <c r="P429" s="8">
        <f ca="1">_xll.HLV5r3.Analytics.Miscellaneous.Zero2DF(_xll.HLV5r3.Analytics.Miscellaneous.LinearInterp(Peturbed_QZ,$K429,1,P$1),ZeroCompFreq,'PDH Calc'!$K429/365)</f>
        <v>1</v>
      </c>
      <c r="Q429" s="8">
        <f ca="1">_xll.HLV5r3.Analytics.Miscellaneous.Zero2DF(_xll.HLV5r3.Analytics.Miscellaneous.LinearInterp(Peturbed_QZ,$K429,1,Q$1),ZeroCompFreq,'PDH Calc'!$K429/365)</f>
        <v>1</v>
      </c>
      <c r="R429" s="8">
        <f ca="1">_xll.HLV5r3.Analytics.Miscellaneous.Zero2DF(_xll.HLV5r3.Analytics.Miscellaneous.LinearInterp(Peturbed_QZ,$K429,1,R$1),ZeroCompFreq,'PDH Calc'!$K429/365)</f>
        <v>1</v>
      </c>
      <c r="S429" s="8">
        <f ca="1">_xll.HLV5r3.Analytics.Miscellaneous.Zero2DF(_xll.HLV5r3.Analytics.Miscellaneous.LinearInterp(Peturbed_QZ,$K429,1,S$1),ZeroCompFreq,'PDH Calc'!$K429/365)</f>
        <v>1</v>
      </c>
      <c r="T429" s="8">
        <f ca="1">_xll.HLV5r3.Analytics.Miscellaneous.Zero2DF(_xll.HLV5r3.Analytics.Miscellaneous.LinearInterp(Peturbed_QZ,$K429,1,T$1),ZeroCompFreq,'PDH Calc'!$K429/365)</f>
        <v>1</v>
      </c>
      <c r="U429" s="8">
        <f ca="1">_xll.HLV5r3.Analytics.Miscellaneous.Zero2DF(_xll.HLV5r3.Analytics.Miscellaneous.LinearInterp(Peturbed_QZ,$K429,1,U$1),ZeroCompFreq,'PDH Calc'!$K429/365)</f>
        <v>1</v>
      </c>
      <c r="V429" s="8">
        <f ca="1">_xll.HLV5r3.Analytics.Miscellaneous.Zero2DF(_xll.HLV5r3.Analytics.Miscellaneous.LinearInterp(Peturbed_QZ,$K429,1,V$1),ZeroCompFreq,'PDH Calc'!$K429/365)</f>
        <v>1</v>
      </c>
      <c r="W429" s="8">
        <f ca="1">_xll.HLV5r3.Analytics.Miscellaneous.Zero2DF(_xll.HLV5r3.Analytics.Miscellaneous.LinearInterp(Peturbed_QZ,$K429,1,W$1),ZeroCompFreq,'PDH Calc'!$K429/365)</f>
        <v>1</v>
      </c>
      <c r="X429" s="8">
        <f ca="1">_xll.HLV5r3.Analytics.Miscellaneous.Zero2DF(_xll.HLV5r3.Analytics.Miscellaneous.LinearInterp(Peturbed_QZ,$K429,1,X$1),ZeroCompFreq,'PDH Calc'!$K429/365)</f>
        <v>1</v>
      </c>
      <c r="Y429" s="8">
        <f ca="1">_xll.HLV5r3.Analytics.Miscellaneous.Zero2DF(_xll.HLV5r3.Analytics.Miscellaneous.LinearInterp(Peturbed_QZ,$K429,1,Y$1),ZeroCompFreq,'PDH Calc'!$K429/365)</f>
        <v>1</v>
      </c>
      <c r="Z429" s="8">
        <f ca="1">_xll.HLV5r3.Analytics.Miscellaneous.Zero2DF(_xll.HLV5r3.Analytics.Miscellaneous.LinearInterp(Peturbed_QZ,$K429,1,Z$1),ZeroCompFreq,'PDH Calc'!$K429/365)</f>
        <v>1</v>
      </c>
      <c r="AA429" s="8">
        <f ca="1">_xll.HLV5r3.Analytics.Miscellaneous.Zero2DF(_xll.HLV5r3.Analytics.Miscellaneous.LinearInterp(Peturbed_QZ,$K429,1,AA$1),ZeroCompFreq,'PDH Calc'!$K429/365)</f>
        <v>1</v>
      </c>
      <c r="AB429" s="8">
        <f ca="1">_xll.HLV5r3.Analytics.Miscellaneous.Zero2DF(_xll.HLV5r3.Analytics.Miscellaneous.LinearInterp(Peturbed_QZ,$K429,1,AB$1),ZeroCompFreq,'PDH Calc'!$K429/365)</f>
        <v>1</v>
      </c>
      <c r="AC429" s="8">
        <f ca="1">_xll.HLV5r3.Analytics.Miscellaneous.Zero2DF(_xll.HLV5r3.Analytics.Miscellaneous.LinearInterp(Peturbed_QZ,$K429,1,AC$1),ZeroCompFreq,'PDH Calc'!$K429/365)</f>
        <v>1</v>
      </c>
      <c r="AD429" s="8">
        <f ca="1">_xll.HLV5r3.Analytics.Miscellaneous.Zero2DF(_xll.HLV5r3.Analytics.Miscellaneous.LinearInterp(Peturbed_QZ,$K429,1,AD$1),ZeroCompFreq,'PDH Calc'!$K429/365)</f>
        <v>1</v>
      </c>
      <c r="AE429" s="8">
        <f ca="1">_xll.HLV5r3.Analytics.Miscellaneous.Zero2DF(_xll.HLV5r3.Analytics.Miscellaneous.LinearInterp(Peturbed_QZ,$K429,1,AE$1),ZeroCompFreq,'PDH Calc'!$K429/365)</f>
        <v>1</v>
      </c>
      <c r="AF429" s="8">
        <f ca="1">_xll.HLV5r3.Analytics.Miscellaneous.Zero2DF(_xll.HLV5r3.Analytics.Miscellaneous.LinearInterp(Peturbed_QZ,$K429,1,AF$1),ZeroCompFreq,'PDH Calc'!$K429/365)</f>
        <v>1</v>
      </c>
      <c r="AG429" s="8">
        <f ca="1">_xll.HLV5r3.Analytics.Miscellaneous.Zero2DF(_xll.HLV5r3.Analytics.Miscellaneous.LinearInterp(Peturbed_QZ,$K429,1,AG$1),ZeroCompFreq,'PDH Calc'!$K429/365)</f>
        <v>1</v>
      </c>
      <c r="AH429" s="8">
        <f ca="1">_xll.HLV5r3.Analytics.Miscellaneous.Zero2DF(_xll.HLV5r3.Analytics.Miscellaneous.LinearInterp(Peturbed_QZ,$K429,1,AH$1),ZeroCompFreq,'PDH Calc'!$K429/365)</f>
        <v>1</v>
      </c>
      <c r="AI429" s="8">
        <f ca="1">_xll.HLV5r3.Analytics.Miscellaneous.Zero2DF(_xll.HLV5r3.Analytics.Miscellaneous.LinearInterp(Peturbed_QZ,$K429,1,AI$1),ZeroCompFreq,'PDH Calc'!$K429/365)</f>
        <v>1</v>
      </c>
      <c r="AJ429" s="8">
        <f ca="1">_xll.HLV5r3.Analytics.Miscellaneous.Zero2DF(_xll.HLV5r3.Analytics.Miscellaneous.LinearInterp(Peturbed_QZ,$K429,1,AJ$1),ZeroCompFreq,'PDH Calc'!$K429/365)</f>
        <v>1</v>
      </c>
      <c r="AK429" s="8">
        <f ca="1">_xll.HLV5r3.Analytics.Miscellaneous.Zero2DF(_xll.HLV5r3.Analytics.Miscellaneous.LinearInterp(Peturbed_QZ,$K429,1,AK$1),ZeroCompFreq,'PDH Calc'!$K429/365)</f>
        <v>1</v>
      </c>
    </row>
    <row r="430" spans="1:37">
      <c r="A430" s="4"/>
      <c r="B430" s="6"/>
      <c r="F430" s="11"/>
      <c r="G430" s="6"/>
      <c r="H430" s="20"/>
      <c r="I430" s="21"/>
      <c r="J430" s="26"/>
      <c r="K430" s="6">
        <f t="shared" ca="1" si="13"/>
        <v>0</v>
      </c>
      <c r="L430" s="8">
        <f ca="1">_xll.HLV5r3.Analytics.Miscellaneous.Zero2DF(_xll.HLV5r3.Analytics.Miscellaneous.LinearInterp(Peturbed_QZ,$K430,1,L$1),ZeroCompFreq,'PDH Calc'!$K430/365)</f>
        <v>1</v>
      </c>
      <c r="M430" s="8">
        <f ca="1">_xll.HLV5r3.Analytics.Miscellaneous.Zero2DF(_xll.HLV5r3.Analytics.Miscellaneous.LinearInterp(Peturbed_QZ,$K430,1,M$1),ZeroCompFreq,'PDH Calc'!$K430/365)</f>
        <v>1</v>
      </c>
      <c r="N430" s="8">
        <f ca="1">_xll.HLV5r3.Analytics.Miscellaneous.Zero2DF(_xll.HLV5r3.Analytics.Miscellaneous.LinearInterp(Peturbed_QZ,$K430,1,N$1),ZeroCompFreq,'PDH Calc'!$K430/365)</f>
        <v>1</v>
      </c>
      <c r="O430" s="8">
        <f ca="1">_xll.HLV5r3.Analytics.Miscellaneous.Zero2DF(_xll.HLV5r3.Analytics.Miscellaneous.LinearInterp(Peturbed_QZ,$K430,1,O$1),ZeroCompFreq,'PDH Calc'!$K430/365)</f>
        <v>1</v>
      </c>
      <c r="P430" s="8">
        <f ca="1">_xll.HLV5r3.Analytics.Miscellaneous.Zero2DF(_xll.HLV5r3.Analytics.Miscellaneous.LinearInterp(Peturbed_QZ,$K430,1,P$1),ZeroCompFreq,'PDH Calc'!$K430/365)</f>
        <v>1</v>
      </c>
      <c r="Q430" s="8">
        <f ca="1">_xll.HLV5r3.Analytics.Miscellaneous.Zero2DF(_xll.HLV5r3.Analytics.Miscellaneous.LinearInterp(Peturbed_QZ,$K430,1,Q$1),ZeroCompFreq,'PDH Calc'!$K430/365)</f>
        <v>1</v>
      </c>
      <c r="R430" s="8">
        <f ca="1">_xll.HLV5r3.Analytics.Miscellaneous.Zero2DF(_xll.HLV5r3.Analytics.Miscellaneous.LinearInterp(Peturbed_QZ,$K430,1,R$1),ZeroCompFreq,'PDH Calc'!$K430/365)</f>
        <v>1</v>
      </c>
      <c r="S430" s="8">
        <f ca="1">_xll.HLV5r3.Analytics.Miscellaneous.Zero2DF(_xll.HLV5r3.Analytics.Miscellaneous.LinearInterp(Peturbed_QZ,$K430,1,S$1),ZeroCompFreq,'PDH Calc'!$K430/365)</f>
        <v>1</v>
      </c>
      <c r="T430" s="8">
        <f ca="1">_xll.HLV5r3.Analytics.Miscellaneous.Zero2DF(_xll.HLV5r3.Analytics.Miscellaneous.LinearInterp(Peturbed_QZ,$K430,1,T$1),ZeroCompFreq,'PDH Calc'!$K430/365)</f>
        <v>1</v>
      </c>
      <c r="U430" s="8">
        <f ca="1">_xll.HLV5r3.Analytics.Miscellaneous.Zero2DF(_xll.HLV5r3.Analytics.Miscellaneous.LinearInterp(Peturbed_QZ,$K430,1,U$1),ZeroCompFreq,'PDH Calc'!$K430/365)</f>
        <v>1</v>
      </c>
      <c r="V430" s="8">
        <f ca="1">_xll.HLV5r3.Analytics.Miscellaneous.Zero2DF(_xll.HLV5r3.Analytics.Miscellaneous.LinearInterp(Peturbed_QZ,$K430,1,V$1),ZeroCompFreq,'PDH Calc'!$K430/365)</f>
        <v>1</v>
      </c>
      <c r="W430" s="8">
        <f ca="1">_xll.HLV5r3.Analytics.Miscellaneous.Zero2DF(_xll.HLV5r3.Analytics.Miscellaneous.LinearInterp(Peturbed_QZ,$K430,1,W$1),ZeroCompFreq,'PDH Calc'!$K430/365)</f>
        <v>1</v>
      </c>
      <c r="X430" s="8">
        <f ca="1">_xll.HLV5r3.Analytics.Miscellaneous.Zero2DF(_xll.HLV5r3.Analytics.Miscellaneous.LinearInterp(Peturbed_QZ,$K430,1,X$1),ZeroCompFreq,'PDH Calc'!$K430/365)</f>
        <v>1</v>
      </c>
      <c r="Y430" s="8">
        <f ca="1">_xll.HLV5r3.Analytics.Miscellaneous.Zero2DF(_xll.HLV5r3.Analytics.Miscellaneous.LinearInterp(Peturbed_QZ,$K430,1,Y$1),ZeroCompFreq,'PDH Calc'!$K430/365)</f>
        <v>1</v>
      </c>
      <c r="Z430" s="8">
        <f ca="1">_xll.HLV5r3.Analytics.Miscellaneous.Zero2DF(_xll.HLV5r3.Analytics.Miscellaneous.LinearInterp(Peturbed_QZ,$K430,1,Z$1),ZeroCompFreq,'PDH Calc'!$K430/365)</f>
        <v>1</v>
      </c>
      <c r="AA430" s="8">
        <f ca="1">_xll.HLV5r3.Analytics.Miscellaneous.Zero2DF(_xll.HLV5r3.Analytics.Miscellaneous.LinearInterp(Peturbed_QZ,$K430,1,AA$1),ZeroCompFreq,'PDH Calc'!$K430/365)</f>
        <v>1</v>
      </c>
      <c r="AB430" s="8">
        <f ca="1">_xll.HLV5r3.Analytics.Miscellaneous.Zero2DF(_xll.HLV5r3.Analytics.Miscellaneous.LinearInterp(Peturbed_QZ,$K430,1,AB$1),ZeroCompFreq,'PDH Calc'!$K430/365)</f>
        <v>1</v>
      </c>
      <c r="AC430" s="8">
        <f ca="1">_xll.HLV5r3.Analytics.Miscellaneous.Zero2DF(_xll.HLV5r3.Analytics.Miscellaneous.LinearInterp(Peturbed_QZ,$K430,1,AC$1),ZeroCompFreq,'PDH Calc'!$K430/365)</f>
        <v>1</v>
      </c>
      <c r="AD430" s="8">
        <f ca="1">_xll.HLV5r3.Analytics.Miscellaneous.Zero2DF(_xll.HLV5r3.Analytics.Miscellaneous.LinearInterp(Peturbed_QZ,$K430,1,AD$1),ZeroCompFreq,'PDH Calc'!$K430/365)</f>
        <v>1</v>
      </c>
      <c r="AE430" s="8">
        <f ca="1">_xll.HLV5r3.Analytics.Miscellaneous.Zero2DF(_xll.HLV5r3.Analytics.Miscellaneous.LinearInterp(Peturbed_QZ,$K430,1,AE$1),ZeroCompFreq,'PDH Calc'!$K430/365)</f>
        <v>1</v>
      </c>
      <c r="AF430" s="8">
        <f ca="1">_xll.HLV5r3.Analytics.Miscellaneous.Zero2DF(_xll.HLV5r3.Analytics.Miscellaneous.LinearInterp(Peturbed_QZ,$K430,1,AF$1),ZeroCompFreq,'PDH Calc'!$K430/365)</f>
        <v>1</v>
      </c>
      <c r="AG430" s="8">
        <f ca="1">_xll.HLV5r3.Analytics.Miscellaneous.Zero2DF(_xll.HLV5r3.Analytics.Miscellaneous.LinearInterp(Peturbed_QZ,$K430,1,AG$1),ZeroCompFreq,'PDH Calc'!$K430/365)</f>
        <v>1</v>
      </c>
      <c r="AH430" s="8">
        <f ca="1">_xll.HLV5r3.Analytics.Miscellaneous.Zero2DF(_xll.HLV5r3.Analytics.Miscellaneous.LinearInterp(Peturbed_QZ,$K430,1,AH$1),ZeroCompFreq,'PDH Calc'!$K430/365)</f>
        <v>1</v>
      </c>
      <c r="AI430" s="8">
        <f ca="1">_xll.HLV5r3.Analytics.Miscellaneous.Zero2DF(_xll.HLV5r3.Analytics.Miscellaneous.LinearInterp(Peturbed_QZ,$K430,1,AI$1),ZeroCompFreq,'PDH Calc'!$K430/365)</f>
        <v>1</v>
      </c>
      <c r="AJ430" s="8">
        <f ca="1">_xll.HLV5r3.Analytics.Miscellaneous.Zero2DF(_xll.HLV5r3.Analytics.Miscellaneous.LinearInterp(Peturbed_QZ,$K430,1,AJ$1),ZeroCompFreq,'PDH Calc'!$K430/365)</f>
        <v>1</v>
      </c>
      <c r="AK430" s="8">
        <f ca="1">_xll.HLV5r3.Analytics.Miscellaneous.Zero2DF(_xll.HLV5r3.Analytics.Miscellaneous.LinearInterp(Peturbed_QZ,$K430,1,AK$1),ZeroCompFreq,'PDH Calc'!$K430/365)</f>
        <v>1</v>
      </c>
    </row>
    <row r="431" spans="1:37">
      <c r="A431" s="4"/>
      <c r="B431" s="6"/>
      <c r="F431" s="11"/>
      <c r="G431" s="6"/>
      <c r="H431" s="20"/>
      <c r="I431" s="21"/>
      <c r="J431" s="26"/>
      <c r="K431" s="6">
        <f t="shared" ca="1" si="13"/>
        <v>0</v>
      </c>
      <c r="L431" s="8">
        <f ca="1">_xll.HLV5r3.Analytics.Miscellaneous.Zero2DF(_xll.HLV5r3.Analytics.Miscellaneous.LinearInterp(Peturbed_QZ,$K431,1,L$1),ZeroCompFreq,'PDH Calc'!$K431/365)</f>
        <v>1</v>
      </c>
      <c r="M431" s="8">
        <f ca="1">_xll.HLV5r3.Analytics.Miscellaneous.Zero2DF(_xll.HLV5r3.Analytics.Miscellaneous.LinearInterp(Peturbed_QZ,$K431,1,M$1),ZeroCompFreq,'PDH Calc'!$K431/365)</f>
        <v>1</v>
      </c>
      <c r="N431" s="8">
        <f ca="1">_xll.HLV5r3.Analytics.Miscellaneous.Zero2DF(_xll.HLV5r3.Analytics.Miscellaneous.LinearInterp(Peturbed_QZ,$K431,1,N$1),ZeroCompFreq,'PDH Calc'!$K431/365)</f>
        <v>1</v>
      </c>
      <c r="O431" s="8">
        <f ca="1">_xll.HLV5r3.Analytics.Miscellaneous.Zero2DF(_xll.HLV5r3.Analytics.Miscellaneous.LinearInterp(Peturbed_QZ,$K431,1,O$1),ZeroCompFreq,'PDH Calc'!$K431/365)</f>
        <v>1</v>
      </c>
      <c r="P431" s="8">
        <f ca="1">_xll.HLV5r3.Analytics.Miscellaneous.Zero2DF(_xll.HLV5r3.Analytics.Miscellaneous.LinearInterp(Peturbed_QZ,$K431,1,P$1),ZeroCompFreq,'PDH Calc'!$K431/365)</f>
        <v>1</v>
      </c>
      <c r="Q431" s="8">
        <f ca="1">_xll.HLV5r3.Analytics.Miscellaneous.Zero2DF(_xll.HLV5r3.Analytics.Miscellaneous.LinearInterp(Peturbed_QZ,$K431,1,Q$1),ZeroCompFreq,'PDH Calc'!$K431/365)</f>
        <v>1</v>
      </c>
      <c r="R431" s="8">
        <f ca="1">_xll.HLV5r3.Analytics.Miscellaneous.Zero2DF(_xll.HLV5r3.Analytics.Miscellaneous.LinearInterp(Peturbed_QZ,$K431,1,R$1),ZeroCompFreq,'PDH Calc'!$K431/365)</f>
        <v>1</v>
      </c>
      <c r="S431" s="8">
        <f ca="1">_xll.HLV5r3.Analytics.Miscellaneous.Zero2DF(_xll.HLV5r3.Analytics.Miscellaneous.LinearInterp(Peturbed_QZ,$K431,1,S$1),ZeroCompFreq,'PDH Calc'!$K431/365)</f>
        <v>1</v>
      </c>
      <c r="T431" s="8">
        <f ca="1">_xll.HLV5r3.Analytics.Miscellaneous.Zero2DF(_xll.HLV5r3.Analytics.Miscellaneous.LinearInterp(Peturbed_QZ,$K431,1,T$1),ZeroCompFreq,'PDH Calc'!$K431/365)</f>
        <v>1</v>
      </c>
      <c r="U431" s="8">
        <f ca="1">_xll.HLV5r3.Analytics.Miscellaneous.Zero2DF(_xll.HLV5r3.Analytics.Miscellaneous.LinearInterp(Peturbed_QZ,$K431,1,U$1),ZeroCompFreq,'PDH Calc'!$K431/365)</f>
        <v>1</v>
      </c>
      <c r="V431" s="8">
        <f ca="1">_xll.HLV5r3.Analytics.Miscellaneous.Zero2DF(_xll.HLV5r3.Analytics.Miscellaneous.LinearInterp(Peturbed_QZ,$K431,1,V$1),ZeroCompFreq,'PDH Calc'!$K431/365)</f>
        <v>1</v>
      </c>
      <c r="W431" s="8">
        <f ca="1">_xll.HLV5r3.Analytics.Miscellaneous.Zero2DF(_xll.HLV5r3.Analytics.Miscellaneous.LinearInterp(Peturbed_QZ,$K431,1,W$1),ZeroCompFreq,'PDH Calc'!$K431/365)</f>
        <v>1</v>
      </c>
      <c r="X431" s="8">
        <f ca="1">_xll.HLV5r3.Analytics.Miscellaneous.Zero2DF(_xll.HLV5r3.Analytics.Miscellaneous.LinearInterp(Peturbed_QZ,$K431,1,X$1),ZeroCompFreq,'PDH Calc'!$K431/365)</f>
        <v>1</v>
      </c>
      <c r="Y431" s="8">
        <f ca="1">_xll.HLV5r3.Analytics.Miscellaneous.Zero2DF(_xll.HLV5r3.Analytics.Miscellaneous.LinearInterp(Peturbed_QZ,$K431,1,Y$1),ZeroCompFreq,'PDH Calc'!$K431/365)</f>
        <v>1</v>
      </c>
      <c r="Z431" s="8">
        <f ca="1">_xll.HLV5r3.Analytics.Miscellaneous.Zero2DF(_xll.HLV5r3.Analytics.Miscellaneous.LinearInterp(Peturbed_QZ,$K431,1,Z$1),ZeroCompFreq,'PDH Calc'!$K431/365)</f>
        <v>1</v>
      </c>
      <c r="AA431" s="8">
        <f ca="1">_xll.HLV5r3.Analytics.Miscellaneous.Zero2DF(_xll.HLV5r3.Analytics.Miscellaneous.LinearInterp(Peturbed_QZ,$K431,1,AA$1),ZeroCompFreq,'PDH Calc'!$K431/365)</f>
        <v>1</v>
      </c>
      <c r="AB431" s="8">
        <f ca="1">_xll.HLV5r3.Analytics.Miscellaneous.Zero2DF(_xll.HLV5r3.Analytics.Miscellaneous.LinearInterp(Peturbed_QZ,$K431,1,AB$1),ZeroCompFreq,'PDH Calc'!$K431/365)</f>
        <v>1</v>
      </c>
      <c r="AC431" s="8">
        <f ca="1">_xll.HLV5r3.Analytics.Miscellaneous.Zero2DF(_xll.HLV5r3.Analytics.Miscellaneous.LinearInterp(Peturbed_QZ,$K431,1,AC$1),ZeroCompFreq,'PDH Calc'!$K431/365)</f>
        <v>1</v>
      </c>
      <c r="AD431" s="8">
        <f ca="1">_xll.HLV5r3.Analytics.Miscellaneous.Zero2DF(_xll.HLV5r3.Analytics.Miscellaneous.LinearInterp(Peturbed_QZ,$K431,1,AD$1),ZeroCompFreq,'PDH Calc'!$K431/365)</f>
        <v>1</v>
      </c>
      <c r="AE431" s="8">
        <f ca="1">_xll.HLV5r3.Analytics.Miscellaneous.Zero2DF(_xll.HLV5r3.Analytics.Miscellaneous.LinearInterp(Peturbed_QZ,$K431,1,AE$1),ZeroCompFreq,'PDH Calc'!$K431/365)</f>
        <v>1</v>
      </c>
      <c r="AF431" s="8">
        <f ca="1">_xll.HLV5r3.Analytics.Miscellaneous.Zero2DF(_xll.HLV5r3.Analytics.Miscellaneous.LinearInterp(Peturbed_QZ,$K431,1,AF$1),ZeroCompFreq,'PDH Calc'!$K431/365)</f>
        <v>1</v>
      </c>
      <c r="AG431" s="8">
        <f ca="1">_xll.HLV5r3.Analytics.Miscellaneous.Zero2DF(_xll.HLV5r3.Analytics.Miscellaneous.LinearInterp(Peturbed_QZ,$K431,1,AG$1),ZeroCompFreq,'PDH Calc'!$K431/365)</f>
        <v>1</v>
      </c>
      <c r="AH431" s="8">
        <f ca="1">_xll.HLV5r3.Analytics.Miscellaneous.Zero2DF(_xll.HLV5r3.Analytics.Miscellaneous.LinearInterp(Peturbed_QZ,$K431,1,AH$1),ZeroCompFreq,'PDH Calc'!$K431/365)</f>
        <v>1</v>
      </c>
      <c r="AI431" s="8">
        <f ca="1">_xll.HLV5r3.Analytics.Miscellaneous.Zero2DF(_xll.HLV5r3.Analytics.Miscellaneous.LinearInterp(Peturbed_QZ,$K431,1,AI$1),ZeroCompFreq,'PDH Calc'!$K431/365)</f>
        <v>1</v>
      </c>
      <c r="AJ431" s="8">
        <f ca="1">_xll.HLV5r3.Analytics.Miscellaneous.Zero2DF(_xll.HLV5r3.Analytics.Miscellaneous.LinearInterp(Peturbed_QZ,$K431,1,AJ$1),ZeroCompFreq,'PDH Calc'!$K431/365)</f>
        <v>1</v>
      </c>
      <c r="AK431" s="8">
        <f ca="1">_xll.HLV5r3.Analytics.Miscellaneous.Zero2DF(_xll.HLV5r3.Analytics.Miscellaneous.LinearInterp(Peturbed_QZ,$K431,1,AK$1),ZeroCompFreq,'PDH Calc'!$K431/365)</f>
        <v>1</v>
      </c>
    </row>
    <row r="432" spans="1:37">
      <c r="A432" s="4"/>
      <c r="B432" s="6"/>
      <c r="F432" s="11"/>
      <c r="G432" s="6"/>
      <c r="H432" s="20"/>
      <c r="I432" s="21"/>
      <c r="J432" s="26"/>
      <c r="K432" s="6">
        <f t="shared" ca="1" si="13"/>
        <v>0</v>
      </c>
      <c r="L432" s="8">
        <f ca="1">_xll.HLV5r3.Analytics.Miscellaneous.Zero2DF(_xll.HLV5r3.Analytics.Miscellaneous.LinearInterp(Peturbed_QZ,$K432,1,L$1),ZeroCompFreq,'PDH Calc'!$K432/365)</f>
        <v>1</v>
      </c>
      <c r="M432" s="8">
        <f ca="1">_xll.HLV5r3.Analytics.Miscellaneous.Zero2DF(_xll.HLV5r3.Analytics.Miscellaneous.LinearInterp(Peturbed_QZ,$K432,1,M$1),ZeroCompFreq,'PDH Calc'!$K432/365)</f>
        <v>1</v>
      </c>
      <c r="N432" s="8">
        <f ca="1">_xll.HLV5r3.Analytics.Miscellaneous.Zero2DF(_xll.HLV5r3.Analytics.Miscellaneous.LinearInterp(Peturbed_QZ,$K432,1,N$1),ZeroCompFreq,'PDH Calc'!$K432/365)</f>
        <v>1</v>
      </c>
      <c r="O432" s="8">
        <f ca="1">_xll.HLV5r3.Analytics.Miscellaneous.Zero2DF(_xll.HLV5r3.Analytics.Miscellaneous.LinearInterp(Peturbed_QZ,$K432,1,O$1),ZeroCompFreq,'PDH Calc'!$K432/365)</f>
        <v>1</v>
      </c>
      <c r="P432" s="8">
        <f ca="1">_xll.HLV5r3.Analytics.Miscellaneous.Zero2DF(_xll.HLV5r3.Analytics.Miscellaneous.LinearInterp(Peturbed_QZ,$K432,1,P$1),ZeroCompFreq,'PDH Calc'!$K432/365)</f>
        <v>1</v>
      </c>
      <c r="Q432" s="8">
        <f ca="1">_xll.HLV5r3.Analytics.Miscellaneous.Zero2DF(_xll.HLV5r3.Analytics.Miscellaneous.LinearInterp(Peturbed_QZ,$K432,1,Q$1),ZeroCompFreq,'PDH Calc'!$K432/365)</f>
        <v>1</v>
      </c>
      <c r="R432" s="8">
        <f ca="1">_xll.HLV5r3.Analytics.Miscellaneous.Zero2DF(_xll.HLV5r3.Analytics.Miscellaneous.LinearInterp(Peturbed_QZ,$K432,1,R$1),ZeroCompFreq,'PDH Calc'!$K432/365)</f>
        <v>1</v>
      </c>
      <c r="S432" s="8">
        <f ca="1">_xll.HLV5r3.Analytics.Miscellaneous.Zero2DF(_xll.HLV5r3.Analytics.Miscellaneous.LinearInterp(Peturbed_QZ,$K432,1,S$1),ZeroCompFreq,'PDH Calc'!$K432/365)</f>
        <v>1</v>
      </c>
      <c r="T432" s="8">
        <f ca="1">_xll.HLV5r3.Analytics.Miscellaneous.Zero2DF(_xll.HLV5r3.Analytics.Miscellaneous.LinearInterp(Peturbed_QZ,$K432,1,T$1),ZeroCompFreq,'PDH Calc'!$K432/365)</f>
        <v>1</v>
      </c>
      <c r="U432" s="8">
        <f ca="1">_xll.HLV5r3.Analytics.Miscellaneous.Zero2DF(_xll.HLV5r3.Analytics.Miscellaneous.LinearInterp(Peturbed_QZ,$K432,1,U$1),ZeroCompFreq,'PDH Calc'!$K432/365)</f>
        <v>1</v>
      </c>
      <c r="V432" s="8">
        <f ca="1">_xll.HLV5r3.Analytics.Miscellaneous.Zero2DF(_xll.HLV5r3.Analytics.Miscellaneous.LinearInterp(Peturbed_QZ,$K432,1,V$1),ZeroCompFreq,'PDH Calc'!$K432/365)</f>
        <v>1</v>
      </c>
      <c r="W432" s="8">
        <f ca="1">_xll.HLV5r3.Analytics.Miscellaneous.Zero2DF(_xll.HLV5r3.Analytics.Miscellaneous.LinearInterp(Peturbed_QZ,$K432,1,W$1),ZeroCompFreq,'PDH Calc'!$K432/365)</f>
        <v>1</v>
      </c>
      <c r="X432" s="8">
        <f ca="1">_xll.HLV5r3.Analytics.Miscellaneous.Zero2DF(_xll.HLV5r3.Analytics.Miscellaneous.LinearInterp(Peturbed_QZ,$K432,1,X$1),ZeroCompFreq,'PDH Calc'!$K432/365)</f>
        <v>1</v>
      </c>
      <c r="Y432" s="8">
        <f ca="1">_xll.HLV5r3.Analytics.Miscellaneous.Zero2DF(_xll.HLV5r3.Analytics.Miscellaneous.LinearInterp(Peturbed_QZ,$K432,1,Y$1),ZeroCompFreq,'PDH Calc'!$K432/365)</f>
        <v>1</v>
      </c>
      <c r="Z432" s="8">
        <f ca="1">_xll.HLV5r3.Analytics.Miscellaneous.Zero2DF(_xll.HLV5r3.Analytics.Miscellaneous.LinearInterp(Peturbed_QZ,$K432,1,Z$1),ZeroCompFreq,'PDH Calc'!$K432/365)</f>
        <v>1</v>
      </c>
      <c r="AA432" s="8">
        <f ca="1">_xll.HLV5r3.Analytics.Miscellaneous.Zero2DF(_xll.HLV5r3.Analytics.Miscellaneous.LinearInterp(Peturbed_QZ,$K432,1,AA$1),ZeroCompFreq,'PDH Calc'!$K432/365)</f>
        <v>1</v>
      </c>
      <c r="AB432" s="8">
        <f ca="1">_xll.HLV5r3.Analytics.Miscellaneous.Zero2DF(_xll.HLV5r3.Analytics.Miscellaneous.LinearInterp(Peturbed_QZ,$K432,1,AB$1),ZeroCompFreq,'PDH Calc'!$K432/365)</f>
        <v>1</v>
      </c>
      <c r="AC432" s="8">
        <f ca="1">_xll.HLV5r3.Analytics.Miscellaneous.Zero2DF(_xll.HLV5r3.Analytics.Miscellaneous.LinearInterp(Peturbed_QZ,$K432,1,AC$1),ZeroCompFreq,'PDH Calc'!$K432/365)</f>
        <v>1</v>
      </c>
      <c r="AD432" s="8">
        <f ca="1">_xll.HLV5r3.Analytics.Miscellaneous.Zero2DF(_xll.HLV5r3.Analytics.Miscellaneous.LinearInterp(Peturbed_QZ,$K432,1,AD$1),ZeroCompFreq,'PDH Calc'!$K432/365)</f>
        <v>1</v>
      </c>
      <c r="AE432" s="8">
        <f ca="1">_xll.HLV5r3.Analytics.Miscellaneous.Zero2DF(_xll.HLV5r3.Analytics.Miscellaneous.LinearInterp(Peturbed_QZ,$K432,1,AE$1),ZeroCompFreq,'PDH Calc'!$K432/365)</f>
        <v>1</v>
      </c>
      <c r="AF432" s="8">
        <f ca="1">_xll.HLV5r3.Analytics.Miscellaneous.Zero2DF(_xll.HLV5r3.Analytics.Miscellaneous.LinearInterp(Peturbed_QZ,$K432,1,AF$1),ZeroCompFreq,'PDH Calc'!$K432/365)</f>
        <v>1</v>
      </c>
      <c r="AG432" s="8">
        <f ca="1">_xll.HLV5r3.Analytics.Miscellaneous.Zero2DF(_xll.HLV5r3.Analytics.Miscellaneous.LinearInterp(Peturbed_QZ,$K432,1,AG$1),ZeroCompFreq,'PDH Calc'!$K432/365)</f>
        <v>1</v>
      </c>
      <c r="AH432" s="8">
        <f ca="1">_xll.HLV5r3.Analytics.Miscellaneous.Zero2DF(_xll.HLV5r3.Analytics.Miscellaneous.LinearInterp(Peturbed_QZ,$K432,1,AH$1),ZeroCompFreq,'PDH Calc'!$K432/365)</f>
        <v>1</v>
      </c>
      <c r="AI432" s="8">
        <f ca="1">_xll.HLV5r3.Analytics.Miscellaneous.Zero2DF(_xll.HLV5r3.Analytics.Miscellaneous.LinearInterp(Peturbed_QZ,$K432,1,AI$1),ZeroCompFreq,'PDH Calc'!$K432/365)</f>
        <v>1</v>
      </c>
      <c r="AJ432" s="8">
        <f ca="1">_xll.HLV5r3.Analytics.Miscellaneous.Zero2DF(_xll.HLV5r3.Analytics.Miscellaneous.LinearInterp(Peturbed_QZ,$K432,1,AJ$1),ZeroCompFreq,'PDH Calc'!$K432/365)</f>
        <v>1</v>
      </c>
      <c r="AK432" s="8">
        <f ca="1">_xll.HLV5r3.Analytics.Miscellaneous.Zero2DF(_xll.HLV5r3.Analytics.Miscellaneous.LinearInterp(Peturbed_QZ,$K432,1,AK$1),ZeroCompFreq,'PDH Calc'!$K432/365)</f>
        <v>1</v>
      </c>
    </row>
    <row r="433" spans="1:37">
      <c r="A433" s="4"/>
      <c r="B433" s="6"/>
      <c r="F433" s="11"/>
      <c r="G433" s="6"/>
      <c r="H433" s="20"/>
      <c r="I433" s="21"/>
      <c r="J433" s="26"/>
      <c r="K433" s="6">
        <f t="shared" ca="1" si="13"/>
        <v>0</v>
      </c>
      <c r="L433" s="8">
        <f ca="1">_xll.HLV5r3.Analytics.Miscellaneous.Zero2DF(_xll.HLV5r3.Analytics.Miscellaneous.LinearInterp(Peturbed_QZ,$K433,1,L$1),ZeroCompFreq,'PDH Calc'!$K433/365)</f>
        <v>1</v>
      </c>
      <c r="M433" s="8">
        <f ca="1">_xll.HLV5r3.Analytics.Miscellaneous.Zero2DF(_xll.HLV5r3.Analytics.Miscellaneous.LinearInterp(Peturbed_QZ,$K433,1,M$1),ZeroCompFreq,'PDH Calc'!$K433/365)</f>
        <v>1</v>
      </c>
      <c r="N433" s="8">
        <f ca="1">_xll.HLV5r3.Analytics.Miscellaneous.Zero2DF(_xll.HLV5r3.Analytics.Miscellaneous.LinearInterp(Peturbed_QZ,$K433,1,N$1),ZeroCompFreq,'PDH Calc'!$K433/365)</f>
        <v>1</v>
      </c>
      <c r="O433" s="8">
        <f ca="1">_xll.HLV5r3.Analytics.Miscellaneous.Zero2DF(_xll.HLV5r3.Analytics.Miscellaneous.LinearInterp(Peturbed_QZ,$K433,1,O$1),ZeroCompFreq,'PDH Calc'!$K433/365)</f>
        <v>1</v>
      </c>
      <c r="P433" s="8">
        <f ca="1">_xll.HLV5r3.Analytics.Miscellaneous.Zero2DF(_xll.HLV5r3.Analytics.Miscellaneous.LinearInterp(Peturbed_QZ,$K433,1,P$1),ZeroCompFreq,'PDH Calc'!$K433/365)</f>
        <v>1</v>
      </c>
      <c r="Q433" s="8">
        <f ca="1">_xll.HLV5r3.Analytics.Miscellaneous.Zero2DF(_xll.HLV5r3.Analytics.Miscellaneous.LinearInterp(Peturbed_QZ,$K433,1,Q$1),ZeroCompFreq,'PDH Calc'!$K433/365)</f>
        <v>1</v>
      </c>
      <c r="R433" s="8">
        <f ca="1">_xll.HLV5r3.Analytics.Miscellaneous.Zero2DF(_xll.HLV5r3.Analytics.Miscellaneous.LinearInterp(Peturbed_QZ,$K433,1,R$1),ZeroCompFreq,'PDH Calc'!$K433/365)</f>
        <v>1</v>
      </c>
      <c r="S433" s="8">
        <f ca="1">_xll.HLV5r3.Analytics.Miscellaneous.Zero2DF(_xll.HLV5r3.Analytics.Miscellaneous.LinearInterp(Peturbed_QZ,$K433,1,S$1),ZeroCompFreq,'PDH Calc'!$K433/365)</f>
        <v>1</v>
      </c>
      <c r="T433" s="8">
        <f ca="1">_xll.HLV5r3.Analytics.Miscellaneous.Zero2DF(_xll.HLV5r3.Analytics.Miscellaneous.LinearInterp(Peturbed_QZ,$K433,1,T$1),ZeroCompFreq,'PDH Calc'!$K433/365)</f>
        <v>1</v>
      </c>
      <c r="U433" s="8">
        <f ca="1">_xll.HLV5r3.Analytics.Miscellaneous.Zero2DF(_xll.HLV5r3.Analytics.Miscellaneous.LinearInterp(Peturbed_QZ,$K433,1,U$1),ZeroCompFreq,'PDH Calc'!$K433/365)</f>
        <v>1</v>
      </c>
      <c r="V433" s="8">
        <f ca="1">_xll.HLV5r3.Analytics.Miscellaneous.Zero2DF(_xll.HLV5r3.Analytics.Miscellaneous.LinearInterp(Peturbed_QZ,$K433,1,V$1),ZeroCompFreq,'PDH Calc'!$K433/365)</f>
        <v>1</v>
      </c>
      <c r="W433" s="8">
        <f ca="1">_xll.HLV5r3.Analytics.Miscellaneous.Zero2DF(_xll.HLV5r3.Analytics.Miscellaneous.LinearInterp(Peturbed_QZ,$K433,1,W$1),ZeroCompFreq,'PDH Calc'!$K433/365)</f>
        <v>1</v>
      </c>
      <c r="X433" s="8">
        <f ca="1">_xll.HLV5r3.Analytics.Miscellaneous.Zero2DF(_xll.HLV5r3.Analytics.Miscellaneous.LinearInterp(Peturbed_QZ,$K433,1,X$1),ZeroCompFreq,'PDH Calc'!$K433/365)</f>
        <v>1</v>
      </c>
      <c r="Y433" s="8">
        <f ca="1">_xll.HLV5r3.Analytics.Miscellaneous.Zero2DF(_xll.HLV5r3.Analytics.Miscellaneous.LinearInterp(Peturbed_QZ,$K433,1,Y$1),ZeroCompFreq,'PDH Calc'!$K433/365)</f>
        <v>1</v>
      </c>
      <c r="Z433" s="8">
        <f ca="1">_xll.HLV5r3.Analytics.Miscellaneous.Zero2DF(_xll.HLV5r3.Analytics.Miscellaneous.LinearInterp(Peturbed_QZ,$K433,1,Z$1),ZeroCompFreq,'PDH Calc'!$K433/365)</f>
        <v>1</v>
      </c>
      <c r="AA433" s="8">
        <f ca="1">_xll.HLV5r3.Analytics.Miscellaneous.Zero2DF(_xll.HLV5r3.Analytics.Miscellaneous.LinearInterp(Peturbed_QZ,$K433,1,AA$1),ZeroCompFreq,'PDH Calc'!$K433/365)</f>
        <v>1</v>
      </c>
      <c r="AB433" s="8">
        <f ca="1">_xll.HLV5r3.Analytics.Miscellaneous.Zero2DF(_xll.HLV5r3.Analytics.Miscellaneous.LinearInterp(Peturbed_QZ,$K433,1,AB$1),ZeroCompFreq,'PDH Calc'!$K433/365)</f>
        <v>1</v>
      </c>
      <c r="AC433" s="8">
        <f ca="1">_xll.HLV5r3.Analytics.Miscellaneous.Zero2DF(_xll.HLV5r3.Analytics.Miscellaneous.LinearInterp(Peturbed_QZ,$K433,1,AC$1),ZeroCompFreq,'PDH Calc'!$K433/365)</f>
        <v>1</v>
      </c>
      <c r="AD433" s="8">
        <f ca="1">_xll.HLV5r3.Analytics.Miscellaneous.Zero2DF(_xll.HLV5r3.Analytics.Miscellaneous.LinearInterp(Peturbed_QZ,$K433,1,AD$1),ZeroCompFreq,'PDH Calc'!$K433/365)</f>
        <v>1</v>
      </c>
      <c r="AE433" s="8">
        <f ca="1">_xll.HLV5r3.Analytics.Miscellaneous.Zero2DF(_xll.HLV5r3.Analytics.Miscellaneous.LinearInterp(Peturbed_QZ,$K433,1,AE$1),ZeroCompFreq,'PDH Calc'!$K433/365)</f>
        <v>1</v>
      </c>
      <c r="AF433" s="8">
        <f ca="1">_xll.HLV5r3.Analytics.Miscellaneous.Zero2DF(_xll.HLV5r3.Analytics.Miscellaneous.LinearInterp(Peturbed_QZ,$K433,1,AF$1),ZeroCompFreq,'PDH Calc'!$K433/365)</f>
        <v>1</v>
      </c>
      <c r="AG433" s="8">
        <f ca="1">_xll.HLV5r3.Analytics.Miscellaneous.Zero2DF(_xll.HLV5r3.Analytics.Miscellaneous.LinearInterp(Peturbed_QZ,$K433,1,AG$1),ZeroCompFreq,'PDH Calc'!$K433/365)</f>
        <v>1</v>
      </c>
      <c r="AH433" s="8">
        <f ca="1">_xll.HLV5r3.Analytics.Miscellaneous.Zero2DF(_xll.HLV5r3.Analytics.Miscellaneous.LinearInterp(Peturbed_QZ,$K433,1,AH$1),ZeroCompFreq,'PDH Calc'!$K433/365)</f>
        <v>1</v>
      </c>
      <c r="AI433" s="8">
        <f ca="1">_xll.HLV5r3.Analytics.Miscellaneous.Zero2DF(_xll.HLV5r3.Analytics.Miscellaneous.LinearInterp(Peturbed_QZ,$K433,1,AI$1),ZeroCompFreq,'PDH Calc'!$K433/365)</f>
        <v>1</v>
      </c>
      <c r="AJ433" s="8">
        <f ca="1">_xll.HLV5r3.Analytics.Miscellaneous.Zero2DF(_xll.HLV5r3.Analytics.Miscellaneous.LinearInterp(Peturbed_QZ,$K433,1,AJ$1),ZeroCompFreq,'PDH Calc'!$K433/365)</f>
        <v>1</v>
      </c>
      <c r="AK433" s="8">
        <f ca="1">_xll.HLV5r3.Analytics.Miscellaneous.Zero2DF(_xll.HLV5r3.Analytics.Miscellaneous.LinearInterp(Peturbed_QZ,$K433,1,AK$1),ZeroCompFreq,'PDH Calc'!$K433/365)</f>
        <v>1</v>
      </c>
    </row>
    <row r="434" spans="1:37">
      <c r="A434" s="4"/>
      <c r="B434" s="6"/>
      <c r="F434" s="11"/>
      <c r="G434" s="6"/>
      <c r="H434" s="20"/>
      <c r="I434" s="21"/>
      <c r="J434" s="26"/>
      <c r="K434" s="6">
        <f t="shared" ca="1" si="13"/>
        <v>0</v>
      </c>
      <c r="L434" s="8">
        <f ca="1">_xll.HLV5r3.Analytics.Miscellaneous.Zero2DF(_xll.HLV5r3.Analytics.Miscellaneous.LinearInterp(Peturbed_QZ,$K434,1,L$1),ZeroCompFreq,'PDH Calc'!$K434/365)</f>
        <v>1</v>
      </c>
      <c r="M434" s="8">
        <f ca="1">_xll.HLV5r3.Analytics.Miscellaneous.Zero2DF(_xll.HLV5r3.Analytics.Miscellaneous.LinearInterp(Peturbed_QZ,$K434,1,M$1),ZeroCompFreq,'PDH Calc'!$K434/365)</f>
        <v>1</v>
      </c>
      <c r="N434" s="8">
        <f ca="1">_xll.HLV5r3.Analytics.Miscellaneous.Zero2DF(_xll.HLV5r3.Analytics.Miscellaneous.LinearInterp(Peturbed_QZ,$K434,1,N$1),ZeroCompFreq,'PDH Calc'!$K434/365)</f>
        <v>1</v>
      </c>
      <c r="O434" s="8">
        <f ca="1">_xll.HLV5r3.Analytics.Miscellaneous.Zero2DF(_xll.HLV5r3.Analytics.Miscellaneous.LinearInterp(Peturbed_QZ,$K434,1,O$1),ZeroCompFreq,'PDH Calc'!$K434/365)</f>
        <v>1</v>
      </c>
      <c r="P434" s="8">
        <f ca="1">_xll.HLV5r3.Analytics.Miscellaneous.Zero2DF(_xll.HLV5r3.Analytics.Miscellaneous.LinearInterp(Peturbed_QZ,$K434,1,P$1),ZeroCompFreq,'PDH Calc'!$K434/365)</f>
        <v>1</v>
      </c>
      <c r="Q434" s="8">
        <f ca="1">_xll.HLV5r3.Analytics.Miscellaneous.Zero2DF(_xll.HLV5r3.Analytics.Miscellaneous.LinearInterp(Peturbed_QZ,$K434,1,Q$1),ZeroCompFreq,'PDH Calc'!$K434/365)</f>
        <v>1</v>
      </c>
      <c r="R434" s="8">
        <f ca="1">_xll.HLV5r3.Analytics.Miscellaneous.Zero2DF(_xll.HLV5r3.Analytics.Miscellaneous.LinearInterp(Peturbed_QZ,$K434,1,R$1),ZeroCompFreq,'PDH Calc'!$K434/365)</f>
        <v>1</v>
      </c>
      <c r="S434" s="8">
        <f ca="1">_xll.HLV5r3.Analytics.Miscellaneous.Zero2DF(_xll.HLV5r3.Analytics.Miscellaneous.LinearInterp(Peturbed_QZ,$K434,1,S$1),ZeroCompFreq,'PDH Calc'!$K434/365)</f>
        <v>1</v>
      </c>
      <c r="T434" s="8">
        <f ca="1">_xll.HLV5r3.Analytics.Miscellaneous.Zero2DF(_xll.HLV5r3.Analytics.Miscellaneous.LinearInterp(Peturbed_QZ,$K434,1,T$1),ZeroCompFreq,'PDH Calc'!$K434/365)</f>
        <v>1</v>
      </c>
      <c r="U434" s="8">
        <f ca="1">_xll.HLV5r3.Analytics.Miscellaneous.Zero2DF(_xll.HLV5r3.Analytics.Miscellaneous.LinearInterp(Peturbed_QZ,$K434,1,U$1),ZeroCompFreq,'PDH Calc'!$K434/365)</f>
        <v>1</v>
      </c>
      <c r="V434" s="8">
        <f ca="1">_xll.HLV5r3.Analytics.Miscellaneous.Zero2DF(_xll.HLV5r3.Analytics.Miscellaneous.LinearInterp(Peturbed_QZ,$K434,1,V$1),ZeroCompFreq,'PDH Calc'!$K434/365)</f>
        <v>1</v>
      </c>
      <c r="W434" s="8">
        <f ca="1">_xll.HLV5r3.Analytics.Miscellaneous.Zero2DF(_xll.HLV5r3.Analytics.Miscellaneous.LinearInterp(Peturbed_QZ,$K434,1,W$1),ZeroCompFreq,'PDH Calc'!$K434/365)</f>
        <v>1</v>
      </c>
      <c r="X434" s="8">
        <f ca="1">_xll.HLV5r3.Analytics.Miscellaneous.Zero2DF(_xll.HLV5r3.Analytics.Miscellaneous.LinearInterp(Peturbed_QZ,$K434,1,X$1),ZeroCompFreq,'PDH Calc'!$K434/365)</f>
        <v>1</v>
      </c>
      <c r="Y434" s="8">
        <f ca="1">_xll.HLV5r3.Analytics.Miscellaneous.Zero2DF(_xll.HLV5r3.Analytics.Miscellaneous.LinearInterp(Peturbed_QZ,$K434,1,Y$1),ZeroCompFreq,'PDH Calc'!$K434/365)</f>
        <v>1</v>
      </c>
      <c r="Z434" s="8">
        <f ca="1">_xll.HLV5r3.Analytics.Miscellaneous.Zero2DF(_xll.HLV5r3.Analytics.Miscellaneous.LinearInterp(Peturbed_QZ,$K434,1,Z$1),ZeroCompFreq,'PDH Calc'!$K434/365)</f>
        <v>1</v>
      </c>
      <c r="AA434" s="8">
        <f ca="1">_xll.HLV5r3.Analytics.Miscellaneous.Zero2DF(_xll.HLV5r3.Analytics.Miscellaneous.LinearInterp(Peturbed_QZ,$K434,1,AA$1),ZeroCompFreq,'PDH Calc'!$K434/365)</f>
        <v>1</v>
      </c>
      <c r="AB434" s="8">
        <f ca="1">_xll.HLV5r3.Analytics.Miscellaneous.Zero2DF(_xll.HLV5r3.Analytics.Miscellaneous.LinearInterp(Peturbed_QZ,$K434,1,AB$1),ZeroCompFreq,'PDH Calc'!$K434/365)</f>
        <v>1</v>
      </c>
      <c r="AC434" s="8">
        <f ca="1">_xll.HLV5r3.Analytics.Miscellaneous.Zero2DF(_xll.HLV5r3.Analytics.Miscellaneous.LinearInterp(Peturbed_QZ,$K434,1,AC$1),ZeroCompFreq,'PDH Calc'!$K434/365)</f>
        <v>1</v>
      </c>
      <c r="AD434" s="8">
        <f ca="1">_xll.HLV5r3.Analytics.Miscellaneous.Zero2DF(_xll.HLV5r3.Analytics.Miscellaneous.LinearInterp(Peturbed_QZ,$K434,1,AD$1),ZeroCompFreq,'PDH Calc'!$K434/365)</f>
        <v>1</v>
      </c>
      <c r="AE434" s="8">
        <f ca="1">_xll.HLV5r3.Analytics.Miscellaneous.Zero2DF(_xll.HLV5r3.Analytics.Miscellaneous.LinearInterp(Peturbed_QZ,$K434,1,AE$1),ZeroCompFreq,'PDH Calc'!$K434/365)</f>
        <v>1</v>
      </c>
      <c r="AF434" s="8">
        <f ca="1">_xll.HLV5r3.Analytics.Miscellaneous.Zero2DF(_xll.HLV5r3.Analytics.Miscellaneous.LinearInterp(Peturbed_QZ,$K434,1,AF$1),ZeroCompFreq,'PDH Calc'!$K434/365)</f>
        <v>1</v>
      </c>
      <c r="AG434" s="8">
        <f ca="1">_xll.HLV5r3.Analytics.Miscellaneous.Zero2DF(_xll.HLV5r3.Analytics.Miscellaneous.LinearInterp(Peturbed_QZ,$K434,1,AG$1),ZeroCompFreq,'PDH Calc'!$K434/365)</f>
        <v>1</v>
      </c>
      <c r="AH434" s="8">
        <f ca="1">_xll.HLV5r3.Analytics.Miscellaneous.Zero2DF(_xll.HLV5r3.Analytics.Miscellaneous.LinearInterp(Peturbed_QZ,$K434,1,AH$1),ZeroCompFreq,'PDH Calc'!$K434/365)</f>
        <v>1</v>
      </c>
      <c r="AI434" s="8">
        <f ca="1">_xll.HLV5r3.Analytics.Miscellaneous.Zero2DF(_xll.HLV5r3.Analytics.Miscellaneous.LinearInterp(Peturbed_QZ,$K434,1,AI$1),ZeroCompFreq,'PDH Calc'!$K434/365)</f>
        <v>1</v>
      </c>
      <c r="AJ434" s="8">
        <f ca="1">_xll.HLV5r3.Analytics.Miscellaneous.Zero2DF(_xll.HLV5r3.Analytics.Miscellaneous.LinearInterp(Peturbed_QZ,$K434,1,AJ$1),ZeroCompFreq,'PDH Calc'!$K434/365)</f>
        <v>1</v>
      </c>
      <c r="AK434" s="8">
        <f ca="1">_xll.HLV5r3.Analytics.Miscellaneous.Zero2DF(_xll.HLV5r3.Analytics.Miscellaneous.LinearInterp(Peturbed_QZ,$K434,1,AK$1),ZeroCompFreq,'PDH Calc'!$K434/365)</f>
        <v>1</v>
      </c>
    </row>
    <row r="435" spans="1:37">
      <c r="A435" s="4"/>
      <c r="B435" s="6"/>
      <c r="F435" s="11"/>
      <c r="G435" s="6"/>
      <c r="H435" s="20"/>
      <c r="I435" s="21"/>
      <c r="J435" s="26"/>
      <c r="K435" s="6">
        <f t="shared" ref="K435:K498" ca="1" si="14">(H435-Calc_Date)*ISNUMBER(H435)</f>
        <v>0</v>
      </c>
      <c r="L435" s="8">
        <f ca="1">_xll.HLV5r3.Analytics.Miscellaneous.Zero2DF(_xll.HLV5r3.Analytics.Miscellaneous.LinearInterp(Peturbed_QZ,$K435,1,L$1),ZeroCompFreq,'PDH Calc'!$K435/365)</f>
        <v>1</v>
      </c>
      <c r="M435" s="8">
        <f ca="1">_xll.HLV5r3.Analytics.Miscellaneous.Zero2DF(_xll.HLV5r3.Analytics.Miscellaneous.LinearInterp(Peturbed_QZ,$K435,1,M$1),ZeroCompFreq,'PDH Calc'!$K435/365)</f>
        <v>1</v>
      </c>
      <c r="N435" s="8">
        <f ca="1">_xll.HLV5r3.Analytics.Miscellaneous.Zero2DF(_xll.HLV5r3.Analytics.Miscellaneous.LinearInterp(Peturbed_QZ,$K435,1,N$1),ZeroCompFreq,'PDH Calc'!$K435/365)</f>
        <v>1</v>
      </c>
      <c r="O435" s="8">
        <f ca="1">_xll.HLV5r3.Analytics.Miscellaneous.Zero2DF(_xll.HLV5r3.Analytics.Miscellaneous.LinearInterp(Peturbed_QZ,$K435,1,O$1),ZeroCompFreq,'PDH Calc'!$K435/365)</f>
        <v>1</v>
      </c>
      <c r="P435" s="8">
        <f ca="1">_xll.HLV5r3.Analytics.Miscellaneous.Zero2DF(_xll.HLV5r3.Analytics.Miscellaneous.LinearInterp(Peturbed_QZ,$K435,1,P$1),ZeroCompFreq,'PDH Calc'!$K435/365)</f>
        <v>1</v>
      </c>
      <c r="Q435" s="8">
        <f ca="1">_xll.HLV5r3.Analytics.Miscellaneous.Zero2DF(_xll.HLV5r3.Analytics.Miscellaneous.LinearInterp(Peturbed_QZ,$K435,1,Q$1),ZeroCompFreq,'PDH Calc'!$K435/365)</f>
        <v>1</v>
      </c>
      <c r="R435" s="8">
        <f ca="1">_xll.HLV5r3.Analytics.Miscellaneous.Zero2DF(_xll.HLV5r3.Analytics.Miscellaneous.LinearInterp(Peturbed_QZ,$K435,1,R$1),ZeroCompFreq,'PDH Calc'!$K435/365)</f>
        <v>1</v>
      </c>
      <c r="S435" s="8">
        <f ca="1">_xll.HLV5r3.Analytics.Miscellaneous.Zero2DF(_xll.HLV5r3.Analytics.Miscellaneous.LinearInterp(Peturbed_QZ,$K435,1,S$1),ZeroCompFreq,'PDH Calc'!$K435/365)</f>
        <v>1</v>
      </c>
      <c r="T435" s="8">
        <f ca="1">_xll.HLV5r3.Analytics.Miscellaneous.Zero2DF(_xll.HLV5r3.Analytics.Miscellaneous.LinearInterp(Peturbed_QZ,$K435,1,T$1),ZeroCompFreq,'PDH Calc'!$K435/365)</f>
        <v>1</v>
      </c>
      <c r="U435" s="8">
        <f ca="1">_xll.HLV5r3.Analytics.Miscellaneous.Zero2DF(_xll.HLV5r3.Analytics.Miscellaneous.LinearInterp(Peturbed_QZ,$K435,1,U$1),ZeroCompFreq,'PDH Calc'!$K435/365)</f>
        <v>1</v>
      </c>
      <c r="V435" s="8">
        <f ca="1">_xll.HLV5r3.Analytics.Miscellaneous.Zero2DF(_xll.HLV5r3.Analytics.Miscellaneous.LinearInterp(Peturbed_QZ,$K435,1,V$1),ZeroCompFreq,'PDH Calc'!$K435/365)</f>
        <v>1</v>
      </c>
      <c r="W435" s="8">
        <f ca="1">_xll.HLV5r3.Analytics.Miscellaneous.Zero2DF(_xll.HLV5r3.Analytics.Miscellaneous.LinearInterp(Peturbed_QZ,$K435,1,W$1),ZeroCompFreq,'PDH Calc'!$K435/365)</f>
        <v>1</v>
      </c>
      <c r="X435" s="8">
        <f ca="1">_xll.HLV5r3.Analytics.Miscellaneous.Zero2DF(_xll.HLV5r3.Analytics.Miscellaneous.LinearInterp(Peturbed_QZ,$K435,1,X$1),ZeroCompFreq,'PDH Calc'!$K435/365)</f>
        <v>1</v>
      </c>
      <c r="Y435" s="8">
        <f ca="1">_xll.HLV5r3.Analytics.Miscellaneous.Zero2DF(_xll.HLV5r3.Analytics.Miscellaneous.LinearInterp(Peturbed_QZ,$K435,1,Y$1),ZeroCompFreq,'PDH Calc'!$K435/365)</f>
        <v>1</v>
      </c>
      <c r="Z435" s="8">
        <f ca="1">_xll.HLV5r3.Analytics.Miscellaneous.Zero2DF(_xll.HLV5r3.Analytics.Miscellaneous.LinearInterp(Peturbed_QZ,$K435,1,Z$1),ZeroCompFreq,'PDH Calc'!$K435/365)</f>
        <v>1</v>
      </c>
      <c r="AA435" s="8">
        <f ca="1">_xll.HLV5r3.Analytics.Miscellaneous.Zero2DF(_xll.HLV5r3.Analytics.Miscellaneous.LinearInterp(Peturbed_QZ,$K435,1,AA$1),ZeroCompFreq,'PDH Calc'!$K435/365)</f>
        <v>1</v>
      </c>
      <c r="AB435" s="8">
        <f ca="1">_xll.HLV5r3.Analytics.Miscellaneous.Zero2DF(_xll.HLV5r3.Analytics.Miscellaneous.LinearInterp(Peturbed_QZ,$K435,1,AB$1),ZeroCompFreq,'PDH Calc'!$K435/365)</f>
        <v>1</v>
      </c>
      <c r="AC435" s="8">
        <f ca="1">_xll.HLV5r3.Analytics.Miscellaneous.Zero2DF(_xll.HLV5r3.Analytics.Miscellaneous.LinearInterp(Peturbed_QZ,$K435,1,AC$1),ZeroCompFreq,'PDH Calc'!$K435/365)</f>
        <v>1</v>
      </c>
      <c r="AD435" s="8">
        <f ca="1">_xll.HLV5r3.Analytics.Miscellaneous.Zero2DF(_xll.HLV5r3.Analytics.Miscellaneous.LinearInterp(Peturbed_QZ,$K435,1,AD$1),ZeroCompFreq,'PDH Calc'!$K435/365)</f>
        <v>1</v>
      </c>
      <c r="AE435" s="8">
        <f ca="1">_xll.HLV5r3.Analytics.Miscellaneous.Zero2DF(_xll.HLV5r3.Analytics.Miscellaneous.LinearInterp(Peturbed_QZ,$K435,1,AE$1),ZeroCompFreq,'PDH Calc'!$K435/365)</f>
        <v>1</v>
      </c>
      <c r="AF435" s="8">
        <f ca="1">_xll.HLV5r3.Analytics.Miscellaneous.Zero2DF(_xll.HLV5r3.Analytics.Miscellaneous.LinearInterp(Peturbed_QZ,$K435,1,AF$1),ZeroCompFreq,'PDH Calc'!$K435/365)</f>
        <v>1</v>
      </c>
      <c r="AG435" s="8">
        <f ca="1">_xll.HLV5r3.Analytics.Miscellaneous.Zero2DF(_xll.HLV5r3.Analytics.Miscellaneous.LinearInterp(Peturbed_QZ,$K435,1,AG$1),ZeroCompFreq,'PDH Calc'!$K435/365)</f>
        <v>1</v>
      </c>
      <c r="AH435" s="8">
        <f ca="1">_xll.HLV5r3.Analytics.Miscellaneous.Zero2DF(_xll.HLV5r3.Analytics.Miscellaneous.LinearInterp(Peturbed_QZ,$K435,1,AH$1),ZeroCompFreq,'PDH Calc'!$K435/365)</f>
        <v>1</v>
      </c>
      <c r="AI435" s="8">
        <f ca="1">_xll.HLV5r3.Analytics.Miscellaneous.Zero2DF(_xll.HLV5r3.Analytics.Miscellaneous.LinearInterp(Peturbed_QZ,$K435,1,AI$1),ZeroCompFreq,'PDH Calc'!$K435/365)</f>
        <v>1</v>
      </c>
      <c r="AJ435" s="8">
        <f ca="1">_xll.HLV5r3.Analytics.Miscellaneous.Zero2DF(_xll.HLV5r3.Analytics.Miscellaneous.LinearInterp(Peturbed_QZ,$K435,1,AJ$1),ZeroCompFreq,'PDH Calc'!$K435/365)</f>
        <v>1</v>
      </c>
      <c r="AK435" s="8">
        <f ca="1">_xll.HLV5r3.Analytics.Miscellaneous.Zero2DF(_xll.HLV5r3.Analytics.Miscellaneous.LinearInterp(Peturbed_QZ,$K435,1,AK$1),ZeroCompFreq,'PDH Calc'!$K435/365)</f>
        <v>1</v>
      </c>
    </row>
    <row r="436" spans="1:37">
      <c r="A436" s="4"/>
      <c r="B436" s="6"/>
      <c r="F436" s="11"/>
      <c r="G436" s="6"/>
      <c r="H436" s="20"/>
      <c r="I436" s="21"/>
      <c r="J436" s="26"/>
      <c r="K436" s="6">
        <f t="shared" ca="1" si="14"/>
        <v>0</v>
      </c>
      <c r="L436" s="8">
        <f ca="1">_xll.HLV5r3.Analytics.Miscellaneous.Zero2DF(_xll.HLV5r3.Analytics.Miscellaneous.LinearInterp(Peturbed_QZ,$K436,1,L$1),ZeroCompFreq,'PDH Calc'!$K436/365)</f>
        <v>1</v>
      </c>
      <c r="M436" s="8">
        <f ca="1">_xll.HLV5r3.Analytics.Miscellaneous.Zero2DF(_xll.HLV5r3.Analytics.Miscellaneous.LinearInterp(Peturbed_QZ,$K436,1,M$1),ZeroCompFreq,'PDH Calc'!$K436/365)</f>
        <v>1</v>
      </c>
      <c r="N436" s="8">
        <f ca="1">_xll.HLV5r3.Analytics.Miscellaneous.Zero2DF(_xll.HLV5r3.Analytics.Miscellaneous.LinearInterp(Peturbed_QZ,$K436,1,N$1),ZeroCompFreq,'PDH Calc'!$K436/365)</f>
        <v>1</v>
      </c>
      <c r="O436" s="8">
        <f ca="1">_xll.HLV5r3.Analytics.Miscellaneous.Zero2DF(_xll.HLV5r3.Analytics.Miscellaneous.LinearInterp(Peturbed_QZ,$K436,1,O$1),ZeroCompFreq,'PDH Calc'!$K436/365)</f>
        <v>1</v>
      </c>
      <c r="P436" s="8">
        <f ca="1">_xll.HLV5r3.Analytics.Miscellaneous.Zero2DF(_xll.HLV5r3.Analytics.Miscellaneous.LinearInterp(Peturbed_QZ,$K436,1,P$1),ZeroCompFreq,'PDH Calc'!$K436/365)</f>
        <v>1</v>
      </c>
      <c r="Q436" s="8">
        <f ca="1">_xll.HLV5r3.Analytics.Miscellaneous.Zero2DF(_xll.HLV5r3.Analytics.Miscellaneous.LinearInterp(Peturbed_QZ,$K436,1,Q$1),ZeroCompFreq,'PDH Calc'!$K436/365)</f>
        <v>1</v>
      </c>
      <c r="R436" s="8">
        <f ca="1">_xll.HLV5r3.Analytics.Miscellaneous.Zero2DF(_xll.HLV5r3.Analytics.Miscellaneous.LinearInterp(Peturbed_QZ,$K436,1,R$1),ZeroCompFreq,'PDH Calc'!$K436/365)</f>
        <v>1</v>
      </c>
      <c r="S436" s="8">
        <f ca="1">_xll.HLV5r3.Analytics.Miscellaneous.Zero2DF(_xll.HLV5r3.Analytics.Miscellaneous.LinearInterp(Peturbed_QZ,$K436,1,S$1),ZeroCompFreq,'PDH Calc'!$K436/365)</f>
        <v>1</v>
      </c>
      <c r="T436" s="8">
        <f ca="1">_xll.HLV5r3.Analytics.Miscellaneous.Zero2DF(_xll.HLV5r3.Analytics.Miscellaneous.LinearInterp(Peturbed_QZ,$K436,1,T$1),ZeroCompFreq,'PDH Calc'!$K436/365)</f>
        <v>1</v>
      </c>
      <c r="U436" s="8">
        <f ca="1">_xll.HLV5r3.Analytics.Miscellaneous.Zero2DF(_xll.HLV5r3.Analytics.Miscellaneous.LinearInterp(Peturbed_QZ,$K436,1,U$1),ZeroCompFreq,'PDH Calc'!$K436/365)</f>
        <v>1</v>
      </c>
      <c r="V436" s="8">
        <f ca="1">_xll.HLV5r3.Analytics.Miscellaneous.Zero2DF(_xll.HLV5r3.Analytics.Miscellaneous.LinearInterp(Peturbed_QZ,$K436,1,V$1),ZeroCompFreq,'PDH Calc'!$K436/365)</f>
        <v>1</v>
      </c>
      <c r="W436" s="8">
        <f ca="1">_xll.HLV5r3.Analytics.Miscellaneous.Zero2DF(_xll.HLV5r3.Analytics.Miscellaneous.LinearInterp(Peturbed_QZ,$K436,1,W$1),ZeroCompFreq,'PDH Calc'!$K436/365)</f>
        <v>1</v>
      </c>
      <c r="X436" s="8">
        <f ca="1">_xll.HLV5r3.Analytics.Miscellaneous.Zero2DF(_xll.HLV5r3.Analytics.Miscellaneous.LinearInterp(Peturbed_QZ,$K436,1,X$1),ZeroCompFreq,'PDH Calc'!$K436/365)</f>
        <v>1</v>
      </c>
      <c r="Y436" s="8">
        <f ca="1">_xll.HLV5r3.Analytics.Miscellaneous.Zero2DF(_xll.HLV5r3.Analytics.Miscellaneous.LinearInterp(Peturbed_QZ,$K436,1,Y$1),ZeroCompFreq,'PDH Calc'!$K436/365)</f>
        <v>1</v>
      </c>
      <c r="Z436" s="8">
        <f ca="1">_xll.HLV5r3.Analytics.Miscellaneous.Zero2DF(_xll.HLV5r3.Analytics.Miscellaneous.LinearInterp(Peturbed_QZ,$K436,1,Z$1),ZeroCompFreq,'PDH Calc'!$K436/365)</f>
        <v>1</v>
      </c>
      <c r="AA436" s="8">
        <f ca="1">_xll.HLV5r3.Analytics.Miscellaneous.Zero2DF(_xll.HLV5r3.Analytics.Miscellaneous.LinearInterp(Peturbed_QZ,$K436,1,AA$1),ZeroCompFreq,'PDH Calc'!$K436/365)</f>
        <v>1</v>
      </c>
      <c r="AB436" s="8">
        <f ca="1">_xll.HLV5r3.Analytics.Miscellaneous.Zero2DF(_xll.HLV5r3.Analytics.Miscellaneous.LinearInterp(Peturbed_QZ,$K436,1,AB$1),ZeroCompFreq,'PDH Calc'!$K436/365)</f>
        <v>1</v>
      </c>
      <c r="AC436" s="8">
        <f ca="1">_xll.HLV5r3.Analytics.Miscellaneous.Zero2DF(_xll.HLV5r3.Analytics.Miscellaneous.LinearInterp(Peturbed_QZ,$K436,1,AC$1),ZeroCompFreq,'PDH Calc'!$K436/365)</f>
        <v>1</v>
      </c>
      <c r="AD436" s="8">
        <f ca="1">_xll.HLV5r3.Analytics.Miscellaneous.Zero2DF(_xll.HLV5r3.Analytics.Miscellaneous.LinearInterp(Peturbed_QZ,$K436,1,AD$1),ZeroCompFreq,'PDH Calc'!$K436/365)</f>
        <v>1</v>
      </c>
      <c r="AE436" s="8">
        <f ca="1">_xll.HLV5r3.Analytics.Miscellaneous.Zero2DF(_xll.HLV5r3.Analytics.Miscellaneous.LinearInterp(Peturbed_QZ,$K436,1,AE$1),ZeroCompFreq,'PDH Calc'!$K436/365)</f>
        <v>1</v>
      </c>
      <c r="AF436" s="8">
        <f ca="1">_xll.HLV5r3.Analytics.Miscellaneous.Zero2DF(_xll.HLV5r3.Analytics.Miscellaneous.LinearInterp(Peturbed_QZ,$K436,1,AF$1),ZeroCompFreq,'PDH Calc'!$K436/365)</f>
        <v>1</v>
      </c>
      <c r="AG436" s="8">
        <f ca="1">_xll.HLV5r3.Analytics.Miscellaneous.Zero2DF(_xll.HLV5r3.Analytics.Miscellaneous.LinearInterp(Peturbed_QZ,$K436,1,AG$1),ZeroCompFreq,'PDH Calc'!$K436/365)</f>
        <v>1</v>
      </c>
      <c r="AH436" s="8">
        <f ca="1">_xll.HLV5r3.Analytics.Miscellaneous.Zero2DF(_xll.HLV5r3.Analytics.Miscellaneous.LinearInterp(Peturbed_QZ,$K436,1,AH$1),ZeroCompFreq,'PDH Calc'!$K436/365)</f>
        <v>1</v>
      </c>
      <c r="AI436" s="8">
        <f ca="1">_xll.HLV5r3.Analytics.Miscellaneous.Zero2DF(_xll.HLV5r3.Analytics.Miscellaneous.LinearInterp(Peturbed_QZ,$K436,1,AI$1),ZeroCompFreq,'PDH Calc'!$K436/365)</f>
        <v>1</v>
      </c>
      <c r="AJ436" s="8">
        <f ca="1">_xll.HLV5r3.Analytics.Miscellaneous.Zero2DF(_xll.HLV5r3.Analytics.Miscellaneous.LinearInterp(Peturbed_QZ,$K436,1,AJ$1),ZeroCompFreq,'PDH Calc'!$K436/365)</f>
        <v>1</v>
      </c>
      <c r="AK436" s="8">
        <f ca="1">_xll.HLV5r3.Analytics.Miscellaneous.Zero2DF(_xll.HLV5r3.Analytics.Miscellaneous.LinearInterp(Peturbed_QZ,$K436,1,AK$1),ZeroCompFreq,'PDH Calc'!$K436/365)</f>
        <v>1</v>
      </c>
    </row>
    <row r="437" spans="1:37">
      <c r="A437" s="4"/>
      <c r="B437" s="6"/>
      <c r="F437" s="11"/>
      <c r="G437" s="6"/>
      <c r="H437" s="20"/>
      <c r="I437" s="21"/>
      <c r="J437" s="26"/>
      <c r="K437" s="6">
        <f t="shared" ca="1" si="14"/>
        <v>0</v>
      </c>
      <c r="L437" s="8">
        <f ca="1">_xll.HLV5r3.Analytics.Miscellaneous.Zero2DF(_xll.HLV5r3.Analytics.Miscellaneous.LinearInterp(Peturbed_QZ,$K437,1,L$1),ZeroCompFreq,'PDH Calc'!$K437/365)</f>
        <v>1</v>
      </c>
      <c r="M437" s="8">
        <f ca="1">_xll.HLV5r3.Analytics.Miscellaneous.Zero2DF(_xll.HLV5r3.Analytics.Miscellaneous.LinearInterp(Peturbed_QZ,$K437,1,M$1),ZeroCompFreq,'PDH Calc'!$K437/365)</f>
        <v>1</v>
      </c>
      <c r="N437" s="8">
        <f ca="1">_xll.HLV5r3.Analytics.Miscellaneous.Zero2DF(_xll.HLV5r3.Analytics.Miscellaneous.LinearInterp(Peturbed_QZ,$K437,1,N$1),ZeroCompFreq,'PDH Calc'!$K437/365)</f>
        <v>1</v>
      </c>
      <c r="O437" s="8">
        <f ca="1">_xll.HLV5r3.Analytics.Miscellaneous.Zero2DF(_xll.HLV5r3.Analytics.Miscellaneous.LinearInterp(Peturbed_QZ,$K437,1,O$1),ZeroCompFreq,'PDH Calc'!$K437/365)</f>
        <v>1</v>
      </c>
      <c r="P437" s="8">
        <f ca="1">_xll.HLV5r3.Analytics.Miscellaneous.Zero2DF(_xll.HLV5r3.Analytics.Miscellaneous.LinearInterp(Peturbed_QZ,$K437,1,P$1),ZeroCompFreq,'PDH Calc'!$K437/365)</f>
        <v>1</v>
      </c>
      <c r="Q437" s="8">
        <f ca="1">_xll.HLV5r3.Analytics.Miscellaneous.Zero2DF(_xll.HLV5r3.Analytics.Miscellaneous.LinearInterp(Peturbed_QZ,$K437,1,Q$1),ZeroCompFreq,'PDH Calc'!$K437/365)</f>
        <v>1</v>
      </c>
      <c r="R437" s="8">
        <f ca="1">_xll.HLV5r3.Analytics.Miscellaneous.Zero2DF(_xll.HLV5r3.Analytics.Miscellaneous.LinearInterp(Peturbed_QZ,$K437,1,R$1),ZeroCompFreq,'PDH Calc'!$K437/365)</f>
        <v>1</v>
      </c>
      <c r="S437" s="8">
        <f ca="1">_xll.HLV5r3.Analytics.Miscellaneous.Zero2DF(_xll.HLV5r3.Analytics.Miscellaneous.LinearInterp(Peturbed_QZ,$K437,1,S$1),ZeroCompFreq,'PDH Calc'!$K437/365)</f>
        <v>1</v>
      </c>
      <c r="T437" s="8">
        <f ca="1">_xll.HLV5r3.Analytics.Miscellaneous.Zero2DF(_xll.HLV5r3.Analytics.Miscellaneous.LinearInterp(Peturbed_QZ,$K437,1,T$1),ZeroCompFreq,'PDH Calc'!$K437/365)</f>
        <v>1</v>
      </c>
      <c r="U437" s="8">
        <f ca="1">_xll.HLV5r3.Analytics.Miscellaneous.Zero2DF(_xll.HLV5r3.Analytics.Miscellaneous.LinearInterp(Peturbed_QZ,$K437,1,U$1),ZeroCompFreq,'PDH Calc'!$K437/365)</f>
        <v>1</v>
      </c>
      <c r="V437" s="8">
        <f ca="1">_xll.HLV5r3.Analytics.Miscellaneous.Zero2DF(_xll.HLV5r3.Analytics.Miscellaneous.LinearInterp(Peturbed_QZ,$K437,1,V$1),ZeroCompFreq,'PDH Calc'!$K437/365)</f>
        <v>1</v>
      </c>
      <c r="W437" s="8">
        <f ca="1">_xll.HLV5r3.Analytics.Miscellaneous.Zero2DF(_xll.HLV5r3.Analytics.Miscellaneous.LinearInterp(Peturbed_QZ,$K437,1,W$1),ZeroCompFreq,'PDH Calc'!$K437/365)</f>
        <v>1</v>
      </c>
      <c r="X437" s="8">
        <f ca="1">_xll.HLV5r3.Analytics.Miscellaneous.Zero2DF(_xll.HLV5r3.Analytics.Miscellaneous.LinearInterp(Peturbed_QZ,$K437,1,X$1),ZeroCompFreq,'PDH Calc'!$K437/365)</f>
        <v>1</v>
      </c>
      <c r="Y437" s="8">
        <f ca="1">_xll.HLV5r3.Analytics.Miscellaneous.Zero2DF(_xll.HLV5r3.Analytics.Miscellaneous.LinearInterp(Peturbed_QZ,$K437,1,Y$1),ZeroCompFreq,'PDH Calc'!$K437/365)</f>
        <v>1</v>
      </c>
      <c r="Z437" s="8">
        <f ca="1">_xll.HLV5r3.Analytics.Miscellaneous.Zero2DF(_xll.HLV5r3.Analytics.Miscellaneous.LinearInterp(Peturbed_QZ,$K437,1,Z$1),ZeroCompFreq,'PDH Calc'!$K437/365)</f>
        <v>1</v>
      </c>
      <c r="AA437" s="8">
        <f ca="1">_xll.HLV5r3.Analytics.Miscellaneous.Zero2DF(_xll.HLV5r3.Analytics.Miscellaneous.LinearInterp(Peturbed_QZ,$K437,1,AA$1),ZeroCompFreq,'PDH Calc'!$K437/365)</f>
        <v>1</v>
      </c>
      <c r="AB437" s="8">
        <f ca="1">_xll.HLV5r3.Analytics.Miscellaneous.Zero2DF(_xll.HLV5r3.Analytics.Miscellaneous.LinearInterp(Peturbed_QZ,$K437,1,AB$1),ZeroCompFreq,'PDH Calc'!$K437/365)</f>
        <v>1</v>
      </c>
      <c r="AC437" s="8">
        <f ca="1">_xll.HLV5r3.Analytics.Miscellaneous.Zero2DF(_xll.HLV5r3.Analytics.Miscellaneous.LinearInterp(Peturbed_QZ,$K437,1,AC$1),ZeroCompFreq,'PDH Calc'!$K437/365)</f>
        <v>1</v>
      </c>
      <c r="AD437" s="8">
        <f ca="1">_xll.HLV5r3.Analytics.Miscellaneous.Zero2DF(_xll.HLV5r3.Analytics.Miscellaneous.LinearInterp(Peturbed_QZ,$K437,1,AD$1),ZeroCompFreq,'PDH Calc'!$K437/365)</f>
        <v>1</v>
      </c>
      <c r="AE437" s="8">
        <f ca="1">_xll.HLV5r3.Analytics.Miscellaneous.Zero2DF(_xll.HLV5r3.Analytics.Miscellaneous.LinearInterp(Peturbed_QZ,$K437,1,AE$1),ZeroCompFreq,'PDH Calc'!$K437/365)</f>
        <v>1</v>
      </c>
      <c r="AF437" s="8">
        <f ca="1">_xll.HLV5r3.Analytics.Miscellaneous.Zero2DF(_xll.HLV5r3.Analytics.Miscellaneous.LinearInterp(Peturbed_QZ,$K437,1,AF$1),ZeroCompFreq,'PDH Calc'!$K437/365)</f>
        <v>1</v>
      </c>
      <c r="AG437" s="8">
        <f ca="1">_xll.HLV5r3.Analytics.Miscellaneous.Zero2DF(_xll.HLV5r3.Analytics.Miscellaneous.LinearInterp(Peturbed_QZ,$K437,1,AG$1),ZeroCompFreq,'PDH Calc'!$K437/365)</f>
        <v>1</v>
      </c>
      <c r="AH437" s="8">
        <f ca="1">_xll.HLV5r3.Analytics.Miscellaneous.Zero2DF(_xll.HLV5r3.Analytics.Miscellaneous.LinearInterp(Peturbed_QZ,$K437,1,AH$1),ZeroCompFreq,'PDH Calc'!$K437/365)</f>
        <v>1</v>
      </c>
      <c r="AI437" s="8">
        <f ca="1">_xll.HLV5r3.Analytics.Miscellaneous.Zero2DF(_xll.HLV5r3.Analytics.Miscellaneous.LinearInterp(Peturbed_QZ,$K437,1,AI$1),ZeroCompFreq,'PDH Calc'!$K437/365)</f>
        <v>1</v>
      </c>
      <c r="AJ437" s="8">
        <f ca="1">_xll.HLV5r3.Analytics.Miscellaneous.Zero2DF(_xll.HLV5r3.Analytics.Miscellaneous.LinearInterp(Peturbed_QZ,$K437,1,AJ$1),ZeroCompFreq,'PDH Calc'!$K437/365)</f>
        <v>1</v>
      </c>
      <c r="AK437" s="8">
        <f ca="1">_xll.HLV5r3.Analytics.Miscellaneous.Zero2DF(_xll.HLV5r3.Analytics.Miscellaneous.LinearInterp(Peturbed_QZ,$K437,1,AK$1),ZeroCompFreq,'PDH Calc'!$K437/365)</f>
        <v>1</v>
      </c>
    </row>
    <row r="438" spans="1:37">
      <c r="A438" s="4"/>
      <c r="B438" s="6"/>
      <c r="F438" s="11"/>
      <c r="G438" s="6"/>
      <c r="H438" s="20"/>
      <c r="I438" s="21"/>
      <c r="J438" s="26"/>
      <c r="K438" s="6">
        <f t="shared" ca="1" si="14"/>
        <v>0</v>
      </c>
      <c r="L438" s="8">
        <f ca="1">_xll.HLV5r3.Analytics.Miscellaneous.Zero2DF(_xll.HLV5r3.Analytics.Miscellaneous.LinearInterp(Peturbed_QZ,$K438,1,L$1),ZeroCompFreq,'PDH Calc'!$K438/365)</f>
        <v>1</v>
      </c>
      <c r="M438" s="8">
        <f ca="1">_xll.HLV5r3.Analytics.Miscellaneous.Zero2DF(_xll.HLV5r3.Analytics.Miscellaneous.LinearInterp(Peturbed_QZ,$K438,1,M$1),ZeroCompFreq,'PDH Calc'!$K438/365)</f>
        <v>1</v>
      </c>
      <c r="N438" s="8">
        <f ca="1">_xll.HLV5r3.Analytics.Miscellaneous.Zero2DF(_xll.HLV5r3.Analytics.Miscellaneous.LinearInterp(Peturbed_QZ,$K438,1,N$1),ZeroCompFreq,'PDH Calc'!$K438/365)</f>
        <v>1</v>
      </c>
      <c r="O438" s="8">
        <f ca="1">_xll.HLV5r3.Analytics.Miscellaneous.Zero2DF(_xll.HLV5r3.Analytics.Miscellaneous.LinearInterp(Peturbed_QZ,$K438,1,O$1),ZeroCompFreq,'PDH Calc'!$K438/365)</f>
        <v>1</v>
      </c>
      <c r="P438" s="8">
        <f ca="1">_xll.HLV5r3.Analytics.Miscellaneous.Zero2DF(_xll.HLV5r3.Analytics.Miscellaneous.LinearInterp(Peturbed_QZ,$K438,1,P$1),ZeroCompFreq,'PDH Calc'!$K438/365)</f>
        <v>1</v>
      </c>
      <c r="Q438" s="8">
        <f ca="1">_xll.HLV5r3.Analytics.Miscellaneous.Zero2DF(_xll.HLV5r3.Analytics.Miscellaneous.LinearInterp(Peturbed_QZ,$K438,1,Q$1),ZeroCompFreq,'PDH Calc'!$K438/365)</f>
        <v>1</v>
      </c>
      <c r="R438" s="8">
        <f ca="1">_xll.HLV5r3.Analytics.Miscellaneous.Zero2DF(_xll.HLV5r3.Analytics.Miscellaneous.LinearInterp(Peturbed_QZ,$K438,1,R$1),ZeroCompFreq,'PDH Calc'!$K438/365)</f>
        <v>1</v>
      </c>
      <c r="S438" s="8">
        <f ca="1">_xll.HLV5r3.Analytics.Miscellaneous.Zero2DF(_xll.HLV5r3.Analytics.Miscellaneous.LinearInterp(Peturbed_QZ,$K438,1,S$1),ZeroCompFreq,'PDH Calc'!$K438/365)</f>
        <v>1</v>
      </c>
      <c r="T438" s="8">
        <f ca="1">_xll.HLV5r3.Analytics.Miscellaneous.Zero2DF(_xll.HLV5r3.Analytics.Miscellaneous.LinearInterp(Peturbed_QZ,$K438,1,T$1),ZeroCompFreq,'PDH Calc'!$K438/365)</f>
        <v>1</v>
      </c>
      <c r="U438" s="8">
        <f ca="1">_xll.HLV5r3.Analytics.Miscellaneous.Zero2DF(_xll.HLV5r3.Analytics.Miscellaneous.LinearInterp(Peturbed_QZ,$K438,1,U$1),ZeroCompFreq,'PDH Calc'!$K438/365)</f>
        <v>1</v>
      </c>
      <c r="V438" s="8">
        <f ca="1">_xll.HLV5r3.Analytics.Miscellaneous.Zero2DF(_xll.HLV5r3.Analytics.Miscellaneous.LinearInterp(Peturbed_QZ,$K438,1,V$1),ZeroCompFreq,'PDH Calc'!$K438/365)</f>
        <v>1</v>
      </c>
      <c r="W438" s="8">
        <f ca="1">_xll.HLV5r3.Analytics.Miscellaneous.Zero2DF(_xll.HLV5r3.Analytics.Miscellaneous.LinearInterp(Peturbed_QZ,$K438,1,W$1),ZeroCompFreq,'PDH Calc'!$K438/365)</f>
        <v>1</v>
      </c>
      <c r="X438" s="8">
        <f ca="1">_xll.HLV5r3.Analytics.Miscellaneous.Zero2DF(_xll.HLV5r3.Analytics.Miscellaneous.LinearInterp(Peturbed_QZ,$K438,1,X$1),ZeroCompFreq,'PDH Calc'!$K438/365)</f>
        <v>1</v>
      </c>
      <c r="Y438" s="8">
        <f ca="1">_xll.HLV5r3.Analytics.Miscellaneous.Zero2DF(_xll.HLV5r3.Analytics.Miscellaneous.LinearInterp(Peturbed_QZ,$K438,1,Y$1),ZeroCompFreq,'PDH Calc'!$K438/365)</f>
        <v>1</v>
      </c>
      <c r="Z438" s="8">
        <f ca="1">_xll.HLV5r3.Analytics.Miscellaneous.Zero2DF(_xll.HLV5r3.Analytics.Miscellaneous.LinearInterp(Peturbed_QZ,$K438,1,Z$1),ZeroCompFreq,'PDH Calc'!$K438/365)</f>
        <v>1</v>
      </c>
      <c r="AA438" s="8">
        <f ca="1">_xll.HLV5r3.Analytics.Miscellaneous.Zero2DF(_xll.HLV5r3.Analytics.Miscellaneous.LinearInterp(Peturbed_QZ,$K438,1,AA$1),ZeroCompFreq,'PDH Calc'!$K438/365)</f>
        <v>1</v>
      </c>
      <c r="AB438" s="8">
        <f ca="1">_xll.HLV5r3.Analytics.Miscellaneous.Zero2DF(_xll.HLV5r3.Analytics.Miscellaneous.LinearInterp(Peturbed_QZ,$K438,1,AB$1),ZeroCompFreq,'PDH Calc'!$K438/365)</f>
        <v>1</v>
      </c>
      <c r="AC438" s="8">
        <f ca="1">_xll.HLV5r3.Analytics.Miscellaneous.Zero2DF(_xll.HLV5r3.Analytics.Miscellaneous.LinearInterp(Peturbed_QZ,$K438,1,AC$1),ZeroCompFreq,'PDH Calc'!$K438/365)</f>
        <v>1</v>
      </c>
      <c r="AD438" s="8">
        <f ca="1">_xll.HLV5r3.Analytics.Miscellaneous.Zero2DF(_xll.HLV5r3.Analytics.Miscellaneous.LinearInterp(Peturbed_QZ,$K438,1,AD$1),ZeroCompFreq,'PDH Calc'!$K438/365)</f>
        <v>1</v>
      </c>
      <c r="AE438" s="8">
        <f ca="1">_xll.HLV5r3.Analytics.Miscellaneous.Zero2DF(_xll.HLV5r3.Analytics.Miscellaneous.LinearInterp(Peturbed_QZ,$K438,1,AE$1),ZeroCompFreq,'PDH Calc'!$K438/365)</f>
        <v>1</v>
      </c>
      <c r="AF438" s="8">
        <f ca="1">_xll.HLV5r3.Analytics.Miscellaneous.Zero2DF(_xll.HLV5r3.Analytics.Miscellaneous.LinearInterp(Peturbed_QZ,$K438,1,AF$1),ZeroCompFreq,'PDH Calc'!$K438/365)</f>
        <v>1</v>
      </c>
      <c r="AG438" s="8">
        <f ca="1">_xll.HLV5r3.Analytics.Miscellaneous.Zero2DF(_xll.HLV5r3.Analytics.Miscellaneous.LinearInterp(Peturbed_QZ,$K438,1,AG$1),ZeroCompFreq,'PDH Calc'!$K438/365)</f>
        <v>1</v>
      </c>
      <c r="AH438" s="8">
        <f ca="1">_xll.HLV5r3.Analytics.Miscellaneous.Zero2DF(_xll.HLV5r3.Analytics.Miscellaneous.LinearInterp(Peturbed_QZ,$K438,1,AH$1),ZeroCompFreq,'PDH Calc'!$K438/365)</f>
        <v>1</v>
      </c>
      <c r="AI438" s="8">
        <f ca="1">_xll.HLV5r3.Analytics.Miscellaneous.Zero2DF(_xll.HLV5r3.Analytics.Miscellaneous.LinearInterp(Peturbed_QZ,$K438,1,AI$1),ZeroCompFreq,'PDH Calc'!$K438/365)</f>
        <v>1</v>
      </c>
      <c r="AJ438" s="8">
        <f ca="1">_xll.HLV5r3.Analytics.Miscellaneous.Zero2DF(_xll.HLV5r3.Analytics.Miscellaneous.LinearInterp(Peturbed_QZ,$K438,1,AJ$1),ZeroCompFreq,'PDH Calc'!$K438/365)</f>
        <v>1</v>
      </c>
      <c r="AK438" s="8">
        <f ca="1">_xll.HLV5r3.Analytics.Miscellaneous.Zero2DF(_xll.HLV5r3.Analytics.Miscellaneous.LinearInterp(Peturbed_QZ,$K438,1,AK$1),ZeroCompFreq,'PDH Calc'!$K438/365)</f>
        <v>1</v>
      </c>
    </row>
    <row r="439" spans="1:37">
      <c r="A439" s="4"/>
      <c r="B439" s="6"/>
      <c r="F439" s="11"/>
      <c r="G439" s="6"/>
      <c r="H439" s="20"/>
      <c r="I439" s="21"/>
      <c r="J439" s="26"/>
      <c r="K439" s="6">
        <f t="shared" ca="1" si="14"/>
        <v>0</v>
      </c>
      <c r="L439" s="8">
        <f ca="1">_xll.HLV5r3.Analytics.Miscellaneous.Zero2DF(_xll.HLV5r3.Analytics.Miscellaneous.LinearInterp(Peturbed_QZ,$K439,1,L$1),ZeroCompFreq,'PDH Calc'!$K439/365)</f>
        <v>1</v>
      </c>
      <c r="M439" s="8">
        <f ca="1">_xll.HLV5r3.Analytics.Miscellaneous.Zero2DF(_xll.HLV5r3.Analytics.Miscellaneous.LinearInterp(Peturbed_QZ,$K439,1,M$1),ZeroCompFreq,'PDH Calc'!$K439/365)</f>
        <v>1</v>
      </c>
      <c r="N439" s="8">
        <f ca="1">_xll.HLV5r3.Analytics.Miscellaneous.Zero2DF(_xll.HLV5r3.Analytics.Miscellaneous.LinearInterp(Peturbed_QZ,$K439,1,N$1),ZeroCompFreq,'PDH Calc'!$K439/365)</f>
        <v>1</v>
      </c>
      <c r="O439" s="8">
        <f ca="1">_xll.HLV5r3.Analytics.Miscellaneous.Zero2DF(_xll.HLV5r3.Analytics.Miscellaneous.LinearInterp(Peturbed_QZ,$K439,1,O$1),ZeroCompFreq,'PDH Calc'!$K439/365)</f>
        <v>1</v>
      </c>
      <c r="P439" s="8">
        <f ca="1">_xll.HLV5r3.Analytics.Miscellaneous.Zero2DF(_xll.HLV5r3.Analytics.Miscellaneous.LinearInterp(Peturbed_QZ,$K439,1,P$1),ZeroCompFreq,'PDH Calc'!$K439/365)</f>
        <v>1</v>
      </c>
      <c r="Q439" s="8">
        <f ca="1">_xll.HLV5r3.Analytics.Miscellaneous.Zero2DF(_xll.HLV5r3.Analytics.Miscellaneous.LinearInterp(Peturbed_QZ,$K439,1,Q$1),ZeroCompFreq,'PDH Calc'!$K439/365)</f>
        <v>1</v>
      </c>
      <c r="R439" s="8">
        <f ca="1">_xll.HLV5r3.Analytics.Miscellaneous.Zero2DF(_xll.HLV5r3.Analytics.Miscellaneous.LinearInterp(Peturbed_QZ,$K439,1,R$1),ZeroCompFreq,'PDH Calc'!$K439/365)</f>
        <v>1</v>
      </c>
      <c r="S439" s="8">
        <f ca="1">_xll.HLV5r3.Analytics.Miscellaneous.Zero2DF(_xll.HLV5r3.Analytics.Miscellaneous.LinearInterp(Peturbed_QZ,$K439,1,S$1),ZeroCompFreq,'PDH Calc'!$K439/365)</f>
        <v>1</v>
      </c>
      <c r="T439" s="8">
        <f ca="1">_xll.HLV5r3.Analytics.Miscellaneous.Zero2DF(_xll.HLV5r3.Analytics.Miscellaneous.LinearInterp(Peturbed_QZ,$K439,1,T$1),ZeroCompFreq,'PDH Calc'!$K439/365)</f>
        <v>1</v>
      </c>
      <c r="U439" s="8">
        <f ca="1">_xll.HLV5r3.Analytics.Miscellaneous.Zero2DF(_xll.HLV5r3.Analytics.Miscellaneous.LinearInterp(Peturbed_QZ,$K439,1,U$1),ZeroCompFreq,'PDH Calc'!$K439/365)</f>
        <v>1</v>
      </c>
      <c r="V439" s="8">
        <f ca="1">_xll.HLV5r3.Analytics.Miscellaneous.Zero2DF(_xll.HLV5r3.Analytics.Miscellaneous.LinearInterp(Peturbed_QZ,$K439,1,V$1),ZeroCompFreq,'PDH Calc'!$K439/365)</f>
        <v>1</v>
      </c>
      <c r="W439" s="8">
        <f ca="1">_xll.HLV5r3.Analytics.Miscellaneous.Zero2DF(_xll.HLV5r3.Analytics.Miscellaneous.LinearInterp(Peturbed_QZ,$K439,1,W$1),ZeroCompFreq,'PDH Calc'!$K439/365)</f>
        <v>1</v>
      </c>
      <c r="X439" s="8">
        <f ca="1">_xll.HLV5r3.Analytics.Miscellaneous.Zero2DF(_xll.HLV5r3.Analytics.Miscellaneous.LinearInterp(Peturbed_QZ,$K439,1,X$1),ZeroCompFreq,'PDH Calc'!$K439/365)</f>
        <v>1</v>
      </c>
      <c r="Y439" s="8">
        <f ca="1">_xll.HLV5r3.Analytics.Miscellaneous.Zero2DF(_xll.HLV5r3.Analytics.Miscellaneous.LinearInterp(Peturbed_QZ,$K439,1,Y$1),ZeroCompFreq,'PDH Calc'!$K439/365)</f>
        <v>1</v>
      </c>
      <c r="Z439" s="8">
        <f ca="1">_xll.HLV5r3.Analytics.Miscellaneous.Zero2DF(_xll.HLV5r3.Analytics.Miscellaneous.LinearInterp(Peturbed_QZ,$K439,1,Z$1),ZeroCompFreq,'PDH Calc'!$K439/365)</f>
        <v>1</v>
      </c>
      <c r="AA439" s="8">
        <f ca="1">_xll.HLV5r3.Analytics.Miscellaneous.Zero2DF(_xll.HLV5r3.Analytics.Miscellaneous.LinearInterp(Peturbed_QZ,$K439,1,AA$1),ZeroCompFreq,'PDH Calc'!$K439/365)</f>
        <v>1</v>
      </c>
      <c r="AB439" s="8">
        <f ca="1">_xll.HLV5r3.Analytics.Miscellaneous.Zero2DF(_xll.HLV5r3.Analytics.Miscellaneous.LinearInterp(Peturbed_QZ,$K439,1,AB$1),ZeroCompFreq,'PDH Calc'!$K439/365)</f>
        <v>1</v>
      </c>
      <c r="AC439" s="8">
        <f ca="1">_xll.HLV5r3.Analytics.Miscellaneous.Zero2DF(_xll.HLV5r3.Analytics.Miscellaneous.LinearInterp(Peturbed_QZ,$K439,1,AC$1),ZeroCompFreq,'PDH Calc'!$K439/365)</f>
        <v>1</v>
      </c>
      <c r="AD439" s="8">
        <f ca="1">_xll.HLV5r3.Analytics.Miscellaneous.Zero2DF(_xll.HLV5r3.Analytics.Miscellaneous.LinearInterp(Peturbed_QZ,$K439,1,AD$1),ZeroCompFreq,'PDH Calc'!$K439/365)</f>
        <v>1</v>
      </c>
      <c r="AE439" s="8">
        <f ca="1">_xll.HLV5r3.Analytics.Miscellaneous.Zero2DF(_xll.HLV5r3.Analytics.Miscellaneous.LinearInterp(Peturbed_QZ,$K439,1,AE$1),ZeroCompFreq,'PDH Calc'!$K439/365)</f>
        <v>1</v>
      </c>
      <c r="AF439" s="8">
        <f ca="1">_xll.HLV5r3.Analytics.Miscellaneous.Zero2DF(_xll.HLV5r3.Analytics.Miscellaneous.LinearInterp(Peturbed_QZ,$K439,1,AF$1),ZeroCompFreq,'PDH Calc'!$K439/365)</f>
        <v>1</v>
      </c>
      <c r="AG439" s="8">
        <f ca="1">_xll.HLV5r3.Analytics.Miscellaneous.Zero2DF(_xll.HLV5r3.Analytics.Miscellaneous.LinearInterp(Peturbed_QZ,$K439,1,AG$1),ZeroCompFreq,'PDH Calc'!$K439/365)</f>
        <v>1</v>
      </c>
      <c r="AH439" s="8">
        <f ca="1">_xll.HLV5r3.Analytics.Miscellaneous.Zero2DF(_xll.HLV5r3.Analytics.Miscellaneous.LinearInterp(Peturbed_QZ,$K439,1,AH$1),ZeroCompFreq,'PDH Calc'!$K439/365)</f>
        <v>1</v>
      </c>
      <c r="AI439" s="8">
        <f ca="1">_xll.HLV5r3.Analytics.Miscellaneous.Zero2DF(_xll.HLV5r3.Analytics.Miscellaneous.LinearInterp(Peturbed_QZ,$K439,1,AI$1),ZeroCompFreq,'PDH Calc'!$K439/365)</f>
        <v>1</v>
      </c>
      <c r="AJ439" s="8">
        <f ca="1">_xll.HLV5r3.Analytics.Miscellaneous.Zero2DF(_xll.HLV5r3.Analytics.Miscellaneous.LinearInterp(Peturbed_QZ,$K439,1,AJ$1),ZeroCompFreq,'PDH Calc'!$K439/365)</f>
        <v>1</v>
      </c>
      <c r="AK439" s="8">
        <f ca="1">_xll.HLV5r3.Analytics.Miscellaneous.Zero2DF(_xll.HLV5r3.Analytics.Miscellaneous.LinearInterp(Peturbed_QZ,$K439,1,AK$1),ZeroCompFreq,'PDH Calc'!$K439/365)</f>
        <v>1</v>
      </c>
    </row>
    <row r="440" spans="1:37">
      <c r="A440" s="4"/>
      <c r="B440" s="6"/>
      <c r="F440" s="11"/>
      <c r="G440" s="6"/>
      <c r="H440" s="20"/>
      <c r="I440" s="21"/>
      <c r="J440" s="26"/>
      <c r="K440" s="6">
        <f t="shared" ca="1" si="14"/>
        <v>0</v>
      </c>
      <c r="L440" s="8">
        <f ca="1">_xll.HLV5r3.Analytics.Miscellaneous.Zero2DF(_xll.HLV5r3.Analytics.Miscellaneous.LinearInterp(Peturbed_QZ,$K440,1,L$1),ZeroCompFreq,'PDH Calc'!$K440/365)</f>
        <v>1</v>
      </c>
      <c r="M440" s="8">
        <f ca="1">_xll.HLV5r3.Analytics.Miscellaneous.Zero2DF(_xll.HLV5r3.Analytics.Miscellaneous.LinearInterp(Peturbed_QZ,$K440,1,M$1),ZeroCompFreq,'PDH Calc'!$K440/365)</f>
        <v>1</v>
      </c>
      <c r="N440" s="8">
        <f ca="1">_xll.HLV5r3.Analytics.Miscellaneous.Zero2DF(_xll.HLV5r3.Analytics.Miscellaneous.LinearInterp(Peturbed_QZ,$K440,1,N$1),ZeroCompFreq,'PDH Calc'!$K440/365)</f>
        <v>1</v>
      </c>
      <c r="O440" s="8">
        <f ca="1">_xll.HLV5r3.Analytics.Miscellaneous.Zero2DF(_xll.HLV5r3.Analytics.Miscellaneous.LinearInterp(Peturbed_QZ,$K440,1,O$1),ZeroCompFreq,'PDH Calc'!$K440/365)</f>
        <v>1</v>
      </c>
      <c r="P440" s="8">
        <f ca="1">_xll.HLV5r3.Analytics.Miscellaneous.Zero2DF(_xll.HLV5r3.Analytics.Miscellaneous.LinearInterp(Peturbed_QZ,$K440,1,P$1),ZeroCompFreq,'PDH Calc'!$K440/365)</f>
        <v>1</v>
      </c>
      <c r="Q440" s="8">
        <f ca="1">_xll.HLV5r3.Analytics.Miscellaneous.Zero2DF(_xll.HLV5r3.Analytics.Miscellaneous.LinearInterp(Peturbed_QZ,$K440,1,Q$1),ZeroCompFreq,'PDH Calc'!$K440/365)</f>
        <v>1</v>
      </c>
      <c r="R440" s="8">
        <f ca="1">_xll.HLV5r3.Analytics.Miscellaneous.Zero2DF(_xll.HLV5r3.Analytics.Miscellaneous.LinearInterp(Peturbed_QZ,$K440,1,R$1),ZeroCompFreq,'PDH Calc'!$K440/365)</f>
        <v>1</v>
      </c>
      <c r="S440" s="8">
        <f ca="1">_xll.HLV5r3.Analytics.Miscellaneous.Zero2DF(_xll.HLV5r3.Analytics.Miscellaneous.LinearInterp(Peturbed_QZ,$K440,1,S$1),ZeroCompFreq,'PDH Calc'!$K440/365)</f>
        <v>1</v>
      </c>
      <c r="T440" s="8">
        <f ca="1">_xll.HLV5r3.Analytics.Miscellaneous.Zero2DF(_xll.HLV5r3.Analytics.Miscellaneous.LinearInterp(Peturbed_QZ,$K440,1,T$1),ZeroCompFreq,'PDH Calc'!$K440/365)</f>
        <v>1</v>
      </c>
      <c r="U440" s="8">
        <f ca="1">_xll.HLV5r3.Analytics.Miscellaneous.Zero2DF(_xll.HLV5r3.Analytics.Miscellaneous.LinearInterp(Peturbed_QZ,$K440,1,U$1),ZeroCompFreq,'PDH Calc'!$K440/365)</f>
        <v>1</v>
      </c>
      <c r="V440" s="8">
        <f ca="1">_xll.HLV5r3.Analytics.Miscellaneous.Zero2DF(_xll.HLV5r3.Analytics.Miscellaneous.LinearInterp(Peturbed_QZ,$K440,1,V$1),ZeroCompFreq,'PDH Calc'!$K440/365)</f>
        <v>1</v>
      </c>
      <c r="W440" s="8">
        <f ca="1">_xll.HLV5r3.Analytics.Miscellaneous.Zero2DF(_xll.HLV5r3.Analytics.Miscellaneous.LinearInterp(Peturbed_QZ,$K440,1,W$1),ZeroCompFreq,'PDH Calc'!$K440/365)</f>
        <v>1</v>
      </c>
      <c r="X440" s="8">
        <f ca="1">_xll.HLV5r3.Analytics.Miscellaneous.Zero2DF(_xll.HLV5r3.Analytics.Miscellaneous.LinearInterp(Peturbed_QZ,$K440,1,X$1),ZeroCompFreq,'PDH Calc'!$K440/365)</f>
        <v>1</v>
      </c>
      <c r="Y440" s="8">
        <f ca="1">_xll.HLV5r3.Analytics.Miscellaneous.Zero2DF(_xll.HLV5r3.Analytics.Miscellaneous.LinearInterp(Peturbed_QZ,$K440,1,Y$1),ZeroCompFreq,'PDH Calc'!$K440/365)</f>
        <v>1</v>
      </c>
      <c r="Z440" s="8">
        <f ca="1">_xll.HLV5r3.Analytics.Miscellaneous.Zero2DF(_xll.HLV5r3.Analytics.Miscellaneous.LinearInterp(Peturbed_QZ,$K440,1,Z$1),ZeroCompFreq,'PDH Calc'!$K440/365)</f>
        <v>1</v>
      </c>
      <c r="AA440" s="8">
        <f ca="1">_xll.HLV5r3.Analytics.Miscellaneous.Zero2DF(_xll.HLV5r3.Analytics.Miscellaneous.LinearInterp(Peturbed_QZ,$K440,1,AA$1),ZeroCompFreq,'PDH Calc'!$K440/365)</f>
        <v>1</v>
      </c>
      <c r="AB440" s="8">
        <f ca="1">_xll.HLV5r3.Analytics.Miscellaneous.Zero2DF(_xll.HLV5r3.Analytics.Miscellaneous.LinearInterp(Peturbed_QZ,$K440,1,AB$1),ZeroCompFreq,'PDH Calc'!$K440/365)</f>
        <v>1</v>
      </c>
      <c r="AC440" s="8">
        <f ca="1">_xll.HLV5r3.Analytics.Miscellaneous.Zero2DF(_xll.HLV5r3.Analytics.Miscellaneous.LinearInterp(Peturbed_QZ,$K440,1,AC$1),ZeroCompFreq,'PDH Calc'!$K440/365)</f>
        <v>1</v>
      </c>
      <c r="AD440" s="8">
        <f ca="1">_xll.HLV5r3.Analytics.Miscellaneous.Zero2DF(_xll.HLV5r3.Analytics.Miscellaneous.LinearInterp(Peturbed_QZ,$K440,1,AD$1),ZeroCompFreq,'PDH Calc'!$K440/365)</f>
        <v>1</v>
      </c>
      <c r="AE440" s="8">
        <f ca="1">_xll.HLV5r3.Analytics.Miscellaneous.Zero2DF(_xll.HLV5r3.Analytics.Miscellaneous.LinearInterp(Peturbed_QZ,$K440,1,AE$1),ZeroCompFreq,'PDH Calc'!$K440/365)</f>
        <v>1</v>
      </c>
      <c r="AF440" s="8">
        <f ca="1">_xll.HLV5r3.Analytics.Miscellaneous.Zero2DF(_xll.HLV5r3.Analytics.Miscellaneous.LinearInterp(Peturbed_QZ,$K440,1,AF$1),ZeroCompFreq,'PDH Calc'!$K440/365)</f>
        <v>1</v>
      </c>
      <c r="AG440" s="8">
        <f ca="1">_xll.HLV5r3.Analytics.Miscellaneous.Zero2DF(_xll.HLV5r3.Analytics.Miscellaneous.LinearInterp(Peturbed_QZ,$K440,1,AG$1),ZeroCompFreq,'PDH Calc'!$K440/365)</f>
        <v>1</v>
      </c>
      <c r="AH440" s="8">
        <f ca="1">_xll.HLV5r3.Analytics.Miscellaneous.Zero2DF(_xll.HLV5r3.Analytics.Miscellaneous.LinearInterp(Peturbed_QZ,$K440,1,AH$1),ZeroCompFreq,'PDH Calc'!$K440/365)</f>
        <v>1</v>
      </c>
      <c r="AI440" s="8">
        <f ca="1">_xll.HLV5r3.Analytics.Miscellaneous.Zero2DF(_xll.HLV5r3.Analytics.Miscellaneous.LinearInterp(Peturbed_QZ,$K440,1,AI$1),ZeroCompFreq,'PDH Calc'!$K440/365)</f>
        <v>1</v>
      </c>
      <c r="AJ440" s="8">
        <f ca="1">_xll.HLV5r3.Analytics.Miscellaneous.Zero2DF(_xll.HLV5r3.Analytics.Miscellaneous.LinearInterp(Peturbed_QZ,$K440,1,AJ$1),ZeroCompFreq,'PDH Calc'!$K440/365)</f>
        <v>1</v>
      </c>
      <c r="AK440" s="8">
        <f ca="1">_xll.HLV5r3.Analytics.Miscellaneous.Zero2DF(_xll.HLV5r3.Analytics.Miscellaneous.LinearInterp(Peturbed_QZ,$K440,1,AK$1),ZeroCompFreq,'PDH Calc'!$K440/365)</f>
        <v>1</v>
      </c>
    </row>
    <row r="441" spans="1:37">
      <c r="A441" s="4"/>
      <c r="B441" s="6"/>
      <c r="F441" s="11"/>
      <c r="G441" s="6"/>
      <c r="H441" s="20"/>
      <c r="I441" s="21"/>
      <c r="J441" s="26"/>
      <c r="K441" s="6">
        <f t="shared" ca="1" si="14"/>
        <v>0</v>
      </c>
      <c r="L441" s="8">
        <f ca="1">_xll.HLV5r3.Analytics.Miscellaneous.Zero2DF(_xll.HLV5r3.Analytics.Miscellaneous.LinearInterp(Peturbed_QZ,$K441,1,L$1),ZeroCompFreq,'PDH Calc'!$K441/365)</f>
        <v>1</v>
      </c>
      <c r="M441" s="8">
        <f ca="1">_xll.HLV5r3.Analytics.Miscellaneous.Zero2DF(_xll.HLV5r3.Analytics.Miscellaneous.LinearInterp(Peturbed_QZ,$K441,1,M$1),ZeroCompFreq,'PDH Calc'!$K441/365)</f>
        <v>1</v>
      </c>
      <c r="N441" s="8">
        <f ca="1">_xll.HLV5r3.Analytics.Miscellaneous.Zero2DF(_xll.HLV5r3.Analytics.Miscellaneous.LinearInterp(Peturbed_QZ,$K441,1,N$1),ZeroCompFreq,'PDH Calc'!$K441/365)</f>
        <v>1</v>
      </c>
      <c r="O441" s="8">
        <f ca="1">_xll.HLV5r3.Analytics.Miscellaneous.Zero2DF(_xll.HLV5r3.Analytics.Miscellaneous.LinearInterp(Peturbed_QZ,$K441,1,O$1),ZeroCompFreq,'PDH Calc'!$K441/365)</f>
        <v>1</v>
      </c>
      <c r="P441" s="8">
        <f ca="1">_xll.HLV5r3.Analytics.Miscellaneous.Zero2DF(_xll.HLV5r3.Analytics.Miscellaneous.LinearInterp(Peturbed_QZ,$K441,1,P$1),ZeroCompFreq,'PDH Calc'!$K441/365)</f>
        <v>1</v>
      </c>
      <c r="Q441" s="8">
        <f ca="1">_xll.HLV5r3.Analytics.Miscellaneous.Zero2DF(_xll.HLV5r3.Analytics.Miscellaneous.LinearInterp(Peturbed_QZ,$K441,1,Q$1),ZeroCompFreq,'PDH Calc'!$K441/365)</f>
        <v>1</v>
      </c>
      <c r="R441" s="8">
        <f ca="1">_xll.HLV5r3.Analytics.Miscellaneous.Zero2DF(_xll.HLV5r3.Analytics.Miscellaneous.LinearInterp(Peturbed_QZ,$K441,1,R$1),ZeroCompFreq,'PDH Calc'!$K441/365)</f>
        <v>1</v>
      </c>
      <c r="S441" s="8">
        <f ca="1">_xll.HLV5r3.Analytics.Miscellaneous.Zero2DF(_xll.HLV5r3.Analytics.Miscellaneous.LinearInterp(Peturbed_QZ,$K441,1,S$1),ZeroCompFreq,'PDH Calc'!$K441/365)</f>
        <v>1</v>
      </c>
      <c r="T441" s="8">
        <f ca="1">_xll.HLV5r3.Analytics.Miscellaneous.Zero2DF(_xll.HLV5r3.Analytics.Miscellaneous.LinearInterp(Peturbed_QZ,$K441,1,T$1),ZeroCompFreq,'PDH Calc'!$K441/365)</f>
        <v>1</v>
      </c>
      <c r="U441" s="8">
        <f ca="1">_xll.HLV5r3.Analytics.Miscellaneous.Zero2DF(_xll.HLV5r3.Analytics.Miscellaneous.LinearInterp(Peturbed_QZ,$K441,1,U$1),ZeroCompFreq,'PDH Calc'!$K441/365)</f>
        <v>1</v>
      </c>
      <c r="V441" s="8">
        <f ca="1">_xll.HLV5r3.Analytics.Miscellaneous.Zero2DF(_xll.HLV5r3.Analytics.Miscellaneous.LinearInterp(Peturbed_QZ,$K441,1,V$1),ZeroCompFreq,'PDH Calc'!$K441/365)</f>
        <v>1</v>
      </c>
      <c r="W441" s="8">
        <f ca="1">_xll.HLV5r3.Analytics.Miscellaneous.Zero2DF(_xll.HLV5r3.Analytics.Miscellaneous.LinearInterp(Peturbed_QZ,$K441,1,W$1),ZeroCompFreq,'PDH Calc'!$K441/365)</f>
        <v>1</v>
      </c>
      <c r="X441" s="8">
        <f ca="1">_xll.HLV5r3.Analytics.Miscellaneous.Zero2DF(_xll.HLV5r3.Analytics.Miscellaneous.LinearInterp(Peturbed_QZ,$K441,1,X$1),ZeroCompFreq,'PDH Calc'!$K441/365)</f>
        <v>1</v>
      </c>
      <c r="Y441" s="8">
        <f ca="1">_xll.HLV5r3.Analytics.Miscellaneous.Zero2DF(_xll.HLV5r3.Analytics.Miscellaneous.LinearInterp(Peturbed_QZ,$K441,1,Y$1),ZeroCompFreq,'PDH Calc'!$K441/365)</f>
        <v>1</v>
      </c>
      <c r="Z441" s="8">
        <f ca="1">_xll.HLV5r3.Analytics.Miscellaneous.Zero2DF(_xll.HLV5r3.Analytics.Miscellaneous.LinearInterp(Peturbed_QZ,$K441,1,Z$1),ZeroCompFreq,'PDH Calc'!$K441/365)</f>
        <v>1</v>
      </c>
      <c r="AA441" s="8">
        <f ca="1">_xll.HLV5r3.Analytics.Miscellaneous.Zero2DF(_xll.HLV5r3.Analytics.Miscellaneous.LinearInterp(Peturbed_QZ,$K441,1,AA$1),ZeroCompFreq,'PDH Calc'!$K441/365)</f>
        <v>1</v>
      </c>
      <c r="AB441" s="8">
        <f ca="1">_xll.HLV5r3.Analytics.Miscellaneous.Zero2DF(_xll.HLV5r3.Analytics.Miscellaneous.LinearInterp(Peturbed_QZ,$K441,1,AB$1),ZeroCompFreq,'PDH Calc'!$K441/365)</f>
        <v>1</v>
      </c>
      <c r="AC441" s="8">
        <f ca="1">_xll.HLV5r3.Analytics.Miscellaneous.Zero2DF(_xll.HLV5r3.Analytics.Miscellaneous.LinearInterp(Peturbed_QZ,$K441,1,AC$1),ZeroCompFreq,'PDH Calc'!$K441/365)</f>
        <v>1</v>
      </c>
      <c r="AD441" s="8">
        <f ca="1">_xll.HLV5r3.Analytics.Miscellaneous.Zero2DF(_xll.HLV5r3.Analytics.Miscellaneous.LinearInterp(Peturbed_QZ,$K441,1,AD$1),ZeroCompFreq,'PDH Calc'!$K441/365)</f>
        <v>1</v>
      </c>
      <c r="AE441" s="8">
        <f ca="1">_xll.HLV5r3.Analytics.Miscellaneous.Zero2DF(_xll.HLV5r3.Analytics.Miscellaneous.LinearInterp(Peturbed_QZ,$K441,1,AE$1),ZeroCompFreq,'PDH Calc'!$K441/365)</f>
        <v>1</v>
      </c>
      <c r="AF441" s="8">
        <f ca="1">_xll.HLV5r3.Analytics.Miscellaneous.Zero2DF(_xll.HLV5r3.Analytics.Miscellaneous.LinearInterp(Peturbed_QZ,$K441,1,AF$1),ZeroCompFreq,'PDH Calc'!$K441/365)</f>
        <v>1</v>
      </c>
      <c r="AG441" s="8">
        <f ca="1">_xll.HLV5r3.Analytics.Miscellaneous.Zero2DF(_xll.HLV5r3.Analytics.Miscellaneous.LinearInterp(Peturbed_QZ,$K441,1,AG$1),ZeroCompFreq,'PDH Calc'!$K441/365)</f>
        <v>1</v>
      </c>
      <c r="AH441" s="8">
        <f ca="1">_xll.HLV5r3.Analytics.Miscellaneous.Zero2DF(_xll.HLV5r3.Analytics.Miscellaneous.LinearInterp(Peturbed_QZ,$K441,1,AH$1),ZeroCompFreq,'PDH Calc'!$K441/365)</f>
        <v>1</v>
      </c>
      <c r="AI441" s="8">
        <f ca="1">_xll.HLV5r3.Analytics.Miscellaneous.Zero2DF(_xll.HLV5r3.Analytics.Miscellaneous.LinearInterp(Peturbed_QZ,$K441,1,AI$1),ZeroCompFreq,'PDH Calc'!$K441/365)</f>
        <v>1</v>
      </c>
      <c r="AJ441" s="8">
        <f ca="1">_xll.HLV5r3.Analytics.Miscellaneous.Zero2DF(_xll.HLV5r3.Analytics.Miscellaneous.LinearInterp(Peturbed_QZ,$K441,1,AJ$1),ZeroCompFreq,'PDH Calc'!$K441/365)</f>
        <v>1</v>
      </c>
      <c r="AK441" s="8">
        <f ca="1">_xll.HLV5r3.Analytics.Miscellaneous.Zero2DF(_xll.HLV5r3.Analytics.Miscellaneous.LinearInterp(Peturbed_QZ,$K441,1,AK$1),ZeroCompFreq,'PDH Calc'!$K441/365)</f>
        <v>1</v>
      </c>
    </row>
    <row r="442" spans="1:37">
      <c r="A442" s="4"/>
      <c r="B442" s="6"/>
      <c r="F442" s="11"/>
      <c r="G442" s="6"/>
      <c r="H442" s="20"/>
      <c r="I442" s="21"/>
      <c r="J442" s="26"/>
      <c r="K442" s="6">
        <f t="shared" ca="1" si="14"/>
        <v>0</v>
      </c>
      <c r="L442" s="8">
        <f ca="1">_xll.HLV5r3.Analytics.Miscellaneous.Zero2DF(_xll.HLV5r3.Analytics.Miscellaneous.LinearInterp(Peturbed_QZ,$K442,1,L$1),ZeroCompFreq,'PDH Calc'!$K442/365)</f>
        <v>1</v>
      </c>
      <c r="M442" s="8">
        <f ca="1">_xll.HLV5r3.Analytics.Miscellaneous.Zero2DF(_xll.HLV5r3.Analytics.Miscellaneous.LinearInterp(Peturbed_QZ,$K442,1,M$1),ZeroCompFreq,'PDH Calc'!$K442/365)</f>
        <v>1</v>
      </c>
      <c r="N442" s="8">
        <f ca="1">_xll.HLV5r3.Analytics.Miscellaneous.Zero2DF(_xll.HLV5r3.Analytics.Miscellaneous.LinearInterp(Peturbed_QZ,$K442,1,N$1),ZeroCompFreq,'PDH Calc'!$K442/365)</f>
        <v>1</v>
      </c>
      <c r="O442" s="8">
        <f ca="1">_xll.HLV5r3.Analytics.Miscellaneous.Zero2DF(_xll.HLV5r3.Analytics.Miscellaneous.LinearInterp(Peturbed_QZ,$K442,1,O$1),ZeroCompFreq,'PDH Calc'!$K442/365)</f>
        <v>1</v>
      </c>
      <c r="P442" s="8">
        <f ca="1">_xll.HLV5r3.Analytics.Miscellaneous.Zero2DF(_xll.HLV5r3.Analytics.Miscellaneous.LinearInterp(Peturbed_QZ,$K442,1,P$1),ZeroCompFreq,'PDH Calc'!$K442/365)</f>
        <v>1</v>
      </c>
      <c r="Q442" s="8">
        <f ca="1">_xll.HLV5r3.Analytics.Miscellaneous.Zero2DF(_xll.HLV5r3.Analytics.Miscellaneous.LinearInterp(Peturbed_QZ,$K442,1,Q$1),ZeroCompFreq,'PDH Calc'!$K442/365)</f>
        <v>1</v>
      </c>
      <c r="R442" s="8">
        <f ca="1">_xll.HLV5r3.Analytics.Miscellaneous.Zero2DF(_xll.HLV5r3.Analytics.Miscellaneous.LinearInterp(Peturbed_QZ,$K442,1,R$1),ZeroCompFreq,'PDH Calc'!$K442/365)</f>
        <v>1</v>
      </c>
      <c r="S442" s="8">
        <f ca="1">_xll.HLV5r3.Analytics.Miscellaneous.Zero2DF(_xll.HLV5r3.Analytics.Miscellaneous.LinearInterp(Peturbed_QZ,$K442,1,S$1),ZeroCompFreq,'PDH Calc'!$K442/365)</f>
        <v>1</v>
      </c>
      <c r="T442" s="8">
        <f ca="1">_xll.HLV5r3.Analytics.Miscellaneous.Zero2DF(_xll.HLV5r3.Analytics.Miscellaneous.LinearInterp(Peturbed_QZ,$K442,1,T$1),ZeroCompFreq,'PDH Calc'!$K442/365)</f>
        <v>1</v>
      </c>
      <c r="U442" s="8">
        <f ca="1">_xll.HLV5r3.Analytics.Miscellaneous.Zero2DF(_xll.HLV5r3.Analytics.Miscellaneous.LinearInterp(Peturbed_QZ,$K442,1,U$1),ZeroCompFreq,'PDH Calc'!$K442/365)</f>
        <v>1</v>
      </c>
      <c r="V442" s="8">
        <f ca="1">_xll.HLV5r3.Analytics.Miscellaneous.Zero2DF(_xll.HLV5r3.Analytics.Miscellaneous.LinearInterp(Peturbed_QZ,$K442,1,V$1),ZeroCompFreq,'PDH Calc'!$K442/365)</f>
        <v>1</v>
      </c>
      <c r="W442" s="8">
        <f ca="1">_xll.HLV5r3.Analytics.Miscellaneous.Zero2DF(_xll.HLV5r3.Analytics.Miscellaneous.LinearInterp(Peturbed_QZ,$K442,1,W$1),ZeroCompFreq,'PDH Calc'!$K442/365)</f>
        <v>1</v>
      </c>
      <c r="X442" s="8">
        <f ca="1">_xll.HLV5r3.Analytics.Miscellaneous.Zero2DF(_xll.HLV5r3.Analytics.Miscellaneous.LinearInterp(Peturbed_QZ,$K442,1,X$1),ZeroCompFreq,'PDH Calc'!$K442/365)</f>
        <v>1</v>
      </c>
      <c r="Y442" s="8">
        <f ca="1">_xll.HLV5r3.Analytics.Miscellaneous.Zero2DF(_xll.HLV5r3.Analytics.Miscellaneous.LinearInterp(Peturbed_QZ,$K442,1,Y$1),ZeroCompFreq,'PDH Calc'!$K442/365)</f>
        <v>1</v>
      </c>
      <c r="Z442" s="8">
        <f ca="1">_xll.HLV5r3.Analytics.Miscellaneous.Zero2DF(_xll.HLV5r3.Analytics.Miscellaneous.LinearInterp(Peturbed_QZ,$K442,1,Z$1),ZeroCompFreq,'PDH Calc'!$K442/365)</f>
        <v>1</v>
      </c>
      <c r="AA442" s="8">
        <f ca="1">_xll.HLV5r3.Analytics.Miscellaneous.Zero2DF(_xll.HLV5r3.Analytics.Miscellaneous.LinearInterp(Peturbed_QZ,$K442,1,AA$1),ZeroCompFreq,'PDH Calc'!$K442/365)</f>
        <v>1</v>
      </c>
      <c r="AB442" s="8">
        <f ca="1">_xll.HLV5r3.Analytics.Miscellaneous.Zero2DF(_xll.HLV5r3.Analytics.Miscellaneous.LinearInterp(Peturbed_QZ,$K442,1,AB$1),ZeroCompFreq,'PDH Calc'!$K442/365)</f>
        <v>1</v>
      </c>
      <c r="AC442" s="8">
        <f ca="1">_xll.HLV5r3.Analytics.Miscellaneous.Zero2DF(_xll.HLV5r3.Analytics.Miscellaneous.LinearInterp(Peturbed_QZ,$K442,1,AC$1),ZeroCompFreq,'PDH Calc'!$K442/365)</f>
        <v>1</v>
      </c>
      <c r="AD442" s="8">
        <f ca="1">_xll.HLV5r3.Analytics.Miscellaneous.Zero2DF(_xll.HLV5r3.Analytics.Miscellaneous.LinearInterp(Peturbed_QZ,$K442,1,AD$1),ZeroCompFreq,'PDH Calc'!$K442/365)</f>
        <v>1</v>
      </c>
      <c r="AE442" s="8">
        <f ca="1">_xll.HLV5r3.Analytics.Miscellaneous.Zero2DF(_xll.HLV5r3.Analytics.Miscellaneous.LinearInterp(Peturbed_QZ,$K442,1,AE$1),ZeroCompFreq,'PDH Calc'!$K442/365)</f>
        <v>1</v>
      </c>
      <c r="AF442" s="8">
        <f ca="1">_xll.HLV5r3.Analytics.Miscellaneous.Zero2DF(_xll.HLV5r3.Analytics.Miscellaneous.LinearInterp(Peturbed_QZ,$K442,1,AF$1),ZeroCompFreq,'PDH Calc'!$K442/365)</f>
        <v>1</v>
      </c>
      <c r="AG442" s="8">
        <f ca="1">_xll.HLV5r3.Analytics.Miscellaneous.Zero2DF(_xll.HLV5r3.Analytics.Miscellaneous.LinearInterp(Peturbed_QZ,$K442,1,AG$1),ZeroCompFreq,'PDH Calc'!$K442/365)</f>
        <v>1</v>
      </c>
      <c r="AH442" s="8">
        <f ca="1">_xll.HLV5r3.Analytics.Miscellaneous.Zero2DF(_xll.HLV5r3.Analytics.Miscellaneous.LinearInterp(Peturbed_QZ,$K442,1,AH$1),ZeroCompFreq,'PDH Calc'!$K442/365)</f>
        <v>1</v>
      </c>
      <c r="AI442" s="8">
        <f ca="1">_xll.HLV5r3.Analytics.Miscellaneous.Zero2DF(_xll.HLV5r3.Analytics.Miscellaneous.LinearInterp(Peturbed_QZ,$K442,1,AI$1),ZeroCompFreq,'PDH Calc'!$K442/365)</f>
        <v>1</v>
      </c>
      <c r="AJ442" s="8">
        <f ca="1">_xll.HLV5r3.Analytics.Miscellaneous.Zero2DF(_xll.HLV5r3.Analytics.Miscellaneous.LinearInterp(Peturbed_QZ,$K442,1,AJ$1),ZeroCompFreq,'PDH Calc'!$K442/365)</f>
        <v>1</v>
      </c>
      <c r="AK442" s="8">
        <f ca="1">_xll.HLV5r3.Analytics.Miscellaneous.Zero2DF(_xll.HLV5r3.Analytics.Miscellaneous.LinearInterp(Peturbed_QZ,$K442,1,AK$1),ZeroCompFreq,'PDH Calc'!$K442/365)</f>
        <v>1</v>
      </c>
    </row>
    <row r="443" spans="1:37">
      <c r="A443" s="4"/>
      <c r="B443" s="6"/>
      <c r="F443" s="11"/>
      <c r="G443" s="6"/>
      <c r="H443" s="20"/>
      <c r="I443" s="21"/>
      <c r="J443" s="26"/>
      <c r="K443" s="6">
        <f t="shared" ca="1" si="14"/>
        <v>0</v>
      </c>
      <c r="L443" s="8">
        <f ca="1">_xll.HLV5r3.Analytics.Miscellaneous.Zero2DF(_xll.HLV5r3.Analytics.Miscellaneous.LinearInterp(Peturbed_QZ,$K443,1,L$1),ZeroCompFreq,'PDH Calc'!$K443/365)</f>
        <v>1</v>
      </c>
      <c r="M443" s="8">
        <f ca="1">_xll.HLV5r3.Analytics.Miscellaneous.Zero2DF(_xll.HLV5r3.Analytics.Miscellaneous.LinearInterp(Peturbed_QZ,$K443,1,M$1),ZeroCompFreq,'PDH Calc'!$K443/365)</f>
        <v>1</v>
      </c>
      <c r="N443" s="8">
        <f ca="1">_xll.HLV5r3.Analytics.Miscellaneous.Zero2DF(_xll.HLV5r3.Analytics.Miscellaneous.LinearInterp(Peturbed_QZ,$K443,1,N$1),ZeroCompFreq,'PDH Calc'!$K443/365)</f>
        <v>1</v>
      </c>
      <c r="O443" s="8">
        <f ca="1">_xll.HLV5r3.Analytics.Miscellaneous.Zero2DF(_xll.HLV5r3.Analytics.Miscellaneous.LinearInterp(Peturbed_QZ,$K443,1,O$1),ZeroCompFreq,'PDH Calc'!$K443/365)</f>
        <v>1</v>
      </c>
      <c r="P443" s="8">
        <f ca="1">_xll.HLV5r3.Analytics.Miscellaneous.Zero2DF(_xll.HLV5r3.Analytics.Miscellaneous.LinearInterp(Peturbed_QZ,$K443,1,P$1),ZeroCompFreq,'PDH Calc'!$K443/365)</f>
        <v>1</v>
      </c>
      <c r="Q443" s="8">
        <f ca="1">_xll.HLV5r3.Analytics.Miscellaneous.Zero2DF(_xll.HLV5r3.Analytics.Miscellaneous.LinearInterp(Peturbed_QZ,$K443,1,Q$1),ZeroCompFreq,'PDH Calc'!$K443/365)</f>
        <v>1</v>
      </c>
      <c r="R443" s="8">
        <f ca="1">_xll.HLV5r3.Analytics.Miscellaneous.Zero2DF(_xll.HLV5r3.Analytics.Miscellaneous.LinearInterp(Peturbed_QZ,$K443,1,R$1),ZeroCompFreq,'PDH Calc'!$K443/365)</f>
        <v>1</v>
      </c>
      <c r="S443" s="8">
        <f ca="1">_xll.HLV5r3.Analytics.Miscellaneous.Zero2DF(_xll.HLV5r3.Analytics.Miscellaneous.LinearInterp(Peturbed_QZ,$K443,1,S$1),ZeroCompFreq,'PDH Calc'!$K443/365)</f>
        <v>1</v>
      </c>
      <c r="T443" s="8">
        <f ca="1">_xll.HLV5r3.Analytics.Miscellaneous.Zero2DF(_xll.HLV5r3.Analytics.Miscellaneous.LinearInterp(Peturbed_QZ,$K443,1,T$1),ZeroCompFreq,'PDH Calc'!$K443/365)</f>
        <v>1</v>
      </c>
      <c r="U443" s="8">
        <f ca="1">_xll.HLV5r3.Analytics.Miscellaneous.Zero2DF(_xll.HLV5r3.Analytics.Miscellaneous.LinearInterp(Peturbed_QZ,$K443,1,U$1),ZeroCompFreq,'PDH Calc'!$K443/365)</f>
        <v>1</v>
      </c>
      <c r="V443" s="8">
        <f ca="1">_xll.HLV5r3.Analytics.Miscellaneous.Zero2DF(_xll.HLV5r3.Analytics.Miscellaneous.LinearInterp(Peturbed_QZ,$K443,1,V$1),ZeroCompFreq,'PDH Calc'!$K443/365)</f>
        <v>1</v>
      </c>
      <c r="W443" s="8">
        <f ca="1">_xll.HLV5r3.Analytics.Miscellaneous.Zero2DF(_xll.HLV5r3.Analytics.Miscellaneous.LinearInterp(Peturbed_QZ,$K443,1,W$1),ZeroCompFreq,'PDH Calc'!$K443/365)</f>
        <v>1</v>
      </c>
      <c r="X443" s="8">
        <f ca="1">_xll.HLV5r3.Analytics.Miscellaneous.Zero2DF(_xll.HLV5r3.Analytics.Miscellaneous.LinearInterp(Peturbed_QZ,$K443,1,X$1),ZeroCompFreq,'PDH Calc'!$K443/365)</f>
        <v>1</v>
      </c>
      <c r="Y443" s="8">
        <f ca="1">_xll.HLV5r3.Analytics.Miscellaneous.Zero2DF(_xll.HLV5r3.Analytics.Miscellaneous.LinearInterp(Peturbed_QZ,$K443,1,Y$1),ZeroCompFreq,'PDH Calc'!$K443/365)</f>
        <v>1</v>
      </c>
      <c r="Z443" s="8">
        <f ca="1">_xll.HLV5r3.Analytics.Miscellaneous.Zero2DF(_xll.HLV5r3.Analytics.Miscellaneous.LinearInterp(Peturbed_QZ,$K443,1,Z$1),ZeroCompFreq,'PDH Calc'!$K443/365)</f>
        <v>1</v>
      </c>
      <c r="AA443" s="8">
        <f ca="1">_xll.HLV5r3.Analytics.Miscellaneous.Zero2DF(_xll.HLV5r3.Analytics.Miscellaneous.LinearInterp(Peturbed_QZ,$K443,1,AA$1),ZeroCompFreq,'PDH Calc'!$K443/365)</f>
        <v>1</v>
      </c>
      <c r="AB443" s="8">
        <f ca="1">_xll.HLV5r3.Analytics.Miscellaneous.Zero2DF(_xll.HLV5r3.Analytics.Miscellaneous.LinearInterp(Peturbed_QZ,$K443,1,AB$1),ZeroCompFreq,'PDH Calc'!$K443/365)</f>
        <v>1</v>
      </c>
      <c r="AC443" s="8">
        <f ca="1">_xll.HLV5r3.Analytics.Miscellaneous.Zero2DF(_xll.HLV5r3.Analytics.Miscellaneous.LinearInterp(Peturbed_QZ,$K443,1,AC$1),ZeroCompFreq,'PDH Calc'!$K443/365)</f>
        <v>1</v>
      </c>
      <c r="AD443" s="8">
        <f ca="1">_xll.HLV5r3.Analytics.Miscellaneous.Zero2DF(_xll.HLV5r3.Analytics.Miscellaneous.LinearInterp(Peturbed_QZ,$K443,1,AD$1),ZeroCompFreq,'PDH Calc'!$K443/365)</f>
        <v>1</v>
      </c>
      <c r="AE443" s="8">
        <f ca="1">_xll.HLV5r3.Analytics.Miscellaneous.Zero2DF(_xll.HLV5r3.Analytics.Miscellaneous.LinearInterp(Peturbed_QZ,$K443,1,AE$1),ZeroCompFreq,'PDH Calc'!$K443/365)</f>
        <v>1</v>
      </c>
      <c r="AF443" s="8">
        <f ca="1">_xll.HLV5r3.Analytics.Miscellaneous.Zero2DF(_xll.HLV5r3.Analytics.Miscellaneous.LinearInterp(Peturbed_QZ,$K443,1,AF$1),ZeroCompFreq,'PDH Calc'!$K443/365)</f>
        <v>1</v>
      </c>
      <c r="AG443" s="8">
        <f ca="1">_xll.HLV5r3.Analytics.Miscellaneous.Zero2DF(_xll.HLV5r3.Analytics.Miscellaneous.LinearInterp(Peturbed_QZ,$K443,1,AG$1),ZeroCompFreq,'PDH Calc'!$K443/365)</f>
        <v>1</v>
      </c>
      <c r="AH443" s="8">
        <f ca="1">_xll.HLV5r3.Analytics.Miscellaneous.Zero2DF(_xll.HLV5r3.Analytics.Miscellaneous.LinearInterp(Peturbed_QZ,$K443,1,AH$1),ZeroCompFreq,'PDH Calc'!$K443/365)</f>
        <v>1</v>
      </c>
      <c r="AI443" s="8">
        <f ca="1">_xll.HLV5r3.Analytics.Miscellaneous.Zero2DF(_xll.HLV5r3.Analytics.Miscellaneous.LinearInterp(Peturbed_QZ,$K443,1,AI$1),ZeroCompFreq,'PDH Calc'!$K443/365)</f>
        <v>1</v>
      </c>
      <c r="AJ443" s="8">
        <f ca="1">_xll.HLV5r3.Analytics.Miscellaneous.Zero2DF(_xll.HLV5r3.Analytics.Miscellaneous.LinearInterp(Peturbed_QZ,$K443,1,AJ$1),ZeroCompFreq,'PDH Calc'!$K443/365)</f>
        <v>1</v>
      </c>
      <c r="AK443" s="8">
        <f ca="1">_xll.HLV5r3.Analytics.Miscellaneous.Zero2DF(_xll.HLV5r3.Analytics.Miscellaneous.LinearInterp(Peturbed_QZ,$K443,1,AK$1),ZeroCompFreq,'PDH Calc'!$K443/365)</f>
        <v>1</v>
      </c>
    </row>
    <row r="444" spans="1:37">
      <c r="A444" s="4"/>
      <c r="B444" s="6"/>
      <c r="F444" s="11"/>
      <c r="G444" s="6"/>
      <c r="H444" s="20"/>
      <c r="I444" s="21"/>
      <c r="J444" s="26"/>
      <c r="K444" s="6">
        <f t="shared" ca="1" si="14"/>
        <v>0</v>
      </c>
      <c r="L444" s="8">
        <f ca="1">_xll.HLV5r3.Analytics.Miscellaneous.Zero2DF(_xll.HLV5r3.Analytics.Miscellaneous.LinearInterp(Peturbed_QZ,$K444,1,L$1),ZeroCompFreq,'PDH Calc'!$K444/365)</f>
        <v>1</v>
      </c>
      <c r="M444" s="8">
        <f ca="1">_xll.HLV5r3.Analytics.Miscellaneous.Zero2DF(_xll.HLV5r3.Analytics.Miscellaneous.LinearInterp(Peturbed_QZ,$K444,1,M$1),ZeroCompFreq,'PDH Calc'!$K444/365)</f>
        <v>1</v>
      </c>
      <c r="N444" s="8">
        <f ca="1">_xll.HLV5r3.Analytics.Miscellaneous.Zero2DF(_xll.HLV5r3.Analytics.Miscellaneous.LinearInterp(Peturbed_QZ,$K444,1,N$1),ZeroCompFreq,'PDH Calc'!$K444/365)</f>
        <v>1</v>
      </c>
      <c r="O444" s="8">
        <f ca="1">_xll.HLV5r3.Analytics.Miscellaneous.Zero2DF(_xll.HLV5r3.Analytics.Miscellaneous.LinearInterp(Peturbed_QZ,$K444,1,O$1),ZeroCompFreq,'PDH Calc'!$K444/365)</f>
        <v>1</v>
      </c>
      <c r="P444" s="8">
        <f ca="1">_xll.HLV5r3.Analytics.Miscellaneous.Zero2DF(_xll.HLV5r3.Analytics.Miscellaneous.LinearInterp(Peturbed_QZ,$K444,1,P$1),ZeroCompFreq,'PDH Calc'!$K444/365)</f>
        <v>1</v>
      </c>
      <c r="Q444" s="8">
        <f ca="1">_xll.HLV5r3.Analytics.Miscellaneous.Zero2DF(_xll.HLV5r3.Analytics.Miscellaneous.LinearInterp(Peturbed_QZ,$K444,1,Q$1),ZeroCompFreq,'PDH Calc'!$K444/365)</f>
        <v>1</v>
      </c>
      <c r="R444" s="8">
        <f ca="1">_xll.HLV5r3.Analytics.Miscellaneous.Zero2DF(_xll.HLV5r3.Analytics.Miscellaneous.LinearInterp(Peturbed_QZ,$K444,1,R$1),ZeroCompFreq,'PDH Calc'!$K444/365)</f>
        <v>1</v>
      </c>
      <c r="S444" s="8">
        <f ca="1">_xll.HLV5r3.Analytics.Miscellaneous.Zero2DF(_xll.HLV5r3.Analytics.Miscellaneous.LinearInterp(Peturbed_QZ,$K444,1,S$1),ZeroCompFreq,'PDH Calc'!$K444/365)</f>
        <v>1</v>
      </c>
      <c r="T444" s="8">
        <f ca="1">_xll.HLV5r3.Analytics.Miscellaneous.Zero2DF(_xll.HLV5r3.Analytics.Miscellaneous.LinearInterp(Peturbed_QZ,$K444,1,T$1),ZeroCompFreq,'PDH Calc'!$K444/365)</f>
        <v>1</v>
      </c>
      <c r="U444" s="8">
        <f ca="1">_xll.HLV5r3.Analytics.Miscellaneous.Zero2DF(_xll.HLV5r3.Analytics.Miscellaneous.LinearInterp(Peturbed_QZ,$K444,1,U$1),ZeroCompFreq,'PDH Calc'!$K444/365)</f>
        <v>1</v>
      </c>
      <c r="V444" s="8">
        <f ca="1">_xll.HLV5r3.Analytics.Miscellaneous.Zero2DF(_xll.HLV5r3.Analytics.Miscellaneous.LinearInterp(Peturbed_QZ,$K444,1,V$1),ZeroCompFreq,'PDH Calc'!$K444/365)</f>
        <v>1</v>
      </c>
      <c r="W444" s="8">
        <f ca="1">_xll.HLV5r3.Analytics.Miscellaneous.Zero2DF(_xll.HLV5r3.Analytics.Miscellaneous.LinearInterp(Peturbed_QZ,$K444,1,W$1),ZeroCompFreq,'PDH Calc'!$K444/365)</f>
        <v>1</v>
      </c>
      <c r="X444" s="8">
        <f ca="1">_xll.HLV5r3.Analytics.Miscellaneous.Zero2DF(_xll.HLV5r3.Analytics.Miscellaneous.LinearInterp(Peturbed_QZ,$K444,1,X$1),ZeroCompFreq,'PDH Calc'!$K444/365)</f>
        <v>1</v>
      </c>
      <c r="Y444" s="8">
        <f ca="1">_xll.HLV5r3.Analytics.Miscellaneous.Zero2DF(_xll.HLV5r3.Analytics.Miscellaneous.LinearInterp(Peturbed_QZ,$K444,1,Y$1),ZeroCompFreq,'PDH Calc'!$K444/365)</f>
        <v>1</v>
      </c>
      <c r="Z444" s="8">
        <f ca="1">_xll.HLV5r3.Analytics.Miscellaneous.Zero2DF(_xll.HLV5r3.Analytics.Miscellaneous.LinearInterp(Peturbed_QZ,$K444,1,Z$1),ZeroCompFreq,'PDH Calc'!$K444/365)</f>
        <v>1</v>
      </c>
      <c r="AA444" s="8">
        <f ca="1">_xll.HLV5r3.Analytics.Miscellaneous.Zero2DF(_xll.HLV5r3.Analytics.Miscellaneous.LinearInterp(Peturbed_QZ,$K444,1,AA$1),ZeroCompFreq,'PDH Calc'!$K444/365)</f>
        <v>1</v>
      </c>
      <c r="AB444" s="8">
        <f ca="1">_xll.HLV5r3.Analytics.Miscellaneous.Zero2DF(_xll.HLV5r3.Analytics.Miscellaneous.LinearInterp(Peturbed_QZ,$K444,1,AB$1),ZeroCompFreq,'PDH Calc'!$K444/365)</f>
        <v>1</v>
      </c>
      <c r="AC444" s="8">
        <f ca="1">_xll.HLV5r3.Analytics.Miscellaneous.Zero2DF(_xll.HLV5r3.Analytics.Miscellaneous.LinearInterp(Peturbed_QZ,$K444,1,AC$1),ZeroCompFreq,'PDH Calc'!$K444/365)</f>
        <v>1</v>
      </c>
      <c r="AD444" s="8">
        <f ca="1">_xll.HLV5r3.Analytics.Miscellaneous.Zero2DF(_xll.HLV5r3.Analytics.Miscellaneous.LinearInterp(Peturbed_QZ,$K444,1,AD$1),ZeroCompFreq,'PDH Calc'!$K444/365)</f>
        <v>1</v>
      </c>
      <c r="AE444" s="8">
        <f ca="1">_xll.HLV5r3.Analytics.Miscellaneous.Zero2DF(_xll.HLV5r3.Analytics.Miscellaneous.LinearInterp(Peturbed_QZ,$K444,1,AE$1),ZeroCompFreq,'PDH Calc'!$K444/365)</f>
        <v>1</v>
      </c>
      <c r="AF444" s="8">
        <f ca="1">_xll.HLV5r3.Analytics.Miscellaneous.Zero2DF(_xll.HLV5r3.Analytics.Miscellaneous.LinearInterp(Peturbed_QZ,$K444,1,AF$1),ZeroCompFreq,'PDH Calc'!$K444/365)</f>
        <v>1</v>
      </c>
      <c r="AG444" s="8">
        <f ca="1">_xll.HLV5r3.Analytics.Miscellaneous.Zero2DF(_xll.HLV5r3.Analytics.Miscellaneous.LinearInterp(Peturbed_QZ,$K444,1,AG$1),ZeroCompFreq,'PDH Calc'!$K444/365)</f>
        <v>1</v>
      </c>
      <c r="AH444" s="8">
        <f ca="1">_xll.HLV5r3.Analytics.Miscellaneous.Zero2DF(_xll.HLV5r3.Analytics.Miscellaneous.LinearInterp(Peturbed_QZ,$K444,1,AH$1),ZeroCompFreq,'PDH Calc'!$K444/365)</f>
        <v>1</v>
      </c>
      <c r="AI444" s="8">
        <f ca="1">_xll.HLV5r3.Analytics.Miscellaneous.Zero2DF(_xll.HLV5r3.Analytics.Miscellaneous.LinearInterp(Peturbed_QZ,$K444,1,AI$1),ZeroCompFreq,'PDH Calc'!$K444/365)</f>
        <v>1</v>
      </c>
      <c r="AJ444" s="8">
        <f ca="1">_xll.HLV5r3.Analytics.Miscellaneous.Zero2DF(_xll.HLV5r3.Analytics.Miscellaneous.LinearInterp(Peturbed_QZ,$K444,1,AJ$1),ZeroCompFreq,'PDH Calc'!$K444/365)</f>
        <v>1</v>
      </c>
      <c r="AK444" s="8">
        <f ca="1">_xll.HLV5r3.Analytics.Miscellaneous.Zero2DF(_xll.HLV5r3.Analytics.Miscellaneous.LinearInterp(Peturbed_QZ,$K444,1,AK$1),ZeroCompFreq,'PDH Calc'!$K444/365)</f>
        <v>1</v>
      </c>
    </row>
    <row r="445" spans="1:37">
      <c r="A445" s="4"/>
      <c r="B445" s="6"/>
      <c r="F445" s="11"/>
      <c r="G445" s="6"/>
      <c r="H445" s="20"/>
      <c r="I445" s="21"/>
      <c r="J445" s="26"/>
      <c r="K445" s="6">
        <f t="shared" ca="1" si="14"/>
        <v>0</v>
      </c>
      <c r="L445" s="8">
        <f ca="1">_xll.HLV5r3.Analytics.Miscellaneous.Zero2DF(_xll.HLV5r3.Analytics.Miscellaneous.LinearInterp(Peturbed_QZ,$K445,1,L$1),ZeroCompFreq,'PDH Calc'!$K445/365)</f>
        <v>1</v>
      </c>
      <c r="M445" s="8">
        <f ca="1">_xll.HLV5r3.Analytics.Miscellaneous.Zero2DF(_xll.HLV5r3.Analytics.Miscellaneous.LinearInterp(Peturbed_QZ,$K445,1,M$1),ZeroCompFreq,'PDH Calc'!$K445/365)</f>
        <v>1</v>
      </c>
      <c r="N445" s="8">
        <f ca="1">_xll.HLV5r3.Analytics.Miscellaneous.Zero2DF(_xll.HLV5r3.Analytics.Miscellaneous.LinearInterp(Peturbed_QZ,$K445,1,N$1),ZeroCompFreq,'PDH Calc'!$K445/365)</f>
        <v>1</v>
      </c>
      <c r="O445" s="8">
        <f ca="1">_xll.HLV5r3.Analytics.Miscellaneous.Zero2DF(_xll.HLV5r3.Analytics.Miscellaneous.LinearInterp(Peturbed_QZ,$K445,1,O$1),ZeroCompFreq,'PDH Calc'!$K445/365)</f>
        <v>1</v>
      </c>
      <c r="P445" s="8">
        <f ca="1">_xll.HLV5r3.Analytics.Miscellaneous.Zero2DF(_xll.HLV5r3.Analytics.Miscellaneous.LinearInterp(Peturbed_QZ,$K445,1,P$1),ZeroCompFreq,'PDH Calc'!$K445/365)</f>
        <v>1</v>
      </c>
      <c r="Q445" s="8">
        <f ca="1">_xll.HLV5r3.Analytics.Miscellaneous.Zero2DF(_xll.HLV5r3.Analytics.Miscellaneous.LinearInterp(Peturbed_QZ,$K445,1,Q$1),ZeroCompFreq,'PDH Calc'!$K445/365)</f>
        <v>1</v>
      </c>
      <c r="R445" s="8">
        <f ca="1">_xll.HLV5r3.Analytics.Miscellaneous.Zero2DF(_xll.HLV5r3.Analytics.Miscellaneous.LinearInterp(Peturbed_QZ,$K445,1,R$1),ZeroCompFreq,'PDH Calc'!$K445/365)</f>
        <v>1</v>
      </c>
      <c r="S445" s="8">
        <f ca="1">_xll.HLV5r3.Analytics.Miscellaneous.Zero2DF(_xll.HLV5r3.Analytics.Miscellaneous.LinearInterp(Peturbed_QZ,$K445,1,S$1),ZeroCompFreq,'PDH Calc'!$K445/365)</f>
        <v>1</v>
      </c>
      <c r="T445" s="8">
        <f ca="1">_xll.HLV5r3.Analytics.Miscellaneous.Zero2DF(_xll.HLV5r3.Analytics.Miscellaneous.LinearInterp(Peturbed_QZ,$K445,1,T$1),ZeroCompFreq,'PDH Calc'!$K445/365)</f>
        <v>1</v>
      </c>
      <c r="U445" s="8">
        <f ca="1">_xll.HLV5r3.Analytics.Miscellaneous.Zero2DF(_xll.HLV5r3.Analytics.Miscellaneous.LinearInterp(Peturbed_QZ,$K445,1,U$1),ZeroCompFreq,'PDH Calc'!$K445/365)</f>
        <v>1</v>
      </c>
      <c r="V445" s="8">
        <f ca="1">_xll.HLV5r3.Analytics.Miscellaneous.Zero2DF(_xll.HLV5r3.Analytics.Miscellaneous.LinearInterp(Peturbed_QZ,$K445,1,V$1),ZeroCompFreq,'PDH Calc'!$K445/365)</f>
        <v>1</v>
      </c>
      <c r="W445" s="8">
        <f ca="1">_xll.HLV5r3.Analytics.Miscellaneous.Zero2DF(_xll.HLV5r3.Analytics.Miscellaneous.LinearInterp(Peturbed_QZ,$K445,1,W$1),ZeroCompFreq,'PDH Calc'!$K445/365)</f>
        <v>1</v>
      </c>
      <c r="X445" s="8">
        <f ca="1">_xll.HLV5r3.Analytics.Miscellaneous.Zero2DF(_xll.HLV5r3.Analytics.Miscellaneous.LinearInterp(Peturbed_QZ,$K445,1,X$1),ZeroCompFreq,'PDH Calc'!$K445/365)</f>
        <v>1</v>
      </c>
      <c r="Y445" s="8">
        <f ca="1">_xll.HLV5r3.Analytics.Miscellaneous.Zero2DF(_xll.HLV5r3.Analytics.Miscellaneous.LinearInterp(Peturbed_QZ,$K445,1,Y$1),ZeroCompFreq,'PDH Calc'!$K445/365)</f>
        <v>1</v>
      </c>
      <c r="Z445" s="8">
        <f ca="1">_xll.HLV5r3.Analytics.Miscellaneous.Zero2DF(_xll.HLV5r3.Analytics.Miscellaneous.LinearInterp(Peturbed_QZ,$K445,1,Z$1),ZeroCompFreq,'PDH Calc'!$K445/365)</f>
        <v>1</v>
      </c>
      <c r="AA445" s="8">
        <f ca="1">_xll.HLV5r3.Analytics.Miscellaneous.Zero2DF(_xll.HLV5r3.Analytics.Miscellaneous.LinearInterp(Peturbed_QZ,$K445,1,AA$1),ZeroCompFreq,'PDH Calc'!$K445/365)</f>
        <v>1</v>
      </c>
      <c r="AB445" s="8">
        <f ca="1">_xll.HLV5r3.Analytics.Miscellaneous.Zero2DF(_xll.HLV5r3.Analytics.Miscellaneous.LinearInterp(Peturbed_QZ,$K445,1,AB$1),ZeroCompFreq,'PDH Calc'!$K445/365)</f>
        <v>1</v>
      </c>
      <c r="AC445" s="8">
        <f ca="1">_xll.HLV5r3.Analytics.Miscellaneous.Zero2DF(_xll.HLV5r3.Analytics.Miscellaneous.LinearInterp(Peturbed_QZ,$K445,1,AC$1),ZeroCompFreq,'PDH Calc'!$K445/365)</f>
        <v>1</v>
      </c>
      <c r="AD445" s="8">
        <f ca="1">_xll.HLV5r3.Analytics.Miscellaneous.Zero2DF(_xll.HLV5r3.Analytics.Miscellaneous.LinearInterp(Peturbed_QZ,$K445,1,AD$1),ZeroCompFreq,'PDH Calc'!$K445/365)</f>
        <v>1</v>
      </c>
      <c r="AE445" s="8">
        <f ca="1">_xll.HLV5r3.Analytics.Miscellaneous.Zero2DF(_xll.HLV5r3.Analytics.Miscellaneous.LinearInterp(Peturbed_QZ,$K445,1,AE$1),ZeroCompFreq,'PDH Calc'!$K445/365)</f>
        <v>1</v>
      </c>
      <c r="AF445" s="8">
        <f ca="1">_xll.HLV5r3.Analytics.Miscellaneous.Zero2DF(_xll.HLV5r3.Analytics.Miscellaneous.LinearInterp(Peturbed_QZ,$K445,1,AF$1),ZeroCompFreq,'PDH Calc'!$K445/365)</f>
        <v>1</v>
      </c>
      <c r="AG445" s="8">
        <f ca="1">_xll.HLV5r3.Analytics.Miscellaneous.Zero2DF(_xll.HLV5r3.Analytics.Miscellaneous.LinearInterp(Peturbed_QZ,$K445,1,AG$1),ZeroCompFreq,'PDH Calc'!$K445/365)</f>
        <v>1</v>
      </c>
      <c r="AH445" s="8">
        <f ca="1">_xll.HLV5r3.Analytics.Miscellaneous.Zero2DF(_xll.HLV5r3.Analytics.Miscellaneous.LinearInterp(Peturbed_QZ,$K445,1,AH$1),ZeroCompFreq,'PDH Calc'!$K445/365)</f>
        <v>1</v>
      </c>
      <c r="AI445" s="8">
        <f ca="1">_xll.HLV5r3.Analytics.Miscellaneous.Zero2DF(_xll.HLV5r3.Analytics.Miscellaneous.LinearInterp(Peturbed_QZ,$K445,1,AI$1),ZeroCompFreq,'PDH Calc'!$K445/365)</f>
        <v>1</v>
      </c>
      <c r="AJ445" s="8">
        <f ca="1">_xll.HLV5r3.Analytics.Miscellaneous.Zero2DF(_xll.HLV5r3.Analytics.Miscellaneous.LinearInterp(Peturbed_QZ,$K445,1,AJ$1),ZeroCompFreq,'PDH Calc'!$K445/365)</f>
        <v>1</v>
      </c>
      <c r="AK445" s="8">
        <f ca="1">_xll.HLV5r3.Analytics.Miscellaneous.Zero2DF(_xll.HLV5r3.Analytics.Miscellaneous.LinearInterp(Peturbed_QZ,$K445,1,AK$1),ZeroCompFreq,'PDH Calc'!$K445/365)</f>
        <v>1</v>
      </c>
    </row>
    <row r="446" spans="1:37">
      <c r="A446" s="4"/>
      <c r="B446" s="6"/>
      <c r="F446" s="11"/>
      <c r="G446" s="6"/>
      <c r="H446" s="20"/>
      <c r="I446" s="21"/>
      <c r="J446" s="26"/>
      <c r="K446" s="6">
        <f t="shared" ca="1" si="14"/>
        <v>0</v>
      </c>
      <c r="L446" s="8">
        <f ca="1">_xll.HLV5r3.Analytics.Miscellaneous.Zero2DF(_xll.HLV5r3.Analytics.Miscellaneous.LinearInterp(Peturbed_QZ,$K446,1,L$1),ZeroCompFreq,'PDH Calc'!$K446/365)</f>
        <v>1</v>
      </c>
      <c r="M446" s="8">
        <f ca="1">_xll.HLV5r3.Analytics.Miscellaneous.Zero2DF(_xll.HLV5r3.Analytics.Miscellaneous.LinearInterp(Peturbed_QZ,$K446,1,M$1),ZeroCompFreq,'PDH Calc'!$K446/365)</f>
        <v>1</v>
      </c>
      <c r="N446" s="8">
        <f ca="1">_xll.HLV5r3.Analytics.Miscellaneous.Zero2DF(_xll.HLV5r3.Analytics.Miscellaneous.LinearInterp(Peturbed_QZ,$K446,1,N$1),ZeroCompFreq,'PDH Calc'!$K446/365)</f>
        <v>1</v>
      </c>
      <c r="O446" s="8">
        <f ca="1">_xll.HLV5r3.Analytics.Miscellaneous.Zero2DF(_xll.HLV5r3.Analytics.Miscellaneous.LinearInterp(Peturbed_QZ,$K446,1,O$1),ZeroCompFreq,'PDH Calc'!$K446/365)</f>
        <v>1</v>
      </c>
      <c r="P446" s="8">
        <f ca="1">_xll.HLV5r3.Analytics.Miscellaneous.Zero2DF(_xll.HLV5r3.Analytics.Miscellaneous.LinearInterp(Peturbed_QZ,$K446,1,P$1),ZeroCompFreq,'PDH Calc'!$K446/365)</f>
        <v>1</v>
      </c>
      <c r="Q446" s="8">
        <f ca="1">_xll.HLV5r3.Analytics.Miscellaneous.Zero2DF(_xll.HLV5r3.Analytics.Miscellaneous.LinearInterp(Peturbed_QZ,$K446,1,Q$1),ZeroCompFreq,'PDH Calc'!$K446/365)</f>
        <v>1</v>
      </c>
      <c r="R446" s="8">
        <f ca="1">_xll.HLV5r3.Analytics.Miscellaneous.Zero2DF(_xll.HLV5r3.Analytics.Miscellaneous.LinearInterp(Peturbed_QZ,$K446,1,R$1),ZeroCompFreq,'PDH Calc'!$K446/365)</f>
        <v>1</v>
      </c>
      <c r="S446" s="8">
        <f ca="1">_xll.HLV5r3.Analytics.Miscellaneous.Zero2DF(_xll.HLV5r3.Analytics.Miscellaneous.LinearInterp(Peturbed_QZ,$K446,1,S$1),ZeroCompFreq,'PDH Calc'!$K446/365)</f>
        <v>1</v>
      </c>
      <c r="T446" s="8">
        <f ca="1">_xll.HLV5r3.Analytics.Miscellaneous.Zero2DF(_xll.HLV5r3.Analytics.Miscellaneous.LinearInterp(Peturbed_QZ,$K446,1,T$1),ZeroCompFreq,'PDH Calc'!$K446/365)</f>
        <v>1</v>
      </c>
      <c r="U446" s="8">
        <f ca="1">_xll.HLV5r3.Analytics.Miscellaneous.Zero2DF(_xll.HLV5r3.Analytics.Miscellaneous.LinearInterp(Peturbed_QZ,$K446,1,U$1),ZeroCompFreq,'PDH Calc'!$K446/365)</f>
        <v>1</v>
      </c>
      <c r="V446" s="8">
        <f ca="1">_xll.HLV5r3.Analytics.Miscellaneous.Zero2DF(_xll.HLV5r3.Analytics.Miscellaneous.LinearInterp(Peturbed_QZ,$K446,1,V$1),ZeroCompFreq,'PDH Calc'!$K446/365)</f>
        <v>1</v>
      </c>
      <c r="W446" s="8">
        <f ca="1">_xll.HLV5r3.Analytics.Miscellaneous.Zero2DF(_xll.HLV5r3.Analytics.Miscellaneous.LinearInterp(Peturbed_QZ,$K446,1,W$1),ZeroCompFreq,'PDH Calc'!$K446/365)</f>
        <v>1</v>
      </c>
      <c r="X446" s="8">
        <f ca="1">_xll.HLV5r3.Analytics.Miscellaneous.Zero2DF(_xll.HLV5r3.Analytics.Miscellaneous.LinearInterp(Peturbed_QZ,$K446,1,X$1),ZeroCompFreq,'PDH Calc'!$K446/365)</f>
        <v>1</v>
      </c>
      <c r="Y446" s="8">
        <f ca="1">_xll.HLV5r3.Analytics.Miscellaneous.Zero2DF(_xll.HLV5r3.Analytics.Miscellaneous.LinearInterp(Peturbed_QZ,$K446,1,Y$1),ZeroCompFreq,'PDH Calc'!$K446/365)</f>
        <v>1</v>
      </c>
      <c r="Z446" s="8">
        <f ca="1">_xll.HLV5r3.Analytics.Miscellaneous.Zero2DF(_xll.HLV5r3.Analytics.Miscellaneous.LinearInterp(Peturbed_QZ,$K446,1,Z$1),ZeroCompFreq,'PDH Calc'!$K446/365)</f>
        <v>1</v>
      </c>
      <c r="AA446" s="8">
        <f ca="1">_xll.HLV5r3.Analytics.Miscellaneous.Zero2DF(_xll.HLV5r3.Analytics.Miscellaneous.LinearInterp(Peturbed_QZ,$K446,1,AA$1),ZeroCompFreq,'PDH Calc'!$K446/365)</f>
        <v>1</v>
      </c>
      <c r="AB446" s="8">
        <f ca="1">_xll.HLV5r3.Analytics.Miscellaneous.Zero2DF(_xll.HLV5r3.Analytics.Miscellaneous.LinearInterp(Peturbed_QZ,$K446,1,AB$1),ZeroCompFreq,'PDH Calc'!$K446/365)</f>
        <v>1</v>
      </c>
      <c r="AC446" s="8">
        <f ca="1">_xll.HLV5r3.Analytics.Miscellaneous.Zero2DF(_xll.HLV5r3.Analytics.Miscellaneous.LinearInterp(Peturbed_QZ,$K446,1,AC$1),ZeroCompFreq,'PDH Calc'!$K446/365)</f>
        <v>1</v>
      </c>
      <c r="AD446" s="8">
        <f ca="1">_xll.HLV5r3.Analytics.Miscellaneous.Zero2DF(_xll.HLV5r3.Analytics.Miscellaneous.LinearInterp(Peturbed_QZ,$K446,1,AD$1),ZeroCompFreq,'PDH Calc'!$K446/365)</f>
        <v>1</v>
      </c>
      <c r="AE446" s="8">
        <f ca="1">_xll.HLV5r3.Analytics.Miscellaneous.Zero2DF(_xll.HLV5r3.Analytics.Miscellaneous.LinearInterp(Peturbed_QZ,$K446,1,AE$1),ZeroCompFreq,'PDH Calc'!$K446/365)</f>
        <v>1</v>
      </c>
      <c r="AF446" s="8">
        <f ca="1">_xll.HLV5r3.Analytics.Miscellaneous.Zero2DF(_xll.HLV5r3.Analytics.Miscellaneous.LinearInterp(Peturbed_QZ,$K446,1,AF$1),ZeroCompFreq,'PDH Calc'!$K446/365)</f>
        <v>1</v>
      </c>
      <c r="AG446" s="8">
        <f ca="1">_xll.HLV5r3.Analytics.Miscellaneous.Zero2DF(_xll.HLV5r3.Analytics.Miscellaneous.LinearInterp(Peturbed_QZ,$K446,1,AG$1),ZeroCompFreq,'PDH Calc'!$K446/365)</f>
        <v>1</v>
      </c>
      <c r="AH446" s="8">
        <f ca="1">_xll.HLV5r3.Analytics.Miscellaneous.Zero2DF(_xll.HLV5r3.Analytics.Miscellaneous.LinearInterp(Peturbed_QZ,$K446,1,AH$1),ZeroCompFreq,'PDH Calc'!$K446/365)</f>
        <v>1</v>
      </c>
      <c r="AI446" s="8">
        <f ca="1">_xll.HLV5r3.Analytics.Miscellaneous.Zero2DF(_xll.HLV5r3.Analytics.Miscellaneous.LinearInterp(Peturbed_QZ,$K446,1,AI$1),ZeroCompFreq,'PDH Calc'!$K446/365)</f>
        <v>1</v>
      </c>
      <c r="AJ446" s="8">
        <f ca="1">_xll.HLV5r3.Analytics.Miscellaneous.Zero2DF(_xll.HLV5r3.Analytics.Miscellaneous.LinearInterp(Peturbed_QZ,$K446,1,AJ$1),ZeroCompFreq,'PDH Calc'!$K446/365)</f>
        <v>1</v>
      </c>
      <c r="AK446" s="8">
        <f ca="1">_xll.HLV5r3.Analytics.Miscellaneous.Zero2DF(_xll.HLV5r3.Analytics.Miscellaneous.LinearInterp(Peturbed_QZ,$K446,1,AK$1),ZeroCompFreq,'PDH Calc'!$K446/365)</f>
        <v>1</v>
      </c>
    </row>
    <row r="447" spans="1:37">
      <c r="A447" s="4"/>
      <c r="B447" s="6"/>
      <c r="F447" s="11"/>
      <c r="G447" s="6"/>
      <c r="H447" s="20"/>
      <c r="I447" s="21"/>
      <c r="J447" s="26"/>
      <c r="K447" s="6">
        <f t="shared" ca="1" si="14"/>
        <v>0</v>
      </c>
      <c r="L447" s="8">
        <f ca="1">_xll.HLV5r3.Analytics.Miscellaneous.Zero2DF(_xll.HLV5r3.Analytics.Miscellaneous.LinearInterp(Peturbed_QZ,$K447,1,L$1),ZeroCompFreq,'PDH Calc'!$K447/365)</f>
        <v>1</v>
      </c>
      <c r="M447" s="8">
        <f ca="1">_xll.HLV5r3.Analytics.Miscellaneous.Zero2DF(_xll.HLV5r3.Analytics.Miscellaneous.LinearInterp(Peturbed_QZ,$K447,1,M$1),ZeroCompFreq,'PDH Calc'!$K447/365)</f>
        <v>1</v>
      </c>
      <c r="N447" s="8">
        <f ca="1">_xll.HLV5r3.Analytics.Miscellaneous.Zero2DF(_xll.HLV5r3.Analytics.Miscellaneous.LinearInterp(Peturbed_QZ,$K447,1,N$1),ZeroCompFreq,'PDH Calc'!$K447/365)</f>
        <v>1</v>
      </c>
      <c r="O447" s="8">
        <f ca="1">_xll.HLV5r3.Analytics.Miscellaneous.Zero2DF(_xll.HLV5r3.Analytics.Miscellaneous.LinearInterp(Peturbed_QZ,$K447,1,O$1),ZeroCompFreq,'PDH Calc'!$K447/365)</f>
        <v>1</v>
      </c>
      <c r="P447" s="8">
        <f ca="1">_xll.HLV5r3.Analytics.Miscellaneous.Zero2DF(_xll.HLV5r3.Analytics.Miscellaneous.LinearInterp(Peturbed_QZ,$K447,1,P$1),ZeroCompFreq,'PDH Calc'!$K447/365)</f>
        <v>1</v>
      </c>
      <c r="Q447" s="8">
        <f ca="1">_xll.HLV5r3.Analytics.Miscellaneous.Zero2DF(_xll.HLV5r3.Analytics.Miscellaneous.LinearInterp(Peturbed_QZ,$K447,1,Q$1),ZeroCompFreq,'PDH Calc'!$K447/365)</f>
        <v>1</v>
      </c>
      <c r="R447" s="8">
        <f ca="1">_xll.HLV5r3.Analytics.Miscellaneous.Zero2DF(_xll.HLV5r3.Analytics.Miscellaneous.LinearInterp(Peturbed_QZ,$K447,1,R$1),ZeroCompFreq,'PDH Calc'!$K447/365)</f>
        <v>1</v>
      </c>
      <c r="S447" s="8">
        <f ca="1">_xll.HLV5r3.Analytics.Miscellaneous.Zero2DF(_xll.HLV5r3.Analytics.Miscellaneous.LinearInterp(Peturbed_QZ,$K447,1,S$1),ZeroCompFreq,'PDH Calc'!$K447/365)</f>
        <v>1</v>
      </c>
      <c r="T447" s="8">
        <f ca="1">_xll.HLV5r3.Analytics.Miscellaneous.Zero2DF(_xll.HLV5r3.Analytics.Miscellaneous.LinearInterp(Peturbed_QZ,$K447,1,T$1),ZeroCompFreq,'PDH Calc'!$K447/365)</f>
        <v>1</v>
      </c>
      <c r="U447" s="8">
        <f ca="1">_xll.HLV5r3.Analytics.Miscellaneous.Zero2DF(_xll.HLV5r3.Analytics.Miscellaneous.LinearInterp(Peturbed_QZ,$K447,1,U$1),ZeroCompFreq,'PDH Calc'!$K447/365)</f>
        <v>1</v>
      </c>
      <c r="V447" s="8">
        <f ca="1">_xll.HLV5r3.Analytics.Miscellaneous.Zero2DF(_xll.HLV5r3.Analytics.Miscellaneous.LinearInterp(Peturbed_QZ,$K447,1,V$1),ZeroCompFreq,'PDH Calc'!$K447/365)</f>
        <v>1</v>
      </c>
      <c r="W447" s="8">
        <f ca="1">_xll.HLV5r3.Analytics.Miscellaneous.Zero2DF(_xll.HLV5r3.Analytics.Miscellaneous.LinearInterp(Peturbed_QZ,$K447,1,W$1),ZeroCompFreq,'PDH Calc'!$K447/365)</f>
        <v>1</v>
      </c>
      <c r="X447" s="8">
        <f ca="1">_xll.HLV5r3.Analytics.Miscellaneous.Zero2DF(_xll.HLV5r3.Analytics.Miscellaneous.LinearInterp(Peturbed_QZ,$K447,1,X$1),ZeroCompFreq,'PDH Calc'!$K447/365)</f>
        <v>1</v>
      </c>
      <c r="Y447" s="8">
        <f ca="1">_xll.HLV5r3.Analytics.Miscellaneous.Zero2DF(_xll.HLV5r3.Analytics.Miscellaneous.LinearInterp(Peturbed_QZ,$K447,1,Y$1),ZeroCompFreq,'PDH Calc'!$K447/365)</f>
        <v>1</v>
      </c>
      <c r="Z447" s="8">
        <f ca="1">_xll.HLV5r3.Analytics.Miscellaneous.Zero2DF(_xll.HLV5r3.Analytics.Miscellaneous.LinearInterp(Peturbed_QZ,$K447,1,Z$1),ZeroCompFreq,'PDH Calc'!$K447/365)</f>
        <v>1</v>
      </c>
      <c r="AA447" s="8">
        <f ca="1">_xll.HLV5r3.Analytics.Miscellaneous.Zero2DF(_xll.HLV5r3.Analytics.Miscellaneous.LinearInterp(Peturbed_QZ,$K447,1,AA$1),ZeroCompFreq,'PDH Calc'!$K447/365)</f>
        <v>1</v>
      </c>
      <c r="AB447" s="8">
        <f ca="1">_xll.HLV5r3.Analytics.Miscellaneous.Zero2DF(_xll.HLV5r3.Analytics.Miscellaneous.LinearInterp(Peturbed_QZ,$K447,1,AB$1),ZeroCompFreq,'PDH Calc'!$K447/365)</f>
        <v>1</v>
      </c>
      <c r="AC447" s="8">
        <f ca="1">_xll.HLV5r3.Analytics.Miscellaneous.Zero2DF(_xll.HLV5r3.Analytics.Miscellaneous.LinearInterp(Peturbed_QZ,$K447,1,AC$1),ZeroCompFreq,'PDH Calc'!$K447/365)</f>
        <v>1</v>
      </c>
      <c r="AD447" s="8">
        <f ca="1">_xll.HLV5r3.Analytics.Miscellaneous.Zero2DF(_xll.HLV5r3.Analytics.Miscellaneous.LinearInterp(Peturbed_QZ,$K447,1,AD$1),ZeroCompFreq,'PDH Calc'!$K447/365)</f>
        <v>1</v>
      </c>
      <c r="AE447" s="8">
        <f ca="1">_xll.HLV5r3.Analytics.Miscellaneous.Zero2DF(_xll.HLV5r3.Analytics.Miscellaneous.LinearInterp(Peturbed_QZ,$K447,1,AE$1),ZeroCompFreq,'PDH Calc'!$K447/365)</f>
        <v>1</v>
      </c>
      <c r="AF447" s="8">
        <f ca="1">_xll.HLV5r3.Analytics.Miscellaneous.Zero2DF(_xll.HLV5r3.Analytics.Miscellaneous.LinearInterp(Peturbed_QZ,$K447,1,AF$1),ZeroCompFreq,'PDH Calc'!$K447/365)</f>
        <v>1</v>
      </c>
      <c r="AG447" s="8">
        <f ca="1">_xll.HLV5r3.Analytics.Miscellaneous.Zero2DF(_xll.HLV5r3.Analytics.Miscellaneous.LinearInterp(Peturbed_QZ,$K447,1,AG$1),ZeroCompFreq,'PDH Calc'!$K447/365)</f>
        <v>1</v>
      </c>
      <c r="AH447" s="8">
        <f ca="1">_xll.HLV5r3.Analytics.Miscellaneous.Zero2DF(_xll.HLV5r3.Analytics.Miscellaneous.LinearInterp(Peturbed_QZ,$K447,1,AH$1),ZeroCompFreq,'PDH Calc'!$K447/365)</f>
        <v>1</v>
      </c>
      <c r="AI447" s="8">
        <f ca="1">_xll.HLV5r3.Analytics.Miscellaneous.Zero2DF(_xll.HLV5r3.Analytics.Miscellaneous.LinearInterp(Peturbed_QZ,$K447,1,AI$1),ZeroCompFreq,'PDH Calc'!$K447/365)</f>
        <v>1</v>
      </c>
      <c r="AJ447" s="8">
        <f ca="1">_xll.HLV5r3.Analytics.Miscellaneous.Zero2DF(_xll.HLV5r3.Analytics.Miscellaneous.LinearInterp(Peturbed_QZ,$K447,1,AJ$1),ZeroCompFreq,'PDH Calc'!$K447/365)</f>
        <v>1</v>
      </c>
      <c r="AK447" s="8">
        <f ca="1">_xll.HLV5r3.Analytics.Miscellaneous.Zero2DF(_xll.HLV5r3.Analytics.Miscellaneous.LinearInterp(Peturbed_QZ,$K447,1,AK$1),ZeroCompFreq,'PDH Calc'!$K447/365)</f>
        <v>1</v>
      </c>
    </row>
    <row r="448" spans="1:37">
      <c r="A448" s="4"/>
      <c r="B448" s="6"/>
      <c r="F448" s="11"/>
      <c r="G448" s="6"/>
      <c r="H448" s="20"/>
      <c r="I448" s="21"/>
      <c r="J448" s="26"/>
      <c r="K448" s="6">
        <f t="shared" ca="1" si="14"/>
        <v>0</v>
      </c>
      <c r="L448" s="8">
        <f ca="1">_xll.HLV5r3.Analytics.Miscellaneous.Zero2DF(_xll.HLV5r3.Analytics.Miscellaneous.LinearInterp(Peturbed_QZ,$K448,1,L$1),ZeroCompFreq,'PDH Calc'!$K448/365)</f>
        <v>1</v>
      </c>
      <c r="M448" s="8">
        <f ca="1">_xll.HLV5r3.Analytics.Miscellaneous.Zero2DF(_xll.HLV5r3.Analytics.Miscellaneous.LinearInterp(Peturbed_QZ,$K448,1,M$1),ZeroCompFreq,'PDH Calc'!$K448/365)</f>
        <v>1</v>
      </c>
      <c r="N448" s="8">
        <f ca="1">_xll.HLV5r3.Analytics.Miscellaneous.Zero2DF(_xll.HLV5r3.Analytics.Miscellaneous.LinearInterp(Peturbed_QZ,$K448,1,N$1),ZeroCompFreq,'PDH Calc'!$K448/365)</f>
        <v>1</v>
      </c>
      <c r="O448" s="8">
        <f ca="1">_xll.HLV5r3.Analytics.Miscellaneous.Zero2DF(_xll.HLV5r3.Analytics.Miscellaneous.LinearInterp(Peturbed_QZ,$K448,1,O$1),ZeroCompFreq,'PDH Calc'!$K448/365)</f>
        <v>1</v>
      </c>
      <c r="P448" s="8">
        <f ca="1">_xll.HLV5r3.Analytics.Miscellaneous.Zero2DF(_xll.HLV5r3.Analytics.Miscellaneous.LinearInterp(Peturbed_QZ,$K448,1,P$1),ZeroCompFreq,'PDH Calc'!$K448/365)</f>
        <v>1</v>
      </c>
      <c r="Q448" s="8">
        <f ca="1">_xll.HLV5r3.Analytics.Miscellaneous.Zero2DF(_xll.HLV5r3.Analytics.Miscellaneous.LinearInterp(Peturbed_QZ,$K448,1,Q$1),ZeroCompFreq,'PDH Calc'!$K448/365)</f>
        <v>1</v>
      </c>
      <c r="R448" s="8">
        <f ca="1">_xll.HLV5r3.Analytics.Miscellaneous.Zero2DF(_xll.HLV5r3.Analytics.Miscellaneous.LinearInterp(Peturbed_QZ,$K448,1,R$1),ZeroCompFreq,'PDH Calc'!$K448/365)</f>
        <v>1</v>
      </c>
      <c r="S448" s="8">
        <f ca="1">_xll.HLV5r3.Analytics.Miscellaneous.Zero2DF(_xll.HLV5r3.Analytics.Miscellaneous.LinearInterp(Peturbed_QZ,$K448,1,S$1),ZeroCompFreq,'PDH Calc'!$K448/365)</f>
        <v>1</v>
      </c>
      <c r="T448" s="8">
        <f ca="1">_xll.HLV5r3.Analytics.Miscellaneous.Zero2DF(_xll.HLV5r3.Analytics.Miscellaneous.LinearInterp(Peturbed_QZ,$K448,1,T$1),ZeroCompFreq,'PDH Calc'!$K448/365)</f>
        <v>1</v>
      </c>
      <c r="U448" s="8">
        <f ca="1">_xll.HLV5r3.Analytics.Miscellaneous.Zero2DF(_xll.HLV5r3.Analytics.Miscellaneous.LinearInterp(Peturbed_QZ,$K448,1,U$1),ZeroCompFreq,'PDH Calc'!$K448/365)</f>
        <v>1</v>
      </c>
      <c r="V448" s="8">
        <f ca="1">_xll.HLV5r3.Analytics.Miscellaneous.Zero2DF(_xll.HLV5r3.Analytics.Miscellaneous.LinearInterp(Peturbed_QZ,$K448,1,V$1),ZeroCompFreq,'PDH Calc'!$K448/365)</f>
        <v>1</v>
      </c>
      <c r="W448" s="8">
        <f ca="1">_xll.HLV5r3.Analytics.Miscellaneous.Zero2DF(_xll.HLV5r3.Analytics.Miscellaneous.LinearInterp(Peturbed_QZ,$K448,1,W$1),ZeroCompFreq,'PDH Calc'!$K448/365)</f>
        <v>1</v>
      </c>
      <c r="X448" s="8">
        <f ca="1">_xll.HLV5r3.Analytics.Miscellaneous.Zero2DF(_xll.HLV5r3.Analytics.Miscellaneous.LinearInterp(Peturbed_QZ,$K448,1,X$1),ZeroCompFreq,'PDH Calc'!$K448/365)</f>
        <v>1</v>
      </c>
      <c r="Y448" s="8">
        <f ca="1">_xll.HLV5r3.Analytics.Miscellaneous.Zero2DF(_xll.HLV5r3.Analytics.Miscellaneous.LinearInterp(Peturbed_QZ,$K448,1,Y$1),ZeroCompFreq,'PDH Calc'!$K448/365)</f>
        <v>1</v>
      </c>
      <c r="Z448" s="8">
        <f ca="1">_xll.HLV5r3.Analytics.Miscellaneous.Zero2DF(_xll.HLV5r3.Analytics.Miscellaneous.LinearInterp(Peturbed_QZ,$K448,1,Z$1),ZeroCompFreq,'PDH Calc'!$K448/365)</f>
        <v>1</v>
      </c>
      <c r="AA448" s="8">
        <f ca="1">_xll.HLV5r3.Analytics.Miscellaneous.Zero2DF(_xll.HLV5r3.Analytics.Miscellaneous.LinearInterp(Peturbed_QZ,$K448,1,AA$1),ZeroCompFreq,'PDH Calc'!$K448/365)</f>
        <v>1</v>
      </c>
      <c r="AB448" s="8">
        <f ca="1">_xll.HLV5r3.Analytics.Miscellaneous.Zero2DF(_xll.HLV5r3.Analytics.Miscellaneous.LinearInterp(Peturbed_QZ,$K448,1,AB$1),ZeroCompFreq,'PDH Calc'!$K448/365)</f>
        <v>1</v>
      </c>
      <c r="AC448" s="8">
        <f ca="1">_xll.HLV5r3.Analytics.Miscellaneous.Zero2DF(_xll.HLV5r3.Analytics.Miscellaneous.LinearInterp(Peturbed_QZ,$K448,1,AC$1),ZeroCompFreq,'PDH Calc'!$K448/365)</f>
        <v>1</v>
      </c>
      <c r="AD448" s="8">
        <f ca="1">_xll.HLV5r3.Analytics.Miscellaneous.Zero2DF(_xll.HLV5r3.Analytics.Miscellaneous.LinearInterp(Peturbed_QZ,$K448,1,AD$1),ZeroCompFreq,'PDH Calc'!$K448/365)</f>
        <v>1</v>
      </c>
      <c r="AE448" s="8">
        <f ca="1">_xll.HLV5r3.Analytics.Miscellaneous.Zero2DF(_xll.HLV5r3.Analytics.Miscellaneous.LinearInterp(Peturbed_QZ,$K448,1,AE$1),ZeroCompFreq,'PDH Calc'!$K448/365)</f>
        <v>1</v>
      </c>
      <c r="AF448" s="8">
        <f ca="1">_xll.HLV5r3.Analytics.Miscellaneous.Zero2DF(_xll.HLV5r3.Analytics.Miscellaneous.LinearInterp(Peturbed_QZ,$K448,1,AF$1),ZeroCompFreq,'PDH Calc'!$K448/365)</f>
        <v>1</v>
      </c>
      <c r="AG448" s="8">
        <f ca="1">_xll.HLV5r3.Analytics.Miscellaneous.Zero2DF(_xll.HLV5r3.Analytics.Miscellaneous.LinearInterp(Peturbed_QZ,$K448,1,AG$1),ZeroCompFreq,'PDH Calc'!$K448/365)</f>
        <v>1</v>
      </c>
      <c r="AH448" s="8">
        <f ca="1">_xll.HLV5r3.Analytics.Miscellaneous.Zero2DF(_xll.HLV5r3.Analytics.Miscellaneous.LinearInterp(Peturbed_QZ,$K448,1,AH$1),ZeroCompFreq,'PDH Calc'!$K448/365)</f>
        <v>1</v>
      </c>
      <c r="AI448" s="8">
        <f ca="1">_xll.HLV5r3.Analytics.Miscellaneous.Zero2DF(_xll.HLV5r3.Analytics.Miscellaneous.LinearInterp(Peturbed_QZ,$K448,1,AI$1),ZeroCompFreq,'PDH Calc'!$K448/365)</f>
        <v>1</v>
      </c>
      <c r="AJ448" s="8">
        <f ca="1">_xll.HLV5r3.Analytics.Miscellaneous.Zero2DF(_xll.HLV5r3.Analytics.Miscellaneous.LinearInterp(Peturbed_QZ,$K448,1,AJ$1),ZeroCompFreq,'PDH Calc'!$K448/365)</f>
        <v>1</v>
      </c>
      <c r="AK448" s="8">
        <f ca="1">_xll.HLV5r3.Analytics.Miscellaneous.Zero2DF(_xll.HLV5r3.Analytics.Miscellaneous.LinearInterp(Peturbed_QZ,$K448,1,AK$1),ZeroCompFreq,'PDH Calc'!$K448/365)</f>
        <v>1</v>
      </c>
    </row>
    <row r="449" spans="1:37">
      <c r="A449" s="4"/>
      <c r="B449" s="6"/>
      <c r="F449" s="11"/>
      <c r="G449" s="6"/>
      <c r="H449" s="20"/>
      <c r="I449" s="21"/>
      <c r="J449" s="26"/>
      <c r="K449" s="6">
        <f t="shared" ca="1" si="14"/>
        <v>0</v>
      </c>
      <c r="L449" s="8">
        <f ca="1">_xll.HLV5r3.Analytics.Miscellaneous.Zero2DF(_xll.HLV5r3.Analytics.Miscellaneous.LinearInterp(Peturbed_QZ,$K449,1,L$1),ZeroCompFreq,'PDH Calc'!$K449/365)</f>
        <v>1</v>
      </c>
      <c r="M449" s="8">
        <f ca="1">_xll.HLV5r3.Analytics.Miscellaneous.Zero2DF(_xll.HLV5r3.Analytics.Miscellaneous.LinearInterp(Peturbed_QZ,$K449,1,M$1),ZeroCompFreq,'PDH Calc'!$K449/365)</f>
        <v>1</v>
      </c>
      <c r="N449" s="8">
        <f ca="1">_xll.HLV5r3.Analytics.Miscellaneous.Zero2DF(_xll.HLV5r3.Analytics.Miscellaneous.LinearInterp(Peturbed_QZ,$K449,1,N$1),ZeroCompFreq,'PDH Calc'!$K449/365)</f>
        <v>1</v>
      </c>
      <c r="O449" s="8">
        <f ca="1">_xll.HLV5r3.Analytics.Miscellaneous.Zero2DF(_xll.HLV5r3.Analytics.Miscellaneous.LinearInterp(Peturbed_QZ,$K449,1,O$1),ZeroCompFreq,'PDH Calc'!$K449/365)</f>
        <v>1</v>
      </c>
      <c r="P449" s="8">
        <f ca="1">_xll.HLV5r3.Analytics.Miscellaneous.Zero2DF(_xll.HLV5r3.Analytics.Miscellaneous.LinearInterp(Peturbed_QZ,$K449,1,P$1),ZeroCompFreq,'PDH Calc'!$K449/365)</f>
        <v>1</v>
      </c>
      <c r="Q449" s="8">
        <f ca="1">_xll.HLV5r3.Analytics.Miscellaneous.Zero2DF(_xll.HLV5r3.Analytics.Miscellaneous.LinearInterp(Peturbed_QZ,$K449,1,Q$1),ZeroCompFreq,'PDH Calc'!$K449/365)</f>
        <v>1</v>
      </c>
      <c r="R449" s="8">
        <f ca="1">_xll.HLV5r3.Analytics.Miscellaneous.Zero2DF(_xll.HLV5r3.Analytics.Miscellaneous.LinearInterp(Peturbed_QZ,$K449,1,R$1),ZeroCompFreq,'PDH Calc'!$K449/365)</f>
        <v>1</v>
      </c>
      <c r="S449" s="8">
        <f ca="1">_xll.HLV5r3.Analytics.Miscellaneous.Zero2DF(_xll.HLV5r3.Analytics.Miscellaneous.LinearInterp(Peturbed_QZ,$K449,1,S$1),ZeroCompFreq,'PDH Calc'!$K449/365)</f>
        <v>1</v>
      </c>
      <c r="T449" s="8">
        <f ca="1">_xll.HLV5r3.Analytics.Miscellaneous.Zero2DF(_xll.HLV5r3.Analytics.Miscellaneous.LinearInterp(Peturbed_QZ,$K449,1,T$1),ZeroCompFreq,'PDH Calc'!$K449/365)</f>
        <v>1</v>
      </c>
      <c r="U449" s="8">
        <f ca="1">_xll.HLV5r3.Analytics.Miscellaneous.Zero2DF(_xll.HLV5r3.Analytics.Miscellaneous.LinearInterp(Peturbed_QZ,$K449,1,U$1),ZeroCompFreq,'PDH Calc'!$K449/365)</f>
        <v>1</v>
      </c>
      <c r="V449" s="8">
        <f ca="1">_xll.HLV5r3.Analytics.Miscellaneous.Zero2DF(_xll.HLV5r3.Analytics.Miscellaneous.LinearInterp(Peturbed_QZ,$K449,1,V$1),ZeroCompFreq,'PDH Calc'!$K449/365)</f>
        <v>1</v>
      </c>
      <c r="W449" s="8">
        <f ca="1">_xll.HLV5r3.Analytics.Miscellaneous.Zero2DF(_xll.HLV5r3.Analytics.Miscellaneous.LinearInterp(Peturbed_QZ,$K449,1,W$1),ZeroCompFreq,'PDH Calc'!$K449/365)</f>
        <v>1</v>
      </c>
      <c r="X449" s="8">
        <f ca="1">_xll.HLV5r3.Analytics.Miscellaneous.Zero2DF(_xll.HLV5r3.Analytics.Miscellaneous.LinearInterp(Peturbed_QZ,$K449,1,X$1),ZeroCompFreq,'PDH Calc'!$K449/365)</f>
        <v>1</v>
      </c>
      <c r="Y449" s="8">
        <f ca="1">_xll.HLV5r3.Analytics.Miscellaneous.Zero2DF(_xll.HLV5r3.Analytics.Miscellaneous.LinearInterp(Peturbed_QZ,$K449,1,Y$1),ZeroCompFreq,'PDH Calc'!$K449/365)</f>
        <v>1</v>
      </c>
      <c r="Z449" s="8">
        <f ca="1">_xll.HLV5r3.Analytics.Miscellaneous.Zero2DF(_xll.HLV5r3.Analytics.Miscellaneous.LinearInterp(Peturbed_QZ,$K449,1,Z$1),ZeroCompFreq,'PDH Calc'!$K449/365)</f>
        <v>1</v>
      </c>
      <c r="AA449" s="8">
        <f ca="1">_xll.HLV5r3.Analytics.Miscellaneous.Zero2DF(_xll.HLV5r3.Analytics.Miscellaneous.LinearInterp(Peturbed_QZ,$K449,1,AA$1),ZeroCompFreq,'PDH Calc'!$K449/365)</f>
        <v>1</v>
      </c>
      <c r="AB449" s="8">
        <f ca="1">_xll.HLV5r3.Analytics.Miscellaneous.Zero2DF(_xll.HLV5r3.Analytics.Miscellaneous.LinearInterp(Peturbed_QZ,$K449,1,AB$1),ZeroCompFreq,'PDH Calc'!$K449/365)</f>
        <v>1</v>
      </c>
      <c r="AC449" s="8">
        <f ca="1">_xll.HLV5r3.Analytics.Miscellaneous.Zero2DF(_xll.HLV5r3.Analytics.Miscellaneous.LinearInterp(Peturbed_QZ,$K449,1,AC$1),ZeroCompFreq,'PDH Calc'!$K449/365)</f>
        <v>1</v>
      </c>
      <c r="AD449" s="8">
        <f ca="1">_xll.HLV5r3.Analytics.Miscellaneous.Zero2DF(_xll.HLV5r3.Analytics.Miscellaneous.LinearInterp(Peturbed_QZ,$K449,1,AD$1),ZeroCompFreq,'PDH Calc'!$K449/365)</f>
        <v>1</v>
      </c>
      <c r="AE449" s="8">
        <f ca="1">_xll.HLV5r3.Analytics.Miscellaneous.Zero2DF(_xll.HLV5r3.Analytics.Miscellaneous.LinearInterp(Peturbed_QZ,$K449,1,AE$1),ZeroCompFreq,'PDH Calc'!$K449/365)</f>
        <v>1</v>
      </c>
      <c r="AF449" s="8">
        <f ca="1">_xll.HLV5r3.Analytics.Miscellaneous.Zero2DF(_xll.HLV5r3.Analytics.Miscellaneous.LinearInterp(Peturbed_QZ,$K449,1,AF$1),ZeroCompFreq,'PDH Calc'!$K449/365)</f>
        <v>1</v>
      </c>
      <c r="AG449" s="8">
        <f ca="1">_xll.HLV5r3.Analytics.Miscellaneous.Zero2DF(_xll.HLV5r3.Analytics.Miscellaneous.LinearInterp(Peturbed_QZ,$K449,1,AG$1),ZeroCompFreq,'PDH Calc'!$K449/365)</f>
        <v>1</v>
      </c>
      <c r="AH449" s="8">
        <f ca="1">_xll.HLV5r3.Analytics.Miscellaneous.Zero2DF(_xll.HLV5r3.Analytics.Miscellaneous.LinearInterp(Peturbed_QZ,$K449,1,AH$1),ZeroCompFreq,'PDH Calc'!$K449/365)</f>
        <v>1</v>
      </c>
      <c r="AI449" s="8">
        <f ca="1">_xll.HLV5r3.Analytics.Miscellaneous.Zero2DF(_xll.HLV5r3.Analytics.Miscellaneous.LinearInterp(Peturbed_QZ,$K449,1,AI$1),ZeroCompFreq,'PDH Calc'!$K449/365)</f>
        <v>1</v>
      </c>
      <c r="AJ449" s="8">
        <f ca="1">_xll.HLV5r3.Analytics.Miscellaneous.Zero2DF(_xll.HLV5r3.Analytics.Miscellaneous.LinearInterp(Peturbed_QZ,$K449,1,AJ$1),ZeroCompFreq,'PDH Calc'!$K449/365)</f>
        <v>1</v>
      </c>
      <c r="AK449" s="8">
        <f ca="1">_xll.HLV5r3.Analytics.Miscellaneous.Zero2DF(_xll.HLV5r3.Analytics.Miscellaneous.LinearInterp(Peturbed_QZ,$K449,1,AK$1),ZeroCompFreq,'PDH Calc'!$K449/365)</f>
        <v>1</v>
      </c>
    </row>
    <row r="450" spans="1:37">
      <c r="A450" s="4"/>
      <c r="B450" s="6"/>
      <c r="F450" s="11"/>
      <c r="G450" s="6"/>
      <c r="H450" s="20"/>
      <c r="I450" s="21"/>
      <c r="J450" s="26"/>
      <c r="K450" s="6">
        <f t="shared" ca="1" si="14"/>
        <v>0</v>
      </c>
      <c r="L450" s="8">
        <f ca="1">_xll.HLV5r3.Analytics.Miscellaneous.Zero2DF(_xll.HLV5r3.Analytics.Miscellaneous.LinearInterp(Peturbed_QZ,$K450,1,L$1),ZeroCompFreq,'PDH Calc'!$K450/365)</f>
        <v>1</v>
      </c>
      <c r="M450" s="8">
        <f ca="1">_xll.HLV5r3.Analytics.Miscellaneous.Zero2DF(_xll.HLV5r3.Analytics.Miscellaneous.LinearInterp(Peturbed_QZ,$K450,1,M$1),ZeroCompFreq,'PDH Calc'!$K450/365)</f>
        <v>1</v>
      </c>
      <c r="N450" s="8">
        <f ca="1">_xll.HLV5r3.Analytics.Miscellaneous.Zero2DF(_xll.HLV5r3.Analytics.Miscellaneous.LinearInterp(Peturbed_QZ,$K450,1,N$1),ZeroCompFreq,'PDH Calc'!$K450/365)</f>
        <v>1</v>
      </c>
      <c r="O450" s="8">
        <f ca="1">_xll.HLV5r3.Analytics.Miscellaneous.Zero2DF(_xll.HLV5r3.Analytics.Miscellaneous.LinearInterp(Peturbed_QZ,$K450,1,O$1),ZeroCompFreq,'PDH Calc'!$K450/365)</f>
        <v>1</v>
      </c>
      <c r="P450" s="8">
        <f ca="1">_xll.HLV5r3.Analytics.Miscellaneous.Zero2DF(_xll.HLV5r3.Analytics.Miscellaneous.LinearInterp(Peturbed_QZ,$K450,1,P$1),ZeroCompFreq,'PDH Calc'!$K450/365)</f>
        <v>1</v>
      </c>
      <c r="Q450" s="8">
        <f ca="1">_xll.HLV5r3.Analytics.Miscellaneous.Zero2DF(_xll.HLV5r3.Analytics.Miscellaneous.LinearInterp(Peturbed_QZ,$K450,1,Q$1),ZeroCompFreq,'PDH Calc'!$K450/365)</f>
        <v>1</v>
      </c>
      <c r="R450" s="8">
        <f ca="1">_xll.HLV5r3.Analytics.Miscellaneous.Zero2DF(_xll.HLV5r3.Analytics.Miscellaneous.LinearInterp(Peturbed_QZ,$K450,1,R$1),ZeroCompFreq,'PDH Calc'!$K450/365)</f>
        <v>1</v>
      </c>
      <c r="S450" s="8">
        <f ca="1">_xll.HLV5r3.Analytics.Miscellaneous.Zero2DF(_xll.HLV5r3.Analytics.Miscellaneous.LinearInterp(Peturbed_QZ,$K450,1,S$1),ZeroCompFreq,'PDH Calc'!$K450/365)</f>
        <v>1</v>
      </c>
      <c r="T450" s="8">
        <f ca="1">_xll.HLV5r3.Analytics.Miscellaneous.Zero2DF(_xll.HLV5r3.Analytics.Miscellaneous.LinearInterp(Peturbed_QZ,$K450,1,T$1),ZeroCompFreq,'PDH Calc'!$K450/365)</f>
        <v>1</v>
      </c>
      <c r="U450" s="8">
        <f ca="1">_xll.HLV5r3.Analytics.Miscellaneous.Zero2DF(_xll.HLV5r3.Analytics.Miscellaneous.LinearInterp(Peturbed_QZ,$K450,1,U$1),ZeroCompFreq,'PDH Calc'!$K450/365)</f>
        <v>1</v>
      </c>
      <c r="V450" s="8">
        <f ca="1">_xll.HLV5r3.Analytics.Miscellaneous.Zero2DF(_xll.HLV5r3.Analytics.Miscellaneous.LinearInterp(Peturbed_QZ,$K450,1,V$1),ZeroCompFreq,'PDH Calc'!$K450/365)</f>
        <v>1</v>
      </c>
      <c r="W450" s="8">
        <f ca="1">_xll.HLV5r3.Analytics.Miscellaneous.Zero2DF(_xll.HLV5r3.Analytics.Miscellaneous.LinearInterp(Peturbed_QZ,$K450,1,W$1),ZeroCompFreq,'PDH Calc'!$K450/365)</f>
        <v>1</v>
      </c>
      <c r="X450" s="8">
        <f ca="1">_xll.HLV5r3.Analytics.Miscellaneous.Zero2DF(_xll.HLV5r3.Analytics.Miscellaneous.LinearInterp(Peturbed_QZ,$K450,1,X$1),ZeroCompFreq,'PDH Calc'!$K450/365)</f>
        <v>1</v>
      </c>
      <c r="Y450" s="8">
        <f ca="1">_xll.HLV5r3.Analytics.Miscellaneous.Zero2DF(_xll.HLV5r3.Analytics.Miscellaneous.LinearInterp(Peturbed_QZ,$K450,1,Y$1),ZeroCompFreq,'PDH Calc'!$K450/365)</f>
        <v>1</v>
      </c>
      <c r="Z450" s="8">
        <f ca="1">_xll.HLV5r3.Analytics.Miscellaneous.Zero2DF(_xll.HLV5r3.Analytics.Miscellaneous.LinearInterp(Peturbed_QZ,$K450,1,Z$1),ZeroCompFreq,'PDH Calc'!$K450/365)</f>
        <v>1</v>
      </c>
      <c r="AA450" s="8">
        <f ca="1">_xll.HLV5r3.Analytics.Miscellaneous.Zero2DF(_xll.HLV5r3.Analytics.Miscellaneous.LinearInterp(Peturbed_QZ,$K450,1,AA$1),ZeroCompFreq,'PDH Calc'!$K450/365)</f>
        <v>1</v>
      </c>
      <c r="AB450" s="8">
        <f ca="1">_xll.HLV5r3.Analytics.Miscellaneous.Zero2DF(_xll.HLV5r3.Analytics.Miscellaneous.LinearInterp(Peturbed_QZ,$K450,1,AB$1),ZeroCompFreq,'PDH Calc'!$K450/365)</f>
        <v>1</v>
      </c>
      <c r="AC450" s="8">
        <f ca="1">_xll.HLV5r3.Analytics.Miscellaneous.Zero2DF(_xll.HLV5r3.Analytics.Miscellaneous.LinearInterp(Peturbed_QZ,$K450,1,AC$1),ZeroCompFreq,'PDH Calc'!$K450/365)</f>
        <v>1</v>
      </c>
      <c r="AD450" s="8">
        <f ca="1">_xll.HLV5r3.Analytics.Miscellaneous.Zero2DF(_xll.HLV5r3.Analytics.Miscellaneous.LinearInterp(Peturbed_QZ,$K450,1,AD$1),ZeroCompFreq,'PDH Calc'!$K450/365)</f>
        <v>1</v>
      </c>
      <c r="AE450" s="8">
        <f ca="1">_xll.HLV5r3.Analytics.Miscellaneous.Zero2DF(_xll.HLV5r3.Analytics.Miscellaneous.LinearInterp(Peturbed_QZ,$K450,1,AE$1),ZeroCompFreq,'PDH Calc'!$K450/365)</f>
        <v>1</v>
      </c>
      <c r="AF450" s="8">
        <f ca="1">_xll.HLV5r3.Analytics.Miscellaneous.Zero2DF(_xll.HLV5r3.Analytics.Miscellaneous.LinearInterp(Peturbed_QZ,$K450,1,AF$1),ZeroCompFreq,'PDH Calc'!$K450/365)</f>
        <v>1</v>
      </c>
      <c r="AG450" s="8">
        <f ca="1">_xll.HLV5r3.Analytics.Miscellaneous.Zero2DF(_xll.HLV5r3.Analytics.Miscellaneous.LinearInterp(Peturbed_QZ,$K450,1,AG$1),ZeroCompFreq,'PDH Calc'!$K450/365)</f>
        <v>1</v>
      </c>
      <c r="AH450" s="8">
        <f ca="1">_xll.HLV5r3.Analytics.Miscellaneous.Zero2DF(_xll.HLV5r3.Analytics.Miscellaneous.LinearInterp(Peturbed_QZ,$K450,1,AH$1),ZeroCompFreq,'PDH Calc'!$K450/365)</f>
        <v>1</v>
      </c>
      <c r="AI450" s="8">
        <f ca="1">_xll.HLV5r3.Analytics.Miscellaneous.Zero2DF(_xll.HLV5r3.Analytics.Miscellaneous.LinearInterp(Peturbed_QZ,$K450,1,AI$1),ZeroCompFreq,'PDH Calc'!$K450/365)</f>
        <v>1</v>
      </c>
      <c r="AJ450" s="8">
        <f ca="1">_xll.HLV5r3.Analytics.Miscellaneous.Zero2DF(_xll.HLV5r3.Analytics.Miscellaneous.LinearInterp(Peturbed_QZ,$K450,1,AJ$1),ZeroCompFreq,'PDH Calc'!$K450/365)</f>
        <v>1</v>
      </c>
      <c r="AK450" s="8">
        <f ca="1">_xll.HLV5r3.Analytics.Miscellaneous.Zero2DF(_xll.HLV5r3.Analytics.Miscellaneous.LinearInterp(Peturbed_QZ,$K450,1,AK$1),ZeroCompFreq,'PDH Calc'!$K450/365)</f>
        <v>1</v>
      </c>
    </row>
    <row r="451" spans="1:37">
      <c r="A451" s="4"/>
      <c r="B451" s="6"/>
      <c r="F451" s="11"/>
      <c r="G451" s="6"/>
      <c r="H451" s="20"/>
      <c r="I451" s="21"/>
      <c r="J451" s="26"/>
      <c r="K451" s="6">
        <f t="shared" ca="1" si="14"/>
        <v>0</v>
      </c>
      <c r="L451" s="8">
        <f ca="1">_xll.HLV5r3.Analytics.Miscellaneous.Zero2DF(_xll.HLV5r3.Analytics.Miscellaneous.LinearInterp(Peturbed_QZ,$K451,1,L$1),ZeroCompFreq,'PDH Calc'!$K451/365)</f>
        <v>1</v>
      </c>
      <c r="M451" s="8">
        <f ca="1">_xll.HLV5r3.Analytics.Miscellaneous.Zero2DF(_xll.HLV5r3.Analytics.Miscellaneous.LinearInterp(Peturbed_QZ,$K451,1,M$1),ZeroCompFreq,'PDH Calc'!$K451/365)</f>
        <v>1</v>
      </c>
      <c r="N451" s="8">
        <f ca="1">_xll.HLV5r3.Analytics.Miscellaneous.Zero2DF(_xll.HLV5r3.Analytics.Miscellaneous.LinearInterp(Peturbed_QZ,$K451,1,N$1),ZeroCompFreq,'PDH Calc'!$K451/365)</f>
        <v>1</v>
      </c>
      <c r="O451" s="8">
        <f ca="1">_xll.HLV5r3.Analytics.Miscellaneous.Zero2DF(_xll.HLV5r3.Analytics.Miscellaneous.LinearInterp(Peturbed_QZ,$K451,1,O$1),ZeroCompFreq,'PDH Calc'!$K451/365)</f>
        <v>1</v>
      </c>
      <c r="P451" s="8">
        <f ca="1">_xll.HLV5r3.Analytics.Miscellaneous.Zero2DF(_xll.HLV5r3.Analytics.Miscellaneous.LinearInterp(Peturbed_QZ,$K451,1,P$1),ZeroCompFreq,'PDH Calc'!$K451/365)</f>
        <v>1</v>
      </c>
      <c r="Q451" s="8">
        <f ca="1">_xll.HLV5r3.Analytics.Miscellaneous.Zero2DF(_xll.HLV5r3.Analytics.Miscellaneous.LinearInterp(Peturbed_QZ,$K451,1,Q$1),ZeroCompFreq,'PDH Calc'!$K451/365)</f>
        <v>1</v>
      </c>
      <c r="R451" s="8">
        <f ca="1">_xll.HLV5r3.Analytics.Miscellaneous.Zero2DF(_xll.HLV5r3.Analytics.Miscellaneous.LinearInterp(Peturbed_QZ,$K451,1,R$1),ZeroCompFreq,'PDH Calc'!$K451/365)</f>
        <v>1</v>
      </c>
      <c r="S451" s="8">
        <f ca="1">_xll.HLV5r3.Analytics.Miscellaneous.Zero2DF(_xll.HLV5r3.Analytics.Miscellaneous.LinearInterp(Peturbed_QZ,$K451,1,S$1),ZeroCompFreq,'PDH Calc'!$K451/365)</f>
        <v>1</v>
      </c>
      <c r="T451" s="8">
        <f ca="1">_xll.HLV5r3.Analytics.Miscellaneous.Zero2DF(_xll.HLV5r3.Analytics.Miscellaneous.LinearInterp(Peturbed_QZ,$K451,1,T$1),ZeroCompFreq,'PDH Calc'!$K451/365)</f>
        <v>1</v>
      </c>
      <c r="U451" s="8">
        <f ca="1">_xll.HLV5r3.Analytics.Miscellaneous.Zero2DF(_xll.HLV5r3.Analytics.Miscellaneous.LinearInterp(Peturbed_QZ,$K451,1,U$1),ZeroCompFreq,'PDH Calc'!$K451/365)</f>
        <v>1</v>
      </c>
      <c r="V451" s="8">
        <f ca="1">_xll.HLV5r3.Analytics.Miscellaneous.Zero2DF(_xll.HLV5r3.Analytics.Miscellaneous.LinearInterp(Peturbed_QZ,$K451,1,V$1),ZeroCompFreq,'PDH Calc'!$K451/365)</f>
        <v>1</v>
      </c>
      <c r="W451" s="8">
        <f ca="1">_xll.HLV5r3.Analytics.Miscellaneous.Zero2DF(_xll.HLV5r3.Analytics.Miscellaneous.LinearInterp(Peturbed_QZ,$K451,1,W$1),ZeroCompFreq,'PDH Calc'!$K451/365)</f>
        <v>1</v>
      </c>
      <c r="X451" s="8">
        <f ca="1">_xll.HLV5r3.Analytics.Miscellaneous.Zero2DF(_xll.HLV5r3.Analytics.Miscellaneous.LinearInterp(Peturbed_QZ,$K451,1,X$1),ZeroCompFreq,'PDH Calc'!$K451/365)</f>
        <v>1</v>
      </c>
      <c r="Y451" s="8">
        <f ca="1">_xll.HLV5r3.Analytics.Miscellaneous.Zero2DF(_xll.HLV5r3.Analytics.Miscellaneous.LinearInterp(Peturbed_QZ,$K451,1,Y$1),ZeroCompFreq,'PDH Calc'!$K451/365)</f>
        <v>1</v>
      </c>
      <c r="Z451" s="8">
        <f ca="1">_xll.HLV5r3.Analytics.Miscellaneous.Zero2DF(_xll.HLV5r3.Analytics.Miscellaneous.LinearInterp(Peturbed_QZ,$K451,1,Z$1),ZeroCompFreq,'PDH Calc'!$K451/365)</f>
        <v>1</v>
      </c>
      <c r="AA451" s="8">
        <f ca="1">_xll.HLV5r3.Analytics.Miscellaneous.Zero2DF(_xll.HLV5r3.Analytics.Miscellaneous.LinearInterp(Peturbed_QZ,$K451,1,AA$1),ZeroCompFreq,'PDH Calc'!$K451/365)</f>
        <v>1</v>
      </c>
      <c r="AB451" s="8">
        <f ca="1">_xll.HLV5r3.Analytics.Miscellaneous.Zero2DF(_xll.HLV5r3.Analytics.Miscellaneous.LinearInterp(Peturbed_QZ,$K451,1,AB$1),ZeroCompFreq,'PDH Calc'!$K451/365)</f>
        <v>1</v>
      </c>
      <c r="AC451" s="8">
        <f ca="1">_xll.HLV5r3.Analytics.Miscellaneous.Zero2DF(_xll.HLV5r3.Analytics.Miscellaneous.LinearInterp(Peturbed_QZ,$K451,1,AC$1),ZeroCompFreq,'PDH Calc'!$K451/365)</f>
        <v>1</v>
      </c>
      <c r="AD451" s="8">
        <f ca="1">_xll.HLV5r3.Analytics.Miscellaneous.Zero2DF(_xll.HLV5r3.Analytics.Miscellaneous.LinearInterp(Peturbed_QZ,$K451,1,AD$1),ZeroCompFreq,'PDH Calc'!$K451/365)</f>
        <v>1</v>
      </c>
      <c r="AE451" s="8">
        <f ca="1">_xll.HLV5r3.Analytics.Miscellaneous.Zero2DF(_xll.HLV5r3.Analytics.Miscellaneous.LinearInterp(Peturbed_QZ,$K451,1,AE$1),ZeroCompFreq,'PDH Calc'!$K451/365)</f>
        <v>1</v>
      </c>
      <c r="AF451" s="8">
        <f ca="1">_xll.HLV5r3.Analytics.Miscellaneous.Zero2DF(_xll.HLV5r3.Analytics.Miscellaneous.LinearInterp(Peturbed_QZ,$K451,1,AF$1),ZeroCompFreq,'PDH Calc'!$K451/365)</f>
        <v>1</v>
      </c>
      <c r="AG451" s="8">
        <f ca="1">_xll.HLV5r3.Analytics.Miscellaneous.Zero2DF(_xll.HLV5r3.Analytics.Miscellaneous.LinearInterp(Peturbed_QZ,$K451,1,AG$1),ZeroCompFreq,'PDH Calc'!$K451/365)</f>
        <v>1</v>
      </c>
      <c r="AH451" s="8">
        <f ca="1">_xll.HLV5r3.Analytics.Miscellaneous.Zero2DF(_xll.HLV5r3.Analytics.Miscellaneous.LinearInterp(Peturbed_QZ,$K451,1,AH$1),ZeroCompFreq,'PDH Calc'!$K451/365)</f>
        <v>1</v>
      </c>
      <c r="AI451" s="8">
        <f ca="1">_xll.HLV5r3.Analytics.Miscellaneous.Zero2DF(_xll.HLV5r3.Analytics.Miscellaneous.LinearInterp(Peturbed_QZ,$K451,1,AI$1),ZeroCompFreq,'PDH Calc'!$K451/365)</f>
        <v>1</v>
      </c>
      <c r="AJ451" s="8">
        <f ca="1">_xll.HLV5r3.Analytics.Miscellaneous.Zero2DF(_xll.HLV5r3.Analytics.Miscellaneous.LinearInterp(Peturbed_QZ,$K451,1,AJ$1),ZeroCompFreq,'PDH Calc'!$K451/365)</f>
        <v>1</v>
      </c>
      <c r="AK451" s="8">
        <f ca="1">_xll.HLV5r3.Analytics.Miscellaneous.Zero2DF(_xll.HLV5r3.Analytics.Miscellaneous.LinearInterp(Peturbed_QZ,$K451,1,AK$1),ZeroCompFreq,'PDH Calc'!$K451/365)</f>
        <v>1</v>
      </c>
    </row>
    <row r="452" spans="1:37">
      <c r="A452" s="4"/>
      <c r="B452" s="6"/>
      <c r="F452" s="11"/>
      <c r="G452" s="6"/>
      <c r="H452" s="20"/>
      <c r="I452" s="21"/>
      <c r="J452" s="26"/>
      <c r="K452" s="6">
        <f t="shared" ca="1" si="14"/>
        <v>0</v>
      </c>
      <c r="L452" s="8">
        <f ca="1">_xll.HLV5r3.Analytics.Miscellaneous.Zero2DF(_xll.HLV5r3.Analytics.Miscellaneous.LinearInterp(Peturbed_QZ,$K452,1,L$1),ZeroCompFreq,'PDH Calc'!$K452/365)</f>
        <v>1</v>
      </c>
      <c r="M452" s="8">
        <f ca="1">_xll.HLV5r3.Analytics.Miscellaneous.Zero2DF(_xll.HLV5r3.Analytics.Miscellaneous.LinearInterp(Peturbed_QZ,$K452,1,M$1),ZeroCompFreq,'PDH Calc'!$K452/365)</f>
        <v>1</v>
      </c>
      <c r="N452" s="8">
        <f ca="1">_xll.HLV5r3.Analytics.Miscellaneous.Zero2DF(_xll.HLV5r3.Analytics.Miscellaneous.LinearInterp(Peturbed_QZ,$K452,1,N$1),ZeroCompFreq,'PDH Calc'!$K452/365)</f>
        <v>1</v>
      </c>
      <c r="O452" s="8">
        <f ca="1">_xll.HLV5r3.Analytics.Miscellaneous.Zero2DF(_xll.HLV5r3.Analytics.Miscellaneous.LinearInterp(Peturbed_QZ,$K452,1,O$1),ZeroCompFreq,'PDH Calc'!$K452/365)</f>
        <v>1</v>
      </c>
      <c r="P452" s="8">
        <f ca="1">_xll.HLV5r3.Analytics.Miscellaneous.Zero2DF(_xll.HLV5r3.Analytics.Miscellaneous.LinearInterp(Peturbed_QZ,$K452,1,P$1),ZeroCompFreq,'PDH Calc'!$K452/365)</f>
        <v>1</v>
      </c>
      <c r="Q452" s="8">
        <f ca="1">_xll.HLV5r3.Analytics.Miscellaneous.Zero2DF(_xll.HLV5r3.Analytics.Miscellaneous.LinearInterp(Peturbed_QZ,$K452,1,Q$1),ZeroCompFreq,'PDH Calc'!$K452/365)</f>
        <v>1</v>
      </c>
      <c r="R452" s="8">
        <f ca="1">_xll.HLV5r3.Analytics.Miscellaneous.Zero2DF(_xll.HLV5r3.Analytics.Miscellaneous.LinearInterp(Peturbed_QZ,$K452,1,R$1),ZeroCompFreq,'PDH Calc'!$K452/365)</f>
        <v>1</v>
      </c>
      <c r="S452" s="8">
        <f ca="1">_xll.HLV5r3.Analytics.Miscellaneous.Zero2DF(_xll.HLV5r3.Analytics.Miscellaneous.LinearInterp(Peturbed_QZ,$K452,1,S$1),ZeroCompFreq,'PDH Calc'!$K452/365)</f>
        <v>1</v>
      </c>
      <c r="T452" s="8">
        <f ca="1">_xll.HLV5r3.Analytics.Miscellaneous.Zero2DF(_xll.HLV5r3.Analytics.Miscellaneous.LinearInterp(Peturbed_QZ,$K452,1,T$1),ZeroCompFreq,'PDH Calc'!$K452/365)</f>
        <v>1</v>
      </c>
      <c r="U452" s="8">
        <f ca="1">_xll.HLV5r3.Analytics.Miscellaneous.Zero2DF(_xll.HLV5r3.Analytics.Miscellaneous.LinearInterp(Peturbed_QZ,$K452,1,U$1),ZeroCompFreq,'PDH Calc'!$K452/365)</f>
        <v>1</v>
      </c>
      <c r="V452" s="8">
        <f ca="1">_xll.HLV5r3.Analytics.Miscellaneous.Zero2DF(_xll.HLV5r3.Analytics.Miscellaneous.LinearInterp(Peturbed_QZ,$K452,1,V$1),ZeroCompFreq,'PDH Calc'!$K452/365)</f>
        <v>1</v>
      </c>
      <c r="W452" s="8">
        <f ca="1">_xll.HLV5r3.Analytics.Miscellaneous.Zero2DF(_xll.HLV5r3.Analytics.Miscellaneous.LinearInterp(Peturbed_QZ,$K452,1,W$1),ZeroCompFreq,'PDH Calc'!$K452/365)</f>
        <v>1</v>
      </c>
      <c r="X452" s="8">
        <f ca="1">_xll.HLV5r3.Analytics.Miscellaneous.Zero2DF(_xll.HLV5r3.Analytics.Miscellaneous.LinearInterp(Peturbed_QZ,$K452,1,X$1),ZeroCompFreq,'PDH Calc'!$K452/365)</f>
        <v>1</v>
      </c>
      <c r="Y452" s="8">
        <f ca="1">_xll.HLV5r3.Analytics.Miscellaneous.Zero2DF(_xll.HLV5r3.Analytics.Miscellaneous.LinearInterp(Peturbed_QZ,$K452,1,Y$1),ZeroCompFreq,'PDH Calc'!$K452/365)</f>
        <v>1</v>
      </c>
      <c r="Z452" s="8">
        <f ca="1">_xll.HLV5r3.Analytics.Miscellaneous.Zero2DF(_xll.HLV5r3.Analytics.Miscellaneous.LinearInterp(Peturbed_QZ,$K452,1,Z$1),ZeroCompFreq,'PDH Calc'!$K452/365)</f>
        <v>1</v>
      </c>
      <c r="AA452" s="8">
        <f ca="1">_xll.HLV5r3.Analytics.Miscellaneous.Zero2DF(_xll.HLV5r3.Analytics.Miscellaneous.LinearInterp(Peturbed_QZ,$K452,1,AA$1),ZeroCompFreq,'PDH Calc'!$K452/365)</f>
        <v>1</v>
      </c>
      <c r="AB452" s="8">
        <f ca="1">_xll.HLV5r3.Analytics.Miscellaneous.Zero2DF(_xll.HLV5r3.Analytics.Miscellaneous.LinearInterp(Peturbed_QZ,$K452,1,AB$1),ZeroCompFreq,'PDH Calc'!$K452/365)</f>
        <v>1</v>
      </c>
      <c r="AC452" s="8">
        <f ca="1">_xll.HLV5r3.Analytics.Miscellaneous.Zero2DF(_xll.HLV5r3.Analytics.Miscellaneous.LinearInterp(Peturbed_QZ,$K452,1,AC$1),ZeroCompFreq,'PDH Calc'!$K452/365)</f>
        <v>1</v>
      </c>
      <c r="AD452" s="8">
        <f ca="1">_xll.HLV5r3.Analytics.Miscellaneous.Zero2DF(_xll.HLV5r3.Analytics.Miscellaneous.LinearInterp(Peturbed_QZ,$K452,1,AD$1),ZeroCompFreq,'PDH Calc'!$K452/365)</f>
        <v>1</v>
      </c>
      <c r="AE452" s="8">
        <f ca="1">_xll.HLV5r3.Analytics.Miscellaneous.Zero2DF(_xll.HLV5r3.Analytics.Miscellaneous.LinearInterp(Peturbed_QZ,$K452,1,AE$1),ZeroCompFreq,'PDH Calc'!$K452/365)</f>
        <v>1</v>
      </c>
      <c r="AF452" s="8">
        <f ca="1">_xll.HLV5r3.Analytics.Miscellaneous.Zero2DF(_xll.HLV5r3.Analytics.Miscellaneous.LinearInterp(Peturbed_QZ,$K452,1,AF$1),ZeroCompFreq,'PDH Calc'!$K452/365)</f>
        <v>1</v>
      </c>
      <c r="AG452" s="8">
        <f ca="1">_xll.HLV5r3.Analytics.Miscellaneous.Zero2DF(_xll.HLV5r3.Analytics.Miscellaneous.LinearInterp(Peturbed_QZ,$K452,1,AG$1),ZeroCompFreq,'PDH Calc'!$K452/365)</f>
        <v>1</v>
      </c>
      <c r="AH452" s="8">
        <f ca="1">_xll.HLV5r3.Analytics.Miscellaneous.Zero2DF(_xll.HLV5r3.Analytics.Miscellaneous.LinearInterp(Peturbed_QZ,$K452,1,AH$1),ZeroCompFreq,'PDH Calc'!$K452/365)</f>
        <v>1</v>
      </c>
      <c r="AI452" s="8">
        <f ca="1">_xll.HLV5r3.Analytics.Miscellaneous.Zero2DF(_xll.HLV5r3.Analytics.Miscellaneous.LinearInterp(Peturbed_QZ,$K452,1,AI$1),ZeroCompFreq,'PDH Calc'!$K452/365)</f>
        <v>1</v>
      </c>
      <c r="AJ452" s="8">
        <f ca="1">_xll.HLV5r3.Analytics.Miscellaneous.Zero2DF(_xll.HLV5r3.Analytics.Miscellaneous.LinearInterp(Peturbed_QZ,$K452,1,AJ$1),ZeroCompFreq,'PDH Calc'!$K452/365)</f>
        <v>1</v>
      </c>
      <c r="AK452" s="8">
        <f ca="1">_xll.HLV5r3.Analytics.Miscellaneous.Zero2DF(_xll.HLV5r3.Analytics.Miscellaneous.LinearInterp(Peturbed_QZ,$K452,1,AK$1),ZeroCompFreq,'PDH Calc'!$K452/365)</f>
        <v>1</v>
      </c>
    </row>
    <row r="453" spans="1:37">
      <c r="A453" s="4"/>
      <c r="B453" s="6"/>
      <c r="F453" s="11"/>
      <c r="G453" s="6"/>
      <c r="H453" s="20"/>
      <c r="I453" s="21"/>
      <c r="J453" s="26"/>
      <c r="K453" s="6">
        <f t="shared" ca="1" si="14"/>
        <v>0</v>
      </c>
      <c r="L453" s="8">
        <f ca="1">_xll.HLV5r3.Analytics.Miscellaneous.Zero2DF(_xll.HLV5r3.Analytics.Miscellaneous.LinearInterp(Peturbed_QZ,$K453,1,L$1),ZeroCompFreq,'PDH Calc'!$K453/365)</f>
        <v>1</v>
      </c>
      <c r="M453" s="8">
        <f ca="1">_xll.HLV5r3.Analytics.Miscellaneous.Zero2DF(_xll.HLV5r3.Analytics.Miscellaneous.LinearInterp(Peturbed_QZ,$K453,1,M$1),ZeroCompFreq,'PDH Calc'!$K453/365)</f>
        <v>1</v>
      </c>
      <c r="N453" s="8">
        <f ca="1">_xll.HLV5r3.Analytics.Miscellaneous.Zero2DF(_xll.HLV5r3.Analytics.Miscellaneous.LinearInterp(Peturbed_QZ,$K453,1,N$1),ZeroCompFreq,'PDH Calc'!$K453/365)</f>
        <v>1</v>
      </c>
      <c r="O453" s="8">
        <f ca="1">_xll.HLV5r3.Analytics.Miscellaneous.Zero2DF(_xll.HLV5r3.Analytics.Miscellaneous.LinearInterp(Peturbed_QZ,$K453,1,O$1),ZeroCompFreq,'PDH Calc'!$K453/365)</f>
        <v>1</v>
      </c>
      <c r="P453" s="8">
        <f ca="1">_xll.HLV5r3.Analytics.Miscellaneous.Zero2DF(_xll.HLV5r3.Analytics.Miscellaneous.LinearInterp(Peturbed_QZ,$K453,1,P$1),ZeroCompFreq,'PDH Calc'!$K453/365)</f>
        <v>1</v>
      </c>
      <c r="Q453" s="8">
        <f ca="1">_xll.HLV5r3.Analytics.Miscellaneous.Zero2DF(_xll.HLV5r3.Analytics.Miscellaneous.LinearInterp(Peturbed_QZ,$K453,1,Q$1),ZeroCompFreq,'PDH Calc'!$K453/365)</f>
        <v>1</v>
      </c>
      <c r="R453" s="8">
        <f ca="1">_xll.HLV5r3.Analytics.Miscellaneous.Zero2DF(_xll.HLV5r3.Analytics.Miscellaneous.LinearInterp(Peturbed_QZ,$K453,1,R$1),ZeroCompFreq,'PDH Calc'!$K453/365)</f>
        <v>1</v>
      </c>
      <c r="S453" s="8">
        <f ca="1">_xll.HLV5r3.Analytics.Miscellaneous.Zero2DF(_xll.HLV5r3.Analytics.Miscellaneous.LinearInterp(Peturbed_QZ,$K453,1,S$1),ZeroCompFreq,'PDH Calc'!$K453/365)</f>
        <v>1</v>
      </c>
      <c r="T453" s="8">
        <f ca="1">_xll.HLV5r3.Analytics.Miscellaneous.Zero2DF(_xll.HLV5r3.Analytics.Miscellaneous.LinearInterp(Peturbed_QZ,$K453,1,T$1),ZeroCompFreq,'PDH Calc'!$K453/365)</f>
        <v>1</v>
      </c>
      <c r="U453" s="8">
        <f ca="1">_xll.HLV5r3.Analytics.Miscellaneous.Zero2DF(_xll.HLV5r3.Analytics.Miscellaneous.LinearInterp(Peturbed_QZ,$K453,1,U$1),ZeroCompFreq,'PDH Calc'!$K453/365)</f>
        <v>1</v>
      </c>
      <c r="V453" s="8">
        <f ca="1">_xll.HLV5r3.Analytics.Miscellaneous.Zero2DF(_xll.HLV5r3.Analytics.Miscellaneous.LinearInterp(Peturbed_QZ,$K453,1,V$1),ZeroCompFreq,'PDH Calc'!$K453/365)</f>
        <v>1</v>
      </c>
      <c r="W453" s="8">
        <f ca="1">_xll.HLV5r3.Analytics.Miscellaneous.Zero2DF(_xll.HLV5r3.Analytics.Miscellaneous.LinearInterp(Peturbed_QZ,$K453,1,W$1),ZeroCompFreq,'PDH Calc'!$K453/365)</f>
        <v>1</v>
      </c>
      <c r="X453" s="8">
        <f ca="1">_xll.HLV5r3.Analytics.Miscellaneous.Zero2DF(_xll.HLV5r3.Analytics.Miscellaneous.LinearInterp(Peturbed_QZ,$K453,1,X$1),ZeroCompFreq,'PDH Calc'!$K453/365)</f>
        <v>1</v>
      </c>
      <c r="Y453" s="8">
        <f ca="1">_xll.HLV5r3.Analytics.Miscellaneous.Zero2DF(_xll.HLV5r3.Analytics.Miscellaneous.LinearInterp(Peturbed_QZ,$K453,1,Y$1),ZeroCompFreq,'PDH Calc'!$K453/365)</f>
        <v>1</v>
      </c>
      <c r="Z453" s="8">
        <f ca="1">_xll.HLV5r3.Analytics.Miscellaneous.Zero2DF(_xll.HLV5r3.Analytics.Miscellaneous.LinearInterp(Peturbed_QZ,$K453,1,Z$1),ZeroCompFreq,'PDH Calc'!$K453/365)</f>
        <v>1</v>
      </c>
      <c r="AA453" s="8">
        <f ca="1">_xll.HLV5r3.Analytics.Miscellaneous.Zero2DF(_xll.HLV5r3.Analytics.Miscellaneous.LinearInterp(Peturbed_QZ,$K453,1,AA$1),ZeroCompFreq,'PDH Calc'!$K453/365)</f>
        <v>1</v>
      </c>
      <c r="AB453" s="8">
        <f ca="1">_xll.HLV5r3.Analytics.Miscellaneous.Zero2DF(_xll.HLV5r3.Analytics.Miscellaneous.LinearInterp(Peturbed_QZ,$K453,1,AB$1),ZeroCompFreq,'PDH Calc'!$K453/365)</f>
        <v>1</v>
      </c>
      <c r="AC453" s="8">
        <f ca="1">_xll.HLV5r3.Analytics.Miscellaneous.Zero2DF(_xll.HLV5r3.Analytics.Miscellaneous.LinearInterp(Peturbed_QZ,$K453,1,AC$1),ZeroCompFreq,'PDH Calc'!$K453/365)</f>
        <v>1</v>
      </c>
      <c r="AD453" s="8">
        <f ca="1">_xll.HLV5r3.Analytics.Miscellaneous.Zero2DF(_xll.HLV5r3.Analytics.Miscellaneous.LinearInterp(Peturbed_QZ,$K453,1,AD$1),ZeroCompFreq,'PDH Calc'!$K453/365)</f>
        <v>1</v>
      </c>
      <c r="AE453" s="8">
        <f ca="1">_xll.HLV5r3.Analytics.Miscellaneous.Zero2DF(_xll.HLV5r3.Analytics.Miscellaneous.LinearInterp(Peturbed_QZ,$K453,1,AE$1),ZeroCompFreq,'PDH Calc'!$K453/365)</f>
        <v>1</v>
      </c>
      <c r="AF453" s="8">
        <f ca="1">_xll.HLV5r3.Analytics.Miscellaneous.Zero2DF(_xll.HLV5r3.Analytics.Miscellaneous.LinearInterp(Peturbed_QZ,$K453,1,AF$1),ZeroCompFreq,'PDH Calc'!$K453/365)</f>
        <v>1</v>
      </c>
      <c r="AG453" s="8">
        <f ca="1">_xll.HLV5r3.Analytics.Miscellaneous.Zero2DF(_xll.HLV5r3.Analytics.Miscellaneous.LinearInterp(Peturbed_QZ,$K453,1,AG$1),ZeroCompFreq,'PDH Calc'!$K453/365)</f>
        <v>1</v>
      </c>
      <c r="AH453" s="8">
        <f ca="1">_xll.HLV5r3.Analytics.Miscellaneous.Zero2DF(_xll.HLV5r3.Analytics.Miscellaneous.LinearInterp(Peturbed_QZ,$K453,1,AH$1),ZeroCompFreq,'PDH Calc'!$K453/365)</f>
        <v>1</v>
      </c>
      <c r="AI453" s="8">
        <f ca="1">_xll.HLV5r3.Analytics.Miscellaneous.Zero2DF(_xll.HLV5r3.Analytics.Miscellaneous.LinearInterp(Peturbed_QZ,$K453,1,AI$1),ZeroCompFreq,'PDH Calc'!$K453/365)</f>
        <v>1</v>
      </c>
      <c r="AJ453" s="8">
        <f ca="1">_xll.HLV5r3.Analytics.Miscellaneous.Zero2DF(_xll.HLV5r3.Analytics.Miscellaneous.LinearInterp(Peturbed_QZ,$K453,1,AJ$1),ZeroCompFreq,'PDH Calc'!$K453/365)</f>
        <v>1</v>
      </c>
      <c r="AK453" s="8">
        <f ca="1">_xll.HLV5r3.Analytics.Miscellaneous.Zero2DF(_xll.HLV5r3.Analytics.Miscellaneous.LinearInterp(Peturbed_QZ,$K453,1,AK$1),ZeroCompFreq,'PDH Calc'!$K453/365)</f>
        <v>1</v>
      </c>
    </row>
    <row r="454" spans="1:37">
      <c r="A454" s="4"/>
      <c r="B454" s="6"/>
      <c r="F454" s="11"/>
      <c r="G454" s="6"/>
      <c r="H454" s="20"/>
      <c r="I454" s="21"/>
      <c r="J454" s="26"/>
      <c r="K454" s="6">
        <f t="shared" ca="1" si="14"/>
        <v>0</v>
      </c>
      <c r="L454" s="8">
        <f ca="1">_xll.HLV5r3.Analytics.Miscellaneous.Zero2DF(_xll.HLV5r3.Analytics.Miscellaneous.LinearInterp(Peturbed_QZ,$K454,1,L$1),ZeroCompFreq,'PDH Calc'!$K454/365)</f>
        <v>1</v>
      </c>
      <c r="M454" s="8">
        <f ca="1">_xll.HLV5r3.Analytics.Miscellaneous.Zero2DF(_xll.HLV5r3.Analytics.Miscellaneous.LinearInterp(Peturbed_QZ,$K454,1,M$1),ZeroCompFreq,'PDH Calc'!$K454/365)</f>
        <v>1</v>
      </c>
      <c r="N454" s="8">
        <f ca="1">_xll.HLV5r3.Analytics.Miscellaneous.Zero2DF(_xll.HLV5r3.Analytics.Miscellaneous.LinearInterp(Peturbed_QZ,$K454,1,N$1),ZeroCompFreq,'PDH Calc'!$K454/365)</f>
        <v>1</v>
      </c>
      <c r="O454" s="8">
        <f ca="1">_xll.HLV5r3.Analytics.Miscellaneous.Zero2DF(_xll.HLV5r3.Analytics.Miscellaneous.LinearInterp(Peturbed_QZ,$K454,1,O$1),ZeroCompFreq,'PDH Calc'!$K454/365)</f>
        <v>1</v>
      </c>
      <c r="P454" s="8">
        <f ca="1">_xll.HLV5r3.Analytics.Miscellaneous.Zero2DF(_xll.HLV5r3.Analytics.Miscellaneous.LinearInterp(Peturbed_QZ,$K454,1,P$1),ZeroCompFreq,'PDH Calc'!$K454/365)</f>
        <v>1</v>
      </c>
      <c r="Q454" s="8">
        <f ca="1">_xll.HLV5r3.Analytics.Miscellaneous.Zero2DF(_xll.HLV5r3.Analytics.Miscellaneous.LinearInterp(Peturbed_QZ,$K454,1,Q$1),ZeroCompFreq,'PDH Calc'!$K454/365)</f>
        <v>1</v>
      </c>
      <c r="R454" s="8">
        <f ca="1">_xll.HLV5r3.Analytics.Miscellaneous.Zero2DF(_xll.HLV5r3.Analytics.Miscellaneous.LinearInterp(Peturbed_QZ,$K454,1,R$1),ZeroCompFreq,'PDH Calc'!$K454/365)</f>
        <v>1</v>
      </c>
      <c r="S454" s="8">
        <f ca="1">_xll.HLV5r3.Analytics.Miscellaneous.Zero2DF(_xll.HLV5r3.Analytics.Miscellaneous.LinearInterp(Peturbed_QZ,$K454,1,S$1),ZeroCompFreq,'PDH Calc'!$K454/365)</f>
        <v>1</v>
      </c>
      <c r="T454" s="8">
        <f ca="1">_xll.HLV5r3.Analytics.Miscellaneous.Zero2DF(_xll.HLV5r3.Analytics.Miscellaneous.LinearInterp(Peturbed_QZ,$K454,1,T$1),ZeroCompFreq,'PDH Calc'!$K454/365)</f>
        <v>1</v>
      </c>
      <c r="U454" s="8">
        <f ca="1">_xll.HLV5r3.Analytics.Miscellaneous.Zero2DF(_xll.HLV5r3.Analytics.Miscellaneous.LinearInterp(Peturbed_QZ,$K454,1,U$1),ZeroCompFreq,'PDH Calc'!$K454/365)</f>
        <v>1</v>
      </c>
      <c r="V454" s="8">
        <f ca="1">_xll.HLV5r3.Analytics.Miscellaneous.Zero2DF(_xll.HLV5r3.Analytics.Miscellaneous.LinearInterp(Peturbed_QZ,$K454,1,V$1),ZeroCompFreq,'PDH Calc'!$K454/365)</f>
        <v>1</v>
      </c>
      <c r="W454" s="8">
        <f ca="1">_xll.HLV5r3.Analytics.Miscellaneous.Zero2DF(_xll.HLV5r3.Analytics.Miscellaneous.LinearInterp(Peturbed_QZ,$K454,1,W$1),ZeroCompFreq,'PDH Calc'!$K454/365)</f>
        <v>1</v>
      </c>
      <c r="X454" s="8">
        <f ca="1">_xll.HLV5r3.Analytics.Miscellaneous.Zero2DF(_xll.HLV5r3.Analytics.Miscellaneous.LinearInterp(Peturbed_QZ,$K454,1,X$1),ZeroCompFreq,'PDH Calc'!$K454/365)</f>
        <v>1</v>
      </c>
      <c r="Y454" s="8">
        <f ca="1">_xll.HLV5r3.Analytics.Miscellaneous.Zero2DF(_xll.HLV5r3.Analytics.Miscellaneous.LinearInterp(Peturbed_QZ,$K454,1,Y$1),ZeroCompFreq,'PDH Calc'!$K454/365)</f>
        <v>1</v>
      </c>
      <c r="Z454" s="8">
        <f ca="1">_xll.HLV5r3.Analytics.Miscellaneous.Zero2DF(_xll.HLV5r3.Analytics.Miscellaneous.LinearInterp(Peturbed_QZ,$K454,1,Z$1),ZeroCompFreq,'PDH Calc'!$K454/365)</f>
        <v>1</v>
      </c>
      <c r="AA454" s="8">
        <f ca="1">_xll.HLV5r3.Analytics.Miscellaneous.Zero2DF(_xll.HLV5r3.Analytics.Miscellaneous.LinearInterp(Peturbed_QZ,$K454,1,AA$1),ZeroCompFreq,'PDH Calc'!$K454/365)</f>
        <v>1</v>
      </c>
      <c r="AB454" s="8">
        <f ca="1">_xll.HLV5r3.Analytics.Miscellaneous.Zero2DF(_xll.HLV5r3.Analytics.Miscellaneous.LinearInterp(Peturbed_QZ,$K454,1,AB$1),ZeroCompFreq,'PDH Calc'!$K454/365)</f>
        <v>1</v>
      </c>
      <c r="AC454" s="8">
        <f ca="1">_xll.HLV5r3.Analytics.Miscellaneous.Zero2DF(_xll.HLV5r3.Analytics.Miscellaneous.LinearInterp(Peturbed_QZ,$K454,1,AC$1),ZeroCompFreq,'PDH Calc'!$K454/365)</f>
        <v>1</v>
      </c>
      <c r="AD454" s="8">
        <f ca="1">_xll.HLV5r3.Analytics.Miscellaneous.Zero2DF(_xll.HLV5r3.Analytics.Miscellaneous.LinearInterp(Peturbed_QZ,$K454,1,AD$1),ZeroCompFreq,'PDH Calc'!$K454/365)</f>
        <v>1</v>
      </c>
      <c r="AE454" s="8">
        <f ca="1">_xll.HLV5r3.Analytics.Miscellaneous.Zero2DF(_xll.HLV5r3.Analytics.Miscellaneous.LinearInterp(Peturbed_QZ,$K454,1,AE$1),ZeroCompFreq,'PDH Calc'!$K454/365)</f>
        <v>1</v>
      </c>
      <c r="AF454" s="8">
        <f ca="1">_xll.HLV5r3.Analytics.Miscellaneous.Zero2DF(_xll.HLV5r3.Analytics.Miscellaneous.LinearInterp(Peturbed_QZ,$K454,1,AF$1),ZeroCompFreq,'PDH Calc'!$K454/365)</f>
        <v>1</v>
      </c>
      <c r="AG454" s="8">
        <f ca="1">_xll.HLV5r3.Analytics.Miscellaneous.Zero2DF(_xll.HLV5r3.Analytics.Miscellaneous.LinearInterp(Peturbed_QZ,$K454,1,AG$1),ZeroCompFreq,'PDH Calc'!$K454/365)</f>
        <v>1</v>
      </c>
      <c r="AH454" s="8">
        <f ca="1">_xll.HLV5r3.Analytics.Miscellaneous.Zero2DF(_xll.HLV5r3.Analytics.Miscellaneous.LinearInterp(Peturbed_QZ,$K454,1,AH$1),ZeroCompFreq,'PDH Calc'!$K454/365)</f>
        <v>1</v>
      </c>
      <c r="AI454" s="8">
        <f ca="1">_xll.HLV5r3.Analytics.Miscellaneous.Zero2DF(_xll.HLV5r3.Analytics.Miscellaneous.LinearInterp(Peturbed_QZ,$K454,1,AI$1),ZeroCompFreq,'PDH Calc'!$K454/365)</f>
        <v>1</v>
      </c>
      <c r="AJ454" s="8">
        <f ca="1">_xll.HLV5r3.Analytics.Miscellaneous.Zero2DF(_xll.HLV5r3.Analytics.Miscellaneous.LinearInterp(Peturbed_QZ,$K454,1,AJ$1),ZeroCompFreq,'PDH Calc'!$K454/365)</f>
        <v>1</v>
      </c>
      <c r="AK454" s="8">
        <f ca="1">_xll.HLV5r3.Analytics.Miscellaneous.Zero2DF(_xll.HLV5r3.Analytics.Miscellaneous.LinearInterp(Peturbed_QZ,$K454,1,AK$1),ZeroCompFreq,'PDH Calc'!$K454/365)</f>
        <v>1</v>
      </c>
    </row>
    <row r="455" spans="1:37">
      <c r="A455" s="4"/>
      <c r="B455" s="6"/>
      <c r="F455" s="11"/>
      <c r="G455" s="6"/>
      <c r="H455" s="20"/>
      <c r="I455" s="21"/>
      <c r="J455" s="26"/>
      <c r="K455" s="6">
        <f t="shared" ca="1" si="14"/>
        <v>0</v>
      </c>
      <c r="L455" s="8">
        <f ca="1">_xll.HLV5r3.Analytics.Miscellaneous.Zero2DF(_xll.HLV5r3.Analytics.Miscellaneous.LinearInterp(Peturbed_QZ,$K455,1,L$1),ZeroCompFreq,'PDH Calc'!$K455/365)</f>
        <v>1</v>
      </c>
      <c r="M455" s="8">
        <f ca="1">_xll.HLV5r3.Analytics.Miscellaneous.Zero2DF(_xll.HLV5r3.Analytics.Miscellaneous.LinearInterp(Peturbed_QZ,$K455,1,M$1),ZeroCompFreq,'PDH Calc'!$K455/365)</f>
        <v>1</v>
      </c>
      <c r="N455" s="8">
        <f ca="1">_xll.HLV5r3.Analytics.Miscellaneous.Zero2DF(_xll.HLV5r3.Analytics.Miscellaneous.LinearInterp(Peturbed_QZ,$K455,1,N$1),ZeroCompFreq,'PDH Calc'!$K455/365)</f>
        <v>1</v>
      </c>
      <c r="O455" s="8">
        <f ca="1">_xll.HLV5r3.Analytics.Miscellaneous.Zero2DF(_xll.HLV5r3.Analytics.Miscellaneous.LinearInterp(Peturbed_QZ,$K455,1,O$1),ZeroCompFreq,'PDH Calc'!$K455/365)</f>
        <v>1</v>
      </c>
      <c r="P455" s="8">
        <f ca="1">_xll.HLV5r3.Analytics.Miscellaneous.Zero2DF(_xll.HLV5r3.Analytics.Miscellaneous.LinearInterp(Peturbed_QZ,$K455,1,P$1),ZeroCompFreq,'PDH Calc'!$K455/365)</f>
        <v>1</v>
      </c>
      <c r="Q455" s="8">
        <f ca="1">_xll.HLV5r3.Analytics.Miscellaneous.Zero2DF(_xll.HLV5r3.Analytics.Miscellaneous.LinearInterp(Peturbed_QZ,$K455,1,Q$1),ZeroCompFreq,'PDH Calc'!$K455/365)</f>
        <v>1</v>
      </c>
      <c r="R455" s="8">
        <f ca="1">_xll.HLV5r3.Analytics.Miscellaneous.Zero2DF(_xll.HLV5r3.Analytics.Miscellaneous.LinearInterp(Peturbed_QZ,$K455,1,R$1),ZeroCompFreq,'PDH Calc'!$K455/365)</f>
        <v>1</v>
      </c>
      <c r="S455" s="8">
        <f ca="1">_xll.HLV5r3.Analytics.Miscellaneous.Zero2DF(_xll.HLV5r3.Analytics.Miscellaneous.LinearInterp(Peturbed_QZ,$K455,1,S$1),ZeroCompFreq,'PDH Calc'!$K455/365)</f>
        <v>1</v>
      </c>
      <c r="T455" s="8">
        <f ca="1">_xll.HLV5r3.Analytics.Miscellaneous.Zero2DF(_xll.HLV5r3.Analytics.Miscellaneous.LinearInterp(Peturbed_QZ,$K455,1,T$1),ZeroCompFreq,'PDH Calc'!$K455/365)</f>
        <v>1</v>
      </c>
      <c r="U455" s="8">
        <f ca="1">_xll.HLV5r3.Analytics.Miscellaneous.Zero2DF(_xll.HLV5r3.Analytics.Miscellaneous.LinearInterp(Peturbed_QZ,$K455,1,U$1),ZeroCompFreq,'PDH Calc'!$K455/365)</f>
        <v>1</v>
      </c>
      <c r="V455" s="8">
        <f ca="1">_xll.HLV5r3.Analytics.Miscellaneous.Zero2DF(_xll.HLV5r3.Analytics.Miscellaneous.LinearInterp(Peturbed_QZ,$K455,1,V$1),ZeroCompFreq,'PDH Calc'!$K455/365)</f>
        <v>1</v>
      </c>
      <c r="W455" s="8">
        <f ca="1">_xll.HLV5r3.Analytics.Miscellaneous.Zero2DF(_xll.HLV5r3.Analytics.Miscellaneous.LinearInterp(Peturbed_QZ,$K455,1,W$1),ZeroCompFreq,'PDH Calc'!$K455/365)</f>
        <v>1</v>
      </c>
      <c r="X455" s="8">
        <f ca="1">_xll.HLV5r3.Analytics.Miscellaneous.Zero2DF(_xll.HLV5r3.Analytics.Miscellaneous.LinearInterp(Peturbed_QZ,$K455,1,X$1),ZeroCompFreq,'PDH Calc'!$K455/365)</f>
        <v>1</v>
      </c>
      <c r="Y455" s="8">
        <f ca="1">_xll.HLV5r3.Analytics.Miscellaneous.Zero2DF(_xll.HLV5r3.Analytics.Miscellaneous.LinearInterp(Peturbed_QZ,$K455,1,Y$1),ZeroCompFreq,'PDH Calc'!$K455/365)</f>
        <v>1</v>
      </c>
      <c r="Z455" s="8">
        <f ca="1">_xll.HLV5r3.Analytics.Miscellaneous.Zero2DF(_xll.HLV5r3.Analytics.Miscellaneous.LinearInterp(Peturbed_QZ,$K455,1,Z$1),ZeroCompFreq,'PDH Calc'!$K455/365)</f>
        <v>1</v>
      </c>
      <c r="AA455" s="8">
        <f ca="1">_xll.HLV5r3.Analytics.Miscellaneous.Zero2DF(_xll.HLV5r3.Analytics.Miscellaneous.LinearInterp(Peturbed_QZ,$K455,1,AA$1),ZeroCompFreq,'PDH Calc'!$K455/365)</f>
        <v>1</v>
      </c>
      <c r="AB455" s="8">
        <f ca="1">_xll.HLV5r3.Analytics.Miscellaneous.Zero2DF(_xll.HLV5r3.Analytics.Miscellaneous.LinearInterp(Peturbed_QZ,$K455,1,AB$1),ZeroCompFreq,'PDH Calc'!$K455/365)</f>
        <v>1</v>
      </c>
      <c r="AC455" s="8">
        <f ca="1">_xll.HLV5r3.Analytics.Miscellaneous.Zero2DF(_xll.HLV5r3.Analytics.Miscellaneous.LinearInterp(Peturbed_QZ,$K455,1,AC$1),ZeroCompFreq,'PDH Calc'!$K455/365)</f>
        <v>1</v>
      </c>
      <c r="AD455" s="8">
        <f ca="1">_xll.HLV5r3.Analytics.Miscellaneous.Zero2DF(_xll.HLV5r3.Analytics.Miscellaneous.LinearInterp(Peturbed_QZ,$K455,1,AD$1),ZeroCompFreq,'PDH Calc'!$K455/365)</f>
        <v>1</v>
      </c>
      <c r="AE455" s="8">
        <f ca="1">_xll.HLV5r3.Analytics.Miscellaneous.Zero2DF(_xll.HLV5r3.Analytics.Miscellaneous.LinearInterp(Peturbed_QZ,$K455,1,AE$1),ZeroCompFreq,'PDH Calc'!$K455/365)</f>
        <v>1</v>
      </c>
      <c r="AF455" s="8">
        <f ca="1">_xll.HLV5r3.Analytics.Miscellaneous.Zero2DF(_xll.HLV5r3.Analytics.Miscellaneous.LinearInterp(Peturbed_QZ,$K455,1,AF$1),ZeroCompFreq,'PDH Calc'!$K455/365)</f>
        <v>1</v>
      </c>
      <c r="AG455" s="8">
        <f ca="1">_xll.HLV5r3.Analytics.Miscellaneous.Zero2DF(_xll.HLV5r3.Analytics.Miscellaneous.LinearInterp(Peturbed_QZ,$K455,1,AG$1),ZeroCompFreq,'PDH Calc'!$K455/365)</f>
        <v>1</v>
      </c>
      <c r="AH455" s="8">
        <f ca="1">_xll.HLV5r3.Analytics.Miscellaneous.Zero2DF(_xll.HLV5r3.Analytics.Miscellaneous.LinearInterp(Peturbed_QZ,$K455,1,AH$1),ZeroCompFreq,'PDH Calc'!$K455/365)</f>
        <v>1</v>
      </c>
      <c r="AI455" s="8">
        <f ca="1">_xll.HLV5r3.Analytics.Miscellaneous.Zero2DF(_xll.HLV5r3.Analytics.Miscellaneous.LinearInterp(Peturbed_QZ,$K455,1,AI$1),ZeroCompFreq,'PDH Calc'!$K455/365)</f>
        <v>1</v>
      </c>
      <c r="AJ455" s="8">
        <f ca="1">_xll.HLV5r3.Analytics.Miscellaneous.Zero2DF(_xll.HLV5r3.Analytics.Miscellaneous.LinearInterp(Peturbed_QZ,$K455,1,AJ$1),ZeroCompFreq,'PDH Calc'!$K455/365)</f>
        <v>1</v>
      </c>
      <c r="AK455" s="8">
        <f ca="1">_xll.HLV5r3.Analytics.Miscellaneous.Zero2DF(_xll.HLV5r3.Analytics.Miscellaneous.LinearInterp(Peturbed_QZ,$K455,1,AK$1),ZeroCompFreq,'PDH Calc'!$K455/365)</f>
        <v>1</v>
      </c>
    </row>
    <row r="456" spans="1:37">
      <c r="A456" s="4"/>
      <c r="B456" s="6"/>
      <c r="F456" s="11"/>
      <c r="G456" s="6"/>
      <c r="H456" s="20"/>
      <c r="I456" s="21"/>
      <c r="J456" s="26"/>
      <c r="K456" s="6">
        <f t="shared" ca="1" si="14"/>
        <v>0</v>
      </c>
      <c r="L456" s="8">
        <f ca="1">_xll.HLV5r3.Analytics.Miscellaneous.Zero2DF(_xll.HLV5r3.Analytics.Miscellaneous.LinearInterp(Peturbed_QZ,$K456,1,L$1),ZeroCompFreq,'PDH Calc'!$K456/365)</f>
        <v>1</v>
      </c>
      <c r="M456" s="8">
        <f ca="1">_xll.HLV5r3.Analytics.Miscellaneous.Zero2DF(_xll.HLV5r3.Analytics.Miscellaneous.LinearInterp(Peturbed_QZ,$K456,1,M$1),ZeroCompFreq,'PDH Calc'!$K456/365)</f>
        <v>1</v>
      </c>
      <c r="N456" s="8">
        <f ca="1">_xll.HLV5r3.Analytics.Miscellaneous.Zero2DF(_xll.HLV5r3.Analytics.Miscellaneous.LinearInterp(Peturbed_QZ,$K456,1,N$1),ZeroCompFreq,'PDH Calc'!$K456/365)</f>
        <v>1</v>
      </c>
      <c r="O456" s="8">
        <f ca="1">_xll.HLV5r3.Analytics.Miscellaneous.Zero2DF(_xll.HLV5r3.Analytics.Miscellaneous.LinearInterp(Peturbed_QZ,$K456,1,O$1),ZeroCompFreq,'PDH Calc'!$K456/365)</f>
        <v>1</v>
      </c>
      <c r="P456" s="8">
        <f ca="1">_xll.HLV5r3.Analytics.Miscellaneous.Zero2DF(_xll.HLV5r3.Analytics.Miscellaneous.LinearInterp(Peturbed_QZ,$K456,1,P$1),ZeroCompFreq,'PDH Calc'!$K456/365)</f>
        <v>1</v>
      </c>
      <c r="Q456" s="8">
        <f ca="1">_xll.HLV5r3.Analytics.Miscellaneous.Zero2DF(_xll.HLV5r3.Analytics.Miscellaneous.LinearInterp(Peturbed_QZ,$K456,1,Q$1),ZeroCompFreq,'PDH Calc'!$K456/365)</f>
        <v>1</v>
      </c>
      <c r="R456" s="8">
        <f ca="1">_xll.HLV5r3.Analytics.Miscellaneous.Zero2DF(_xll.HLV5r3.Analytics.Miscellaneous.LinearInterp(Peturbed_QZ,$K456,1,R$1),ZeroCompFreq,'PDH Calc'!$K456/365)</f>
        <v>1</v>
      </c>
      <c r="S456" s="8">
        <f ca="1">_xll.HLV5r3.Analytics.Miscellaneous.Zero2DF(_xll.HLV5r3.Analytics.Miscellaneous.LinearInterp(Peturbed_QZ,$K456,1,S$1),ZeroCompFreq,'PDH Calc'!$K456/365)</f>
        <v>1</v>
      </c>
      <c r="T456" s="8">
        <f ca="1">_xll.HLV5r3.Analytics.Miscellaneous.Zero2DF(_xll.HLV5r3.Analytics.Miscellaneous.LinearInterp(Peturbed_QZ,$K456,1,T$1),ZeroCompFreq,'PDH Calc'!$K456/365)</f>
        <v>1</v>
      </c>
      <c r="U456" s="8">
        <f ca="1">_xll.HLV5r3.Analytics.Miscellaneous.Zero2DF(_xll.HLV5r3.Analytics.Miscellaneous.LinearInterp(Peturbed_QZ,$K456,1,U$1),ZeroCompFreq,'PDH Calc'!$K456/365)</f>
        <v>1</v>
      </c>
      <c r="V456" s="8">
        <f ca="1">_xll.HLV5r3.Analytics.Miscellaneous.Zero2DF(_xll.HLV5r3.Analytics.Miscellaneous.LinearInterp(Peturbed_QZ,$K456,1,V$1),ZeroCompFreq,'PDH Calc'!$K456/365)</f>
        <v>1</v>
      </c>
      <c r="W456" s="8">
        <f ca="1">_xll.HLV5r3.Analytics.Miscellaneous.Zero2DF(_xll.HLV5r3.Analytics.Miscellaneous.LinearInterp(Peturbed_QZ,$K456,1,W$1),ZeroCompFreq,'PDH Calc'!$K456/365)</f>
        <v>1</v>
      </c>
      <c r="X456" s="8">
        <f ca="1">_xll.HLV5r3.Analytics.Miscellaneous.Zero2DF(_xll.HLV5r3.Analytics.Miscellaneous.LinearInterp(Peturbed_QZ,$K456,1,X$1),ZeroCompFreq,'PDH Calc'!$K456/365)</f>
        <v>1</v>
      </c>
      <c r="Y456" s="8">
        <f ca="1">_xll.HLV5r3.Analytics.Miscellaneous.Zero2DF(_xll.HLV5r3.Analytics.Miscellaneous.LinearInterp(Peturbed_QZ,$K456,1,Y$1),ZeroCompFreq,'PDH Calc'!$K456/365)</f>
        <v>1</v>
      </c>
      <c r="Z456" s="8">
        <f ca="1">_xll.HLV5r3.Analytics.Miscellaneous.Zero2DF(_xll.HLV5r3.Analytics.Miscellaneous.LinearInterp(Peturbed_QZ,$K456,1,Z$1),ZeroCompFreq,'PDH Calc'!$K456/365)</f>
        <v>1</v>
      </c>
      <c r="AA456" s="8">
        <f ca="1">_xll.HLV5r3.Analytics.Miscellaneous.Zero2DF(_xll.HLV5r3.Analytics.Miscellaneous.LinearInterp(Peturbed_QZ,$K456,1,AA$1),ZeroCompFreq,'PDH Calc'!$K456/365)</f>
        <v>1</v>
      </c>
      <c r="AB456" s="8">
        <f ca="1">_xll.HLV5r3.Analytics.Miscellaneous.Zero2DF(_xll.HLV5r3.Analytics.Miscellaneous.LinearInterp(Peturbed_QZ,$K456,1,AB$1),ZeroCompFreq,'PDH Calc'!$K456/365)</f>
        <v>1</v>
      </c>
      <c r="AC456" s="8">
        <f ca="1">_xll.HLV5r3.Analytics.Miscellaneous.Zero2DF(_xll.HLV5r3.Analytics.Miscellaneous.LinearInterp(Peturbed_QZ,$K456,1,AC$1),ZeroCompFreq,'PDH Calc'!$K456/365)</f>
        <v>1</v>
      </c>
      <c r="AD456" s="8">
        <f ca="1">_xll.HLV5r3.Analytics.Miscellaneous.Zero2DF(_xll.HLV5r3.Analytics.Miscellaneous.LinearInterp(Peturbed_QZ,$K456,1,AD$1),ZeroCompFreq,'PDH Calc'!$K456/365)</f>
        <v>1</v>
      </c>
      <c r="AE456" s="8">
        <f ca="1">_xll.HLV5r3.Analytics.Miscellaneous.Zero2DF(_xll.HLV5r3.Analytics.Miscellaneous.LinearInterp(Peturbed_QZ,$K456,1,AE$1),ZeroCompFreq,'PDH Calc'!$K456/365)</f>
        <v>1</v>
      </c>
      <c r="AF456" s="8">
        <f ca="1">_xll.HLV5r3.Analytics.Miscellaneous.Zero2DF(_xll.HLV5r3.Analytics.Miscellaneous.LinearInterp(Peturbed_QZ,$K456,1,AF$1),ZeroCompFreq,'PDH Calc'!$K456/365)</f>
        <v>1</v>
      </c>
      <c r="AG456" s="8">
        <f ca="1">_xll.HLV5r3.Analytics.Miscellaneous.Zero2DF(_xll.HLV5r3.Analytics.Miscellaneous.LinearInterp(Peturbed_QZ,$K456,1,AG$1),ZeroCompFreq,'PDH Calc'!$K456/365)</f>
        <v>1</v>
      </c>
      <c r="AH456" s="8">
        <f ca="1">_xll.HLV5r3.Analytics.Miscellaneous.Zero2DF(_xll.HLV5r3.Analytics.Miscellaneous.LinearInterp(Peturbed_QZ,$K456,1,AH$1),ZeroCompFreq,'PDH Calc'!$K456/365)</f>
        <v>1</v>
      </c>
      <c r="AI456" s="8">
        <f ca="1">_xll.HLV5r3.Analytics.Miscellaneous.Zero2DF(_xll.HLV5r3.Analytics.Miscellaneous.LinearInterp(Peturbed_QZ,$K456,1,AI$1),ZeroCompFreq,'PDH Calc'!$K456/365)</f>
        <v>1</v>
      </c>
      <c r="AJ456" s="8">
        <f ca="1">_xll.HLV5r3.Analytics.Miscellaneous.Zero2DF(_xll.HLV5r3.Analytics.Miscellaneous.LinearInterp(Peturbed_QZ,$K456,1,AJ$1),ZeroCompFreq,'PDH Calc'!$K456/365)</f>
        <v>1</v>
      </c>
      <c r="AK456" s="8">
        <f ca="1">_xll.HLV5r3.Analytics.Miscellaneous.Zero2DF(_xll.HLV5r3.Analytics.Miscellaneous.LinearInterp(Peturbed_QZ,$K456,1,AK$1),ZeroCompFreq,'PDH Calc'!$K456/365)</f>
        <v>1</v>
      </c>
    </row>
    <row r="457" spans="1:37">
      <c r="A457" s="4"/>
      <c r="B457" s="6"/>
      <c r="F457" s="11"/>
      <c r="G457" s="6"/>
      <c r="H457" s="20"/>
      <c r="I457" s="21"/>
      <c r="J457" s="26"/>
      <c r="K457" s="6">
        <f t="shared" ca="1" si="14"/>
        <v>0</v>
      </c>
      <c r="L457" s="8">
        <f ca="1">_xll.HLV5r3.Analytics.Miscellaneous.Zero2DF(_xll.HLV5r3.Analytics.Miscellaneous.LinearInterp(Peturbed_QZ,$K457,1,L$1),ZeroCompFreq,'PDH Calc'!$K457/365)</f>
        <v>1</v>
      </c>
      <c r="M457" s="8">
        <f ca="1">_xll.HLV5r3.Analytics.Miscellaneous.Zero2DF(_xll.HLV5r3.Analytics.Miscellaneous.LinearInterp(Peturbed_QZ,$K457,1,M$1),ZeroCompFreq,'PDH Calc'!$K457/365)</f>
        <v>1</v>
      </c>
      <c r="N457" s="8">
        <f ca="1">_xll.HLV5r3.Analytics.Miscellaneous.Zero2DF(_xll.HLV5r3.Analytics.Miscellaneous.LinearInterp(Peturbed_QZ,$K457,1,N$1),ZeroCompFreq,'PDH Calc'!$K457/365)</f>
        <v>1</v>
      </c>
      <c r="O457" s="8">
        <f ca="1">_xll.HLV5r3.Analytics.Miscellaneous.Zero2DF(_xll.HLV5r3.Analytics.Miscellaneous.LinearInterp(Peturbed_QZ,$K457,1,O$1),ZeroCompFreq,'PDH Calc'!$K457/365)</f>
        <v>1</v>
      </c>
      <c r="P457" s="8">
        <f ca="1">_xll.HLV5r3.Analytics.Miscellaneous.Zero2DF(_xll.HLV5r3.Analytics.Miscellaneous.LinearInterp(Peturbed_QZ,$K457,1,P$1),ZeroCompFreq,'PDH Calc'!$K457/365)</f>
        <v>1</v>
      </c>
      <c r="Q457" s="8">
        <f ca="1">_xll.HLV5r3.Analytics.Miscellaneous.Zero2DF(_xll.HLV5r3.Analytics.Miscellaneous.LinearInterp(Peturbed_QZ,$K457,1,Q$1),ZeroCompFreq,'PDH Calc'!$K457/365)</f>
        <v>1</v>
      </c>
      <c r="R457" s="8">
        <f ca="1">_xll.HLV5r3.Analytics.Miscellaneous.Zero2DF(_xll.HLV5r3.Analytics.Miscellaneous.LinearInterp(Peturbed_QZ,$K457,1,R$1),ZeroCompFreq,'PDH Calc'!$K457/365)</f>
        <v>1</v>
      </c>
      <c r="S457" s="8">
        <f ca="1">_xll.HLV5r3.Analytics.Miscellaneous.Zero2DF(_xll.HLV5r3.Analytics.Miscellaneous.LinearInterp(Peturbed_QZ,$K457,1,S$1),ZeroCompFreq,'PDH Calc'!$K457/365)</f>
        <v>1</v>
      </c>
      <c r="T457" s="8">
        <f ca="1">_xll.HLV5r3.Analytics.Miscellaneous.Zero2DF(_xll.HLV5r3.Analytics.Miscellaneous.LinearInterp(Peturbed_QZ,$K457,1,T$1),ZeroCompFreq,'PDH Calc'!$K457/365)</f>
        <v>1</v>
      </c>
      <c r="U457" s="8">
        <f ca="1">_xll.HLV5r3.Analytics.Miscellaneous.Zero2DF(_xll.HLV5r3.Analytics.Miscellaneous.LinearInterp(Peturbed_QZ,$K457,1,U$1),ZeroCompFreq,'PDH Calc'!$K457/365)</f>
        <v>1</v>
      </c>
      <c r="V457" s="8">
        <f ca="1">_xll.HLV5r3.Analytics.Miscellaneous.Zero2DF(_xll.HLV5r3.Analytics.Miscellaneous.LinearInterp(Peturbed_QZ,$K457,1,V$1),ZeroCompFreq,'PDH Calc'!$K457/365)</f>
        <v>1</v>
      </c>
      <c r="W457" s="8">
        <f ca="1">_xll.HLV5r3.Analytics.Miscellaneous.Zero2DF(_xll.HLV5r3.Analytics.Miscellaneous.LinearInterp(Peturbed_QZ,$K457,1,W$1),ZeroCompFreq,'PDH Calc'!$K457/365)</f>
        <v>1</v>
      </c>
      <c r="X457" s="8">
        <f ca="1">_xll.HLV5r3.Analytics.Miscellaneous.Zero2DF(_xll.HLV5r3.Analytics.Miscellaneous.LinearInterp(Peturbed_QZ,$K457,1,X$1),ZeroCompFreq,'PDH Calc'!$K457/365)</f>
        <v>1</v>
      </c>
      <c r="Y457" s="8">
        <f ca="1">_xll.HLV5r3.Analytics.Miscellaneous.Zero2DF(_xll.HLV5r3.Analytics.Miscellaneous.LinearInterp(Peturbed_QZ,$K457,1,Y$1),ZeroCompFreq,'PDH Calc'!$K457/365)</f>
        <v>1</v>
      </c>
      <c r="Z457" s="8">
        <f ca="1">_xll.HLV5r3.Analytics.Miscellaneous.Zero2DF(_xll.HLV5r3.Analytics.Miscellaneous.LinearInterp(Peturbed_QZ,$K457,1,Z$1),ZeroCompFreq,'PDH Calc'!$K457/365)</f>
        <v>1</v>
      </c>
      <c r="AA457" s="8">
        <f ca="1">_xll.HLV5r3.Analytics.Miscellaneous.Zero2DF(_xll.HLV5r3.Analytics.Miscellaneous.LinearInterp(Peturbed_QZ,$K457,1,AA$1),ZeroCompFreq,'PDH Calc'!$K457/365)</f>
        <v>1</v>
      </c>
      <c r="AB457" s="8">
        <f ca="1">_xll.HLV5r3.Analytics.Miscellaneous.Zero2DF(_xll.HLV5r3.Analytics.Miscellaneous.LinearInterp(Peturbed_QZ,$K457,1,AB$1),ZeroCompFreq,'PDH Calc'!$K457/365)</f>
        <v>1</v>
      </c>
      <c r="AC457" s="8">
        <f ca="1">_xll.HLV5r3.Analytics.Miscellaneous.Zero2DF(_xll.HLV5r3.Analytics.Miscellaneous.LinearInterp(Peturbed_QZ,$K457,1,AC$1),ZeroCompFreq,'PDH Calc'!$K457/365)</f>
        <v>1</v>
      </c>
      <c r="AD457" s="8">
        <f ca="1">_xll.HLV5r3.Analytics.Miscellaneous.Zero2DF(_xll.HLV5r3.Analytics.Miscellaneous.LinearInterp(Peturbed_QZ,$K457,1,AD$1),ZeroCompFreq,'PDH Calc'!$K457/365)</f>
        <v>1</v>
      </c>
      <c r="AE457" s="8">
        <f ca="1">_xll.HLV5r3.Analytics.Miscellaneous.Zero2DF(_xll.HLV5r3.Analytics.Miscellaneous.LinearInterp(Peturbed_QZ,$K457,1,AE$1),ZeroCompFreq,'PDH Calc'!$K457/365)</f>
        <v>1</v>
      </c>
      <c r="AF457" s="8">
        <f ca="1">_xll.HLV5r3.Analytics.Miscellaneous.Zero2DF(_xll.HLV5r3.Analytics.Miscellaneous.LinearInterp(Peturbed_QZ,$K457,1,AF$1),ZeroCompFreq,'PDH Calc'!$K457/365)</f>
        <v>1</v>
      </c>
      <c r="AG457" s="8">
        <f ca="1">_xll.HLV5r3.Analytics.Miscellaneous.Zero2DF(_xll.HLV5r3.Analytics.Miscellaneous.LinearInterp(Peturbed_QZ,$K457,1,AG$1),ZeroCompFreq,'PDH Calc'!$K457/365)</f>
        <v>1</v>
      </c>
      <c r="AH457" s="8">
        <f ca="1">_xll.HLV5r3.Analytics.Miscellaneous.Zero2DF(_xll.HLV5r3.Analytics.Miscellaneous.LinearInterp(Peturbed_QZ,$K457,1,AH$1),ZeroCompFreq,'PDH Calc'!$K457/365)</f>
        <v>1</v>
      </c>
      <c r="AI457" s="8">
        <f ca="1">_xll.HLV5r3.Analytics.Miscellaneous.Zero2DF(_xll.HLV5r3.Analytics.Miscellaneous.LinearInterp(Peturbed_QZ,$K457,1,AI$1),ZeroCompFreq,'PDH Calc'!$K457/365)</f>
        <v>1</v>
      </c>
      <c r="AJ457" s="8">
        <f ca="1">_xll.HLV5r3.Analytics.Miscellaneous.Zero2DF(_xll.HLV5r3.Analytics.Miscellaneous.LinearInterp(Peturbed_QZ,$K457,1,AJ$1),ZeroCompFreq,'PDH Calc'!$K457/365)</f>
        <v>1</v>
      </c>
      <c r="AK457" s="8">
        <f ca="1">_xll.HLV5r3.Analytics.Miscellaneous.Zero2DF(_xll.HLV5r3.Analytics.Miscellaneous.LinearInterp(Peturbed_QZ,$K457,1,AK$1),ZeroCompFreq,'PDH Calc'!$K457/365)</f>
        <v>1</v>
      </c>
    </row>
    <row r="458" spans="1:37">
      <c r="A458" s="4"/>
      <c r="B458" s="6"/>
      <c r="F458" s="11"/>
      <c r="G458" s="6"/>
      <c r="H458" s="20"/>
      <c r="I458" s="21"/>
      <c r="J458" s="26"/>
      <c r="K458" s="6">
        <f t="shared" ca="1" si="14"/>
        <v>0</v>
      </c>
      <c r="L458" s="8">
        <f ca="1">_xll.HLV5r3.Analytics.Miscellaneous.Zero2DF(_xll.HLV5r3.Analytics.Miscellaneous.LinearInterp(Peturbed_QZ,$K458,1,L$1),ZeroCompFreq,'PDH Calc'!$K458/365)</f>
        <v>1</v>
      </c>
      <c r="M458" s="8">
        <f ca="1">_xll.HLV5r3.Analytics.Miscellaneous.Zero2DF(_xll.HLV5r3.Analytics.Miscellaneous.LinearInterp(Peturbed_QZ,$K458,1,M$1),ZeroCompFreq,'PDH Calc'!$K458/365)</f>
        <v>1</v>
      </c>
      <c r="N458" s="8">
        <f ca="1">_xll.HLV5r3.Analytics.Miscellaneous.Zero2DF(_xll.HLV5r3.Analytics.Miscellaneous.LinearInterp(Peturbed_QZ,$K458,1,N$1),ZeroCompFreq,'PDH Calc'!$K458/365)</f>
        <v>1</v>
      </c>
      <c r="O458" s="8">
        <f ca="1">_xll.HLV5r3.Analytics.Miscellaneous.Zero2DF(_xll.HLV5r3.Analytics.Miscellaneous.LinearInterp(Peturbed_QZ,$K458,1,O$1),ZeroCompFreq,'PDH Calc'!$K458/365)</f>
        <v>1</v>
      </c>
      <c r="P458" s="8">
        <f ca="1">_xll.HLV5r3.Analytics.Miscellaneous.Zero2DF(_xll.HLV5r3.Analytics.Miscellaneous.LinearInterp(Peturbed_QZ,$K458,1,P$1),ZeroCompFreq,'PDH Calc'!$K458/365)</f>
        <v>1</v>
      </c>
      <c r="Q458" s="8">
        <f ca="1">_xll.HLV5r3.Analytics.Miscellaneous.Zero2DF(_xll.HLV5r3.Analytics.Miscellaneous.LinearInterp(Peturbed_QZ,$K458,1,Q$1),ZeroCompFreq,'PDH Calc'!$K458/365)</f>
        <v>1</v>
      </c>
      <c r="R458" s="8">
        <f ca="1">_xll.HLV5r3.Analytics.Miscellaneous.Zero2DF(_xll.HLV5r3.Analytics.Miscellaneous.LinearInterp(Peturbed_QZ,$K458,1,R$1),ZeroCompFreq,'PDH Calc'!$K458/365)</f>
        <v>1</v>
      </c>
      <c r="S458" s="8">
        <f ca="1">_xll.HLV5r3.Analytics.Miscellaneous.Zero2DF(_xll.HLV5r3.Analytics.Miscellaneous.LinearInterp(Peturbed_QZ,$K458,1,S$1),ZeroCompFreq,'PDH Calc'!$K458/365)</f>
        <v>1</v>
      </c>
      <c r="T458" s="8">
        <f ca="1">_xll.HLV5r3.Analytics.Miscellaneous.Zero2DF(_xll.HLV5r3.Analytics.Miscellaneous.LinearInterp(Peturbed_QZ,$K458,1,T$1),ZeroCompFreq,'PDH Calc'!$K458/365)</f>
        <v>1</v>
      </c>
      <c r="U458" s="8">
        <f ca="1">_xll.HLV5r3.Analytics.Miscellaneous.Zero2DF(_xll.HLV5r3.Analytics.Miscellaneous.LinearInterp(Peturbed_QZ,$K458,1,U$1),ZeroCompFreq,'PDH Calc'!$K458/365)</f>
        <v>1</v>
      </c>
      <c r="V458" s="8">
        <f ca="1">_xll.HLV5r3.Analytics.Miscellaneous.Zero2DF(_xll.HLV5r3.Analytics.Miscellaneous.LinearInterp(Peturbed_QZ,$K458,1,V$1),ZeroCompFreq,'PDH Calc'!$K458/365)</f>
        <v>1</v>
      </c>
      <c r="W458" s="8">
        <f ca="1">_xll.HLV5r3.Analytics.Miscellaneous.Zero2DF(_xll.HLV5r3.Analytics.Miscellaneous.LinearInterp(Peturbed_QZ,$K458,1,W$1),ZeroCompFreq,'PDH Calc'!$K458/365)</f>
        <v>1</v>
      </c>
      <c r="X458" s="8">
        <f ca="1">_xll.HLV5r3.Analytics.Miscellaneous.Zero2DF(_xll.HLV5r3.Analytics.Miscellaneous.LinearInterp(Peturbed_QZ,$K458,1,X$1),ZeroCompFreq,'PDH Calc'!$K458/365)</f>
        <v>1</v>
      </c>
      <c r="Y458" s="8">
        <f ca="1">_xll.HLV5r3.Analytics.Miscellaneous.Zero2DF(_xll.HLV5r3.Analytics.Miscellaneous.LinearInterp(Peturbed_QZ,$K458,1,Y$1),ZeroCompFreq,'PDH Calc'!$K458/365)</f>
        <v>1</v>
      </c>
      <c r="Z458" s="8">
        <f ca="1">_xll.HLV5r3.Analytics.Miscellaneous.Zero2DF(_xll.HLV5r3.Analytics.Miscellaneous.LinearInterp(Peturbed_QZ,$K458,1,Z$1),ZeroCompFreq,'PDH Calc'!$K458/365)</f>
        <v>1</v>
      </c>
      <c r="AA458" s="8">
        <f ca="1">_xll.HLV5r3.Analytics.Miscellaneous.Zero2DF(_xll.HLV5r3.Analytics.Miscellaneous.LinearInterp(Peturbed_QZ,$K458,1,AA$1),ZeroCompFreq,'PDH Calc'!$K458/365)</f>
        <v>1</v>
      </c>
      <c r="AB458" s="8">
        <f ca="1">_xll.HLV5r3.Analytics.Miscellaneous.Zero2DF(_xll.HLV5r3.Analytics.Miscellaneous.LinearInterp(Peturbed_QZ,$K458,1,AB$1),ZeroCompFreq,'PDH Calc'!$K458/365)</f>
        <v>1</v>
      </c>
      <c r="AC458" s="8">
        <f ca="1">_xll.HLV5r3.Analytics.Miscellaneous.Zero2DF(_xll.HLV5r3.Analytics.Miscellaneous.LinearInterp(Peturbed_QZ,$K458,1,AC$1),ZeroCompFreq,'PDH Calc'!$K458/365)</f>
        <v>1</v>
      </c>
      <c r="AD458" s="8">
        <f ca="1">_xll.HLV5r3.Analytics.Miscellaneous.Zero2DF(_xll.HLV5r3.Analytics.Miscellaneous.LinearInterp(Peturbed_QZ,$K458,1,AD$1),ZeroCompFreq,'PDH Calc'!$K458/365)</f>
        <v>1</v>
      </c>
      <c r="AE458" s="8">
        <f ca="1">_xll.HLV5r3.Analytics.Miscellaneous.Zero2DF(_xll.HLV5r3.Analytics.Miscellaneous.LinearInterp(Peturbed_QZ,$K458,1,AE$1),ZeroCompFreq,'PDH Calc'!$K458/365)</f>
        <v>1</v>
      </c>
      <c r="AF458" s="8">
        <f ca="1">_xll.HLV5r3.Analytics.Miscellaneous.Zero2DF(_xll.HLV5r3.Analytics.Miscellaneous.LinearInterp(Peturbed_QZ,$K458,1,AF$1),ZeroCompFreq,'PDH Calc'!$K458/365)</f>
        <v>1</v>
      </c>
      <c r="AG458" s="8">
        <f ca="1">_xll.HLV5r3.Analytics.Miscellaneous.Zero2DF(_xll.HLV5r3.Analytics.Miscellaneous.LinearInterp(Peturbed_QZ,$K458,1,AG$1),ZeroCompFreq,'PDH Calc'!$K458/365)</f>
        <v>1</v>
      </c>
      <c r="AH458" s="8">
        <f ca="1">_xll.HLV5r3.Analytics.Miscellaneous.Zero2DF(_xll.HLV5r3.Analytics.Miscellaneous.LinearInterp(Peturbed_QZ,$K458,1,AH$1),ZeroCompFreq,'PDH Calc'!$K458/365)</f>
        <v>1</v>
      </c>
      <c r="AI458" s="8">
        <f ca="1">_xll.HLV5r3.Analytics.Miscellaneous.Zero2DF(_xll.HLV5r3.Analytics.Miscellaneous.LinearInterp(Peturbed_QZ,$K458,1,AI$1),ZeroCompFreq,'PDH Calc'!$K458/365)</f>
        <v>1</v>
      </c>
      <c r="AJ458" s="8">
        <f ca="1">_xll.HLV5r3.Analytics.Miscellaneous.Zero2DF(_xll.HLV5r3.Analytics.Miscellaneous.LinearInterp(Peturbed_QZ,$K458,1,AJ$1),ZeroCompFreq,'PDH Calc'!$K458/365)</f>
        <v>1</v>
      </c>
      <c r="AK458" s="8">
        <f ca="1">_xll.HLV5r3.Analytics.Miscellaneous.Zero2DF(_xll.HLV5r3.Analytics.Miscellaneous.LinearInterp(Peturbed_QZ,$K458,1,AK$1),ZeroCompFreq,'PDH Calc'!$K458/365)</f>
        <v>1</v>
      </c>
    </row>
    <row r="459" spans="1:37">
      <c r="A459" s="4"/>
      <c r="B459" s="6"/>
      <c r="F459" s="11"/>
      <c r="G459" s="6"/>
      <c r="H459" s="20"/>
      <c r="I459" s="21"/>
      <c r="J459" s="26"/>
      <c r="K459" s="6">
        <f t="shared" ca="1" si="14"/>
        <v>0</v>
      </c>
      <c r="L459" s="8">
        <f ca="1">_xll.HLV5r3.Analytics.Miscellaneous.Zero2DF(_xll.HLV5r3.Analytics.Miscellaneous.LinearInterp(Peturbed_QZ,$K459,1,L$1),ZeroCompFreq,'PDH Calc'!$K459/365)</f>
        <v>1</v>
      </c>
      <c r="M459" s="8">
        <f ca="1">_xll.HLV5r3.Analytics.Miscellaneous.Zero2DF(_xll.HLV5r3.Analytics.Miscellaneous.LinearInterp(Peturbed_QZ,$K459,1,M$1),ZeroCompFreq,'PDH Calc'!$K459/365)</f>
        <v>1</v>
      </c>
      <c r="N459" s="8">
        <f ca="1">_xll.HLV5r3.Analytics.Miscellaneous.Zero2DF(_xll.HLV5r3.Analytics.Miscellaneous.LinearInterp(Peturbed_QZ,$K459,1,N$1),ZeroCompFreq,'PDH Calc'!$K459/365)</f>
        <v>1</v>
      </c>
      <c r="O459" s="8">
        <f ca="1">_xll.HLV5r3.Analytics.Miscellaneous.Zero2DF(_xll.HLV5r3.Analytics.Miscellaneous.LinearInterp(Peturbed_QZ,$K459,1,O$1),ZeroCompFreq,'PDH Calc'!$K459/365)</f>
        <v>1</v>
      </c>
      <c r="P459" s="8">
        <f ca="1">_xll.HLV5r3.Analytics.Miscellaneous.Zero2DF(_xll.HLV5r3.Analytics.Miscellaneous.LinearInterp(Peturbed_QZ,$K459,1,P$1),ZeroCompFreq,'PDH Calc'!$K459/365)</f>
        <v>1</v>
      </c>
      <c r="Q459" s="8">
        <f ca="1">_xll.HLV5r3.Analytics.Miscellaneous.Zero2DF(_xll.HLV5r3.Analytics.Miscellaneous.LinearInterp(Peturbed_QZ,$K459,1,Q$1),ZeroCompFreq,'PDH Calc'!$K459/365)</f>
        <v>1</v>
      </c>
      <c r="R459" s="8">
        <f ca="1">_xll.HLV5r3.Analytics.Miscellaneous.Zero2DF(_xll.HLV5r3.Analytics.Miscellaneous.LinearInterp(Peturbed_QZ,$K459,1,R$1),ZeroCompFreq,'PDH Calc'!$K459/365)</f>
        <v>1</v>
      </c>
      <c r="S459" s="8">
        <f ca="1">_xll.HLV5r3.Analytics.Miscellaneous.Zero2DF(_xll.HLV5r3.Analytics.Miscellaneous.LinearInterp(Peturbed_QZ,$K459,1,S$1),ZeroCompFreq,'PDH Calc'!$K459/365)</f>
        <v>1</v>
      </c>
      <c r="T459" s="8">
        <f ca="1">_xll.HLV5r3.Analytics.Miscellaneous.Zero2DF(_xll.HLV5r3.Analytics.Miscellaneous.LinearInterp(Peturbed_QZ,$K459,1,T$1),ZeroCompFreq,'PDH Calc'!$K459/365)</f>
        <v>1</v>
      </c>
      <c r="U459" s="8">
        <f ca="1">_xll.HLV5r3.Analytics.Miscellaneous.Zero2DF(_xll.HLV5r3.Analytics.Miscellaneous.LinearInterp(Peturbed_QZ,$K459,1,U$1),ZeroCompFreq,'PDH Calc'!$K459/365)</f>
        <v>1</v>
      </c>
      <c r="V459" s="8">
        <f ca="1">_xll.HLV5r3.Analytics.Miscellaneous.Zero2DF(_xll.HLV5r3.Analytics.Miscellaneous.LinearInterp(Peturbed_QZ,$K459,1,V$1),ZeroCompFreq,'PDH Calc'!$K459/365)</f>
        <v>1</v>
      </c>
      <c r="W459" s="8">
        <f ca="1">_xll.HLV5r3.Analytics.Miscellaneous.Zero2DF(_xll.HLV5r3.Analytics.Miscellaneous.LinearInterp(Peturbed_QZ,$K459,1,W$1),ZeroCompFreq,'PDH Calc'!$K459/365)</f>
        <v>1</v>
      </c>
      <c r="X459" s="8">
        <f ca="1">_xll.HLV5r3.Analytics.Miscellaneous.Zero2DF(_xll.HLV5r3.Analytics.Miscellaneous.LinearInterp(Peturbed_QZ,$K459,1,X$1),ZeroCompFreq,'PDH Calc'!$K459/365)</f>
        <v>1</v>
      </c>
      <c r="Y459" s="8">
        <f ca="1">_xll.HLV5r3.Analytics.Miscellaneous.Zero2DF(_xll.HLV5r3.Analytics.Miscellaneous.LinearInterp(Peturbed_QZ,$K459,1,Y$1),ZeroCompFreq,'PDH Calc'!$K459/365)</f>
        <v>1</v>
      </c>
      <c r="Z459" s="8">
        <f ca="1">_xll.HLV5r3.Analytics.Miscellaneous.Zero2DF(_xll.HLV5r3.Analytics.Miscellaneous.LinearInterp(Peturbed_QZ,$K459,1,Z$1),ZeroCompFreq,'PDH Calc'!$K459/365)</f>
        <v>1</v>
      </c>
      <c r="AA459" s="8">
        <f ca="1">_xll.HLV5r3.Analytics.Miscellaneous.Zero2DF(_xll.HLV5r3.Analytics.Miscellaneous.LinearInterp(Peturbed_QZ,$K459,1,AA$1),ZeroCompFreq,'PDH Calc'!$K459/365)</f>
        <v>1</v>
      </c>
      <c r="AB459" s="8">
        <f ca="1">_xll.HLV5r3.Analytics.Miscellaneous.Zero2DF(_xll.HLV5r3.Analytics.Miscellaneous.LinearInterp(Peturbed_QZ,$K459,1,AB$1),ZeroCompFreq,'PDH Calc'!$K459/365)</f>
        <v>1</v>
      </c>
      <c r="AC459" s="8">
        <f ca="1">_xll.HLV5r3.Analytics.Miscellaneous.Zero2DF(_xll.HLV5r3.Analytics.Miscellaneous.LinearInterp(Peturbed_QZ,$K459,1,AC$1),ZeroCompFreq,'PDH Calc'!$K459/365)</f>
        <v>1</v>
      </c>
      <c r="AD459" s="8">
        <f ca="1">_xll.HLV5r3.Analytics.Miscellaneous.Zero2DF(_xll.HLV5r3.Analytics.Miscellaneous.LinearInterp(Peturbed_QZ,$K459,1,AD$1),ZeroCompFreq,'PDH Calc'!$K459/365)</f>
        <v>1</v>
      </c>
      <c r="AE459" s="8">
        <f ca="1">_xll.HLV5r3.Analytics.Miscellaneous.Zero2DF(_xll.HLV5r3.Analytics.Miscellaneous.LinearInterp(Peturbed_QZ,$K459,1,AE$1),ZeroCompFreq,'PDH Calc'!$K459/365)</f>
        <v>1</v>
      </c>
      <c r="AF459" s="8">
        <f ca="1">_xll.HLV5r3.Analytics.Miscellaneous.Zero2DF(_xll.HLV5r3.Analytics.Miscellaneous.LinearInterp(Peturbed_QZ,$K459,1,AF$1),ZeroCompFreq,'PDH Calc'!$K459/365)</f>
        <v>1</v>
      </c>
      <c r="AG459" s="8">
        <f ca="1">_xll.HLV5r3.Analytics.Miscellaneous.Zero2DF(_xll.HLV5r3.Analytics.Miscellaneous.LinearInterp(Peturbed_QZ,$K459,1,AG$1),ZeroCompFreq,'PDH Calc'!$K459/365)</f>
        <v>1</v>
      </c>
      <c r="AH459" s="8">
        <f ca="1">_xll.HLV5r3.Analytics.Miscellaneous.Zero2DF(_xll.HLV5r3.Analytics.Miscellaneous.LinearInterp(Peturbed_QZ,$K459,1,AH$1),ZeroCompFreq,'PDH Calc'!$K459/365)</f>
        <v>1</v>
      </c>
      <c r="AI459" s="8">
        <f ca="1">_xll.HLV5r3.Analytics.Miscellaneous.Zero2DF(_xll.HLV5r3.Analytics.Miscellaneous.LinearInterp(Peturbed_QZ,$K459,1,AI$1),ZeroCompFreq,'PDH Calc'!$K459/365)</f>
        <v>1</v>
      </c>
      <c r="AJ459" s="8">
        <f ca="1">_xll.HLV5r3.Analytics.Miscellaneous.Zero2DF(_xll.HLV5r3.Analytics.Miscellaneous.LinearInterp(Peturbed_QZ,$K459,1,AJ$1),ZeroCompFreq,'PDH Calc'!$K459/365)</f>
        <v>1</v>
      </c>
      <c r="AK459" s="8">
        <f ca="1">_xll.HLV5r3.Analytics.Miscellaneous.Zero2DF(_xll.HLV5r3.Analytics.Miscellaneous.LinearInterp(Peturbed_QZ,$K459,1,AK$1),ZeroCompFreq,'PDH Calc'!$K459/365)</f>
        <v>1</v>
      </c>
    </row>
    <row r="460" spans="1:37">
      <c r="A460" s="4"/>
      <c r="B460" s="6"/>
      <c r="F460" s="11"/>
      <c r="G460" s="6"/>
      <c r="H460" s="20"/>
      <c r="I460" s="21"/>
      <c r="J460" s="26"/>
      <c r="K460" s="6">
        <f t="shared" ca="1" si="14"/>
        <v>0</v>
      </c>
      <c r="L460" s="8">
        <f ca="1">_xll.HLV5r3.Analytics.Miscellaneous.Zero2DF(_xll.HLV5r3.Analytics.Miscellaneous.LinearInterp(Peturbed_QZ,$K460,1,L$1),ZeroCompFreq,'PDH Calc'!$K460/365)</f>
        <v>1</v>
      </c>
      <c r="M460" s="8">
        <f ca="1">_xll.HLV5r3.Analytics.Miscellaneous.Zero2DF(_xll.HLV5r3.Analytics.Miscellaneous.LinearInterp(Peturbed_QZ,$K460,1,M$1),ZeroCompFreq,'PDH Calc'!$K460/365)</f>
        <v>1</v>
      </c>
      <c r="N460" s="8">
        <f ca="1">_xll.HLV5r3.Analytics.Miscellaneous.Zero2DF(_xll.HLV5r3.Analytics.Miscellaneous.LinearInterp(Peturbed_QZ,$K460,1,N$1),ZeroCompFreq,'PDH Calc'!$K460/365)</f>
        <v>1</v>
      </c>
      <c r="O460" s="8">
        <f ca="1">_xll.HLV5r3.Analytics.Miscellaneous.Zero2DF(_xll.HLV5r3.Analytics.Miscellaneous.LinearInterp(Peturbed_QZ,$K460,1,O$1),ZeroCompFreq,'PDH Calc'!$K460/365)</f>
        <v>1</v>
      </c>
      <c r="P460" s="8">
        <f ca="1">_xll.HLV5r3.Analytics.Miscellaneous.Zero2DF(_xll.HLV5r3.Analytics.Miscellaneous.LinearInterp(Peturbed_QZ,$K460,1,P$1),ZeroCompFreq,'PDH Calc'!$K460/365)</f>
        <v>1</v>
      </c>
      <c r="Q460" s="8">
        <f ca="1">_xll.HLV5r3.Analytics.Miscellaneous.Zero2DF(_xll.HLV5r3.Analytics.Miscellaneous.LinearInterp(Peturbed_QZ,$K460,1,Q$1),ZeroCompFreq,'PDH Calc'!$K460/365)</f>
        <v>1</v>
      </c>
      <c r="R460" s="8">
        <f ca="1">_xll.HLV5r3.Analytics.Miscellaneous.Zero2DF(_xll.HLV5r3.Analytics.Miscellaneous.LinearInterp(Peturbed_QZ,$K460,1,R$1),ZeroCompFreq,'PDH Calc'!$K460/365)</f>
        <v>1</v>
      </c>
      <c r="S460" s="8">
        <f ca="1">_xll.HLV5r3.Analytics.Miscellaneous.Zero2DF(_xll.HLV5r3.Analytics.Miscellaneous.LinearInterp(Peturbed_QZ,$K460,1,S$1),ZeroCompFreq,'PDH Calc'!$K460/365)</f>
        <v>1</v>
      </c>
      <c r="T460" s="8">
        <f ca="1">_xll.HLV5r3.Analytics.Miscellaneous.Zero2DF(_xll.HLV5r3.Analytics.Miscellaneous.LinearInterp(Peturbed_QZ,$K460,1,T$1),ZeroCompFreq,'PDH Calc'!$K460/365)</f>
        <v>1</v>
      </c>
      <c r="U460" s="8">
        <f ca="1">_xll.HLV5r3.Analytics.Miscellaneous.Zero2DF(_xll.HLV5r3.Analytics.Miscellaneous.LinearInterp(Peturbed_QZ,$K460,1,U$1),ZeroCompFreq,'PDH Calc'!$K460/365)</f>
        <v>1</v>
      </c>
      <c r="V460" s="8">
        <f ca="1">_xll.HLV5r3.Analytics.Miscellaneous.Zero2DF(_xll.HLV5r3.Analytics.Miscellaneous.LinearInterp(Peturbed_QZ,$K460,1,V$1),ZeroCompFreq,'PDH Calc'!$K460/365)</f>
        <v>1</v>
      </c>
      <c r="W460" s="8">
        <f ca="1">_xll.HLV5r3.Analytics.Miscellaneous.Zero2DF(_xll.HLV5r3.Analytics.Miscellaneous.LinearInterp(Peturbed_QZ,$K460,1,W$1),ZeroCompFreq,'PDH Calc'!$K460/365)</f>
        <v>1</v>
      </c>
      <c r="X460" s="8">
        <f ca="1">_xll.HLV5r3.Analytics.Miscellaneous.Zero2DF(_xll.HLV5r3.Analytics.Miscellaneous.LinearInterp(Peturbed_QZ,$K460,1,X$1),ZeroCompFreq,'PDH Calc'!$K460/365)</f>
        <v>1</v>
      </c>
      <c r="Y460" s="8">
        <f ca="1">_xll.HLV5r3.Analytics.Miscellaneous.Zero2DF(_xll.HLV5r3.Analytics.Miscellaneous.LinearInterp(Peturbed_QZ,$K460,1,Y$1),ZeroCompFreq,'PDH Calc'!$K460/365)</f>
        <v>1</v>
      </c>
      <c r="Z460" s="8">
        <f ca="1">_xll.HLV5r3.Analytics.Miscellaneous.Zero2DF(_xll.HLV5r3.Analytics.Miscellaneous.LinearInterp(Peturbed_QZ,$K460,1,Z$1),ZeroCompFreq,'PDH Calc'!$K460/365)</f>
        <v>1</v>
      </c>
      <c r="AA460" s="8">
        <f ca="1">_xll.HLV5r3.Analytics.Miscellaneous.Zero2DF(_xll.HLV5r3.Analytics.Miscellaneous.LinearInterp(Peturbed_QZ,$K460,1,AA$1),ZeroCompFreq,'PDH Calc'!$K460/365)</f>
        <v>1</v>
      </c>
      <c r="AB460" s="8">
        <f ca="1">_xll.HLV5r3.Analytics.Miscellaneous.Zero2DF(_xll.HLV5r3.Analytics.Miscellaneous.LinearInterp(Peturbed_QZ,$K460,1,AB$1),ZeroCompFreq,'PDH Calc'!$K460/365)</f>
        <v>1</v>
      </c>
      <c r="AC460" s="8">
        <f ca="1">_xll.HLV5r3.Analytics.Miscellaneous.Zero2DF(_xll.HLV5r3.Analytics.Miscellaneous.LinearInterp(Peturbed_QZ,$K460,1,AC$1),ZeroCompFreq,'PDH Calc'!$K460/365)</f>
        <v>1</v>
      </c>
      <c r="AD460" s="8">
        <f ca="1">_xll.HLV5r3.Analytics.Miscellaneous.Zero2DF(_xll.HLV5r3.Analytics.Miscellaneous.LinearInterp(Peturbed_QZ,$K460,1,AD$1),ZeroCompFreq,'PDH Calc'!$K460/365)</f>
        <v>1</v>
      </c>
      <c r="AE460" s="8">
        <f ca="1">_xll.HLV5r3.Analytics.Miscellaneous.Zero2DF(_xll.HLV5r3.Analytics.Miscellaneous.LinearInterp(Peturbed_QZ,$K460,1,AE$1),ZeroCompFreq,'PDH Calc'!$K460/365)</f>
        <v>1</v>
      </c>
      <c r="AF460" s="8">
        <f ca="1">_xll.HLV5r3.Analytics.Miscellaneous.Zero2DF(_xll.HLV5r3.Analytics.Miscellaneous.LinearInterp(Peturbed_QZ,$K460,1,AF$1),ZeroCompFreq,'PDH Calc'!$K460/365)</f>
        <v>1</v>
      </c>
      <c r="AG460" s="8">
        <f ca="1">_xll.HLV5r3.Analytics.Miscellaneous.Zero2DF(_xll.HLV5r3.Analytics.Miscellaneous.LinearInterp(Peturbed_QZ,$K460,1,AG$1),ZeroCompFreq,'PDH Calc'!$K460/365)</f>
        <v>1</v>
      </c>
      <c r="AH460" s="8">
        <f ca="1">_xll.HLV5r3.Analytics.Miscellaneous.Zero2DF(_xll.HLV5r3.Analytics.Miscellaneous.LinearInterp(Peturbed_QZ,$K460,1,AH$1),ZeroCompFreq,'PDH Calc'!$K460/365)</f>
        <v>1</v>
      </c>
      <c r="AI460" s="8">
        <f ca="1">_xll.HLV5r3.Analytics.Miscellaneous.Zero2DF(_xll.HLV5r3.Analytics.Miscellaneous.LinearInterp(Peturbed_QZ,$K460,1,AI$1),ZeroCompFreq,'PDH Calc'!$K460/365)</f>
        <v>1</v>
      </c>
      <c r="AJ460" s="8">
        <f ca="1">_xll.HLV5r3.Analytics.Miscellaneous.Zero2DF(_xll.HLV5r3.Analytics.Miscellaneous.LinearInterp(Peturbed_QZ,$K460,1,AJ$1),ZeroCompFreq,'PDH Calc'!$K460/365)</f>
        <v>1</v>
      </c>
      <c r="AK460" s="8">
        <f ca="1">_xll.HLV5r3.Analytics.Miscellaneous.Zero2DF(_xll.HLV5r3.Analytics.Miscellaneous.LinearInterp(Peturbed_QZ,$K460,1,AK$1),ZeroCompFreq,'PDH Calc'!$K460/365)</f>
        <v>1</v>
      </c>
    </row>
    <row r="461" spans="1:37">
      <c r="A461" s="4"/>
      <c r="B461" s="6"/>
      <c r="F461" s="11"/>
      <c r="G461" s="6"/>
      <c r="H461" s="20"/>
      <c r="I461" s="21"/>
      <c r="J461" s="26"/>
      <c r="K461" s="6">
        <f t="shared" ca="1" si="14"/>
        <v>0</v>
      </c>
      <c r="L461" s="8">
        <f ca="1">_xll.HLV5r3.Analytics.Miscellaneous.Zero2DF(_xll.HLV5r3.Analytics.Miscellaneous.LinearInterp(Peturbed_QZ,$K461,1,L$1),ZeroCompFreq,'PDH Calc'!$K461/365)</f>
        <v>1</v>
      </c>
      <c r="M461" s="8">
        <f ca="1">_xll.HLV5r3.Analytics.Miscellaneous.Zero2DF(_xll.HLV5r3.Analytics.Miscellaneous.LinearInterp(Peturbed_QZ,$K461,1,M$1),ZeroCompFreq,'PDH Calc'!$K461/365)</f>
        <v>1</v>
      </c>
      <c r="N461" s="8">
        <f ca="1">_xll.HLV5r3.Analytics.Miscellaneous.Zero2DF(_xll.HLV5r3.Analytics.Miscellaneous.LinearInterp(Peturbed_QZ,$K461,1,N$1),ZeroCompFreq,'PDH Calc'!$K461/365)</f>
        <v>1</v>
      </c>
      <c r="O461" s="8">
        <f ca="1">_xll.HLV5r3.Analytics.Miscellaneous.Zero2DF(_xll.HLV5r3.Analytics.Miscellaneous.LinearInterp(Peturbed_QZ,$K461,1,O$1),ZeroCompFreq,'PDH Calc'!$K461/365)</f>
        <v>1</v>
      </c>
      <c r="P461" s="8">
        <f ca="1">_xll.HLV5r3.Analytics.Miscellaneous.Zero2DF(_xll.HLV5r3.Analytics.Miscellaneous.LinearInterp(Peturbed_QZ,$K461,1,P$1),ZeroCompFreq,'PDH Calc'!$K461/365)</f>
        <v>1</v>
      </c>
      <c r="Q461" s="8">
        <f ca="1">_xll.HLV5r3.Analytics.Miscellaneous.Zero2DF(_xll.HLV5r3.Analytics.Miscellaneous.LinearInterp(Peturbed_QZ,$K461,1,Q$1),ZeroCompFreq,'PDH Calc'!$K461/365)</f>
        <v>1</v>
      </c>
      <c r="R461" s="8">
        <f ca="1">_xll.HLV5r3.Analytics.Miscellaneous.Zero2DF(_xll.HLV5r3.Analytics.Miscellaneous.LinearInterp(Peturbed_QZ,$K461,1,R$1),ZeroCompFreq,'PDH Calc'!$K461/365)</f>
        <v>1</v>
      </c>
      <c r="S461" s="8">
        <f ca="1">_xll.HLV5r3.Analytics.Miscellaneous.Zero2DF(_xll.HLV5r3.Analytics.Miscellaneous.LinearInterp(Peturbed_QZ,$K461,1,S$1),ZeroCompFreq,'PDH Calc'!$K461/365)</f>
        <v>1</v>
      </c>
      <c r="T461" s="8">
        <f ca="1">_xll.HLV5r3.Analytics.Miscellaneous.Zero2DF(_xll.HLV5r3.Analytics.Miscellaneous.LinearInterp(Peturbed_QZ,$K461,1,T$1),ZeroCompFreq,'PDH Calc'!$K461/365)</f>
        <v>1</v>
      </c>
      <c r="U461" s="8">
        <f ca="1">_xll.HLV5r3.Analytics.Miscellaneous.Zero2DF(_xll.HLV5r3.Analytics.Miscellaneous.LinearInterp(Peturbed_QZ,$K461,1,U$1),ZeroCompFreq,'PDH Calc'!$K461/365)</f>
        <v>1</v>
      </c>
      <c r="V461" s="8">
        <f ca="1">_xll.HLV5r3.Analytics.Miscellaneous.Zero2DF(_xll.HLV5r3.Analytics.Miscellaneous.LinearInterp(Peturbed_QZ,$K461,1,V$1),ZeroCompFreq,'PDH Calc'!$K461/365)</f>
        <v>1</v>
      </c>
      <c r="W461" s="8">
        <f ca="1">_xll.HLV5r3.Analytics.Miscellaneous.Zero2DF(_xll.HLV5r3.Analytics.Miscellaneous.LinearInterp(Peturbed_QZ,$K461,1,W$1),ZeroCompFreq,'PDH Calc'!$K461/365)</f>
        <v>1</v>
      </c>
      <c r="X461" s="8">
        <f ca="1">_xll.HLV5r3.Analytics.Miscellaneous.Zero2DF(_xll.HLV5r3.Analytics.Miscellaneous.LinearInterp(Peturbed_QZ,$K461,1,X$1),ZeroCompFreq,'PDH Calc'!$K461/365)</f>
        <v>1</v>
      </c>
      <c r="Y461" s="8">
        <f ca="1">_xll.HLV5r3.Analytics.Miscellaneous.Zero2DF(_xll.HLV5r3.Analytics.Miscellaneous.LinearInterp(Peturbed_QZ,$K461,1,Y$1),ZeroCompFreq,'PDH Calc'!$K461/365)</f>
        <v>1</v>
      </c>
      <c r="Z461" s="8">
        <f ca="1">_xll.HLV5r3.Analytics.Miscellaneous.Zero2DF(_xll.HLV5r3.Analytics.Miscellaneous.LinearInterp(Peturbed_QZ,$K461,1,Z$1),ZeroCompFreq,'PDH Calc'!$K461/365)</f>
        <v>1</v>
      </c>
      <c r="AA461" s="8">
        <f ca="1">_xll.HLV5r3.Analytics.Miscellaneous.Zero2DF(_xll.HLV5r3.Analytics.Miscellaneous.LinearInterp(Peturbed_QZ,$K461,1,AA$1),ZeroCompFreq,'PDH Calc'!$K461/365)</f>
        <v>1</v>
      </c>
      <c r="AB461" s="8">
        <f ca="1">_xll.HLV5r3.Analytics.Miscellaneous.Zero2DF(_xll.HLV5r3.Analytics.Miscellaneous.LinearInterp(Peturbed_QZ,$K461,1,AB$1),ZeroCompFreq,'PDH Calc'!$K461/365)</f>
        <v>1</v>
      </c>
      <c r="AC461" s="8">
        <f ca="1">_xll.HLV5r3.Analytics.Miscellaneous.Zero2DF(_xll.HLV5r3.Analytics.Miscellaneous.LinearInterp(Peturbed_QZ,$K461,1,AC$1),ZeroCompFreq,'PDH Calc'!$K461/365)</f>
        <v>1</v>
      </c>
      <c r="AD461" s="8">
        <f ca="1">_xll.HLV5r3.Analytics.Miscellaneous.Zero2DF(_xll.HLV5r3.Analytics.Miscellaneous.LinearInterp(Peturbed_QZ,$K461,1,AD$1),ZeroCompFreq,'PDH Calc'!$K461/365)</f>
        <v>1</v>
      </c>
      <c r="AE461" s="8">
        <f ca="1">_xll.HLV5r3.Analytics.Miscellaneous.Zero2DF(_xll.HLV5r3.Analytics.Miscellaneous.LinearInterp(Peturbed_QZ,$K461,1,AE$1),ZeroCompFreq,'PDH Calc'!$K461/365)</f>
        <v>1</v>
      </c>
      <c r="AF461" s="8">
        <f ca="1">_xll.HLV5r3.Analytics.Miscellaneous.Zero2DF(_xll.HLV5r3.Analytics.Miscellaneous.LinearInterp(Peturbed_QZ,$K461,1,AF$1),ZeroCompFreq,'PDH Calc'!$K461/365)</f>
        <v>1</v>
      </c>
      <c r="AG461" s="8">
        <f ca="1">_xll.HLV5r3.Analytics.Miscellaneous.Zero2DF(_xll.HLV5r3.Analytics.Miscellaneous.LinearInterp(Peturbed_QZ,$K461,1,AG$1),ZeroCompFreq,'PDH Calc'!$K461/365)</f>
        <v>1</v>
      </c>
      <c r="AH461" s="8">
        <f ca="1">_xll.HLV5r3.Analytics.Miscellaneous.Zero2DF(_xll.HLV5r3.Analytics.Miscellaneous.LinearInterp(Peturbed_QZ,$K461,1,AH$1),ZeroCompFreq,'PDH Calc'!$K461/365)</f>
        <v>1</v>
      </c>
      <c r="AI461" s="8">
        <f ca="1">_xll.HLV5r3.Analytics.Miscellaneous.Zero2DF(_xll.HLV5r3.Analytics.Miscellaneous.LinearInterp(Peturbed_QZ,$K461,1,AI$1),ZeroCompFreq,'PDH Calc'!$K461/365)</f>
        <v>1</v>
      </c>
      <c r="AJ461" s="8">
        <f ca="1">_xll.HLV5r3.Analytics.Miscellaneous.Zero2DF(_xll.HLV5r3.Analytics.Miscellaneous.LinearInterp(Peturbed_QZ,$K461,1,AJ$1),ZeroCompFreq,'PDH Calc'!$K461/365)</f>
        <v>1</v>
      </c>
      <c r="AK461" s="8">
        <f ca="1">_xll.HLV5r3.Analytics.Miscellaneous.Zero2DF(_xll.HLV5r3.Analytics.Miscellaneous.LinearInterp(Peturbed_QZ,$K461,1,AK$1),ZeroCompFreq,'PDH Calc'!$K461/365)</f>
        <v>1</v>
      </c>
    </row>
    <row r="462" spans="1:37">
      <c r="A462" s="4"/>
      <c r="B462" s="6"/>
      <c r="F462" s="11"/>
      <c r="G462" s="6"/>
      <c r="H462" s="20"/>
      <c r="I462" s="21"/>
      <c r="J462" s="26"/>
      <c r="K462" s="6">
        <f t="shared" ca="1" si="14"/>
        <v>0</v>
      </c>
      <c r="L462" s="8">
        <f ca="1">_xll.HLV5r3.Analytics.Miscellaneous.Zero2DF(_xll.HLV5r3.Analytics.Miscellaneous.LinearInterp(Peturbed_QZ,$K462,1,L$1),ZeroCompFreq,'PDH Calc'!$K462/365)</f>
        <v>1</v>
      </c>
      <c r="M462" s="8">
        <f ca="1">_xll.HLV5r3.Analytics.Miscellaneous.Zero2DF(_xll.HLV5r3.Analytics.Miscellaneous.LinearInterp(Peturbed_QZ,$K462,1,M$1),ZeroCompFreq,'PDH Calc'!$K462/365)</f>
        <v>1</v>
      </c>
      <c r="N462" s="8">
        <f ca="1">_xll.HLV5r3.Analytics.Miscellaneous.Zero2DF(_xll.HLV5r3.Analytics.Miscellaneous.LinearInterp(Peturbed_QZ,$K462,1,N$1),ZeroCompFreq,'PDH Calc'!$K462/365)</f>
        <v>1</v>
      </c>
      <c r="O462" s="8">
        <f ca="1">_xll.HLV5r3.Analytics.Miscellaneous.Zero2DF(_xll.HLV5r3.Analytics.Miscellaneous.LinearInterp(Peturbed_QZ,$K462,1,O$1),ZeroCompFreq,'PDH Calc'!$K462/365)</f>
        <v>1</v>
      </c>
      <c r="P462" s="8">
        <f ca="1">_xll.HLV5r3.Analytics.Miscellaneous.Zero2DF(_xll.HLV5r3.Analytics.Miscellaneous.LinearInterp(Peturbed_QZ,$K462,1,P$1),ZeroCompFreq,'PDH Calc'!$K462/365)</f>
        <v>1</v>
      </c>
      <c r="Q462" s="8">
        <f ca="1">_xll.HLV5r3.Analytics.Miscellaneous.Zero2DF(_xll.HLV5r3.Analytics.Miscellaneous.LinearInterp(Peturbed_QZ,$K462,1,Q$1),ZeroCompFreq,'PDH Calc'!$K462/365)</f>
        <v>1</v>
      </c>
      <c r="R462" s="8">
        <f ca="1">_xll.HLV5r3.Analytics.Miscellaneous.Zero2DF(_xll.HLV5r3.Analytics.Miscellaneous.LinearInterp(Peturbed_QZ,$K462,1,R$1),ZeroCompFreq,'PDH Calc'!$K462/365)</f>
        <v>1</v>
      </c>
      <c r="S462" s="8">
        <f ca="1">_xll.HLV5r3.Analytics.Miscellaneous.Zero2DF(_xll.HLV5r3.Analytics.Miscellaneous.LinearInterp(Peturbed_QZ,$K462,1,S$1),ZeroCompFreq,'PDH Calc'!$K462/365)</f>
        <v>1</v>
      </c>
      <c r="T462" s="8">
        <f ca="1">_xll.HLV5r3.Analytics.Miscellaneous.Zero2DF(_xll.HLV5r3.Analytics.Miscellaneous.LinearInterp(Peturbed_QZ,$K462,1,T$1),ZeroCompFreq,'PDH Calc'!$K462/365)</f>
        <v>1</v>
      </c>
      <c r="U462" s="8">
        <f ca="1">_xll.HLV5r3.Analytics.Miscellaneous.Zero2DF(_xll.HLV5r3.Analytics.Miscellaneous.LinearInterp(Peturbed_QZ,$K462,1,U$1),ZeroCompFreq,'PDH Calc'!$K462/365)</f>
        <v>1</v>
      </c>
      <c r="V462" s="8">
        <f ca="1">_xll.HLV5r3.Analytics.Miscellaneous.Zero2DF(_xll.HLV5r3.Analytics.Miscellaneous.LinearInterp(Peturbed_QZ,$K462,1,V$1),ZeroCompFreq,'PDH Calc'!$K462/365)</f>
        <v>1</v>
      </c>
      <c r="W462" s="8">
        <f ca="1">_xll.HLV5r3.Analytics.Miscellaneous.Zero2DF(_xll.HLV5r3.Analytics.Miscellaneous.LinearInterp(Peturbed_QZ,$K462,1,W$1),ZeroCompFreq,'PDH Calc'!$K462/365)</f>
        <v>1</v>
      </c>
      <c r="X462" s="8">
        <f ca="1">_xll.HLV5r3.Analytics.Miscellaneous.Zero2DF(_xll.HLV5r3.Analytics.Miscellaneous.LinearInterp(Peturbed_QZ,$K462,1,X$1),ZeroCompFreq,'PDH Calc'!$K462/365)</f>
        <v>1</v>
      </c>
      <c r="Y462" s="8">
        <f ca="1">_xll.HLV5r3.Analytics.Miscellaneous.Zero2DF(_xll.HLV5r3.Analytics.Miscellaneous.LinearInterp(Peturbed_QZ,$K462,1,Y$1),ZeroCompFreq,'PDH Calc'!$K462/365)</f>
        <v>1</v>
      </c>
      <c r="Z462" s="8">
        <f ca="1">_xll.HLV5r3.Analytics.Miscellaneous.Zero2DF(_xll.HLV5r3.Analytics.Miscellaneous.LinearInterp(Peturbed_QZ,$K462,1,Z$1),ZeroCompFreq,'PDH Calc'!$K462/365)</f>
        <v>1</v>
      </c>
      <c r="AA462" s="8">
        <f ca="1">_xll.HLV5r3.Analytics.Miscellaneous.Zero2DF(_xll.HLV5r3.Analytics.Miscellaneous.LinearInterp(Peturbed_QZ,$K462,1,AA$1),ZeroCompFreq,'PDH Calc'!$K462/365)</f>
        <v>1</v>
      </c>
      <c r="AB462" s="8">
        <f ca="1">_xll.HLV5r3.Analytics.Miscellaneous.Zero2DF(_xll.HLV5r3.Analytics.Miscellaneous.LinearInterp(Peturbed_QZ,$K462,1,AB$1),ZeroCompFreq,'PDH Calc'!$K462/365)</f>
        <v>1</v>
      </c>
      <c r="AC462" s="8">
        <f ca="1">_xll.HLV5r3.Analytics.Miscellaneous.Zero2DF(_xll.HLV5r3.Analytics.Miscellaneous.LinearInterp(Peturbed_QZ,$K462,1,AC$1),ZeroCompFreq,'PDH Calc'!$K462/365)</f>
        <v>1</v>
      </c>
      <c r="AD462" s="8">
        <f ca="1">_xll.HLV5r3.Analytics.Miscellaneous.Zero2DF(_xll.HLV5r3.Analytics.Miscellaneous.LinearInterp(Peturbed_QZ,$K462,1,AD$1),ZeroCompFreq,'PDH Calc'!$K462/365)</f>
        <v>1</v>
      </c>
      <c r="AE462" s="8">
        <f ca="1">_xll.HLV5r3.Analytics.Miscellaneous.Zero2DF(_xll.HLV5r3.Analytics.Miscellaneous.LinearInterp(Peturbed_QZ,$K462,1,AE$1),ZeroCompFreq,'PDH Calc'!$K462/365)</f>
        <v>1</v>
      </c>
      <c r="AF462" s="8">
        <f ca="1">_xll.HLV5r3.Analytics.Miscellaneous.Zero2DF(_xll.HLV5r3.Analytics.Miscellaneous.LinearInterp(Peturbed_QZ,$K462,1,AF$1),ZeroCompFreq,'PDH Calc'!$K462/365)</f>
        <v>1</v>
      </c>
      <c r="AG462" s="8">
        <f ca="1">_xll.HLV5r3.Analytics.Miscellaneous.Zero2DF(_xll.HLV5r3.Analytics.Miscellaneous.LinearInterp(Peturbed_QZ,$K462,1,AG$1),ZeroCompFreq,'PDH Calc'!$K462/365)</f>
        <v>1</v>
      </c>
      <c r="AH462" s="8">
        <f ca="1">_xll.HLV5r3.Analytics.Miscellaneous.Zero2DF(_xll.HLV5r3.Analytics.Miscellaneous.LinearInterp(Peturbed_QZ,$K462,1,AH$1),ZeroCompFreq,'PDH Calc'!$K462/365)</f>
        <v>1</v>
      </c>
      <c r="AI462" s="8">
        <f ca="1">_xll.HLV5r3.Analytics.Miscellaneous.Zero2DF(_xll.HLV5r3.Analytics.Miscellaneous.LinearInterp(Peturbed_QZ,$K462,1,AI$1),ZeroCompFreq,'PDH Calc'!$K462/365)</f>
        <v>1</v>
      </c>
      <c r="AJ462" s="8">
        <f ca="1">_xll.HLV5r3.Analytics.Miscellaneous.Zero2DF(_xll.HLV5r3.Analytics.Miscellaneous.LinearInterp(Peturbed_QZ,$K462,1,AJ$1),ZeroCompFreq,'PDH Calc'!$K462/365)</f>
        <v>1</v>
      </c>
      <c r="AK462" s="8">
        <f ca="1">_xll.HLV5r3.Analytics.Miscellaneous.Zero2DF(_xll.HLV5r3.Analytics.Miscellaneous.LinearInterp(Peturbed_QZ,$K462,1,AK$1),ZeroCompFreq,'PDH Calc'!$K462/365)</f>
        <v>1</v>
      </c>
    </row>
    <row r="463" spans="1:37">
      <c r="A463" s="4"/>
      <c r="B463" s="6"/>
      <c r="F463" s="11"/>
      <c r="G463" s="6"/>
      <c r="H463" s="20"/>
      <c r="I463" s="21"/>
      <c r="J463" s="26"/>
      <c r="K463" s="6">
        <f t="shared" ca="1" si="14"/>
        <v>0</v>
      </c>
      <c r="L463" s="8">
        <f ca="1">_xll.HLV5r3.Analytics.Miscellaneous.Zero2DF(_xll.HLV5r3.Analytics.Miscellaneous.LinearInterp(Peturbed_QZ,$K463,1,L$1),ZeroCompFreq,'PDH Calc'!$K463/365)</f>
        <v>1</v>
      </c>
      <c r="M463" s="8">
        <f ca="1">_xll.HLV5r3.Analytics.Miscellaneous.Zero2DF(_xll.HLV5r3.Analytics.Miscellaneous.LinearInterp(Peturbed_QZ,$K463,1,M$1),ZeroCompFreq,'PDH Calc'!$K463/365)</f>
        <v>1</v>
      </c>
      <c r="N463" s="8">
        <f ca="1">_xll.HLV5r3.Analytics.Miscellaneous.Zero2DF(_xll.HLV5r3.Analytics.Miscellaneous.LinearInterp(Peturbed_QZ,$K463,1,N$1),ZeroCompFreq,'PDH Calc'!$K463/365)</f>
        <v>1</v>
      </c>
      <c r="O463" s="8">
        <f ca="1">_xll.HLV5r3.Analytics.Miscellaneous.Zero2DF(_xll.HLV5r3.Analytics.Miscellaneous.LinearInterp(Peturbed_QZ,$K463,1,O$1),ZeroCompFreq,'PDH Calc'!$K463/365)</f>
        <v>1</v>
      </c>
      <c r="P463" s="8">
        <f ca="1">_xll.HLV5r3.Analytics.Miscellaneous.Zero2DF(_xll.HLV5r3.Analytics.Miscellaneous.LinearInterp(Peturbed_QZ,$K463,1,P$1),ZeroCompFreq,'PDH Calc'!$K463/365)</f>
        <v>1</v>
      </c>
      <c r="Q463" s="8">
        <f ca="1">_xll.HLV5r3.Analytics.Miscellaneous.Zero2DF(_xll.HLV5r3.Analytics.Miscellaneous.LinearInterp(Peturbed_QZ,$K463,1,Q$1),ZeroCompFreq,'PDH Calc'!$K463/365)</f>
        <v>1</v>
      </c>
      <c r="R463" s="8">
        <f ca="1">_xll.HLV5r3.Analytics.Miscellaneous.Zero2DF(_xll.HLV5r3.Analytics.Miscellaneous.LinearInterp(Peturbed_QZ,$K463,1,R$1),ZeroCompFreq,'PDH Calc'!$K463/365)</f>
        <v>1</v>
      </c>
      <c r="S463" s="8">
        <f ca="1">_xll.HLV5r3.Analytics.Miscellaneous.Zero2DF(_xll.HLV5r3.Analytics.Miscellaneous.LinearInterp(Peturbed_QZ,$K463,1,S$1),ZeroCompFreq,'PDH Calc'!$K463/365)</f>
        <v>1</v>
      </c>
      <c r="T463" s="8">
        <f ca="1">_xll.HLV5r3.Analytics.Miscellaneous.Zero2DF(_xll.HLV5r3.Analytics.Miscellaneous.LinearInterp(Peturbed_QZ,$K463,1,T$1),ZeroCompFreq,'PDH Calc'!$K463/365)</f>
        <v>1</v>
      </c>
      <c r="U463" s="8">
        <f ca="1">_xll.HLV5r3.Analytics.Miscellaneous.Zero2DF(_xll.HLV5r3.Analytics.Miscellaneous.LinearInterp(Peturbed_QZ,$K463,1,U$1),ZeroCompFreq,'PDH Calc'!$K463/365)</f>
        <v>1</v>
      </c>
      <c r="V463" s="8">
        <f ca="1">_xll.HLV5r3.Analytics.Miscellaneous.Zero2DF(_xll.HLV5r3.Analytics.Miscellaneous.LinearInterp(Peturbed_QZ,$K463,1,V$1),ZeroCompFreq,'PDH Calc'!$K463/365)</f>
        <v>1</v>
      </c>
      <c r="W463" s="8">
        <f ca="1">_xll.HLV5r3.Analytics.Miscellaneous.Zero2DF(_xll.HLV5r3.Analytics.Miscellaneous.LinearInterp(Peturbed_QZ,$K463,1,W$1),ZeroCompFreq,'PDH Calc'!$K463/365)</f>
        <v>1</v>
      </c>
      <c r="X463" s="8">
        <f ca="1">_xll.HLV5r3.Analytics.Miscellaneous.Zero2DF(_xll.HLV5r3.Analytics.Miscellaneous.LinearInterp(Peturbed_QZ,$K463,1,X$1),ZeroCompFreq,'PDH Calc'!$K463/365)</f>
        <v>1</v>
      </c>
      <c r="Y463" s="8">
        <f ca="1">_xll.HLV5r3.Analytics.Miscellaneous.Zero2DF(_xll.HLV5r3.Analytics.Miscellaneous.LinearInterp(Peturbed_QZ,$K463,1,Y$1),ZeroCompFreq,'PDH Calc'!$K463/365)</f>
        <v>1</v>
      </c>
      <c r="Z463" s="8">
        <f ca="1">_xll.HLV5r3.Analytics.Miscellaneous.Zero2DF(_xll.HLV5r3.Analytics.Miscellaneous.LinearInterp(Peturbed_QZ,$K463,1,Z$1),ZeroCompFreq,'PDH Calc'!$K463/365)</f>
        <v>1</v>
      </c>
      <c r="AA463" s="8">
        <f ca="1">_xll.HLV5r3.Analytics.Miscellaneous.Zero2DF(_xll.HLV5r3.Analytics.Miscellaneous.LinearInterp(Peturbed_QZ,$K463,1,AA$1),ZeroCompFreq,'PDH Calc'!$K463/365)</f>
        <v>1</v>
      </c>
      <c r="AB463" s="8">
        <f ca="1">_xll.HLV5r3.Analytics.Miscellaneous.Zero2DF(_xll.HLV5r3.Analytics.Miscellaneous.LinearInterp(Peturbed_QZ,$K463,1,AB$1),ZeroCompFreq,'PDH Calc'!$K463/365)</f>
        <v>1</v>
      </c>
      <c r="AC463" s="8">
        <f ca="1">_xll.HLV5r3.Analytics.Miscellaneous.Zero2DF(_xll.HLV5r3.Analytics.Miscellaneous.LinearInterp(Peturbed_QZ,$K463,1,AC$1),ZeroCompFreq,'PDH Calc'!$K463/365)</f>
        <v>1</v>
      </c>
      <c r="AD463" s="8">
        <f ca="1">_xll.HLV5r3.Analytics.Miscellaneous.Zero2DF(_xll.HLV5r3.Analytics.Miscellaneous.LinearInterp(Peturbed_QZ,$K463,1,AD$1),ZeroCompFreq,'PDH Calc'!$K463/365)</f>
        <v>1</v>
      </c>
      <c r="AE463" s="8">
        <f ca="1">_xll.HLV5r3.Analytics.Miscellaneous.Zero2DF(_xll.HLV5r3.Analytics.Miscellaneous.LinearInterp(Peturbed_QZ,$K463,1,AE$1),ZeroCompFreq,'PDH Calc'!$K463/365)</f>
        <v>1</v>
      </c>
      <c r="AF463" s="8">
        <f ca="1">_xll.HLV5r3.Analytics.Miscellaneous.Zero2DF(_xll.HLV5r3.Analytics.Miscellaneous.LinearInterp(Peturbed_QZ,$K463,1,AF$1),ZeroCompFreq,'PDH Calc'!$K463/365)</f>
        <v>1</v>
      </c>
      <c r="AG463" s="8">
        <f ca="1">_xll.HLV5r3.Analytics.Miscellaneous.Zero2DF(_xll.HLV5r3.Analytics.Miscellaneous.LinearInterp(Peturbed_QZ,$K463,1,AG$1),ZeroCompFreq,'PDH Calc'!$K463/365)</f>
        <v>1</v>
      </c>
      <c r="AH463" s="8">
        <f ca="1">_xll.HLV5r3.Analytics.Miscellaneous.Zero2DF(_xll.HLV5r3.Analytics.Miscellaneous.LinearInterp(Peturbed_QZ,$K463,1,AH$1),ZeroCompFreq,'PDH Calc'!$K463/365)</f>
        <v>1</v>
      </c>
      <c r="AI463" s="8">
        <f ca="1">_xll.HLV5r3.Analytics.Miscellaneous.Zero2DF(_xll.HLV5r3.Analytics.Miscellaneous.LinearInterp(Peturbed_QZ,$K463,1,AI$1),ZeroCompFreq,'PDH Calc'!$K463/365)</f>
        <v>1</v>
      </c>
      <c r="AJ463" s="8">
        <f ca="1">_xll.HLV5r3.Analytics.Miscellaneous.Zero2DF(_xll.HLV5r3.Analytics.Miscellaneous.LinearInterp(Peturbed_QZ,$K463,1,AJ$1),ZeroCompFreq,'PDH Calc'!$K463/365)</f>
        <v>1</v>
      </c>
      <c r="AK463" s="8">
        <f ca="1">_xll.HLV5r3.Analytics.Miscellaneous.Zero2DF(_xll.HLV5r3.Analytics.Miscellaneous.LinearInterp(Peturbed_QZ,$K463,1,AK$1),ZeroCompFreq,'PDH Calc'!$K463/365)</f>
        <v>1</v>
      </c>
    </row>
    <row r="464" spans="1:37">
      <c r="A464" s="4"/>
      <c r="B464" s="6"/>
      <c r="F464" s="11"/>
      <c r="G464" s="6"/>
      <c r="H464" s="20"/>
      <c r="I464" s="21"/>
      <c r="J464" s="26"/>
      <c r="K464" s="6">
        <f t="shared" ca="1" si="14"/>
        <v>0</v>
      </c>
      <c r="L464" s="8">
        <f ca="1">_xll.HLV5r3.Analytics.Miscellaneous.Zero2DF(_xll.HLV5r3.Analytics.Miscellaneous.LinearInterp(Peturbed_QZ,$K464,1,L$1),ZeroCompFreq,'PDH Calc'!$K464/365)</f>
        <v>1</v>
      </c>
      <c r="M464" s="8">
        <f ca="1">_xll.HLV5r3.Analytics.Miscellaneous.Zero2DF(_xll.HLV5r3.Analytics.Miscellaneous.LinearInterp(Peturbed_QZ,$K464,1,M$1),ZeroCompFreq,'PDH Calc'!$K464/365)</f>
        <v>1</v>
      </c>
      <c r="N464" s="8">
        <f ca="1">_xll.HLV5r3.Analytics.Miscellaneous.Zero2DF(_xll.HLV5r3.Analytics.Miscellaneous.LinearInterp(Peturbed_QZ,$K464,1,N$1),ZeroCompFreq,'PDH Calc'!$K464/365)</f>
        <v>1</v>
      </c>
      <c r="O464" s="8">
        <f ca="1">_xll.HLV5r3.Analytics.Miscellaneous.Zero2DF(_xll.HLV5r3.Analytics.Miscellaneous.LinearInterp(Peturbed_QZ,$K464,1,O$1),ZeroCompFreq,'PDH Calc'!$K464/365)</f>
        <v>1</v>
      </c>
      <c r="P464" s="8">
        <f ca="1">_xll.HLV5r3.Analytics.Miscellaneous.Zero2DF(_xll.HLV5r3.Analytics.Miscellaneous.LinearInterp(Peturbed_QZ,$K464,1,P$1),ZeroCompFreq,'PDH Calc'!$K464/365)</f>
        <v>1</v>
      </c>
      <c r="Q464" s="8">
        <f ca="1">_xll.HLV5r3.Analytics.Miscellaneous.Zero2DF(_xll.HLV5r3.Analytics.Miscellaneous.LinearInterp(Peturbed_QZ,$K464,1,Q$1),ZeroCompFreq,'PDH Calc'!$K464/365)</f>
        <v>1</v>
      </c>
      <c r="R464" s="8">
        <f ca="1">_xll.HLV5r3.Analytics.Miscellaneous.Zero2DF(_xll.HLV5r3.Analytics.Miscellaneous.LinearInterp(Peturbed_QZ,$K464,1,R$1),ZeroCompFreq,'PDH Calc'!$K464/365)</f>
        <v>1</v>
      </c>
      <c r="S464" s="8">
        <f ca="1">_xll.HLV5r3.Analytics.Miscellaneous.Zero2DF(_xll.HLV5r3.Analytics.Miscellaneous.LinearInterp(Peturbed_QZ,$K464,1,S$1),ZeroCompFreq,'PDH Calc'!$K464/365)</f>
        <v>1</v>
      </c>
      <c r="T464" s="8">
        <f ca="1">_xll.HLV5r3.Analytics.Miscellaneous.Zero2DF(_xll.HLV5r3.Analytics.Miscellaneous.LinearInterp(Peturbed_QZ,$K464,1,T$1),ZeroCompFreq,'PDH Calc'!$K464/365)</f>
        <v>1</v>
      </c>
      <c r="U464" s="8">
        <f ca="1">_xll.HLV5r3.Analytics.Miscellaneous.Zero2DF(_xll.HLV5r3.Analytics.Miscellaneous.LinearInterp(Peturbed_QZ,$K464,1,U$1),ZeroCompFreq,'PDH Calc'!$K464/365)</f>
        <v>1</v>
      </c>
      <c r="V464" s="8">
        <f ca="1">_xll.HLV5r3.Analytics.Miscellaneous.Zero2DF(_xll.HLV5r3.Analytics.Miscellaneous.LinearInterp(Peturbed_QZ,$K464,1,V$1),ZeroCompFreq,'PDH Calc'!$K464/365)</f>
        <v>1</v>
      </c>
      <c r="W464" s="8">
        <f ca="1">_xll.HLV5r3.Analytics.Miscellaneous.Zero2DF(_xll.HLV5r3.Analytics.Miscellaneous.LinearInterp(Peturbed_QZ,$K464,1,W$1),ZeroCompFreq,'PDH Calc'!$K464/365)</f>
        <v>1</v>
      </c>
      <c r="X464" s="8">
        <f ca="1">_xll.HLV5r3.Analytics.Miscellaneous.Zero2DF(_xll.HLV5r3.Analytics.Miscellaneous.LinearInterp(Peturbed_QZ,$K464,1,X$1),ZeroCompFreq,'PDH Calc'!$K464/365)</f>
        <v>1</v>
      </c>
      <c r="Y464" s="8">
        <f ca="1">_xll.HLV5r3.Analytics.Miscellaneous.Zero2DF(_xll.HLV5r3.Analytics.Miscellaneous.LinearInterp(Peturbed_QZ,$K464,1,Y$1),ZeroCompFreq,'PDH Calc'!$K464/365)</f>
        <v>1</v>
      </c>
      <c r="Z464" s="8">
        <f ca="1">_xll.HLV5r3.Analytics.Miscellaneous.Zero2DF(_xll.HLV5r3.Analytics.Miscellaneous.LinearInterp(Peturbed_QZ,$K464,1,Z$1),ZeroCompFreq,'PDH Calc'!$K464/365)</f>
        <v>1</v>
      </c>
      <c r="AA464" s="8">
        <f ca="1">_xll.HLV5r3.Analytics.Miscellaneous.Zero2DF(_xll.HLV5r3.Analytics.Miscellaneous.LinearInterp(Peturbed_QZ,$K464,1,AA$1),ZeroCompFreq,'PDH Calc'!$K464/365)</f>
        <v>1</v>
      </c>
      <c r="AB464" s="8">
        <f ca="1">_xll.HLV5r3.Analytics.Miscellaneous.Zero2DF(_xll.HLV5r3.Analytics.Miscellaneous.LinearInterp(Peturbed_QZ,$K464,1,AB$1),ZeroCompFreq,'PDH Calc'!$K464/365)</f>
        <v>1</v>
      </c>
      <c r="AC464" s="8">
        <f ca="1">_xll.HLV5r3.Analytics.Miscellaneous.Zero2DF(_xll.HLV5r3.Analytics.Miscellaneous.LinearInterp(Peturbed_QZ,$K464,1,AC$1),ZeroCompFreq,'PDH Calc'!$K464/365)</f>
        <v>1</v>
      </c>
      <c r="AD464" s="8">
        <f ca="1">_xll.HLV5r3.Analytics.Miscellaneous.Zero2DF(_xll.HLV5r3.Analytics.Miscellaneous.LinearInterp(Peturbed_QZ,$K464,1,AD$1),ZeroCompFreq,'PDH Calc'!$K464/365)</f>
        <v>1</v>
      </c>
      <c r="AE464" s="8">
        <f ca="1">_xll.HLV5r3.Analytics.Miscellaneous.Zero2DF(_xll.HLV5r3.Analytics.Miscellaneous.LinearInterp(Peturbed_QZ,$K464,1,AE$1),ZeroCompFreq,'PDH Calc'!$K464/365)</f>
        <v>1</v>
      </c>
      <c r="AF464" s="8">
        <f ca="1">_xll.HLV5r3.Analytics.Miscellaneous.Zero2DF(_xll.HLV5r3.Analytics.Miscellaneous.LinearInterp(Peturbed_QZ,$K464,1,AF$1),ZeroCompFreq,'PDH Calc'!$K464/365)</f>
        <v>1</v>
      </c>
      <c r="AG464" s="8">
        <f ca="1">_xll.HLV5r3.Analytics.Miscellaneous.Zero2DF(_xll.HLV5r3.Analytics.Miscellaneous.LinearInterp(Peturbed_QZ,$K464,1,AG$1),ZeroCompFreq,'PDH Calc'!$K464/365)</f>
        <v>1</v>
      </c>
      <c r="AH464" s="8">
        <f ca="1">_xll.HLV5r3.Analytics.Miscellaneous.Zero2DF(_xll.HLV5r3.Analytics.Miscellaneous.LinearInterp(Peturbed_QZ,$K464,1,AH$1),ZeroCompFreq,'PDH Calc'!$K464/365)</f>
        <v>1</v>
      </c>
      <c r="AI464" s="8">
        <f ca="1">_xll.HLV5r3.Analytics.Miscellaneous.Zero2DF(_xll.HLV5r3.Analytics.Miscellaneous.LinearInterp(Peturbed_QZ,$K464,1,AI$1),ZeroCompFreq,'PDH Calc'!$K464/365)</f>
        <v>1</v>
      </c>
      <c r="AJ464" s="8">
        <f ca="1">_xll.HLV5r3.Analytics.Miscellaneous.Zero2DF(_xll.HLV5r3.Analytics.Miscellaneous.LinearInterp(Peturbed_QZ,$K464,1,AJ$1),ZeroCompFreq,'PDH Calc'!$K464/365)</f>
        <v>1</v>
      </c>
      <c r="AK464" s="8">
        <f ca="1">_xll.HLV5r3.Analytics.Miscellaneous.Zero2DF(_xll.HLV5r3.Analytics.Miscellaneous.LinearInterp(Peturbed_QZ,$K464,1,AK$1),ZeroCompFreq,'PDH Calc'!$K464/365)</f>
        <v>1</v>
      </c>
    </row>
    <row r="465" spans="1:37">
      <c r="A465" s="4"/>
      <c r="B465" s="6"/>
      <c r="F465" s="11"/>
      <c r="G465" s="6"/>
      <c r="H465" s="20"/>
      <c r="I465" s="21"/>
      <c r="J465" s="26"/>
      <c r="K465" s="6">
        <f t="shared" ca="1" si="14"/>
        <v>0</v>
      </c>
      <c r="L465" s="8">
        <f ca="1">_xll.HLV5r3.Analytics.Miscellaneous.Zero2DF(_xll.HLV5r3.Analytics.Miscellaneous.LinearInterp(Peturbed_QZ,$K465,1,L$1),ZeroCompFreq,'PDH Calc'!$K465/365)</f>
        <v>1</v>
      </c>
      <c r="M465" s="8">
        <f ca="1">_xll.HLV5r3.Analytics.Miscellaneous.Zero2DF(_xll.HLV5r3.Analytics.Miscellaneous.LinearInterp(Peturbed_QZ,$K465,1,M$1),ZeroCompFreq,'PDH Calc'!$K465/365)</f>
        <v>1</v>
      </c>
      <c r="N465" s="8">
        <f ca="1">_xll.HLV5r3.Analytics.Miscellaneous.Zero2DF(_xll.HLV5r3.Analytics.Miscellaneous.LinearInterp(Peturbed_QZ,$K465,1,N$1),ZeroCompFreq,'PDH Calc'!$K465/365)</f>
        <v>1</v>
      </c>
      <c r="O465" s="8">
        <f ca="1">_xll.HLV5r3.Analytics.Miscellaneous.Zero2DF(_xll.HLV5r3.Analytics.Miscellaneous.LinearInterp(Peturbed_QZ,$K465,1,O$1),ZeroCompFreq,'PDH Calc'!$K465/365)</f>
        <v>1</v>
      </c>
      <c r="P465" s="8">
        <f ca="1">_xll.HLV5r3.Analytics.Miscellaneous.Zero2DF(_xll.HLV5r3.Analytics.Miscellaneous.LinearInterp(Peturbed_QZ,$K465,1,P$1),ZeroCompFreq,'PDH Calc'!$K465/365)</f>
        <v>1</v>
      </c>
      <c r="Q465" s="8">
        <f ca="1">_xll.HLV5r3.Analytics.Miscellaneous.Zero2DF(_xll.HLV5r3.Analytics.Miscellaneous.LinearInterp(Peturbed_QZ,$K465,1,Q$1),ZeroCompFreq,'PDH Calc'!$K465/365)</f>
        <v>1</v>
      </c>
      <c r="R465" s="8">
        <f ca="1">_xll.HLV5r3.Analytics.Miscellaneous.Zero2DF(_xll.HLV5r3.Analytics.Miscellaneous.LinearInterp(Peturbed_QZ,$K465,1,R$1),ZeroCompFreq,'PDH Calc'!$K465/365)</f>
        <v>1</v>
      </c>
      <c r="S465" s="8">
        <f ca="1">_xll.HLV5r3.Analytics.Miscellaneous.Zero2DF(_xll.HLV5r3.Analytics.Miscellaneous.LinearInterp(Peturbed_QZ,$K465,1,S$1),ZeroCompFreq,'PDH Calc'!$K465/365)</f>
        <v>1</v>
      </c>
      <c r="T465" s="8">
        <f ca="1">_xll.HLV5r3.Analytics.Miscellaneous.Zero2DF(_xll.HLV5r3.Analytics.Miscellaneous.LinearInterp(Peturbed_QZ,$K465,1,T$1),ZeroCompFreq,'PDH Calc'!$K465/365)</f>
        <v>1</v>
      </c>
      <c r="U465" s="8">
        <f ca="1">_xll.HLV5r3.Analytics.Miscellaneous.Zero2DF(_xll.HLV5r3.Analytics.Miscellaneous.LinearInterp(Peturbed_QZ,$K465,1,U$1),ZeroCompFreq,'PDH Calc'!$K465/365)</f>
        <v>1</v>
      </c>
      <c r="V465" s="8">
        <f ca="1">_xll.HLV5r3.Analytics.Miscellaneous.Zero2DF(_xll.HLV5r3.Analytics.Miscellaneous.LinearInterp(Peturbed_QZ,$K465,1,V$1),ZeroCompFreq,'PDH Calc'!$K465/365)</f>
        <v>1</v>
      </c>
      <c r="W465" s="8">
        <f ca="1">_xll.HLV5r3.Analytics.Miscellaneous.Zero2DF(_xll.HLV5r3.Analytics.Miscellaneous.LinearInterp(Peturbed_QZ,$K465,1,W$1),ZeroCompFreq,'PDH Calc'!$K465/365)</f>
        <v>1</v>
      </c>
      <c r="X465" s="8">
        <f ca="1">_xll.HLV5r3.Analytics.Miscellaneous.Zero2DF(_xll.HLV5r3.Analytics.Miscellaneous.LinearInterp(Peturbed_QZ,$K465,1,X$1),ZeroCompFreq,'PDH Calc'!$K465/365)</f>
        <v>1</v>
      </c>
      <c r="Y465" s="8">
        <f ca="1">_xll.HLV5r3.Analytics.Miscellaneous.Zero2DF(_xll.HLV5r3.Analytics.Miscellaneous.LinearInterp(Peturbed_QZ,$K465,1,Y$1),ZeroCompFreq,'PDH Calc'!$K465/365)</f>
        <v>1</v>
      </c>
      <c r="Z465" s="8">
        <f ca="1">_xll.HLV5r3.Analytics.Miscellaneous.Zero2DF(_xll.HLV5r3.Analytics.Miscellaneous.LinearInterp(Peturbed_QZ,$K465,1,Z$1),ZeroCompFreq,'PDH Calc'!$K465/365)</f>
        <v>1</v>
      </c>
      <c r="AA465" s="8">
        <f ca="1">_xll.HLV5r3.Analytics.Miscellaneous.Zero2DF(_xll.HLV5r3.Analytics.Miscellaneous.LinearInterp(Peturbed_QZ,$K465,1,AA$1),ZeroCompFreq,'PDH Calc'!$K465/365)</f>
        <v>1</v>
      </c>
      <c r="AB465" s="8">
        <f ca="1">_xll.HLV5r3.Analytics.Miscellaneous.Zero2DF(_xll.HLV5r3.Analytics.Miscellaneous.LinearInterp(Peturbed_QZ,$K465,1,AB$1),ZeroCompFreq,'PDH Calc'!$K465/365)</f>
        <v>1</v>
      </c>
      <c r="AC465" s="8">
        <f ca="1">_xll.HLV5r3.Analytics.Miscellaneous.Zero2DF(_xll.HLV5r3.Analytics.Miscellaneous.LinearInterp(Peturbed_QZ,$K465,1,AC$1),ZeroCompFreq,'PDH Calc'!$K465/365)</f>
        <v>1</v>
      </c>
      <c r="AD465" s="8">
        <f ca="1">_xll.HLV5r3.Analytics.Miscellaneous.Zero2DF(_xll.HLV5r3.Analytics.Miscellaneous.LinearInterp(Peturbed_QZ,$K465,1,AD$1),ZeroCompFreq,'PDH Calc'!$K465/365)</f>
        <v>1</v>
      </c>
      <c r="AE465" s="8">
        <f ca="1">_xll.HLV5r3.Analytics.Miscellaneous.Zero2DF(_xll.HLV5r3.Analytics.Miscellaneous.LinearInterp(Peturbed_QZ,$K465,1,AE$1),ZeroCompFreq,'PDH Calc'!$K465/365)</f>
        <v>1</v>
      </c>
      <c r="AF465" s="8">
        <f ca="1">_xll.HLV5r3.Analytics.Miscellaneous.Zero2DF(_xll.HLV5r3.Analytics.Miscellaneous.LinearInterp(Peturbed_QZ,$K465,1,AF$1),ZeroCompFreq,'PDH Calc'!$K465/365)</f>
        <v>1</v>
      </c>
      <c r="AG465" s="8">
        <f ca="1">_xll.HLV5r3.Analytics.Miscellaneous.Zero2DF(_xll.HLV5r3.Analytics.Miscellaneous.LinearInterp(Peturbed_QZ,$K465,1,AG$1),ZeroCompFreq,'PDH Calc'!$K465/365)</f>
        <v>1</v>
      </c>
      <c r="AH465" s="8">
        <f ca="1">_xll.HLV5r3.Analytics.Miscellaneous.Zero2DF(_xll.HLV5r3.Analytics.Miscellaneous.LinearInterp(Peturbed_QZ,$K465,1,AH$1),ZeroCompFreq,'PDH Calc'!$K465/365)</f>
        <v>1</v>
      </c>
      <c r="AI465" s="8">
        <f ca="1">_xll.HLV5r3.Analytics.Miscellaneous.Zero2DF(_xll.HLV5r3.Analytics.Miscellaneous.LinearInterp(Peturbed_QZ,$K465,1,AI$1),ZeroCompFreq,'PDH Calc'!$K465/365)</f>
        <v>1</v>
      </c>
      <c r="AJ465" s="8">
        <f ca="1">_xll.HLV5r3.Analytics.Miscellaneous.Zero2DF(_xll.HLV5r3.Analytics.Miscellaneous.LinearInterp(Peturbed_QZ,$K465,1,AJ$1),ZeroCompFreq,'PDH Calc'!$K465/365)</f>
        <v>1</v>
      </c>
      <c r="AK465" s="8">
        <f ca="1">_xll.HLV5r3.Analytics.Miscellaneous.Zero2DF(_xll.HLV5r3.Analytics.Miscellaneous.LinearInterp(Peturbed_QZ,$K465,1,AK$1),ZeroCompFreq,'PDH Calc'!$K465/365)</f>
        <v>1</v>
      </c>
    </row>
    <row r="466" spans="1:37">
      <c r="A466" s="4"/>
      <c r="B466" s="6"/>
      <c r="F466" s="11"/>
      <c r="G466" s="6"/>
      <c r="H466" s="20"/>
      <c r="I466" s="21"/>
      <c r="J466" s="26"/>
      <c r="K466" s="6">
        <f t="shared" ca="1" si="14"/>
        <v>0</v>
      </c>
      <c r="L466" s="8">
        <f ca="1">_xll.HLV5r3.Analytics.Miscellaneous.Zero2DF(_xll.HLV5r3.Analytics.Miscellaneous.LinearInterp(Peturbed_QZ,$K466,1,L$1),ZeroCompFreq,'PDH Calc'!$K466/365)</f>
        <v>1</v>
      </c>
      <c r="M466" s="8">
        <f ca="1">_xll.HLV5r3.Analytics.Miscellaneous.Zero2DF(_xll.HLV5r3.Analytics.Miscellaneous.LinearInterp(Peturbed_QZ,$K466,1,M$1),ZeroCompFreq,'PDH Calc'!$K466/365)</f>
        <v>1</v>
      </c>
      <c r="N466" s="8">
        <f ca="1">_xll.HLV5r3.Analytics.Miscellaneous.Zero2DF(_xll.HLV5r3.Analytics.Miscellaneous.LinearInterp(Peturbed_QZ,$K466,1,N$1),ZeroCompFreq,'PDH Calc'!$K466/365)</f>
        <v>1</v>
      </c>
      <c r="O466" s="8">
        <f ca="1">_xll.HLV5r3.Analytics.Miscellaneous.Zero2DF(_xll.HLV5r3.Analytics.Miscellaneous.LinearInterp(Peturbed_QZ,$K466,1,O$1),ZeroCompFreq,'PDH Calc'!$K466/365)</f>
        <v>1</v>
      </c>
      <c r="P466" s="8">
        <f ca="1">_xll.HLV5r3.Analytics.Miscellaneous.Zero2DF(_xll.HLV5r3.Analytics.Miscellaneous.LinearInterp(Peturbed_QZ,$K466,1,P$1),ZeroCompFreq,'PDH Calc'!$K466/365)</f>
        <v>1</v>
      </c>
      <c r="Q466" s="8">
        <f ca="1">_xll.HLV5r3.Analytics.Miscellaneous.Zero2DF(_xll.HLV5r3.Analytics.Miscellaneous.LinearInterp(Peturbed_QZ,$K466,1,Q$1),ZeroCompFreq,'PDH Calc'!$K466/365)</f>
        <v>1</v>
      </c>
      <c r="R466" s="8">
        <f ca="1">_xll.HLV5r3.Analytics.Miscellaneous.Zero2DF(_xll.HLV5r3.Analytics.Miscellaneous.LinearInterp(Peturbed_QZ,$K466,1,R$1),ZeroCompFreq,'PDH Calc'!$K466/365)</f>
        <v>1</v>
      </c>
      <c r="S466" s="8">
        <f ca="1">_xll.HLV5r3.Analytics.Miscellaneous.Zero2DF(_xll.HLV5r3.Analytics.Miscellaneous.LinearInterp(Peturbed_QZ,$K466,1,S$1),ZeroCompFreq,'PDH Calc'!$K466/365)</f>
        <v>1</v>
      </c>
      <c r="T466" s="8">
        <f ca="1">_xll.HLV5r3.Analytics.Miscellaneous.Zero2DF(_xll.HLV5r3.Analytics.Miscellaneous.LinearInterp(Peturbed_QZ,$K466,1,T$1),ZeroCompFreq,'PDH Calc'!$K466/365)</f>
        <v>1</v>
      </c>
      <c r="U466" s="8">
        <f ca="1">_xll.HLV5r3.Analytics.Miscellaneous.Zero2DF(_xll.HLV5r3.Analytics.Miscellaneous.LinearInterp(Peturbed_QZ,$K466,1,U$1),ZeroCompFreq,'PDH Calc'!$K466/365)</f>
        <v>1</v>
      </c>
      <c r="V466" s="8">
        <f ca="1">_xll.HLV5r3.Analytics.Miscellaneous.Zero2DF(_xll.HLV5r3.Analytics.Miscellaneous.LinearInterp(Peturbed_QZ,$K466,1,V$1),ZeroCompFreq,'PDH Calc'!$K466/365)</f>
        <v>1</v>
      </c>
      <c r="W466" s="8">
        <f ca="1">_xll.HLV5r3.Analytics.Miscellaneous.Zero2DF(_xll.HLV5r3.Analytics.Miscellaneous.LinearInterp(Peturbed_QZ,$K466,1,W$1),ZeroCompFreq,'PDH Calc'!$K466/365)</f>
        <v>1</v>
      </c>
      <c r="X466" s="8">
        <f ca="1">_xll.HLV5r3.Analytics.Miscellaneous.Zero2DF(_xll.HLV5r3.Analytics.Miscellaneous.LinearInterp(Peturbed_QZ,$K466,1,X$1),ZeroCompFreq,'PDH Calc'!$K466/365)</f>
        <v>1</v>
      </c>
      <c r="Y466" s="8">
        <f ca="1">_xll.HLV5r3.Analytics.Miscellaneous.Zero2DF(_xll.HLV5r3.Analytics.Miscellaneous.LinearInterp(Peturbed_QZ,$K466,1,Y$1),ZeroCompFreq,'PDH Calc'!$K466/365)</f>
        <v>1</v>
      </c>
      <c r="Z466" s="8">
        <f ca="1">_xll.HLV5r3.Analytics.Miscellaneous.Zero2DF(_xll.HLV5r3.Analytics.Miscellaneous.LinearInterp(Peturbed_QZ,$K466,1,Z$1),ZeroCompFreq,'PDH Calc'!$K466/365)</f>
        <v>1</v>
      </c>
      <c r="AA466" s="8">
        <f ca="1">_xll.HLV5r3.Analytics.Miscellaneous.Zero2DF(_xll.HLV5r3.Analytics.Miscellaneous.LinearInterp(Peturbed_QZ,$K466,1,AA$1),ZeroCompFreq,'PDH Calc'!$K466/365)</f>
        <v>1</v>
      </c>
      <c r="AB466" s="8">
        <f ca="1">_xll.HLV5r3.Analytics.Miscellaneous.Zero2DF(_xll.HLV5r3.Analytics.Miscellaneous.LinearInterp(Peturbed_QZ,$K466,1,AB$1),ZeroCompFreq,'PDH Calc'!$K466/365)</f>
        <v>1</v>
      </c>
      <c r="AC466" s="8">
        <f ca="1">_xll.HLV5r3.Analytics.Miscellaneous.Zero2DF(_xll.HLV5r3.Analytics.Miscellaneous.LinearInterp(Peturbed_QZ,$K466,1,AC$1),ZeroCompFreq,'PDH Calc'!$K466/365)</f>
        <v>1</v>
      </c>
      <c r="AD466" s="8">
        <f ca="1">_xll.HLV5r3.Analytics.Miscellaneous.Zero2DF(_xll.HLV5r3.Analytics.Miscellaneous.LinearInterp(Peturbed_QZ,$K466,1,AD$1),ZeroCompFreq,'PDH Calc'!$K466/365)</f>
        <v>1</v>
      </c>
      <c r="AE466" s="8">
        <f ca="1">_xll.HLV5r3.Analytics.Miscellaneous.Zero2DF(_xll.HLV5r3.Analytics.Miscellaneous.LinearInterp(Peturbed_QZ,$K466,1,AE$1),ZeroCompFreq,'PDH Calc'!$K466/365)</f>
        <v>1</v>
      </c>
      <c r="AF466" s="8">
        <f ca="1">_xll.HLV5r3.Analytics.Miscellaneous.Zero2DF(_xll.HLV5r3.Analytics.Miscellaneous.LinearInterp(Peturbed_QZ,$K466,1,AF$1),ZeroCompFreq,'PDH Calc'!$K466/365)</f>
        <v>1</v>
      </c>
      <c r="AG466" s="8">
        <f ca="1">_xll.HLV5r3.Analytics.Miscellaneous.Zero2DF(_xll.HLV5r3.Analytics.Miscellaneous.LinearInterp(Peturbed_QZ,$K466,1,AG$1),ZeroCompFreq,'PDH Calc'!$K466/365)</f>
        <v>1</v>
      </c>
      <c r="AH466" s="8">
        <f ca="1">_xll.HLV5r3.Analytics.Miscellaneous.Zero2DF(_xll.HLV5r3.Analytics.Miscellaneous.LinearInterp(Peturbed_QZ,$K466,1,AH$1),ZeroCompFreq,'PDH Calc'!$K466/365)</f>
        <v>1</v>
      </c>
      <c r="AI466" s="8">
        <f ca="1">_xll.HLV5r3.Analytics.Miscellaneous.Zero2DF(_xll.HLV5r3.Analytics.Miscellaneous.LinearInterp(Peturbed_QZ,$K466,1,AI$1),ZeroCompFreq,'PDH Calc'!$K466/365)</f>
        <v>1</v>
      </c>
      <c r="AJ466" s="8">
        <f ca="1">_xll.HLV5r3.Analytics.Miscellaneous.Zero2DF(_xll.HLV5r3.Analytics.Miscellaneous.LinearInterp(Peturbed_QZ,$K466,1,AJ$1),ZeroCompFreq,'PDH Calc'!$K466/365)</f>
        <v>1</v>
      </c>
      <c r="AK466" s="8">
        <f ca="1">_xll.HLV5r3.Analytics.Miscellaneous.Zero2DF(_xll.HLV5r3.Analytics.Miscellaneous.LinearInterp(Peturbed_QZ,$K466,1,AK$1),ZeroCompFreq,'PDH Calc'!$K466/365)</f>
        <v>1</v>
      </c>
    </row>
    <row r="467" spans="1:37">
      <c r="A467" s="4"/>
      <c r="B467" s="6"/>
      <c r="F467" s="11"/>
      <c r="G467" s="6"/>
      <c r="H467" s="20"/>
      <c r="I467" s="21"/>
      <c r="J467" s="26"/>
      <c r="K467" s="6">
        <f t="shared" ca="1" si="14"/>
        <v>0</v>
      </c>
      <c r="L467" s="8">
        <f ca="1">_xll.HLV5r3.Analytics.Miscellaneous.Zero2DF(_xll.HLV5r3.Analytics.Miscellaneous.LinearInterp(Peturbed_QZ,$K467,1,L$1),ZeroCompFreq,'PDH Calc'!$K467/365)</f>
        <v>1</v>
      </c>
      <c r="M467" s="8">
        <f ca="1">_xll.HLV5r3.Analytics.Miscellaneous.Zero2DF(_xll.HLV5r3.Analytics.Miscellaneous.LinearInterp(Peturbed_QZ,$K467,1,M$1),ZeroCompFreq,'PDH Calc'!$K467/365)</f>
        <v>1</v>
      </c>
      <c r="N467" s="8">
        <f ca="1">_xll.HLV5r3.Analytics.Miscellaneous.Zero2DF(_xll.HLV5r3.Analytics.Miscellaneous.LinearInterp(Peturbed_QZ,$K467,1,N$1),ZeroCompFreq,'PDH Calc'!$K467/365)</f>
        <v>1</v>
      </c>
      <c r="O467" s="8">
        <f ca="1">_xll.HLV5r3.Analytics.Miscellaneous.Zero2DF(_xll.HLV5r3.Analytics.Miscellaneous.LinearInterp(Peturbed_QZ,$K467,1,O$1),ZeroCompFreq,'PDH Calc'!$K467/365)</f>
        <v>1</v>
      </c>
      <c r="P467" s="8">
        <f ca="1">_xll.HLV5r3.Analytics.Miscellaneous.Zero2DF(_xll.HLV5r3.Analytics.Miscellaneous.LinearInterp(Peturbed_QZ,$K467,1,P$1),ZeroCompFreq,'PDH Calc'!$K467/365)</f>
        <v>1</v>
      </c>
      <c r="Q467" s="8">
        <f ca="1">_xll.HLV5r3.Analytics.Miscellaneous.Zero2DF(_xll.HLV5r3.Analytics.Miscellaneous.LinearInterp(Peturbed_QZ,$K467,1,Q$1),ZeroCompFreq,'PDH Calc'!$K467/365)</f>
        <v>1</v>
      </c>
      <c r="R467" s="8">
        <f ca="1">_xll.HLV5r3.Analytics.Miscellaneous.Zero2DF(_xll.HLV5r3.Analytics.Miscellaneous.LinearInterp(Peturbed_QZ,$K467,1,R$1),ZeroCompFreq,'PDH Calc'!$K467/365)</f>
        <v>1</v>
      </c>
      <c r="S467" s="8">
        <f ca="1">_xll.HLV5r3.Analytics.Miscellaneous.Zero2DF(_xll.HLV5r3.Analytics.Miscellaneous.LinearInterp(Peturbed_QZ,$K467,1,S$1),ZeroCompFreq,'PDH Calc'!$K467/365)</f>
        <v>1</v>
      </c>
      <c r="T467" s="8">
        <f ca="1">_xll.HLV5r3.Analytics.Miscellaneous.Zero2DF(_xll.HLV5r3.Analytics.Miscellaneous.LinearInterp(Peturbed_QZ,$K467,1,T$1),ZeroCompFreq,'PDH Calc'!$K467/365)</f>
        <v>1</v>
      </c>
      <c r="U467" s="8">
        <f ca="1">_xll.HLV5r3.Analytics.Miscellaneous.Zero2DF(_xll.HLV5r3.Analytics.Miscellaneous.LinearInterp(Peturbed_QZ,$K467,1,U$1),ZeroCompFreq,'PDH Calc'!$K467/365)</f>
        <v>1</v>
      </c>
      <c r="V467" s="8">
        <f ca="1">_xll.HLV5r3.Analytics.Miscellaneous.Zero2DF(_xll.HLV5r3.Analytics.Miscellaneous.LinearInterp(Peturbed_QZ,$K467,1,V$1),ZeroCompFreq,'PDH Calc'!$K467/365)</f>
        <v>1</v>
      </c>
      <c r="W467" s="8">
        <f ca="1">_xll.HLV5r3.Analytics.Miscellaneous.Zero2DF(_xll.HLV5r3.Analytics.Miscellaneous.LinearInterp(Peturbed_QZ,$K467,1,W$1),ZeroCompFreq,'PDH Calc'!$K467/365)</f>
        <v>1</v>
      </c>
      <c r="X467" s="8">
        <f ca="1">_xll.HLV5r3.Analytics.Miscellaneous.Zero2DF(_xll.HLV5r3.Analytics.Miscellaneous.LinearInterp(Peturbed_QZ,$K467,1,X$1),ZeroCompFreq,'PDH Calc'!$K467/365)</f>
        <v>1</v>
      </c>
      <c r="Y467" s="8">
        <f ca="1">_xll.HLV5r3.Analytics.Miscellaneous.Zero2DF(_xll.HLV5r3.Analytics.Miscellaneous.LinearInterp(Peturbed_QZ,$K467,1,Y$1),ZeroCompFreq,'PDH Calc'!$K467/365)</f>
        <v>1</v>
      </c>
      <c r="Z467" s="8">
        <f ca="1">_xll.HLV5r3.Analytics.Miscellaneous.Zero2DF(_xll.HLV5r3.Analytics.Miscellaneous.LinearInterp(Peturbed_QZ,$K467,1,Z$1),ZeroCompFreq,'PDH Calc'!$K467/365)</f>
        <v>1</v>
      </c>
      <c r="AA467" s="8">
        <f ca="1">_xll.HLV5r3.Analytics.Miscellaneous.Zero2DF(_xll.HLV5r3.Analytics.Miscellaneous.LinearInterp(Peturbed_QZ,$K467,1,AA$1),ZeroCompFreq,'PDH Calc'!$K467/365)</f>
        <v>1</v>
      </c>
      <c r="AB467" s="8">
        <f ca="1">_xll.HLV5r3.Analytics.Miscellaneous.Zero2DF(_xll.HLV5r3.Analytics.Miscellaneous.LinearInterp(Peturbed_QZ,$K467,1,AB$1),ZeroCompFreq,'PDH Calc'!$K467/365)</f>
        <v>1</v>
      </c>
      <c r="AC467" s="8">
        <f ca="1">_xll.HLV5r3.Analytics.Miscellaneous.Zero2DF(_xll.HLV5r3.Analytics.Miscellaneous.LinearInterp(Peturbed_QZ,$K467,1,AC$1),ZeroCompFreq,'PDH Calc'!$K467/365)</f>
        <v>1</v>
      </c>
      <c r="AD467" s="8">
        <f ca="1">_xll.HLV5r3.Analytics.Miscellaneous.Zero2DF(_xll.HLV5r3.Analytics.Miscellaneous.LinearInterp(Peturbed_QZ,$K467,1,AD$1),ZeroCompFreq,'PDH Calc'!$K467/365)</f>
        <v>1</v>
      </c>
      <c r="AE467" s="8">
        <f ca="1">_xll.HLV5r3.Analytics.Miscellaneous.Zero2DF(_xll.HLV5r3.Analytics.Miscellaneous.LinearInterp(Peturbed_QZ,$K467,1,AE$1),ZeroCompFreq,'PDH Calc'!$K467/365)</f>
        <v>1</v>
      </c>
      <c r="AF467" s="8">
        <f ca="1">_xll.HLV5r3.Analytics.Miscellaneous.Zero2DF(_xll.HLV5r3.Analytics.Miscellaneous.LinearInterp(Peturbed_QZ,$K467,1,AF$1),ZeroCompFreq,'PDH Calc'!$K467/365)</f>
        <v>1</v>
      </c>
      <c r="AG467" s="8">
        <f ca="1">_xll.HLV5r3.Analytics.Miscellaneous.Zero2DF(_xll.HLV5r3.Analytics.Miscellaneous.LinearInterp(Peturbed_QZ,$K467,1,AG$1),ZeroCompFreq,'PDH Calc'!$K467/365)</f>
        <v>1</v>
      </c>
      <c r="AH467" s="8">
        <f ca="1">_xll.HLV5r3.Analytics.Miscellaneous.Zero2DF(_xll.HLV5r3.Analytics.Miscellaneous.LinearInterp(Peturbed_QZ,$K467,1,AH$1),ZeroCompFreq,'PDH Calc'!$K467/365)</f>
        <v>1</v>
      </c>
      <c r="AI467" s="8">
        <f ca="1">_xll.HLV5r3.Analytics.Miscellaneous.Zero2DF(_xll.HLV5r3.Analytics.Miscellaneous.LinearInterp(Peturbed_QZ,$K467,1,AI$1),ZeroCompFreq,'PDH Calc'!$K467/365)</f>
        <v>1</v>
      </c>
      <c r="AJ467" s="8">
        <f ca="1">_xll.HLV5r3.Analytics.Miscellaneous.Zero2DF(_xll.HLV5r3.Analytics.Miscellaneous.LinearInterp(Peturbed_QZ,$K467,1,AJ$1),ZeroCompFreq,'PDH Calc'!$K467/365)</f>
        <v>1</v>
      </c>
      <c r="AK467" s="8">
        <f ca="1">_xll.HLV5r3.Analytics.Miscellaneous.Zero2DF(_xll.HLV5r3.Analytics.Miscellaneous.LinearInterp(Peturbed_QZ,$K467,1,AK$1),ZeroCompFreq,'PDH Calc'!$K467/365)</f>
        <v>1</v>
      </c>
    </row>
    <row r="468" spans="1:37">
      <c r="A468" s="4"/>
      <c r="B468" s="6"/>
      <c r="F468" s="11"/>
      <c r="G468" s="6"/>
      <c r="H468" s="20"/>
      <c r="I468" s="21"/>
      <c r="J468" s="26"/>
      <c r="K468" s="6">
        <f t="shared" ca="1" si="14"/>
        <v>0</v>
      </c>
      <c r="L468" s="8">
        <f ca="1">_xll.HLV5r3.Analytics.Miscellaneous.Zero2DF(_xll.HLV5r3.Analytics.Miscellaneous.LinearInterp(Peturbed_QZ,$K468,1,L$1),ZeroCompFreq,'PDH Calc'!$K468/365)</f>
        <v>1</v>
      </c>
      <c r="M468" s="8">
        <f ca="1">_xll.HLV5r3.Analytics.Miscellaneous.Zero2DF(_xll.HLV5r3.Analytics.Miscellaneous.LinearInterp(Peturbed_QZ,$K468,1,M$1),ZeroCompFreq,'PDH Calc'!$K468/365)</f>
        <v>1</v>
      </c>
      <c r="N468" s="8">
        <f ca="1">_xll.HLV5r3.Analytics.Miscellaneous.Zero2DF(_xll.HLV5r3.Analytics.Miscellaneous.LinearInterp(Peturbed_QZ,$K468,1,N$1),ZeroCompFreq,'PDH Calc'!$K468/365)</f>
        <v>1</v>
      </c>
      <c r="O468" s="8">
        <f ca="1">_xll.HLV5r3.Analytics.Miscellaneous.Zero2DF(_xll.HLV5r3.Analytics.Miscellaneous.LinearInterp(Peturbed_QZ,$K468,1,O$1),ZeroCompFreq,'PDH Calc'!$K468/365)</f>
        <v>1</v>
      </c>
      <c r="P468" s="8">
        <f ca="1">_xll.HLV5r3.Analytics.Miscellaneous.Zero2DF(_xll.HLV5r3.Analytics.Miscellaneous.LinearInterp(Peturbed_QZ,$K468,1,P$1),ZeroCompFreq,'PDH Calc'!$K468/365)</f>
        <v>1</v>
      </c>
      <c r="Q468" s="8">
        <f ca="1">_xll.HLV5r3.Analytics.Miscellaneous.Zero2DF(_xll.HLV5r3.Analytics.Miscellaneous.LinearInterp(Peturbed_QZ,$K468,1,Q$1),ZeroCompFreq,'PDH Calc'!$K468/365)</f>
        <v>1</v>
      </c>
      <c r="R468" s="8">
        <f ca="1">_xll.HLV5r3.Analytics.Miscellaneous.Zero2DF(_xll.HLV5r3.Analytics.Miscellaneous.LinearInterp(Peturbed_QZ,$K468,1,R$1),ZeroCompFreq,'PDH Calc'!$K468/365)</f>
        <v>1</v>
      </c>
      <c r="S468" s="8">
        <f ca="1">_xll.HLV5r3.Analytics.Miscellaneous.Zero2DF(_xll.HLV5r3.Analytics.Miscellaneous.LinearInterp(Peturbed_QZ,$K468,1,S$1),ZeroCompFreq,'PDH Calc'!$K468/365)</f>
        <v>1</v>
      </c>
      <c r="T468" s="8">
        <f ca="1">_xll.HLV5r3.Analytics.Miscellaneous.Zero2DF(_xll.HLV5r3.Analytics.Miscellaneous.LinearInterp(Peturbed_QZ,$K468,1,T$1),ZeroCompFreq,'PDH Calc'!$K468/365)</f>
        <v>1</v>
      </c>
      <c r="U468" s="8">
        <f ca="1">_xll.HLV5r3.Analytics.Miscellaneous.Zero2DF(_xll.HLV5r3.Analytics.Miscellaneous.LinearInterp(Peturbed_QZ,$K468,1,U$1),ZeroCompFreq,'PDH Calc'!$K468/365)</f>
        <v>1</v>
      </c>
      <c r="V468" s="8">
        <f ca="1">_xll.HLV5r3.Analytics.Miscellaneous.Zero2DF(_xll.HLV5r3.Analytics.Miscellaneous.LinearInterp(Peturbed_QZ,$K468,1,V$1),ZeroCompFreq,'PDH Calc'!$K468/365)</f>
        <v>1</v>
      </c>
      <c r="W468" s="8">
        <f ca="1">_xll.HLV5r3.Analytics.Miscellaneous.Zero2DF(_xll.HLV5r3.Analytics.Miscellaneous.LinearInterp(Peturbed_QZ,$K468,1,W$1),ZeroCompFreq,'PDH Calc'!$K468/365)</f>
        <v>1</v>
      </c>
      <c r="X468" s="8">
        <f ca="1">_xll.HLV5r3.Analytics.Miscellaneous.Zero2DF(_xll.HLV5r3.Analytics.Miscellaneous.LinearInterp(Peturbed_QZ,$K468,1,X$1),ZeroCompFreq,'PDH Calc'!$K468/365)</f>
        <v>1</v>
      </c>
      <c r="Y468" s="8">
        <f ca="1">_xll.HLV5r3.Analytics.Miscellaneous.Zero2DF(_xll.HLV5r3.Analytics.Miscellaneous.LinearInterp(Peturbed_QZ,$K468,1,Y$1),ZeroCompFreq,'PDH Calc'!$K468/365)</f>
        <v>1</v>
      </c>
      <c r="Z468" s="8">
        <f ca="1">_xll.HLV5r3.Analytics.Miscellaneous.Zero2DF(_xll.HLV5r3.Analytics.Miscellaneous.LinearInterp(Peturbed_QZ,$K468,1,Z$1),ZeroCompFreq,'PDH Calc'!$K468/365)</f>
        <v>1</v>
      </c>
      <c r="AA468" s="8">
        <f ca="1">_xll.HLV5r3.Analytics.Miscellaneous.Zero2DF(_xll.HLV5r3.Analytics.Miscellaneous.LinearInterp(Peturbed_QZ,$K468,1,AA$1),ZeroCompFreq,'PDH Calc'!$K468/365)</f>
        <v>1</v>
      </c>
      <c r="AB468" s="8">
        <f ca="1">_xll.HLV5r3.Analytics.Miscellaneous.Zero2DF(_xll.HLV5r3.Analytics.Miscellaneous.LinearInterp(Peturbed_QZ,$K468,1,AB$1),ZeroCompFreq,'PDH Calc'!$K468/365)</f>
        <v>1</v>
      </c>
      <c r="AC468" s="8">
        <f ca="1">_xll.HLV5r3.Analytics.Miscellaneous.Zero2DF(_xll.HLV5r3.Analytics.Miscellaneous.LinearInterp(Peturbed_QZ,$K468,1,AC$1),ZeroCompFreq,'PDH Calc'!$K468/365)</f>
        <v>1</v>
      </c>
      <c r="AD468" s="8">
        <f ca="1">_xll.HLV5r3.Analytics.Miscellaneous.Zero2DF(_xll.HLV5r3.Analytics.Miscellaneous.LinearInterp(Peturbed_QZ,$K468,1,AD$1),ZeroCompFreq,'PDH Calc'!$K468/365)</f>
        <v>1</v>
      </c>
      <c r="AE468" s="8">
        <f ca="1">_xll.HLV5r3.Analytics.Miscellaneous.Zero2DF(_xll.HLV5r3.Analytics.Miscellaneous.LinearInterp(Peturbed_QZ,$K468,1,AE$1),ZeroCompFreq,'PDH Calc'!$K468/365)</f>
        <v>1</v>
      </c>
      <c r="AF468" s="8">
        <f ca="1">_xll.HLV5r3.Analytics.Miscellaneous.Zero2DF(_xll.HLV5r3.Analytics.Miscellaneous.LinearInterp(Peturbed_QZ,$K468,1,AF$1),ZeroCompFreq,'PDH Calc'!$K468/365)</f>
        <v>1</v>
      </c>
      <c r="AG468" s="8">
        <f ca="1">_xll.HLV5r3.Analytics.Miscellaneous.Zero2DF(_xll.HLV5r3.Analytics.Miscellaneous.LinearInterp(Peturbed_QZ,$K468,1,AG$1),ZeroCompFreq,'PDH Calc'!$K468/365)</f>
        <v>1</v>
      </c>
      <c r="AH468" s="8">
        <f ca="1">_xll.HLV5r3.Analytics.Miscellaneous.Zero2DF(_xll.HLV5r3.Analytics.Miscellaneous.LinearInterp(Peturbed_QZ,$K468,1,AH$1),ZeroCompFreq,'PDH Calc'!$K468/365)</f>
        <v>1</v>
      </c>
      <c r="AI468" s="8">
        <f ca="1">_xll.HLV5r3.Analytics.Miscellaneous.Zero2DF(_xll.HLV5r3.Analytics.Miscellaneous.LinearInterp(Peturbed_QZ,$K468,1,AI$1),ZeroCompFreq,'PDH Calc'!$K468/365)</f>
        <v>1</v>
      </c>
      <c r="AJ468" s="8">
        <f ca="1">_xll.HLV5r3.Analytics.Miscellaneous.Zero2DF(_xll.HLV5r3.Analytics.Miscellaneous.LinearInterp(Peturbed_QZ,$K468,1,AJ$1),ZeroCompFreq,'PDH Calc'!$K468/365)</f>
        <v>1</v>
      </c>
      <c r="AK468" s="8">
        <f ca="1">_xll.HLV5r3.Analytics.Miscellaneous.Zero2DF(_xll.HLV5r3.Analytics.Miscellaneous.LinearInterp(Peturbed_QZ,$K468,1,AK$1),ZeroCompFreq,'PDH Calc'!$K468/365)</f>
        <v>1</v>
      </c>
    </row>
    <row r="469" spans="1:37">
      <c r="A469" s="4"/>
      <c r="B469" s="6"/>
      <c r="F469" s="11"/>
      <c r="G469" s="6"/>
      <c r="H469" s="20"/>
      <c r="I469" s="21"/>
      <c r="J469" s="26"/>
      <c r="K469" s="6">
        <f t="shared" ca="1" si="14"/>
        <v>0</v>
      </c>
      <c r="L469" s="8">
        <f ca="1">_xll.HLV5r3.Analytics.Miscellaneous.Zero2DF(_xll.HLV5r3.Analytics.Miscellaneous.LinearInterp(Peturbed_QZ,$K469,1,L$1),ZeroCompFreq,'PDH Calc'!$K469/365)</f>
        <v>1</v>
      </c>
      <c r="M469" s="8">
        <f ca="1">_xll.HLV5r3.Analytics.Miscellaneous.Zero2DF(_xll.HLV5r3.Analytics.Miscellaneous.LinearInterp(Peturbed_QZ,$K469,1,M$1),ZeroCompFreq,'PDH Calc'!$K469/365)</f>
        <v>1</v>
      </c>
      <c r="N469" s="8">
        <f ca="1">_xll.HLV5r3.Analytics.Miscellaneous.Zero2DF(_xll.HLV5r3.Analytics.Miscellaneous.LinearInterp(Peturbed_QZ,$K469,1,N$1),ZeroCompFreq,'PDH Calc'!$K469/365)</f>
        <v>1</v>
      </c>
      <c r="O469" s="8">
        <f ca="1">_xll.HLV5r3.Analytics.Miscellaneous.Zero2DF(_xll.HLV5r3.Analytics.Miscellaneous.LinearInterp(Peturbed_QZ,$K469,1,O$1),ZeroCompFreq,'PDH Calc'!$K469/365)</f>
        <v>1</v>
      </c>
      <c r="P469" s="8">
        <f ca="1">_xll.HLV5r3.Analytics.Miscellaneous.Zero2DF(_xll.HLV5r3.Analytics.Miscellaneous.LinearInterp(Peturbed_QZ,$K469,1,P$1),ZeroCompFreq,'PDH Calc'!$K469/365)</f>
        <v>1</v>
      </c>
      <c r="Q469" s="8">
        <f ca="1">_xll.HLV5r3.Analytics.Miscellaneous.Zero2DF(_xll.HLV5r3.Analytics.Miscellaneous.LinearInterp(Peturbed_QZ,$K469,1,Q$1),ZeroCompFreq,'PDH Calc'!$K469/365)</f>
        <v>1</v>
      </c>
      <c r="R469" s="8">
        <f ca="1">_xll.HLV5r3.Analytics.Miscellaneous.Zero2DF(_xll.HLV5r3.Analytics.Miscellaneous.LinearInterp(Peturbed_QZ,$K469,1,R$1),ZeroCompFreq,'PDH Calc'!$K469/365)</f>
        <v>1</v>
      </c>
      <c r="S469" s="8">
        <f ca="1">_xll.HLV5r3.Analytics.Miscellaneous.Zero2DF(_xll.HLV5r3.Analytics.Miscellaneous.LinearInterp(Peturbed_QZ,$K469,1,S$1),ZeroCompFreq,'PDH Calc'!$K469/365)</f>
        <v>1</v>
      </c>
      <c r="T469" s="8">
        <f ca="1">_xll.HLV5r3.Analytics.Miscellaneous.Zero2DF(_xll.HLV5r3.Analytics.Miscellaneous.LinearInterp(Peturbed_QZ,$K469,1,T$1),ZeroCompFreq,'PDH Calc'!$K469/365)</f>
        <v>1</v>
      </c>
      <c r="U469" s="8">
        <f ca="1">_xll.HLV5r3.Analytics.Miscellaneous.Zero2DF(_xll.HLV5r3.Analytics.Miscellaneous.LinearInterp(Peturbed_QZ,$K469,1,U$1),ZeroCompFreq,'PDH Calc'!$K469/365)</f>
        <v>1</v>
      </c>
      <c r="V469" s="8">
        <f ca="1">_xll.HLV5r3.Analytics.Miscellaneous.Zero2DF(_xll.HLV5r3.Analytics.Miscellaneous.LinearInterp(Peturbed_QZ,$K469,1,V$1),ZeroCompFreq,'PDH Calc'!$K469/365)</f>
        <v>1</v>
      </c>
      <c r="W469" s="8">
        <f ca="1">_xll.HLV5r3.Analytics.Miscellaneous.Zero2DF(_xll.HLV5r3.Analytics.Miscellaneous.LinearInterp(Peturbed_QZ,$K469,1,W$1),ZeroCompFreq,'PDH Calc'!$K469/365)</f>
        <v>1</v>
      </c>
      <c r="X469" s="8">
        <f ca="1">_xll.HLV5r3.Analytics.Miscellaneous.Zero2DF(_xll.HLV5r3.Analytics.Miscellaneous.LinearInterp(Peturbed_QZ,$K469,1,X$1),ZeroCompFreq,'PDH Calc'!$K469/365)</f>
        <v>1</v>
      </c>
      <c r="Y469" s="8">
        <f ca="1">_xll.HLV5r3.Analytics.Miscellaneous.Zero2DF(_xll.HLV5r3.Analytics.Miscellaneous.LinearInterp(Peturbed_QZ,$K469,1,Y$1),ZeroCompFreq,'PDH Calc'!$K469/365)</f>
        <v>1</v>
      </c>
      <c r="Z469" s="8">
        <f ca="1">_xll.HLV5r3.Analytics.Miscellaneous.Zero2DF(_xll.HLV5r3.Analytics.Miscellaneous.LinearInterp(Peturbed_QZ,$K469,1,Z$1),ZeroCompFreq,'PDH Calc'!$K469/365)</f>
        <v>1</v>
      </c>
      <c r="AA469" s="8">
        <f ca="1">_xll.HLV5r3.Analytics.Miscellaneous.Zero2DF(_xll.HLV5r3.Analytics.Miscellaneous.LinearInterp(Peturbed_QZ,$K469,1,AA$1),ZeroCompFreq,'PDH Calc'!$K469/365)</f>
        <v>1</v>
      </c>
      <c r="AB469" s="8">
        <f ca="1">_xll.HLV5r3.Analytics.Miscellaneous.Zero2DF(_xll.HLV5r3.Analytics.Miscellaneous.LinearInterp(Peturbed_QZ,$K469,1,AB$1),ZeroCompFreq,'PDH Calc'!$K469/365)</f>
        <v>1</v>
      </c>
      <c r="AC469" s="8">
        <f ca="1">_xll.HLV5r3.Analytics.Miscellaneous.Zero2DF(_xll.HLV5r3.Analytics.Miscellaneous.LinearInterp(Peturbed_QZ,$K469,1,AC$1),ZeroCompFreq,'PDH Calc'!$K469/365)</f>
        <v>1</v>
      </c>
      <c r="AD469" s="8">
        <f ca="1">_xll.HLV5r3.Analytics.Miscellaneous.Zero2DF(_xll.HLV5r3.Analytics.Miscellaneous.LinearInterp(Peturbed_QZ,$K469,1,AD$1),ZeroCompFreq,'PDH Calc'!$K469/365)</f>
        <v>1</v>
      </c>
      <c r="AE469" s="8">
        <f ca="1">_xll.HLV5r3.Analytics.Miscellaneous.Zero2DF(_xll.HLV5r3.Analytics.Miscellaneous.LinearInterp(Peturbed_QZ,$K469,1,AE$1),ZeroCompFreq,'PDH Calc'!$K469/365)</f>
        <v>1</v>
      </c>
      <c r="AF469" s="8">
        <f ca="1">_xll.HLV5r3.Analytics.Miscellaneous.Zero2DF(_xll.HLV5r3.Analytics.Miscellaneous.LinearInterp(Peturbed_QZ,$K469,1,AF$1),ZeroCompFreq,'PDH Calc'!$K469/365)</f>
        <v>1</v>
      </c>
      <c r="AG469" s="8">
        <f ca="1">_xll.HLV5r3.Analytics.Miscellaneous.Zero2DF(_xll.HLV5r3.Analytics.Miscellaneous.LinearInterp(Peturbed_QZ,$K469,1,AG$1),ZeroCompFreq,'PDH Calc'!$K469/365)</f>
        <v>1</v>
      </c>
      <c r="AH469" s="8">
        <f ca="1">_xll.HLV5r3.Analytics.Miscellaneous.Zero2DF(_xll.HLV5r3.Analytics.Miscellaneous.LinearInterp(Peturbed_QZ,$K469,1,AH$1),ZeroCompFreq,'PDH Calc'!$K469/365)</f>
        <v>1</v>
      </c>
      <c r="AI469" s="8">
        <f ca="1">_xll.HLV5r3.Analytics.Miscellaneous.Zero2DF(_xll.HLV5r3.Analytics.Miscellaneous.LinearInterp(Peturbed_QZ,$K469,1,AI$1),ZeroCompFreq,'PDH Calc'!$K469/365)</f>
        <v>1</v>
      </c>
      <c r="AJ469" s="8">
        <f ca="1">_xll.HLV5r3.Analytics.Miscellaneous.Zero2DF(_xll.HLV5r3.Analytics.Miscellaneous.LinearInterp(Peturbed_QZ,$K469,1,AJ$1),ZeroCompFreq,'PDH Calc'!$K469/365)</f>
        <v>1</v>
      </c>
      <c r="AK469" s="8">
        <f ca="1">_xll.HLV5r3.Analytics.Miscellaneous.Zero2DF(_xll.HLV5r3.Analytics.Miscellaneous.LinearInterp(Peturbed_QZ,$K469,1,AK$1),ZeroCompFreq,'PDH Calc'!$K469/365)</f>
        <v>1</v>
      </c>
    </row>
    <row r="470" spans="1:37">
      <c r="A470" s="4"/>
      <c r="B470" s="6"/>
      <c r="F470" s="11"/>
      <c r="G470" s="6"/>
      <c r="H470" s="20"/>
      <c r="I470" s="21"/>
      <c r="J470" s="26"/>
      <c r="K470" s="6">
        <f t="shared" ca="1" si="14"/>
        <v>0</v>
      </c>
      <c r="L470" s="8">
        <f ca="1">_xll.HLV5r3.Analytics.Miscellaneous.Zero2DF(_xll.HLV5r3.Analytics.Miscellaneous.LinearInterp(Peturbed_QZ,$K470,1,L$1),ZeroCompFreq,'PDH Calc'!$K470/365)</f>
        <v>1</v>
      </c>
      <c r="M470" s="8">
        <f ca="1">_xll.HLV5r3.Analytics.Miscellaneous.Zero2DF(_xll.HLV5r3.Analytics.Miscellaneous.LinearInterp(Peturbed_QZ,$K470,1,M$1),ZeroCompFreq,'PDH Calc'!$K470/365)</f>
        <v>1</v>
      </c>
      <c r="N470" s="8">
        <f ca="1">_xll.HLV5r3.Analytics.Miscellaneous.Zero2DF(_xll.HLV5r3.Analytics.Miscellaneous.LinearInterp(Peturbed_QZ,$K470,1,N$1),ZeroCompFreq,'PDH Calc'!$K470/365)</f>
        <v>1</v>
      </c>
      <c r="O470" s="8">
        <f ca="1">_xll.HLV5r3.Analytics.Miscellaneous.Zero2DF(_xll.HLV5r3.Analytics.Miscellaneous.LinearInterp(Peturbed_QZ,$K470,1,O$1),ZeroCompFreq,'PDH Calc'!$K470/365)</f>
        <v>1</v>
      </c>
      <c r="P470" s="8">
        <f ca="1">_xll.HLV5r3.Analytics.Miscellaneous.Zero2DF(_xll.HLV5r3.Analytics.Miscellaneous.LinearInterp(Peturbed_QZ,$K470,1,P$1),ZeroCompFreq,'PDH Calc'!$K470/365)</f>
        <v>1</v>
      </c>
      <c r="Q470" s="8">
        <f ca="1">_xll.HLV5r3.Analytics.Miscellaneous.Zero2DF(_xll.HLV5r3.Analytics.Miscellaneous.LinearInterp(Peturbed_QZ,$K470,1,Q$1),ZeroCompFreq,'PDH Calc'!$K470/365)</f>
        <v>1</v>
      </c>
      <c r="R470" s="8">
        <f ca="1">_xll.HLV5r3.Analytics.Miscellaneous.Zero2DF(_xll.HLV5r3.Analytics.Miscellaneous.LinearInterp(Peturbed_QZ,$K470,1,R$1),ZeroCompFreq,'PDH Calc'!$K470/365)</f>
        <v>1</v>
      </c>
      <c r="S470" s="8">
        <f ca="1">_xll.HLV5r3.Analytics.Miscellaneous.Zero2DF(_xll.HLV5r3.Analytics.Miscellaneous.LinearInterp(Peturbed_QZ,$K470,1,S$1),ZeroCompFreq,'PDH Calc'!$K470/365)</f>
        <v>1</v>
      </c>
      <c r="T470" s="8">
        <f ca="1">_xll.HLV5r3.Analytics.Miscellaneous.Zero2DF(_xll.HLV5r3.Analytics.Miscellaneous.LinearInterp(Peturbed_QZ,$K470,1,T$1),ZeroCompFreq,'PDH Calc'!$K470/365)</f>
        <v>1</v>
      </c>
      <c r="U470" s="8">
        <f ca="1">_xll.HLV5r3.Analytics.Miscellaneous.Zero2DF(_xll.HLV5r3.Analytics.Miscellaneous.LinearInterp(Peturbed_QZ,$K470,1,U$1),ZeroCompFreq,'PDH Calc'!$K470/365)</f>
        <v>1</v>
      </c>
      <c r="V470" s="8">
        <f ca="1">_xll.HLV5r3.Analytics.Miscellaneous.Zero2DF(_xll.HLV5r3.Analytics.Miscellaneous.LinearInterp(Peturbed_QZ,$K470,1,V$1),ZeroCompFreq,'PDH Calc'!$K470/365)</f>
        <v>1</v>
      </c>
      <c r="W470" s="8">
        <f ca="1">_xll.HLV5r3.Analytics.Miscellaneous.Zero2DF(_xll.HLV5r3.Analytics.Miscellaneous.LinearInterp(Peturbed_QZ,$K470,1,W$1),ZeroCompFreq,'PDH Calc'!$K470/365)</f>
        <v>1</v>
      </c>
      <c r="X470" s="8">
        <f ca="1">_xll.HLV5r3.Analytics.Miscellaneous.Zero2DF(_xll.HLV5r3.Analytics.Miscellaneous.LinearInterp(Peturbed_QZ,$K470,1,X$1),ZeroCompFreq,'PDH Calc'!$K470/365)</f>
        <v>1</v>
      </c>
      <c r="Y470" s="8">
        <f ca="1">_xll.HLV5r3.Analytics.Miscellaneous.Zero2DF(_xll.HLV5r3.Analytics.Miscellaneous.LinearInterp(Peturbed_QZ,$K470,1,Y$1),ZeroCompFreq,'PDH Calc'!$K470/365)</f>
        <v>1</v>
      </c>
      <c r="Z470" s="8">
        <f ca="1">_xll.HLV5r3.Analytics.Miscellaneous.Zero2DF(_xll.HLV5r3.Analytics.Miscellaneous.LinearInterp(Peturbed_QZ,$K470,1,Z$1),ZeroCompFreq,'PDH Calc'!$K470/365)</f>
        <v>1</v>
      </c>
      <c r="AA470" s="8">
        <f ca="1">_xll.HLV5r3.Analytics.Miscellaneous.Zero2DF(_xll.HLV5r3.Analytics.Miscellaneous.LinearInterp(Peturbed_QZ,$K470,1,AA$1),ZeroCompFreq,'PDH Calc'!$K470/365)</f>
        <v>1</v>
      </c>
      <c r="AB470" s="8">
        <f ca="1">_xll.HLV5r3.Analytics.Miscellaneous.Zero2DF(_xll.HLV5r3.Analytics.Miscellaneous.LinearInterp(Peturbed_QZ,$K470,1,AB$1),ZeroCompFreq,'PDH Calc'!$K470/365)</f>
        <v>1</v>
      </c>
      <c r="AC470" s="8">
        <f ca="1">_xll.HLV5r3.Analytics.Miscellaneous.Zero2DF(_xll.HLV5r3.Analytics.Miscellaneous.LinearInterp(Peturbed_QZ,$K470,1,AC$1),ZeroCompFreq,'PDH Calc'!$K470/365)</f>
        <v>1</v>
      </c>
      <c r="AD470" s="8">
        <f ca="1">_xll.HLV5r3.Analytics.Miscellaneous.Zero2DF(_xll.HLV5r3.Analytics.Miscellaneous.LinearInterp(Peturbed_QZ,$K470,1,AD$1),ZeroCompFreq,'PDH Calc'!$K470/365)</f>
        <v>1</v>
      </c>
      <c r="AE470" s="8">
        <f ca="1">_xll.HLV5r3.Analytics.Miscellaneous.Zero2DF(_xll.HLV5r3.Analytics.Miscellaneous.LinearInterp(Peturbed_QZ,$K470,1,AE$1),ZeroCompFreq,'PDH Calc'!$K470/365)</f>
        <v>1</v>
      </c>
      <c r="AF470" s="8">
        <f ca="1">_xll.HLV5r3.Analytics.Miscellaneous.Zero2DF(_xll.HLV5r3.Analytics.Miscellaneous.LinearInterp(Peturbed_QZ,$K470,1,AF$1),ZeroCompFreq,'PDH Calc'!$K470/365)</f>
        <v>1</v>
      </c>
      <c r="AG470" s="8">
        <f ca="1">_xll.HLV5r3.Analytics.Miscellaneous.Zero2DF(_xll.HLV5r3.Analytics.Miscellaneous.LinearInterp(Peturbed_QZ,$K470,1,AG$1),ZeroCompFreq,'PDH Calc'!$K470/365)</f>
        <v>1</v>
      </c>
      <c r="AH470" s="8">
        <f ca="1">_xll.HLV5r3.Analytics.Miscellaneous.Zero2DF(_xll.HLV5r3.Analytics.Miscellaneous.LinearInterp(Peturbed_QZ,$K470,1,AH$1),ZeroCompFreq,'PDH Calc'!$K470/365)</f>
        <v>1</v>
      </c>
      <c r="AI470" s="8">
        <f ca="1">_xll.HLV5r3.Analytics.Miscellaneous.Zero2DF(_xll.HLV5r3.Analytics.Miscellaneous.LinearInterp(Peturbed_QZ,$K470,1,AI$1),ZeroCompFreq,'PDH Calc'!$K470/365)</f>
        <v>1</v>
      </c>
      <c r="AJ470" s="8">
        <f ca="1">_xll.HLV5r3.Analytics.Miscellaneous.Zero2DF(_xll.HLV5r3.Analytics.Miscellaneous.LinearInterp(Peturbed_QZ,$K470,1,AJ$1),ZeroCompFreq,'PDH Calc'!$K470/365)</f>
        <v>1</v>
      </c>
      <c r="AK470" s="8">
        <f ca="1">_xll.HLV5r3.Analytics.Miscellaneous.Zero2DF(_xll.HLV5r3.Analytics.Miscellaneous.LinearInterp(Peturbed_QZ,$K470,1,AK$1),ZeroCompFreq,'PDH Calc'!$K470/365)</f>
        <v>1</v>
      </c>
    </row>
    <row r="471" spans="1:37">
      <c r="A471" s="4"/>
      <c r="B471" s="6"/>
      <c r="F471" s="11"/>
      <c r="G471" s="6"/>
      <c r="H471" s="20"/>
      <c r="I471" s="21"/>
      <c r="J471" s="26"/>
      <c r="K471" s="6">
        <f t="shared" ca="1" si="14"/>
        <v>0</v>
      </c>
      <c r="L471" s="8">
        <f ca="1">_xll.HLV5r3.Analytics.Miscellaneous.Zero2DF(_xll.HLV5r3.Analytics.Miscellaneous.LinearInterp(Peturbed_QZ,$K471,1,L$1),ZeroCompFreq,'PDH Calc'!$K471/365)</f>
        <v>1</v>
      </c>
      <c r="M471" s="8">
        <f ca="1">_xll.HLV5r3.Analytics.Miscellaneous.Zero2DF(_xll.HLV5r3.Analytics.Miscellaneous.LinearInterp(Peturbed_QZ,$K471,1,M$1),ZeroCompFreq,'PDH Calc'!$K471/365)</f>
        <v>1</v>
      </c>
      <c r="N471" s="8">
        <f ca="1">_xll.HLV5r3.Analytics.Miscellaneous.Zero2DF(_xll.HLV5r3.Analytics.Miscellaneous.LinearInterp(Peturbed_QZ,$K471,1,N$1),ZeroCompFreq,'PDH Calc'!$K471/365)</f>
        <v>1</v>
      </c>
      <c r="O471" s="8">
        <f ca="1">_xll.HLV5r3.Analytics.Miscellaneous.Zero2DF(_xll.HLV5r3.Analytics.Miscellaneous.LinearInterp(Peturbed_QZ,$K471,1,O$1),ZeroCompFreq,'PDH Calc'!$K471/365)</f>
        <v>1</v>
      </c>
      <c r="P471" s="8">
        <f ca="1">_xll.HLV5r3.Analytics.Miscellaneous.Zero2DF(_xll.HLV5r3.Analytics.Miscellaneous.LinearInterp(Peturbed_QZ,$K471,1,P$1),ZeroCompFreq,'PDH Calc'!$K471/365)</f>
        <v>1</v>
      </c>
      <c r="Q471" s="8">
        <f ca="1">_xll.HLV5r3.Analytics.Miscellaneous.Zero2DF(_xll.HLV5r3.Analytics.Miscellaneous.LinearInterp(Peturbed_QZ,$K471,1,Q$1),ZeroCompFreq,'PDH Calc'!$K471/365)</f>
        <v>1</v>
      </c>
      <c r="R471" s="8">
        <f ca="1">_xll.HLV5r3.Analytics.Miscellaneous.Zero2DF(_xll.HLV5r3.Analytics.Miscellaneous.LinearInterp(Peturbed_QZ,$K471,1,R$1),ZeroCompFreq,'PDH Calc'!$K471/365)</f>
        <v>1</v>
      </c>
      <c r="S471" s="8">
        <f ca="1">_xll.HLV5r3.Analytics.Miscellaneous.Zero2DF(_xll.HLV5r3.Analytics.Miscellaneous.LinearInterp(Peturbed_QZ,$K471,1,S$1),ZeroCompFreq,'PDH Calc'!$K471/365)</f>
        <v>1</v>
      </c>
      <c r="T471" s="8">
        <f ca="1">_xll.HLV5r3.Analytics.Miscellaneous.Zero2DF(_xll.HLV5r3.Analytics.Miscellaneous.LinearInterp(Peturbed_QZ,$K471,1,T$1),ZeroCompFreq,'PDH Calc'!$K471/365)</f>
        <v>1</v>
      </c>
      <c r="U471" s="8">
        <f ca="1">_xll.HLV5r3.Analytics.Miscellaneous.Zero2DF(_xll.HLV5r3.Analytics.Miscellaneous.LinearInterp(Peturbed_QZ,$K471,1,U$1),ZeroCompFreq,'PDH Calc'!$K471/365)</f>
        <v>1</v>
      </c>
      <c r="V471" s="8">
        <f ca="1">_xll.HLV5r3.Analytics.Miscellaneous.Zero2DF(_xll.HLV5r3.Analytics.Miscellaneous.LinearInterp(Peturbed_QZ,$K471,1,V$1),ZeroCompFreq,'PDH Calc'!$K471/365)</f>
        <v>1</v>
      </c>
      <c r="W471" s="8">
        <f ca="1">_xll.HLV5r3.Analytics.Miscellaneous.Zero2DF(_xll.HLV5r3.Analytics.Miscellaneous.LinearInterp(Peturbed_QZ,$K471,1,W$1),ZeroCompFreq,'PDH Calc'!$K471/365)</f>
        <v>1</v>
      </c>
      <c r="X471" s="8">
        <f ca="1">_xll.HLV5r3.Analytics.Miscellaneous.Zero2DF(_xll.HLV5r3.Analytics.Miscellaneous.LinearInterp(Peturbed_QZ,$K471,1,X$1),ZeroCompFreq,'PDH Calc'!$K471/365)</f>
        <v>1</v>
      </c>
      <c r="Y471" s="8">
        <f ca="1">_xll.HLV5r3.Analytics.Miscellaneous.Zero2DF(_xll.HLV5r3.Analytics.Miscellaneous.LinearInterp(Peturbed_QZ,$K471,1,Y$1),ZeroCompFreq,'PDH Calc'!$K471/365)</f>
        <v>1</v>
      </c>
      <c r="Z471" s="8">
        <f ca="1">_xll.HLV5r3.Analytics.Miscellaneous.Zero2DF(_xll.HLV5r3.Analytics.Miscellaneous.LinearInterp(Peturbed_QZ,$K471,1,Z$1),ZeroCompFreq,'PDH Calc'!$K471/365)</f>
        <v>1</v>
      </c>
      <c r="AA471" s="8">
        <f ca="1">_xll.HLV5r3.Analytics.Miscellaneous.Zero2DF(_xll.HLV5r3.Analytics.Miscellaneous.LinearInterp(Peturbed_QZ,$K471,1,AA$1),ZeroCompFreq,'PDH Calc'!$K471/365)</f>
        <v>1</v>
      </c>
      <c r="AB471" s="8">
        <f ca="1">_xll.HLV5r3.Analytics.Miscellaneous.Zero2DF(_xll.HLV5r3.Analytics.Miscellaneous.LinearInterp(Peturbed_QZ,$K471,1,AB$1),ZeroCompFreq,'PDH Calc'!$K471/365)</f>
        <v>1</v>
      </c>
      <c r="AC471" s="8">
        <f ca="1">_xll.HLV5r3.Analytics.Miscellaneous.Zero2DF(_xll.HLV5r3.Analytics.Miscellaneous.LinearInterp(Peturbed_QZ,$K471,1,AC$1),ZeroCompFreq,'PDH Calc'!$K471/365)</f>
        <v>1</v>
      </c>
      <c r="AD471" s="8">
        <f ca="1">_xll.HLV5r3.Analytics.Miscellaneous.Zero2DF(_xll.HLV5r3.Analytics.Miscellaneous.LinearInterp(Peturbed_QZ,$K471,1,AD$1),ZeroCompFreq,'PDH Calc'!$K471/365)</f>
        <v>1</v>
      </c>
      <c r="AE471" s="8">
        <f ca="1">_xll.HLV5r3.Analytics.Miscellaneous.Zero2DF(_xll.HLV5r3.Analytics.Miscellaneous.LinearInterp(Peturbed_QZ,$K471,1,AE$1),ZeroCompFreq,'PDH Calc'!$K471/365)</f>
        <v>1</v>
      </c>
      <c r="AF471" s="8">
        <f ca="1">_xll.HLV5r3.Analytics.Miscellaneous.Zero2DF(_xll.HLV5r3.Analytics.Miscellaneous.LinearInterp(Peturbed_QZ,$K471,1,AF$1),ZeroCompFreq,'PDH Calc'!$K471/365)</f>
        <v>1</v>
      </c>
      <c r="AG471" s="8">
        <f ca="1">_xll.HLV5r3.Analytics.Miscellaneous.Zero2DF(_xll.HLV5r3.Analytics.Miscellaneous.LinearInterp(Peturbed_QZ,$K471,1,AG$1),ZeroCompFreq,'PDH Calc'!$K471/365)</f>
        <v>1</v>
      </c>
      <c r="AH471" s="8">
        <f ca="1">_xll.HLV5r3.Analytics.Miscellaneous.Zero2DF(_xll.HLV5r3.Analytics.Miscellaneous.LinearInterp(Peturbed_QZ,$K471,1,AH$1),ZeroCompFreq,'PDH Calc'!$K471/365)</f>
        <v>1</v>
      </c>
      <c r="AI471" s="8">
        <f ca="1">_xll.HLV5r3.Analytics.Miscellaneous.Zero2DF(_xll.HLV5r3.Analytics.Miscellaneous.LinearInterp(Peturbed_QZ,$K471,1,AI$1),ZeroCompFreq,'PDH Calc'!$K471/365)</f>
        <v>1</v>
      </c>
      <c r="AJ471" s="8">
        <f ca="1">_xll.HLV5r3.Analytics.Miscellaneous.Zero2DF(_xll.HLV5r3.Analytics.Miscellaneous.LinearInterp(Peturbed_QZ,$K471,1,AJ$1),ZeroCompFreq,'PDH Calc'!$K471/365)</f>
        <v>1</v>
      </c>
      <c r="AK471" s="8">
        <f ca="1">_xll.HLV5r3.Analytics.Miscellaneous.Zero2DF(_xll.HLV5r3.Analytics.Miscellaneous.LinearInterp(Peturbed_QZ,$K471,1,AK$1),ZeroCompFreq,'PDH Calc'!$K471/365)</f>
        <v>1</v>
      </c>
    </row>
    <row r="472" spans="1:37">
      <c r="A472" s="4"/>
      <c r="B472" s="6"/>
      <c r="F472" s="11"/>
      <c r="G472" s="6"/>
      <c r="H472" s="20"/>
      <c r="I472" s="21"/>
      <c r="J472" s="26"/>
      <c r="K472" s="6">
        <f t="shared" ca="1" si="14"/>
        <v>0</v>
      </c>
      <c r="L472" s="8">
        <f ca="1">_xll.HLV5r3.Analytics.Miscellaneous.Zero2DF(_xll.HLV5r3.Analytics.Miscellaneous.LinearInterp(Peturbed_QZ,$K472,1,L$1),ZeroCompFreq,'PDH Calc'!$K472/365)</f>
        <v>1</v>
      </c>
      <c r="M472" s="8">
        <f ca="1">_xll.HLV5r3.Analytics.Miscellaneous.Zero2DF(_xll.HLV5r3.Analytics.Miscellaneous.LinearInterp(Peturbed_QZ,$K472,1,M$1),ZeroCompFreq,'PDH Calc'!$K472/365)</f>
        <v>1</v>
      </c>
      <c r="N472" s="8">
        <f ca="1">_xll.HLV5r3.Analytics.Miscellaneous.Zero2DF(_xll.HLV5r3.Analytics.Miscellaneous.LinearInterp(Peturbed_QZ,$K472,1,N$1),ZeroCompFreq,'PDH Calc'!$K472/365)</f>
        <v>1</v>
      </c>
      <c r="O472" s="8">
        <f ca="1">_xll.HLV5r3.Analytics.Miscellaneous.Zero2DF(_xll.HLV5r3.Analytics.Miscellaneous.LinearInterp(Peturbed_QZ,$K472,1,O$1),ZeroCompFreq,'PDH Calc'!$K472/365)</f>
        <v>1</v>
      </c>
      <c r="P472" s="8">
        <f ca="1">_xll.HLV5r3.Analytics.Miscellaneous.Zero2DF(_xll.HLV5r3.Analytics.Miscellaneous.LinearInterp(Peturbed_QZ,$K472,1,P$1),ZeroCompFreq,'PDH Calc'!$K472/365)</f>
        <v>1</v>
      </c>
      <c r="Q472" s="8">
        <f ca="1">_xll.HLV5r3.Analytics.Miscellaneous.Zero2DF(_xll.HLV5r3.Analytics.Miscellaneous.LinearInterp(Peturbed_QZ,$K472,1,Q$1),ZeroCompFreq,'PDH Calc'!$K472/365)</f>
        <v>1</v>
      </c>
      <c r="R472" s="8">
        <f ca="1">_xll.HLV5r3.Analytics.Miscellaneous.Zero2DF(_xll.HLV5r3.Analytics.Miscellaneous.LinearInterp(Peturbed_QZ,$K472,1,R$1),ZeroCompFreq,'PDH Calc'!$K472/365)</f>
        <v>1</v>
      </c>
      <c r="S472" s="8">
        <f ca="1">_xll.HLV5r3.Analytics.Miscellaneous.Zero2DF(_xll.HLV5r3.Analytics.Miscellaneous.LinearInterp(Peturbed_QZ,$K472,1,S$1),ZeroCompFreq,'PDH Calc'!$K472/365)</f>
        <v>1</v>
      </c>
      <c r="T472" s="8">
        <f ca="1">_xll.HLV5r3.Analytics.Miscellaneous.Zero2DF(_xll.HLV5r3.Analytics.Miscellaneous.LinearInterp(Peturbed_QZ,$K472,1,T$1),ZeroCompFreq,'PDH Calc'!$K472/365)</f>
        <v>1</v>
      </c>
      <c r="U472" s="8">
        <f ca="1">_xll.HLV5r3.Analytics.Miscellaneous.Zero2DF(_xll.HLV5r3.Analytics.Miscellaneous.LinearInterp(Peturbed_QZ,$K472,1,U$1),ZeroCompFreq,'PDH Calc'!$K472/365)</f>
        <v>1</v>
      </c>
      <c r="V472" s="8">
        <f ca="1">_xll.HLV5r3.Analytics.Miscellaneous.Zero2DF(_xll.HLV5r3.Analytics.Miscellaneous.LinearInterp(Peturbed_QZ,$K472,1,V$1),ZeroCompFreq,'PDH Calc'!$K472/365)</f>
        <v>1</v>
      </c>
      <c r="W472" s="8">
        <f ca="1">_xll.HLV5r3.Analytics.Miscellaneous.Zero2DF(_xll.HLV5r3.Analytics.Miscellaneous.LinearInterp(Peturbed_QZ,$K472,1,W$1),ZeroCompFreq,'PDH Calc'!$K472/365)</f>
        <v>1</v>
      </c>
      <c r="X472" s="8">
        <f ca="1">_xll.HLV5r3.Analytics.Miscellaneous.Zero2DF(_xll.HLV5r3.Analytics.Miscellaneous.LinearInterp(Peturbed_QZ,$K472,1,X$1),ZeroCompFreq,'PDH Calc'!$K472/365)</f>
        <v>1</v>
      </c>
      <c r="Y472" s="8">
        <f ca="1">_xll.HLV5r3.Analytics.Miscellaneous.Zero2DF(_xll.HLV5r3.Analytics.Miscellaneous.LinearInterp(Peturbed_QZ,$K472,1,Y$1),ZeroCompFreq,'PDH Calc'!$K472/365)</f>
        <v>1</v>
      </c>
      <c r="Z472" s="8">
        <f ca="1">_xll.HLV5r3.Analytics.Miscellaneous.Zero2DF(_xll.HLV5r3.Analytics.Miscellaneous.LinearInterp(Peturbed_QZ,$K472,1,Z$1),ZeroCompFreq,'PDH Calc'!$K472/365)</f>
        <v>1</v>
      </c>
      <c r="AA472" s="8">
        <f ca="1">_xll.HLV5r3.Analytics.Miscellaneous.Zero2DF(_xll.HLV5r3.Analytics.Miscellaneous.LinearInterp(Peturbed_QZ,$K472,1,AA$1),ZeroCompFreq,'PDH Calc'!$K472/365)</f>
        <v>1</v>
      </c>
      <c r="AB472" s="8">
        <f ca="1">_xll.HLV5r3.Analytics.Miscellaneous.Zero2DF(_xll.HLV5r3.Analytics.Miscellaneous.LinearInterp(Peturbed_QZ,$K472,1,AB$1),ZeroCompFreq,'PDH Calc'!$K472/365)</f>
        <v>1</v>
      </c>
      <c r="AC472" s="8">
        <f ca="1">_xll.HLV5r3.Analytics.Miscellaneous.Zero2DF(_xll.HLV5r3.Analytics.Miscellaneous.LinearInterp(Peturbed_QZ,$K472,1,AC$1),ZeroCompFreq,'PDH Calc'!$K472/365)</f>
        <v>1</v>
      </c>
      <c r="AD472" s="8">
        <f ca="1">_xll.HLV5r3.Analytics.Miscellaneous.Zero2DF(_xll.HLV5r3.Analytics.Miscellaneous.LinearInterp(Peturbed_QZ,$K472,1,AD$1),ZeroCompFreq,'PDH Calc'!$K472/365)</f>
        <v>1</v>
      </c>
      <c r="AE472" s="8">
        <f ca="1">_xll.HLV5r3.Analytics.Miscellaneous.Zero2DF(_xll.HLV5r3.Analytics.Miscellaneous.LinearInterp(Peturbed_QZ,$K472,1,AE$1),ZeroCompFreq,'PDH Calc'!$K472/365)</f>
        <v>1</v>
      </c>
      <c r="AF472" s="8">
        <f ca="1">_xll.HLV5r3.Analytics.Miscellaneous.Zero2DF(_xll.HLV5r3.Analytics.Miscellaneous.LinearInterp(Peturbed_QZ,$K472,1,AF$1),ZeroCompFreq,'PDH Calc'!$K472/365)</f>
        <v>1</v>
      </c>
      <c r="AG472" s="8">
        <f ca="1">_xll.HLV5r3.Analytics.Miscellaneous.Zero2DF(_xll.HLV5r3.Analytics.Miscellaneous.LinearInterp(Peturbed_QZ,$K472,1,AG$1),ZeroCompFreq,'PDH Calc'!$K472/365)</f>
        <v>1</v>
      </c>
      <c r="AH472" s="8">
        <f ca="1">_xll.HLV5r3.Analytics.Miscellaneous.Zero2DF(_xll.HLV5r3.Analytics.Miscellaneous.LinearInterp(Peturbed_QZ,$K472,1,AH$1),ZeroCompFreq,'PDH Calc'!$K472/365)</f>
        <v>1</v>
      </c>
      <c r="AI472" s="8">
        <f ca="1">_xll.HLV5r3.Analytics.Miscellaneous.Zero2DF(_xll.HLV5r3.Analytics.Miscellaneous.LinearInterp(Peturbed_QZ,$K472,1,AI$1),ZeroCompFreq,'PDH Calc'!$K472/365)</f>
        <v>1</v>
      </c>
      <c r="AJ472" s="8">
        <f ca="1">_xll.HLV5r3.Analytics.Miscellaneous.Zero2DF(_xll.HLV5r3.Analytics.Miscellaneous.LinearInterp(Peturbed_QZ,$K472,1,AJ$1),ZeroCompFreq,'PDH Calc'!$K472/365)</f>
        <v>1</v>
      </c>
      <c r="AK472" s="8">
        <f ca="1">_xll.HLV5r3.Analytics.Miscellaneous.Zero2DF(_xll.HLV5r3.Analytics.Miscellaneous.LinearInterp(Peturbed_QZ,$K472,1,AK$1),ZeroCompFreq,'PDH Calc'!$K472/365)</f>
        <v>1</v>
      </c>
    </row>
    <row r="473" spans="1:37">
      <c r="A473" s="4"/>
      <c r="B473" s="6"/>
      <c r="F473" s="11"/>
      <c r="G473" s="6"/>
      <c r="H473" s="20"/>
      <c r="I473" s="21"/>
      <c r="J473" s="26"/>
      <c r="K473" s="6">
        <f t="shared" ca="1" si="14"/>
        <v>0</v>
      </c>
      <c r="L473" s="8">
        <f ca="1">_xll.HLV5r3.Analytics.Miscellaneous.Zero2DF(_xll.HLV5r3.Analytics.Miscellaneous.LinearInterp(Peturbed_QZ,$K473,1,L$1),ZeroCompFreq,'PDH Calc'!$K473/365)</f>
        <v>1</v>
      </c>
      <c r="M473" s="8">
        <f ca="1">_xll.HLV5r3.Analytics.Miscellaneous.Zero2DF(_xll.HLV5r3.Analytics.Miscellaneous.LinearInterp(Peturbed_QZ,$K473,1,M$1),ZeroCompFreq,'PDH Calc'!$K473/365)</f>
        <v>1</v>
      </c>
      <c r="N473" s="8">
        <f ca="1">_xll.HLV5r3.Analytics.Miscellaneous.Zero2DF(_xll.HLV5r3.Analytics.Miscellaneous.LinearInterp(Peturbed_QZ,$K473,1,N$1),ZeroCompFreq,'PDH Calc'!$K473/365)</f>
        <v>1</v>
      </c>
      <c r="O473" s="8">
        <f ca="1">_xll.HLV5r3.Analytics.Miscellaneous.Zero2DF(_xll.HLV5r3.Analytics.Miscellaneous.LinearInterp(Peturbed_QZ,$K473,1,O$1),ZeroCompFreq,'PDH Calc'!$K473/365)</f>
        <v>1</v>
      </c>
      <c r="P473" s="8">
        <f ca="1">_xll.HLV5r3.Analytics.Miscellaneous.Zero2DF(_xll.HLV5r3.Analytics.Miscellaneous.LinearInterp(Peturbed_QZ,$K473,1,P$1),ZeroCompFreq,'PDH Calc'!$K473/365)</f>
        <v>1</v>
      </c>
      <c r="Q473" s="8">
        <f ca="1">_xll.HLV5r3.Analytics.Miscellaneous.Zero2DF(_xll.HLV5r3.Analytics.Miscellaneous.LinearInterp(Peturbed_QZ,$K473,1,Q$1),ZeroCompFreq,'PDH Calc'!$K473/365)</f>
        <v>1</v>
      </c>
      <c r="R473" s="8">
        <f ca="1">_xll.HLV5r3.Analytics.Miscellaneous.Zero2DF(_xll.HLV5r3.Analytics.Miscellaneous.LinearInterp(Peturbed_QZ,$K473,1,R$1),ZeroCompFreq,'PDH Calc'!$K473/365)</f>
        <v>1</v>
      </c>
      <c r="S473" s="8">
        <f ca="1">_xll.HLV5r3.Analytics.Miscellaneous.Zero2DF(_xll.HLV5r3.Analytics.Miscellaneous.LinearInterp(Peturbed_QZ,$K473,1,S$1),ZeroCompFreq,'PDH Calc'!$K473/365)</f>
        <v>1</v>
      </c>
      <c r="T473" s="8">
        <f ca="1">_xll.HLV5r3.Analytics.Miscellaneous.Zero2DF(_xll.HLV5r3.Analytics.Miscellaneous.LinearInterp(Peturbed_QZ,$K473,1,T$1),ZeroCompFreq,'PDH Calc'!$K473/365)</f>
        <v>1</v>
      </c>
      <c r="U473" s="8">
        <f ca="1">_xll.HLV5r3.Analytics.Miscellaneous.Zero2DF(_xll.HLV5r3.Analytics.Miscellaneous.LinearInterp(Peturbed_QZ,$K473,1,U$1),ZeroCompFreq,'PDH Calc'!$K473/365)</f>
        <v>1</v>
      </c>
      <c r="V473" s="8">
        <f ca="1">_xll.HLV5r3.Analytics.Miscellaneous.Zero2DF(_xll.HLV5r3.Analytics.Miscellaneous.LinearInterp(Peturbed_QZ,$K473,1,V$1),ZeroCompFreq,'PDH Calc'!$K473/365)</f>
        <v>1</v>
      </c>
      <c r="W473" s="8">
        <f ca="1">_xll.HLV5r3.Analytics.Miscellaneous.Zero2DF(_xll.HLV5r3.Analytics.Miscellaneous.LinearInterp(Peturbed_QZ,$K473,1,W$1),ZeroCompFreq,'PDH Calc'!$K473/365)</f>
        <v>1</v>
      </c>
      <c r="X473" s="8">
        <f ca="1">_xll.HLV5r3.Analytics.Miscellaneous.Zero2DF(_xll.HLV5r3.Analytics.Miscellaneous.LinearInterp(Peturbed_QZ,$K473,1,X$1),ZeroCompFreq,'PDH Calc'!$K473/365)</f>
        <v>1</v>
      </c>
      <c r="Y473" s="8">
        <f ca="1">_xll.HLV5r3.Analytics.Miscellaneous.Zero2DF(_xll.HLV5r3.Analytics.Miscellaneous.LinearInterp(Peturbed_QZ,$K473,1,Y$1),ZeroCompFreq,'PDH Calc'!$K473/365)</f>
        <v>1</v>
      </c>
      <c r="Z473" s="8">
        <f ca="1">_xll.HLV5r3.Analytics.Miscellaneous.Zero2DF(_xll.HLV5r3.Analytics.Miscellaneous.LinearInterp(Peturbed_QZ,$K473,1,Z$1),ZeroCompFreq,'PDH Calc'!$K473/365)</f>
        <v>1</v>
      </c>
      <c r="AA473" s="8">
        <f ca="1">_xll.HLV5r3.Analytics.Miscellaneous.Zero2DF(_xll.HLV5r3.Analytics.Miscellaneous.LinearInterp(Peturbed_QZ,$K473,1,AA$1),ZeroCompFreq,'PDH Calc'!$K473/365)</f>
        <v>1</v>
      </c>
      <c r="AB473" s="8">
        <f ca="1">_xll.HLV5r3.Analytics.Miscellaneous.Zero2DF(_xll.HLV5r3.Analytics.Miscellaneous.LinearInterp(Peturbed_QZ,$K473,1,AB$1),ZeroCompFreq,'PDH Calc'!$K473/365)</f>
        <v>1</v>
      </c>
      <c r="AC473" s="8">
        <f ca="1">_xll.HLV5r3.Analytics.Miscellaneous.Zero2DF(_xll.HLV5r3.Analytics.Miscellaneous.LinearInterp(Peturbed_QZ,$K473,1,AC$1),ZeroCompFreq,'PDH Calc'!$K473/365)</f>
        <v>1</v>
      </c>
      <c r="AD473" s="8">
        <f ca="1">_xll.HLV5r3.Analytics.Miscellaneous.Zero2DF(_xll.HLV5r3.Analytics.Miscellaneous.LinearInterp(Peturbed_QZ,$K473,1,AD$1),ZeroCompFreq,'PDH Calc'!$K473/365)</f>
        <v>1</v>
      </c>
      <c r="AE473" s="8">
        <f ca="1">_xll.HLV5r3.Analytics.Miscellaneous.Zero2DF(_xll.HLV5r3.Analytics.Miscellaneous.LinearInterp(Peturbed_QZ,$K473,1,AE$1),ZeroCompFreq,'PDH Calc'!$K473/365)</f>
        <v>1</v>
      </c>
      <c r="AF473" s="8">
        <f ca="1">_xll.HLV5r3.Analytics.Miscellaneous.Zero2DF(_xll.HLV5r3.Analytics.Miscellaneous.LinearInterp(Peturbed_QZ,$K473,1,AF$1),ZeroCompFreq,'PDH Calc'!$K473/365)</f>
        <v>1</v>
      </c>
      <c r="AG473" s="8">
        <f ca="1">_xll.HLV5r3.Analytics.Miscellaneous.Zero2DF(_xll.HLV5r3.Analytics.Miscellaneous.LinearInterp(Peturbed_QZ,$K473,1,AG$1),ZeroCompFreq,'PDH Calc'!$K473/365)</f>
        <v>1</v>
      </c>
      <c r="AH473" s="8">
        <f ca="1">_xll.HLV5r3.Analytics.Miscellaneous.Zero2DF(_xll.HLV5r3.Analytics.Miscellaneous.LinearInterp(Peturbed_QZ,$K473,1,AH$1),ZeroCompFreq,'PDH Calc'!$K473/365)</f>
        <v>1</v>
      </c>
      <c r="AI473" s="8">
        <f ca="1">_xll.HLV5r3.Analytics.Miscellaneous.Zero2DF(_xll.HLV5r3.Analytics.Miscellaneous.LinearInterp(Peturbed_QZ,$K473,1,AI$1),ZeroCompFreq,'PDH Calc'!$K473/365)</f>
        <v>1</v>
      </c>
      <c r="AJ473" s="8">
        <f ca="1">_xll.HLV5r3.Analytics.Miscellaneous.Zero2DF(_xll.HLV5r3.Analytics.Miscellaneous.LinearInterp(Peturbed_QZ,$K473,1,AJ$1),ZeroCompFreq,'PDH Calc'!$K473/365)</f>
        <v>1</v>
      </c>
      <c r="AK473" s="8">
        <f ca="1">_xll.HLV5r3.Analytics.Miscellaneous.Zero2DF(_xll.HLV5r3.Analytics.Miscellaneous.LinearInterp(Peturbed_QZ,$K473,1,AK$1),ZeroCompFreq,'PDH Calc'!$K473/365)</f>
        <v>1</v>
      </c>
    </row>
    <row r="474" spans="1:37">
      <c r="A474" s="4"/>
      <c r="B474" s="6"/>
      <c r="F474" s="11"/>
      <c r="G474" s="6"/>
      <c r="H474" s="20"/>
      <c r="I474" s="21"/>
      <c r="J474" s="26"/>
      <c r="K474" s="6">
        <f t="shared" ca="1" si="14"/>
        <v>0</v>
      </c>
      <c r="L474" s="8">
        <f ca="1">_xll.HLV5r3.Analytics.Miscellaneous.Zero2DF(_xll.HLV5r3.Analytics.Miscellaneous.LinearInterp(Peturbed_QZ,$K474,1,L$1),ZeroCompFreq,'PDH Calc'!$K474/365)</f>
        <v>1</v>
      </c>
      <c r="M474" s="8">
        <f ca="1">_xll.HLV5r3.Analytics.Miscellaneous.Zero2DF(_xll.HLV5r3.Analytics.Miscellaneous.LinearInterp(Peturbed_QZ,$K474,1,M$1),ZeroCompFreq,'PDH Calc'!$K474/365)</f>
        <v>1</v>
      </c>
      <c r="N474" s="8">
        <f ca="1">_xll.HLV5r3.Analytics.Miscellaneous.Zero2DF(_xll.HLV5r3.Analytics.Miscellaneous.LinearInterp(Peturbed_QZ,$K474,1,N$1),ZeroCompFreq,'PDH Calc'!$K474/365)</f>
        <v>1</v>
      </c>
      <c r="O474" s="8">
        <f ca="1">_xll.HLV5r3.Analytics.Miscellaneous.Zero2DF(_xll.HLV5r3.Analytics.Miscellaneous.LinearInterp(Peturbed_QZ,$K474,1,O$1),ZeroCompFreq,'PDH Calc'!$K474/365)</f>
        <v>1</v>
      </c>
      <c r="P474" s="8">
        <f ca="1">_xll.HLV5r3.Analytics.Miscellaneous.Zero2DF(_xll.HLV5r3.Analytics.Miscellaneous.LinearInterp(Peturbed_QZ,$K474,1,P$1),ZeroCompFreq,'PDH Calc'!$K474/365)</f>
        <v>1</v>
      </c>
      <c r="Q474" s="8">
        <f ca="1">_xll.HLV5r3.Analytics.Miscellaneous.Zero2DF(_xll.HLV5r3.Analytics.Miscellaneous.LinearInterp(Peturbed_QZ,$K474,1,Q$1),ZeroCompFreq,'PDH Calc'!$K474/365)</f>
        <v>1</v>
      </c>
      <c r="R474" s="8">
        <f ca="1">_xll.HLV5r3.Analytics.Miscellaneous.Zero2DF(_xll.HLV5r3.Analytics.Miscellaneous.LinearInterp(Peturbed_QZ,$K474,1,R$1),ZeroCompFreq,'PDH Calc'!$K474/365)</f>
        <v>1</v>
      </c>
      <c r="S474" s="8">
        <f ca="1">_xll.HLV5r3.Analytics.Miscellaneous.Zero2DF(_xll.HLV5r3.Analytics.Miscellaneous.LinearInterp(Peturbed_QZ,$K474,1,S$1),ZeroCompFreq,'PDH Calc'!$K474/365)</f>
        <v>1</v>
      </c>
      <c r="T474" s="8">
        <f ca="1">_xll.HLV5r3.Analytics.Miscellaneous.Zero2DF(_xll.HLV5r3.Analytics.Miscellaneous.LinearInterp(Peturbed_QZ,$K474,1,T$1),ZeroCompFreq,'PDH Calc'!$K474/365)</f>
        <v>1</v>
      </c>
      <c r="U474" s="8">
        <f ca="1">_xll.HLV5r3.Analytics.Miscellaneous.Zero2DF(_xll.HLV5r3.Analytics.Miscellaneous.LinearInterp(Peturbed_QZ,$K474,1,U$1),ZeroCompFreq,'PDH Calc'!$K474/365)</f>
        <v>1</v>
      </c>
      <c r="V474" s="8">
        <f ca="1">_xll.HLV5r3.Analytics.Miscellaneous.Zero2DF(_xll.HLV5r3.Analytics.Miscellaneous.LinearInterp(Peturbed_QZ,$K474,1,V$1),ZeroCompFreq,'PDH Calc'!$K474/365)</f>
        <v>1</v>
      </c>
      <c r="W474" s="8">
        <f ca="1">_xll.HLV5r3.Analytics.Miscellaneous.Zero2DF(_xll.HLV5r3.Analytics.Miscellaneous.LinearInterp(Peturbed_QZ,$K474,1,W$1),ZeroCompFreq,'PDH Calc'!$K474/365)</f>
        <v>1</v>
      </c>
      <c r="X474" s="8">
        <f ca="1">_xll.HLV5r3.Analytics.Miscellaneous.Zero2DF(_xll.HLV5r3.Analytics.Miscellaneous.LinearInterp(Peturbed_QZ,$K474,1,X$1),ZeroCompFreq,'PDH Calc'!$K474/365)</f>
        <v>1</v>
      </c>
      <c r="Y474" s="8">
        <f ca="1">_xll.HLV5r3.Analytics.Miscellaneous.Zero2DF(_xll.HLV5r3.Analytics.Miscellaneous.LinearInterp(Peturbed_QZ,$K474,1,Y$1),ZeroCompFreq,'PDH Calc'!$K474/365)</f>
        <v>1</v>
      </c>
      <c r="Z474" s="8">
        <f ca="1">_xll.HLV5r3.Analytics.Miscellaneous.Zero2DF(_xll.HLV5r3.Analytics.Miscellaneous.LinearInterp(Peturbed_QZ,$K474,1,Z$1),ZeroCompFreq,'PDH Calc'!$K474/365)</f>
        <v>1</v>
      </c>
      <c r="AA474" s="8">
        <f ca="1">_xll.HLV5r3.Analytics.Miscellaneous.Zero2DF(_xll.HLV5r3.Analytics.Miscellaneous.LinearInterp(Peturbed_QZ,$K474,1,AA$1),ZeroCompFreq,'PDH Calc'!$K474/365)</f>
        <v>1</v>
      </c>
      <c r="AB474" s="8">
        <f ca="1">_xll.HLV5r3.Analytics.Miscellaneous.Zero2DF(_xll.HLV5r3.Analytics.Miscellaneous.LinearInterp(Peturbed_QZ,$K474,1,AB$1),ZeroCompFreq,'PDH Calc'!$K474/365)</f>
        <v>1</v>
      </c>
      <c r="AC474" s="8">
        <f ca="1">_xll.HLV5r3.Analytics.Miscellaneous.Zero2DF(_xll.HLV5r3.Analytics.Miscellaneous.LinearInterp(Peturbed_QZ,$K474,1,AC$1),ZeroCompFreq,'PDH Calc'!$K474/365)</f>
        <v>1</v>
      </c>
      <c r="AD474" s="8">
        <f ca="1">_xll.HLV5r3.Analytics.Miscellaneous.Zero2DF(_xll.HLV5r3.Analytics.Miscellaneous.LinearInterp(Peturbed_QZ,$K474,1,AD$1),ZeroCompFreq,'PDH Calc'!$K474/365)</f>
        <v>1</v>
      </c>
      <c r="AE474" s="8">
        <f ca="1">_xll.HLV5r3.Analytics.Miscellaneous.Zero2DF(_xll.HLV5r3.Analytics.Miscellaneous.LinearInterp(Peturbed_QZ,$K474,1,AE$1),ZeroCompFreq,'PDH Calc'!$K474/365)</f>
        <v>1</v>
      </c>
      <c r="AF474" s="8">
        <f ca="1">_xll.HLV5r3.Analytics.Miscellaneous.Zero2DF(_xll.HLV5r3.Analytics.Miscellaneous.LinearInterp(Peturbed_QZ,$K474,1,AF$1),ZeroCompFreq,'PDH Calc'!$K474/365)</f>
        <v>1</v>
      </c>
      <c r="AG474" s="8">
        <f ca="1">_xll.HLV5r3.Analytics.Miscellaneous.Zero2DF(_xll.HLV5r3.Analytics.Miscellaneous.LinearInterp(Peturbed_QZ,$K474,1,AG$1),ZeroCompFreq,'PDH Calc'!$K474/365)</f>
        <v>1</v>
      </c>
      <c r="AH474" s="8">
        <f ca="1">_xll.HLV5r3.Analytics.Miscellaneous.Zero2DF(_xll.HLV5r3.Analytics.Miscellaneous.LinearInterp(Peturbed_QZ,$K474,1,AH$1),ZeroCompFreq,'PDH Calc'!$K474/365)</f>
        <v>1</v>
      </c>
      <c r="AI474" s="8">
        <f ca="1">_xll.HLV5r3.Analytics.Miscellaneous.Zero2DF(_xll.HLV5r3.Analytics.Miscellaneous.LinearInterp(Peturbed_QZ,$K474,1,AI$1),ZeroCompFreq,'PDH Calc'!$K474/365)</f>
        <v>1</v>
      </c>
      <c r="AJ474" s="8">
        <f ca="1">_xll.HLV5r3.Analytics.Miscellaneous.Zero2DF(_xll.HLV5r3.Analytics.Miscellaneous.LinearInterp(Peturbed_QZ,$K474,1,AJ$1),ZeroCompFreq,'PDH Calc'!$K474/365)</f>
        <v>1</v>
      </c>
      <c r="AK474" s="8">
        <f ca="1">_xll.HLV5r3.Analytics.Miscellaneous.Zero2DF(_xll.HLV5r3.Analytics.Miscellaneous.LinearInterp(Peturbed_QZ,$K474,1,AK$1),ZeroCompFreq,'PDH Calc'!$K474/365)</f>
        <v>1</v>
      </c>
    </row>
    <row r="475" spans="1:37">
      <c r="A475" s="4"/>
      <c r="B475" s="6"/>
      <c r="F475" s="11"/>
      <c r="G475" s="6"/>
      <c r="H475" s="20"/>
      <c r="I475" s="21"/>
      <c r="J475" s="26"/>
      <c r="K475" s="6">
        <f t="shared" ca="1" si="14"/>
        <v>0</v>
      </c>
      <c r="L475" s="8">
        <f ca="1">_xll.HLV5r3.Analytics.Miscellaneous.Zero2DF(_xll.HLV5r3.Analytics.Miscellaneous.LinearInterp(Peturbed_QZ,$K475,1,L$1),ZeroCompFreq,'PDH Calc'!$K475/365)</f>
        <v>1</v>
      </c>
      <c r="M475" s="8">
        <f ca="1">_xll.HLV5r3.Analytics.Miscellaneous.Zero2DF(_xll.HLV5r3.Analytics.Miscellaneous.LinearInterp(Peturbed_QZ,$K475,1,M$1),ZeroCompFreq,'PDH Calc'!$K475/365)</f>
        <v>1</v>
      </c>
      <c r="N475" s="8">
        <f ca="1">_xll.HLV5r3.Analytics.Miscellaneous.Zero2DF(_xll.HLV5r3.Analytics.Miscellaneous.LinearInterp(Peturbed_QZ,$K475,1,N$1),ZeroCompFreq,'PDH Calc'!$K475/365)</f>
        <v>1</v>
      </c>
      <c r="O475" s="8">
        <f ca="1">_xll.HLV5r3.Analytics.Miscellaneous.Zero2DF(_xll.HLV5r3.Analytics.Miscellaneous.LinearInterp(Peturbed_QZ,$K475,1,O$1),ZeroCompFreq,'PDH Calc'!$K475/365)</f>
        <v>1</v>
      </c>
      <c r="P475" s="8">
        <f ca="1">_xll.HLV5r3.Analytics.Miscellaneous.Zero2DF(_xll.HLV5r3.Analytics.Miscellaneous.LinearInterp(Peturbed_QZ,$K475,1,P$1),ZeroCompFreq,'PDH Calc'!$K475/365)</f>
        <v>1</v>
      </c>
      <c r="Q475" s="8">
        <f ca="1">_xll.HLV5r3.Analytics.Miscellaneous.Zero2DF(_xll.HLV5r3.Analytics.Miscellaneous.LinearInterp(Peturbed_QZ,$K475,1,Q$1),ZeroCompFreq,'PDH Calc'!$K475/365)</f>
        <v>1</v>
      </c>
      <c r="R475" s="8">
        <f ca="1">_xll.HLV5r3.Analytics.Miscellaneous.Zero2DF(_xll.HLV5r3.Analytics.Miscellaneous.LinearInterp(Peturbed_QZ,$K475,1,R$1),ZeroCompFreq,'PDH Calc'!$K475/365)</f>
        <v>1</v>
      </c>
      <c r="S475" s="8">
        <f ca="1">_xll.HLV5r3.Analytics.Miscellaneous.Zero2DF(_xll.HLV5r3.Analytics.Miscellaneous.LinearInterp(Peturbed_QZ,$K475,1,S$1),ZeroCompFreq,'PDH Calc'!$K475/365)</f>
        <v>1</v>
      </c>
      <c r="T475" s="8">
        <f ca="1">_xll.HLV5r3.Analytics.Miscellaneous.Zero2DF(_xll.HLV5r3.Analytics.Miscellaneous.LinearInterp(Peturbed_QZ,$K475,1,T$1),ZeroCompFreq,'PDH Calc'!$K475/365)</f>
        <v>1</v>
      </c>
      <c r="U475" s="8">
        <f ca="1">_xll.HLV5r3.Analytics.Miscellaneous.Zero2DF(_xll.HLV5r3.Analytics.Miscellaneous.LinearInterp(Peturbed_QZ,$K475,1,U$1),ZeroCompFreq,'PDH Calc'!$K475/365)</f>
        <v>1</v>
      </c>
      <c r="V475" s="8">
        <f ca="1">_xll.HLV5r3.Analytics.Miscellaneous.Zero2DF(_xll.HLV5r3.Analytics.Miscellaneous.LinearInterp(Peturbed_QZ,$K475,1,V$1),ZeroCompFreq,'PDH Calc'!$K475/365)</f>
        <v>1</v>
      </c>
      <c r="W475" s="8">
        <f ca="1">_xll.HLV5r3.Analytics.Miscellaneous.Zero2DF(_xll.HLV5r3.Analytics.Miscellaneous.LinearInterp(Peturbed_QZ,$K475,1,W$1),ZeroCompFreq,'PDH Calc'!$K475/365)</f>
        <v>1</v>
      </c>
      <c r="X475" s="8">
        <f ca="1">_xll.HLV5r3.Analytics.Miscellaneous.Zero2DF(_xll.HLV5r3.Analytics.Miscellaneous.LinearInterp(Peturbed_QZ,$K475,1,X$1),ZeroCompFreq,'PDH Calc'!$K475/365)</f>
        <v>1</v>
      </c>
      <c r="Y475" s="8">
        <f ca="1">_xll.HLV5r3.Analytics.Miscellaneous.Zero2DF(_xll.HLV5r3.Analytics.Miscellaneous.LinearInterp(Peturbed_QZ,$K475,1,Y$1),ZeroCompFreq,'PDH Calc'!$K475/365)</f>
        <v>1</v>
      </c>
      <c r="Z475" s="8">
        <f ca="1">_xll.HLV5r3.Analytics.Miscellaneous.Zero2DF(_xll.HLV5r3.Analytics.Miscellaneous.LinearInterp(Peturbed_QZ,$K475,1,Z$1),ZeroCompFreq,'PDH Calc'!$K475/365)</f>
        <v>1</v>
      </c>
      <c r="AA475" s="8">
        <f ca="1">_xll.HLV5r3.Analytics.Miscellaneous.Zero2DF(_xll.HLV5r3.Analytics.Miscellaneous.LinearInterp(Peturbed_QZ,$K475,1,AA$1),ZeroCompFreq,'PDH Calc'!$K475/365)</f>
        <v>1</v>
      </c>
      <c r="AB475" s="8">
        <f ca="1">_xll.HLV5r3.Analytics.Miscellaneous.Zero2DF(_xll.HLV5r3.Analytics.Miscellaneous.LinearInterp(Peturbed_QZ,$K475,1,AB$1),ZeroCompFreq,'PDH Calc'!$K475/365)</f>
        <v>1</v>
      </c>
      <c r="AC475" s="8">
        <f ca="1">_xll.HLV5r3.Analytics.Miscellaneous.Zero2DF(_xll.HLV5r3.Analytics.Miscellaneous.LinearInterp(Peturbed_QZ,$K475,1,AC$1),ZeroCompFreq,'PDH Calc'!$K475/365)</f>
        <v>1</v>
      </c>
      <c r="AD475" s="8">
        <f ca="1">_xll.HLV5r3.Analytics.Miscellaneous.Zero2DF(_xll.HLV5r3.Analytics.Miscellaneous.LinearInterp(Peturbed_QZ,$K475,1,AD$1),ZeroCompFreq,'PDH Calc'!$K475/365)</f>
        <v>1</v>
      </c>
      <c r="AE475" s="8">
        <f ca="1">_xll.HLV5r3.Analytics.Miscellaneous.Zero2DF(_xll.HLV5r3.Analytics.Miscellaneous.LinearInterp(Peturbed_QZ,$K475,1,AE$1),ZeroCompFreq,'PDH Calc'!$K475/365)</f>
        <v>1</v>
      </c>
      <c r="AF475" s="8">
        <f ca="1">_xll.HLV5r3.Analytics.Miscellaneous.Zero2DF(_xll.HLV5r3.Analytics.Miscellaneous.LinearInterp(Peturbed_QZ,$K475,1,AF$1),ZeroCompFreq,'PDH Calc'!$K475/365)</f>
        <v>1</v>
      </c>
      <c r="AG475" s="8">
        <f ca="1">_xll.HLV5r3.Analytics.Miscellaneous.Zero2DF(_xll.HLV5r3.Analytics.Miscellaneous.LinearInterp(Peturbed_QZ,$K475,1,AG$1),ZeroCompFreq,'PDH Calc'!$K475/365)</f>
        <v>1</v>
      </c>
      <c r="AH475" s="8">
        <f ca="1">_xll.HLV5r3.Analytics.Miscellaneous.Zero2DF(_xll.HLV5r3.Analytics.Miscellaneous.LinearInterp(Peturbed_QZ,$K475,1,AH$1),ZeroCompFreq,'PDH Calc'!$K475/365)</f>
        <v>1</v>
      </c>
      <c r="AI475" s="8">
        <f ca="1">_xll.HLV5r3.Analytics.Miscellaneous.Zero2DF(_xll.HLV5r3.Analytics.Miscellaneous.LinearInterp(Peturbed_QZ,$K475,1,AI$1),ZeroCompFreq,'PDH Calc'!$K475/365)</f>
        <v>1</v>
      </c>
      <c r="AJ475" s="8">
        <f ca="1">_xll.HLV5r3.Analytics.Miscellaneous.Zero2DF(_xll.HLV5r3.Analytics.Miscellaneous.LinearInterp(Peturbed_QZ,$K475,1,AJ$1),ZeroCompFreq,'PDH Calc'!$K475/365)</f>
        <v>1</v>
      </c>
      <c r="AK475" s="8">
        <f ca="1">_xll.HLV5r3.Analytics.Miscellaneous.Zero2DF(_xll.HLV5r3.Analytics.Miscellaneous.LinearInterp(Peturbed_QZ,$K475,1,AK$1),ZeroCompFreq,'PDH Calc'!$K475/365)</f>
        <v>1</v>
      </c>
    </row>
    <row r="476" spans="1:37">
      <c r="A476" s="4"/>
      <c r="B476" s="6"/>
      <c r="F476" s="11"/>
      <c r="G476" s="6"/>
      <c r="H476" s="20"/>
      <c r="I476" s="21"/>
      <c r="J476" s="26"/>
      <c r="K476" s="6">
        <f t="shared" ca="1" si="14"/>
        <v>0</v>
      </c>
      <c r="L476" s="8">
        <f ca="1">_xll.HLV5r3.Analytics.Miscellaneous.Zero2DF(_xll.HLV5r3.Analytics.Miscellaneous.LinearInterp(Peturbed_QZ,$K476,1,L$1),ZeroCompFreq,'PDH Calc'!$K476/365)</f>
        <v>1</v>
      </c>
      <c r="M476" s="8">
        <f ca="1">_xll.HLV5r3.Analytics.Miscellaneous.Zero2DF(_xll.HLV5r3.Analytics.Miscellaneous.LinearInterp(Peturbed_QZ,$K476,1,M$1),ZeroCompFreq,'PDH Calc'!$K476/365)</f>
        <v>1</v>
      </c>
      <c r="N476" s="8">
        <f ca="1">_xll.HLV5r3.Analytics.Miscellaneous.Zero2DF(_xll.HLV5r3.Analytics.Miscellaneous.LinearInterp(Peturbed_QZ,$K476,1,N$1),ZeroCompFreq,'PDH Calc'!$K476/365)</f>
        <v>1</v>
      </c>
      <c r="O476" s="8">
        <f ca="1">_xll.HLV5r3.Analytics.Miscellaneous.Zero2DF(_xll.HLV5r3.Analytics.Miscellaneous.LinearInterp(Peturbed_QZ,$K476,1,O$1),ZeroCompFreq,'PDH Calc'!$K476/365)</f>
        <v>1</v>
      </c>
      <c r="P476" s="8">
        <f ca="1">_xll.HLV5r3.Analytics.Miscellaneous.Zero2DF(_xll.HLV5r3.Analytics.Miscellaneous.LinearInterp(Peturbed_QZ,$K476,1,P$1),ZeroCompFreq,'PDH Calc'!$K476/365)</f>
        <v>1</v>
      </c>
      <c r="Q476" s="8">
        <f ca="1">_xll.HLV5r3.Analytics.Miscellaneous.Zero2DF(_xll.HLV5r3.Analytics.Miscellaneous.LinearInterp(Peturbed_QZ,$K476,1,Q$1),ZeroCompFreq,'PDH Calc'!$K476/365)</f>
        <v>1</v>
      </c>
      <c r="R476" s="8">
        <f ca="1">_xll.HLV5r3.Analytics.Miscellaneous.Zero2DF(_xll.HLV5r3.Analytics.Miscellaneous.LinearInterp(Peturbed_QZ,$K476,1,R$1),ZeroCompFreq,'PDH Calc'!$K476/365)</f>
        <v>1</v>
      </c>
      <c r="S476" s="8">
        <f ca="1">_xll.HLV5r3.Analytics.Miscellaneous.Zero2DF(_xll.HLV5r3.Analytics.Miscellaneous.LinearInterp(Peturbed_QZ,$K476,1,S$1),ZeroCompFreq,'PDH Calc'!$K476/365)</f>
        <v>1</v>
      </c>
      <c r="T476" s="8">
        <f ca="1">_xll.HLV5r3.Analytics.Miscellaneous.Zero2DF(_xll.HLV5r3.Analytics.Miscellaneous.LinearInterp(Peturbed_QZ,$K476,1,T$1),ZeroCompFreq,'PDH Calc'!$K476/365)</f>
        <v>1</v>
      </c>
      <c r="U476" s="8">
        <f ca="1">_xll.HLV5r3.Analytics.Miscellaneous.Zero2DF(_xll.HLV5r3.Analytics.Miscellaneous.LinearInterp(Peturbed_QZ,$K476,1,U$1),ZeroCompFreq,'PDH Calc'!$K476/365)</f>
        <v>1</v>
      </c>
      <c r="V476" s="8">
        <f ca="1">_xll.HLV5r3.Analytics.Miscellaneous.Zero2DF(_xll.HLV5r3.Analytics.Miscellaneous.LinearInterp(Peturbed_QZ,$K476,1,V$1),ZeroCompFreq,'PDH Calc'!$K476/365)</f>
        <v>1</v>
      </c>
      <c r="W476" s="8">
        <f ca="1">_xll.HLV5r3.Analytics.Miscellaneous.Zero2DF(_xll.HLV5r3.Analytics.Miscellaneous.LinearInterp(Peturbed_QZ,$K476,1,W$1),ZeroCompFreq,'PDH Calc'!$K476/365)</f>
        <v>1</v>
      </c>
      <c r="X476" s="8">
        <f ca="1">_xll.HLV5r3.Analytics.Miscellaneous.Zero2DF(_xll.HLV5r3.Analytics.Miscellaneous.LinearInterp(Peturbed_QZ,$K476,1,X$1),ZeroCompFreq,'PDH Calc'!$K476/365)</f>
        <v>1</v>
      </c>
      <c r="Y476" s="8">
        <f ca="1">_xll.HLV5r3.Analytics.Miscellaneous.Zero2DF(_xll.HLV5r3.Analytics.Miscellaneous.LinearInterp(Peturbed_QZ,$K476,1,Y$1),ZeroCompFreq,'PDH Calc'!$K476/365)</f>
        <v>1</v>
      </c>
      <c r="Z476" s="8">
        <f ca="1">_xll.HLV5r3.Analytics.Miscellaneous.Zero2DF(_xll.HLV5r3.Analytics.Miscellaneous.LinearInterp(Peturbed_QZ,$K476,1,Z$1),ZeroCompFreq,'PDH Calc'!$K476/365)</f>
        <v>1</v>
      </c>
      <c r="AA476" s="8">
        <f ca="1">_xll.HLV5r3.Analytics.Miscellaneous.Zero2DF(_xll.HLV5r3.Analytics.Miscellaneous.LinearInterp(Peturbed_QZ,$K476,1,AA$1),ZeroCompFreq,'PDH Calc'!$K476/365)</f>
        <v>1</v>
      </c>
      <c r="AB476" s="8">
        <f ca="1">_xll.HLV5r3.Analytics.Miscellaneous.Zero2DF(_xll.HLV5r3.Analytics.Miscellaneous.LinearInterp(Peturbed_QZ,$K476,1,AB$1),ZeroCompFreq,'PDH Calc'!$K476/365)</f>
        <v>1</v>
      </c>
      <c r="AC476" s="8">
        <f ca="1">_xll.HLV5r3.Analytics.Miscellaneous.Zero2DF(_xll.HLV5r3.Analytics.Miscellaneous.LinearInterp(Peturbed_QZ,$K476,1,AC$1),ZeroCompFreq,'PDH Calc'!$K476/365)</f>
        <v>1</v>
      </c>
      <c r="AD476" s="8">
        <f ca="1">_xll.HLV5r3.Analytics.Miscellaneous.Zero2DF(_xll.HLV5r3.Analytics.Miscellaneous.LinearInterp(Peturbed_QZ,$K476,1,AD$1),ZeroCompFreq,'PDH Calc'!$K476/365)</f>
        <v>1</v>
      </c>
      <c r="AE476" s="8">
        <f ca="1">_xll.HLV5r3.Analytics.Miscellaneous.Zero2DF(_xll.HLV5r3.Analytics.Miscellaneous.LinearInterp(Peturbed_QZ,$K476,1,AE$1),ZeroCompFreq,'PDH Calc'!$K476/365)</f>
        <v>1</v>
      </c>
      <c r="AF476" s="8">
        <f ca="1">_xll.HLV5r3.Analytics.Miscellaneous.Zero2DF(_xll.HLV5r3.Analytics.Miscellaneous.LinearInterp(Peturbed_QZ,$K476,1,AF$1),ZeroCompFreq,'PDH Calc'!$K476/365)</f>
        <v>1</v>
      </c>
      <c r="AG476" s="8">
        <f ca="1">_xll.HLV5r3.Analytics.Miscellaneous.Zero2DF(_xll.HLV5r3.Analytics.Miscellaneous.LinearInterp(Peturbed_QZ,$K476,1,AG$1),ZeroCompFreq,'PDH Calc'!$K476/365)</f>
        <v>1</v>
      </c>
      <c r="AH476" s="8">
        <f ca="1">_xll.HLV5r3.Analytics.Miscellaneous.Zero2DF(_xll.HLV5r3.Analytics.Miscellaneous.LinearInterp(Peturbed_QZ,$K476,1,AH$1),ZeroCompFreq,'PDH Calc'!$K476/365)</f>
        <v>1</v>
      </c>
      <c r="AI476" s="8">
        <f ca="1">_xll.HLV5r3.Analytics.Miscellaneous.Zero2DF(_xll.HLV5r3.Analytics.Miscellaneous.LinearInterp(Peturbed_QZ,$K476,1,AI$1),ZeroCompFreq,'PDH Calc'!$K476/365)</f>
        <v>1</v>
      </c>
      <c r="AJ476" s="8">
        <f ca="1">_xll.HLV5r3.Analytics.Miscellaneous.Zero2DF(_xll.HLV5r3.Analytics.Miscellaneous.LinearInterp(Peturbed_QZ,$K476,1,AJ$1),ZeroCompFreq,'PDH Calc'!$K476/365)</f>
        <v>1</v>
      </c>
      <c r="AK476" s="8">
        <f ca="1">_xll.HLV5r3.Analytics.Miscellaneous.Zero2DF(_xll.HLV5r3.Analytics.Miscellaneous.LinearInterp(Peturbed_QZ,$K476,1,AK$1),ZeroCompFreq,'PDH Calc'!$K476/365)</f>
        <v>1</v>
      </c>
    </row>
    <row r="477" spans="1:37">
      <c r="A477" s="4"/>
      <c r="B477" s="6"/>
      <c r="F477" s="11"/>
      <c r="G477" s="6"/>
      <c r="H477" s="20"/>
      <c r="I477" s="21"/>
      <c r="J477" s="26"/>
      <c r="K477" s="6">
        <f t="shared" ca="1" si="14"/>
        <v>0</v>
      </c>
      <c r="L477" s="8">
        <f ca="1">_xll.HLV5r3.Analytics.Miscellaneous.Zero2DF(_xll.HLV5r3.Analytics.Miscellaneous.LinearInterp(Peturbed_QZ,$K477,1,L$1),ZeroCompFreq,'PDH Calc'!$K477/365)</f>
        <v>1</v>
      </c>
      <c r="M477" s="8">
        <f ca="1">_xll.HLV5r3.Analytics.Miscellaneous.Zero2DF(_xll.HLV5r3.Analytics.Miscellaneous.LinearInterp(Peturbed_QZ,$K477,1,M$1),ZeroCompFreq,'PDH Calc'!$K477/365)</f>
        <v>1</v>
      </c>
      <c r="N477" s="8">
        <f ca="1">_xll.HLV5r3.Analytics.Miscellaneous.Zero2DF(_xll.HLV5r3.Analytics.Miscellaneous.LinearInterp(Peturbed_QZ,$K477,1,N$1),ZeroCompFreq,'PDH Calc'!$K477/365)</f>
        <v>1</v>
      </c>
      <c r="O477" s="8">
        <f ca="1">_xll.HLV5r3.Analytics.Miscellaneous.Zero2DF(_xll.HLV5r3.Analytics.Miscellaneous.LinearInterp(Peturbed_QZ,$K477,1,O$1),ZeroCompFreq,'PDH Calc'!$K477/365)</f>
        <v>1</v>
      </c>
      <c r="P477" s="8">
        <f ca="1">_xll.HLV5r3.Analytics.Miscellaneous.Zero2DF(_xll.HLV5r3.Analytics.Miscellaneous.LinearInterp(Peturbed_QZ,$K477,1,P$1),ZeroCompFreq,'PDH Calc'!$K477/365)</f>
        <v>1</v>
      </c>
      <c r="Q477" s="8">
        <f ca="1">_xll.HLV5r3.Analytics.Miscellaneous.Zero2DF(_xll.HLV5r3.Analytics.Miscellaneous.LinearInterp(Peturbed_QZ,$K477,1,Q$1),ZeroCompFreq,'PDH Calc'!$K477/365)</f>
        <v>1</v>
      </c>
      <c r="R477" s="8">
        <f ca="1">_xll.HLV5r3.Analytics.Miscellaneous.Zero2DF(_xll.HLV5r3.Analytics.Miscellaneous.LinearInterp(Peturbed_QZ,$K477,1,R$1),ZeroCompFreq,'PDH Calc'!$K477/365)</f>
        <v>1</v>
      </c>
      <c r="S477" s="8">
        <f ca="1">_xll.HLV5r3.Analytics.Miscellaneous.Zero2DF(_xll.HLV5r3.Analytics.Miscellaneous.LinearInterp(Peturbed_QZ,$K477,1,S$1),ZeroCompFreq,'PDH Calc'!$K477/365)</f>
        <v>1</v>
      </c>
      <c r="T477" s="8">
        <f ca="1">_xll.HLV5r3.Analytics.Miscellaneous.Zero2DF(_xll.HLV5r3.Analytics.Miscellaneous.LinearInterp(Peturbed_QZ,$K477,1,T$1),ZeroCompFreq,'PDH Calc'!$K477/365)</f>
        <v>1</v>
      </c>
      <c r="U477" s="8">
        <f ca="1">_xll.HLV5r3.Analytics.Miscellaneous.Zero2DF(_xll.HLV5r3.Analytics.Miscellaneous.LinearInterp(Peturbed_QZ,$K477,1,U$1),ZeroCompFreq,'PDH Calc'!$K477/365)</f>
        <v>1</v>
      </c>
      <c r="V477" s="8">
        <f ca="1">_xll.HLV5r3.Analytics.Miscellaneous.Zero2DF(_xll.HLV5r3.Analytics.Miscellaneous.LinearInterp(Peturbed_QZ,$K477,1,V$1),ZeroCompFreq,'PDH Calc'!$K477/365)</f>
        <v>1</v>
      </c>
      <c r="W477" s="8">
        <f ca="1">_xll.HLV5r3.Analytics.Miscellaneous.Zero2DF(_xll.HLV5r3.Analytics.Miscellaneous.LinearInterp(Peturbed_QZ,$K477,1,W$1),ZeroCompFreq,'PDH Calc'!$K477/365)</f>
        <v>1</v>
      </c>
      <c r="X477" s="8">
        <f ca="1">_xll.HLV5r3.Analytics.Miscellaneous.Zero2DF(_xll.HLV5r3.Analytics.Miscellaneous.LinearInterp(Peturbed_QZ,$K477,1,X$1),ZeroCompFreq,'PDH Calc'!$K477/365)</f>
        <v>1</v>
      </c>
      <c r="Y477" s="8">
        <f ca="1">_xll.HLV5r3.Analytics.Miscellaneous.Zero2DF(_xll.HLV5r3.Analytics.Miscellaneous.LinearInterp(Peturbed_QZ,$K477,1,Y$1),ZeroCompFreq,'PDH Calc'!$K477/365)</f>
        <v>1</v>
      </c>
      <c r="Z477" s="8">
        <f ca="1">_xll.HLV5r3.Analytics.Miscellaneous.Zero2DF(_xll.HLV5r3.Analytics.Miscellaneous.LinearInterp(Peturbed_QZ,$K477,1,Z$1),ZeroCompFreq,'PDH Calc'!$K477/365)</f>
        <v>1</v>
      </c>
      <c r="AA477" s="8">
        <f ca="1">_xll.HLV5r3.Analytics.Miscellaneous.Zero2DF(_xll.HLV5r3.Analytics.Miscellaneous.LinearInterp(Peturbed_QZ,$K477,1,AA$1),ZeroCompFreq,'PDH Calc'!$K477/365)</f>
        <v>1</v>
      </c>
      <c r="AB477" s="8">
        <f ca="1">_xll.HLV5r3.Analytics.Miscellaneous.Zero2DF(_xll.HLV5r3.Analytics.Miscellaneous.LinearInterp(Peturbed_QZ,$K477,1,AB$1),ZeroCompFreq,'PDH Calc'!$K477/365)</f>
        <v>1</v>
      </c>
      <c r="AC477" s="8">
        <f ca="1">_xll.HLV5r3.Analytics.Miscellaneous.Zero2DF(_xll.HLV5r3.Analytics.Miscellaneous.LinearInterp(Peturbed_QZ,$K477,1,AC$1),ZeroCompFreq,'PDH Calc'!$K477/365)</f>
        <v>1</v>
      </c>
      <c r="AD477" s="8">
        <f ca="1">_xll.HLV5r3.Analytics.Miscellaneous.Zero2DF(_xll.HLV5r3.Analytics.Miscellaneous.LinearInterp(Peturbed_QZ,$K477,1,AD$1),ZeroCompFreq,'PDH Calc'!$K477/365)</f>
        <v>1</v>
      </c>
      <c r="AE477" s="8">
        <f ca="1">_xll.HLV5r3.Analytics.Miscellaneous.Zero2DF(_xll.HLV5r3.Analytics.Miscellaneous.LinearInterp(Peturbed_QZ,$K477,1,AE$1),ZeroCompFreq,'PDH Calc'!$K477/365)</f>
        <v>1</v>
      </c>
      <c r="AF477" s="8">
        <f ca="1">_xll.HLV5r3.Analytics.Miscellaneous.Zero2DF(_xll.HLV5r3.Analytics.Miscellaneous.LinearInterp(Peturbed_QZ,$K477,1,AF$1),ZeroCompFreq,'PDH Calc'!$K477/365)</f>
        <v>1</v>
      </c>
      <c r="AG477" s="8">
        <f ca="1">_xll.HLV5r3.Analytics.Miscellaneous.Zero2DF(_xll.HLV5r3.Analytics.Miscellaneous.LinearInterp(Peturbed_QZ,$K477,1,AG$1),ZeroCompFreq,'PDH Calc'!$K477/365)</f>
        <v>1</v>
      </c>
      <c r="AH477" s="8">
        <f ca="1">_xll.HLV5r3.Analytics.Miscellaneous.Zero2DF(_xll.HLV5r3.Analytics.Miscellaneous.LinearInterp(Peturbed_QZ,$K477,1,AH$1),ZeroCompFreq,'PDH Calc'!$K477/365)</f>
        <v>1</v>
      </c>
      <c r="AI477" s="8">
        <f ca="1">_xll.HLV5r3.Analytics.Miscellaneous.Zero2DF(_xll.HLV5r3.Analytics.Miscellaneous.LinearInterp(Peturbed_QZ,$K477,1,AI$1),ZeroCompFreq,'PDH Calc'!$K477/365)</f>
        <v>1</v>
      </c>
      <c r="AJ477" s="8">
        <f ca="1">_xll.HLV5r3.Analytics.Miscellaneous.Zero2DF(_xll.HLV5r3.Analytics.Miscellaneous.LinearInterp(Peturbed_QZ,$K477,1,AJ$1),ZeroCompFreq,'PDH Calc'!$K477/365)</f>
        <v>1</v>
      </c>
      <c r="AK477" s="8">
        <f ca="1">_xll.HLV5r3.Analytics.Miscellaneous.Zero2DF(_xll.HLV5r3.Analytics.Miscellaneous.LinearInterp(Peturbed_QZ,$K477,1,AK$1),ZeroCompFreq,'PDH Calc'!$K477/365)</f>
        <v>1</v>
      </c>
    </row>
    <row r="478" spans="1:37">
      <c r="A478" s="4"/>
      <c r="B478" s="6"/>
      <c r="F478" s="11"/>
      <c r="G478" s="6"/>
      <c r="H478" s="20"/>
      <c r="I478" s="21"/>
      <c r="J478" s="26"/>
      <c r="K478" s="6">
        <f t="shared" ca="1" si="14"/>
        <v>0</v>
      </c>
      <c r="L478" s="8">
        <f ca="1">_xll.HLV5r3.Analytics.Miscellaneous.Zero2DF(_xll.HLV5r3.Analytics.Miscellaneous.LinearInterp(Peturbed_QZ,$K478,1,L$1),ZeroCompFreq,'PDH Calc'!$K478/365)</f>
        <v>1</v>
      </c>
      <c r="M478" s="8">
        <f ca="1">_xll.HLV5r3.Analytics.Miscellaneous.Zero2DF(_xll.HLV5r3.Analytics.Miscellaneous.LinearInterp(Peturbed_QZ,$K478,1,M$1),ZeroCompFreq,'PDH Calc'!$K478/365)</f>
        <v>1</v>
      </c>
      <c r="N478" s="8">
        <f ca="1">_xll.HLV5r3.Analytics.Miscellaneous.Zero2DF(_xll.HLV5r3.Analytics.Miscellaneous.LinearInterp(Peturbed_QZ,$K478,1,N$1),ZeroCompFreq,'PDH Calc'!$K478/365)</f>
        <v>1</v>
      </c>
      <c r="O478" s="8">
        <f ca="1">_xll.HLV5r3.Analytics.Miscellaneous.Zero2DF(_xll.HLV5r3.Analytics.Miscellaneous.LinearInterp(Peturbed_QZ,$K478,1,O$1),ZeroCompFreq,'PDH Calc'!$K478/365)</f>
        <v>1</v>
      </c>
      <c r="P478" s="8">
        <f ca="1">_xll.HLV5r3.Analytics.Miscellaneous.Zero2DF(_xll.HLV5r3.Analytics.Miscellaneous.LinearInterp(Peturbed_QZ,$K478,1,P$1),ZeroCompFreq,'PDH Calc'!$K478/365)</f>
        <v>1</v>
      </c>
      <c r="Q478" s="8">
        <f ca="1">_xll.HLV5r3.Analytics.Miscellaneous.Zero2DF(_xll.HLV5r3.Analytics.Miscellaneous.LinearInterp(Peturbed_QZ,$K478,1,Q$1),ZeroCompFreq,'PDH Calc'!$K478/365)</f>
        <v>1</v>
      </c>
      <c r="R478" s="8">
        <f ca="1">_xll.HLV5r3.Analytics.Miscellaneous.Zero2DF(_xll.HLV5r3.Analytics.Miscellaneous.LinearInterp(Peturbed_QZ,$K478,1,R$1),ZeroCompFreq,'PDH Calc'!$K478/365)</f>
        <v>1</v>
      </c>
      <c r="S478" s="8">
        <f ca="1">_xll.HLV5r3.Analytics.Miscellaneous.Zero2DF(_xll.HLV5r3.Analytics.Miscellaneous.LinearInterp(Peturbed_QZ,$K478,1,S$1),ZeroCompFreq,'PDH Calc'!$K478/365)</f>
        <v>1</v>
      </c>
      <c r="T478" s="8">
        <f ca="1">_xll.HLV5r3.Analytics.Miscellaneous.Zero2DF(_xll.HLV5r3.Analytics.Miscellaneous.LinearInterp(Peturbed_QZ,$K478,1,T$1),ZeroCompFreq,'PDH Calc'!$K478/365)</f>
        <v>1</v>
      </c>
      <c r="U478" s="8">
        <f ca="1">_xll.HLV5r3.Analytics.Miscellaneous.Zero2DF(_xll.HLV5r3.Analytics.Miscellaneous.LinearInterp(Peturbed_QZ,$K478,1,U$1),ZeroCompFreq,'PDH Calc'!$K478/365)</f>
        <v>1</v>
      </c>
      <c r="V478" s="8">
        <f ca="1">_xll.HLV5r3.Analytics.Miscellaneous.Zero2DF(_xll.HLV5r3.Analytics.Miscellaneous.LinearInterp(Peturbed_QZ,$K478,1,V$1),ZeroCompFreq,'PDH Calc'!$K478/365)</f>
        <v>1</v>
      </c>
      <c r="W478" s="8">
        <f ca="1">_xll.HLV5r3.Analytics.Miscellaneous.Zero2DF(_xll.HLV5r3.Analytics.Miscellaneous.LinearInterp(Peturbed_QZ,$K478,1,W$1),ZeroCompFreq,'PDH Calc'!$K478/365)</f>
        <v>1</v>
      </c>
      <c r="X478" s="8">
        <f ca="1">_xll.HLV5r3.Analytics.Miscellaneous.Zero2DF(_xll.HLV5r3.Analytics.Miscellaneous.LinearInterp(Peturbed_QZ,$K478,1,X$1),ZeroCompFreq,'PDH Calc'!$K478/365)</f>
        <v>1</v>
      </c>
      <c r="Y478" s="8">
        <f ca="1">_xll.HLV5r3.Analytics.Miscellaneous.Zero2DF(_xll.HLV5r3.Analytics.Miscellaneous.LinearInterp(Peturbed_QZ,$K478,1,Y$1),ZeroCompFreq,'PDH Calc'!$K478/365)</f>
        <v>1</v>
      </c>
      <c r="Z478" s="8">
        <f ca="1">_xll.HLV5r3.Analytics.Miscellaneous.Zero2DF(_xll.HLV5r3.Analytics.Miscellaneous.LinearInterp(Peturbed_QZ,$K478,1,Z$1),ZeroCompFreq,'PDH Calc'!$K478/365)</f>
        <v>1</v>
      </c>
      <c r="AA478" s="8">
        <f ca="1">_xll.HLV5r3.Analytics.Miscellaneous.Zero2DF(_xll.HLV5r3.Analytics.Miscellaneous.LinearInterp(Peturbed_QZ,$K478,1,AA$1),ZeroCompFreq,'PDH Calc'!$K478/365)</f>
        <v>1</v>
      </c>
      <c r="AB478" s="8">
        <f ca="1">_xll.HLV5r3.Analytics.Miscellaneous.Zero2DF(_xll.HLV5r3.Analytics.Miscellaneous.LinearInterp(Peturbed_QZ,$K478,1,AB$1),ZeroCompFreq,'PDH Calc'!$K478/365)</f>
        <v>1</v>
      </c>
      <c r="AC478" s="8">
        <f ca="1">_xll.HLV5r3.Analytics.Miscellaneous.Zero2DF(_xll.HLV5r3.Analytics.Miscellaneous.LinearInterp(Peturbed_QZ,$K478,1,AC$1),ZeroCompFreq,'PDH Calc'!$K478/365)</f>
        <v>1</v>
      </c>
      <c r="AD478" s="8">
        <f ca="1">_xll.HLV5r3.Analytics.Miscellaneous.Zero2DF(_xll.HLV5r3.Analytics.Miscellaneous.LinearInterp(Peturbed_QZ,$K478,1,AD$1),ZeroCompFreq,'PDH Calc'!$K478/365)</f>
        <v>1</v>
      </c>
      <c r="AE478" s="8">
        <f ca="1">_xll.HLV5r3.Analytics.Miscellaneous.Zero2DF(_xll.HLV5r3.Analytics.Miscellaneous.LinearInterp(Peturbed_QZ,$K478,1,AE$1),ZeroCompFreq,'PDH Calc'!$K478/365)</f>
        <v>1</v>
      </c>
      <c r="AF478" s="8">
        <f ca="1">_xll.HLV5r3.Analytics.Miscellaneous.Zero2DF(_xll.HLV5r3.Analytics.Miscellaneous.LinearInterp(Peturbed_QZ,$K478,1,AF$1),ZeroCompFreq,'PDH Calc'!$K478/365)</f>
        <v>1</v>
      </c>
      <c r="AG478" s="8">
        <f ca="1">_xll.HLV5r3.Analytics.Miscellaneous.Zero2DF(_xll.HLV5r3.Analytics.Miscellaneous.LinearInterp(Peturbed_QZ,$K478,1,AG$1),ZeroCompFreq,'PDH Calc'!$K478/365)</f>
        <v>1</v>
      </c>
      <c r="AH478" s="8">
        <f ca="1">_xll.HLV5r3.Analytics.Miscellaneous.Zero2DF(_xll.HLV5r3.Analytics.Miscellaneous.LinearInterp(Peturbed_QZ,$K478,1,AH$1),ZeroCompFreq,'PDH Calc'!$K478/365)</f>
        <v>1</v>
      </c>
      <c r="AI478" s="8">
        <f ca="1">_xll.HLV5r3.Analytics.Miscellaneous.Zero2DF(_xll.HLV5r3.Analytics.Miscellaneous.LinearInterp(Peturbed_QZ,$K478,1,AI$1),ZeroCompFreq,'PDH Calc'!$K478/365)</f>
        <v>1</v>
      </c>
      <c r="AJ478" s="8">
        <f ca="1">_xll.HLV5r3.Analytics.Miscellaneous.Zero2DF(_xll.HLV5r3.Analytics.Miscellaneous.LinearInterp(Peturbed_QZ,$K478,1,AJ$1),ZeroCompFreq,'PDH Calc'!$K478/365)</f>
        <v>1</v>
      </c>
      <c r="AK478" s="8">
        <f ca="1">_xll.HLV5r3.Analytics.Miscellaneous.Zero2DF(_xll.HLV5r3.Analytics.Miscellaneous.LinearInterp(Peturbed_QZ,$K478,1,AK$1),ZeroCompFreq,'PDH Calc'!$K478/365)</f>
        <v>1</v>
      </c>
    </row>
    <row r="479" spans="1:37">
      <c r="A479" s="4"/>
      <c r="B479" s="6"/>
      <c r="F479" s="11"/>
      <c r="G479" s="6"/>
      <c r="H479" s="20"/>
      <c r="I479" s="21"/>
      <c r="J479" s="26"/>
      <c r="K479" s="6">
        <f t="shared" ca="1" si="14"/>
        <v>0</v>
      </c>
      <c r="L479" s="8">
        <f ca="1">_xll.HLV5r3.Analytics.Miscellaneous.Zero2DF(_xll.HLV5r3.Analytics.Miscellaneous.LinearInterp(Peturbed_QZ,$K479,1,L$1),ZeroCompFreq,'PDH Calc'!$K479/365)</f>
        <v>1</v>
      </c>
      <c r="M479" s="8">
        <f ca="1">_xll.HLV5r3.Analytics.Miscellaneous.Zero2DF(_xll.HLV5r3.Analytics.Miscellaneous.LinearInterp(Peturbed_QZ,$K479,1,M$1),ZeroCompFreq,'PDH Calc'!$K479/365)</f>
        <v>1</v>
      </c>
      <c r="N479" s="8">
        <f ca="1">_xll.HLV5r3.Analytics.Miscellaneous.Zero2DF(_xll.HLV5r3.Analytics.Miscellaneous.LinearInterp(Peturbed_QZ,$K479,1,N$1),ZeroCompFreq,'PDH Calc'!$K479/365)</f>
        <v>1</v>
      </c>
      <c r="O479" s="8">
        <f ca="1">_xll.HLV5r3.Analytics.Miscellaneous.Zero2DF(_xll.HLV5r3.Analytics.Miscellaneous.LinearInterp(Peturbed_QZ,$K479,1,O$1),ZeroCompFreq,'PDH Calc'!$K479/365)</f>
        <v>1</v>
      </c>
      <c r="P479" s="8">
        <f ca="1">_xll.HLV5r3.Analytics.Miscellaneous.Zero2DF(_xll.HLV5r3.Analytics.Miscellaneous.LinearInterp(Peturbed_QZ,$K479,1,P$1),ZeroCompFreq,'PDH Calc'!$K479/365)</f>
        <v>1</v>
      </c>
      <c r="Q479" s="8">
        <f ca="1">_xll.HLV5r3.Analytics.Miscellaneous.Zero2DF(_xll.HLV5r3.Analytics.Miscellaneous.LinearInterp(Peturbed_QZ,$K479,1,Q$1),ZeroCompFreq,'PDH Calc'!$K479/365)</f>
        <v>1</v>
      </c>
      <c r="R479" s="8">
        <f ca="1">_xll.HLV5r3.Analytics.Miscellaneous.Zero2DF(_xll.HLV5r3.Analytics.Miscellaneous.LinearInterp(Peturbed_QZ,$K479,1,R$1),ZeroCompFreq,'PDH Calc'!$K479/365)</f>
        <v>1</v>
      </c>
      <c r="S479" s="8">
        <f ca="1">_xll.HLV5r3.Analytics.Miscellaneous.Zero2DF(_xll.HLV5r3.Analytics.Miscellaneous.LinearInterp(Peturbed_QZ,$K479,1,S$1),ZeroCompFreq,'PDH Calc'!$K479/365)</f>
        <v>1</v>
      </c>
      <c r="T479" s="8">
        <f ca="1">_xll.HLV5r3.Analytics.Miscellaneous.Zero2DF(_xll.HLV5r3.Analytics.Miscellaneous.LinearInterp(Peturbed_QZ,$K479,1,T$1),ZeroCompFreq,'PDH Calc'!$K479/365)</f>
        <v>1</v>
      </c>
      <c r="U479" s="8">
        <f ca="1">_xll.HLV5r3.Analytics.Miscellaneous.Zero2DF(_xll.HLV5r3.Analytics.Miscellaneous.LinearInterp(Peturbed_QZ,$K479,1,U$1),ZeroCompFreq,'PDH Calc'!$K479/365)</f>
        <v>1</v>
      </c>
      <c r="V479" s="8">
        <f ca="1">_xll.HLV5r3.Analytics.Miscellaneous.Zero2DF(_xll.HLV5r3.Analytics.Miscellaneous.LinearInterp(Peturbed_QZ,$K479,1,V$1),ZeroCompFreq,'PDH Calc'!$K479/365)</f>
        <v>1</v>
      </c>
      <c r="W479" s="8">
        <f ca="1">_xll.HLV5r3.Analytics.Miscellaneous.Zero2DF(_xll.HLV5r3.Analytics.Miscellaneous.LinearInterp(Peturbed_QZ,$K479,1,W$1),ZeroCompFreq,'PDH Calc'!$K479/365)</f>
        <v>1</v>
      </c>
      <c r="X479" s="8">
        <f ca="1">_xll.HLV5r3.Analytics.Miscellaneous.Zero2DF(_xll.HLV5r3.Analytics.Miscellaneous.LinearInterp(Peturbed_QZ,$K479,1,X$1),ZeroCompFreq,'PDH Calc'!$K479/365)</f>
        <v>1</v>
      </c>
      <c r="Y479" s="8">
        <f ca="1">_xll.HLV5r3.Analytics.Miscellaneous.Zero2DF(_xll.HLV5r3.Analytics.Miscellaneous.LinearInterp(Peturbed_QZ,$K479,1,Y$1),ZeroCompFreq,'PDH Calc'!$K479/365)</f>
        <v>1</v>
      </c>
      <c r="Z479" s="8">
        <f ca="1">_xll.HLV5r3.Analytics.Miscellaneous.Zero2DF(_xll.HLV5r3.Analytics.Miscellaneous.LinearInterp(Peturbed_QZ,$K479,1,Z$1),ZeroCompFreq,'PDH Calc'!$K479/365)</f>
        <v>1</v>
      </c>
      <c r="AA479" s="8">
        <f ca="1">_xll.HLV5r3.Analytics.Miscellaneous.Zero2DF(_xll.HLV5r3.Analytics.Miscellaneous.LinearInterp(Peturbed_QZ,$K479,1,AA$1),ZeroCompFreq,'PDH Calc'!$K479/365)</f>
        <v>1</v>
      </c>
      <c r="AB479" s="8">
        <f ca="1">_xll.HLV5r3.Analytics.Miscellaneous.Zero2DF(_xll.HLV5r3.Analytics.Miscellaneous.LinearInterp(Peturbed_QZ,$K479,1,AB$1),ZeroCompFreq,'PDH Calc'!$K479/365)</f>
        <v>1</v>
      </c>
      <c r="AC479" s="8">
        <f ca="1">_xll.HLV5r3.Analytics.Miscellaneous.Zero2DF(_xll.HLV5r3.Analytics.Miscellaneous.LinearInterp(Peturbed_QZ,$K479,1,AC$1),ZeroCompFreq,'PDH Calc'!$K479/365)</f>
        <v>1</v>
      </c>
      <c r="AD479" s="8">
        <f ca="1">_xll.HLV5r3.Analytics.Miscellaneous.Zero2DF(_xll.HLV5r3.Analytics.Miscellaneous.LinearInterp(Peturbed_QZ,$K479,1,AD$1),ZeroCompFreq,'PDH Calc'!$K479/365)</f>
        <v>1</v>
      </c>
      <c r="AE479" s="8">
        <f ca="1">_xll.HLV5r3.Analytics.Miscellaneous.Zero2DF(_xll.HLV5r3.Analytics.Miscellaneous.LinearInterp(Peturbed_QZ,$K479,1,AE$1),ZeroCompFreq,'PDH Calc'!$K479/365)</f>
        <v>1</v>
      </c>
      <c r="AF479" s="8">
        <f ca="1">_xll.HLV5r3.Analytics.Miscellaneous.Zero2DF(_xll.HLV5r3.Analytics.Miscellaneous.LinearInterp(Peturbed_QZ,$K479,1,AF$1),ZeroCompFreq,'PDH Calc'!$K479/365)</f>
        <v>1</v>
      </c>
      <c r="AG479" s="8">
        <f ca="1">_xll.HLV5r3.Analytics.Miscellaneous.Zero2DF(_xll.HLV5r3.Analytics.Miscellaneous.LinearInterp(Peturbed_QZ,$K479,1,AG$1),ZeroCompFreq,'PDH Calc'!$K479/365)</f>
        <v>1</v>
      </c>
      <c r="AH479" s="8">
        <f ca="1">_xll.HLV5r3.Analytics.Miscellaneous.Zero2DF(_xll.HLV5r3.Analytics.Miscellaneous.LinearInterp(Peturbed_QZ,$K479,1,AH$1),ZeroCompFreq,'PDH Calc'!$K479/365)</f>
        <v>1</v>
      </c>
      <c r="AI479" s="8">
        <f ca="1">_xll.HLV5r3.Analytics.Miscellaneous.Zero2DF(_xll.HLV5r3.Analytics.Miscellaneous.LinearInterp(Peturbed_QZ,$K479,1,AI$1),ZeroCompFreq,'PDH Calc'!$K479/365)</f>
        <v>1</v>
      </c>
      <c r="AJ479" s="8">
        <f ca="1">_xll.HLV5r3.Analytics.Miscellaneous.Zero2DF(_xll.HLV5r3.Analytics.Miscellaneous.LinearInterp(Peturbed_QZ,$K479,1,AJ$1),ZeroCompFreq,'PDH Calc'!$K479/365)</f>
        <v>1</v>
      </c>
      <c r="AK479" s="8">
        <f ca="1">_xll.HLV5r3.Analytics.Miscellaneous.Zero2DF(_xll.HLV5r3.Analytics.Miscellaneous.LinearInterp(Peturbed_QZ,$K479,1,AK$1),ZeroCompFreq,'PDH Calc'!$K479/365)</f>
        <v>1</v>
      </c>
    </row>
    <row r="480" spans="1:37">
      <c r="A480" s="4"/>
      <c r="B480" s="6"/>
      <c r="F480" s="11"/>
      <c r="G480" s="6"/>
      <c r="H480" s="20"/>
      <c r="I480" s="21"/>
      <c r="J480" s="26"/>
      <c r="K480" s="6">
        <f t="shared" ca="1" si="14"/>
        <v>0</v>
      </c>
      <c r="L480" s="8">
        <f ca="1">_xll.HLV5r3.Analytics.Miscellaneous.Zero2DF(_xll.HLV5r3.Analytics.Miscellaneous.LinearInterp(Peturbed_QZ,$K480,1,L$1),ZeroCompFreq,'PDH Calc'!$K480/365)</f>
        <v>1</v>
      </c>
      <c r="M480" s="8">
        <f ca="1">_xll.HLV5r3.Analytics.Miscellaneous.Zero2DF(_xll.HLV5r3.Analytics.Miscellaneous.LinearInterp(Peturbed_QZ,$K480,1,M$1),ZeroCompFreq,'PDH Calc'!$K480/365)</f>
        <v>1</v>
      </c>
      <c r="N480" s="8">
        <f ca="1">_xll.HLV5r3.Analytics.Miscellaneous.Zero2DF(_xll.HLV5r3.Analytics.Miscellaneous.LinearInterp(Peturbed_QZ,$K480,1,N$1),ZeroCompFreq,'PDH Calc'!$K480/365)</f>
        <v>1</v>
      </c>
      <c r="O480" s="8">
        <f ca="1">_xll.HLV5r3.Analytics.Miscellaneous.Zero2DF(_xll.HLV5r3.Analytics.Miscellaneous.LinearInterp(Peturbed_QZ,$K480,1,O$1),ZeroCompFreq,'PDH Calc'!$K480/365)</f>
        <v>1</v>
      </c>
      <c r="P480" s="8">
        <f ca="1">_xll.HLV5r3.Analytics.Miscellaneous.Zero2DF(_xll.HLV5r3.Analytics.Miscellaneous.LinearInterp(Peturbed_QZ,$K480,1,P$1),ZeroCompFreq,'PDH Calc'!$K480/365)</f>
        <v>1</v>
      </c>
      <c r="Q480" s="8">
        <f ca="1">_xll.HLV5r3.Analytics.Miscellaneous.Zero2DF(_xll.HLV5r3.Analytics.Miscellaneous.LinearInterp(Peturbed_QZ,$K480,1,Q$1),ZeroCompFreq,'PDH Calc'!$K480/365)</f>
        <v>1</v>
      </c>
      <c r="R480" s="8">
        <f ca="1">_xll.HLV5r3.Analytics.Miscellaneous.Zero2DF(_xll.HLV5r3.Analytics.Miscellaneous.LinearInterp(Peturbed_QZ,$K480,1,R$1),ZeroCompFreq,'PDH Calc'!$K480/365)</f>
        <v>1</v>
      </c>
      <c r="S480" s="8">
        <f ca="1">_xll.HLV5r3.Analytics.Miscellaneous.Zero2DF(_xll.HLV5r3.Analytics.Miscellaneous.LinearInterp(Peturbed_QZ,$K480,1,S$1),ZeroCompFreq,'PDH Calc'!$K480/365)</f>
        <v>1</v>
      </c>
      <c r="T480" s="8">
        <f ca="1">_xll.HLV5r3.Analytics.Miscellaneous.Zero2DF(_xll.HLV5r3.Analytics.Miscellaneous.LinearInterp(Peturbed_QZ,$K480,1,T$1),ZeroCompFreq,'PDH Calc'!$K480/365)</f>
        <v>1</v>
      </c>
      <c r="U480" s="8">
        <f ca="1">_xll.HLV5r3.Analytics.Miscellaneous.Zero2DF(_xll.HLV5r3.Analytics.Miscellaneous.LinearInterp(Peturbed_QZ,$K480,1,U$1),ZeroCompFreq,'PDH Calc'!$K480/365)</f>
        <v>1</v>
      </c>
      <c r="V480" s="8">
        <f ca="1">_xll.HLV5r3.Analytics.Miscellaneous.Zero2DF(_xll.HLV5r3.Analytics.Miscellaneous.LinearInterp(Peturbed_QZ,$K480,1,V$1),ZeroCompFreq,'PDH Calc'!$K480/365)</f>
        <v>1</v>
      </c>
      <c r="W480" s="8">
        <f ca="1">_xll.HLV5r3.Analytics.Miscellaneous.Zero2DF(_xll.HLV5r3.Analytics.Miscellaneous.LinearInterp(Peturbed_QZ,$K480,1,W$1),ZeroCompFreq,'PDH Calc'!$K480/365)</f>
        <v>1</v>
      </c>
      <c r="X480" s="8">
        <f ca="1">_xll.HLV5r3.Analytics.Miscellaneous.Zero2DF(_xll.HLV5r3.Analytics.Miscellaneous.LinearInterp(Peturbed_QZ,$K480,1,X$1),ZeroCompFreq,'PDH Calc'!$K480/365)</f>
        <v>1</v>
      </c>
      <c r="Y480" s="8">
        <f ca="1">_xll.HLV5r3.Analytics.Miscellaneous.Zero2DF(_xll.HLV5r3.Analytics.Miscellaneous.LinearInterp(Peturbed_QZ,$K480,1,Y$1),ZeroCompFreq,'PDH Calc'!$K480/365)</f>
        <v>1</v>
      </c>
      <c r="Z480" s="8">
        <f ca="1">_xll.HLV5r3.Analytics.Miscellaneous.Zero2DF(_xll.HLV5r3.Analytics.Miscellaneous.LinearInterp(Peturbed_QZ,$K480,1,Z$1),ZeroCompFreq,'PDH Calc'!$K480/365)</f>
        <v>1</v>
      </c>
      <c r="AA480" s="8">
        <f ca="1">_xll.HLV5r3.Analytics.Miscellaneous.Zero2DF(_xll.HLV5r3.Analytics.Miscellaneous.LinearInterp(Peturbed_QZ,$K480,1,AA$1),ZeroCompFreq,'PDH Calc'!$K480/365)</f>
        <v>1</v>
      </c>
      <c r="AB480" s="8">
        <f ca="1">_xll.HLV5r3.Analytics.Miscellaneous.Zero2DF(_xll.HLV5r3.Analytics.Miscellaneous.LinearInterp(Peturbed_QZ,$K480,1,AB$1),ZeroCompFreq,'PDH Calc'!$K480/365)</f>
        <v>1</v>
      </c>
      <c r="AC480" s="8">
        <f ca="1">_xll.HLV5r3.Analytics.Miscellaneous.Zero2DF(_xll.HLV5r3.Analytics.Miscellaneous.LinearInterp(Peturbed_QZ,$K480,1,AC$1),ZeroCompFreq,'PDH Calc'!$K480/365)</f>
        <v>1</v>
      </c>
      <c r="AD480" s="8">
        <f ca="1">_xll.HLV5r3.Analytics.Miscellaneous.Zero2DF(_xll.HLV5r3.Analytics.Miscellaneous.LinearInterp(Peturbed_QZ,$K480,1,AD$1),ZeroCompFreq,'PDH Calc'!$K480/365)</f>
        <v>1</v>
      </c>
      <c r="AE480" s="8">
        <f ca="1">_xll.HLV5r3.Analytics.Miscellaneous.Zero2DF(_xll.HLV5r3.Analytics.Miscellaneous.LinearInterp(Peturbed_QZ,$K480,1,AE$1),ZeroCompFreq,'PDH Calc'!$K480/365)</f>
        <v>1</v>
      </c>
      <c r="AF480" s="8">
        <f ca="1">_xll.HLV5r3.Analytics.Miscellaneous.Zero2DF(_xll.HLV5r3.Analytics.Miscellaneous.LinearInterp(Peturbed_QZ,$K480,1,AF$1),ZeroCompFreq,'PDH Calc'!$K480/365)</f>
        <v>1</v>
      </c>
      <c r="AG480" s="8">
        <f ca="1">_xll.HLV5r3.Analytics.Miscellaneous.Zero2DF(_xll.HLV5r3.Analytics.Miscellaneous.LinearInterp(Peturbed_QZ,$K480,1,AG$1),ZeroCompFreq,'PDH Calc'!$K480/365)</f>
        <v>1</v>
      </c>
      <c r="AH480" s="8">
        <f ca="1">_xll.HLV5r3.Analytics.Miscellaneous.Zero2DF(_xll.HLV5r3.Analytics.Miscellaneous.LinearInterp(Peturbed_QZ,$K480,1,AH$1),ZeroCompFreq,'PDH Calc'!$K480/365)</f>
        <v>1</v>
      </c>
      <c r="AI480" s="8">
        <f ca="1">_xll.HLV5r3.Analytics.Miscellaneous.Zero2DF(_xll.HLV5r3.Analytics.Miscellaneous.LinearInterp(Peturbed_QZ,$K480,1,AI$1),ZeroCompFreq,'PDH Calc'!$K480/365)</f>
        <v>1</v>
      </c>
      <c r="AJ480" s="8">
        <f ca="1">_xll.HLV5r3.Analytics.Miscellaneous.Zero2DF(_xll.HLV5r3.Analytics.Miscellaneous.LinearInterp(Peturbed_QZ,$K480,1,AJ$1),ZeroCompFreq,'PDH Calc'!$K480/365)</f>
        <v>1</v>
      </c>
      <c r="AK480" s="8">
        <f ca="1">_xll.HLV5r3.Analytics.Miscellaneous.Zero2DF(_xll.HLV5r3.Analytics.Miscellaneous.LinearInterp(Peturbed_QZ,$K480,1,AK$1),ZeroCompFreq,'PDH Calc'!$K480/365)</f>
        <v>1</v>
      </c>
    </row>
    <row r="481" spans="1:37">
      <c r="A481" s="4"/>
      <c r="B481" s="6"/>
      <c r="F481" s="11"/>
      <c r="G481" s="6"/>
      <c r="H481" s="20"/>
      <c r="I481" s="21"/>
      <c r="J481" s="26"/>
      <c r="K481" s="6">
        <f t="shared" ca="1" si="14"/>
        <v>0</v>
      </c>
      <c r="L481" s="8">
        <f ca="1">_xll.HLV5r3.Analytics.Miscellaneous.Zero2DF(_xll.HLV5r3.Analytics.Miscellaneous.LinearInterp(Peturbed_QZ,$K481,1,L$1),ZeroCompFreq,'PDH Calc'!$K481/365)</f>
        <v>1</v>
      </c>
      <c r="M481" s="8">
        <f ca="1">_xll.HLV5r3.Analytics.Miscellaneous.Zero2DF(_xll.HLV5r3.Analytics.Miscellaneous.LinearInterp(Peturbed_QZ,$K481,1,M$1),ZeroCompFreq,'PDH Calc'!$K481/365)</f>
        <v>1</v>
      </c>
      <c r="N481" s="8">
        <f ca="1">_xll.HLV5r3.Analytics.Miscellaneous.Zero2DF(_xll.HLV5r3.Analytics.Miscellaneous.LinearInterp(Peturbed_QZ,$K481,1,N$1),ZeroCompFreq,'PDH Calc'!$K481/365)</f>
        <v>1</v>
      </c>
      <c r="O481" s="8">
        <f ca="1">_xll.HLV5r3.Analytics.Miscellaneous.Zero2DF(_xll.HLV5r3.Analytics.Miscellaneous.LinearInterp(Peturbed_QZ,$K481,1,O$1),ZeroCompFreq,'PDH Calc'!$K481/365)</f>
        <v>1</v>
      </c>
      <c r="P481" s="8">
        <f ca="1">_xll.HLV5r3.Analytics.Miscellaneous.Zero2DF(_xll.HLV5r3.Analytics.Miscellaneous.LinearInterp(Peturbed_QZ,$K481,1,P$1),ZeroCompFreq,'PDH Calc'!$K481/365)</f>
        <v>1</v>
      </c>
      <c r="Q481" s="8">
        <f ca="1">_xll.HLV5r3.Analytics.Miscellaneous.Zero2DF(_xll.HLV5r3.Analytics.Miscellaneous.LinearInterp(Peturbed_QZ,$K481,1,Q$1),ZeroCompFreq,'PDH Calc'!$K481/365)</f>
        <v>1</v>
      </c>
      <c r="R481" s="8">
        <f ca="1">_xll.HLV5r3.Analytics.Miscellaneous.Zero2DF(_xll.HLV5r3.Analytics.Miscellaneous.LinearInterp(Peturbed_QZ,$K481,1,R$1),ZeroCompFreq,'PDH Calc'!$K481/365)</f>
        <v>1</v>
      </c>
      <c r="S481" s="8">
        <f ca="1">_xll.HLV5r3.Analytics.Miscellaneous.Zero2DF(_xll.HLV5r3.Analytics.Miscellaneous.LinearInterp(Peturbed_QZ,$K481,1,S$1),ZeroCompFreq,'PDH Calc'!$K481/365)</f>
        <v>1</v>
      </c>
      <c r="T481" s="8">
        <f ca="1">_xll.HLV5r3.Analytics.Miscellaneous.Zero2DF(_xll.HLV5r3.Analytics.Miscellaneous.LinearInterp(Peturbed_QZ,$K481,1,T$1),ZeroCompFreq,'PDH Calc'!$K481/365)</f>
        <v>1</v>
      </c>
      <c r="U481" s="8">
        <f ca="1">_xll.HLV5r3.Analytics.Miscellaneous.Zero2DF(_xll.HLV5r3.Analytics.Miscellaneous.LinearInterp(Peturbed_QZ,$K481,1,U$1),ZeroCompFreq,'PDH Calc'!$K481/365)</f>
        <v>1</v>
      </c>
      <c r="V481" s="8">
        <f ca="1">_xll.HLV5r3.Analytics.Miscellaneous.Zero2DF(_xll.HLV5r3.Analytics.Miscellaneous.LinearInterp(Peturbed_QZ,$K481,1,V$1),ZeroCompFreq,'PDH Calc'!$K481/365)</f>
        <v>1</v>
      </c>
      <c r="W481" s="8">
        <f ca="1">_xll.HLV5r3.Analytics.Miscellaneous.Zero2DF(_xll.HLV5r3.Analytics.Miscellaneous.LinearInterp(Peturbed_QZ,$K481,1,W$1),ZeroCompFreq,'PDH Calc'!$K481/365)</f>
        <v>1</v>
      </c>
      <c r="X481" s="8">
        <f ca="1">_xll.HLV5r3.Analytics.Miscellaneous.Zero2DF(_xll.HLV5r3.Analytics.Miscellaneous.LinearInterp(Peturbed_QZ,$K481,1,X$1),ZeroCompFreq,'PDH Calc'!$K481/365)</f>
        <v>1</v>
      </c>
      <c r="Y481" s="8">
        <f ca="1">_xll.HLV5r3.Analytics.Miscellaneous.Zero2DF(_xll.HLV5r3.Analytics.Miscellaneous.LinearInterp(Peturbed_QZ,$K481,1,Y$1),ZeroCompFreq,'PDH Calc'!$K481/365)</f>
        <v>1</v>
      </c>
      <c r="Z481" s="8">
        <f ca="1">_xll.HLV5r3.Analytics.Miscellaneous.Zero2DF(_xll.HLV5r3.Analytics.Miscellaneous.LinearInterp(Peturbed_QZ,$K481,1,Z$1),ZeroCompFreq,'PDH Calc'!$K481/365)</f>
        <v>1</v>
      </c>
      <c r="AA481" s="8">
        <f ca="1">_xll.HLV5r3.Analytics.Miscellaneous.Zero2DF(_xll.HLV5r3.Analytics.Miscellaneous.LinearInterp(Peturbed_QZ,$K481,1,AA$1),ZeroCompFreq,'PDH Calc'!$K481/365)</f>
        <v>1</v>
      </c>
      <c r="AB481" s="8">
        <f ca="1">_xll.HLV5r3.Analytics.Miscellaneous.Zero2DF(_xll.HLV5r3.Analytics.Miscellaneous.LinearInterp(Peturbed_QZ,$K481,1,AB$1),ZeroCompFreq,'PDH Calc'!$K481/365)</f>
        <v>1</v>
      </c>
      <c r="AC481" s="8">
        <f ca="1">_xll.HLV5r3.Analytics.Miscellaneous.Zero2DF(_xll.HLV5r3.Analytics.Miscellaneous.LinearInterp(Peturbed_QZ,$K481,1,AC$1),ZeroCompFreq,'PDH Calc'!$K481/365)</f>
        <v>1</v>
      </c>
      <c r="AD481" s="8">
        <f ca="1">_xll.HLV5r3.Analytics.Miscellaneous.Zero2DF(_xll.HLV5r3.Analytics.Miscellaneous.LinearInterp(Peturbed_QZ,$K481,1,AD$1),ZeroCompFreq,'PDH Calc'!$K481/365)</f>
        <v>1</v>
      </c>
      <c r="AE481" s="8">
        <f ca="1">_xll.HLV5r3.Analytics.Miscellaneous.Zero2DF(_xll.HLV5r3.Analytics.Miscellaneous.LinearInterp(Peturbed_QZ,$K481,1,AE$1),ZeroCompFreq,'PDH Calc'!$K481/365)</f>
        <v>1</v>
      </c>
      <c r="AF481" s="8">
        <f ca="1">_xll.HLV5r3.Analytics.Miscellaneous.Zero2DF(_xll.HLV5r3.Analytics.Miscellaneous.LinearInterp(Peturbed_QZ,$K481,1,AF$1),ZeroCompFreq,'PDH Calc'!$K481/365)</f>
        <v>1</v>
      </c>
      <c r="AG481" s="8">
        <f ca="1">_xll.HLV5r3.Analytics.Miscellaneous.Zero2DF(_xll.HLV5r3.Analytics.Miscellaneous.LinearInterp(Peturbed_QZ,$K481,1,AG$1),ZeroCompFreq,'PDH Calc'!$K481/365)</f>
        <v>1</v>
      </c>
      <c r="AH481" s="8">
        <f ca="1">_xll.HLV5r3.Analytics.Miscellaneous.Zero2DF(_xll.HLV5r3.Analytics.Miscellaneous.LinearInterp(Peturbed_QZ,$K481,1,AH$1),ZeroCompFreq,'PDH Calc'!$K481/365)</f>
        <v>1</v>
      </c>
      <c r="AI481" s="8">
        <f ca="1">_xll.HLV5r3.Analytics.Miscellaneous.Zero2DF(_xll.HLV5r3.Analytics.Miscellaneous.LinearInterp(Peturbed_QZ,$K481,1,AI$1),ZeroCompFreq,'PDH Calc'!$K481/365)</f>
        <v>1</v>
      </c>
      <c r="AJ481" s="8">
        <f ca="1">_xll.HLV5r3.Analytics.Miscellaneous.Zero2DF(_xll.HLV5r3.Analytics.Miscellaneous.LinearInterp(Peturbed_QZ,$K481,1,AJ$1),ZeroCompFreq,'PDH Calc'!$K481/365)</f>
        <v>1</v>
      </c>
      <c r="AK481" s="8">
        <f ca="1">_xll.HLV5r3.Analytics.Miscellaneous.Zero2DF(_xll.HLV5r3.Analytics.Miscellaneous.LinearInterp(Peturbed_QZ,$K481,1,AK$1),ZeroCompFreq,'PDH Calc'!$K481/365)</f>
        <v>1</v>
      </c>
    </row>
    <row r="482" spans="1:37">
      <c r="A482" s="4"/>
      <c r="B482" s="6"/>
      <c r="F482" s="11"/>
      <c r="G482" s="6"/>
      <c r="H482" s="20"/>
      <c r="I482" s="21"/>
      <c r="J482" s="26"/>
      <c r="K482" s="6">
        <f t="shared" ca="1" si="14"/>
        <v>0</v>
      </c>
      <c r="L482" s="8">
        <f ca="1">_xll.HLV5r3.Analytics.Miscellaneous.Zero2DF(_xll.HLV5r3.Analytics.Miscellaneous.LinearInterp(Peturbed_QZ,$K482,1,L$1),ZeroCompFreq,'PDH Calc'!$K482/365)</f>
        <v>1</v>
      </c>
      <c r="M482" s="8">
        <f ca="1">_xll.HLV5r3.Analytics.Miscellaneous.Zero2DF(_xll.HLV5r3.Analytics.Miscellaneous.LinearInterp(Peturbed_QZ,$K482,1,M$1),ZeroCompFreq,'PDH Calc'!$K482/365)</f>
        <v>1</v>
      </c>
      <c r="N482" s="8">
        <f ca="1">_xll.HLV5r3.Analytics.Miscellaneous.Zero2DF(_xll.HLV5r3.Analytics.Miscellaneous.LinearInterp(Peturbed_QZ,$K482,1,N$1),ZeroCompFreq,'PDH Calc'!$K482/365)</f>
        <v>1</v>
      </c>
      <c r="O482" s="8">
        <f ca="1">_xll.HLV5r3.Analytics.Miscellaneous.Zero2DF(_xll.HLV5r3.Analytics.Miscellaneous.LinearInterp(Peturbed_QZ,$K482,1,O$1),ZeroCompFreq,'PDH Calc'!$K482/365)</f>
        <v>1</v>
      </c>
      <c r="P482" s="8">
        <f ca="1">_xll.HLV5r3.Analytics.Miscellaneous.Zero2DF(_xll.HLV5r3.Analytics.Miscellaneous.LinearInterp(Peturbed_QZ,$K482,1,P$1),ZeroCompFreq,'PDH Calc'!$K482/365)</f>
        <v>1</v>
      </c>
      <c r="Q482" s="8">
        <f ca="1">_xll.HLV5r3.Analytics.Miscellaneous.Zero2DF(_xll.HLV5r3.Analytics.Miscellaneous.LinearInterp(Peturbed_QZ,$K482,1,Q$1),ZeroCompFreq,'PDH Calc'!$K482/365)</f>
        <v>1</v>
      </c>
      <c r="R482" s="8">
        <f ca="1">_xll.HLV5r3.Analytics.Miscellaneous.Zero2DF(_xll.HLV5r3.Analytics.Miscellaneous.LinearInterp(Peturbed_QZ,$K482,1,R$1),ZeroCompFreq,'PDH Calc'!$K482/365)</f>
        <v>1</v>
      </c>
      <c r="S482" s="8">
        <f ca="1">_xll.HLV5r3.Analytics.Miscellaneous.Zero2DF(_xll.HLV5r3.Analytics.Miscellaneous.LinearInterp(Peturbed_QZ,$K482,1,S$1),ZeroCompFreq,'PDH Calc'!$K482/365)</f>
        <v>1</v>
      </c>
      <c r="T482" s="8">
        <f ca="1">_xll.HLV5r3.Analytics.Miscellaneous.Zero2DF(_xll.HLV5r3.Analytics.Miscellaneous.LinearInterp(Peturbed_QZ,$K482,1,T$1),ZeroCompFreq,'PDH Calc'!$K482/365)</f>
        <v>1</v>
      </c>
      <c r="U482" s="8">
        <f ca="1">_xll.HLV5r3.Analytics.Miscellaneous.Zero2DF(_xll.HLV5r3.Analytics.Miscellaneous.LinearInterp(Peturbed_QZ,$K482,1,U$1),ZeroCompFreq,'PDH Calc'!$K482/365)</f>
        <v>1</v>
      </c>
      <c r="V482" s="8">
        <f ca="1">_xll.HLV5r3.Analytics.Miscellaneous.Zero2DF(_xll.HLV5r3.Analytics.Miscellaneous.LinearInterp(Peturbed_QZ,$K482,1,V$1),ZeroCompFreq,'PDH Calc'!$K482/365)</f>
        <v>1</v>
      </c>
      <c r="W482" s="8">
        <f ca="1">_xll.HLV5r3.Analytics.Miscellaneous.Zero2DF(_xll.HLV5r3.Analytics.Miscellaneous.LinearInterp(Peturbed_QZ,$K482,1,W$1),ZeroCompFreq,'PDH Calc'!$K482/365)</f>
        <v>1</v>
      </c>
      <c r="X482" s="8">
        <f ca="1">_xll.HLV5r3.Analytics.Miscellaneous.Zero2DF(_xll.HLV5r3.Analytics.Miscellaneous.LinearInterp(Peturbed_QZ,$K482,1,X$1),ZeroCompFreq,'PDH Calc'!$K482/365)</f>
        <v>1</v>
      </c>
      <c r="Y482" s="8">
        <f ca="1">_xll.HLV5r3.Analytics.Miscellaneous.Zero2DF(_xll.HLV5r3.Analytics.Miscellaneous.LinearInterp(Peturbed_QZ,$K482,1,Y$1),ZeroCompFreq,'PDH Calc'!$K482/365)</f>
        <v>1</v>
      </c>
      <c r="Z482" s="8">
        <f ca="1">_xll.HLV5r3.Analytics.Miscellaneous.Zero2DF(_xll.HLV5r3.Analytics.Miscellaneous.LinearInterp(Peturbed_QZ,$K482,1,Z$1),ZeroCompFreq,'PDH Calc'!$K482/365)</f>
        <v>1</v>
      </c>
      <c r="AA482" s="8">
        <f ca="1">_xll.HLV5r3.Analytics.Miscellaneous.Zero2DF(_xll.HLV5r3.Analytics.Miscellaneous.LinearInterp(Peturbed_QZ,$K482,1,AA$1),ZeroCompFreq,'PDH Calc'!$K482/365)</f>
        <v>1</v>
      </c>
      <c r="AB482" s="8">
        <f ca="1">_xll.HLV5r3.Analytics.Miscellaneous.Zero2DF(_xll.HLV5r3.Analytics.Miscellaneous.LinearInterp(Peturbed_QZ,$K482,1,AB$1),ZeroCompFreq,'PDH Calc'!$K482/365)</f>
        <v>1</v>
      </c>
      <c r="AC482" s="8">
        <f ca="1">_xll.HLV5r3.Analytics.Miscellaneous.Zero2DF(_xll.HLV5r3.Analytics.Miscellaneous.LinearInterp(Peturbed_QZ,$K482,1,AC$1),ZeroCompFreq,'PDH Calc'!$K482/365)</f>
        <v>1</v>
      </c>
      <c r="AD482" s="8">
        <f ca="1">_xll.HLV5r3.Analytics.Miscellaneous.Zero2DF(_xll.HLV5r3.Analytics.Miscellaneous.LinearInterp(Peturbed_QZ,$K482,1,AD$1),ZeroCompFreq,'PDH Calc'!$K482/365)</f>
        <v>1</v>
      </c>
      <c r="AE482" s="8">
        <f ca="1">_xll.HLV5r3.Analytics.Miscellaneous.Zero2DF(_xll.HLV5r3.Analytics.Miscellaneous.LinearInterp(Peturbed_QZ,$K482,1,AE$1),ZeroCompFreq,'PDH Calc'!$K482/365)</f>
        <v>1</v>
      </c>
      <c r="AF482" s="8">
        <f ca="1">_xll.HLV5r3.Analytics.Miscellaneous.Zero2DF(_xll.HLV5r3.Analytics.Miscellaneous.LinearInterp(Peturbed_QZ,$K482,1,AF$1),ZeroCompFreq,'PDH Calc'!$K482/365)</f>
        <v>1</v>
      </c>
      <c r="AG482" s="8">
        <f ca="1">_xll.HLV5r3.Analytics.Miscellaneous.Zero2DF(_xll.HLV5r3.Analytics.Miscellaneous.LinearInterp(Peturbed_QZ,$K482,1,AG$1),ZeroCompFreq,'PDH Calc'!$K482/365)</f>
        <v>1</v>
      </c>
      <c r="AH482" s="8">
        <f ca="1">_xll.HLV5r3.Analytics.Miscellaneous.Zero2DF(_xll.HLV5r3.Analytics.Miscellaneous.LinearInterp(Peturbed_QZ,$K482,1,AH$1),ZeroCompFreq,'PDH Calc'!$K482/365)</f>
        <v>1</v>
      </c>
      <c r="AI482" s="8">
        <f ca="1">_xll.HLV5r3.Analytics.Miscellaneous.Zero2DF(_xll.HLV5r3.Analytics.Miscellaneous.LinearInterp(Peturbed_QZ,$K482,1,AI$1),ZeroCompFreq,'PDH Calc'!$K482/365)</f>
        <v>1</v>
      </c>
      <c r="AJ482" s="8">
        <f ca="1">_xll.HLV5r3.Analytics.Miscellaneous.Zero2DF(_xll.HLV5r3.Analytics.Miscellaneous.LinearInterp(Peturbed_QZ,$K482,1,AJ$1),ZeroCompFreq,'PDH Calc'!$K482/365)</f>
        <v>1</v>
      </c>
      <c r="AK482" s="8">
        <f ca="1">_xll.HLV5r3.Analytics.Miscellaneous.Zero2DF(_xll.HLV5r3.Analytics.Miscellaneous.LinearInterp(Peturbed_QZ,$K482,1,AK$1),ZeroCompFreq,'PDH Calc'!$K482/365)</f>
        <v>1</v>
      </c>
    </row>
    <row r="483" spans="1:37">
      <c r="A483" s="4"/>
      <c r="B483" s="6"/>
      <c r="F483" s="11"/>
      <c r="G483" s="6"/>
      <c r="H483" s="20"/>
      <c r="I483" s="21"/>
      <c r="J483" s="26"/>
      <c r="K483" s="6">
        <f t="shared" ca="1" si="14"/>
        <v>0</v>
      </c>
      <c r="L483" s="8">
        <f ca="1">_xll.HLV5r3.Analytics.Miscellaneous.Zero2DF(_xll.HLV5r3.Analytics.Miscellaneous.LinearInterp(Peturbed_QZ,$K483,1,L$1),ZeroCompFreq,'PDH Calc'!$K483/365)</f>
        <v>1</v>
      </c>
      <c r="M483" s="8">
        <f ca="1">_xll.HLV5r3.Analytics.Miscellaneous.Zero2DF(_xll.HLV5r3.Analytics.Miscellaneous.LinearInterp(Peturbed_QZ,$K483,1,M$1),ZeroCompFreq,'PDH Calc'!$K483/365)</f>
        <v>1</v>
      </c>
      <c r="N483" s="8">
        <f ca="1">_xll.HLV5r3.Analytics.Miscellaneous.Zero2DF(_xll.HLV5r3.Analytics.Miscellaneous.LinearInterp(Peturbed_QZ,$K483,1,N$1),ZeroCompFreq,'PDH Calc'!$K483/365)</f>
        <v>1</v>
      </c>
      <c r="O483" s="8">
        <f ca="1">_xll.HLV5r3.Analytics.Miscellaneous.Zero2DF(_xll.HLV5r3.Analytics.Miscellaneous.LinearInterp(Peturbed_QZ,$K483,1,O$1),ZeroCompFreq,'PDH Calc'!$K483/365)</f>
        <v>1</v>
      </c>
      <c r="P483" s="8">
        <f ca="1">_xll.HLV5r3.Analytics.Miscellaneous.Zero2DF(_xll.HLV5r3.Analytics.Miscellaneous.LinearInterp(Peturbed_QZ,$K483,1,P$1),ZeroCompFreq,'PDH Calc'!$K483/365)</f>
        <v>1</v>
      </c>
      <c r="Q483" s="8">
        <f ca="1">_xll.HLV5r3.Analytics.Miscellaneous.Zero2DF(_xll.HLV5r3.Analytics.Miscellaneous.LinearInterp(Peturbed_QZ,$K483,1,Q$1),ZeroCompFreq,'PDH Calc'!$K483/365)</f>
        <v>1</v>
      </c>
      <c r="R483" s="8">
        <f ca="1">_xll.HLV5r3.Analytics.Miscellaneous.Zero2DF(_xll.HLV5r3.Analytics.Miscellaneous.LinearInterp(Peturbed_QZ,$K483,1,R$1),ZeroCompFreq,'PDH Calc'!$K483/365)</f>
        <v>1</v>
      </c>
      <c r="S483" s="8">
        <f ca="1">_xll.HLV5r3.Analytics.Miscellaneous.Zero2DF(_xll.HLV5r3.Analytics.Miscellaneous.LinearInterp(Peturbed_QZ,$K483,1,S$1),ZeroCompFreq,'PDH Calc'!$K483/365)</f>
        <v>1</v>
      </c>
      <c r="T483" s="8">
        <f ca="1">_xll.HLV5r3.Analytics.Miscellaneous.Zero2DF(_xll.HLV5r3.Analytics.Miscellaneous.LinearInterp(Peturbed_QZ,$K483,1,T$1),ZeroCompFreq,'PDH Calc'!$K483/365)</f>
        <v>1</v>
      </c>
      <c r="U483" s="8">
        <f ca="1">_xll.HLV5r3.Analytics.Miscellaneous.Zero2DF(_xll.HLV5r3.Analytics.Miscellaneous.LinearInterp(Peturbed_QZ,$K483,1,U$1),ZeroCompFreq,'PDH Calc'!$K483/365)</f>
        <v>1</v>
      </c>
      <c r="V483" s="8">
        <f ca="1">_xll.HLV5r3.Analytics.Miscellaneous.Zero2DF(_xll.HLV5r3.Analytics.Miscellaneous.LinearInterp(Peturbed_QZ,$K483,1,V$1),ZeroCompFreq,'PDH Calc'!$K483/365)</f>
        <v>1</v>
      </c>
      <c r="W483" s="8">
        <f ca="1">_xll.HLV5r3.Analytics.Miscellaneous.Zero2DF(_xll.HLV5r3.Analytics.Miscellaneous.LinearInterp(Peturbed_QZ,$K483,1,W$1),ZeroCompFreq,'PDH Calc'!$K483/365)</f>
        <v>1</v>
      </c>
      <c r="X483" s="8">
        <f ca="1">_xll.HLV5r3.Analytics.Miscellaneous.Zero2DF(_xll.HLV5r3.Analytics.Miscellaneous.LinearInterp(Peturbed_QZ,$K483,1,X$1),ZeroCompFreq,'PDH Calc'!$K483/365)</f>
        <v>1</v>
      </c>
      <c r="Y483" s="8">
        <f ca="1">_xll.HLV5r3.Analytics.Miscellaneous.Zero2DF(_xll.HLV5r3.Analytics.Miscellaneous.LinearInterp(Peturbed_QZ,$K483,1,Y$1),ZeroCompFreq,'PDH Calc'!$K483/365)</f>
        <v>1</v>
      </c>
      <c r="Z483" s="8">
        <f ca="1">_xll.HLV5r3.Analytics.Miscellaneous.Zero2DF(_xll.HLV5r3.Analytics.Miscellaneous.LinearInterp(Peturbed_QZ,$K483,1,Z$1),ZeroCompFreq,'PDH Calc'!$K483/365)</f>
        <v>1</v>
      </c>
      <c r="AA483" s="8">
        <f ca="1">_xll.HLV5r3.Analytics.Miscellaneous.Zero2DF(_xll.HLV5r3.Analytics.Miscellaneous.LinearInterp(Peturbed_QZ,$K483,1,AA$1),ZeroCompFreq,'PDH Calc'!$K483/365)</f>
        <v>1</v>
      </c>
      <c r="AB483" s="8">
        <f ca="1">_xll.HLV5r3.Analytics.Miscellaneous.Zero2DF(_xll.HLV5r3.Analytics.Miscellaneous.LinearInterp(Peturbed_QZ,$K483,1,AB$1),ZeroCompFreq,'PDH Calc'!$K483/365)</f>
        <v>1</v>
      </c>
      <c r="AC483" s="8">
        <f ca="1">_xll.HLV5r3.Analytics.Miscellaneous.Zero2DF(_xll.HLV5r3.Analytics.Miscellaneous.LinearInterp(Peturbed_QZ,$K483,1,AC$1),ZeroCompFreq,'PDH Calc'!$K483/365)</f>
        <v>1</v>
      </c>
      <c r="AD483" s="8">
        <f ca="1">_xll.HLV5r3.Analytics.Miscellaneous.Zero2DF(_xll.HLV5r3.Analytics.Miscellaneous.LinearInterp(Peturbed_QZ,$K483,1,AD$1),ZeroCompFreq,'PDH Calc'!$K483/365)</f>
        <v>1</v>
      </c>
      <c r="AE483" s="8">
        <f ca="1">_xll.HLV5r3.Analytics.Miscellaneous.Zero2DF(_xll.HLV5r3.Analytics.Miscellaneous.LinearInterp(Peturbed_QZ,$K483,1,AE$1),ZeroCompFreq,'PDH Calc'!$K483/365)</f>
        <v>1</v>
      </c>
      <c r="AF483" s="8">
        <f ca="1">_xll.HLV5r3.Analytics.Miscellaneous.Zero2DF(_xll.HLV5r3.Analytics.Miscellaneous.LinearInterp(Peturbed_QZ,$K483,1,AF$1),ZeroCompFreq,'PDH Calc'!$K483/365)</f>
        <v>1</v>
      </c>
      <c r="AG483" s="8">
        <f ca="1">_xll.HLV5r3.Analytics.Miscellaneous.Zero2DF(_xll.HLV5r3.Analytics.Miscellaneous.LinearInterp(Peturbed_QZ,$K483,1,AG$1),ZeroCompFreq,'PDH Calc'!$K483/365)</f>
        <v>1</v>
      </c>
      <c r="AH483" s="8">
        <f ca="1">_xll.HLV5r3.Analytics.Miscellaneous.Zero2DF(_xll.HLV5r3.Analytics.Miscellaneous.LinearInterp(Peturbed_QZ,$K483,1,AH$1),ZeroCompFreq,'PDH Calc'!$K483/365)</f>
        <v>1</v>
      </c>
      <c r="AI483" s="8">
        <f ca="1">_xll.HLV5r3.Analytics.Miscellaneous.Zero2DF(_xll.HLV5r3.Analytics.Miscellaneous.LinearInterp(Peturbed_QZ,$K483,1,AI$1),ZeroCompFreq,'PDH Calc'!$K483/365)</f>
        <v>1</v>
      </c>
      <c r="AJ483" s="8">
        <f ca="1">_xll.HLV5r3.Analytics.Miscellaneous.Zero2DF(_xll.HLV5r3.Analytics.Miscellaneous.LinearInterp(Peturbed_QZ,$K483,1,AJ$1),ZeroCompFreq,'PDH Calc'!$K483/365)</f>
        <v>1</v>
      </c>
      <c r="AK483" s="8">
        <f ca="1">_xll.HLV5r3.Analytics.Miscellaneous.Zero2DF(_xll.HLV5r3.Analytics.Miscellaneous.LinearInterp(Peturbed_QZ,$K483,1,AK$1),ZeroCompFreq,'PDH Calc'!$K483/365)</f>
        <v>1</v>
      </c>
    </row>
    <row r="484" spans="1:37">
      <c r="A484" s="4"/>
      <c r="B484" s="6"/>
      <c r="F484" s="11"/>
      <c r="G484" s="6"/>
      <c r="H484" s="20"/>
      <c r="I484" s="21"/>
      <c r="J484" s="26"/>
      <c r="K484" s="6">
        <f t="shared" ca="1" si="14"/>
        <v>0</v>
      </c>
      <c r="L484" s="8">
        <f ca="1">_xll.HLV5r3.Analytics.Miscellaneous.Zero2DF(_xll.HLV5r3.Analytics.Miscellaneous.LinearInterp(Peturbed_QZ,$K484,1,L$1),ZeroCompFreq,'PDH Calc'!$K484/365)</f>
        <v>1</v>
      </c>
      <c r="M484" s="8">
        <f ca="1">_xll.HLV5r3.Analytics.Miscellaneous.Zero2DF(_xll.HLV5r3.Analytics.Miscellaneous.LinearInterp(Peturbed_QZ,$K484,1,M$1),ZeroCompFreq,'PDH Calc'!$K484/365)</f>
        <v>1</v>
      </c>
      <c r="N484" s="8">
        <f ca="1">_xll.HLV5r3.Analytics.Miscellaneous.Zero2DF(_xll.HLV5r3.Analytics.Miscellaneous.LinearInterp(Peturbed_QZ,$K484,1,N$1),ZeroCompFreq,'PDH Calc'!$K484/365)</f>
        <v>1</v>
      </c>
      <c r="O484" s="8">
        <f ca="1">_xll.HLV5r3.Analytics.Miscellaneous.Zero2DF(_xll.HLV5r3.Analytics.Miscellaneous.LinearInterp(Peturbed_QZ,$K484,1,O$1),ZeroCompFreq,'PDH Calc'!$K484/365)</f>
        <v>1</v>
      </c>
      <c r="P484" s="8">
        <f ca="1">_xll.HLV5r3.Analytics.Miscellaneous.Zero2DF(_xll.HLV5r3.Analytics.Miscellaneous.LinearInterp(Peturbed_QZ,$K484,1,P$1),ZeroCompFreq,'PDH Calc'!$K484/365)</f>
        <v>1</v>
      </c>
      <c r="Q484" s="8">
        <f ca="1">_xll.HLV5r3.Analytics.Miscellaneous.Zero2DF(_xll.HLV5r3.Analytics.Miscellaneous.LinearInterp(Peturbed_QZ,$K484,1,Q$1),ZeroCompFreq,'PDH Calc'!$K484/365)</f>
        <v>1</v>
      </c>
      <c r="R484" s="8">
        <f ca="1">_xll.HLV5r3.Analytics.Miscellaneous.Zero2DF(_xll.HLV5r3.Analytics.Miscellaneous.LinearInterp(Peturbed_QZ,$K484,1,R$1),ZeroCompFreq,'PDH Calc'!$K484/365)</f>
        <v>1</v>
      </c>
      <c r="S484" s="8">
        <f ca="1">_xll.HLV5r3.Analytics.Miscellaneous.Zero2DF(_xll.HLV5r3.Analytics.Miscellaneous.LinearInterp(Peturbed_QZ,$K484,1,S$1),ZeroCompFreq,'PDH Calc'!$K484/365)</f>
        <v>1</v>
      </c>
      <c r="T484" s="8">
        <f ca="1">_xll.HLV5r3.Analytics.Miscellaneous.Zero2DF(_xll.HLV5r3.Analytics.Miscellaneous.LinearInterp(Peturbed_QZ,$K484,1,T$1),ZeroCompFreq,'PDH Calc'!$K484/365)</f>
        <v>1</v>
      </c>
      <c r="U484" s="8">
        <f ca="1">_xll.HLV5r3.Analytics.Miscellaneous.Zero2DF(_xll.HLV5r3.Analytics.Miscellaneous.LinearInterp(Peturbed_QZ,$K484,1,U$1),ZeroCompFreq,'PDH Calc'!$K484/365)</f>
        <v>1</v>
      </c>
      <c r="V484" s="8">
        <f ca="1">_xll.HLV5r3.Analytics.Miscellaneous.Zero2DF(_xll.HLV5r3.Analytics.Miscellaneous.LinearInterp(Peturbed_QZ,$K484,1,V$1),ZeroCompFreq,'PDH Calc'!$K484/365)</f>
        <v>1</v>
      </c>
      <c r="W484" s="8">
        <f ca="1">_xll.HLV5r3.Analytics.Miscellaneous.Zero2DF(_xll.HLV5r3.Analytics.Miscellaneous.LinearInterp(Peturbed_QZ,$K484,1,W$1),ZeroCompFreq,'PDH Calc'!$K484/365)</f>
        <v>1</v>
      </c>
      <c r="X484" s="8">
        <f ca="1">_xll.HLV5r3.Analytics.Miscellaneous.Zero2DF(_xll.HLV5r3.Analytics.Miscellaneous.LinearInterp(Peturbed_QZ,$K484,1,X$1),ZeroCompFreq,'PDH Calc'!$K484/365)</f>
        <v>1</v>
      </c>
      <c r="Y484" s="8">
        <f ca="1">_xll.HLV5r3.Analytics.Miscellaneous.Zero2DF(_xll.HLV5r3.Analytics.Miscellaneous.LinearInterp(Peturbed_QZ,$K484,1,Y$1),ZeroCompFreq,'PDH Calc'!$K484/365)</f>
        <v>1</v>
      </c>
      <c r="Z484" s="8">
        <f ca="1">_xll.HLV5r3.Analytics.Miscellaneous.Zero2DF(_xll.HLV5r3.Analytics.Miscellaneous.LinearInterp(Peturbed_QZ,$K484,1,Z$1),ZeroCompFreq,'PDH Calc'!$K484/365)</f>
        <v>1</v>
      </c>
      <c r="AA484" s="8">
        <f ca="1">_xll.HLV5r3.Analytics.Miscellaneous.Zero2DF(_xll.HLV5r3.Analytics.Miscellaneous.LinearInterp(Peturbed_QZ,$K484,1,AA$1),ZeroCompFreq,'PDH Calc'!$K484/365)</f>
        <v>1</v>
      </c>
      <c r="AB484" s="8">
        <f ca="1">_xll.HLV5r3.Analytics.Miscellaneous.Zero2DF(_xll.HLV5r3.Analytics.Miscellaneous.LinearInterp(Peturbed_QZ,$K484,1,AB$1),ZeroCompFreq,'PDH Calc'!$K484/365)</f>
        <v>1</v>
      </c>
      <c r="AC484" s="8">
        <f ca="1">_xll.HLV5r3.Analytics.Miscellaneous.Zero2DF(_xll.HLV5r3.Analytics.Miscellaneous.LinearInterp(Peturbed_QZ,$K484,1,AC$1),ZeroCompFreq,'PDH Calc'!$K484/365)</f>
        <v>1</v>
      </c>
      <c r="AD484" s="8">
        <f ca="1">_xll.HLV5r3.Analytics.Miscellaneous.Zero2DF(_xll.HLV5r3.Analytics.Miscellaneous.LinearInterp(Peturbed_QZ,$K484,1,AD$1),ZeroCompFreq,'PDH Calc'!$K484/365)</f>
        <v>1</v>
      </c>
      <c r="AE484" s="8">
        <f ca="1">_xll.HLV5r3.Analytics.Miscellaneous.Zero2DF(_xll.HLV5r3.Analytics.Miscellaneous.LinearInterp(Peturbed_QZ,$K484,1,AE$1),ZeroCompFreq,'PDH Calc'!$K484/365)</f>
        <v>1</v>
      </c>
      <c r="AF484" s="8">
        <f ca="1">_xll.HLV5r3.Analytics.Miscellaneous.Zero2DF(_xll.HLV5r3.Analytics.Miscellaneous.LinearInterp(Peturbed_QZ,$K484,1,AF$1),ZeroCompFreq,'PDH Calc'!$K484/365)</f>
        <v>1</v>
      </c>
      <c r="AG484" s="8">
        <f ca="1">_xll.HLV5r3.Analytics.Miscellaneous.Zero2DF(_xll.HLV5r3.Analytics.Miscellaneous.LinearInterp(Peturbed_QZ,$K484,1,AG$1),ZeroCompFreq,'PDH Calc'!$K484/365)</f>
        <v>1</v>
      </c>
      <c r="AH484" s="8">
        <f ca="1">_xll.HLV5r3.Analytics.Miscellaneous.Zero2DF(_xll.HLV5r3.Analytics.Miscellaneous.LinearInterp(Peturbed_QZ,$K484,1,AH$1),ZeroCompFreq,'PDH Calc'!$K484/365)</f>
        <v>1</v>
      </c>
      <c r="AI484" s="8">
        <f ca="1">_xll.HLV5r3.Analytics.Miscellaneous.Zero2DF(_xll.HLV5r3.Analytics.Miscellaneous.LinearInterp(Peturbed_QZ,$K484,1,AI$1),ZeroCompFreq,'PDH Calc'!$K484/365)</f>
        <v>1</v>
      </c>
      <c r="AJ484" s="8">
        <f ca="1">_xll.HLV5r3.Analytics.Miscellaneous.Zero2DF(_xll.HLV5r3.Analytics.Miscellaneous.LinearInterp(Peturbed_QZ,$K484,1,AJ$1),ZeroCompFreq,'PDH Calc'!$K484/365)</f>
        <v>1</v>
      </c>
      <c r="AK484" s="8">
        <f ca="1">_xll.HLV5r3.Analytics.Miscellaneous.Zero2DF(_xll.HLV5r3.Analytics.Miscellaneous.LinearInterp(Peturbed_QZ,$K484,1,AK$1),ZeroCompFreq,'PDH Calc'!$K484/365)</f>
        <v>1</v>
      </c>
    </row>
    <row r="485" spans="1:37">
      <c r="A485" s="4"/>
      <c r="B485" s="6"/>
      <c r="F485" s="11"/>
      <c r="G485" s="6"/>
      <c r="H485" s="20"/>
      <c r="I485" s="21"/>
      <c r="J485" s="26"/>
      <c r="K485" s="6">
        <f t="shared" ca="1" si="14"/>
        <v>0</v>
      </c>
      <c r="L485" s="8">
        <f ca="1">_xll.HLV5r3.Analytics.Miscellaneous.Zero2DF(_xll.HLV5r3.Analytics.Miscellaneous.LinearInterp(Peturbed_QZ,$K485,1,L$1),ZeroCompFreq,'PDH Calc'!$K485/365)</f>
        <v>1</v>
      </c>
      <c r="M485" s="8">
        <f ca="1">_xll.HLV5r3.Analytics.Miscellaneous.Zero2DF(_xll.HLV5r3.Analytics.Miscellaneous.LinearInterp(Peturbed_QZ,$K485,1,M$1),ZeroCompFreq,'PDH Calc'!$K485/365)</f>
        <v>1</v>
      </c>
      <c r="N485" s="8">
        <f ca="1">_xll.HLV5r3.Analytics.Miscellaneous.Zero2DF(_xll.HLV5r3.Analytics.Miscellaneous.LinearInterp(Peturbed_QZ,$K485,1,N$1),ZeroCompFreq,'PDH Calc'!$K485/365)</f>
        <v>1</v>
      </c>
      <c r="O485" s="8">
        <f ca="1">_xll.HLV5r3.Analytics.Miscellaneous.Zero2DF(_xll.HLV5r3.Analytics.Miscellaneous.LinearInterp(Peturbed_QZ,$K485,1,O$1),ZeroCompFreq,'PDH Calc'!$K485/365)</f>
        <v>1</v>
      </c>
      <c r="P485" s="8">
        <f ca="1">_xll.HLV5r3.Analytics.Miscellaneous.Zero2DF(_xll.HLV5r3.Analytics.Miscellaneous.LinearInterp(Peturbed_QZ,$K485,1,P$1),ZeroCompFreq,'PDH Calc'!$K485/365)</f>
        <v>1</v>
      </c>
      <c r="Q485" s="8">
        <f ca="1">_xll.HLV5r3.Analytics.Miscellaneous.Zero2DF(_xll.HLV5r3.Analytics.Miscellaneous.LinearInterp(Peturbed_QZ,$K485,1,Q$1),ZeroCompFreq,'PDH Calc'!$K485/365)</f>
        <v>1</v>
      </c>
      <c r="R485" s="8">
        <f ca="1">_xll.HLV5r3.Analytics.Miscellaneous.Zero2DF(_xll.HLV5r3.Analytics.Miscellaneous.LinearInterp(Peturbed_QZ,$K485,1,R$1),ZeroCompFreq,'PDH Calc'!$K485/365)</f>
        <v>1</v>
      </c>
      <c r="S485" s="8">
        <f ca="1">_xll.HLV5r3.Analytics.Miscellaneous.Zero2DF(_xll.HLV5r3.Analytics.Miscellaneous.LinearInterp(Peturbed_QZ,$K485,1,S$1),ZeroCompFreq,'PDH Calc'!$K485/365)</f>
        <v>1</v>
      </c>
      <c r="T485" s="8">
        <f ca="1">_xll.HLV5r3.Analytics.Miscellaneous.Zero2DF(_xll.HLV5r3.Analytics.Miscellaneous.LinearInterp(Peturbed_QZ,$K485,1,T$1),ZeroCompFreq,'PDH Calc'!$K485/365)</f>
        <v>1</v>
      </c>
      <c r="U485" s="8">
        <f ca="1">_xll.HLV5r3.Analytics.Miscellaneous.Zero2DF(_xll.HLV5r3.Analytics.Miscellaneous.LinearInterp(Peturbed_QZ,$K485,1,U$1),ZeroCompFreq,'PDH Calc'!$K485/365)</f>
        <v>1</v>
      </c>
      <c r="V485" s="8">
        <f ca="1">_xll.HLV5r3.Analytics.Miscellaneous.Zero2DF(_xll.HLV5r3.Analytics.Miscellaneous.LinearInterp(Peturbed_QZ,$K485,1,V$1),ZeroCompFreq,'PDH Calc'!$K485/365)</f>
        <v>1</v>
      </c>
      <c r="W485" s="8">
        <f ca="1">_xll.HLV5r3.Analytics.Miscellaneous.Zero2DF(_xll.HLV5r3.Analytics.Miscellaneous.LinearInterp(Peturbed_QZ,$K485,1,W$1),ZeroCompFreq,'PDH Calc'!$K485/365)</f>
        <v>1</v>
      </c>
      <c r="X485" s="8">
        <f ca="1">_xll.HLV5r3.Analytics.Miscellaneous.Zero2DF(_xll.HLV5r3.Analytics.Miscellaneous.LinearInterp(Peturbed_QZ,$K485,1,X$1),ZeroCompFreq,'PDH Calc'!$K485/365)</f>
        <v>1</v>
      </c>
      <c r="Y485" s="8">
        <f ca="1">_xll.HLV5r3.Analytics.Miscellaneous.Zero2DF(_xll.HLV5r3.Analytics.Miscellaneous.LinearInterp(Peturbed_QZ,$K485,1,Y$1),ZeroCompFreq,'PDH Calc'!$K485/365)</f>
        <v>1</v>
      </c>
      <c r="Z485" s="8">
        <f ca="1">_xll.HLV5r3.Analytics.Miscellaneous.Zero2DF(_xll.HLV5r3.Analytics.Miscellaneous.LinearInterp(Peturbed_QZ,$K485,1,Z$1),ZeroCompFreq,'PDH Calc'!$K485/365)</f>
        <v>1</v>
      </c>
      <c r="AA485" s="8">
        <f ca="1">_xll.HLV5r3.Analytics.Miscellaneous.Zero2DF(_xll.HLV5r3.Analytics.Miscellaneous.LinearInterp(Peturbed_QZ,$K485,1,AA$1),ZeroCompFreq,'PDH Calc'!$K485/365)</f>
        <v>1</v>
      </c>
      <c r="AB485" s="8">
        <f ca="1">_xll.HLV5r3.Analytics.Miscellaneous.Zero2DF(_xll.HLV5r3.Analytics.Miscellaneous.LinearInterp(Peturbed_QZ,$K485,1,AB$1),ZeroCompFreq,'PDH Calc'!$K485/365)</f>
        <v>1</v>
      </c>
      <c r="AC485" s="8">
        <f ca="1">_xll.HLV5r3.Analytics.Miscellaneous.Zero2DF(_xll.HLV5r3.Analytics.Miscellaneous.LinearInterp(Peturbed_QZ,$K485,1,AC$1),ZeroCompFreq,'PDH Calc'!$K485/365)</f>
        <v>1</v>
      </c>
      <c r="AD485" s="8">
        <f ca="1">_xll.HLV5r3.Analytics.Miscellaneous.Zero2DF(_xll.HLV5r3.Analytics.Miscellaneous.LinearInterp(Peturbed_QZ,$K485,1,AD$1),ZeroCompFreq,'PDH Calc'!$K485/365)</f>
        <v>1</v>
      </c>
      <c r="AE485" s="8">
        <f ca="1">_xll.HLV5r3.Analytics.Miscellaneous.Zero2DF(_xll.HLV5r3.Analytics.Miscellaneous.LinearInterp(Peturbed_QZ,$K485,1,AE$1),ZeroCompFreq,'PDH Calc'!$K485/365)</f>
        <v>1</v>
      </c>
      <c r="AF485" s="8">
        <f ca="1">_xll.HLV5r3.Analytics.Miscellaneous.Zero2DF(_xll.HLV5r3.Analytics.Miscellaneous.LinearInterp(Peturbed_QZ,$K485,1,AF$1),ZeroCompFreq,'PDH Calc'!$K485/365)</f>
        <v>1</v>
      </c>
      <c r="AG485" s="8">
        <f ca="1">_xll.HLV5r3.Analytics.Miscellaneous.Zero2DF(_xll.HLV5r3.Analytics.Miscellaneous.LinearInterp(Peturbed_QZ,$K485,1,AG$1),ZeroCompFreq,'PDH Calc'!$K485/365)</f>
        <v>1</v>
      </c>
      <c r="AH485" s="8">
        <f ca="1">_xll.HLV5r3.Analytics.Miscellaneous.Zero2DF(_xll.HLV5r3.Analytics.Miscellaneous.LinearInterp(Peturbed_QZ,$K485,1,AH$1),ZeroCompFreq,'PDH Calc'!$K485/365)</f>
        <v>1</v>
      </c>
      <c r="AI485" s="8">
        <f ca="1">_xll.HLV5r3.Analytics.Miscellaneous.Zero2DF(_xll.HLV5r3.Analytics.Miscellaneous.LinearInterp(Peturbed_QZ,$K485,1,AI$1),ZeroCompFreq,'PDH Calc'!$K485/365)</f>
        <v>1</v>
      </c>
      <c r="AJ485" s="8">
        <f ca="1">_xll.HLV5r3.Analytics.Miscellaneous.Zero2DF(_xll.HLV5r3.Analytics.Miscellaneous.LinearInterp(Peturbed_QZ,$K485,1,AJ$1),ZeroCompFreq,'PDH Calc'!$K485/365)</f>
        <v>1</v>
      </c>
      <c r="AK485" s="8">
        <f ca="1">_xll.HLV5r3.Analytics.Miscellaneous.Zero2DF(_xll.HLV5r3.Analytics.Miscellaneous.LinearInterp(Peturbed_QZ,$K485,1,AK$1),ZeroCompFreq,'PDH Calc'!$K485/365)</f>
        <v>1</v>
      </c>
    </row>
    <row r="486" spans="1:37">
      <c r="A486" s="4"/>
      <c r="B486" s="6"/>
      <c r="F486" s="11"/>
      <c r="G486" s="6"/>
      <c r="H486" s="20"/>
      <c r="I486" s="21"/>
      <c r="J486" s="26"/>
      <c r="K486" s="6">
        <f t="shared" ca="1" si="14"/>
        <v>0</v>
      </c>
      <c r="L486" s="8">
        <f ca="1">_xll.HLV5r3.Analytics.Miscellaneous.Zero2DF(_xll.HLV5r3.Analytics.Miscellaneous.LinearInterp(Peturbed_QZ,$K486,1,L$1),ZeroCompFreq,'PDH Calc'!$K486/365)</f>
        <v>1</v>
      </c>
      <c r="M486" s="8">
        <f ca="1">_xll.HLV5r3.Analytics.Miscellaneous.Zero2DF(_xll.HLV5r3.Analytics.Miscellaneous.LinearInterp(Peturbed_QZ,$K486,1,M$1),ZeroCompFreq,'PDH Calc'!$K486/365)</f>
        <v>1</v>
      </c>
      <c r="N486" s="8">
        <f ca="1">_xll.HLV5r3.Analytics.Miscellaneous.Zero2DF(_xll.HLV5r3.Analytics.Miscellaneous.LinearInterp(Peturbed_QZ,$K486,1,N$1),ZeroCompFreq,'PDH Calc'!$K486/365)</f>
        <v>1</v>
      </c>
      <c r="O486" s="8">
        <f ca="1">_xll.HLV5r3.Analytics.Miscellaneous.Zero2DF(_xll.HLV5r3.Analytics.Miscellaneous.LinearInterp(Peturbed_QZ,$K486,1,O$1),ZeroCompFreq,'PDH Calc'!$K486/365)</f>
        <v>1</v>
      </c>
      <c r="P486" s="8">
        <f ca="1">_xll.HLV5r3.Analytics.Miscellaneous.Zero2DF(_xll.HLV5r3.Analytics.Miscellaneous.LinearInterp(Peturbed_QZ,$K486,1,P$1),ZeroCompFreq,'PDH Calc'!$K486/365)</f>
        <v>1</v>
      </c>
      <c r="Q486" s="8">
        <f ca="1">_xll.HLV5r3.Analytics.Miscellaneous.Zero2DF(_xll.HLV5r3.Analytics.Miscellaneous.LinearInterp(Peturbed_QZ,$K486,1,Q$1),ZeroCompFreq,'PDH Calc'!$K486/365)</f>
        <v>1</v>
      </c>
      <c r="R486" s="8">
        <f ca="1">_xll.HLV5r3.Analytics.Miscellaneous.Zero2DF(_xll.HLV5r3.Analytics.Miscellaneous.LinearInterp(Peturbed_QZ,$K486,1,R$1),ZeroCompFreq,'PDH Calc'!$K486/365)</f>
        <v>1</v>
      </c>
      <c r="S486" s="8">
        <f ca="1">_xll.HLV5r3.Analytics.Miscellaneous.Zero2DF(_xll.HLV5r3.Analytics.Miscellaneous.LinearInterp(Peturbed_QZ,$K486,1,S$1),ZeroCompFreq,'PDH Calc'!$K486/365)</f>
        <v>1</v>
      </c>
      <c r="T486" s="8">
        <f ca="1">_xll.HLV5r3.Analytics.Miscellaneous.Zero2DF(_xll.HLV5r3.Analytics.Miscellaneous.LinearInterp(Peturbed_QZ,$K486,1,T$1),ZeroCompFreq,'PDH Calc'!$K486/365)</f>
        <v>1</v>
      </c>
      <c r="U486" s="8">
        <f ca="1">_xll.HLV5r3.Analytics.Miscellaneous.Zero2DF(_xll.HLV5r3.Analytics.Miscellaneous.LinearInterp(Peturbed_QZ,$K486,1,U$1),ZeroCompFreq,'PDH Calc'!$K486/365)</f>
        <v>1</v>
      </c>
      <c r="V486" s="8">
        <f ca="1">_xll.HLV5r3.Analytics.Miscellaneous.Zero2DF(_xll.HLV5r3.Analytics.Miscellaneous.LinearInterp(Peturbed_QZ,$K486,1,V$1),ZeroCompFreq,'PDH Calc'!$K486/365)</f>
        <v>1</v>
      </c>
      <c r="W486" s="8">
        <f ca="1">_xll.HLV5r3.Analytics.Miscellaneous.Zero2DF(_xll.HLV5r3.Analytics.Miscellaneous.LinearInterp(Peturbed_QZ,$K486,1,W$1),ZeroCompFreq,'PDH Calc'!$K486/365)</f>
        <v>1</v>
      </c>
      <c r="X486" s="8">
        <f ca="1">_xll.HLV5r3.Analytics.Miscellaneous.Zero2DF(_xll.HLV5r3.Analytics.Miscellaneous.LinearInterp(Peturbed_QZ,$K486,1,X$1),ZeroCompFreq,'PDH Calc'!$K486/365)</f>
        <v>1</v>
      </c>
      <c r="Y486" s="8">
        <f ca="1">_xll.HLV5r3.Analytics.Miscellaneous.Zero2DF(_xll.HLV5r3.Analytics.Miscellaneous.LinearInterp(Peturbed_QZ,$K486,1,Y$1),ZeroCompFreq,'PDH Calc'!$K486/365)</f>
        <v>1</v>
      </c>
      <c r="Z486" s="8">
        <f ca="1">_xll.HLV5r3.Analytics.Miscellaneous.Zero2DF(_xll.HLV5r3.Analytics.Miscellaneous.LinearInterp(Peturbed_QZ,$K486,1,Z$1),ZeroCompFreq,'PDH Calc'!$K486/365)</f>
        <v>1</v>
      </c>
      <c r="AA486" s="8">
        <f ca="1">_xll.HLV5r3.Analytics.Miscellaneous.Zero2DF(_xll.HLV5r3.Analytics.Miscellaneous.LinearInterp(Peturbed_QZ,$K486,1,AA$1),ZeroCompFreq,'PDH Calc'!$K486/365)</f>
        <v>1</v>
      </c>
      <c r="AB486" s="8">
        <f ca="1">_xll.HLV5r3.Analytics.Miscellaneous.Zero2DF(_xll.HLV5r3.Analytics.Miscellaneous.LinearInterp(Peturbed_QZ,$K486,1,AB$1),ZeroCompFreq,'PDH Calc'!$K486/365)</f>
        <v>1</v>
      </c>
      <c r="AC486" s="8">
        <f ca="1">_xll.HLV5r3.Analytics.Miscellaneous.Zero2DF(_xll.HLV5r3.Analytics.Miscellaneous.LinearInterp(Peturbed_QZ,$K486,1,AC$1),ZeroCompFreq,'PDH Calc'!$K486/365)</f>
        <v>1</v>
      </c>
      <c r="AD486" s="8">
        <f ca="1">_xll.HLV5r3.Analytics.Miscellaneous.Zero2DF(_xll.HLV5r3.Analytics.Miscellaneous.LinearInterp(Peturbed_QZ,$K486,1,AD$1),ZeroCompFreq,'PDH Calc'!$K486/365)</f>
        <v>1</v>
      </c>
      <c r="AE486" s="8">
        <f ca="1">_xll.HLV5r3.Analytics.Miscellaneous.Zero2DF(_xll.HLV5r3.Analytics.Miscellaneous.LinearInterp(Peturbed_QZ,$K486,1,AE$1),ZeroCompFreq,'PDH Calc'!$K486/365)</f>
        <v>1</v>
      </c>
      <c r="AF486" s="8">
        <f ca="1">_xll.HLV5r3.Analytics.Miscellaneous.Zero2DF(_xll.HLV5r3.Analytics.Miscellaneous.LinearInterp(Peturbed_QZ,$K486,1,AF$1),ZeroCompFreq,'PDH Calc'!$K486/365)</f>
        <v>1</v>
      </c>
      <c r="AG486" s="8">
        <f ca="1">_xll.HLV5r3.Analytics.Miscellaneous.Zero2DF(_xll.HLV5r3.Analytics.Miscellaneous.LinearInterp(Peturbed_QZ,$K486,1,AG$1),ZeroCompFreq,'PDH Calc'!$K486/365)</f>
        <v>1</v>
      </c>
      <c r="AH486" s="8">
        <f ca="1">_xll.HLV5r3.Analytics.Miscellaneous.Zero2DF(_xll.HLV5r3.Analytics.Miscellaneous.LinearInterp(Peturbed_QZ,$K486,1,AH$1),ZeroCompFreq,'PDH Calc'!$K486/365)</f>
        <v>1</v>
      </c>
      <c r="AI486" s="8">
        <f ca="1">_xll.HLV5r3.Analytics.Miscellaneous.Zero2DF(_xll.HLV5r3.Analytics.Miscellaneous.LinearInterp(Peturbed_QZ,$K486,1,AI$1),ZeroCompFreq,'PDH Calc'!$K486/365)</f>
        <v>1</v>
      </c>
      <c r="AJ486" s="8">
        <f ca="1">_xll.HLV5r3.Analytics.Miscellaneous.Zero2DF(_xll.HLV5r3.Analytics.Miscellaneous.LinearInterp(Peturbed_QZ,$K486,1,AJ$1),ZeroCompFreq,'PDH Calc'!$K486/365)</f>
        <v>1</v>
      </c>
      <c r="AK486" s="8">
        <f ca="1">_xll.HLV5r3.Analytics.Miscellaneous.Zero2DF(_xll.HLV5r3.Analytics.Miscellaneous.LinearInterp(Peturbed_QZ,$K486,1,AK$1),ZeroCompFreq,'PDH Calc'!$K486/365)</f>
        <v>1</v>
      </c>
    </row>
    <row r="487" spans="1:37">
      <c r="A487" s="4"/>
      <c r="B487" s="6"/>
      <c r="F487" s="11"/>
      <c r="G487" s="6"/>
      <c r="H487" s="20"/>
      <c r="I487" s="21"/>
      <c r="J487" s="26"/>
      <c r="K487" s="6">
        <f t="shared" ca="1" si="14"/>
        <v>0</v>
      </c>
      <c r="L487" s="8">
        <f ca="1">_xll.HLV5r3.Analytics.Miscellaneous.Zero2DF(_xll.HLV5r3.Analytics.Miscellaneous.LinearInterp(Peturbed_QZ,$K487,1,L$1),ZeroCompFreq,'PDH Calc'!$K487/365)</f>
        <v>1</v>
      </c>
      <c r="M487" s="8">
        <f ca="1">_xll.HLV5r3.Analytics.Miscellaneous.Zero2DF(_xll.HLV5r3.Analytics.Miscellaneous.LinearInterp(Peturbed_QZ,$K487,1,M$1),ZeroCompFreq,'PDH Calc'!$K487/365)</f>
        <v>1</v>
      </c>
      <c r="N487" s="8">
        <f ca="1">_xll.HLV5r3.Analytics.Miscellaneous.Zero2DF(_xll.HLV5r3.Analytics.Miscellaneous.LinearInterp(Peturbed_QZ,$K487,1,N$1),ZeroCompFreq,'PDH Calc'!$K487/365)</f>
        <v>1</v>
      </c>
      <c r="O487" s="8">
        <f ca="1">_xll.HLV5r3.Analytics.Miscellaneous.Zero2DF(_xll.HLV5r3.Analytics.Miscellaneous.LinearInterp(Peturbed_QZ,$K487,1,O$1),ZeroCompFreq,'PDH Calc'!$K487/365)</f>
        <v>1</v>
      </c>
      <c r="P487" s="8">
        <f ca="1">_xll.HLV5r3.Analytics.Miscellaneous.Zero2DF(_xll.HLV5r3.Analytics.Miscellaneous.LinearInterp(Peturbed_QZ,$K487,1,P$1),ZeroCompFreq,'PDH Calc'!$K487/365)</f>
        <v>1</v>
      </c>
      <c r="Q487" s="8">
        <f ca="1">_xll.HLV5r3.Analytics.Miscellaneous.Zero2DF(_xll.HLV5r3.Analytics.Miscellaneous.LinearInterp(Peturbed_QZ,$K487,1,Q$1),ZeroCompFreq,'PDH Calc'!$K487/365)</f>
        <v>1</v>
      </c>
      <c r="R487" s="8">
        <f ca="1">_xll.HLV5r3.Analytics.Miscellaneous.Zero2DF(_xll.HLV5r3.Analytics.Miscellaneous.LinearInterp(Peturbed_QZ,$K487,1,R$1),ZeroCompFreq,'PDH Calc'!$K487/365)</f>
        <v>1</v>
      </c>
      <c r="S487" s="8">
        <f ca="1">_xll.HLV5r3.Analytics.Miscellaneous.Zero2DF(_xll.HLV5r3.Analytics.Miscellaneous.LinearInterp(Peturbed_QZ,$K487,1,S$1),ZeroCompFreq,'PDH Calc'!$K487/365)</f>
        <v>1</v>
      </c>
      <c r="T487" s="8">
        <f ca="1">_xll.HLV5r3.Analytics.Miscellaneous.Zero2DF(_xll.HLV5r3.Analytics.Miscellaneous.LinearInterp(Peturbed_QZ,$K487,1,T$1),ZeroCompFreq,'PDH Calc'!$K487/365)</f>
        <v>1</v>
      </c>
      <c r="U487" s="8">
        <f ca="1">_xll.HLV5r3.Analytics.Miscellaneous.Zero2DF(_xll.HLV5r3.Analytics.Miscellaneous.LinearInterp(Peturbed_QZ,$K487,1,U$1),ZeroCompFreq,'PDH Calc'!$K487/365)</f>
        <v>1</v>
      </c>
      <c r="V487" s="8">
        <f ca="1">_xll.HLV5r3.Analytics.Miscellaneous.Zero2DF(_xll.HLV5r3.Analytics.Miscellaneous.LinearInterp(Peturbed_QZ,$K487,1,V$1),ZeroCompFreq,'PDH Calc'!$K487/365)</f>
        <v>1</v>
      </c>
      <c r="W487" s="8">
        <f ca="1">_xll.HLV5r3.Analytics.Miscellaneous.Zero2DF(_xll.HLV5r3.Analytics.Miscellaneous.LinearInterp(Peturbed_QZ,$K487,1,W$1),ZeroCompFreq,'PDH Calc'!$K487/365)</f>
        <v>1</v>
      </c>
      <c r="X487" s="8">
        <f ca="1">_xll.HLV5r3.Analytics.Miscellaneous.Zero2DF(_xll.HLV5r3.Analytics.Miscellaneous.LinearInterp(Peturbed_QZ,$K487,1,X$1),ZeroCompFreq,'PDH Calc'!$K487/365)</f>
        <v>1</v>
      </c>
      <c r="Y487" s="8">
        <f ca="1">_xll.HLV5r3.Analytics.Miscellaneous.Zero2DF(_xll.HLV5r3.Analytics.Miscellaneous.LinearInterp(Peturbed_QZ,$K487,1,Y$1),ZeroCompFreq,'PDH Calc'!$K487/365)</f>
        <v>1</v>
      </c>
      <c r="Z487" s="8">
        <f ca="1">_xll.HLV5r3.Analytics.Miscellaneous.Zero2DF(_xll.HLV5r3.Analytics.Miscellaneous.LinearInterp(Peturbed_QZ,$K487,1,Z$1),ZeroCompFreq,'PDH Calc'!$K487/365)</f>
        <v>1</v>
      </c>
      <c r="AA487" s="8">
        <f ca="1">_xll.HLV5r3.Analytics.Miscellaneous.Zero2DF(_xll.HLV5r3.Analytics.Miscellaneous.LinearInterp(Peturbed_QZ,$K487,1,AA$1),ZeroCompFreq,'PDH Calc'!$K487/365)</f>
        <v>1</v>
      </c>
      <c r="AB487" s="8">
        <f ca="1">_xll.HLV5r3.Analytics.Miscellaneous.Zero2DF(_xll.HLV5r3.Analytics.Miscellaneous.LinearInterp(Peturbed_QZ,$K487,1,AB$1),ZeroCompFreq,'PDH Calc'!$K487/365)</f>
        <v>1</v>
      </c>
      <c r="AC487" s="8">
        <f ca="1">_xll.HLV5r3.Analytics.Miscellaneous.Zero2DF(_xll.HLV5r3.Analytics.Miscellaneous.LinearInterp(Peturbed_QZ,$K487,1,AC$1),ZeroCompFreq,'PDH Calc'!$K487/365)</f>
        <v>1</v>
      </c>
      <c r="AD487" s="8">
        <f ca="1">_xll.HLV5r3.Analytics.Miscellaneous.Zero2DF(_xll.HLV5r3.Analytics.Miscellaneous.LinearInterp(Peturbed_QZ,$K487,1,AD$1),ZeroCompFreq,'PDH Calc'!$K487/365)</f>
        <v>1</v>
      </c>
      <c r="AE487" s="8">
        <f ca="1">_xll.HLV5r3.Analytics.Miscellaneous.Zero2DF(_xll.HLV5r3.Analytics.Miscellaneous.LinearInterp(Peturbed_QZ,$K487,1,AE$1),ZeroCompFreq,'PDH Calc'!$K487/365)</f>
        <v>1</v>
      </c>
      <c r="AF487" s="8">
        <f ca="1">_xll.HLV5r3.Analytics.Miscellaneous.Zero2DF(_xll.HLV5r3.Analytics.Miscellaneous.LinearInterp(Peturbed_QZ,$K487,1,AF$1),ZeroCompFreq,'PDH Calc'!$K487/365)</f>
        <v>1</v>
      </c>
      <c r="AG487" s="8">
        <f ca="1">_xll.HLV5r3.Analytics.Miscellaneous.Zero2DF(_xll.HLV5r3.Analytics.Miscellaneous.LinearInterp(Peturbed_QZ,$K487,1,AG$1),ZeroCompFreq,'PDH Calc'!$K487/365)</f>
        <v>1</v>
      </c>
      <c r="AH487" s="8">
        <f ca="1">_xll.HLV5r3.Analytics.Miscellaneous.Zero2DF(_xll.HLV5r3.Analytics.Miscellaneous.LinearInterp(Peturbed_QZ,$K487,1,AH$1),ZeroCompFreq,'PDH Calc'!$K487/365)</f>
        <v>1</v>
      </c>
      <c r="AI487" s="8">
        <f ca="1">_xll.HLV5r3.Analytics.Miscellaneous.Zero2DF(_xll.HLV5r3.Analytics.Miscellaneous.LinearInterp(Peturbed_QZ,$K487,1,AI$1),ZeroCompFreq,'PDH Calc'!$K487/365)</f>
        <v>1</v>
      </c>
      <c r="AJ487" s="8">
        <f ca="1">_xll.HLV5r3.Analytics.Miscellaneous.Zero2DF(_xll.HLV5r3.Analytics.Miscellaneous.LinearInterp(Peturbed_QZ,$K487,1,AJ$1),ZeroCompFreq,'PDH Calc'!$K487/365)</f>
        <v>1</v>
      </c>
      <c r="AK487" s="8">
        <f ca="1">_xll.HLV5r3.Analytics.Miscellaneous.Zero2DF(_xll.HLV5r3.Analytics.Miscellaneous.LinearInterp(Peturbed_QZ,$K487,1,AK$1),ZeroCompFreq,'PDH Calc'!$K487/365)</f>
        <v>1</v>
      </c>
    </row>
    <row r="488" spans="1:37">
      <c r="A488" s="4"/>
      <c r="B488" s="6"/>
      <c r="F488" s="11"/>
      <c r="G488" s="6"/>
      <c r="H488" s="20"/>
      <c r="I488" s="21"/>
      <c r="J488" s="26"/>
      <c r="K488" s="6">
        <f t="shared" ca="1" si="14"/>
        <v>0</v>
      </c>
      <c r="L488" s="8">
        <f ca="1">_xll.HLV5r3.Analytics.Miscellaneous.Zero2DF(_xll.HLV5r3.Analytics.Miscellaneous.LinearInterp(Peturbed_QZ,$K488,1,L$1),ZeroCompFreq,'PDH Calc'!$K488/365)</f>
        <v>1</v>
      </c>
      <c r="M488" s="8">
        <f ca="1">_xll.HLV5r3.Analytics.Miscellaneous.Zero2DF(_xll.HLV5r3.Analytics.Miscellaneous.LinearInterp(Peturbed_QZ,$K488,1,M$1),ZeroCompFreq,'PDH Calc'!$K488/365)</f>
        <v>1</v>
      </c>
      <c r="N488" s="8">
        <f ca="1">_xll.HLV5r3.Analytics.Miscellaneous.Zero2DF(_xll.HLV5r3.Analytics.Miscellaneous.LinearInterp(Peturbed_QZ,$K488,1,N$1),ZeroCompFreq,'PDH Calc'!$K488/365)</f>
        <v>1</v>
      </c>
      <c r="O488" s="8">
        <f ca="1">_xll.HLV5r3.Analytics.Miscellaneous.Zero2DF(_xll.HLV5r3.Analytics.Miscellaneous.LinearInterp(Peturbed_QZ,$K488,1,O$1),ZeroCompFreq,'PDH Calc'!$K488/365)</f>
        <v>1</v>
      </c>
      <c r="P488" s="8">
        <f ca="1">_xll.HLV5r3.Analytics.Miscellaneous.Zero2DF(_xll.HLV5r3.Analytics.Miscellaneous.LinearInterp(Peturbed_QZ,$K488,1,P$1),ZeroCompFreq,'PDH Calc'!$K488/365)</f>
        <v>1</v>
      </c>
      <c r="Q488" s="8">
        <f ca="1">_xll.HLV5r3.Analytics.Miscellaneous.Zero2DF(_xll.HLV5r3.Analytics.Miscellaneous.LinearInterp(Peturbed_QZ,$K488,1,Q$1),ZeroCompFreq,'PDH Calc'!$K488/365)</f>
        <v>1</v>
      </c>
      <c r="R488" s="8">
        <f ca="1">_xll.HLV5r3.Analytics.Miscellaneous.Zero2DF(_xll.HLV5r3.Analytics.Miscellaneous.LinearInterp(Peturbed_QZ,$K488,1,R$1),ZeroCompFreq,'PDH Calc'!$K488/365)</f>
        <v>1</v>
      </c>
      <c r="S488" s="8">
        <f ca="1">_xll.HLV5r3.Analytics.Miscellaneous.Zero2DF(_xll.HLV5r3.Analytics.Miscellaneous.LinearInterp(Peturbed_QZ,$K488,1,S$1),ZeroCompFreq,'PDH Calc'!$K488/365)</f>
        <v>1</v>
      </c>
      <c r="T488" s="8">
        <f ca="1">_xll.HLV5r3.Analytics.Miscellaneous.Zero2DF(_xll.HLV5r3.Analytics.Miscellaneous.LinearInterp(Peturbed_QZ,$K488,1,T$1),ZeroCompFreq,'PDH Calc'!$K488/365)</f>
        <v>1</v>
      </c>
      <c r="U488" s="8">
        <f ca="1">_xll.HLV5r3.Analytics.Miscellaneous.Zero2DF(_xll.HLV5r3.Analytics.Miscellaneous.LinearInterp(Peturbed_QZ,$K488,1,U$1),ZeroCompFreq,'PDH Calc'!$K488/365)</f>
        <v>1</v>
      </c>
      <c r="V488" s="8">
        <f ca="1">_xll.HLV5r3.Analytics.Miscellaneous.Zero2DF(_xll.HLV5r3.Analytics.Miscellaneous.LinearInterp(Peturbed_QZ,$K488,1,V$1),ZeroCompFreq,'PDH Calc'!$K488/365)</f>
        <v>1</v>
      </c>
      <c r="W488" s="8">
        <f ca="1">_xll.HLV5r3.Analytics.Miscellaneous.Zero2DF(_xll.HLV5r3.Analytics.Miscellaneous.LinearInterp(Peturbed_QZ,$K488,1,W$1),ZeroCompFreq,'PDH Calc'!$K488/365)</f>
        <v>1</v>
      </c>
      <c r="X488" s="8">
        <f ca="1">_xll.HLV5r3.Analytics.Miscellaneous.Zero2DF(_xll.HLV5r3.Analytics.Miscellaneous.LinearInterp(Peturbed_QZ,$K488,1,X$1),ZeroCompFreq,'PDH Calc'!$K488/365)</f>
        <v>1</v>
      </c>
      <c r="Y488" s="8">
        <f ca="1">_xll.HLV5r3.Analytics.Miscellaneous.Zero2DF(_xll.HLV5r3.Analytics.Miscellaneous.LinearInterp(Peturbed_QZ,$K488,1,Y$1),ZeroCompFreq,'PDH Calc'!$K488/365)</f>
        <v>1</v>
      </c>
      <c r="Z488" s="8">
        <f ca="1">_xll.HLV5r3.Analytics.Miscellaneous.Zero2DF(_xll.HLV5r3.Analytics.Miscellaneous.LinearInterp(Peturbed_QZ,$K488,1,Z$1),ZeroCompFreq,'PDH Calc'!$K488/365)</f>
        <v>1</v>
      </c>
      <c r="AA488" s="8">
        <f ca="1">_xll.HLV5r3.Analytics.Miscellaneous.Zero2DF(_xll.HLV5r3.Analytics.Miscellaneous.LinearInterp(Peturbed_QZ,$K488,1,AA$1),ZeroCompFreq,'PDH Calc'!$K488/365)</f>
        <v>1</v>
      </c>
      <c r="AB488" s="8">
        <f ca="1">_xll.HLV5r3.Analytics.Miscellaneous.Zero2DF(_xll.HLV5r3.Analytics.Miscellaneous.LinearInterp(Peturbed_QZ,$K488,1,AB$1),ZeroCompFreq,'PDH Calc'!$K488/365)</f>
        <v>1</v>
      </c>
      <c r="AC488" s="8">
        <f ca="1">_xll.HLV5r3.Analytics.Miscellaneous.Zero2DF(_xll.HLV5r3.Analytics.Miscellaneous.LinearInterp(Peturbed_QZ,$K488,1,AC$1),ZeroCompFreq,'PDH Calc'!$K488/365)</f>
        <v>1</v>
      </c>
      <c r="AD488" s="8">
        <f ca="1">_xll.HLV5r3.Analytics.Miscellaneous.Zero2DF(_xll.HLV5r3.Analytics.Miscellaneous.LinearInterp(Peturbed_QZ,$K488,1,AD$1),ZeroCompFreq,'PDH Calc'!$K488/365)</f>
        <v>1</v>
      </c>
      <c r="AE488" s="8">
        <f ca="1">_xll.HLV5r3.Analytics.Miscellaneous.Zero2DF(_xll.HLV5r3.Analytics.Miscellaneous.LinearInterp(Peturbed_QZ,$K488,1,AE$1),ZeroCompFreq,'PDH Calc'!$K488/365)</f>
        <v>1</v>
      </c>
      <c r="AF488" s="8">
        <f ca="1">_xll.HLV5r3.Analytics.Miscellaneous.Zero2DF(_xll.HLV5r3.Analytics.Miscellaneous.LinearInterp(Peturbed_QZ,$K488,1,AF$1),ZeroCompFreq,'PDH Calc'!$K488/365)</f>
        <v>1</v>
      </c>
      <c r="AG488" s="8">
        <f ca="1">_xll.HLV5r3.Analytics.Miscellaneous.Zero2DF(_xll.HLV5r3.Analytics.Miscellaneous.LinearInterp(Peturbed_QZ,$K488,1,AG$1),ZeroCompFreq,'PDH Calc'!$K488/365)</f>
        <v>1</v>
      </c>
      <c r="AH488" s="8">
        <f ca="1">_xll.HLV5r3.Analytics.Miscellaneous.Zero2DF(_xll.HLV5r3.Analytics.Miscellaneous.LinearInterp(Peturbed_QZ,$K488,1,AH$1),ZeroCompFreq,'PDH Calc'!$K488/365)</f>
        <v>1</v>
      </c>
      <c r="AI488" s="8">
        <f ca="1">_xll.HLV5r3.Analytics.Miscellaneous.Zero2DF(_xll.HLV5r3.Analytics.Miscellaneous.LinearInterp(Peturbed_QZ,$K488,1,AI$1),ZeroCompFreq,'PDH Calc'!$K488/365)</f>
        <v>1</v>
      </c>
      <c r="AJ488" s="8">
        <f ca="1">_xll.HLV5r3.Analytics.Miscellaneous.Zero2DF(_xll.HLV5r3.Analytics.Miscellaneous.LinearInterp(Peturbed_QZ,$K488,1,AJ$1),ZeroCompFreq,'PDH Calc'!$K488/365)</f>
        <v>1</v>
      </c>
      <c r="AK488" s="8">
        <f ca="1">_xll.HLV5r3.Analytics.Miscellaneous.Zero2DF(_xll.HLV5r3.Analytics.Miscellaneous.LinearInterp(Peturbed_QZ,$K488,1,AK$1),ZeroCompFreq,'PDH Calc'!$K488/365)</f>
        <v>1</v>
      </c>
    </row>
    <row r="489" spans="1:37">
      <c r="A489" s="4"/>
      <c r="B489" s="6"/>
      <c r="F489" s="11"/>
      <c r="G489" s="6"/>
      <c r="H489" s="20"/>
      <c r="I489" s="21"/>
      <c r="J489" s="26"/>
      <c r="K489" s="6">
        <f t="shared" ca="1" si="14"/>
        <v>0</v>
      </c>
      <c r="L489" s="8">
        <f ca="1">_xll.HLV5r3.Analytics.Miscellaneous.Zero2DF(_xll.HLV5r3.Analytics.Miscellaneous.LinearInterp(Peturbed_QZ,$K489,1,L$1),ZeroCompFreq,'PDH Calc'!$K489/365)</f>
        <v>1</v>
      </c>
      <c r="M489" s="8">
        <f ca="1">_xll.HLV5r3.Analytics.Miscellaneous.Zero2DF(_xll.HLV5r3.Analytics.Miscellaneous.LinearInterp(Peturbed_QZ,$K489,1,M$1),ZeroCompFreq,'PDH Calc'!$K489/365)</f>
        <v>1</v>
      </c>
      <c r="N489" s="8">
        <f ca="1">_xll.HLV5r3.Analytics.Miscellaneous.Zero2DF(_xll.HLV5r3.Analytics.Miscellaneous.LinearInterp(Peturbed_QZ,$K489,1,N$1),ZeroCompFreq,'PDH Calc'!$K489/365)</f>
        <v>1</v>
      </c>
      <c r="O489" s="8">
        <f ca="1">_xll.HLV5r3.Analytics.Miscellaneous.Zero2DF(_xll.HLV5r3.Analytics.Miscellaneous.LinearInterp(Peturbed_QZ,$K489,1,O$1),ZeroCompFreq,'PDH Calc'!$K489/365)</f>
        <v>1</v>
      </c>
      <c r="P489" s="8">
        <f ca="1">_xll.HLV5r3.Analytics.Miscellaneous.Zero2DF(_xll.HLV5r3.Analytics.Miscellaneous.LinearInterp(Peturbed_QZ,$K489,1,P$1),ZeroCompFreq,'PDH Calc'!$K489/365)</f>
        <v>1</v>
      </c>
      <c r="Q489" s="8">
        <f ca="1">_xll.HLV5r3.Analytics.Miscellaneous.Zero2DF(_xll.HLV5r3.Analytics.Miscellaneous.LinearInterp(Peturbed_QZ,$K489,1,Q$1),ZeroCompFreq,'PDH Calc'!$K489/365)</f>
        <v>1</v>
      </c>
      <c r="R489" s="8">
        <f ca="1">_xll.HLV5r3.Analytics.Miscellaneous.Zero2DF(_xll.HLV5r3.Analytics.Miscellaneous.LinearInterp(Peturbed_QZ,$K489,1,R$1),ZeroCompFreq,'PDH Calc'!$K489/365)</f>
        <v>1</v>
      </c>
      <c r="S489" s="8">
        <f ca="1">_xll.HLV5r3.Analytics.Miscellaneous.Zero2DF(_xll.HLV5r3.Analytics.Miscellaneous.LinearInterp(Peturbed_QZ,$K489,1,S$1),ZeroCompFreq,'PDH Calc'!$K489/365)</f>
        <v>1</v>
      </c>
      <c r="T489" s="8">
        <f ca="1">_xll.HLV5r3.Analytics.Miscellaneous.Zero2DF(_xll.HLV5r3.Analytics.Miscellaneous.LinearInterp(Peturbed_QZ,$K489,1,T$1),ZeroCompFreq,'PDH Calc'!$K489/365)</f>
        <v>1</v>
      </c>
      <c r="U489" s="8">
        <f ca="1">_xll.HLV5r3.Analytics.Miscellaneous.Zero2DF(_xll.HLV5r3.Analytics.Miscellaneous.LinearInterp(Peturbed_QZ,$K489,1,U$1),ZeroCompFreq,'PDH Calc'!$K489/365)</f>
        <v>1</v>
      </c>
      <c r="V489" s="8">
        <f ca="1">_xll.HLV5r3.Analytics.Miscellaneous.Zero2DF(_xll.HLV5r3.Analytics.Miscellaneous.LinearInterp(Peturbed_QZ,$K489,1,V$1),ZeroCompFreq,'PDH Calc'!$K489/365)</f>
        <v>1</v>
      </c>
      <c r="W489" s="8">
        <f ca="1">_xll.HLV5r3.Analytics.Miscellaneous.Zero2DF(_xll.HLV5r3.Analytics.Miscellaneous.LinearInterp(Peturbed_QZ,$K489,1,W$1),ZeroCompFreq,'PDH Calc'!$K489/365)</f>
        <v>1</v>
      </c>
      <c r="X489" s="8">
        <f ca="1">_xll.HLV5r3.Analytics.Miscellaneous.Zero2DF(_xll.HLV5r3.Analytics.Miscellaneous.LinearInterp(Peturbed_QZ,$K489,1,X$1),ZeroCompFreq,'PDH Calc'!$K489/365)</f>
        <v>1</v>
      </c>
      <c r="Y489" s="8">
        <f ca="1">_xll.HLV5r3.Analytics.Miscellaneous.Zero2DF(_xll.HLV5r3.Analytics.Miscellaneous.LinearInterp(Peturbed_QZ,$K489,1,Y$1),ZeroCompFreq,'PDH Calc'!$K489/365)</f>
        <v>1</v>
      </c>
      <c r="Z489" s="8">
        <f ca="1">_xll.HLV5r3.Analytics.Miscellaneous.Zero2DF(_xll.HLV5r3.Analytics.Miscellaneous.LinearInterp(Peturbed_QZ,$K489,1,Z$1),ZeroCompFreq,'PDH Calc'!$K489/365)</f>
        <v>1</v>
      </c>
      <c r="AA489" s="8">
        <f ca="1">_xll.HLV5r3.Analytics.Miscellaneous.Zero2DF(_xll.HLV5r3.Analytics.Miscellaneous.LinearInterp(Peturbed_QZ,$K489,1,AA$1),ZeroCompFreq,'PDH Calc'!$K489/365)</f>
        <v>1</v>
      </c>
      <c r="AB489" s="8">
        <f ca="1">_xll.HLV5r3.Analytics.Miscellaneous.Zero2DF(_xll.HLV5r3.Analytics.Miscellaneous.LinearInterp(Peturbed_QZ,$K489,1,AB$1),ZeroCompFreq,'PDH Calc'!$K489/365)</f>
        <v>1</v>
      </c>
      <c r="AC489" s="8">
        <f ca="1">_xll.HLV5r3.Analytics.Miscellaneous.Zero2DF(_xll.HLV5r3.Analytics.Miscellaneous.LinearInterp(Peturbed_QZ,$K489,1,AC$1),ZeroCompFreq,'PDH Calc'!$K489/365)</f>
        <v>1</v>
      </c>
      <c r="AD489" s="8">
        <f ca="1">_xll.HLV5r3.Analytics.Miscellaneous.Zero2DF(_xll.HLV5r3.Analytics.Miscellaneous.LinearInterp(Peturbed_QZ,$K489,1,AD$1),ZeroCompFreq,'PDH Calc'!$K489/365)</f>
        <v>1</v>
      </c>
      <c r="AE489" s="8">
        <f ca="1">_xll.HLV5r3.Analytics.Miscellaneous.Zero2DF(_xll.HLV5r3.Analytics.Miscellaneous.LinearInterp(Peturbed_QZ,$K489,1,AE$1),ZeroCompFreq,'PDH Calc'!$K489/365)</f>
        <v>1</v>
      </c>
      <c r="AF489" s="8">
        <f ca="1">_xll.HLV5r3.Analytics.Miscellaneous.Zero2DF(_xll.HLV5r3.Analytics.Miscellaneous.LinearInterp(Peturbed_QZ,$K489,1,AF$1),ZeroCompFreq,'PDH Calc'!$K489/365)</f>
        <v>1</v>
      </c>
      <c r="AG489" s="8">
        <f ca="1">_xll.HLV5r3.Analytics.Miscellaneous.Zero2DF(_xll.HLV5r3.Analytics.Miscellaneous.LinearInterp(Peturbed_QZ,$K489,1,AG$1),ZeroCompFreq,'PDH Calc'!$K489/365)</f>
        <v>1</v>
      </c>
      <c r="AH489" s="8">
        <f ca="1">_xll.HLV5r3.Analytics.Miscellaneous.Zero2DF(_xll.HLV5r3.Analytics.Miscellaneous.LinearInterp(Peturbed_QZ,$K489,1,AH$1),ZeroCompFreq,'PDH Calc'!$K489/365)</f>
        <v>1</v>
      </c>
      <c r="AI489" s="8">
        <f ca="1">_xll.HLV5r3.Analytics.Miscellaneous.Zero2DF(_xll.HLV5r3.Analytics.Miscellaneous.LinearInterp(Peturbed_QZ,$K489,1,AI$1),ZeroCompFreq,'PDH Calc'!$K489/365)</f>
        <v>1</v>
      </c>
      <c r="AJ489" s="8">
        <f ca="1">_xll.HLV5r3.Analytics.Miscellaneous.Zero2DF(_xll.HLV5r3.Analytics.Miscellaneous.LinearInterp(Peturbed_QZ,$K489,1,AJ$1),ZeroCompFreq,'PDH Calc'!$K489/365)</f>
        <v>1</v>
      </c>
      <c r="AK489" s="8">
        <f ca="1">_xll.HLV5r3.Analytics.Miscellaneous.Zero2DF(_xll.HLV5r3.Analytics.Miscellaneous.LinearInterp(Peturbed_QZ,$K489,1,AK$1),ZeroCompFreq,'PDH Calc'!$K489/365)</f>
        <v>1</v>
      </c>
    </row>
    <row r="490" spans="1:37">
      <c r="A490" s="4"/>
      <c r="B490" s="6"/>
      <c r="F490" s="11"/>
      <c r="G490" s="6"/>
      <c r="H490" s="20"/>
      <c r="I490" s="21"/>
      <c r="J490" s="26"/>
      <c r="K490" s="6">
        <f t="shared" ca="1" si="14"/>
        <v>0</v>
      </c>
      <c r="L490" s="8">
        <f ca="1">_xll.HLV5r3.Analytics.Miscellaneous.Zero2DF(_xll.HLV5r3.Analytics.Miscellaneous.LinearInterp(Peturbed_QZ,$K490,1,L$1),ZeroCompFreq,'PDH Calc'!$K490/365)</f>
        <v>1</v>
      </c>
      <c r="M490" s="8">
        <f ca="1">_xll.HLV5r3.Analytics.Miscellaneous.Zero2DF(_xll.HLV5r3.Analytics.Miscellaneous.LinearInterp(Peturbed_QZ,$K490,1,M$1),ZeroCompFreq,'PDH Calc'!$K490/365)</f>
        <v>1</v>
      </c>
      <c r="N490" s="8">
        <f ca="1">_xll.HLV5r3.Analytics.Miscellaneous.Zero2DF(_xll.HLV5r3.Analytics.Miscellaneous.LinearInterp(Peturbed_QZ,$K490,1,N$1),ZeroCompFreq,'PDH Calc'!$K490/365)</f>
        <v>1</v>
      </c>
      <c r="O490" s="8">
        <f ca="1">_xll.HLV5r3.Analytics.Miscellaneous.Zero2DF(_xll.HLV5r3.Analytics.Miscellaneous.LinearInterp(Peturbed_QZ,$K490,1,O$1),ZeroCompFreq,'PDH Calc'!$K490/365)</f>
        <v>1</v>
      </c>
      <c r="P490" s="8">
        <f ca="1">_xll.HLV5r3.Analytics.Miscellaneous.Zero2DF(_xll.HLV5r3.Analytics.Miscellaneous.LinearInterp(Peturbed_QZ,$K490,1,P$1),ZeroCompFreq,'PDH Calc'!$K490/365)</f>
        <v>1</v>
      </c>
      <c r="Q490" s="8">
        <f ca="1">_xll.HLV5r3.Analytics.Miscellaneous.Zero2DF(_xll.HLV5r3.Analytics.Miscellaneous.LinearInterp(Peturbed_QZ,$K490,1,Q$1),ZeroCompFreq,'PDH Calc'!$K490/365)</f>
        <v>1</v>
      </c>
      <c r="R490" s="8">
        <f ca="1">_xll.HLV5r3.Analytics.Miscellaneous.Zero2DF(_xll.HLV5r3.Analytics.Miscellaneous.LinearInterp(Peturbed_QZ,$K490,1,R$1),ZeroCompFreq,'PDH Calc'!$K490/365)</f>
        <v>1</v>
      </c>
      <c r="S490" s="8">
        <f ca="1">_xll.HLV5r3.Analytics.Miscellaneous.Zero2DF(_xll.HLV5r3.Analytics.Miscellaneous.LinearInterp(Peturbed_QZ,$K490,1,S$1),ZeroCompFreq,'PDH Calc'!$K490/365)</f>
        <v>1</v>
      </c>
      <c r="T490" s="8">
        <f ca="1">_xll.HLV5r3.Analytics.Miscellaneous.Zero2DF(_xll.HLV5r3.Analytics.Miscellaneous.LinearInterp(Peturbed_QZ,$K490,1,T$1),ZeroCompFreq,'PDH Calc'!$K490/365)</f>
        <v>1</v>
      </c>
      <c r="U490" s="8">
        <f ca="1">_xll.HLV5r3.Analytics.Miscellaneous.Zero2DF(_xll.HLV5r3.Analytics.Miscellaneous.LinearInterp(Peturbed_QZ,$K490,1,U$1),ZeroCompFreq,'PDH Calc'!$K490/365)</f>
        <v>1</v>
      </c>
      <c r="V490" s="8">
        <f ca="1">_xll.HLV5r3.Analytics.Miscellaneous.Zero2DF(_xll.HLV5r3.Analytics.Miscellaneous.LinearInterp(Peturbed_QZ,$K490,1,V$1),ZeroCompFreq,'PDH Calc'!$K490/365)</f>
        <v>1</v>
      </c>
      <c r="W490" s="8">
        <f ca="1">_xll.HLV5r3.Analytics.Miscellaneous.Zero2DF(_xll.HLV5r3.Analytics.Miscellaneous.LinearInterp(Peturbed_QZ,$K490,1,W$1),ZeroCompFreq,'PDH Calc'!$K490/365)</f>
        <v>1</v>
      </c>
      <c r="X490" s="8">
        <f ca="1">_xll.HLV5r3.Analytics.Miscellaneous.Zero2DF(_xll.HLV5r3.Analytics.Miscellaneous.LinearInterp(Peturbed_QZ,$K490,1,X$1),ZeroCompFreq,'PDH Calc'!$K490/365)</f>
        <v>1</v>
      </c>
      <c r="Y490" s="8">
        <f ca="1">_xll.HLV5r3.Analytics.Miscellaneous.Zero2DF(_xll.HLV5r3.Analytics.Miscellaneous.LinearInterp(Peturbed_QZ,$K490,1,Y$1),ZeroCompFreq,'PDH Calc'!$K490/365)</f>
        <v>1</v>
      </c>
      <c r="Z490" s="8">
        <f ca="1">_xll.HLV5r3.Analytics.Miscellaneous.Zero2DF(_xll.HLV5r3.Analytics.Miscellaneous.LinearInterp(Peturbed_QZ,$K490,1,Z$1),ZeroCompFreq,'PDH Calc'!$K490/365)</f>
        <v>1</v>
      </c>
      <c r="AA490" s="8">
        <f ca="1">_xll.HLV5r3.Analytics.Miscellaneous.Zero2DF(_xll.HLV5r3.Analytics.Miscellaneous.LinearInterp(Peturbed_QZ,$K490,1,AA$1),ZeroCompFreq,'PDH Calc'!$K490/365)</f>
        <v>1</v>
      </c>
      <c r="AB490" s="8">
        <f ca="1">_xll.HLV5r3.Analytics.Miscellaneous.Zero2DF(_xll.HLV5r3.Analytics.Miscellaneous.LinearInterp(Peturbed_QZ,$K490,1,AB$1),ZeroCompFreq,'PDH Calc'!$K490/365)</f>
        <v>1</v>
      </c>
      <c r="AC490" s="8">
        <f ca="1">_xll.HLV5r3.Analytics.Miscellaneous.Zero2DF(_xll.HLV5r3.Analytics.Miscellaneous.LinearInterp(Peturbed_QZ,$K490,1,AC$1),ZeroCompFreq,'PDH Calc'!$K490/365)</f>
        <v>1</v>
      </c>
      <c r="AD490" s="8">
        <f ca="1">_xll.HLV5r3.Analytics.Miscellaneous.Zero2DF(_xll.HLV5r3.Analytics.Miscellaneous.LinearInterp(Peturbed_QZ,$K490,1,AD$1),ZeroCompFreq,'PDH Calc'!$K490/365)</f>
        <v>1</v>
      </c>
      <c r="AE490" s="8">
        <f ca="1">_xll.HLV5r3.Analytics.Miscellaneous.Zero2DF(_xll.HLV5r3.Analytics.Miscellaneous.LinearInterp(Peturbed_QZ,$K490,1,AE$1),ZeroCompFreq,'PDH Calc'!$K490/365)</f>
        <v>1</v>
      </c>
      <c r="AF490" s="8">
        <f ca="1">_xll.HLV5r3.Analytics.Miscellaneous.Zero2DF(_xll.HLV5r3.Analytics.Miscellaneous.LinearInterp(Peturbed_QZ,$K490,1,AF$1),ZeroCompFreq,'PDH Calc'!$K490/365)</f>
        <v>1</v>
      </c>
      <c r="AG490" s="8">
        <f ca="1">_xll.HLV5r3.Analytics.Miscellaneous.Zero2DF(_xll.HLV5r3.Analytics.Miscellaneous.LinearInterp(Peturbed_QZ,$K490,1,AG$1),ZeroCompFreq,'PDH Calc'!$K490/365)</f>
        <v>1</v>
      </c>
      <c r="AH490" s="8">
        <f ca="1">_xll.HLV5r3.Analytics.Miscellaneous.Zero2DF(_xll.HLV5r3.Analytics.Miscellaneous.LinearInterp(Peturbed_QZ,$K490,1,AH$1),ZeroCompFreq,'PDH Calc'!$K490/365)</f>
        <v>1</v>
      </c>
      <c r="AI490" s="8">
        <f ca="1">_xll.HLV5r3.Analytics.Miscellaneous.Zero2DF(_xll.HLV5r3.Analytics.Miscellaneous.LinearInterp(Peturbed_QZ,$K490,1,AI$1),ZeroCompFreq,'PDH Calc'!$K490/365)</f>
        <v>1</v>
      </c>
      <c r="AJ490" s="8">
        <f ca="1">_xll.HLV5r3.Analytics.Miscellaneous.Zero2DF(_xll.HLV5r3.Analytics.Miscellaneous.LinearInterp(Peturbed_QZ,$K490,1,AJ$1),ZeroCompFreq,'PDH Calc'!$K490/365)</f>
        <v>1</v>
      </c>
      <c r="AK490" s="8">
        <f ca="1">_xll.HLV5r3.Analytics.Miscellaneous.Zero2DF(_xll.HLV5r3.Analytics.Miscellaneous.LinearInterp(Peturbed_QZ,$K490,1,AK$1),ZeroCompFreq,'PDH Calc'!$K490/365)</f>
        <v>1</v>
      </c>
    </row>
    <row r="491" spans="1:37">
      <c r="A491" s="4"/>
      <c r="B491" s="6"/>
      <c r="F491" s="11"/>
      <c r="G491" s="6"/>
      <c r="H491" s="20"/>
      <c r="I491" s="21"/>
      <c r="J491" s="26"/>
      <c r="K491" s="6">
        <f t="shared" ca="1" si="14"/>
        <v>0</v>
      </c>
      <c r="L491" s="8">
        <f ca="1">_xll.HLV5r3.Analytics.Miscellaneous.Zero2DF(_xll.HLV5r3.Analytics.Miscellaneous.LinearInterp(Peturbed_QZ,$K491,1,L$1),ZeroCompFreq,'PDH Calc'!$K491/365)</f>
        <v>1</v>
      </c>
      <c r="M491" s="8">
        <f ca="1">_xll.HLV5r3.Analytics.Miscellaneous.Zero2DF(_xll.HLV5r3.Analytics.Miscellaneous.LinearInterp(Peturbed_QZ,$K491,1,M$1),ZeroCompFreq,'PDH Calc'!$K491/365)</f>
        <v>1</v>
      </c>
      <c r="N491" s="8">
        <f ca="1">_xll.HLV5r3.Analytics.Miscellaneous.Zero2DF(_xll.HLV5r3.Analytics.Miscellaneous.LinearInterp(Peturbed_QZ,$K491,1,N$1),ZeroCompFreq,'PDH Calc'!$K491/365)</f>
        <v>1</v>
      </c>
      <c r="O491" s="8">
        <f ca="1">_xll.HLV5r3.Analytics.Miscellaneous.Zero2DF(_xll.HLV5r3.Analytics.Miscellaneous.LinearInterp(Peturbed_QZ,$K491,1,O$1),ZeroCompFreq,'PDH Calc'!$K491/365)</f>
        <v>1</v>
      </c>
      <c r="P491" s="8">
        <f ca="1">_xll.HLV5r3.Analytics.Miscellaneous.Zero2DF(_xll.HLV5r3.Analytics.Miscellaneous.LinearInterp(Peturbed_QZ,$K491,1,P$1),ZeroCompFreq,'PDH Calc'!$K491/365)</f>
        <v>1</v>
      </c>
      <c r="Q491" s="8">
        <f ca="1">_xll.HLV5r3.Analytics.Miscellaneous.Zero2DF(_xll.HLV5r3.Analytics.Miscellaneous.LinearInterp(Peturbed_QZ,$K491,1,Q$1),ZeroCompFreq,'PDH Calc'!$K491/365)</f>
        <v>1</v>
      </c>
      <c r="R491" s="8">
        <f ca="1">_xll.HLV5r3.Analytics.Miscellaneous.Zero2DF(_xll.HLV5r3.Analytics.Miscellaneous.LinearInterp(Peturbed_QZ,$K491,1,R$1),ZeroCompFreq,'PDH Calc'!$K491/365)</f>
        <v>1</v>
      </c>
      <c r="S491" s="8">
        <f ca="1">_xll.HLV5r3.Analytics.Miscellaneous.Zero2DF(_xll.HLV5r3.Analytics.Miscellaneous.LinearInterp(Peturbed_QZ,$K491,1,S$1),ZeroCompFreq,'PDH Calc'!$K491/365)</f>
        <v>1</v>
      </c>
      <c r="T491" s="8">
        <f ca="1">_xll.HLV5r3.Analytics.Miscellaneous.Zero2DF(_xll.HLV5r3.Analytics.Miscellaneous.LinearInterp(Peturbed_QZ,$K491,1,T$1),ZeroCompFreq,'PDH Calc'!$K491/365)</f>
        <v>1</v>
      </c>
      <c r="U491" s="8">
        <f ca="1">_xll.HLV5r3.Analytics.Miscellaneous.Zero2DF(_xll.HLV5r3.Analytics.Miscellaneous.LinearInterp(Peturbed_QZ,$K491,1,U$1),ZeroCompFreq,'PDH Calc'!$K491/365)</f>
        <v>1</v>
      </c>
      <c r="V491" s="8">
        <f ca="1">_xll.HLV5r3.Analytics.Miscellaneous.Zero2DF(_xll.HLV5r3.Analytics.Miscellaneous.LinearInterp(Peturbed_QZ,$K491,1,V$1),ZeroCompFreq,'PDH Calc'!$K491/365)</f>
        <v>1</v>
      </c>
      <c r="W491" s="8">
        <f ca="1">_xll.HLV5r3.Analytics.Miscellaneous.Zero2DF(_xll.HLV5r3.Analytics.Miscellaneous.LinearInterp(Peturbed_QZ,$K491,1,W$1),ZeroCompFreq,'PDH Calc'!$K491/365)</f>
        <v>1</v>
      </c>
      <c r="X491" s="8">
        <f ca="1">_xll.HLV5r3.Analytics.Miscellaneous.Zero2DF(_xll.HLV5r3.Analytics.Miscellaneous.LinearInterp(Peturbed_QZ,$K491,1,X$1),ZeroCompFreq,'PDH Calc'!$K491/365)</f>
        <v>1</v>
      </c>
      <c r="Y491" s="8">
        <f ca="1">_xll.HLV5r3.Analytics.Miscellaneous.Zero2DF(_xll.HLV5r3.Analytics.Miscellaneous.LinearInterp(Peturbed_QZ,$K491,1,Y$1),ZeroCompFreq,'PDH Calc'!$K491/365)</f>
        <v>1</v>
      </c>
      <c r="Z491" s="8">
        <f ca="1">_xll.HLV5r3.Analytics.Miscellaneous.Zero2DF(_xll.HLV5r3.Analytics.Miscellaneous.LinearInterp(Peturbed_QZ,$K491,1,Z$1),ZeroCompFreq,'PDH Calc'!$K491/365)</f>
        <v>1</v>
      </c>
      <c r="AA491" s="8">
        <f ca="1">_xll.HLV5r3.Analytics.Miscellaneous.Zero2DF(_xll.HLV5r3.Analytics.Miscellaneous.LinearInterp(Peturbed_QZ,$K491,1,AA$1),ZeroCompFreq,'PDH Calc'!$K491/365)</f>
        <v>1</v>
      </c>
      <c r="AB491" s="8">
        <f ca="1">_xll.HLV5r3.Analytics.Miscellaneous.Zero2DF(_xll.HLV5r3.Analytics.Miscellaneous.LinearInterp(Peturbed_QZ,$K491,1,AB$1),ZeroCompFreq,'PDH Calc'!$K491/365)</f>
        <v>1</v>
      </c>
      <c r="AC491" s="8">
        <f ca="1">_xll.HLV5r3.Analytics.Miscellaneous.Zero2DF(_xll.HLV5r3.Analytics.Miscellaneous.LinearInterp(Peturbed_QZ,$K491,1,AC$1),ZeroCompFreq,'PDH Calc'!$K491/365)</f>
        <v>1</v>
      </c>
      <c r="AD491" s="8">
        <f ca="1">_xll.HLV5r3.Analytics.Miscellaneous.Zero2DF(_xll.HLV5r3.Analytics.Miscellaneous.LinearInterp(Peturbed_QZ,$K491,1,AD$1),ZeroCompFreq,'PDH Calc'!$K491/365)</f>
        <v>1</v>
      </c>
      <c r="AE491" s="8">
        <f ca="1">_xll.HLV5r3.Analytics.Miscellaneous.Zero2DF(_xll.HLV5r3.Analytics.Miscellaneous.LinearInterp(Peturbed_QZ,$K491,1,AE$1),ZeroCompFreq,'PDH Calc'!$K491/365)</f>
        <v>1</v>
      </c>
      <c r="AF491" s="8">
        <f ca="1">_xll.HLV5r3.Analytics.Miscellaneous.Zero2DF(_xll.HLV5r3.Analytics.Miscellaneous.LinearInterp(Peturbed_QZ,$K491,1,AF$1),ZeroCompFreq,'PDH Calc'!$K491/365)</f>
        <v>1</v>
      </c>
      <c r="AG491" s="8">
        <f ca="1">_xll.HLV5r3.Analytics.Miscellaneous.Zero2DF(_xll.HLV5r3.Analytics.Miscellaneous.LinearInterp(Peturbed_QZ,$K491,1,AG$1),ZeroCompFreq,'PDH Calc'!$K491/365)</f>
        <v>1</v>
      </c>
      <c r="AH491" s="8">
        <f ca="1">_xll.HLV5r3.Analytics.Miscellaneous.Zero2DF(_xll.HLV5r3.Analytics.Miscellaneous.LinearInterp(Peturbed_QZ,$K491,1,AH$1),ZeroCompFreq,'PDH Calc'!$K491/365)</f>
        <v>1</v>
      </c>
      <c r="AI491" s="8">
        <f ca="1">_xll.HLV5r3.Analytics.Miscellaneous.Zero2DF(_xll.HLV5r3.Analytics.Miscellaneous.LinearInterp(Peturbed_QZ,$K491,1,AI$1),ZeroCompFreq,'PDH Calc'!$K491/365)</f>
        <v>1</v>
      </c>
      <c r="AJ491" s="8">
        <f ca="1">_xll.HLV5r3.Analytics.Miscellaneous.Zero2DF(_xll.HLV5r3.Analytics.Miscellaneous.LinearInterp(Peturbed_QZ,$K491,1,AJ$1),ZeroCompFreq,'PDH Calc'!$K491/365)</f>
        <v>1</v>
      </c>
      <c r="AK491" s="8">
        <f ca="1">_xll.HLV5r3.Analytics.Miscellaneous.Zero2DF(_xll.HLV5r3.Analytics.Miscellaneous.LinearInterp(Peturbed_QZ,$K491,1,AK$1),ZeroCompFreq,'PDH Calc'!$K491/365)</f>
        <v>1</v>
      </c>
    </row>
    <row r="492" spans="1:37">
      <c r="A492" s="4"/>
      <c r="B492" s="6"/>
      <c r="F492" s="11"/>
      <c r="G492" s="6"/>
      <c r="H492" s="20"/>
      <c r="I492" s="21"/>
      <c r="J492" s="26"/>
      <c r="K492" s="6">
        <f t="shared" ca="1" si="14"/>
        <v>0</v>
      </c>
      <c r="L492" s="8">
        <f ca="1">_xll.HLV5r3.Analytics.Miscellaneous.Zero2DF(_xll.HLV5r3.Analytics.Miscellaneous.LinearInterp(Peturbed_QZ,$K492,1,L$1),ZeroCompFreq,'PDH Calc'!$K492/365)</f>
        <v>1</v>
      </c>
      <c r="M492" s="8">
        <f ca="1">_xll.HLV5r3.Analytics.Miscellaneous.Zero2DF(_xll.HLV5r3.Analytics.Miscellaneous.LinearInterp(Peturbed_QZ,$K492,1,M$1),ZeroCompFreq,'PDH Calc'!$K492/365)</f>
        <v>1</v>
      </c>
      <c r="N492" s="8">
        <f ca="1">_xll.HLV5r3.Analytics.Miscellaneous.Zero2DF(_xll.HLV5r3.Analytics.Miscellaneous.LinearInterp(Peturbed_QZ,$K492,1,N$1),ZeroCompFreq,'PDH Calc'!$K492/365)</f>
        <v>1</v>
      </c>
      <c r="O492" s="8">
        <f ca="1">_xll.HLV5r3.Analytics.Miscellaneous.Zero2DF(_xll.HLV5r3.Analytics.Miscellaneous.LinearInterp(Peturbed_QZ,$K492,1,O$1),ZeroCompFreq,'PDH Calc'!$K492/365)</f>
        <v>1</v>
      </c>
      <c r="P492" s="8">
        <f ca="1">_xll.HLV5r3.Analytics.Miscellaneous.Zero2DF(_xll.HLV5r3.Analytics.Miscellaneous.LinearInterp(Peturbed_QZ,$K492,1,P$1),ZeroCompFreq,'PDH Calc'!$K492/365)</f>
        <v>1</v>
      </c>
      <c r="Q492" s="8">
        <f ca="1">_xll.HLV5r3.Analytics.Miscellaneous.Zero2DF(_xll.HLV5r3.Analytics.Miscellaneous.LinearInterp(Peturbed_QZ,$K492,1,Q$1),ZeroCompFreq,'PDH Calc'!$K492/365)</f>
        <v>1</v>
      </c>
      <c r="R492" s="8">
        <f ca="1">_xll.HLV5r3.Analytics.Miscellaneous.Zero2DF(_xll.HLV5r3.Analytics.Miscellaneous.LinearInterp(Peturbed_QZ,$K492,1,R$1),ZeroCompFreq,'PDH Calc'!$K492/365)</f>
        <v>1</v>
      </c>
      <c r="S492" s="8">
        <f ca="1">_xll.HLV5r3.Analytics.Miscellaneous.Zero2DF(_xll.HLV5r3.Analytics.Miscellaneous.LinearInterp(Peturbed_QZ,$K492,1,S$1),ZeroCompFreq,'PDH Calc'!$K492/365)</f>
        <v>1</v>
      </c>
      <c r="T492" s="8">
        <f ca="1">_xll.HLV5r3.Analytics.Miscellaneous.Zero2DF(_xll.HLV5r3.Analytics.Miscellaneous.LinearInterp(Peturbed_QZ,$K492,1,T$1),ZeroCompFreq,'PDH Calc'!$K492/365)</f>
        <v>1</v>
      </c>
      <c r="U492" s="8">
        <f ca="1">_xll.HLV5r3.Analytics.Miscellaneous.Zero2DF(_xll.HLV5r3.Analytics.Miscellaneous.LinearInterp(Peturbed_QZ,$K492,1,U$1),ZeroCompFreq,'PDH Calc'!$K492/365)</f>
        <v>1</v>
      </c>
      <c r="V492" s="8">
        <f ca="1">_xll.HLV5r3.Analytics.Miscellaneous.Zero2DF(_xll.HLV5r3.Analytics.Miscellaneous.LinearInterp(Peturbed_QZ,$K492,1,V$1),ZeroCompFreq,'PDH Calc'!$K492/365)</f>
        <v>1</v>
      </c>
      <c r="W492" s="8">
        <f ca="1">_xll.HLV5r3.Analytics.Miscellaneous.Zero2DF(_xll.HLV5r3.Analytics.Miscellaneous.LinearInterp(Peturbed_QZ,$K492,1,W$1),ZeroCompFreq,'PDH Calc'!$K492/365)</f>
        <v>1</v>
      </c>
      <c r="X492" s="8">
        <f ca="1">_xll.HLV5r3.Analytics.Miscellaneous.Zero2DF(_xll.HLV5r3.Analytics.Miscellaneous.LinearInterp(Peturbed_QZ,$K492,1,X$1),ZeroCompFreq,'PDH Calc'!$K492/365)</f>
        <v>1</v>
      </c>
      <c r="Y492" s="8">
        <f ca="1">_xll.HLV5r3.Analytics.Miscellaneous.Zero2DF(_xll.HLV5r3.Analytics.Miscellaneous.LinearInterp(Peturbed_QZ,$K492,1,Y$1),ZeroCompFreq,'PDH Calc'!$K492/365)</f>
        <v>1</v>
      </c>
      <c r="Z492" s="8">
        <f ca="1">_xll.HLV5r3.Analytics.Miscellaneous.Zero2DF(_xll.HLV5r3.Analytics.Miscellaneous.LinearInterp(Peturbed_QZ,$K492,1,Z$1),ZeroCompFreq,'PDH Calc'!$K492/365)</f>
        <v>1</v>
      </c>
      <c r="AA492" s="8">
        <f ca="1">_xll.HLV5r3.Analytics.Miscellaneous.Zero2DF(_xll.HLV5r3.Analytics.Miscellaneous.LinearInterp(Peturbed_QZ,$K492,1,AA$1),ZeroCompFreq,'PDH Calc'!$K492/365)</f>
        <v>1</v>
      </c>
      <c r="AB492" s="8">
        <f ca="1">_xll.HLV5r3.Analytics.Miscellaneous.Zero2DF(_xll.HLV5r3.Analytics.Miscellaneous.LinearInterp(Peturbed_QZ,$K492,1,AB$1),ZeroCompFreq,'PDH Calc'!$K492/365)</f>
        <v>1</v>
      </c>
      <c r="AC492" s="8">
        <f ca="1">_xll.HLV5r3.Analytics.Miscellaneous.Zero2DF(_xll.HLV5r3.Analytics.Miscellaneous.LinearInterp(Peturbed_QZ,$K492,1,AC$1),ZeroCompFreq,'PDH Calc'!$K492/365)</f>
        <v>1</v>
      </c>
      <c r="AD492" s="8">
        <f ca="1">_xll.HLV5r3.Analytics.Miscellaneous.Zero2DF(_xll.HLV5r3.Analytics.Miscellaneous.LinearInterp(Peturbed_QZ,$K492,1,AD$1),ZeroCompFreq,'PDH Calc'!$K492/365)</f>
        <v>1</v>
      </c>
      <c r="AE492" s="8">
        <f ca="1">_xll.HLV5r3.Analytics.Miscellaneous.Zero2DF(_xll.HLV5r3.Analytics.Miscellaneous.LinearInterp(Peturbed_QZ,$K492,1,AE$1),ZeroCompFreq,'PDH Calc'!$K492/365)</f>
        <v>1</v>
      </c>
      <c r="AF492" s="8">
        <f ca="1">_xll.HLV5r3.Analytics.Miscellaneous.Zero2DF(_xll.HLV5r3.Analytics.Miscellaneous.LinearInterp(Peturbed_QZ,$K492,1,AF$1),ZeroCompFreq,'PDH Calc'!$K492/365)</f>
        <v>1</v>
      </c>
      <c r="AG492" s="8">
        <f ca="1">_xll.HLV5r3.Analytics.Miscellaneous.Zero2DF(_xll.HLV5r3.Analytics.Miscellaneous.LinearInterp(Peturbed_QZ,$K492,1,AG$1),ZeroCompFreq,'PDH Calc'!$K492/365)</f>
        <v>1</v>
      </c>
      <c r="AH492" s="8">
        <f ca="1">_xll.HLV5r3.Analytics.Miscellaneous.Zero2DF(_xll.HLV5r3.Analytics.Miscellaneous.LinearInterp(Peturbed_QZ,$K492,1,AH$1),ZeroCompFreq,'PDH Calc'!$K492/365)</f>
        <v>1</v>
      </c>
      <c r="AI492" s="8">
        <f ca="1">_xll.HLV5r3.Analytics.Miscellaneous.Zero2DF(_xll.HLV5r3.Analytics.Miscellaneous.LinearInterp(Peturbed_QZ,$K492,1,AI$1),ZeroCompFreq,'PDH Calc'!$K492/365)</f>
        <v>1</v>
      </c>
      <c r="AJ492" s="8">
        <f ca="1">_xll.HLV5r3.Analytics.Miscellaneous.Zero2DF(_xll.HLV5r3.Analytics.Miscellaneous.LinearInterp(Peturbed_QZ,$K492,1,AJ$1),ZeroCompFreq,'PDH Calc'!$K492/365)</f>
        <v>1</v>
      </c>
      <c r="AK492" s="8">
        <f ca="1">_xll.HLV5r3.Analytics.Miscellaneous.Zero2DF(_xll.HLV5r3.Analytics.Miscellaneous.LinearInterp(Peturbed_QZ,$K492,1,AK$1),ZeroCompFreq,'PDH Calc'!$K492/365)</f>
        <v>1</v>
      </c>
    </row>
    <row r="493" spans="1:37">
      <c r="A493" s="4"/>
      <c r="B493" s="6"/>
      <c r="F493" s="11"/>
      <c r="G493" s="6"/>
      <c r="H493" s="20"/>
      <c r="I493" s="21"/>
      <c r="J493" s="26"/>
      <c r="K493" s="6">
        <f t="shared" ca="1" si="14"/>
        <v>0</v>
      </c>
      <c r="L493" s="8">
        <f ca="1">_xll.HLV5r3.Analytics.Miscellaneous.Zero2DF(_xll.HLV5r3.Analytics.Miscellaneous.LinearInterp(Peturbed_QZ,$K493,1,L$1),ZeroCompFreq,'PDH Calc'!$K493/365)</f>
        <v>1</v>
      </c>
      <c r="M493" s="8">
        <f ca="1">_xll.HLV5r3.Analytics.Miscellaneous.Zero2DF(_xll.HLV5r3.Analytics.Miscellaneous.LinearInterp(Peturbed_QZ,$K493,1,M$1),ZeroCompFreq,'PDH Calc'!$K493/365)</f>
        <v>1</v>
      </c>
      <c r="N493" s="8">
        <f ca="1">_xll.HLV5r3.Analytics.Miscellaneous.Zero2DF(_xll.HLV5r3.Analytics.Miscellaneous.LinearInterp(Peturbed_QZ,$K493,1,N$1),ZeroCompFreq,'PDH Calc'!$K493/365)</f>
        <v>1</v>
      </c>
      <c r="O493" s="8">
        <f ca="1">_xll.HLV5r3.Analytics.Miscellaneous.Zero2DF(_xll.HLV5r3.Analytics.Miscellaneous.LinearInterp(Peturbed_QZ,$K493,1,O$1),ZeroCompFreq,'PDH Calc'!$K493/365)</f>
        <v>1</v>
      </c>
      <c r="P493" s="8">
        <f ca="1">_xll.HLV5r3.Analytics.Miscellaneous.Zero2DF(_xll.HLV5r3.Analytics.Miscellaneous.LinearInterp(Peturbed_QZ,$K493,1,P$1),ZeroCompFreq,'PDH Calc'!$K493/365)</f>
        <v>1</v>
      </c>
      <c r="Q493" s="8">
        <f ca="1">_xll.HLV5r3.Analytics.Miscellaneous.Zero2DF(_xll.HLV5r3.Analytics.Miscellaneous.LinearInterp(Peturbed_QZ,$K493,1,Q$1),ZeroCompFreq,'PDH Calc'!$K493/365)</f>
        <v>1</v>
      </c>
      <c r="R493" s="8">
        <f ca="1">_xll.HLV5r3.Analytics.Miscellaneous.Zero2DF(_xll.HLV5r3.Analytics.Miscellaneous.LinearInterp(Peturbed_QZ,$K493,1,R$1),ZeroCompFreq,'PDH Calc'!$K493/365)</f>
        <v>1</v>
      </c>
      <c r="S493" s="8">
        <f ca="1">_xll.HLV5r3.Analytics.Miscellaneous.Zero2DF(_xll.HLV5r3.Analytics.Miscellaneous.LinearInterp(Peturbed_QZ,$K493,1,S$1),ZeroCompFreq,'PDH Calc'!$K493/365)</f>
        <v>1</v>
      </c>
      <c r="T493" s="8">
        <f ca="1">_xll.HLV5r3.Analytics.Miscellaneous.Zero2DF(_xll.HLV5r3.Analytics.Miscellaneous.LinearInterp(Peturbed_QZ,$K493,1,T$1),ZeroCompFreq,'PDH Calc'!$K493/365)</f>
        <v>1</v>
      </c>
      <c r="U493" s="8">
        <f ca="1">_xll.HLV5r3.Analytics.Miscellaneous.Zero2DF(_xll.HLV5r3.Analytics.Miscellaneous.LinearInterp(Peturbed_QZ,$K493,1,U$1),ZeroCompFreq,'PDH Calc'!$K493/365)</f>
        <v>1</v>
      </c>
      <c r="V493" s="8">
        <f ca="1">_xll.HLV5r3.Analytics.Miscellaneous.Zero2DF(_xll.HLV5r3.Analytics.Miscellaneous.LinearInterp(Peturbed_QZ,$K493,1,V$1),ZeroCompFreq,'PDH Calc'!$K493/365)</f>
        <v>1</v>
      </c>
      <c r="W493" s="8">
        <f ca="1">_xll.HLV5r3.Analytics.Miscellaneous.Zero2DF(_xll.HLV5r3.Analytics.Miscellaneous.LinearInterp(Peturbed_QZ,$K493,1,W$1),ZeroCompFreq,'PDH Calc'!$K493/365)</f>
        <v>1</v>
      </c>
      <c r="X493" s="8">
        <f ca="1">_xll.HLV5r3.Analytics.Miscellaneous.Zero2DF(_xll.HLV5r3.Analytics.Miscellaneous.LinearInterp(Peturbed_QZ,$K493,1,X$1),ZeroCompFreq,'PDH Calc'!$K493/365)</f>
        <v>1</v>
      </c>
      <c r="Y493" s="8">
        <f ca="1">_xll.HLV5r3.Analytics.Miscellaneous.Zero2DF(_xll.HLV5r3.Analytics.Miscellaneous.LinearInterp(Peturbed_QZ,$K493,1,Y$1),ZeroCompFreq,'PDH Calc'!$K493/365)</f>
        <v>1</v>
      </c>
      <c r="Z493" s="8">
        <f ca="1">_xll.HLV5r3.Analytics.Miscellaneous.Zero2DF(_xll.HLV5r3.Analytics.Miscellaneous.LinearInterp(Peturbed_QZ,$K493,1,Z$1),ZeroCompFreq,'PDH Calc'!$K493/365)</f>
        <v>1</v>
      </c>
      <c r="AA493" s="8">
        <f ca="1">_xll.HLV5r3.Analytics.Miscellaneous.Zero2DF(_xll.HLV5r3.Analytics.Miscellaneous.LinearInterp(Peturbed_QZ,$K493,1,AA$1),ZeroCompFreq,'PDH Calc'!$K493/365)</f>
        <v>1</v>
      </c>
      <c r="AB493" s="8">
        <f ca="1">_xll.HLV5r3.Analytics.Miscellaneous.Zero2DF(_xll.HLV5r3.Analytics.Miscellaneous.LinearInterp(Peturbed_QZ,$K493,1,AB$1),ZeroCompFreq,'PDH Calc'!$K493/365)</f>
        <v>1</v>
      </c>
      <c r="AC493" s="8">
        <f ca="1">_xll.HLV5r3.Analytics.Miscellaneous.Zero2DF(_xll.HLV5r3.Analytics.Miscellaneous.LinearInterp(Peturbed_QZ,$K493,1,AC$1),ZeroCompFreq,'PDH Calc'!$K493/365)</f>
        <v>1</v>
      </c>
      <c r="AD493" s="8">
        <f ca="1">_xll.HLV5r3.Analytics.Miscellaneous.Zero2DF(_xll.HLV5r3.Analytics.Miscellaneous.LinearInterp(Peturbed_QZ,$K493,1,AD$1),ZeroCompFreq,'PDH Calc'!$K493/365)</f>
        <v>1</v>
      </c>
      <c r="AE493" s="8">
        <f ca="1">_xll.HLV5r3.Analytics.Miscellaneous.Zero2DF(_xll.HLV5r3.Analytics.Miscellaneous.LinearInterp(Peturbed_QZ,$K493,1,AE$1),ZeroCompFreq,'PDH Calc'!$K493/365)</f>
        <v>1</v>
      </c>
      <c r="AF493" s="8">
        <f ca="1">_xll.HLV5r3.Analytics.Miscellaneous.Zero2DF(_xll.HLV5r3.Analytics.Miscellaneous.LinearInterp(Peturbed_QZ,$K493,1,AF$1),ZeroCompFreq,'PDH Calc'!$K493/365)</f>
        <v>1</v>
      </c>
      <c r="AG493" s="8">
        <f ca="1">_xll.HLV5r3.Analytics.Miscellaneous.Zero2DF(_xll.HLV5r3.Analytics.Miscellaneous.LinearInterp(Peturbed_QZ,$K493,1,AG$1),ZeroCompFreq,'PDH Calc'!$K493/365)</f>
        <v>1</v>
      </c>
      <c r="AH493" s="8">
        <f ca="1">_xll.HLV5r3.Analytics.Miscellaneous.Zero2DF(_xll.HLV5r3.Analytics.Miscellaneous.LinearInterp(Peturbed_QZ,$K493,1,AH$1),ZeroCompFreq,'PDH Calc'!$K493/365)</f>
        <v>1</v>
      </c>
      <c r="AI493" s="8">
        <f ca="1">_xll.HLV5r3.Analytics.Miscellaneous.Zero2DF(_xll.HLV5r3.Analytics.Miscellaneous.LinearInterp(Peturbed_QZ,$K493,1,AI$1),ZeroCompFreq,'PDH Calc'!$K493/365)</f>
        <v>1</v>
      </c>
      <c r="AJ493" s="8">
        <f ca="1">_xll.HLV5r3.Analytics.Miscellaneous.Zero2DF(_xll.HLV5r3.Analytics.Miscellaneous.LinearInterp(Peturbed_QZ,$K493,1,AJ$1),ZeroCompFreq,'PDH Calc'!$K493/365)</f>
        <v>1</v>
      </c>
      <c r="AK493" s="8">
        <f ca="1">_xll.HLV5r3.Analytics.Miscellaneous.Zero2DF(_xll.HLV5r3.Analytics.Miscellaneous.LinearInterp(Peturbed_QZ,$K493,1,AK$1),ZeroCompFreq,'PDH Calc'!$K493/365)</f>
        <v>1</v>
      </c>
    </row>
    <row r="494" spans="1:37">
      <c r="A494" s="4"/>
      <c r="B494" s="6"/>
      <c r="F494" s="11"/>
      <c r="G494" s="6"/>
      <c r="H494" s="20"/>
      <c r="I494" s="21"/>
      <c r="J494" s="26"/>
      <c r="K494" s="6">
        <f t="shared" ca="1" si="14"/>
        <v>0</v>
      </c>
      <c r="L494" s="8">
        <f ca="1">_xll.HLV5r3.Analytics.Miscellaneous.Zero2DF(_xll.HLV5r3.Analytics.Miscellaneous.LinearInterp(Peturbed_QZ,$K494,1,L$1),ZeroCompFreq,'PDH Calc'!$K494/365)</f>
        <v>1</v>
      </c>
      <c r="M494" s="8">
        <f ca="1">_xll.HLV5r3.Analytics.Miscellaneous.Zero2DF(_xll.HLV5r3.Analytics.Miscellaneous.LinearInterp(Peturbed_QZ,$K494,1,M$1),ZeroCompFreq,'PDH Calc'!$K494/365)</f>
        <v>1</v>
      </c>
      <c r="N494" s="8">
        <f ca="1">_xll.HLV5r3.Analytics.Miscellaneous.Zero2DF(_xll.HLV5r3.Analytics.Miscellaneous.LinearInterp(Peturbed_QZ,$K494,1,N$1),ZeroCompFreq,'PDH Calc'!$K494/365)</f>
        <v>1</v>
      </c>
      <c r="O494" s="8">
        <f ca="1">_xll.HLV5r3.Analytics.Miscellaneous.Zero2DF(_xll.HLV5r3.Analytics.Miscellaneous.LinearInterp(Peturbed_QZ,$K494,1,O$1),ZeroCompFreq,'PDH Calc'!$K494/365)</f>
        <v>1</v>
      </c>
      <c r="P494" s="8">
        <f ca="1">_xll.HLV5r3.Analytics.Miscellaneous.Zero2DF(_xll.HLV5r3.Analytics.Miscellaneous.LinearInterp(Peturbed_QZ,$K494,1,P$1),ZeroCompFreq,'PDH Calc'!$K494/365)</f>
        <v>1</v>
      </c>
      <c r="Q494" s="8">
        <f ca="1">_xll.HLV5r3.Analytics.Miscellaneous.Zero2DF(_xll.HLV5r3.Analytics.Miscellaneous.LinearInterp(Peturbed_QZ,$K494,1,Q$1),ZeroCompFreq,'PDH Calc'!$K494/365)</f>
        <v>1</v>
      </c>
      <c r="R494" s="8">
        <f ca="1">_xll.HLV5r3.Analytics.Miscellaneous.Zero2DF(_xll.HLV5r3.Analytics.Miscellaneous.LinearInterp(Peturbed_QZ,$K494,1,R$1),ZeroCompFreq,'PDH Calc'!$K494/365)</f>
        <v>1</v>
      </c>
      <c r="S494" s="8">
        <f ca="1">_xll.HLV5r3.Analytics.Miscellaneous.Zero2DF(_xll.HLV5r3.Analytics.Miscellaneous.LinearInterp(Peturbed_QZ,$K494,1,S$1),ZeroCompFreq,'PDH Calc'!$K494/365)</f>
        <v>1</v>
      </c>
      <c r="T494" s="8">
        <f ca="1">_xll.HLV5r3.Analytics.Miscellaneous.Zero2DF(_xll.HLV5r3.Analytics.Miscellaneous.LinearInterp(Peturbed_QZ,$K494,1,T$1),ZeroCompFreq,'PDH Calc'!$K494/365)</f>
        <v>1</v>
      </c>
      <c r="U494" s="8">
        <f ca="1">_xll.HLV5r3.Analytics.Miscellaneous.Zero2DF(_xll.HLV5r3.Analytics.Miscellaneous.LinearInterp(Peturbed_QZ,$K494,1,U$1),ZeroCompFreq,'PDH Calc'!$K494/365)</f>
        <v>1</v>
      </c>
      <c r="V494" s="8">
        <f ca="1">_xll.HLV5r3.Analytics.Miscellaneous.Zero2DF(_xll.HLV5r3.Analytics.Miscellaneous.LinearInterp(Peturbed_QZ,$K494,1,V$1),ZeroCompFreq,'PDH Calc'!$K494/365)</f>
        <v>1</v>
      </c>
      <c r="W494" s="8">
        <f ca="1">_xll.HLV5r3.Analytics.Miscellaneous.Zero2DF(_xll.HLV5r3.Analytics.Miscellaneous.LinearInterp(Peturbed_QZ,$K494,1,W$1),ZeroCompFreq,'PDH Calc'!$K494/365)</f>
        <v>1</v>
      </c>
      <c r="X494" s="8">
        <f ca="1">_xll.HLV5r3.Analytics.Miscellaneous.Zero2DF(_xll.HLV5r3.Analytics.Miscellaneous.LinearInterp(Peturbed_QZ,$K494,1,X$1),ZeroCompFreq,'PDH Calc'!$K494/365)</f>
        <v>1</v>
      </c>
      <c r="Y494" s="8">
        <f ca="1">_xll.HLV5r3.Analytics.Miscellaneous.Zero2DF(_xll.HLV5r3.Analytics.Miscellaneous.LinearInterp(Peturbed_QZ,$K494,1,Y$1),ZeroCompFreq,'PDH Calc'!$K494/365)</f>
        <v>1</v>
      </c>
      <c r="Z494" s="8">
        <f ca="1">_xll.HLV5r3.Analytics.Miscellaneous.Zero2DF(_xll.HLV5r3.Analytics.Miscellaneous.LinearInterp(Peturbed_QZ,$K494,1,Z$1),ZeroCompFreq,'PDH Calc'!$K494/365)</f>
        <v>1</v>
      </c>
      <c r="AA494" s="8">
        <f ca="1">_xll.HLV5r3.Analytics.Miscellaneous.Zero2DF(_xll.HLV5r3.Analytics.Miscellaneous.LinearInterp(Peturbed_QZ,$K494,1,AA$1),ZeroCompFreq,'PDH Calc'!$K494/365)</f>
        <v>1</v>
      </c>
      <c r="AB494" s="8">
        <f ca="1">_xll.HLV5r3.Analytics.Miscellaneous.Zero2DF(_xll.HLV5r3.Analytics.Miscellaneous.LinearInterp(Peturbed_QZ,$K494,1,AB$1),ZeroCompFreq,'PDH Calc'!$K494/365)</f>
        <v>1</v>
      </c>
      <c r="AC494" s="8">
        <f ca="1">_xll.HLV5r3.Analytics.Miscellaneous.Zero2DF(_xll.HLV5r3.Analytics.Miscellaneous.LinearInterp(Peturbed_QZ,$K494,1,AC$1),ZeroCompFreq,'PDH Calc'!$K494/365)</f>
        <v>1</v>
      </c>
      <c r="AD494" s="8">
        <f ca="1">_xll.HLV5r3.Analytics.Miscellaneous.Zero2DF(_xll.HLV5r3.Analytics.Miscellaneous.LinearInterp(Peturbed_QZ,$K494,1,AD$1),ZeroCompFreq,'PDH Calc'!$K494/365)</f>
        <v>1</v>
      </c>
      <c r="AE494" s="8">
        <f ca="1">_xll.HLV5r3.Analytics.Miscellaneous.Zero2DF(_xll.HLV5r3.Analytics.Miscellaneous.LinearInterp(Peturbed_QZ,$K494,1,AE$1),ZeroCompFreq,'PDH Calc'!$K494/365)</f>
        <v>1</v>
      </c>
      <c r="AF494" s="8">
        <f ca="1">_xll.HLV5r3.Analytics.Miscellaneous.Zero2DF(_xll.HLV5r3.Analytics.Miscellaneous.LinearInterp(Peturbed_QZ,$K494,1,AF$1),ZeroCompFreq,'PDH Calc'!$K494/365)</f>
        <v>1</v>
      </c>
      <c r="AG494" s="8">
        <f ca="1">_xll.HLV5r3.Analytics.Miscellaneous.Zero2DF(_xll.HLV5r3.Analytics.Miscellaneous.LinearInterp(Peturbed_QZ,$K494,1,AG$1),ZeroCompFreq,'PDH Calc'!$K494/365)</f>
        <v>1</v>
      </c>
      <c r="AH494" s="8">
        <f ca="1">_xll.HLV5r3.Analytics.Miscellaneous.Zero2DF(_xll.HLV5r3.Analytics.Miscellaneous.LinearInterp(Peturbed_QZ,$K494,1,AH$1),ZeroCompFreq,'PDH Calc'!$K494/365)</f>
        <v>1</v>
      </c>
      <c r="AI494" s="8">
        <f ca="1">_xll.HLV5r3.Analytics.Miscellaneous.Zero2DF(_xll.HLV5r3.Analytics.Miscellaneous.LinearInterp(Peturbed_QZ,$K494,1,AI$1),ZeroCompFreq,'PDH Calc'!$K494/365)</f>
        <v>1</v>
      </c>
      <c r="AJ494" s="8">
        <f ca="1">_xll.HLV5r3.Analytics.Miscellaneous.Zero2DF(_xll.HLV5r3.Analytics.Miscellaneous.LinearInterp(Peturbed_QZ,$K494,1,AJ$1),ZeroCompFreq,'PDH Calc'!$K494/365)</f>
        <v>1</v>
      </c>
      <c r="AK494" s="8">
        <f ca="1">_xll.HLV5r3.Analytics.Miscellaneous.Zero2DF(_xll.HLV5r3.Analytics.Miscellaneous.LinearInterp(Peturbed_QZ,$K494,1,AK$1),ZeroCompFreq,'PDH Calc'!$K494/365)</f>
        <v>1</v>
      </c>
    </row>
    <row r="495" spans="1:37">
      <c r="A495" s="4"/>
      <c r="B495" s="6"/>
      <c r="F495" s="11"/>
      <c r="G495" s="6"/>
      <c r="H495" s="20"/>
      <c r="I495" s="21"/>
      <c r="J495" s="26"/>
      <c r="K495" s="6">
        <f t="shared" ca="1" si="14"/>
        <v>0</v>
      </c>
      <c r="L495" s="8">
        <f ca="1">_xll.HLV5r3.Analytics.Miscellaneous.Zero2DF(_xll.HLV5r3.Analytics.Miscellaneous.LinearInterp(Peturbed_QZ,$K495,1,L$1),ZeroCompFreq,'PDH Calc'!$K495/365)</f>
        <v>1</v>
      </c>
      <c r="M495" s="8">
        <f ca="1">_xll.HLV5r3.Analytics.Miscellaneous.Zero2DF(_xll.HLV5r3.Analytics.Miscellaneous.LinearInterp(Peturbed_QZ,$K495,1,M$1),ZeroCompFreq,'PDH Calc'!$K495/365)</f>
        <v>1</v>
      </c>
      <c r="N495" s="8">
        <f ca="1">_xll.HLV5r3.Analytics.Miscellaneous.Zero2DF(_xll.HLV5r3.Analytics.Miscellaneous.LinearInterp(Peturbed_QZ,$K495,1,N$1),ZeroCompFreq,'PDH Calc'!$K495/365)</f>
        <v>1</v>
      </c>
      <c r="O495" s="8">
        <f ca="1">_xll.HLV5r3.Analytics.Miscellaneous.Zero2DF(_xll.HLV5r3.Analytics.Miscellaneous.LinearInterp(Peturbed_QZ,$K495,1,O$1),ZeroCompFreq,'PDH Calc'!$K495/365)</f>
        <v>1</v>
      </c>
      <c r="P495" s="8">
        <f ca="1">_xll.HLV5r3.Analytics.Miscellaneous.Zero2DF(_xll.HLV5r3.Analytics.Miscellaneous.LinearInterp(Peturbed_QZ,$K495,1,P$1),ZeroCompFreq,'PDH Calc'!$K495/365)</f>
        <v>1</v>
      </c>
      <c r="Q495" s="8">
        <f ca="1">_xll.HLV5r3.Analytics.Miscellaneous.Zero2DF(_xll.HLV5r3.Analytics.Miscellaneous.LinearInterp(Peturbed_QZ,$K495,1,Q$1),ZeroCompFreq,'PDH Calc'!$K495/365)</f>
        <v>1</v>
      </c>
      <c r="R495" s="8">
        <f ca="1">_xll.HLV5r3.Analytics.Miscellaneous.Zero2DF(_xll.HLV5r3.Analytics.Miscellaneous.LinearInterp(Peturbed_QZ,$K495,1,R$1),ZeroCompFreq,'PDH Calc'!$K495/365)</f>
        <v>1</v>
      </c>
      <c r="S495" s="8">
        <f ca="1">_xll.HLV5r3.Analytics.Miscellaneous.Zero2DF(_xll.HLV5r3.Analytics.Miscellaneous.LinearInterp(Peturbed_QZ,$K495,1,S$1),ZeroCompFreq,'PDH Calc'!$K495/365)</f>
        <v>1</v>
      </c>
      <c r="T495" s="8">
        <f ca="1">_xll.HLV5r3.Analytics.Miscellaneous.Zero2DF(_xll.HLV5r3.Analytics.Miscellaneous.LinearInterp(Peturbed_QZ,$K495,1,T$1),ZeroCompFreq,'PDH Calc'!$K495/365)</f>
        <v>1</v>
      </c>
      <c r="U495" s="8">
        <f ca="1">_xll.HLV5r3.Analytics.Miscellaneous.Zero2DF(_xll.HLV5r3.Analytics.Miscellaneous.LinearInterp(Peturbed_QZ,$K495,1,U$1),ZeroCompFreq,'PDH Calc'!$K495/365)</f>
        <v>1</v>
      </c>
      <c r="V495" s="8">
        <f ca="1">_xll.HLV5r3.Analytics.Miscellaneous.Zero2DF(_xll.HLV5r3.Analytics.Miscellaneous.LinearInterp(Peturbed_QZ,$K495,1,V$1),ZeroCompFreq,'PDH Calc'!$K495/365)</f>
        <v>1</v>
      </c>
      <c r="W495" s="8">
        <f ca="1">_xll.HLV5r3.Analytics.Miscellaneous.Zero2DF(_xll.HLV5r3.Analytics.Miscellaneous.LinearInterp(Peturbed_QZ,$K495,1,W$1),ZeroCompFreq,'PDH Calc'!$K495/365)</f>
        <v>1</v>
      </c>
      <c r="X495" s="8">
        <f ca="1">_xll.HLV5r3.Analytics.Miscellaneous.Zero2DF(_xll.HLV5r3.Analytics.Miscellaneous.LinearInterp(Peturbed_QZ,$K495,1,X$1),ZeroCompFreq,'PDH Calc'!$K495/365)</f>
        <v>1</v>
      </c>
      <c r="Y495" s="8">
        <f ca="1">_xll.HLV5r3.Analytics.Miscellaneous.Zero2DF(_xll.HLV5r3.Analytics.Miscellaneous.LinearInterp(Peturbed_QZ,$K495,1,Y$1),ZeroCompFreq,'PDH Calc'!$K495/365)</f>
        <v>1</v>
      </c>
      <c r="Z495" s="8">
        <f ca="1">_xll.HLV5r3.Analytics.Miscellaneous.Zero2DF(_xll.HLV5r3.Analytics.Miscellaneous.LinearInterp(Peturbed_QZ,$K495,1,Z$1),ZeroCompFreq,'PDH Calc'!$K495/365)</f>
        <v>1</v>
      </c>
      <c r="AA495" s="8">
        <f ca="1">_xll.HLV5r3.Analytics.Miscellaneous.Zero2DF(_xll.HLV5r3.Analytics.Miscellaneous.LinearInterp(Peturbed_QZ,$K495,1,AA$1),ZeroCompFreq,'PDH Calc'!$K495/365)</f>
        <v>1</v>
      </c>
      <c r="AB495" s="8">
        <f ca="1">_xll.HLV5r3.Analytics.Miscellaneous.Zero2DF(_xll.HLV5r3.Analytics.Miscellaneous.LinearInterp(Peturbed_QZ,$K495,1,AB$1),ZeroCompFreq,'PDH Calc'!$K495/365)</f>
        <v>1</v>
      </c>
      <c r="AC495" s="8">
        <f ca="1">_xll.HLV5r3.Analytics.Miscellaneous.Zero2DF(_xll.HLV5r3.Analytics.Miscellaneous.LinearInterp(Peturbed_QZ,$K495,1,AC$1),ZeroCompFreq,'PDH Calc'!$K495/365)</f>
        <v>1</v>
      </c>
      <c r="AD495" s="8">
        <f ca="1">_xll.HLV5r3.Analytics.Miscellaneous.Zero2DF(_xll.HLV5r3.Analytics.Miscellaneous.LinearInterp(Peturbed_QZ,$K495,1,AD$1),ZeroCompFreq,'PDH Calc'!$K495/365)</f>
        <v>1</v>
      </c>
      <c r="AE495" s="8">
        <f ca="1">_xll.HLV5r3.Analytics.Miscellaneous.Zero2DF(_xll.HLV5r3.Analytics.Miscellaneous.LinearInterp(Peturbed_QZ,$K495,1,AE$1),ZeroCompFreq,'PDH Calc'!$K495/365)</f>
        <v>1</v>
      </c>
      <c r="AF495" s="8">
        <f ca="1">_xll.HLV5r3.Analytics.Miscellaneous.Zero2DF(_xll.HLV5r3.Analytics.Miscellaneous.LinearInterp(Peturbed_QZ,$K495,1,AF$1),ZeroCompFreq,'PDH Calc'!$K495/365)</f>
        <v>1</v>
      </c>
      <c r="AG495" s="8">
        <f ca="1">_xll.HLV5r3.Analytics.Miscellaneous.Zero2DF(_xll.HLV5r3.Analytics.Miscellaneous.LinearInterp(Peturbed_QZ,$K495,1,AG$1),ZeroCompFreq,'PDH Calc'!$K495/365)</f>
        <v>1</v>
      </c>
      <c r="AH495" s="8">
        <f ca="1">_xll.HLV5r3.Analytics.Miscellaneous.Zero2DF(_xll.HLV5r3.Analytics.Miscellaneous.LinearInterp(Peturbed_QZ,$K495,1,AH$1),ZeroCompFreq,'PDH Calc'!$K495/365)</f>
        <v>1</v>
      </c>
      <c r="AI495" s="8">
        <f ca="1">_xll.HLV5r3.Analytics.Miscellaneous.Zero2DF(_xll.HLV5r3.Analytics.Miscellaneous.LinearInterp(Peturbed_QZ,$K495,1,AI$1),ZeroCompFreq,'PDH Calc'!$K495/365)</f>
        <v>1</v>
      </c>
      <c r="AJ495" s="8">
        <f ca="1">_xll.HLV5r3.Analytics.Miscellaneous.Zero2DF(_xll.HLV5r3.Analytics.Miscellaneous.LinearInterp(Peturbed_QZ,$K495,1,AJ$1),ZeroCompFreq,'PDH Calc'!$K495/365)</f>
        <v>1</v>
      </c>
      <c r="AK495" s="8">
        <f ca="1">_xll.HLV5r3.Analytics.Miscellaneous.Zero2DF(_xll.HLV5r3.Analytics.Miscellaneous.LinearInterp(Peturbed_QZ,$K495,1,AK$1),ZeroCompFreq,'PDH Calc'!$K495/365)</f>
        <v>1</v>
      </c>
    </row>
    <row r="496" spans="1:37">
      <c r="A496" s="4"/>
      <c r="B496" s="6"/>
      <c r="F496" s="11"/>
      <c r="G496" s="6"/>
      <c r="H496" s="20"/>
      <c r="I496" s="21"/>
      <c r="J496" s="26"/>
      <c r="K496" s="6">
        <f t="shared" ca="1" si="14"/>
        <v>0</v>
      </c>
      <c r="L496" s="8">
        <f ca="1">_xll.HLV5r3.Analytics.Miscellaneous.Zero2DF(_xll.HLV5r3.Analytics.Miscellaneous.LinearInterp(Peturbed_QZ,$K496,1,L$1),ZeroCompFreq,'PDH Calc'!$K496/365)</f>
        <v>1</v>
      </c>
      <c r="M496" s="8">
        <f ca="1">_xll.HLV5r3.Analytics.Miscellaneous.Zero2DF(_xll.HLV5r3.Analytics.Miscellaneous.LinearInterp(Peturbed_QZ,$K496,1,M$1),ZeroCompFreq,'PDH Calc'!$K496/365)</f>
        <v>1</v>
      </c>
      <c r="N496" s="8">
        <f ca="1">_xll.HLV5r3.Analytics.Miscellaneous.Zero2DF(_xll.HLV5r3.Analytics.Miscellaneous.LinearInterp(Peturbed_QZ,$K496,1,N$1),ZeroCompFreq,'PDH Calc'!$K496/365)</f>
        <v>1</v>
      </c>
      <c r="O496" s="8">
        <f ca="1">_xll.HLV5r3.Analytics.Miscellaneous.Zero2DF(_xll.HLV5r3.Analytics.Miscellaneous.LinearInterp(Peturbed_QZ,$K496,1,O$1),ZeroCompFreq,'PDH Calc'!$K496/365)</f>
        <v>1</v>
      </c>
      <c r="P496" s="8">
        <f ca="1">_xll.HLV5r3.Analytics.Miscellaneous.Zero2DF(_xll.HLV5r3.Analytics.Miscellaneous.LinearInterp(Peturbed_QZ,$K496,1,P$1),ZeroCompFreq,'PDH Calc'!$K496/365)</f>
        <v>1</v>
      </c>
      <c r="Q496" s="8">
        <f ca="1">_xll.HLV5r3.Analytics.Miscellaneous.Zero2DF(_xll.HLV5r3.Analytics.Miscellaneous.LinearInterp(Peturbed_QZ,$K496,1,Q$1),ZeroCompFreq,'PDH Calc'!$K496/365)</f>
        <v>1</v>
      </c>
      <c r="R496" s="8">
        <f ca="1">_xll.HLV5r3.Analytics.Miscellaneous.Zero2DF(_xll.HLV5r3.Analytics.Miscellaneous.LinearInterp(Peturbed_QZ,$K496,1,R$1),ZeroCompFreq,'PDH Calc'!$K496/365)</f>
        <v>1</v>
      </c>
      <c r="S496" s="8">
        <f ca="1">_xll.HLV5r3.Analytics.Miscellaneous.Zero2DF(_xll.HLV5r3.Analytics.Miscellaneous.LinearInterp(Peturbed_QZ,$K496,1,S$1),ZeroCompFreq,'PDH Calc'!$K496/365)</f>
        <v>1</v>
      </c>
      <c r="T496" s="8">
        <f ca="1">_xll.HLV5r3.Analytics.Miscellaneous.Zero2DF(_xll.HLV5r3.Analytics.Miscellaneous.LinearInterp(Peturbed_QZ,$K496,1,T$1),ZeroCompFreq,'PDH Calc'!$K496/365)</f>
        <v>1</v>
      </c>
      <c r="U496" s="8">
        <f ca="1">_xll.HLV5r3.Analytics.Miscellaneous.Zero2DF(_xll.HLV5r3.Analytics.Miscellaneous.LinearInterp(Peturbed_QZ,$K496,1,U$1),ZeroCompFreq,'PDH Calc'!$K496/365)</f>
        <v>1</v>
      </c>
      <c r="V496" s="8">
        <f ca="1">_xll.HLV5r3.Analytics.Miscellaneous.Zero2DF(_xll.HLV5r3.Analytics.Miscellaneous.LinearInterp(Peturbed_QZ,$K496,1,V$1),ZeroCompFreq,'PDH Calc'!$K496/365)</f>
        <v>1</v>
      </c>
      <c r="W496" s="8">
        <f ca="1">_xll.HLV5r3.Analytics.Miscellaneous.Zero2DF(_xll.HLV5r3.Analytics.Miscellaneous.LinearInterp(Peturbed_QZ,$K496,1,W$1),ZeroCompFreq,'PDH Calc'!$K496/365)</f>
        <v>1</v>
      </c>
      <c r="X496" s="8">
        <f ca="1">_xll.HLV5r3.Analytics.Miscellaneous.Zero2DF(_xll.HLV5r3.Analytics.Miscellaneous.LinearInterp(Peturbed_QZ,$K496,1,X$1),ZeroCompFreq,'PDH Calc'!$K496/365)</f>
        <v>1</v>
      </c>
      <c r="Y496" s="8">
        <f ca="1">_xll.HLV5r3.Analytics.Miscellaneous.Zero2DF(_xll.HLV5r3.Analytics.Miscellaneous.LinearInterp(Peturbed_QZ,$K496,1,Y$1),ZeroCompFreq,'PDH Calc'!$K496/365)</f>
        <v>1</v>
      </c>
      <c r="Z496" s="8">
        <f ca="1">_xll.HLV5r3.Analytics.Miscellaneous.Zero2DF(_xll.HLV5r3.Analytics.Miscellaneous.LinearInterp(Peturbed_QZ,$K496,1,Z$1),ZeroCompFreq,'PDH Calc'!$K496/365)</f>
        <v>1</v>
      </c>
      <c r="AA496" s="8">
        <f ca="1">_xll.HLV5r3.Analytics.Miscellaneous.Zero2DF(_xll.HLV5r3.Analytics.Miscellaneous.LinearInterp(Peturbed_QZ,$K496,1,AA$1),ZeroCompFreq,'PDH Calc'!$K496/365)</f>
        <v>1</v>
      </c>
      <c r="AB496" s="8">
        <f ca="1">_xll.HLV5r3.Analytics.Miscellaneous.Zero2DF(_xll.HLV5r3.Analytics.Miscellaneous.LinearInterp(Peturbed_QZ,$K496,1,AB$1),ZeroCompFreq,'PDH Calc'!$K496/365)</f>
        <v>1</v>
      </c>
      <c r="AC496" s="8">
        <f ca="1">_xll.HLV5r3.Analytics.Miscellaneous.Zero2DF(_xll.HLV5r3.Analytics.Miscellaneous.LinearInterp(Peturbed_QZ,$K496,1,AC$1),ZeroCompFreq,'PDH Calc'!$K496/365)</f>
        <v>1</v>
      </c>
      <c r="AD496" s="8">
        <f ca="1">_xll.HLV5r3.Analytics.Miscellaneous.Zero2DF(_xll.HLV5r3.Analytics.Miscellaneous.LinearInterp(Peturbed_QZ,$K496,1,AD$1),ZeroCompFreq,'PDH Calc'!$K496/365)</f>
        <v>1</v>
      </c>
      <c r="AE496" s="8">
        <f ca="1">_xll.HLV5r3.Analytics.Miscellaneous.Zero2DF(_xll.HLV5r3.Analytics.Miscellaneous.LinearInterp(Peturbed_QZ,$K496,1,AE$1),ZeroCompFreq,'PDH Calc'!$K496/365)</f>
        <v>1</v>
      </c>
      <c r="AF496" s="8">
        <f ca="1">_xll.HLV5r3.Analytics.Miscellaneous.Zero2DF(_xll.HLV5r3.Analytics.Miscellaneous.LinearInterp(Peturbed_QZ,$K496,1,AF$1),ZeroCompFreq,'PDH Calc'!$K496/365)</f>
        <v>1</v>
      </c>
      <c r="AG496" s="8">
        <f ca="1">_xll.HLV5r3.Analytics.Miscellaneous.Zero2DF(_xll.HLV5r3.Analytics.Miscellaneous.LinearInterp(Peturbed_QZ,$K496,1,AG$1),ZeroCompFreq,'PDH Calc'!$K496/365)</f>
        <v>1</v>
      </c>
      <c r="AH496" s="8">
        <f ca="1">_xll.HLV5r3.Analytics.Miscellaneous.Zero2DF(_xll.HLV5r3.Analytics.Miscellaneous.LinearInterp(Peturbed_QZ,$K496,1,AH$1),ZeroCompFreq,'PDH Calc'!$K496/365)</f>
        <v>1</v>
      </c>
      <c r="AI496" s="8">
        <f ca="1">_xll.HLV5r3.Analytics.Miscellaneous.Zero2DF(_xll.HLV5r3.Analytics.Miscellaneous.LinearInterp(Peturbed_QZ,$K496,1,AI$1),ZeroCompFreq,'PDH Calc'!$K496/365)</f>
        <v>1</v>
      </c>
      <c r="AJ496" s="8">
        <f ca="1">_xll.HLV5r3.Analytics.Miscellaneous.Zero2DF(_xll.HLV5r3.Analytics.Miscellaneous.LinearInterp(Peturbed_QZ,$K496,1,AJ$1),ZeroCompFreq,'PDH Calc'!$K496/365)</f>
        <v>1</v>
      </c>
      <c r="AK496" s="8">
        <f ca="1">_xll.HLV5r3.Analytics.Miscellaneous.Zero2DF(_xll.HLV5r3.Analytics.Miscellaneous.LinearInterp(Peturbed_QZ,$K496,1,AK$1),ZeroCompFreq,'PDH Calc'!$K496/365)</f>
        <v>1</v>
      </c>
    </row>
    <row r="497" spans="1:37">
      <c r="A497" s="4"/>
      <c r="B497" s="6"/>
      <c r="F497" s="11"/>
      <c r="G497" s="6"/>
      <c r="H497" s="20"/>
      <c r="I497" s="21"/>
      <c r="J497" s="26"/>
      <c r="K497" s="6">
        <f t="shared" ca="1" si="14"/>
        <v>0</v>
      </c>
      <c r="L497" s="8">
        <f ca="1">_xll.HLV5r3.Analytics.Miscellaneous.Zero2DF(_xll.HLV5r3.Analytics.Miscellaneous.LinearInterp(Peturbed_QZ,$K497,1,L$1),ZeroCompFreq,'PDH Calc'!$K497/365)</f>
        <v>1</v>
      </c>
      <c r="M497" s="8">
        <f ca="1">_xll.HLV5r3.Analytics.Miscellaneous.Zero2DF(_xll.HLV5r3.Analytics.Miscellaneous.LinearInterp(Peturbed_QZ,$K497,1,M$1),ZeroCompFreq,'PDH Calc'!$K497/365)</f>
        <v>1</v>
      </c>
      <c r="N497" s="8">
        <f ca="1">_xll.HLV5r3.Analytics.Miscellaneous.Zero2DF(_xll.HLV5r3.Analytics.Miscellaneous.LinearInterp(Peturbed_QZ,$K497,1,N$1),ZeroCompFreq,'PDH Calc'!$K497/365)</f>
        <v>1</v>
      </c>
      <c r="O497" s="8">
        <f ca="1">_xll.HLV5r3.Analytics.Miscellaneous.Zero2DF(_xll.HLV5r3.Analytics.Miscellaneous.LinearInterp(Peturbed_QZ,$K497,1,O$1),ZeroCompFreq,'PDH Calc'!$K497/365)</f>
        <v>1</v>
      </c>
      <c r="P497" s="8">
        <f ca="1">_xll.HLV5r3.Analytics.Miscellaneous.Zero2DF(_xll.HLV5r3.Analytics.Miscellaneous.LinearInterp(Peturbed_QZ,$K497,1,P$1),ZeroCompFreq,'PDH Calc'!$K497/365)</f>
        <v>1</v>
      </c>
      <c r="Q497" s="8">
        <f ca="1">_xll.HLV5r3.Analytics.Miscellaneous.Zero2DF(_xll.HLV5r3.Analytics.Miscellaneous.LinearInterp(Peturbed_QZ,$K497,1,Q$1),ZeroCompFreq,'PDH Calc'!$K497/365)</f>
        <v>1</v>
      </c>
      <c r="R497" s="8">
        <f ca="1">_xll.HLV5r3.Analytics.Miscellaneous.Zero2DF(_xll.HLV5r3.Analytics.Miscellaneous.LinearInterp(Peturbed_QZ,$K497,1,R$1),ZeroCompFreq,'PDH Calc'!$K497/365)</f>
        <v>1</v>
      </c>
      <c r="S497" s="8">
        <f ca="1">_xll.HLV5r3.Analytics.Miscellaneous.Zero2DF(_xll.HLV5r3.Analytics.Miscellaneous.LinearInterp(Peturbed_QZ,$K497,1,S$1),ZeroCompFreq,'PDH Calc'!$K497/365)</f>
        <v>1</v>
      </c>
      <c r="T497" s="8">
        <f ca="1">_xll.HLV5r3.Analytics.Miscellaneous.Zero2DF(_xll.HLV5r3.Analytics.Miscellaneous.LinearInterp(Peturbed_QZ,$K497,1,T$1),ZeroCompFreq,'PDH Calc'!$K497/365)</f>
        <v>1</v>
      </c>
      <c r="U497" s="8">
        <f ca="1">_xll.HLV5r3.Analytics.Miscellaneous.Zero2DF(_xll.HLV5r3.Analytics.Miscellaneous.LinearInterp(Peturbed_QZ,$K497,1,U$1),ZeroCompFreq,'PDH Calc'!$K497/365)</f>
        <v>1</v>
      </c>
      <c r="V497" s="8">
        <f ca="1">_xll.HLV5r3.Analytics.Miscellaneous.Zero2DF(_xll.HLV5r3.Analytics.Miscellaneous.LinearInterp(Peturbed_QZ,$K497,1,V$1),ZeroCompFreq,'PDH Calc'!$K497/365)</f>
        <v>1</v>
      </c>
      <c r="W497" s="8">
        <f ca="1">_xll.HLV5r3.Analytics.Miscellaneous.Zero2DF(_xll.HLV5r3.Analytics.Miscellaneous.LinearInterp(Peturbed_QZ,$K497,1,W$1),ZeroCompFreq,'PDH Calc'!$K497/365)</f>
        <v>1</v>
      </c>
      <c r="X497" s="8">
        <f ca="1">_xll.HLV5r3.Analytics.Miscellaneous.Zero2DF(_xll.HLV5r3.Analytics.Miscellaneous.LinearInterp(Peturbed_QZ,$K497,1,X$1),ZeroCompFreq,'PDH Calc'!$K497/365)</f>
        <v>1</v>
      </c>
      <c r="Y497" s="8">
        <f ca="1">_xll.HLV5r3.Analytics.Miscellaneous.Zero2DF(_xll.HLV5r3.Analytics.Miscellaneous.LinearInterp(Peturbed_QZ,$K497,1,Y$1),ZeroCompFreq,'PDH Calc'!$K497/365)</f>
        <v>1</v>
      </c>
      <c r="Z497" s="8">
        <f ca="1">_xll.HLV5r3.Analytics.Miscellaneous.Zero2DF(_xll.HLV5r3.Analytics.Miscellaneous.LinearInterp(Peturbed_QZ,$K497,1,Z$1),ZeroCompFreq,'PDH Calc'!$K497/365)</f>
        <v>1</v>
      </c>
      <c r="AA497" s="8">
        <f ca="1">_xll.HLV5r3.Analytics.Miscellaneous.Zero2DF(_xll.HLV5r3.Analytics.Miscellaneous.LinearInterp(Peturbed_QZ,$K497,1,AA$1),ZeroCompFreq,'PDH Calc'!$K497/365)</f>
        <v>1</v>
      </c>
      <c r="AB497" s="8">
        <f ca="1">_xll.HLV5r3.Analytics.Miscellaneous.Zero2DF(_xll.HLV5r3.Analytics.Miscellaneous.LinearInterp(Peturbed_QZ,$K497,1,AB$1),ZeroCompFreq,'PDH Calc'!$K497/365)</f>
        <v>1</v>
      </c>
      <c r="AC497" s="8">
        <f ca="1">_xll.HLV5r3.Analytics.Miscellaneous.Zero2DF(_xll.HLV5r3.Analytics.Miscellaneous.LinearInterp(Peturbed_QZ,$K497,1,AC$1),ZeroCompFreq,'PDH Calc'!$K497/365)</f>
        <v>1</v>
      </c>
      <c r="AD497" s="8">
        <f ca="1">_xll.HLV5r3.Analytics.Miscellaneous.Zero2DF(_xll.HLV5r3.Analytics.Miscellaneous.LinearInterp(Peturbed_QZ,$K497,1,AD$1),ZeroCompFreq,'PDH Calc'!$K497/365)</f>
        <v>1</v>
      </c>
      <c r="AE497" s="8">
        <f ca="1">_xll.HLV5r3.Analytics.Miscellaneous.Zero2DF(_xll.HLV5r3.Analytics.Miscellaneous.LinearInterp(Peturbed_QZ,$K497,1,AE$1),ZeroCompFreq,'PDH Calc'!$K497/365)</f>
        <v>1</v>
      </c>
      <c r="AF497" s="8">
        <f ca="1">_xll.HLV5r3.Analytics.Miscellaneous.Zero2DF(_xll.HLV5r3.Analytics.Miscellaneous.LinearInterp(Peturbed_QZ,$K497,1,AF$1),ZeroCompFreq,'PDH Calc'!$K497/365)</f>
        <v>1</v>
      </c>
      <c r="AG497" s="8">
        <f ca="1">_xll.HLV5r3.Analytics.Miscellaneous.Zero2DF(_xll.HLV5r3.Analytics.Miscellaneous.LinearInterp(Peturbed_QZ,$K497,1,AG$1),ZeroCompFreq,'PDH Calc'!$K497/365)</f>
        <v>1</v>
      </c>
      <c r="AH497" s="8">
        <f ca="1">_xll.HLV5r3.Analytics.Miscellaneous.Zero2DF(_xll.HLV5r3.Analytics.Miscellaneous.LinearInterp(Peturbed_QZ,$K497,1,AH$1),ZeroCompFreq,'PDH Calc'!$K497/365)</f>
        <v>1</v>
      </c>
      <c r="AI497" s="8">
        <f ca="1">_xll.HLV5r3.Analytics.Miscellaneous.Zero2DF(_xll.HLV5r3.Analytics.Miscellaneous.LinearInterp(Peturbed_QZ,$K497,1,AI$1),ZeroCompFreq,'PDH Calc'!$K497/365)</f>
        <v>1</v>
      </c>
      <c r="AJ497" s="8">
        <f ca="1">_xll.HLV5r3.Analytics.Miscellaneous.Zero2DF(_xll.HLV5r3.Analytics.Miscellaneous.LinearInterp(Peturbed_QZ,$K497,1,AJ$1),ZeroCompFreq,'PDH Calc'!$K497/365)</f>
        <v>1</v>
      </c>
      <c r="AK497" s="8">
        <f ca="1">_xll.HLV5r3.Analytics.Miscellaneous.Zero2DF(_xll.HLV5r3.Analytics.Miscellaneous.LinearInterp(Peturbed_QZ,$K497,1,AK$1),ZeroCompFreq,'PDH Calc'!$K497/365)</f>
        <v>1</v>
      </c>
    </row>
    <row r="498" spans="1:37">
      <c r="A498" s="4"/>
      <c r="B498" s="6"/>
      <c r="F498" s="11"/>
      <c r="G498" s="6"/>
      <c r="H498" s="20"/>
      <c r="I498" s="21"/>
      <c r="J498" s="26"/>
      <c r="K498" s="6">
        <f t="shared" ca="1" si="14"/>
        <v>0</v>
      </c>
      <c r="L498" s="8">
        <f ca="1">_xll.HLV5r3.Analytics.Miscellaneous.Zero2DF(_xll.HLV5r3.Analytics.Miscellaneous.LinearInterp(Peturbed_QZ,$K498,1,L$1),ZeroCompFreq,'PDH Calc'!$K498/365)</f>
        <v>1</v>
      </c>
      <c r="M498" s="8">
        <f ca="1">_xll.HLV5r3.Analytics.Miscellaneous.Zero2DF(_xll.HLV5r3.Analytics.Miscellaneous.LinearInterp(Peturbed_QZ,$K498,1,M$1),ZeroCompFreq,'PDH Calc'!$K498/365)</f>
        <v>1</v>
      </c>
      <c r="N498" s="8">
        <f ca="1">_xll.HLV5r3.Analytics.Miscellaneous.Zero2DF(_xll.HLV5r3.Analytics.Miscellaneous.LinearInterp(Peturbed_QZ,$K498,1,N$1),ZeroCompFreq,'PDH Calc'!$K498/365)</f>
        <v>1</v>
      </c>
      <c r="O498" s="8">
        <f ca="1">_xll.HLV5r3.Analytics.Miscellaneous.Zero2DF(_xll.HLV5r3.Analytics.Miscellaneous.LinearInterp(Peturbed_QZ,$K498,1,O$1),ZeroCompFreq,'PDH Calc'!$K498/365)</f>
        <v>1</v>
      </c>
      <c r="P498" s="8">
        <f ca="1">_xll.HLV5r3.Analytics.Miscellaneous.Zero2DF(_xll.HLV5r3.Analytics.Miscellaneous.LinearInterp(Peturbed_QZ,$K498,1,P$1),ZeroCompFreq,'PDH Calc'!$K498/365)</f>
        <v>1</v>
      </c>
      <c r="Q498" s="8">
        <f ca="1">_xll.HLV5r3.Analytics.Miscellaneous.Zero2DF(_xll.HLV5r3.Analytics.Miscellaneous.LinearInterp(Peturbed_QZ,$K498,1,Q$1),ZeroCompFreq,'PDH Calc'!$K498/365)</f>
        <v>1</v>
      </c>
      <c r="R498" s="8">
        <f ca="1">_xll.HLV5r3.Analytics.Miscellaneous.Zero2DF(_xll.HLV5r3.Analytics.Miscellaneous.LinearInterp(Peturbed_QZ,$K498,1,R$1),ZeroCompFreq,'PDH Calc'!$K498/365)</f>
        <v>1</v>
      </c>
      <c r="S498" s="8">
        <f ca="1">_xll.HLV5r3.Analytics.Miscellaneous.Zero2DF(_xll.HLV5r3.Analytics.Miscellaneous.LinearInterp(Peturbed_QZ,$K498,1,S$1),ZeroCompFreq,'PDH Calc'!$K498/365)</f>
        <v>1</v>
      </c>
      <c r="T498" s="8">
        <f ca="1">_xll.HLV5r3.Analytics.Miscellaneous.Zero2DF(_xll.HLV5r3.Analytics.Miscellaneous.LinearInterp(Peturbed_QZ,$K498,1,T$1),ZeroCompFreq,'PDH Calc'!$K498/365)</f>
        <v>1</v>
      </c>
      <c r="U498" s="8">
        <f ca="1">_xll.HLV5r3.Analytics.Miscellaneous.Zero2DF(_xll.HLV5r3.Analytics.Miscellaneous.LinearInterp(Peturbed_QZ,$K498,1,U$1),ZeroCompFreq,'PDH Calc'!$K498/365)</f>
        <v>1</v>
      </c>
      <c r="V498" s="8">
        <f ca="1">_xll.HLV5r3.Analytics.Miscellaneous.Zero2DF(_xll.HLV5r3.Analytics.Miscellaneous.LinearInterp(Peturbed_QZ,$K498,1,V$1),ZeroCompFreq,'PDH Calc'!$K498/365)</f>
        <v>1</v>
      </c>
      <c r="W498" s="8">
        <f ca="1">_xll.HLV5r3.Analytics.Miscellaneous.Zero2DF(_xll.HLV5r3.Analytics.Miscellaneous.LinearInterp(Peturbed_QZ,$K498,1,W$1),ZeroCompFreq,'PDH Calc'!$K498/365)</f>
        <v>1</v>
      </c>
      <c r="X498" s="8">
        <f ca="1">_xll.HLV5r3.Analytics.Miscellaneous.Zero2DF(_xll.HLV5r3.Analytics.Miscellaneous.LinearInterp(Peturbed_QZ,$K498,1,X$1),ZeroCompFreq,'PDH Calc'!$K498/365)</f>
        <v>1</v>
      </c>
      <c r="Y498" s="8">
        <f ca="1">_xll.HLV5r3.Analytics.Miscellaneous.Zero2DF(_xll.HLV5r3.Analytics.Miscellaneous.LinearInterp(Peturbed_QZ,$K498,1,Y$1),ZeroCompFreq,'PDH Calc'!$K498/365)</f>
        <v>1</v>
      </c>
      <c r="Z498" s="8">
        <f ca="1">_xll.HLV5r3.Analytics.Miscellaneous.Zero2DF(_xll.HLV5r3.Analytics.Miscellaneous.LinearInterp(Peturbed_QZ,$K498,1,Z$1),ZeroCompFreq,'PDH Calc'!$K498/365)</f>
        <v>1</v>
      </c>
      <c r="AA498" s="8">
        <f ca="1">_xll.HLV5r3.Analytics.Miscellaneous.Zero2DF(_xll.HLV5r3.Analytics.Miscellaneous.LinearInterp(Peturbed_QZ,$K498,1,AA$1),ZeroCompFreq,'PDH Calc'!$K498/365)</f>
        <v>1</v>
      </c>
      <c r="AB498" s="8">
        <f ca="1">_xll.HLV5r3.Analytics.Miscellaneous.Zero2DF(_xll.HLV5r3.Analytics.Miscellaneous.LinearInterp(Peturbed_QZ,$K498,1,AB$1),ZeroCompFreq,'PDH Calc'!$K498/365)</f>
        <v>1</v>
      </c>
      <c r="AC498" s="8">
        <f ca="1">_xll.HLV5r3.Analytics.Miscellaneous.Zero2DF(_xll.HLV5r3.Analytics.Miscellaneous.LinearInterp(Peturbed_QZ,$K498,1,AC$1),ZeroCompFreq,'PDH Calc'!$K498/365)</f>
        <v>1</v>
      </c>
      <c r="AD498" s="8">
        <f ca="1">_xll.HLV5r3.Analytics.Miscellaneous.Zero2DF(_xll.HLV5r3.Analytics.Miscellaneous.LinearInterp(Peturbed_QZ,$K498,1,AD$1),ZeroCompFreq,'PDH Calc'!$K498/365)</f>
        <v>1</v>
      </c>
      <c r="AE498" s="8">
        <f ca="1">_xll.HLV5r3.Analytics.Miscellaneous.Zero2DF(_xll.HLV5r3.Analytics.Miscellaneous.LinearInterp(Peturbed_QZ,$K498,1,AE$1),ZeroCompFreq,'PDH Calc'!$K498/365)</f>
        <v>1</v>
      </c>
      <c r="AF498" s="8">
        <f ca="1">_xll.HLV5r3.Analytics.Miscellaneous.Zero2DF(_xll.HLV5r3.Analytics.Miscellaneous.LinearInterp(Peturbed_QZ,$K498,1,AF$1),ZeroCompFreq,'PDH Calc'!$K498/365)</f>
        <v>1</v>
      </c>
      <c r="AG498" s="8">
        <f ca="1">_xll.HLV5r3.Analytics.Miscellaneous.Zero2DF(_xll.HLV5r3.Analytics.Miscellaneous.LinearInterp(Peturbed_QZ,$K498,1,AG$1),ZeroCompFreq,'PDH Calc'!$K498/365)</f>
        <v>1</v>
      </c>
      <c r="AH498" s="8">
        <f ca="1">_xll.HLV5r3.Analytics.Miscellaneous.Zero2DF(_xll.HLV5r3.Analytics.Miscellaneous.LinearInterp(Peturbed_QZ,$K498,1,AH$1),ZeroCompFreq,'PDH Calc'!$K498/365)</f>
        <v>1</v>
      </c>
      <c r="AI498" s="8">
        <f ca="1">_xll.HLV5r3.Analytics.Miscellaneous.Zero2DF(_xll.HLV5r3.Analytics.Miscellaneous.LinearInterp(Peturbed_QZ,$K498,1,AI$1),ZeroCompFreq,'PDH Calc'!$K498/365)</f>
        <v>1</v>
      </c>
      <c r="AJ498" s="8">
        <f ca="1">_xll.HLV5r3.Analytics.Miscellaneous.Zero2DF(_xll.HLV5r3.Analytics.Miscellaneous.LinearInterp(Peturbed_QZ,$K498,1,AJ$1),ZeroCompFreq,'PDH Calc'!$K498/365)</f>
        <v>1</v>
      </c>
      <c r="AK498" s="8">
        <f ca="1">_xll.HLV5r3.Analytics.Miscellaneous.Zero2DF(_xll.HLV5r3.Analytics.Miscellaneous.LinearInterp(Peturbed_QZ,$K498,1,AK$1),ZeroCompFreq,'PDH Calc'!$K498/365)</f>
        <v>1</v>
      </c>
    </row>
    <row r="499" spans="1:37">
      <c r="A499" s="4"/>
      <c r="B499" s="6"/>
      <c r="F499" s="11"/>
      <c r="G499" s="6"/>
      <c r="H499" s="20"/>
      <c r="I499" s="21"/>
      <c r="J499" s="26"/>
      <c r="K499" s="6">
        <f ca="1">(H499-Calc_Date)*ISNUMBER(H499)</f>
        <v>0</v>
      </c>
      <c r="L499" s="8">
        <f ca="1">_xll.HLV5r3.Analytics.Miscellaneous.Zero2DF(_xll.HLV5r3.Analytics.Miscellaneous.LinearInterp(Peturbed_QZ,$K499,1,L$1),ZeroCompFreq,'PDH Calc'!$K499/365)</f>
        <v>1</v>
      </c>
      <c r="M499" s="8">
        <f ca="1">_xll.HLV5r3.Analytics.Miscellaneous.Zero2DF(_xll.HLV5r3.Analytics.Miscellaneous.LinearInterp(Peturbed_QZ,$K499,1,M$1),ZeroCompFreq,'PDH Calc'!$K499/365)</f>
        <v>1</v>
      </c>
      <c r="N499" s="8">
        <f ca="1">_xll.HLV5r3.Analytics.Miscellaneous.Zero2DF(_xll.HLV5r3.Analytics.Miscellaneous.LinearInterp(Peturbed_QZ,$K499,1,N$1),ZeroCompFreq,'PDH Calc'!$K499/365)</f>
        <v>1</v>
      </c>
      <c r="O499" s="8">
        <f ca="1">_xll.HLV5r3.Analytics.Miscellaneous.Zero2DF(_xll.HLV5r3.Analytics.Miscellaneous.LinearInterp(Peturbed_QZ,$K499,1,O$1),ZeroCompFreq,'PDH Calc'!$K499/365)</f>
        <v>1</v>
      </c>
      <c r="P499" s="8">
        <f ca="1">_xll.HLV5r3.Analytics.Miscellaneous.Zero2DF(_xll.HLV5r3.Analytics.Miscellaneous.LinearInterp(Peturbed_QZ,$K499,1,P$1),ZeroCompFreq,'PDH Calc'!$K499/365)</f>
        <v>1</v>
      </c>
      <c r="Q499" s="8">
        <f ca="1">_xll.HLV5r3.Analytics.Miscellaneous.Zero2DF(_xll.HLV5r3.Analytics.Miscellaneous.LinearInterp(Peturbed_QZ,$K499,1,Q$1),ZeroCompFreq,'PDH Calc'!$K499/365)</f>
        <v>1</v>
      </c>
      <c r="R499" s="8">
        <f ca="1">_xll.HLV5r3.Analytics.Miscellaneous.Zero2DF(_xll.HLV5r3.Analytics.Miscellaneous.LinearInterp(Peturbed_QZ,$K499,1,R$1),ZeroCompFreq,'PDH Calc'!$K499/365)</f>
        <v>1</v>
      </c>
      <c r="S499" s="8">
        <f ca="1">_xll.HLV5r3.Analytics.Miscellaneous.Zero2DF(_xll.HLV5r3.Analytics.Miscellaneous.LinearInterp(Peturbed_QZ,$K499,1,S$1),ZeroCompFreq,'PDH Calc'!$K499/365)</f>
        <v>1</v>
      </c>
      <c r="T499" s="8">
        <f ca="1">_xll.HLV5r3.Analytics.Miscellaneous.Zero2DF(_xll.HLV5r3.Analytics.Miscellaneous.LinearInterp(Peturbed_QZ,$K499,1,T$1),ZeroCompFreq,'PDH Calc'!$K499/365)</f>
        <v>1</v>
      </c>
      <c r="U499" s="8">
        <f ca="1">_xll.HLV5r3.Analytics.Miscellaneous.Zero2DF(_xll.HLV5r3.Analytics.Miscellaneous.LinearInterp(Peturbed_QZ,$K499,1,U$1),ZeroCompFreq,'PDH Calc'!$K499/365)</f>
        <v>1</v>
      </c>
      <c r="V499" s="8">
        <f ca="1">_xll.HLV5r3.Analytics.Miscellaneous.Zero2DF(_xll.HLV5r3.Analytics.Miscellaneous.LinearInterp(Peturbed_QZ,$K499,1,V$1),ZeroCompFreq,'PDH Calc'!$K499/365)</f>
        <v>1</v>
      </c>
      <c r="W499" s="8">
        <f ca="1">_xll.HLV5r3.Analytics.Miscellaneous.Zero2DF(_xll.HLV5r3.Analytics.Miscellaneous.LinearInterp(Peturbed_QZ,$K499,1,W$1),ZeroCompFreq,'PDH Calc'!$K499/365)</f>
        <v>1</v>
      </c>
      <c r="X499" s="8">
        <f ca="1">_xll.HLV5r3.Analytics.Miscellaneous.Zero2DF(_xll.HLV5r3.Analytics.Miscellaneous.LinearInterp(Peturbed_QZ,$K499,1,X$1),ZeroCompFreq,'PDH Calc'!$K499/365)</f>
        <v>1</v>
      </c>
      <c r="Y499" s="8">
        <f ca="1">_xll.HLV5r3.Analytics.Miscellaneous.Zero2DF(_xll.HLV5r3.Analytics.Miscellaneous.LinearInterp(Peturbed_QZ,$K499,1,Y$1),ZeroCompFreq,'PDH Calc'!$K499/365)</f>
        <v>1</v>
      </c>
      <c r="Z499" s="8">
        <f ca="1">_xll.HLV5r3.Analytics.Miscellaneous.Zero2DF(_xll.HLV5r3.Analytics.Miscellaneous.LinearInterp(Peturbed_QZ,$K499,1,Z$1),ZeroCompFreq,'PDH Calc'!$K499/365)</f>
        <v>1</v>
      </c>
      <c r="AA499" s="8">
        <f ca="1">_xll.HLV5r3.Analytics.Miscellaneous.Zero2DF(_xll.HLV5r3.Analytics.Miscellaneous.LinearInterp(Peturbed_QZ,$K499,1,AA$1),ZeroCompFreq,'PDH Calc'!$K499/365)</f>
        <v>1</v>
      </c>
      <c r="AB499" s="8">
        <f ca="1">_xll.HLV5r3.Analytics.Miscellaneous.Zero2DF(_xll.HLV5r3.Analytics.Miscellaneous.LinearInterp(Peturbed_QZ,$K499,1,AB$1),ZeroCompFreq,'PDH Calc'!$K499/365)</f>
        <v>1</v>
      </c>
      <c r="AC499" s="8">
        <f ca="1">_xll.HLV5r3.Analytics.Miscellaneous.Zero2DF(_xll.HLV5r3.Analytics.Miscellaneous.LinearInterp(Peturbed_QZ,$K499,1,AC$1),ZeroCompFreq,'PDH Calc'!$K499/365)</f>
        <v>1</v>
      </c>
      <c r="AD499" s="8">
        <f ca="1">_xll.HLV5r3.Analytics.Miscellaneous.Zero2DF(_xll.HLV5r3.Analytics.Miscellaneous.LinearInterp(Peturbed_QZ,$K499,1,AD$1),ZeroCompFreq,'PDH Calc'!$K499/365)</f>
        <v>1</v>
      </c>
      <c r="AE499" s="8">
        <f ca="1">_xll.HLV5r3.Analytics.Miscellaneous.Zero2DF(_xll.HLV5r3.Analytics.Miscellaneous.LinearInterp(Peturbed_QZ,$K499,1,AE$1),ZeroCompFreq,'PDH Calc'!$K499/365)</f>
        <v>1</v>
      </c>
      <c r="AF499" s="8">
        <f ca="1">_xll.HLV5r3.Analytics.Miscellaneous.Zero2DF(_xll.HLV5r3.Analytics.Miscellaneous.LinearInterp(Peturbed_QZ,$K499,1,AF$1),ZeroCompFreq,'PDH Calc'!$K499/365)</f>
        <v>1</v>
      </c>
      <c r="AG499" s="8">
        <f ca="1">_xll.HLV5r3.Analytics.Miscellaneous.Zero2DF(_xll.HLV5r3.Analytics.Miscellaneous.LinearInterp(Peturbed_QZ,$K499,1,AG$1),ZeroCompFreq,'PDH Calc'!$K499/365)</f>
        <v>1</v>
      </c>
      <c r="AH499" s="8">
        <f ca="1">_xll.HLV5r3.Analytics.Miscellaneous.Zero2DF(_xll.HLV5r3.Analytics.Miscellaneous.LinearInterp(Peturbed_QZ,$K499,1,AH$1),ZeroCompFreq,'PDH Calc'!$K499/365)</f>
        <v>1</v>
      </c>
      <c r="AI499" s="8">
        <f ca="1">_xll.HLV5r3.Analytics.Miscellaneous.Zero2DF(_xll.HLV5r3.Analytics.Miscellaneous.LinearInterp(Peturbed_QZ,$K499,1,AI$1),ZeroCompFreq,'PDH Calc'!$K499/365)</f>
        <v>1</v>
      </c>
      <c r="AJ499" s="8">
        <f ca="1">_xll.HLV5r3.Analytics.Miscellaneous.Zero2DF(_xll.HLV5r3.Analytics.Miscellaneous.LinearInterp(Peturbed_QZ,$K499,1,AJ$1),ZeroCompFreq,'PDH Calc'!$K499/365)</f>
        <v>1</v>
      </c>
      <c r="AK499" s="8">
        <f ca="1">_xll.HLV5r3.Analytics.Miscellaneous.Zero2DF(_xll.HLV5r3.Analytics.Miscellaneous.LinearInterp(Peturbed_QZ,$K499,1,AK$1),ZeroCompFreq,'PDH Calc'!$K499/365)</f>
        <v>1</v>
      </c>
    </row>
    <row r="500" spans="1:37">
      <c r="A500" s="4"/>
      <c r="B500" s="6"/>
      <c r="F500" s="11"/>
      <c r="G500" s="6"/>
      <c r="H500" s="20"/>
      <c r="I500" s="21"/>
      <c r="J500" s="26"/>
      <c r="K500" s="6">
        <f ca="1">(H500-Calc_Date)*ISNUMBER(H500)</f>
        <v>0</v>
      </c>
      <c r="L500" s="8">
        <f ca="1">_xll.HLV5r3.Analytics.Miscellaneous.Zero2DF(_xll.HLV5r3.Analytics.Miscellaneous.LinearInterp(Peturbed_QZ,$K500,1,L$1),ZeroCompFreq,'PDH Calc'!$K500/365)</f>
        <v>1</v>
      </c>
      <c r="M500" s="8">
        <f ca="1">_xll.HLV5r3.Analytics.Miscellaneous.Zero2DF(_xll.HLV5r3.Analytics.Miscellaneous.LinearInterp(Peturbed_QZ,$K500,1,M$1),ZeroCompFreq,'PDH Calc'!$K500/365)</f>
        <v>1</v>
      </c>
      <c r="N500" s="8">
        <f ca="1">_xll.HLV5r3.Analytics.Miscellaneous.Zero2DF(_xll.HLV5r3.Analytics.Miscellaneous.LinearInterp(Peturbed_QZ,$K500,1,N$1),ZeroCompFreq,'PDH Calc'!$K500/365)</f>
        <v>1</v>
      </c>
      <c r="O500" s="8">
        <f ca="1">_xll.HLV5r3.Analytics.Miscellaneous.Zero2DF(_xll.HLV5r3.Analytics.Miscellaneous.LinearInterp(Peturbed_QZ,$K500,1,O$1),ZeroCompFreq,'PDH Calc'!$K500/365)</f>
        <v>1</v>
      </c>
      <c r="P500" s="8">
        <f ca="1">_xll.HLV5r3.Analytics.Miscellaneous.Zero2DF(_xll.HLV5r3.Analytics.Miscellaneous.LinearInterp(Peturbed_QZ,$K500,1,P$1),ZeroCompFreq,'PDH Calc'!$K500/365)</f>
        <v>1</v>
      </c>
      <c r="Q500" s="8">
        <f ca="1">_xll.HLV5r3.Analytics.Miscellaneous.Zero2DF(_xll.HLV5r3.Analytics.Miscellaneous.LinearInterp(Peturbed_QZ,$K500,1,Q$1),ZeroCompFreq,'PDH Calc'!$K500/365)</f>
        <v>1</v>
      </c>
      <c r="R500" s="8">
        <f ca="1">_xll.HLV5r3.Analytics.Miscellaneous.Zero2DF(_xll.HLV5r3.Analytics.Miscellaneous.LinearInterp(Peturbed_QZ,$K500,1,R$1),ZeroCompFreq,'PDH Calc'!$K500/365)</f>
        <v>1</v>
      </c>
      <c r="S500" s="8">
        <f ca="1">_xll.HLV5r3.Analytics.Miscellaneous.Zero2DF(_xll.HLV5r3.Analytics.Miscellaneous.LinearInterp(Peturbed_QZ,$K500,1,S$1),ZeroCompFreq,'PDH Calc'!$K500/365)</f>
        <v>1</v>
      </c>
      <c r="T500" s="8">
        <f ca="1">_xll.HLV5r3.Analytics.Miscellaneous.Zero2DF(_xll.HLV5r3.Analytics.Miscellaneous.LinearInterp(Peturbed_QZ,$K500,1,T$1),ZeroCompFreq,'PDH Calc'!$K500/365)</f>
        <v>1</v>
      </c>
      <c r="U500" s="8">
        <f ca="1">_xll.HLV5r3.Analytics.Miscellaneous.Zero2DF(_xll.HLV5r3.Analytics.Miscellaneous.LinearInterp(Peturbed_QZ,$K500,1,U$1),ZeroCompFreq,'PDH Calc'!$K500/365)</f>
        <v>1</v>
      </c>
      <c r="V500" s="8">
        <f ca="1">_xll.HLV5r3.Analytics.Miscellaneous.Zero2DF(_xll.HLV5r3.Analytics.Miscellaneous.LinearInterp(Peturbed_QZ,$K500,1,V$1),ZeroCompFreq,'PDH Calc'!$K500/365)</f>
        <v>1</v>
      </c>
      <c r="W500" s="8">
        <f ca="1">_xll.HLV5r3.Analytics.Miscellaneous.Zero2DF(_xll.HLV5r3.Analytics.Miscellaneous.LinearInterp(Peturbed_QZ,$K500,1,W$1),ZeroCompFreq,'PDH Calc'!$K500/365)</f>
        <v>1</v>
      </c>
      <c r="X500" s="8">
        <f ca="1">_xll.HLV5r3.Analytics.Miscellaneous.Zero2DF(_xll.HLV5r3.Analytics.Miscellaneous.LinearInterp(Peturbed_QZ,$K500,1,X$1),ZeroCompFreq,'PDH Calc'!$K500/365)</f>
        <v>1</v>
      </c>
      <c r="Y500" s="8">
        <f ca="1">_xll.HLV5r3.Analytics.Miscellaneous.Zero2DF(_xll.HLV5r3.Analytics.Miscellaneous.LinearInterp(Peturbed_QZ,$K500,1,Y$1),ZeroCompFreq,'PDH Calc'!$K500/365)</f>
        <v>1</v>
      </c>
      <c r="Z500" s="8">
        <f ca="1">_xll.HLV5r3.Analytics.Miscellaneous.Zero2DF(_xll.HLV5r3.Analytics.Miscellaneous.LinearInterp(Peturbed_QZ,$K500,1,Z$1),ZeroCompFreq,'PDH Calc'!$K500/365)</f>
        <v>1</v>
      </c>
      <c r="AA500" s="8">
        <f ca="1">_xll.HLV5r3.Analytics.Miscellaneous.Zero2DF(_xll.HLV5r3.Analytics.Miscellaneous.LinearInterp(Peturbed_QZ,$K500,1,AA$1),ZeroCompFreq,'PDH Calc'!$K500/365)</f>
        <v>1</v>
      </c>
      <c r="AB500" s="8">
        <f ca="1">_xll.HLV5r3.Analytics.Miscellaneous.Zero2DF(_xll.HLV5r3.Analytics.Miscellaneous.LinearInterp(Peturbed_QZ,$K500,1,AB$1),ZeroCompFreq,'PDH Calc'!$K500/365)</f>
        <v>1</v>
      </c>
      <c r="AC500" s="8">
        <f ca="1">_xll.HLV5r3.Analytics.Miscellaneous.Zero2DF(_xll.HLV5r3.Analytics.Miscellaneous.LinearInterp(Peturbed_QZ,$K500,1,AC$1),ZeroCompFreq,'PDH Calc'!$K500/365)</f>
        <v>1</v>
      </c>
      <c r="AD500" s="8">
        <f ca="1">_xll.HLV5r3.Analytics.Miscellaneous.Zero2DF(_xll.HLV5r3.Analytics.Miscellaneous.LinearInterp(Peturbed_QZ,$K500,1,AD$1),ZeroCompFreq,'PDH Calc'!$K500/365)</f>
        <v>1</v>
      </c>
      <c r="AE500" s="8">
        <f ca="1">_xll.HLV5r3.Analytics.Miscellaneous.Zero2DF(_xll.HLV5r3.Analytics.Miscellaneous.LinearInterp(Peturbed_QZ,$K500,1,AE$1),ZeroCompFreq,'PDH Calc'!$K500/365)</f>
        <v>1</v>
      </c>
      <c r="AF500" s="8">
        <f ca="1">_xll.HLV5r3.Analytics.Miscellaneous.Zero2DF(_xll.HLV5r3.Analytics.Miscellaneous.LinearInterp(Peturbed_QZ,$K500,1,AF$1),ZeroCompFreq,'PDH Calc'!$K500/365)</f>
        <v>1</v>
      </c>
      <c r="AG500" s="8">
        <f ca="1">_xll.HLV5r3.Analytics.Miscellaneous.Zero2DF(_xll.HLV5r3.Analytics.Miscellaneous.LinearInterp(Peturbed_QZ,$K500,1,AG$1),ZeroCompFreq,'PDH Calc'!$K500/365)</f>
        <v>1</v>
      </c>
      <c r="AH500" s="8">
        <f ca="1">_xll.HLV5r3.Analytics.Miscellaneous.Zero2DF(_xll.HLV5r3.Analytics.Miscellaneous.LinearInterp(Peturbed_QZ,$K500,1,AH$1),ZeroCompFreq,'PDH Calc'!$K500/365)</f>
        <v>1</v>
      </c>
      <c r="AI500" s="8">
        <f ca="1">_xll.HLV5r3.Analytics.Miscellaneous.Zero2DF(_xll.HLV5r3.Analytics.Miscellaneous.LinearInterp(Peturbed_QZ,$K500,1,AI$1),ZeroCompFreq,'PDH Calc'!$K500/365)</f>
        <v>1</v>
      </c>
      <c r="AJ500" s="8">
        <f ca="1">_xll.HLV5r3.Analytics.Miscellaneous.Zero2DF(_xll.HLV5r3.Analytics.Miscellaneous.LinearInterp(Peturbed_QZ,$K500,1,AJ$1),ZeroCompFreq,'PDH Calc'!$K500/365)</f>
        <v>1</v>
      </c>
      <c r="AK500" s="8">
        <f ca="1">_xll.HLV5r3.Analytics.Miscellaneous.Zero2DF(_xll.HLV5r3.Analytics.Miscellaneous.LinearInterp(Peturbed_QZ,$K500,1,AK$1),ZeroCompFreq,'PDH Calc'!$K500/365)</f>
        <v>1</v>
      </c>
    </row>
    <row r="501" spans="1:37">
      <c r="A501" s="4"/>
      <c r="B501" s="6"/>
      <c r="F501" s="11"/>
      <c r="G501" s="6"/>
      <c r="H501" s="20"/>
      <c r="I501" s="21"/>
      <c r="J501" s="26"/>
      <c r="K501" s="6">
        <f ca="1">(H501-Calc_Date)*ISNUMBER(H501)</f>
        <v>0</v>
      </c>
      <c r="L501" s="8">
        <f ca="1">_xll.HLV5r3.Analytics.Miscellaneous.Zero2DF(_xll.HLV5r3.Analytics.Miscellaneous.LinearInterp(Peturbed_QZ,$K501,1,L$1),ZeroCompFreq,'PDH Calc'!$K501/365)</f>
        <v>1</v>
      </c>
      <c r="M501" s="8">
        <f ca="1">_xll.HLV5r3.Analytics.Miscellaneous.Zero2DF(_xll.HLV5r3.Analytics.Miscellaneous.LinearInterp(Peturbed_QZ,$K501,1,M$1),ZeroCompFreq,'PDH Calc'!$K501/365)</f>
        <v>1</v>
      </c>
      <c r="N501" s="8">
        <f ca="1">_xll.HLV5r3.Analytics.Miscellaneous.Zero2DF(_xll.HLV5r3.Analytics.Miscellaneous.LinearInterp(Peturbed_QZ,$K501,1,N$1),ZeroCompFreq,'PDH Calc'!$K501/365)</f>
        <v>1</v>
      </c>
      <c r="O501" s="8">
        <f ca="1">_xll.HLV5r3.Analytics.Miscellaneous.Zero2DF(_xll.HLV5r3.Analytics.Miscellaneous.LinearInterp(Peturbed_QZ,$K501,1,O$1),ZeroCompFreq,'PDH Calc'!$K501/365)</f>
        <v>1</v>
      </c>
      <c r="P501" s="8">
        <f ca="1">_xll.HLV5r3.Analytics.Miscellaneous.Zero2DF(_xll.HLV5r3.Analytics.Miscellaneous.LinearInterp(Peturbed_QZ,$K501,1,P$1),ZeroCompFreq,'PDH Calc'!$K501/365)</f>
        <v>1</v>
      </c>
      <c r="Q501" s="8">
        <f ca="1">_xll.HLV5r3.Analytics.Miscellaneous.Zero2DF(_xll.HLV5r3.Analytics.Miscellaneous.LinearInterp(Peturbed_QZ,$K501,1,Q$1),ZeroCompFreq,'PDH Calc'!$K501/365)</f>
        <v>1</v>
      </c>
      <c r="R501" s="8">
        <f ca="1">_xll.HLV5r3.Analytics.Miscellaneous.Zero2DF(_xll.HLV5r3.Analytics.Miscellaneous.LinearInterp(Peturbed_QZ,$K501,1,R$1),ZeroCompFreq,'PDH Calc'!$K501/365)</f>
        <v>1</v>
      </c>
      <c r="S501" s="8">
        <f ca="1">_xll.HLV5r3.Analytics.Miscellaneous.Zero2DF(_xll.HLV5r3.Analytics.Miscellaneous.LinearInterp(Peturbed_QZ,$K501,1,S$1),ZeroCompFreq,'PDH Calc'!$K501/365)</f>
        <v>1</v>
      </c>
      <c r="T501" s="8">
        <f ca="1">_xll.HLV5r3.Analytics.Miscellaneous.Zero2DF(_xll.HLV5r3.Analytics.Miscellaneous.LinearInterp(Peturbed_QZ,$K501,1,T$1),ZeroCompFreq,'PDH Calc'!$K501/365)</f>
        <v>1</v>
      </c>
      <c r="U501" s="8">
        <f ca="1">_xll.HLV5r3.Analytics.Miscellaneous.Zero2DF(_xll.HLV5r3.Analytics.Miscellaneous.LinearInterp(Peturbed_QZ,$K501,1,U$1),ZeroCompFreq,'PDH Calc'!$K501/365)</f>
        <v>1</v>
      </c>
      <c r="V501" s="8">
        <f ca="1">_xll.HLV5r3.Analytics.Miscellaneous.Zero2DF(_xll.HLV5r3.Analytics.Miscellaneous.LinearInterp(Peturbed_QZ,$K501,1,V$1),ZeroCompFreq,'PDH Calc'!$K501/365)</f>
        <v>1</v>
      </c>
      <c r="W501" s="8">
        <f ca="1">_xll.HLV5r3.Analytics.Miscellaneous.Zero2DF(_xll.HLV5r3.Analytics.Miscellaneous.LinearInterp(Peturbed_QZ,$K501,1,W$1),ZeroCompFreq,'PDH Calc'!$K501/365)</f>
        <v>1</v>
      </c>
      <c r="X501" s="8">
        <f ca="1">_xll.HLV5r3.Analytics.Miscellaneous.Zero2DF(_xll.HLV5r3.Analytics.Miscellaneous.LinearInterp(Peturbed_QZ,$K501,1,X$1),ZeroCompFreq,'PDH Calc'!$K501/365)</f>
        <v>1</v>
      </c>
      <c r="Y501" s="8">
        <f ca="1">_xll.HLV5r3.Analytics.Miscellaneous.Zero2DF(_xll.HLV5r3.Analytics.Miscellaneous.LinearInterp(Peturbed_QZ,$K501,1,Y$1),ZeroCompFreq,'PDH Calc'!$K501/365)</f>
        <v>1</v>
      </c>
      <c r="Z501" s="8">
        <f ca="1">_xll.HLV5r3.Analytics.Miscellaneous.Zero2DF(_xll.HLV5r3.Analytics.Miscellaneous.LinearInterp(Peturbed_QZ,$K501,1,Z$1),ZeroCompFreq,'PDH Calc'!$K501/365)</f>
        <v>1</v>
      </c>
      <c r="AA501" s="8">
        <f ca="1">_xll.HLV5r3.Analytics.Miscellaneous.Zero2DF(_xll.HLV5r3.Analytics.Miscellaneous.LinearInterp(Peturbed_QZ,$K501,1,AA$1),ZeroCompFreq,'PDH Calc'!$K501/365)</f>
        <v>1</v>
      </c>
      <c r="AB501" s="8">
        <f ca="1">_xll.HLV5r3.Analytics.Miscellaneous.Zero2DF(_xll.HLV5r3.Analytics.Miscellaneous.LinearInterp(Peturbed_QZ,$K501,1,AB$1),ZeroCompFreq,'PDH Calc'!$K501/365)</f>
        <v>1</v>
      </c>
      <c r="AC501" s="8">
        <f ca="1">_xll.HLV5r3.Analytics.Miscellaneous.Zero2DF(_xll.HLV5r3.Analytics.Miscellaneous.LinearInterp(Peturbed_QZ,$K501,1,AC$1),ZeroCompFreq,'PDH Calc'!$K501/365)</f>
        <v>1</v>
      </c>
      <c r="AD501" s="8">
        <f ca="1">_xll.HLV5r3.Analytics.Miscellaneous.Zero2DF(_xll.HLV5r3.Analytics.Miscellaneous.LinearInterp(Peturbed_QZ,$K501,1,AD$1),ZeroCompFreq,'PDH Calc'!$K501/365)</f>
        <v>1</v>
      </c>
      <c r="AE501" s="8">
        <f ca="1">_xll.HLV5r3.Analytics.Miscellaneous.Zero2DF(_xll.HLV5r3.Analytics.Miscellaneous.LinearInterp(Peturbed_QZ,$K501,1,AE$1),ZeroCompFreq,'PDH Calc'!$K501/365)</f>
        <v>1</v>
      </c>
      <c r="AF501" s="8">
        <f ca="1">_xll.HLV5r3.Analytics.Miscellaneous.Zero2DF(_xll.HLV5r3.Analytics.Miscellaneous.LinearInterp(Peturbed_QZ,$K501,1,AF$1),ZeroCompFreq,'PDH Calc'!$K501/365)</f>
        <v>1</v>
      </c>
      <c r="AG501" s="8">
        <f ca="1">_xll.HLV5r3.Analytics.Miscellaneous.Zero2DF(_xll.HLV5r3.Analytics.Miscellaneous.LinearInterp(Peturbed_QZ,$K501,1,AG$1),ZeroCompFreq,'PDH Calc'!$K501/365)</f>
        <v>1</v>
      </c>
      <c r="AH501" s="8">
        <f ca="1">_xll.HLV5r3.Analytics.Miscellaneous.Zero2DF(_xll.HLV5r3.Analytics.Miscellaneous.LinearInterp(Peturbed_QZ,$K501,1,AH$1),ZeroCompFreq,'PDH Calc'!$K501/365)</f>
        <v>1</v>
      </c>
      <c r="AI501" s="8">
        <f ca="1">_xll.HLV5r3.Analytics.Miscellaneous.Zero2DF(_xll.HLV5r3.Analytics.Miscellaneous.LinearInterp(Peturbed_QZ,$K501,1,AI$1),ZeroCompFreq,'PDH Calc'!$K501/365)</f>
        <v>1</v>
      </c>
      <c r="AJ501" s="8">
        <f ca="1">_xll.HLV5r3.Analytics.Miscellaneous.Zero2DF(_xll.HLV5r3.Analytics.Miscellaneous.LinearInterp(Peturbed_QZ,$K501,1,AJ$1),ZeroCompFreq,'PDH Calc'!$K501/365)</f>
        <v>1</v>
      </c>
      <c r="AK501" s="8">
        <f ca="1">_xll.HLV5r3.Analytics.Miscellaneous.Zero2DF(_xll.HLV5r3.Analytics.Miscellaneous.LinearInterp(Peturbed_QZ,$K501,1,AK$1),ZeroCompFreq,'PDH Calc'!$K501/365)</f>
        <v>1</v>
      </c>
    </row>
    <row r="502" spans="1:37">
      <c r="A502" s="4"/>
      <c r="B502" s="6"/>
      <c r="F502" s="11"/>
      <c r="G502" s="6"/>
      <c r="H502" s="20"/>
      <c r="I502" s="21"/>
      <c r="J502" s="26"/>
      <c r="K502" s="6">
        <f ca="1">(H502-Calc_Date)*ISNUMBER(H502)</f>
        <v>0</v>
      </c>
      <c r="L502" s="8">
        <f ca="1">_xll.HLV5r3.Analytics.Miscellaneous.Zero2DF(_xll.HLV5r3.Analytics.Miscellaneous.LinearInterp(Peturbed_QZ,$K502,1,L$1),ZeroCompFreq,'PDH Calc'!$K502/365)</f>
        <v>1</v>
      </c>
      <c r="M502" s="8">
        <f ca="1">_xll.HLV5r3.Analytics.Miscellaneous.Zero2DF(_xll.HLV5r3.Analytics.Miscellaneous.LinearInterp(Peturbed_QZ,$K502,1,M$1),ZeroCompFreq,'PDH Calc'!$K502/365)</f>
        <v>1</v>
      </c>
      <c r="N502" s="8">
        <f ca="1">_xll.HLV5r3.Analytics.Miscellaneous.Zero2DF(_xll.HLV5r3.Analytics.Miscellaneous.LinearInterp(Peturbed_QZ,$K502,1,N$1),ZeroCompFreq,'PDH Calc'!$K502/365)</f>
        <v>1</v>
      </c>
      <c r="O502" s="8">
        <f ca="1">_xll.HLV5r3.Analytics.Miscellaneous.Zero2DF(_xll.HLV5r3.Analytics.Miscellaneous.LinearInterp(Peturbed_QZ,$K502,1,O$1),ZeroCompFreq,'PDH Calc'!$K502/365)</f>
        <v>1</v>
      </c>
      <c r="P502" s="8">
        <f ca="1">_xll.HLV5r3.Analytics.Miscellaneous.Zero2DF(_xll.HLV5r3.Analytics.Miscellaneous.LinearInterp(Peturbed_QZ,$K502,1,P$1),ZeroCompFreq,'PDH Calc'!$K502/365)</f>
        <v>1</v>
      </c>
      <c r="Q502" s="8">
        <f ca="1">_xll.HLV5r3.Analytics.Miscellaneous.Zero2DF(_xll.HLV5r3.Analytics.Miscellaneous.LinearInterp(Peturbed_QZ,$K502,1,Q$1),ZeroCompFreq,'PDH Calc'!$K502/365)</f>
        <v>1</v>
      </c>
      <c r="R502" s="8">
        <f ca="1">_xll.HLV5r3.Analytics.Miscellaneous.Zero2DF(_xll.HLV5r3.Analytics.Miscellaneous.LinearInterp(Peturbed_QZ,$K502,1,R$1),ZeroCompFreq,'PDH Calc'!$K502/365)</f>
        <v>1</v>
      </c>
      <c r="S502" s="8">
        <f ca="1">_xll.HLV5r3.Analytics.Miscellaneous.Zero2DF(_xll.HLV5r3.Analytics.Miscellaneous.LinearInterp(Peturbed_QZ,$K502,1,S$1),ZeroCompFreq,'PDH Calc'!$K502/365)</f>
        <v>1</v>
      </c>
      <c r="T502" s="8">
        <f ca="1">_xll.HLV5r3.Analytics.Miscellaneous.Zero2DF(_xll.HLV5r3.Analytics.Miscellaneous.LinearInterp(Peturbed_QZ,$K502,1,T$1),ZeroCompFreq,'PDH Calc'!$K502/365)</f>
        <v>1</v>
      </c>
      <c r="U502" s="8">
        <f ca="1">_xll.HLV5r3.Analytics.Miscellaneous.Zero2DF(_xll.HLV5r3.Analytics.Miscellaneous.LinearInterp(Peturbed_QZ,$K502,1,U$1),ZeroCompFreq,'PDH Calc'!$K502/365)</f>
        <v>1</v>
      </c>
      <c r="V502" s="8">
        <f ca="1">_xll.HLV5r3.Analytics.Miscellaneous.Zero2DF(_xll.HLV5r3.Analytics.Miscellaneous.LinearInterp(Peturbed_QZ,$K502,1,V$1),ZeroCompFreq,'PDH Calc'!$K502/365)</f>
        <v>1</v>
      </c>
      <c r="W502" s="8">
        <f ca="1">_xll.HLV5r3.Analytics.Miscellaneous.Zero2DF(_xll.HLV5r3.Analytics.Miscellaneous.LinearInterp(Peturbed_QZ,$K502,1,W$1),ZeroCompFreq,'PDH Calc'!$K502/365)</f>
        <v>1</v>
      </c>
      <c r="X502" s="8">
        <f ca="1">_xll.HLV5r3.Analytics.Miscellaneous.Zero2DF(_xll.HLV5r3.Analytics.Miscellaneous.LinearInterp(Peturbed_QZ,$K502,1,X$1),ZeroCompFreq,'PDH Calc'!$K502/365)</f>
        <v>1</v>
      </c>
      <c r="Y502" s="8">
        <f ca="1">_xll.HLV5r3.Analytics.Miscellaneous.Zero2DF(_xll.HLV5r3.Analytics.Miscellaneous.LinearInterp(Peturbed_QZ,$K502,1,Y$1),ZeroCompFreq,'PDH Calc'!$K502/365)</f>
        <v>1</v>
      </c>
      <c r="Z502" s="8">
        <f ca="1">_xll.HLV5r3.Analytics.Miscellaneous.Zero2DF(_xll.HLV5r3.Analytics.Miscellaneous.LinearInterp(Peturbed_QZ,$K502,1,Z$1),ZeroCompFreq,'PDH Calc'!$K502/365)</f>
        <v>1</v>
      </c>
      <c r="AA502" s="8">
        <f ca="1">_xll.HLV5r3.Analytics.Miscellaneous.Zero2DF(_xll.HLV5r3.Analytics.Miscellaneous.LinearInterp(Peturbed_QZ,$K502,1,AA$1),ZeroCompFreq,'PDH Calc'!$K502/365)</f>
        <v>1</v>
      </c>
      <c r="AB502" s="8">
        <f ca="1">_xll.HLV5r3.Analytics.Miscellaneous.Zero2DF(_xll.HLV5r3.Analytics.Miscellaneous.LinearInterp(Peturbed_QZ,$K502,1,AB$1),ZeroCompFreq,'PDH Calc'!$K502/365)</f>
        <v>1</v>
      </c>
      <c r="AC502" s="8">
        <f ca="1">_xll.HLV5r3.Analytics.Miscellaneous.Zero2DF(_xll.HLV5r3.Analytics.Miscellaneous.LinearInterp(Peturbed_QZ,$K502,1,AC$1),ZeroCompFreq,'PDH Calc'!$K502/365)</f>
        <v>1</v>
      </c>
      <c r="AD502" s="8">
        <f ca="1">_xll.HLV5r3.Analytics.Miscellaneous.Zero2DF(_xll.HLV5r3.Analytics.Miscellaneous.LinearInterp(Peturbed_QZ,$K502,1,AD$1),ZeroCompFreq,'PDH Calc'!$K502/365)</f>
        <v>1</v>
      </c>
      <c r="AE502" s="8">
        <f ca="1">_xll.HLV5r3.Analytics.Miscellaneous.Zero2DF(_xll.HLV5r3.Analytics.Miscellaneous.LinearInterp(Peturbed_QZ,$K502,1,AE$1),ZeroCompFreq,'PDH Calc'!$K502/365)</f>
        <v>1</v>
      </c>
      <c r="AF502" s="8">
        <f ca="1">_xll.HLV5r3.Analytics.Miscellaneous.Zero2DF(_xll.HLV5r3.Analytics.Miscellaneous.LinearInterp(Peturbed_QZ,$K502,1,AF$1),ZeroCompFreq,'PDH Calc'!$K502/365)</f>
        <v>1</v>
      </c>
      <c r="AG502" s="8">
        <f ca="1">_xll.HLV5r3.Analytics.Miscellaneous.Zero2DF(_xll.HLV5r3.Analytics.Miscellaneous.LinearInterp(Peturbed_QZ,$K502,1,AG$1),ZeroCompFreq,'PDH Calc'!$K502/365)</f>
        <v>1</v>
      </c>
      <c r="AH502" s="8">
        <f ca="1">_xll.HLV5r3.Analytics.Miscellaneous.Zero2DF(_xll.HLV5r3.Analytics.Miscellaneous.LinearInterp(Peturbed_QZ,$K502,1,AH$1),ZeroCompFreq,'PDH Calc'!$K502/365)</f>
        <v>1</v>
      </c>
      <c r="AI502" s="8">
        <f ca="1">_xll.HLV5r3.Analytics.Miscellaneous.Zero2DF(_xll.HLV5r3.Analytics.Miscellaneous.LinearInterp(Peturbed_QZ,$K502,1,AI$1),ZeroCompFreq,'PDH Calc'!$K502/365)</f>
        <v>1</v>
      </c>
      <c r="AJ502" s="8">
        <f ca="1">_xll.HLV5r3.Analytics.Miscellaneous.Zero2DF(_xll.HLV5r3.Analytics.Miscellaneous.LinearInterp(Peturbed_QZ,$K502,1,AJ$1),ZeroCompFreq,'PDH Calc'!$K502/365)</f>
        <v>1</v>
      </c>
      <c r="AK502" s="8">
        <f ca="1">_xll.HLV5r3.Analytics.Miscellaneous.Zero2DF(_xll.HLV5r3.Analytics.Miscellaneous.LinearInterp(Peturbed_QZ,$K502,1,AK$1),ZeroCompFreq,'PDH Calc'!$K502/365)</f>
        <v>1</v>
      </c>
    </row>
    <row r="503" spans="1:37" ht="13.5" thickBot="1">
      <c r="A503" s="4"/>
      <c r="B503" s="6"/>
      <c r="H503" s="22"/>
      <c r="I503" s="23"/>
      <c r="J503" s="26"/>
      <c r="K503" s="6">
        <f ca="1">(H503-Calc_Date)*ISNUMBER(H503)</f>
        <v>0</v>
      </c>
      <c r="L503" s="8">
        <f ca="1">_xll.HLV5r3.Analytics.Miscellaneous.Zero2DF(_xll.HLV5r3.Analytics.Miscellaneous.LinearInterp(Peturbed_QZ,$K503,1,L$1),ZeroCompFreq,'PDH Calc'!$K503/365)</f>
        <v>1</v>
      </c>
      <c r="M503" s="8">
        <f ca="1">_xll.HLV5r3.Analytics.Miscellaneous.Zero2DF(_xll.HLV5r3.Analytics.Miscellaneous.LinearInterp(Peturbed_QZ,$K503,1,M$1),ZeroCompFreq,'PDH Calc'!$K503/365)</f>
        <v>1</v>
      </c>
      <c r="N503" s="8">
        <f ca="1">_xll.HLV5r3.Analytics.Miscellaneous.Zero2DF(_xll.HLV5r3.Analytics.Miscellaneous.LinearInterp(Peturbed_QZ,$K503,1,N$1),ZeroCompFreq,'PDH Calc'!$K503/365)</f>
        <v>1</v>
      </c>
      <c r="O503" s="8">
        <f ca="1">_xll.HLV5r3.Analytics.Miscellaneous.Zero2DF(_xll.HLV5r3.Analytics.Miscellaneous.LinearInterp(Peturbed_QZ,$K503,1,O$1),ZeroCompFreq,'PDH Calc'!$K503/365)</f>
        <v>1</v>
      </c>
      <c r="P503" s="8">
        <f ca="1">_xll.HLV5r3.Analytics.Miscellaneous.Zero2DF(_xll.HLV5r3.Analytics.Miscellaneous.LinearInterp(Peturbed_QZ,$K503,1,P$1),ZeroCompFreq,'PDH Calc'!$K503/365)</f>
        <v>1</v>
      </c>
      <c r="Q503" s="8">
        <f ca="1">_xll.HLV5r3.Analytics.Miscellaneous.Zero2DF(_xll.HLV5r3.Analytics.Miscellaneous.LinearInterp(Peturbed_QZ,$K503,1,Q$1),ZeroCompFreq,'PDH Calc'!$K503/365)</f>
        <v>1</v>
      </c>
      <c r="R503" s="8">
        <f ca="1">_xll.HLV5r3.Analytics.Miscellaneous.Zero2DF(_xll.HLV5r3.Analytics.Miscellaneous.LinearInterp(Peturbed_QZ,$K503,1,R$1),ZeroCompFreq,'PDH Calc'!$K503/365)</f>
        <v>1</v>
      </c>
      <c r="S503" s="8">
        <f ca="1">_xll.HLV5r3.Analytics.Miscellaneous.Zero2DF(_xll.HLV5r3.Analytics.Miscellaneous.LinearInterp(Peturbed_QZ,$K503,1,S$1),ZeroCompFreq,'PDH Calc'!$K503/365)</f>
        <v>1</v>
      </c>
      <c r="T503" s="8">
        <f ca="1">_xll.HLV5r3.Analytics.Miscellaneous.Zero2DF(_xll.HLV5r3.Analytics.Miscellaneous.LinearInterp(Peturbed_QZ,$K503,1,T$1),ZeroCompFreq,'PDH Calc'!$K503/365)</f>
        <v>1</v>
      </c>
      <c r="U503" s="8">
        <f ca="1">_xll.HLV5r3.Analytics.Miscellaneous.Zero2DF(_xll.HLV5r3.Analytics.Miscellaneous.LinearInterp(Peturbed_QZ,$K503,1,U$1),ZeroCompFreq,'PDH Calc'!$K503/365)</f>
        <v>1</v>
      </c>
      <c r="V503" s="8">
        <f ca="1">_xll.HLV5r3.Analytics.Miscellaneous.Zero2DF(_xll.HLV5r3.Analytics.Miscellaneous.LinearInterp(Peturbed_QZ,$K503,1,V$1),ZeroCompFreq,'PDH Calc'!$K503/365)</f>
        <v>1</v>
      </c>
      <c r="W503" s="8">
        <f ca="1">_xll.HLV5r3.Analytics.Miscellaneous.Zero2DF(_xll.HLV5r3.Analytics.Miscellaneous.LinearInterp(Peturbed_QZ,$K503,1,W$1),ZeroCompFreq,'PDH Calc'!$K503/365)</f>
        <v>1</v>
      </c>
      <c r="X503" s="8">
        <f ca="1">_xll.HLV5r3.Analytics.Miscellaneous.Zero2DF(_xll.HLV5r3.Analytics.Miscellaneous.LinearInterp(Peturbed_QZ,$K503,1,X$1),ZeroCompFreq,'PDH Calc'!$K503/365)</f>
        <v>1</v>
      </c>
      <c r="Y503" s="8">
        <f ca="1">_xll.HLV5r3.Analytics.Miscellaneous.Zero2DF(_xll.HLV5r3.Analytics.Miscellaneous.LinearInterp(Peturbed_QZ,$K503,1,Y$1),ZeroCompFreq,'PDH Calc'!$K503/365)</f>
        <v>1</v>
      </c>
      <c r="Z503" s="8">
        <f ca="1">_xll.HLV5r3.Analytics.Miscellaneous.Zero2DF(_xll.HLV5r3.Analytics.Miscellaneous.LinearInterp(Peturbed_QZ,$K503,1,Z$1),ZeroCompFreq,'PDH Calc'!$K503/365)</f>
        <v>1</v>
      </c>
      <c r="AA503" s="8">
        <f ca="1">_xll.HLV5r3.Analytics.Miscellaneous.Zero2DF(_xll.HLV5r3.Analytics.Miscellaneous.LinearInterp(Peturbed_QZ,$K503,1,AA$1),ZeroCompFreq,'PDH Calc'!$K503/365)</f>
        <v>1</v>
      </c>
      <c r="AB503" s="8">
        <f ca="1">_xll.HLV5r3.Analytics.Miscellaneous.Zero2DF(_xll.HLV5r3.Analytics.Miscellaneous.LinearInterp(Peturbed_QZ,$K503,1,AB$1),ZeroCompFreq,'PDH Calc'!$K503/365)</f>
        <v>1</v>
      </c>
      <c r="AC503" s="8">
        <f ca="1">_xll.HLV5r3.Analytics.Miscellaneous.Zero2DF(_xll.HLV5r3.Analytics.Miscellaneous.LinearInterp(Peturbed_QZ,$K503,1,AC$1),ZeroCompFreq,'PDH Calc'!$K503/365)</f>
        <v>1</v>
      </c>
      <c r="AD503" s="8">
        <f ca="1">_xll.HLV5r3.Analytics.Miscellaneous.Zero2DF(_xll.HLV5r3.Analytics.Miscellaneous.LinearInterp(Peturbed_QZ,$K503,1,AD$1),ZeroCompFreq,'PDH Calc'!$K503/365)</f>
        <v>1</v>
      </c>
      <c r="AE503" s="8">
        <f ca="1">_xll.HLV5r3.Analytics.Miscellaneous.Zero2DF(_xll.HLV5r3.Analytics.Miscellaneous.LinearInterp(Peturbed_QZ,$K503,1,AE$1),ZeroCompFreq,'PDH Calc'!$K503/365)</f>
        <v>1</v>
      </c>
      <c r="AF503" s="8">
        <f ca="1">_xll.HLV5r3.Analytics.Miscellaneous.Zero2DF(_xll.HLV5r3.Analytics.Miscellaneous.LinearInterp(Peturbed_QZ,$K503,1,AF$1),ZeroCompFreq,'PDH Calc'!$K503/365)</f>
        <v>1</v>
      </c>
      <c r="AG503" s="8">
        <f ca="1">_xll.HLV5r3.Analytics.Miscellaneous.Zero2DF(_xll.HLV5r3.Analytics.Miscellaneous.LinearInterp(Peturbed_QZ,$K503,1,AG$1),ZeroCompFreq,'PDH Calc'!$K503/365)</f>
        <v>1</v>
      </c>
      <c r="AH503" s="8">
        <f ca="1">_xll.HLV5r3.Analytics.Miscellaneous.Zero2DF(_xll.HLV5r3.Analytics.Miscellaneous.LinearInterp(Peturbed_QZ,$K503,1,AH$1),ZeroCompFreq,'PDH Calc'!$K503/365)</f>
        <v>1</v>
      </c>
      <c r="AI503" s="8">
        <f ca="1">_xll.HLV5r3.Analytics.Miscellaneous.Zero2DF(_xll.HLV5r3.Analytics.Miscellaneous.LinearInterp(Peturbed_QZ,$K503,1,AI$1),ZeroCompFreq,'PDH Calc'!$K503/365)</f>
        <v>1</v>
      </c>
      <c r="AJ503" s="8">
        <f ca="1">_xll.HLV5r3.Analytics.Miscellaneous.Zero2DF(_xll.HLV5r3.Analytics.Miscellaneous.LinearInterp(Peturbed_QZ,$K503,1,AJ$1),ZeroCompFreq,'PDH Calc'!$K503/365)</f>
        <v>1</v>
      </c>
      <c r="AK503" s="8">
        <f ca="1">_xll.HLV5r3.Analytics.Miscellaneous.Zero2DF(_xll.HLV5r3.Analytics.Miscellaneous.LinearInterp(Peturbed_QZ,$K503,1,AK$1),ZeroCompFreq,'PDH Calc'!$K503/365)</f>
        <v>1</v>
      </c>
    </row>
    <row r="504" spans="1:37">
      <c r="A504" s="19"/>
      <c r="K504" s="6"/>
      <c r="L504" s="8"/>
      <c r="M504" s="8"/>
    </row>
    <row r="505" spans="1:37">
      <c r="A505" s="19"/>
      <c r="L505" s="3" t="s">
        <v>19</v>
      </c>
      <c r="M505" s="3" t="str">
        <f t="array" ref="M505:AK505">TRANSPOSE('Rates &amp; Dates'!B15:B39)</f>
        <v>O/N</v>
      </c>
      <c r="N505" s="3" t="str">
        <v>1M</v>
      </c>
      <c r="O505" s="3" t="str">
        <v>2M</v>
      </c>
      <c r="P505" s="3" t="str">
        <v>3M</v>
      </c>
      <c r="Q505" s="3" t="str">
        <v>Jun-11</v>
      </c>
      <c r="R505" s="3" t="str">
        <v>Sep-11</v>
      </c>
      <c r="S505" s="3" t="str">
        <v>Dec-11</v>
      </c>
      <c r="T505" s="3" t="str">
        <v>Mar-12</v>
      </c>
      <c r="U505" s="3" t="str">
        <v>Jun-12</v>
      </c>
      <c r="V505" s="3" t="str">
        <v>Sep-12</v>
      </c>
      <c r="W505" s="3" t="str">
        <v>Dec-12</v>
      </c>
      <c r="X505" s="3" t="str">
        <v>Mar-13</v>
      </c>
      <c r="Y505" s="3" t="str">
        <v>3Y</v>
      </c>
      <c r="Z505" s="3" t="str">
        <v>4Y</v>
      </c>
      <c r="AA505" s="3" t="str">
        <v>5Y</v>
      </c>
      <c r="AB505" s="3" t="str">
        <v>6Y</v>
      </c>
      <c r="AC505" s="3" t="str">
        <v>7Y</v>
      </c>
      <c r="AD505" s="3" t="str">
        <v>8Y</v>
      </c>
      <c r="AE505" s="3" t="str">
        <v>9Y</v>
      </c>
      <c r="AF505" s="3" t="str">
        <v>10Y</v>
      </c>
      <c r="AG505" s="3" t="str">
        <v>12Y</v>
      </c>
      <c r="AH505" s="3" t="str">
        <v>15Y</v>
      </c>
      <c r="AI505" s="3" t="str">
        <v>20Y</v>
      </c>
      <c r="AJ505" s="3" t="str">
        <v>25Y</v>
      </c>
      <c r="AK505" s="3" t="str">
        <v>30Y</v>
      </c>
    </row>
    <row r="506" spans="1:37">
      <c r="A506" s="19"/>
      <c r="L506" s="6">
        <f t="shared" ref="L506:AK506" ca="1" si="15">SUMPRODUCT(L3:L503,$I$3:$I$503)</f>
        <v>0</v>
      </c>
      <c r="M506" s="11">
        <f t="shared" ca="1" si="15"/>
        <v>49.606716156005859</v>
      </c>
      <c r="N506" s="11">
        <f t="shared" ca="1" si="15"/>
        <v>-1652.5004710555077</v>
      </c>
      <c r="O506" s="11">
        <f t="shared" ca="1" si="15"/>
        <v>-267.79515421390533</v>
      </c>
      <c r="P506" s="11">
        <f t="shared" ca="1" si="15"/>
        <v>0</v>
      </c>
      <c r="Q506" s="11">
        <f t="shared" ca="1" si="15"/>
        <v>-4780.1922448575497</v>
      </c>
      <c r="R506" s="11">
        <f t="shared" ca="1" si="15"/>
        <v>-4794.2731851637363</v>
      </c>
      <c r="S506" s="11">
        <f t="shared" ca="1" si="15"/>
        <v>-4792.8896253108978</v>
      </c>
      <c r="T506" s="11">
        <f t="shared" ca="1" si="15"/>
        <v>-3572.5425426363945</v>
      </c>
      <c r="U506" s="11">
        <f t="shared" ca="1" si="15"/>
        <v>0</v>
      </c>
      <c r="V506" s="11">
        <f t="shared" ca="1" si="15"/>
        <v>0</v>
      </c>
      <c r="W506" s="11">
        <f t="shared" ca="1" si="15"/>
        <v>0</v>
      </c>
      <c r="X506" s="11">
        <f t="shared" ca="1" si="15"/>
        <v>0</v>
      </c>
      <c r="Y506" s="11">
        <f t="shared" ca="1" si="15"/>
        <v>0</v>
      </c>
      <c r="Z506" s="11">
        <f t="shared" ca="1" si="15"/>
        <v>0</v>
      </c>
      <c r="AA506" s="11">
        <f t="shared" ca="1" si="15"/>
        <v>0</v>
      </c>
      <c r="AB506" s="11">
        <f t="shared" ca="1" si="15"/>
        <v>0</v>
      </c>
      <c r="AC506" s="11">
        <f t="shared" ca="1" si="15"/>
        <v>0</v>
      </c>
      <c r="AD506" s="11">
        <f t="shared" ca="1" si="15"/>
        <v>0</v>
      </c>
      <c r="AE506" s="11">
        <f t="shared" ca="1" si="15"/>
        <v>0</v>
      </c>
      <c r="AF506" s="11">
        <f t="shared" ca="1" si="15"/>
        <v>0</v>
      </c>
      <c r="AG506" s="11">
        <f t="shared" ca="1" si="15"/>
        <v>0</v>
      </c>
      <c r="AH506" s="11">
        <f t="shared" ca="1" si="15"/>
        <v>0</v>
      </c>
      <c r="AI506" s="11">
        <f t="shared" ca="1" si="15"/>
        <v>0</v>
      </c>
      <c r="AJ506" s="11">
        <f t="shared" ca="1" si="15"/>
        <v>0</v>
      </c>
      <c r="AK506" s="11">
        <f t="shared" ca="1" si="15"/>
        <v>0</v>
      </c>
    </row>
    <row r="507" spans="1:37">
      <c r="A507" s="19"/>
      <c r="L507" s="6">
        <f ca="1">SUM(I3:I503)</f>
        <v>10543573.018688142</v>
      </c>
      <c r="M507" s="11">
        <f t="shared" ref="M507:AK507" ca="1" si="16">M506-$L$506</f>
        <v>49.606716156005859</v>
      </c>
      <c r="N507" s="11">
        <f t="shared" ca="1" si="16"/>
        <v>-1652.5004710555077</v>
      </c>
      <c r="O507" s="11">
        <f t="shared" ca="1" si="16"/>
        <v>-267.79515421390533</v>
      </c>
      <c r="P507" s="11">
        <f t="shared" ca="1" si="16"/>
        <v>0</v>
      </c>
      <c r="Q507" s="11">
        <f t="shared" ca="1" si="16"/>
        <v>-4780.1922448575497</v>
      </c>
      <c r="R507" s="11">
        <f t="shared" ca="1" si="16"/>
        <v>-4794.2731851637363</v>
      </c>
      <c r="S507" s="11">
        <f t="shared" ca="1" si="16"/>
        <v>-4792.8896253108978</v>
      </c>
      <c r="T507" s="11">
        <f t="shared" ca="1" si="16"/>
        <v>-3572.5425426363945</v>
      </c>
      <c r="U507" s="11">
        <f t="shared" ca="1" si="16"/>
        <v>0</v>
      </c>
      <c r="V507" s="11">
        <f t="shared" ca="1" si="16"/>
        <v>0</v>
      </c>
      <c r="W507" s="11">
        <f t="shared" ca="1" si="16"/>
        <v>0</v>
      </c>
      <c r="X507" s="11">
        <f t="shared" ca="1" si="16"/>
        <v>0</v>
      </c>
      <c r="Y507" s="11">
        <f t="shared" ca="1" si="16"/>
        <v>0</v>
      </c>
      <c r="Z507" s="11">
        <f t="shared" ca="1" si="16"/>
        <v>0</v>
      </c>
      <c r="AA507" s="11">
        <f t="shared" ca="1" si="16"/>
        <v>0</v>
      </c>
      <c r="AB507" s="11">
        <f t="shared" ca="1" si="16"/>
        <v>0</v>
      </c>
      <c r="AC507" s="11">
        <f t="shared" ca="1" si="16"/>
        <v>0</v>
      </c>
      <c r="AD507" s="11">
        <f t="shared" ca="1" si="16"/>
        <v>0</v>
      </c>
      <c r="AE507" s="11">
        <f t="shared" ca="1" si="16"/>
        <v>0</v>
      </c>
      <c r="AF507" s="11">
        <f t="shared" ca="1" si="16"/>
        <v>0</v>
      </c>
      <c r="AG507" s="11">
        <f t="shared" ca="1" si="16"/>
        <v>0</v>
      </c>
      <c r="AH507" s="11">
        <f t="shared" ca="1" si="16"/>
        <v>0</v>
      </c>
      <c r="AI507" s="11">
        <f t="shared" ca="1" si="16"/>
        <v>0</v>
      </c>
      <c r="AJ507" s="11">
        <f t="shared" ca="1" si="16"/>
        <v>0</v>
      </c>
      <c r="AK507" s="11">
        <f t="shared" ca="1" si="16"/>
        <v>0</v>
      </c>
    </row>
    <row r="508" spans="1:37">
      <c r="A508" s="19"/>
      <c r="L508" s="6"/>
    </row>
    <row r="509" spans="1:37">
      <c r="A509" s="19"/>
      <c r="L509" s="6"/>
    </row>
    <row r="510" spans="1:37">
      <c r="A510" s="19"/>
      <c r="L510" s="6"/>
    </row>
    <row r="511" spans="1:37">
      <c r="A511" s="19"/>
      <c r="L511" s="6"/>
    </row>
    <row r="512" spans="1:37">
      <c r="A512" s="19"/>
      <c r="L512" s="6"/>
    </row>
    <row r="513" spans="1:12">
      <c r="A513" s="19"/>
      <c r="L513" s="6"/>
    </row>
    <row r="514" spans="1:12">
      <c r="A514" s="19"/>
      <c r="L514" s="6"/>
    </row>
    <row r="515" spans="1:12">
      <c r="A515" s="19"/>
      <c r="L515" s="6"/>
    </row>
    <row r="516" spans="1:12">
      <c r="A516" s="19"/>
      <c r="L516" s="6"/>
    </row>
    <row r="517" spans="1:12">
      <c r="A517" s="19"/>
      <c r="L517" s="6"/>
    </row>
    <row r="518" spans="1:12">
      <c r="A518" s="19"/>
      <c r="L518" s="6"/>
    </row>
    <row r="519" spans="1:12">
      <c r="A519" s="19"/>
    </row>
    <row r="520" spans="1:12">
      <c r="A520" s="19"/>
    </row>
    <row r="521" spans="1:12">
      <c r="A521" s="19"/>
    </row>
    <row r="522" spans="1:12">
      <c r="A522" s="19"/>
    </row>
    <row r="523" spans="1:12">
      <c r="A523" s="19"/>
    </row>
    <row r="524" spans="1:12">
      <c r="A524" s="19"/>
    </row>
    <row r="525" spans="1:12">
      <c r="A525" s="19"/>
    </row>
    <row r="526" spans="1:12">
      <c r="A526" s="19"/>
    </row>
    <row r="527" spans="1:12">
      <c r="A527" s="19"/>
    </row>
    <row r="528" spans="1:12">
      <c r="A528" s="19"/>
    </row>
    <row r="529" spans="1:1">
      <c r="A529" s="19"/>
    </row>
    <row r="530" spans="1:1">
      <c r="A530" s="19"/>
    </row>
    <row r="531" spans="1:1">
      <c r="A531" s="19"/>
    </row>
    <row r="532" spans="1:1">
      <c r="A532" s="19"/>
    </row>
    <row r="533" spans="1:1">
      <c r="A533" s="19"/>
    </row>
    <row r="534" spans="1:1">
      <c r="A534" s="19"/>
    </row>
    <row r="535" spans="1:1">
      <c r="A535" s="19"/>
    </row>
    <row r="536" spans="1:1">
      <c r="A536" s="19"/>
    </row>
    <row r="537" spans="1:1">
      <c r="A537" s="19"/>
    </row>
    <row r="538" spans="1:1">
      <c r="A538" s="19"/>
    </row>
    <row r="539" spans="1:1">
      <c r="A539" s="19"/>
    </row>
    <row r="540" spans="1:1">
      <c r="A540" s="19"/>
    </row>
    <row r="541" spans="1:1">
      <c r="A541" s="19"/>
    </row>
    <row r="542" spans="1:1">
      <c r="A542" s="19"/>
    </row>
    <row r="543" spans="1:1">
      <c r="A543" s="19"/>
    </row>
    <row r="544" spans="1:1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</sheetData>
  <mergeCells count="1">
    <mergeCell ref="A2:B2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_Peturbed_QZ">
                <anchor moveWithCells="1" sizeWithCells="1">
                  <from>
                    <xdr:col>0</xdr:col>
                    <xdr:colOff>114300</xdr:colOff>
                    <xdr:row>30</xdr:row>
                    <xdr:rowOff>19050</xdr:rowOff>
                  </from>
                  <to>
                    <xdr:col>1</xdr:col>
                    <xdr:colOff>695325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3"/>
  <sheetViews>
    <sheetView workbookViewId="0">
      <selection activeCell="B2" sqref="B2"/>
    </sheetView>
  </sheetViews>
  <sheetFormatPr defaultRowHeight="12.75"/>
  <cols>
    <col min="2" max="2" width="10.7109375" customWidth="1"/>
    <col min="3" max="3" width="10.7109375" style="1" customWidth="1"/>
    <col min="4" max="23" width="10.7109375" customWidth="1"/>
  </cols>
  <sheetData>
    <row r="1" spans="1:27">
      <c r="B1" s="3" t="s">
        <v>20</v>
      </c>
      <c r="C1" s="3" t="str">
        <f t="array" ref="C1:AA1">TRANSPOSE('Rates &amp; Dates'!B15:B39)</f>
        <v>O/N</v>
      </c>
      <c r="D1" s="3" t="str">
        <v>1M</v>
      </c>
      <c r="E1" s="3" t="str">
        <v>2M</v>
      </c>
      <c r="F1" s="3" t="str">
        <v>3M</v>
      </c>
      <c r="G1" s="3" t="str">
        <v>Jun-11</v>
      </c>
      <c r="H1" s="3" t="str">
        <v>Sep-11</v>
      </c>
      <c r="I1" s="3" t="str">
        <v>Dec-11</v>
      </c>
      <c r="J1" s="3" t="str">
        <v>Mar-12</v>
      </c>
      <c r="K1" s="3" t="str">
        <v>Jun-12</v>
      </c>
      <c r="L1" s="3" t="str">
        <v>Sep-12</v>
      </c>
      <c r="M1" s="3" t="str">
        <v>Dec-12</v>
      </c>
      <c r="N1" s="3" t="str">
        <v>Mar-13</v>
      </c>
      <c r="O1" s="3" t="str">
        <v>3Y</v>
      </c>
      <c r="P1" s="3" t="str">
        <v>4Y</v>
      </c>
      <c r="Q1" s="3" t="str">
        <v>5Y</v>
      </c>
      <c r="R1" s="3" t="str">
        <v>6Y</v>
      </c>
      <c r="S1" s="3" t="str">
        <v>7Y</v>
      </c>
      <c r="T1" s="3" t="str">
        <v>8Y</v>
      </c>
      <c r="U1" s="3" t="str">
        <v>9Y</v>
      </c>
      <c r="V1" s="3" t="str">
        <v>10Y</v>
      </c>
      <c r="W1" s="3" t="str">
        <v>12Y</v>
      </c>
      <c r="X1" s="3" t="str">
        <v>15Y</v>
      </c>
      <c r="Y1" s="3" t="str">
        <v>20Y</v>
      </c>
      <c r="Z1" s="3" t="str">
        <v>25Y</v>
      </c>
      <c r="AA1" s="3" t="str">
        <v>30Y</v>
      </c>
    </row>
    <row r="2" spans="1:27">
      <c r="A2" s="3">
        <f>'Rates &amp; Dates'!U14</f>
        <v>0</v>
      </c>
      <c r="B2" s="10">
        <v>4.9298013904724228E-2</v>
      </c>
      <c r="C2" s="10">
        <v>4.9399225208086289E-2</v>
      </c>
      <c r="D2" s="10">
        <v>4.9298013904724228E-2</v>
      </c>
      <c r="E2" s="10">
        <v>4.9298013904724228E-2</v>
      </c>
      <c r="F2" s="10">
        <v>4.9298013904724228E-2</v>
      </c>
      <c r="G2" s="10">
        <v>4.9298013904724228E-2</v>
      </c>
      <c r="H2" s="10">
        <v>4.9298013904724228E-2</v>
      </c>
      <c r="I2" s="10">
        <v>4.9298013904724228E-2</v>
      </c>
      <c r="J2" s="10">
        <v>4.9298013904724228E-2</v>
      </c>
      <c r="K2" s="10">
        <v>4.9298013904724228E-2</v>
      </c>
      <c r="L2" s="10">
        <v>4.9298013904724228E-2</v>
      </c>
      <c r="M2" s="10">
        <v>4.9298013904724228E-2</v>
      </c>
      <c r="N2" s="10">
        <v>4.9298013904724228E-2</v>
      </c>
      <c r="O2" s="10">
        <v>4.9298013904724228E-2</v>
      </c>
      <c r="P2" s="10">
        <v>4.9298013904724228E-2</v>
      </c>
      <c r="Q2" s="10">
        <v>4.9298013904724228E-2</v>
      </c>
      <c r="R2" s="10">
        <v>4.9298013904724228E-2</v>
      </c>
      <c r="S2" s="10">
        <v>4.9298013904724228E-2</v>
      </c>
      <c r="T2" s="10">
        <v>4.9298013904724228E-2</v>
      </c>
      <c r="U2" s="10">
        <v>4.9298013904724228E-2</v>
      </c>
      <c r="V2" s="10">
        <v>4.9298013904724228E-2</v>
      </c>
      <c r="W2" s="10">
        <v>4.9298013904724228E-2</v>
      </c>
      <c r="X2" s="10">
        <v>4.9298013904724228E-2</v>
      </c>
      <c r="Y2" s="10">
        <v>4.9298013904724228E-2</v>
      </c>
      <c r="Z2" s="10">
        <v>4.9298013904724228E-2</v>
      </c>
      <c r="AA2" s="10">
        <v>4.9298013904724228E-2</v>
      </c>
    </row>
    <row r="3" spans="1:27">
      <c r="A3" s="3">
        <f>'Rates &amp; Dates'!U15</f>
        <v>1</v>
      </c>
      <c r="B3" s="10">
        <v>4.9298013904724228E-2</v>
      </c>
      <c r="C3" s="10">
        <v>4.9399225208086289E-2</v>
      </c>
      <c r="D3" s="10">
        <v>4.9298013904724228E-2</v>
      </c>
      <c r="E3" s="10">
        <v>4.9298013904724228E-2</v>
      </c>
      <c r="F3" s="10">
        <v>4.9298013904724228E-2</v>
      </c>
      <c r="G3" s="10">
        <v>4.9298013904724228E-2</v>
      </c>
      <c r="H3" s="10">
        <v>4.9298013904724228E-2</v>
      </c>
      <c r="I3" s="10">
        <v>4.9298013904724228E-2</v>
      </c>
      <c r="J3" s="10">
        <v>4.9298013904724228E-2</v>
      </c>
      <c r="K3" s="10">
        <v>4.9298013904724228E-2</v>
      </c>
      <c r="L3" s="10">
        <v>4.9298013904724228E-2</v>
      </c>
      <c r="M3" s="10">
        <v>4.9298013904724228E-2</v>
      </c>
      <c r="N3" s="10">
        <v>4.9298013904724228E-2</v>
      </c>
      <c r="O3" s="10">
        <v>4.9298013904724228E-2</v>
      </c>
      <c r="P3" s="10">
        <v>4.9298013904724228E-2</v>
      </c>
      <c r="Q3" s="10">
        <v>4.9298013904724228E-2</v>
      </c>
      <c r="R3" s="10">
        <v>4.9298013904724228E-2</v>
      </c>
      <c r="S3" s="10">
        <v>4.9298013904724228E-2</v>
      </c>
      <c r="T3" s="10">
        <v>4.9298013904724228E-2</v>
      </c>
      <c r="U3" s="10">
        <v>4.9298013904724228E-2</v>
      </c>
      <c r="V3" s="10">
        <v>4.9298013904724228E-2</v>
      </c>
      <c r="W3" s="10">
        <v>4.9298013904724228E-2</v>
      </c>
      <c r="X3" s="10">
        <v>4.9298013904724228E-2</v>
      </c>
      <c r="Y3" s="10">
        <v>4.9298013904724228E-2</v>
      </c>
      <c r="Z3" s="10">
        <v>4.9298013904724228E-2</v>
      </c>
      <c r="AA3" s="10">
        <v>4.9298013904724228E-2</v>
      </c>
    </row>
    <row r="4" spans="1:27">
      <c r="A4" s="3">
        <f>'Rates &amp; Dates'!U16</f>
        <v>31</v>
      </c>
      <c r="B4" s="10">
        <v>4.9393719421290616E-2</v>
      </c>
      <c r="C4" s="10">
        <v>4.9396786454901323E-2</v>
      </c>
      <c r="D4" s="10">
        <v>4.9491465676948738E-2</v>
      </c>
      <c r="E4" s="10">
        <v>4.9393719421290616E-2</v>
      </c>
      <c r="F4" s="10">
        <v>4.9393719421290616E-2</v>
      </c>
      <c r="G4" s="10">
        <v>4.9393719421290616E-2</v>
      </c>
      <c r="H4" s="10">
        <v>4.9393719421290616E-2</v>
      </c>
      <c r="I4" s="10">
        <v>4.9393719421290616E-2</v>
      </c>
      <c r="J4" s="10">
        <v>4.9393719421290616E-2</v>
      </c>
      <c r="K4" s="10">
        <v>4.9393719421290616E-2</v>
      </c>
      <c r="L4" s="10">
        <v>4.9393719421290616E-2</v>
      </c>
      <c r="M4" s="10">
        <v>4.9393719421290616E-2</v>
      </c>
      <c r="N4" s="10">
        <v>4.9393719421290616E-2</v>
      </c>
      <c r="O4" s="10">
        <v>4.9393719421290616E-2</v>
      </c>
      <c r="P4" s="10">
        <v>4.9393719421290616E-2</v>
      </c>
      <c r="Q4" s="10">
        <v>4.9393719421290616E-2</v>
      </c>
      <c r="R4" s="10">
        <v>4.9393719421290616E-2</v>
      </c>
      <c r="S4" s="10">
        <v>4.9393719421290616E-2</v>
      </c>
      <c r="T4" s="10">
        <v>4.9393719421290616E-2</v>
      </c>
      <c r="U4" s="10">
        <v>4.9393719421290616E-2</v>
      </c>
      <c r="V4" s="10">
        <v>4.9393719421290616E-2</v>
      </c>
      <c r="W4" s="10">
        <v>4.9393719421290616E-2</v>
      </c>
      <c r="X4" s="10">
        <v>4.9393719421290616E-2</v>
      </c>
      <c r="Y4" s="10">
        <v>4.9393719421290616E-2</v>
      </c>
      <c r="Z4" s="10">
        <v>4.9393719421290616E-2</v>
      </c>
      <c r="AA4" s="10">
        <v>4.9393719421290616E-2</v>
      </c>
    </row>
    <row r="5" spans="1:27">
      <c r="A5" s="3">
        <f>'Rates &amp; Dates'!U17</f>
        <v>62</v>
      </c>
      <c r="B5" s="10">
        <v>4.949771084726029E-2</v>
      </c>
      <c r="C5" s="10">
        <v>4.9499343344261044E-2</v>
      </c>
      <c r="D5" s="10">
        <v>4.949771084726029E-2</v>
      </c>
      <c r="E5" s="10">
        <v>4.959650022322501E-2</v>
      </c>
      <c r="F5" s="10">
        <v>4.949771084726029E-2</v>
      </c>
      <c r="G5" s="10">
        <v>4.949771084726029E-2</v>
      </c>
      <c r="H5" s="10">
        <v>4.949771084726029E-2</v>
      </c>
      <c r="I5" s="10">
        <v>4.949771084726029E-2</v>
      </c>
      <c r="J5" s="10">
        <v>4.949771084726029E-2</v>
      </c>
      <c r="K5" s="10">
        <v>4.949771084726029E-2</v>
      </c>
      <c r="L5" s="10">
        <v>4.949771084726029E-2</v>
      </c>
      <c r="M5" s="10">
        <v>4.949771084726029E-2</v>
      </c>
      <c r="N5" s="10">
        <v>4.949771084726029E-2</v>
      </c>
      <c r="O5" s="10">
        <v>4.949771084726029E-2</v>
      </c>
      <c r="P5" s="10">
        <v>4.949771084726029E-2</v>
      </c>
      <c r="Q5" s="10">
        <v>4.949771084726029E-2</v>
      </c>
      <c r="R5" s="10">
        <v>4.949771084726029E-2</v>
      </c>
      <c r="S5" s="10">
        <v>4.949771084726029E-2</v>
      </c>
      <c r="T5" s="10">
        <v>4.949771084726029E-2</v>
      </c>
      <c r="U5" s="10">
        <v>4.949771084726029E-2</v>
      </c>
      <c r="V5" s="10">
        <v>4.949771084726029E-2</v>
      </c>
      <c r="W5" s="10">
        <v>4.949771084726029E-2</v>
      </c>
      <c r="X5" s="10">
        <v>4.949771084726029E-2</v>
      </c>
      <c r="Y5" s="10">
        <v>4.949771084726029E-2</v>
      </c>
      <c r="Z5" s="10">
        <v>4.949771084726029E-2</v>
      </c>
      <c r="AA5" s="10">
        <v>4.949771084726029E-2</v>
      </c>
    </row>
    <row r="6" spans="1:27">
      <c r="A6" s="3">
        <f>'Rates &amp; Dates'!U18</f>
        <v>93</v>
      </c>
      <c r="B6" s="10">
        <v>4.9693177383315558E-2</v>
      </c>
      <c r="C6" s="10">
        <v>4.9694265767614196E-2</v>
      </c>
      <c r="D6" s="10">
        <v>4.9693177383315558E-2</v>
      </c>
      <c r="E6" s="10">
        <v>4.9693177383315558E-2</v>
      </c>
      <c r="F6" s="10">
        <v>4.9792091947155857E-2</v>
      </c>
      <c r="G6" s="10">
        <v>4.9693177383315558E-2</v>
      </c>
      <c r="H6" s="10">
        <v>4.9693177383315558E-2</v>
      </c>
      <c r="I6" s="10">
        <v>4.9693177383315558E-2</v>
      </c>
      <c r="J6" s="10">
        <v>4.9693177383315558E-2</v>
      </c>
      <c r="K6" s="10">
        <v>4.9693177383315558E-2</v>
      </c>
      <c r="L6" s="10">
        <v>4.9693177383315558E-2</v>
      </c>
      <c r="M6" s="10">
        <v>4.9693177383315558E-2</v>
      </c>
      <c r="N6" s="10">
        <v>4.9693177383315558E-2</v>
      </c>
      <c r="O6" s="10">
        <v>4.9693177383315558E-2</v>
      </c>
      <c r="P6" s="10">
        <v>4.9693177383315558E-2</v>
      </c>
      <c r="Q6" s="10">
        <v>4.9693177383315558E-2</v>
      </c>
      <c r="R6" s="10">
        <v>4.9693177383315558E-2</v>
      </c>
      <c r="S6" s="10">
        <v>4.9693177383315558E-2</v>
      </c>
      <c r="T6" s="10">
        <v>4.9693177383315558E-2</v>
      </c>
      <c r="U6" s="10">
        <v>4.9693177383315558E-2</v>
      </c>
      <c r="V6" s="10">
        <v>4.9693177383315558E-2</v>
      </c>
      <c r="W6" s="10">
        <v>4.9693177383315558E-2</v>
      </c>
      <c r="X6" s="10">
        <v>4.9693177383315558E-2</v>
      </c>
      <c r="Y6" s="10">
        <v>4.9693177383315558E-2</v>
      </c>
      <c r="Z6" s="10">
        <v>4.9693177383315558E-2</v>
      </c>
      <c r="AA6" s="10">
        <v>4.9693177383315558E-2</v>
      </c>
    </row>
    <row r="7" spans="1:27">
      <c r="A7" s="3">
        <f>'Rates &amp; Dates'!U19</f>
        <v>114</v>
      </c>
      <c r="B7" s="10">
        <v>5.0007719649035137E-2</v>
      </c>
      <c r="C7" s="10">
        <v>5.0008555671509164E-2</v>
      </c>
      <c r="D7" s="10">
        <v>5.0032272461657784E-2</v>
      </c>
      <c r="E7" s="10">
        <v>5.0011690046899093E-2</v>
      </c>
      <c r="F7" s="10">
        <v>5.0007719649035137E-2</v>
      </c>
      <c r="G7" s="10">
        <v>5.0078593354617805E-2</v>
      </c>
      <c r="H7" s="10">
        <v>5.0007719649035137E-2</v>
      </c>
      <c r="I7" s="10">
        <v>5.0007719649035137E-2</v>
      </c>
      <c r="J7" s="10">
        <v>5.0007719649035137E-2</v>
      </c>
      <c r="K7" s="10">
        <v>5.0007719649035137E-2</v>
      </c>
      <c r="L7" s="10">
        <v>5.0007719649035137E-2</v>
      </c>
      <c r="M7" s="10">
        <v>5.0007719649035137E-2</v>
      </c>
      <c r="N7" s="10">
        <v>5.0007719649035137E-2</v>
      </c>
      <c r="O7" s="10">
        <v>5.0007719649035137E-2</v>
      </c>
      <c r="P7" s="10">
        <v>5.0007719649035137E-2</v>
      </c>
      <c r="Q7" s="10">
        <v>5.0007719649035137E-2</v>
      </c>
      <c r="R7" s="10">
        <v>5.0007719649035137E-2</v>
      </c>
      <c r="S7" s="10">
        <v>5.0007719649035137E-2</v>
      </c>
      <c r="T7" s="10">
        <v>5.0007719649035137E-2</v>
      </c>
      <c r="U7" s="10">
        <v>5.0007719649035137E-2</v>
      </c>
      <c r="V7" s="10">
        <v>5.0007719649035137E-2</v>
      </c>
      <c r="W7" s="10">
        <v>5.0007719649035137E-2</v>
      </c>
      <c r="X7" s="10">
        <v>5.0007719649035137E-2</v>
      </c>
      <c r="Y7" s="10">
        <v>5.0007719649035137E-2</v>
      </c>
      <c r="Z7" s="10">
        <v>5.0007719649035137E-2</v>
      </c>
      <c r="AA7" s="10">
        <v>5.0007719649035137E-2</v>
      </c>
    </row>
    <row r="8" spans="1:27">
      <c r="A8" s="3">
        <f>'Rates &amp; Dates'!U20</f>
        <v>205</v>
      </c>
      <c r="B8" s="10">
        <v>5.0565434467510238E-2</v>
      </c>
      <c r="C8" s="10">
        <v>5.0565923168611013E-2</v>
      </c>
      <c r="D8" s="10">
        <v>5.0579786919011709E-2</v>
      </c>
      <c r="E8" s="10">
        <v>5.0567755382981486E-2</v>
      </c>
      <c r="F8" s="10">
        <v>5.0565434467510238E-2</v>
      </c>
      <c r="G8" s="10">
        <v>5.0606863896865015E-2</v>
      </c>
      <c r="H8" s="10">
        <v>5.060698593699562E-2</v>
      </c>
      <c r="I8" s="10">
        <v>5.0565434467510238E-2</v>
      </c>
      <c r="J8" s="10">
        <v>5.0565434467510238E-2</v>
      </c>
      <c r="K8" s="10">
        <v>5.0565434467510238E-2</v>
      </c>
      <c r="L8" s="10">
        <v>5.0565434467510238E-2</v>
      </c>
      <c r="M8" s="10">
        <v>5.0565434467510238E-2</v>
      </c>
      <c r="N8" s="10">
        <v>5.0565434467510238E-2</v>
      </c>
      <c r="O8" s="10">
        <v>5.0565434467510238E-2</v>
      </c>
      <c r="P8" s="10">
        <v>5.0565434467510238E-2</v>
      </c>
      <c r="Q8" s="10">
        <v>5.0565434467510238E-2</v>
      </c>
      <c r="R8" s="10">
        <v>5.0565434467510238E-2</v>
      </c>
      <c r="S8" s="10">
        <v>5.0565434467510238E-2</v>
      </c>
      <c r="T8" s="10">
        <v>5.0565434467510238E-2</v>
      </c>
      <c r="U8" s="10">
        <v>5.0565434467510238E-2</v>
      </c>
      <c r="V8" s="10">
        <v>5.0565434467510238E-2</v>
      </c>
      <c r="W8" s="10">
        <v>5.0565434467510238E-2</v>
      </c>
      <c r="X8" s="10">
        <v>5.0565434467510238E-2</v>
      </c>
      <c r="Y8" s="10">
        <v>5.0565434467510238E-2</v>
      </c>
      <c r="Z8" s="10">
        <v>5.0565434467510238E-2</v>
      </c>
      <c r="AA8" s="10">
        <v>5.0565434467510238E-2</v>
      </c>
    </row>
    <row r="9" spans="1:27">
      <c r="A9" s="3">
        <f>'Rates &amp; Dates'!U21</f>
        <v>296</v>
      </c>
      <c r="B9" s="10">
        <v>5.1144553920572156E-2</v>
      </c>
      <c r="C9" s="10">
        <v>5.1144899213448142E-2</v>
      </c>
      <c r="D9" s="10">
        <v>5.1154694672794203E-2</v>
      </c>
      <c r="E9" s="10">
        <v>5.1146193768576063E-2</v>
      </c>
      <c r="F9" s="10">
        <v>5.1144553920572156E-2</v>
      </c>
      <c r="G9" s="10">
        <v>5.1173825934965007E-2</v>
      </c>
      <c r="H9" s="10">
        <v>5.117391216244014E-2</v>
      </c>
      <c r="I9" s="10">
        <v>5.117390368993216E-2</v>
      </c>
      <c r="J9" s="10">
        <v>5.1144553920572156E-2</v>
      </c>
      <c r="K9" s="10">
        <v>5.1144553920572156E-2</v>
      </c>
      <c r="L9" s="10">
        <v>5.1144553920572156E-2</v>
      </c>
      <c r="M9" s="10">
        <v>5.1144553920572156E-2</v>
      </c>
      <c r="N9" s="10">
        <v>5.1144553920572156E-2</v>
      </c>
      <c r="O9" s="10">
        <v>5.1144553920572156E-2</v>
      </c>
      <c r="P9" s="10">
        <v>5.1144553920572156E-2</v>
      </c>
      <c r="Q9" s="10">
        <v>5.1144553920572156E-2</v>
      </c>
      <c r="R9" s="10">
        <v>5.1144553920572156E-2</v>
      </c>
      <c r="S9" s="10">
        <v>5.1144553920572156E-2</v>
      </c>
      <c r="T9" s="10">
        <v>5.1144553920572156E-2</v>
      </c>
      <c r="U9" s="10">
        <v>5.1144553920572156E-2</v>
      </c>
      <c r="V9" s="10">
        <v>5.1144553920572156E-2</v>
      </c>
      <c r="W9" s="10">
        <v>5.1144553920572156E-2</v>
      </c>
      <c r="X9" s="10">
        <v>5.1144553920572156E-2</v>
      </c>
      <c r="Y9" s="10">
        <v>5.1144553920572156E-2</v>
      </c>
      <c r="Z9" s="10">
        <v>5.1144553920572156E-2</v>
      </c>
      <c r="AA9" s="10">
        <v>5.1144553920572156E-2</v>
      </c>
    </row>
    <row r="10" spans="1:27">
      <c r="A10" s="3">
        <f>'Rates &amp; Dates'!U22</f>
        <v>387</v>
      </c>
      <c r="B10" s="10">
        <v>5.16596746968144E-2</v>
      </c>
      <c r="C10" s="10">
        <v>5.1659941665311501E-2</v>
      </c>
      <c r="D10" s="10">
        <v>5.166751517320485E-2</v>
      </c>
      <c r="E10" s="10">
        <v>5.1660942570471859E-2</v>
      </c>
      <c r="F10" s="10">
        <v>5.16596746968144E-2</v>
      </c>
      <c r="G10" s="10">
        <v>5.1682306786627712E-2</v>
      </c>
      <c r="H10" s="10">
        <v>5.1682373454617618E-2</v>
      </c>
      <c r="I10" s="10">
        <v>5.1682366903978399E-2</v>
      </c>
      <c r="J10" s="10">
        <v>5.168236207136305E-2</v>
      </c>
      <c r="K10" s="10">
        <v>5.16596746968144E-2</v>
      </c>
      <c r="L10" s="10">
        <v>5.16596746968144E-2</v>
      </c>
      <c r="M10" s="10">
        <v>5.16596746968144E-2</v>
      </c>
      <c r="N10" s="10">
        <v>5.16596746968144E-2</v>
      </c>
      <c r="O10" s="10">
        <v>5.16596746968144E-2</v>
      </c>
      <c r="P10" s="10">
        <v>5.16596746968144E-2</v>
      </c>
      <c r="Q10" s="10">
        <v>5.16596746968144E-2</v>
      </c>
      <c r="R10" s="10">
        <v>5.16596746968144E-2</v>
      </c>
      <c r="S10" s="10">
        <v>5.16596746968144E-2</v>
      </c>
      <c r="T10" s="10">
        <v>5.16596746968144E-2</v>
      </c>
      <c r="U10" s="10">
        <v>5.16596746968144E-2</v>
      </c>
      <c r="V10" s="10">
        <v>5.16596746968144E-2</v>
      </c>
      <c r="W10" s="10">
        <v>5.16596746968144E-2</v>
      </c>
      <c r="X10" s="10">
        <v>5.16596746968144E-2</v>
      </c>
      <c r="Y10" s="10">
        <v>5.16596746968144E-2</v>
      </c>
      <c r="Z10" s="10">
        <v>5.16596746968144E-2</v>
      </c>
      <c r="AA10" s="10">
        <v>5.16596746968144E-2</v>
      </c>
    </row>
    <row r="11" spans="1:27">
      <c r="A11" s="3">
        <f>'Rates &amp; Dates'!U23</f>
        <v>478</v>
      </c>
      <c r="B11" s="10">
        <v>5.2098756474167424E-2</v>
      </c>
      <c r="C11" s="10">
        <v>5.2098974087877413E-2</v>
      </c>
      <c r="D11" s="10">
        <v>5.2105147471155751E-2</v>
      </c>
      <c r="E11" s="10">
        <v>5.2099789954473799E-2</v>
      </c>
      <c r="F11" s="10">
        <v>5.2098756474167424E-2</v>
      </c>
      <c r="G11" s="10">
        <v>5.2117204532916898E-2</v>
      </c>
      <c r="H11" s="10">
        <v>5.2117258875860023E-2</v>
      </c>
      <c r="I11" s="10">
        <v>5.2117253536250775E-2</v>
      </c>
      <c r="J11" s="10">
        <v>5.2117249597050899E-2</v>
      </c>
      <c r="K11" s="10">
        <v>5.2117246813026534E-2</v>
      </c>
      <c r="L11" s="10">
        <v>5.2098756474167424E-2</v>
      </c>
      <c r="M11" s="10">
        <v>5.2098756474167424E-2</v>
      </c>
      <c r="N11" s="10">
        <v>5.2098756474167424E-2</v>
      </c>
      <c r="O11" s="10">
        <v>5.2098756474167424E-2</v>
      </c>
      <c r="P11" s="10">
        <v>5.2098756474167424E-2</v>
      </c>
      <c r="Q11" s="10">
        <v>5.2098756474167424E-2</v>
      </c>
      <c r="R11" s="10">
        <v>5.2098756474167424E-2</v>
      </c>
      <c r="S11" s="10">
        <v>5.2098756474167424E-2</v>
      </c>
      <c r="T11" s="10">
        <v>5.2098756474167424E-2</v>
      </c>
      <c r="U11" s="10">
        <v>5.2098756474167424E-2</v>
      </c>
      <c r="V11" s="10">
        <v>5.2098756474167424E-2</v>
      </c>
      <c r="W11" s="10">
        <v>5.2098756474167424E-2</v>
      </c>
      <c r="X11" s="10">
        <v>5.2098756474167424E-2</v>
      </c>
      <c r="Y11" s="10">
        <v>5.2098756474167424E-2</v>
      </c>
      <c r="Z11" s="10">
        <v>5.2098756474167424E-2</v>
      </c>
      <c r="AA11" s="10">
        <v>5.2098756474167424E-2</v>
      </c>
    </row>
    <row r="12" spans="1:27">
      <c r="A12" s="3">
        <f>'Rates &amp; Dates'!U24</f>
        <v>569</v>
      </c>
      <c r="B12" s="10">
        <v>5.2481124499645003E-2</v>
      </c>
      <c r="C12" s="10">
        <v>5.2481308163507608E-2</v>
      </c>
      <c r="D12" s="10">
        <v>5.2486518438541574E-2</v>
      </c>
      <c r="E12" s="10">
        <v>5.2481996746996495E-2</v>
      </c>
      <c r="F12" s="10">
        <v>5.2481124499645003E-2</v>
      </c>
      <c r="G12" s="10">
        <v>5.2496694477031015E-2</v>
      </c>
      <c r="H12" s="10">
        <v>5.2496740341915892E-2</v>
      </c>
      <c r="I12" s="10">
        <v>5.2496735835340903E-2</v>
      </c>
      <c r="J12" s="10">
        <v>5.2496732510696802E-2</v>
      </c>
      <c r="K12" s="10">
        <v>5.2496730161008462E-2</v>
      </c>
      <c r="L12" s="10">
        <v>5.2496728207217805E-2</v>
      </c>
      <c r="M12" s="10">
        <v>5.2481124499645003E-2</v>
      </c>
      <c r="N12" s="10">
        <v>5.2481124499645003E-2</v>
      </c>
      <c r="O12" s="10">
        <v>5.2481124499645003E-2</v>
      </c>
      <c r="P12" s="10">
        <v>5.2481124499645003E-2</v>
      </c>
      <c r="Q12" s="10">
        <v>5.2481124499645003E-2</v>
      </c>
      <c r="R12" s="10">
        <v>5.2481124499645003E-2</v>
      </c>
      <c r="S12" s="10">
        <v>5.2481124499645003E-2</v>
      </c>
      <c r="T12" s="10">
        <v>5.2481124499645003E-2</v>
      </c>
      <c r="U12" s="10">
        <v>5.2481124499645003E-2</v>
      </c>
      <c r="V12" s="10">
        <v>5.2481124499645003E-2</v>
      </c>
      <c r="W12" s="10">
        <v>5.2481124499645003E-2</v>
      </c>
      <c r="X12" s="10">
        <v>5.2481124499645003E-2</v>
      </c>
      <c r="Y12" s="10">
        <v>5.2481124499645003E-2</v>
      </c>
      <c r="Z12" s="10">
        <v>5.2481124499645003E-2</v>
      </c>
      <c r="AA12" s="10">
        <v>5.2481124499645003E-2</v>
      </c>
    </row>
    <row r="13" spans="1:27">
      <c r="A13" s="3">
        <f>'Rates &amp; Dates'!U25</f>
        <v>660</v>
      </c>
      <c r="B13" s="10">
        <v>5.2801857596525455E-2</v>
      </c>
      <c r="C13" s="10">
        <v>5.2802016475599949E-2</v>
      </c>
      <c r="D13" s="10">
        <v>5.2806523642060586E-2</v>
      </c>
      <c r="E13" s="10">
        <v>5.2802612137176172E-2</v>
      </c>
      <c r="F13" s="10">
        <v>5.2801857596525455E-2</v>
      </c>
      <c r="G13" s="10">
        <v>5.2815326457138025E-2</v>
      </c>
      <c r="H13" s="10">
        <v>5.2815366132698237E-2</v>
      </c>
      <c r="I13" s="10">
        <v>5.2815362234272009E-2</v>
      </c>
      <c r="J13" s="10">
        <v>5.2815359358278573E-2</v>
      </c>
      <c r="K13" s="10">
        <v>5.2815357325673599E-2</v>
      </c>
      <c r="L13" s="10">
        <v>5.281535563554092E-2</v>
      </c>
      <c r="M13" s="10">
        <v>5.2815354623172189E-2</v>
      </c>
      <c r="N13" s="10">
        <v>5.2801857596525455E-2</v>
      </c>
      <c r="O13" s="10">
        <v>5.2801857596525455E-2</v>
      </c>
      <c r="P13" s="10">
        <v>5.2801857596525455E-2</v>
      </c>
      <c r="Q13" s="10">
        <v>5.2801857596525455E-2</v>
      </c>
      <c r="R13" s="10">
        <v>5.2801857596525455E-2</v>
      </c>
      <c r="S13" s="10">
        <v>5.2801857596525455E-2</v>
      </c>
      <c r="T13" s="10">
        <v>5.2801857596525455E-2</v>
      </c>
      <c r="U13" s="10">
        <v>5.2801857596525455E-2</v>
      </c>
      <c r="V13" s="10">
        <v>5.2801857596525455E-2</v>
      </c>
      <c r="W13" s="10">
        <v>5.2801857596525455E-2</v>
      </c>
      <c r="X13" s="10">
        <v>5.2801857596525455E-2</v>
      </c>
      <c r="Y13" s="10">
        <v>5.2801857596525455E-2</v>
      </c>
      <c r="Z13" s="10">
        <v>5.2801857596525455E-2</v>
      </c>
      <c r="AA13" s="10">
        <v>5.2801857596525455E-2</v>
      </c>
    </row>
    <row r="14" spans="1:27">
      <c r="A14" s="3">
        <f>'Rates &amp; Dates'!U26</f>
        <v>758</v>
      </c>
      <c r="B14" s="10">
        <v>5.3078940457824977E-2</v>
      </c>
      <c r="C14" s="10">
        <v>5.3079079358949191E-2</v>
      </c>
      <c r="D14" s="10">
        <v>5.3083019779955186E-2</v>
      </c>
      <c r="E14" s="10">
        <v>5.3079600120174909E-2</v>
      </c>
      <c r="F14" s="10">
        <v>5.3078940457824977E-2</v>
      </c>
      <c r="G14" s="10">
        <v>5.3090715699471998E-2</v>
      </c>
      <c r="H14" s="10">
        <v>5.3090750386088674E-2</v>
      </c>
      <c r="I14" s="10">
        <v>5.3090746977864665E-2</v>
      </c>
      <c r="J14" s="10">
        <v>5.3090744463508026E-2</v>
      </c>
      <c r="K14" s="10">
        <v>5.30907426864895E-2</v>
      </c>
      <c r="L14" s="10">
        <v>5.3090741208881326E-2</v>
      </c>
      <c r="M14" s="10">
        <v>5.3090740323811308E-2</v>
      </c>
      <c r="N14" s="10">
        <v>5.3091516995815567E-2</v>
      </c>
      <c r="O14" s="10">
        <v>5.3078940457824977E-2</v>
      </c>
      <c r="P14" s="10">
        <v>5.3078940457824977E-2</v>
      </c>
      <c r="Q14" s="10">
        <v>5.3078940457824977E-2</v>
      </c>
      <c r="R14" s="10">
        <v>5.3078940457824977E-2</v>
      </c>
      <c r="S14" s="10">
        <v>5.3078940457824977E-2</v>
      </c>
      <c r="T14" s="10">
        <v>5.3078940457824977E-2</v>
      </c>
      <c r="U14" s="10">
        <v>5.3078940457824977E-2</v>
      </c>
      <c r="V14" s="10">
        <v>5.3078940457824977E-2</v>
      </c>
      <c r="W14" s="10">
        <v>5.3078940457824977E-2</v>
      </c>
      <c r="X14" s="10">
        <v>5.3078940457824977E-2</v>
      </c>
      <c r="Y14" s="10">
        <v>5.3078940457824977E-2</v>
      </c>
      <c r="Z14" s="10">
        <v>5.3078940457824977E-2</v>
      </c>
      <c r="AA14" s="10">
        <v>5.3078940457824977E-2</v>
      </c>
    </row>
    <row r="15" spans="1:27">
      <c r="A15" s="3">
        <f>'Rates &amp; Dates'!U27</f>
        <v>1098</v>
      </c>
      <c r="B15" s="10">
        <v>5.3775942914627589E-2</v>
      </c>
      <c r="C15" s="10">
        <v>5.3776034346033556E-2</v>
      </c>
      <c r="D15" s="10">
        <v>5.377557511614272E-2</v>
      </c>
      <c r="E15" s="10">
        <v>5.3775883438119905E-2</v>
      </c>
      <c r="F15" s="10">
        <v>5.3775814911899256E-2</v>
      </c>
      <c r="G15" s="10">
        <v>5.3774881249263162E-2</v>
      </c>
      <c r="H15" s="10">
        <v>5.3774946156721591E-2</v>
      </c>
      <c r="I15" s="10">
        <v>5.3775066555236277E-2</v>
      </c>
      <c r="J15" s="10">
        <v>5.3775187534818969E-2</v>
      </c>
      <c r="K15" s="10">
        <v>5.3775305161820816E-2</v>
      </c>
      <c r="L15" s="10">
        <v>5.3775428005187323E-2</v>
      </c>
      <c r="M15" s="10">
        <v>5.3775538616738908E-2</v>
      </c>
      <c r="N15" s="10">
        <v>5.3775644884707666E-2</v>
      </c>
      <c r="O15" s="10">
        <v>5.3882118243055693E-2</v>
      </c>
      <c r="P15" s="10">
        <v>5.3775942914627589E-2</v>
      </c>
      <c r="Q15" s="10">
        <v>5.3775942914627589E-2</v>
      </c>
      <c r="R15" s="10">
        <v>5.3775942914627589E-2</v>
      </c>
      <c r="S15" s="10">
        <v>5.3775942914627589E-2</v>
      </c>
      <c r="T15" s="10">
        <v>5.3775942914627589E-2</v>
      </c>
      <c r="U15" s="10">
        <v>5.3775942914627589E-2</v>
      </c>
      <c r="V15" s="10">
        <v>5.3775942914627589E-2</v>
      </c>
      <c r="W15" s="10">
        <v>5.3775942914627589E-2</v>
      </c>
      <c r="X15" s="10">
        <v>5.3775942914627589E-2</v>
      </c>
      <c r="Y15" s="10">
        <v>5.3775942914627589E-2</v>
      </c>
      <c r="Z15" s="10">
        <v>5.3775942914627589E-2</v>
      </c>
      <c r="AA15" s="10">
        <v>5.3775942914627589E-2</v>
      </c>
    </row>
    <row r="16" spans="1:27">
      <c r="A16" s="3">
        <f>'Rates &amp; Dates'!U28</f>
        <v>1462</v>
      </c>
      <c r="B16" s="10">
        <v>5.4424188590977446E-2</v>
      </c>
      <c r="C16" s="10">
        <v>5.4424257084107704E-2</v>
      </c>
      <c r="D16" s="10">
        <v>5.4423892815879865E-2</v>
      </c>
      <c r="E16" s="10">
        <v>5.4424140761330092E-2</v>
      </c>
      <c r="F16" s="10">
        <v>5.4424193779389986E-2</v>
      </c>
      <c r="G16" s="10">
        <v>5.4423334824263099E-2</v>
      </c>
      <c r="H16" s="10">
        <v>5.4423440245867948E-2</v>
      </c>
      <c r="I16" s="10">
        <v>5.4423534424118306E-2</v>
      </c>
      <c r="J16" s="10">
        <v>5.4423615577716411E-2</v>
      </c>
      <c r="K16" s="10">
        <v>5.4423722241853809E-2</v>
      </c>
      <c r="L16" s="10">
        <v>5.4423795352120011E-2</v>
      </c>
      <c r="M16" s="10">
        <v>5.4423901296660575E-2</v>
      </c>
      <c r="N16" s="10">
        <v>5.4423960324339722E-2</v>
      </c>
      <c r="O16" s="10">
        <v>5.4419885504954794E-2</v>
      </c>
      <c r="P16" s="10">
        <v>5.4531739394385569E-2</v>
      </c>
      <c r="Q16" s="10">
        <v>5.4424188590977446E-2</v>
      </c>
      <c r="R16" s="10">
        <v>5.4424188590977446E-2</v>
      </c>
      <c r="S16" s="10">
        <v>5.4424188590977446E-2</v>
      </c>
      <c r="T16" s="10">
        <v>5.4424188590977446E-2</v>
      </c>
      <c r="U16" s="10">
        <v>5.4424188590977446E-2</v>
      </c>
      <c r="V16" s="10">
        <v>5.4424188590977446E-2</v>
      </c>
      <c r="W16" s="10">
        <v>5.4424188590977446E-2</v>
      </c>
      <c r="X16" s="10">
        <v>5.4424188590977446E-2</v>
      </c>
      <c r="Y16" s="10">
        <v>5.4424188590977446E-2</v>
      </c>
      <c r="Z16" s="10">
        <v>5.4424188590977446E-2</v>
      </c>
      <c r="AA16" s="10">
        <v>5.4424188590977446E-2</v>
      </c>
    </row>
    <row r="17" spans="1:27">
      <c r="A17" s="3">
        <f>'Rates &amp; Dates'!U29</f>
        <v>1827</v>
      </c>
      <c r="B17" s="10">
        <v>5.5223320715148037E-2</v>
      </c>
      <c r="C17" s="10">
        <v>5.5223375505596514E-2</v>
      </c>
      <c r="D17" s="10">
        <v>5.5223080004046361E-2</v>
      </c>
      <c r="E17" s="10">
        <v>5.5223281789872958E-2</v>
      </c>
      <c r="F17" s="10">
        <v>5.5223324937642197E-2</v>
      </c>
      <c r="G17" s="10">
        <v>5.5222625892876416E-2</v>
      </c>
      <c r="H17" s="10">
        <v>5.5222711688301736E-2</v>
      </c>
      <c r="I17" s="10">
        <v>5.5222788333530753E-2</v>
      </c>
      <c r="J17" s="10">
        <v>5.5222854378887958E-2</v>
      </c>
      <c r="K17" s="10">
        <v>5.5222941185525738E-2</v>
      </c>
      <c r="L17" s="10">
        <v>5.5223000684965912E-2</v>
      </c>
      <c r="M17" s="10">
        <v>5.5223086905973578E-2</v>
      </c>
      <c r="N17" s="10">
        <v>5.5223134944559923E-2</v>
      </c>
      <c r="O17" s="10">
        <v>5.5219818728196139E-2</v>
      </c>
      <c r="P17" s="10">
        <v>5.521847185807098E-2</v>
      </c>
      <c r="Q17" s="10">
        <v>5.5334225022586128E-2</v>
      </c>
      <c r="R17" s="10">
        <v>5.5223320715148037E-2</v>
      </c>
      <c r="S17" s="10">
        <v>5.5223320715148037E-2</v>
      </c>
      <c r="T17" s="10">
        <v>5.5223320715148037E-2</v>
      </c>
      <c r="U17" s="10">
        <v>5.5223320715148037E-2</v>
      </c>
      <c r="V17" s="10">
        <v>5.5223320715148037E-2</v>
      </c>
      <c r="W17" s="10">
        <v>5.5223320715148037E-2</v>
      </c>
      <c r="X17" s="10">
        <v>5.5223320715148037E-2</v>
      </c>
      <c r="Y17" s="10">
        <v>5.5223320715148037E-2</v>
      </c>
      <c r="Z17" s="10">
        <v>5.5223320715148037E-2</v>
      </c>
      <c r="AA17" s="10">
        <v>5.5223320715148037E-2</v>
      </c>
    </row>
    <row r="18" spans="1:27">
      <c r="A18" s="3">
        <f>'Rates &amp; Dates'!U30</f>
        <v>2193</v>
      </c>
      <c r="B18" s="10">
        <v>5.5797699857024458E-2</v>
      </c>
      <c r="C18" s="10">
        <v>5.5797745491857335E-2</v>
      </c>
      <c r="D18" s="10">
        <v>5.5797496772070666E-2</v>
      </c>
      <c r="E18" s="10">
        <v>5.5797667016255541E-2</v>
      </c>
      <c r="F18" s="10">
        <v>5.5797703419489475E-2</v>
      </c>
      <c r="G18" s="10">
        <v>5.5797113644144525E-2</v>
      </c>
      <c r="H18" s="10">
        <v>5.5797186028673847E-2</v>
      </c>
      <c r="I18" s="10">
        <v>5.5797250693296691E-2</v>
      </c>
      <c r="J18" s="10">
        <v>5.5797306414939997E-2</v>
      </c>
      <c r="K18" s="10">
        <v>5.579737965261735E-2</v>
      </c>
      <c r="L18" s="10">
        <v>5.5797429851551415E-2</v>
      </c>
      <c r="M18" s="10">
        <v>5.579750259514038E-2</v>
      </c>
      <c r="N18" s="10">
        <v>5.5797543124695932E-2</v>
      </c>
      <c r="O18" s="10">
        <v>5.5794745274436806E-2</v>
      </c>
      <c r="P18" s="10">
        <v>5.5793608937027797E-2</v>
      </c>
      <c r="Q18" s="10">
        <v>5.5792438689876461E-2</v>
      </c>
      <c r="R18" s="10">
        <v>5.5912100169563397E-2</v>
      </c>
      <c r="S18" s="10">
        <v>5.5797699857024458E-2</v>
      </c>
      <c r="T18" s="10">
        <v>5.5797699857024458E-2</v>
      </c>
      <c r="U18" s="10">
        <v>5.5797699857024458E-2</v>
      </c>
      <c r="V18" s="10">
        <v>5.5797699857024458E-2</v>
      </c>
      <c r="W18" s="10">
        <v>5.5797699857024458E-2</v>
      </c>
      <c r="X18" s="10">
        <v>5.5797699857024458E-2</v>
      </c>
      <c r="Y18" s="10">
        <v>5.5797699857024458E-2</v>
      </c>
      <c r="Z18" s="10">
        <v>5.5797699857024458E-2</v>
      </c>
      <c r="AA18" s="10">
        <v>5.5797699857024458E-2</v>
      </c>
    </row>
    <row r="19" spans="1:27">
      <c r="A19" s="3">
        <f>'Rates &amp; Dates'!U31</f>
        <v>2558</v>
      </c>
      <c r="B19" s="10">
        <v>5.6333938968808159E-2</v>
      </c>
      <c r="C19" s="10">
        <v>5.6333978053933004E-2</v>
      </c>
      <c r="D19" s="10">
        <v>5.6333762868648905E-2</v>
      </c>
      <c r="E19" s="10">
        <v>5.6333910491736937E-2</v>
      </c>
      <c r="F19" s="10">
        <v>5.63339420579127E-2</v>
      </c>
      <c r="G19" s="10">
        <v>5.6333430648627156E-2</v>
      </c>
      <c r="H19" s="10">
        <v>5.6333493415103381E-2</v>
      </c>
      <c r="I19" s="10">
        <v>5.6333549487451617E-2</v>
      </c>
      <c r="J19" s="10">
        <v>5.6333597805112885E-2</v>
      </c>
      <c r="K19" s="10">
        <v>5.6333661311375467E-2</v>
      </c>
      <c r="L19" s="10">
        <v>5.6333704840156033E-2</v>
      </c>
      <c r="M19" s="10">
        <v>5.6333767917981892E-2</v>
      </c>
      <c r="N19" s="10">
        <v>5.6333803062196194E-2</v>
      </c>
      <c r="O19" s="10">
        <v>5.6331376974803525E-2</v>
      </c>
      <c r="P19" s="10">
        <v>5.6330391627700774E-2</v>
      </c>
      <c r="Q19" s="10">
        <v>5.6329376876643238E-2</v>
      </c>
      <c r="R19" s="10">
        <v>5.6328293670340611E-2</v>
      </c>
      <c r="S19" s="10">
        <v>5.6452063316876425E-2</v>
      </c>
      <c r="T19" s="10">
        <v>5.6333938968808159E-2</v>
      </c>
      <c r="U19" s="10">
        <v>5.6333938968808159E-2</v>
      </c>
      <c r="V19" s="10">
        <v>5.6333938968808159E-2</v>
      </c>
      <c r="W19" s="10">
        <v>5.6333938968808159E-2</v>
      </c>
      <c r="X19" s="10">
        <v>5.6333938968808159E-2</v>
      </c>
      <c r="Y19" s="10">
        <v>5.6333938968808159E-2</v>
      </c>
      <c r="Z19" s="10">
        <v>5.6333938968808159E-2</v>
      </c>
      <c r="AA19" s="10">
        <v>5.6333938968808159E-2</v>
      </c>
    </row>
    <row r="20" spans="1:27">
      <c r="A20" s="3">
        <f>'Rates &amp; Dates'!U32</f>
        <v>2925</v>
      </c>
      <c r="B20" s="10">
        <v>5.6565266838753042E-2</v>
      </c>
      <c r="C20" s="10">
        <v>5.6565301053425818E-2</v>
      </c>
      <c r="D20" s="10">
        <v>5.6565111768431209E-2</v>
      </c>
      <c r="E20" s="10">
        <v>5.6565241762407008E-2</v>
      </c>
      <c r="F20" s="10">
        <v>5.6565269558957978E-2</v>
      </c>
      <c r="G20" s="10">
        <v>5.6564819222042026E-2</v>
      </c>
      <c r="H20" s="10">
        <v>5.6564874492961485E-2</v>
      </c>
      <c r="I20" s="10">
        <v>5.6564923869163244E-2</v>
      </c>
      <c r="J20" s="10">
        <v>5.6564966416741247E-2</v>
      </c>
      <c r="K20" s="10">
        <v>5.6565022339102392E-2</v>
      </c>
      <c r="L20" s="10">
        <v>5.6565060669686418E-2</v>
      </c>
      <c r="M20" s="10">
        <v>5.6565116214774037E-2</v>
      </c>
      <c r="N20" s="10">
        <v>5.6565147162075627E-2</v>
      </c>
      <c r="O20" s="10">
        <v>5.6563010797459977E-2</v>
      </c>
      <c r="P20" s="10">
        <v>5.6562143120289447E-2</v>
      </c>
      <c r="Q20" s="10">
        <v>5.6561249550588243E-2</v>
      </c>
      <c r="R20" s="10">
        <v>5.6560295700563208E-2</v>
      </c>
      <c r="S20" s="10">
        <v>5.655929568283434E-2</v>
      </c>
      <c r="T20" s="10">
        <v>5.6687139654736582E-2</v>
      </c>
      <c r="U20" s="10">
        <v>5.6565266838753042E-2</v>
      </c>
      <c r="V20" s="10">
        <v>5.6565266838753042E-2</v>
      </c>
      <c r="W20" s="10">
        <v>5.6565266838753042E-2</v>
      </c>
      <c r="X20" s="10">
        <v>5.6565266838753042E-2</v>
      </c>
      <c r="Y20" s="10">
        <v>5.6565266838753042E-2</v>
      </c>
      <c r="Z20" s="10">
        <v>5.6565266838753042E-2</v>
      </c>
      <c r="AA20" s="10">
        <v>5.6565266838753042E-2</v>
      </c>
    </row>
    <row r="21" spans="1:27">
      <c r="A21" s="3">
        <f>'Rates &amp; Dates'!U33</f>
        <v>3289</v>
      </c>
      <c r="B21" s="10">
        <v>5.6765536929379981E-2</v>
      </c>
      <c r="C21" s="10">
        <v>5.6765567352718253E-2</v>
      </c>
      <c r="D21" s="10">
        <v>5.6765398310503014E-2</v>
      </c>
      <c r="E21" s="10">
        <v>5.676551451338837E-2</v>
      </c>
      <c r="F21" s="10">
        <v>5.6765539360997888E-2</v>
      </c>
      <c r="G21" s="10">
        <v>5.6765136800427142E-2</v>
      </c>
      <c r="H21" s="10">
        <v>5.6765186207641392E-2</v>
      </c>
      <c r="I21" s="10">
        <v>5.676523034551087E-2</v>
      </c>
      <c r="J21" s="10">
        <v>5.6765268379206535E-2</v>
      </c>
      <c r="K21" s="10">
        <v>5.6765318368751934E-2</v>
      </c>
      <c r="L21" s="10">
        <v>5.6765352632835678E-2</v>
      </c>
      <c r="M21" s="10">
        <v>5.6765402285132126E-2</v>
      </c>
      <c r="N21" s="10">
        <v>5.6765429949227848E-2</v>
      </c>
      <c r="O21" s="10">
        <v>5.6763520232047053E-2</v>
      </c>
      <c r="P21" s="10">
        <v>5.6762744606972809E-2</v>
      </c>
      <c r="Q21" s="10">
        <v>5.6761945836325017E-2</v>
      </c>
      <c r="R21" s="10">
        <v>5.676109318052134E-2</v>
      </c>
      <c r="S21" s="10">
        <v>5.6760199254971784E-2</v>
      </c>
      <c r="T21" s="10">
        <v>5.6759295837122761E-2</v>
      </c>
      <c r="U21" s="10">
        <v>5.689129296465819E-2</v>
      </c>
      <c r="V21" s="10">
        <v>5.6765536929379981E-2</v>
      </c>
      <c r="W21" s="10">
        <v>5.6765536929379981E-2</v>
      </c>
      <c r="X21" s="10">
        <v>5.6765536929379981E-2</v>
      </c>
      <c r="Y21" s="10">
        <v>5.6765536929379981E-2</v>
      </c>
      <c r="Z21" s="10">
        <v>5.6765536929379981E-2</v>
      </c>
      <c r="AA21" s="10">
        <v>5.6765536929379981E-2</v>
      </c>
    </row>
    <row r="22" spans="1:27">
      <c r="A22" s="3">
        <f>'Rates &amp; Dates'!U34</f>
        <v>3654</v>
      </c>
      <c r="B22" s="10">
        <v>5.6893353756857765E-2</v>
      </c>
      <c r="C22" s="10">
        <v>5.6893381130217635E-2</v>
      </c>
      <c r="D22" s="10">
        <v>5.6893228570470855E-2</v>
      </c>
      <c r="E22" s="10">
        <v>5.6893333513027777E-2</v>
      </c>
      <c r="F22" s="10">
        <v>5.6893355952846447E-2</v>
      </c>
      <c r="G22" s="10">
        <v>5.6892992401325435E-2</v>
      </c>
      <c r="H22" s="10">
        <v>5.6893037020865962E-2</v>
      </c>
      <c r="I22" s="10">
        <v>5.6893076881673846E-2</v>
      </c>
      <c r="J22" s="10">
        <v>5.6893111229817488E-2</v>
      </c>
      <c r="K22" s="10">
        <v>5.6893156375259539E-2</v>
      </c>
      <c r="L22" s="10">
        <v>5.6893187319074709E-2</v>
      </c>
      <c r="M22" s="10">
        <v>5.6893232159948667E-2</v>
      </c>
      <c r="N22" s="10">
        <v>5.6893257143329476E-2</v>
      </c>
      <c r="O22" s="10">
        <v>5.6891532482168619E-2</v>
      </c>
      <c r="P22" s="10">
        <v>5.6890832016970552E-2</v>
      </c>
      <c r="Q22" s="10">
        <v>5.6890110649062721E-2</v>
      </c>
      <c r="R22" s="10">
        <v>5.6889340617601751E-2</v>
      </c>
      <c r="S22" s="10">
        <v>5.6888533315536151E-2</v>
      </c>
      <c r="T22" s="10">
        <v>5.6887717441004029E-2</v>
      </c>
      <c r="U22" s="10">
        <v>5.6886817580562424E-2</v>
      </c>
      <c r="V22" s="10">
        <v>5.70231052158717E-2</v>
      </c>
      <c r="W22" s="10">
        <v>5.6893353756857765E-2</v>
      </c>
      <c r="X22" s="10">
        <v>5.6893353756857765E-2</v>
      </c>
      <c r="Y22" s="10">
        <v>5.6893353756857765E-2</v>
      </c>
      <c r="Z22" s="10">
        <v>5.6893353756857765E-2</v>
      </c>
      <c r="AA22" s="10">
        <v>5.6893353756857765E-2</v>
      </c>
    </row>
    <row r="23" spans="1:27">
      <c r="A23" s="3">
        <f>'Rates &amp; Dates'!U35</f>
        <v>4384</v>
      </c>
      <c r="B23" s="10">
        <v>5.7297921386948232E-2</v>
      </c>
      <c r="C23" s="10">
        <v>5.7297944187594929E-2</v>
      </c>
      <c r="D23" s="10">
        <v>5.7297815941343588E-2</v>
      </c>
      <c r="E23" s="10">
        <v>5.729790433539092E-2</v>
      </c>
      <c r="F23" s="10">
        <v>5.7297923236648556E-2</v>
      </c>
      <c r="G23" s="10">
        <v>5.7297617013980548E-2</v>
      </c>
      <c r="H23" s="10">
        <v>5.7297654597414815E-2</v>
      </c>
      <c r="I23" s="10">
        <v>5.7297688172526742E-2</v>
      </c>
      <c r="J23" s="10">
        <v>5.7297717104271728E-2</v>
      </c>
      <c r="K23" s="10">
        <v>5.7297755130677981E-2</v>
      </c>
      <c r="L23" s="10">
        <v>5.7297781194927185E-2</v>
      </c>
      <c r="M23" s="10">
        <v>5.7297818964793391E-2</v>
      </c>
      <c r="N23" s="10">
        <v>5.7297840008516551E-2</v>
      </c>
      <c r="O23" s="10">
        <v>5.7296387311216695E-2</v>
      </c>
      <c r="P23" s="10">
        <v>5.7295797303255791E-2</v>
      </c>
      <c r="Q23" s="10">
        <v>5.7295189688789314E-2</v>
      </c>
      <c r="R23" s="10">
        <v>5.7294541084623229E-2</v>
      </c>
      <c r="S23" s="10">
        <v>5.7293861087141566E-2</v>
      </c>
      <c r="T23" s="10">
        <v>5.7293173869036942E-2</v>
      </c>
      <c r="U23" s="10">
        <v>5.7292415908927516E-2</v>
      </c>
      <c r="V23" s="10">
        <v>5.7288028934073219E-2</v>
      </c>
      <c r="W23" s="10">
        <v>5.7432922925798595E-2</v>
      </c>
      <c r="X23" s="10">
        <v>5.7297921386948232E-2</v>
      </c>
      <c r="Y23" s="10">
        <v>5.7297921386948232E-2</v>
      </c>
      <c r="Z23" s="10">
        <v>5.7297921386948232E-2</v>
      </c>
      <c r="AA23" s="10">
        <v>5.7297921386948232E-2</v>
      </c>
    </row>
    <row r="24" spans="1:27">
      <c r="A24" s="3">
        <f>'Rates &amp; Dates'!U36</f>
        <v>5480</v>
      </c>
      <c r="B24" s="10">
        <v>5.7617183744270599E-2</v>
      </c>
      <c r="C24" s="10">
        <v>5.7617201958107607E-2</v>
      </c>
      <c r="D24" s="10">
        <v>5.7617098628087039E-2</v>
      </c>
      <c r="E24" s="10">
        <v>5.7617169980173417E-2</v>
      </c>
      <c r="F24" s="10">
        <v>5.7617185237356983E-2</v>
      </c>
      <c r="G24" s="10">
        <v>5.7616938052994594E-2</v>
      </c>
      <c r="H24" s="10">
        <v>5.7616968390517519E-2</v>
      </c>
      <c r="I24" s="10">
        <v>5.7616995492503126E-2</v>
      </c>
      <c r="J24" s="10">
        <v>5.7617018846342433E-2</v>
      </c>
      <c r="K24" s="10">
        <v>5.7617049541434616E-2</v>
      </c>
      <c r="L24" s="10">
        <v>5.7617070580618025E-2</v>
      </c>
      <c r="M24" s="10">
        <v>5.761710106862937E-2</v>
      </c>
      <c r="N24" s="10">
        <v>5.7617118055220642E-2</v>
      </c>
      <c r="O24" s="10">
        <v>5.7615945431257733E-2</v>
      </c>
      <c r="P24" s="10">
        <v>5.7615469174145235E-2</v>
      </c>
      <c r="Q24" s="10">
        <v>5.7614978705003837E-2</v>
      </c>
      <c r="R24" s="10">
        <v>5.7614455148815601E-2</v>
      </c>
      <c r="S24" s="10">
        <v>5.7613906251830591E-2</v>
      </c>
      <c r="T24" s="10">
        <v>5.7613351526354259E-2</v>
      </c>
      <c r="U24" s="10">
        <v>5.7612739697653667E-2</v>
      </c>
      <c r="V24" s="10">
        <v>5.7609198513126882E-2</v>
      </c>
      <c r="W24" s="10">
        <v>5.7600251226599349E-2</v>
      </c>
      <c r="X24" s="10">
        <v>5.77624169067915E-2</v>
      </c>
      <c r="Y24" s="10">
        <v>5.7617183744270599E-2</v>
      </c>
      <c r="Z24" s="10">
        <v>5.7617183744270599E-2</v>
      </c>
      <c r="AA24" s="10">
        <v>5.7617183744270599E-2</v>
      </c>
    </row>
    <row r="25" spans="1:27">
      <c r="A25" s="3">
        <f>'Rates &amp; Dates'!U37</f>
        <v>7307</v>
      </c>
      <c r="B25" s="10">
        <v>5.6201804976034178E-2</v>
      </c>
      <c r="C25" s="10">
        <v>5.6201818588546289E-2</v>
      </c>
      <c r="D25" s="10">
        <v>5.6201743782028017E-2</v>
      </c>
      <c r="E25" s="10">
        <v>5.620179508038127E-2</v>
      </c>
      <c r="F25" s="10">
        <v>5.6201806049483875E-2</v>
      </c>
      <c r="G25" s="10">
        <v>5.6201628337072727E-2</v>
      </c>
      <c r="H25" s="10">
        <v>5.6201650148139951E-2</v>
      </c>
      <c r="I25" s="10">
        <v>5.6201669633027605E-2</v>
      </c>
      <c r="J25" s="10">
        <v>5.6201686423196444E-2</v>
      </c>
      <c r="K25" s="10">
        <v>5.6201708491335114E-2</v>
      </c>
      <c r="L25" s="10">
        <v>5.6201723617389246E-2</v>
      </c>
      <c r="M25" s="10">
        <v>5.6201745536648612E-2</v>
      </c>
      <c r="N25" s="10">
        <v>5.6201757749103305E-2</v>
      </c>
      <c r="O25" s="10">
        <v>5.6200914694557548E-2</v>
      </c>
      <c r="P25" s="10">
        <v>5.6200572290732567E-2</v>
      </c>
      <c r="Q25" s="10">
        <v>5.6200219669100868E-2</v>
      </c>
      <c r="R25" s="10">
        <v>5.6199843259496028E-2</v>
      </c>
      <c r="S25" s="10">
        <v>5.6199448631047005E-2</v>
      </c>
      <c r="T25" s="10">
        <v>5.6199049812077906E-2</v>
      </c>
      <c r="U25" s="10">
        <v>5.6198609938680442E-2</v>
      </c>
      <c r="V25" s="10">
        <v>5.6196064005676852E-2</v>
      </c>
      <c r="W25" s="10">
        <v>5.6189631333103583E-2</v>
      </c>
      <c r="X25" s="10">
        <v>5.6173950012145188E-2</v>
      </c>
      <c r="Y25" s="10">
        <v>5.6360749164358147E-2</v>
      </c>
      <c r="Z25" s="10">
        <v>5.6201804976034178E-2</v>
      </c>
      <c r="AA25" s="10">
        <v>5.6201804976034178E-2</v>
      </c>
    </row>
    <row r="26" spans="1:27">
      <c r="A26" s="3">
        <f>'Rates &amp; Dates'!U38</f>
        <v>9134</v>
      </c>
      <c r="B26" s="10">
        <v>5.4111183887051502E-2</v>
      </c>
      <c r="C26" s="10">
        <v>5.41111947608824E-2</v>
      </c>
      <c r="D26" s="10">
        <v>5.4111138394495446E-2</v>
      </c>
      <c r="E26" s="10">
        <v>5.4111176530473162E-2</v>
      </c>
      <c r="F26" s="10">
        <v>5.4111184685071173E-2</v>
      </c>
      <c r="G26" s="10">
        <v>5.4111052570945971E-2</v>
      </c>
      <c r="H26" s="10">
        <v>5.4111068785628588E-2</v>
      </c>
      <c r="I26" s="10">
        <v>5.4111083270993711E-2</v>
      </c>
      <c r="J26" s="10">
        <v>5.4111095753062423E-2</v>
      </c>
      <c r="K26" s="10">
        <v>5.4111112158854675E-2</v>
      </c>
      <c r="L26" s="10">
        <v>5.4111123403795286E-2</v>
      </c>
      <c r="M26" s="10">
        <v>5.4111139698906886E-2</v>
      </c>
      <c r="N26" s="10">
        <v>5.4111148777832664E-2</v>
      </c>
      <c r="O26" s="10">
        <v>5.4110522037852105E-2</v>
      </c>
      <c r="P26" s="10">
        <v>5.4110267489261836E-2</v>
      </c>
      <c r="Q26" s="10">
        <v>5.4110005344459401E-2</v>
      </c>
      <c r="R26" s="10">
        <v>5.4109725515136438E-2</v>
      </c>
      <c r="S26" s="10">
        <v>5.410943214145468E-2</v>
      </c>
      <c r="T26" s="10">
        <v>5.4109135652302201E-2</v>
      </c>
      <c r="U26" s="10">
        <v>5.4108808642358966E-2</v>
      </c>
      <c r="V26" s="10">
        <v>5.4106915945133997E-2</v>
      </c>
      <c r="W26" s="10">
        <v>5.410213373814951E-2</v>
      </c>
      <c r="X26" s="10">
        <v>5.4090475676790664E-2</v>
      </c>
      <c r="Y26" s="10">
        <v>5.4072800670282833E-2</v>
      </c>
      <c r="Z26" s="10">
        <v>5.4290664534164153E-2</v>
      </c>
      <c r="AA26" s="10">
        <v>5.4111183887051502E-2</v>
      </c>
    </row>
    <row r="27" spans="1:27">
      <c r="A27" s="3">
        <f>'Rates &amp; Dates'!U39</f>
        <v>10961</v>
      </c>
      <c r="B27" s="10">
        <v>5.1300693015040762E-2</v>
      </c>
      <c r="C27" s="10">
        <v>5.1300702076604435E-2</v>
      </c>
      <c r="D27" s="10">
        <v>5.1300659210016579E-2</v>
      </c>
      <c r="E27" s="10">
        <v>5.1300687548446952E-2</v>
      </c>
      <c r="F27" s="10">
        <v>5.1300693608040279E-2</v>
      </c>
      <c r="G27" s="10">
        <v>5.1300595435459791E-2</v>
      </c>
      <c r="H27" s="10">
        <v>5.1300607484417192E-2</v>
      </c>
      <c r="I27" s="10">
        <v>5.1300618248336732E-2</v>
      </c>
      <c r="J27" s="10">
        <v>5.1300627523628593E-2</v>
      </c>
      <c r="K27" s="10">
        <v>5.1300639714596592E-2</v>
      </c>
      <c r="L27" s="10">
        <v>5.1300648070589844E-2</v>
      </c>
      <c r="M27" s="10">
        <v>5.1300660179310696E-2</v>
      </c>
      <c r="N27" s="10">
        <v>5.1300666925762461E-2</v>
      </c>
      <c r="O27" s="10">
        <v>5.130020120169064E-2</v>
      </c>
      <c r="P27" s="10">
        <v>5.1300012049012043E-2</v>
      </c>
      <c r="Q27" s="10">
        <v>5.12998172515216E-2</v>
      </c>
      <c r="R27" s="10">
        <v>5.1299609312669227E-2</v>
      </c>
      <c r="S27" s="10">
        <v>5.1299391308947125E-2</v>
      </c>
      <c r="T27" s="10">
        <v>5.1299170989967377E-2</v>
      </c>
      <c r="U27" s="10">
        <v>5.1298927991000297E-2</v>
      </c>
      <c r="V27" s="10">
        <v>5.129752153576491E-2</v>
      </c>
      <c r="W27" s="10">
        <v>5.1293967866158197E-2</v>
      </c>
      <c r="X27" s="10">
        <v>5.1285304540413426E-2</v>
      </c>
      <c r="Y27" s="10">
        <v>5.1272169389520665E-2</v>
      </c>
      <c r="Z27" s="10">
        <v>5.1258266504226997E-2</v>
      </c>
      <c r="AA27" s="10">
        <v>5.1497464570422917E-2</v>
      </c>
    </row>
    <row r="29" spans="1:27">
      <c r="B29" s="24"/>
      <c r="F29" s="24"/>
    </row>
    <row r="30" spans="1:27">
      <c r="B30" s="24"/>
      <c r="F30" s="24"/>
    </row>
    <row r="31" spans="1:27">
      <c r="B31" s="24"/>
      <c r="F31" s="24"/>
    </row>
    <row r="32" spans="1:27">
      <c r="B32" s="24"/>
      <c r="F32" s="24"/>
    </row>
    <row r="33" spans="2:6">
      <c r="B33" s="24"/>
      <c r="F33" s="24"/>
    </row>
    <row r="34" spans="2:6">
      <c r="B34" s="24"/>
      <c r="F34" s="24"/>
    </row>
    <row r="35" spans="2:6">
      <c r="B35" s="24"/>
      <c r="F35" s="24"/>
    </row>
    <row r="36" spans="2:6">
      <c r="B36" s="24"/>
      <c r="F36" s="24"/>
    </row>
    <row r="37" spans="2:6">
      <c r="B37" s="24"/>
      <c r="F37" s="24"/>
    </row>
    <row r="38" spans="2:6">
      <c r="B38" s="24"/>
      <c r="F38" s="24"/>
    </row>
    <row r="39" spans="2:6">
      <c r="B39" s="24"/>
      <c r="F39" s="24"/>
    </row>
    <row r="40" spans="2:6">
      <c r="B40" s="24"/>
      <c r="F40" s="24"/>
    </row>
    <row r="41" spans="2:6">
      <c r="B41" s="24"/>
      <c r="F41" s="24"/>
    </row>
    <row r="42" spans="2:6">
      <c r="B42" s="24"/>
      <c r="F42" s="24"/>
    </row>
    <row r="43" spans="2:6">
      <c r="B43" s="24"/>
      <c r="F43" s="24"/>
    </row>
    <row r="44" spans="2:6">
      <c r="B44" s="24"/>
      <c r="F44" s="24"/>
    </row>
    <row r="45" spans="2:6">
      <c r="B45" s="24"/>
      <c r="F45" s="24"/>
    </row>
    <row r="46" spans="2:6">
      <c r="B46" s="24"/>
      <c r="F46" s="24"/>
    </row>
    <row r="47" spans="2:6">
      <c r="B47" s="24"/>
      <c r="F47" s="24"/>
    </row>
    <row r="48" spans="2:6">
      <c r="B48" s="24"/>
      <c r="F48" s="24"/>
    </row>
    <row r="49" spans="2:6">
      <c r="B49" s="24"/>
      <c r="F49" s="24"/>
    </row>
    <row r="50" spans="2:6">
      <c r="B50" s="24"/>
      <c r="F50" s="24"/>
    </row>
    <row r="51" spans="2:6">
      <c r="B51" s="24"/>
      <c r="F51" s="24"/>
    </row>
    <row r="52" spans="2:6">
      <c r="B52" s="24"/>
    </row>
    <row r="53" spans="2:6">
      <c r="B53" s="24"/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558"/>
  <sheetViews>
    <sheetView topLeftCell="A2" workbookViewId="0">
      <selection activeCell="A2" sqref="A2"/>
    </sheetView>
  </sheetViews>
  <sheetFormatPr defaultRowHeight="12.75"/>
  <cols>
    <col min="1" max="2" width="11.85546875" bestFit="1" customWidth="1"/>
  </cols>
  <sheetData>
    <row r="1" spans="1:1">
      <c r="A1" s="3" t="s">
        <v>5</v>
      </c>
    </row>
    <row r="2" spans="1:1">
      <c r="A2" s="4">
        <v>39448</v>
      </c>
    </row>
    <row r="3" spans="1:1">
      <c r="A3" s="4">
        <v>39475</v>
      </c>
    </row>
    <row r="4" spans="1:1">
      <c r="A4" s="4">
        <v>39528</v>
      </c>
    </row>
    <row r="5" spans="1:1">
      <c r="A5" s="4">
        <v>39529</v>
      </c>
    </row>
    <row r="6" spans="1:1">
      <c r="A6" s="4">
        <v>39531</v>
      </c>
    </row>
    <row r="7" spans="1:1">
      <c r="A7" s="4">
        <v>39563</v>
      </c>
    </row>
    <row r="8" spans="1:1">
      <c r="A8" s="4">
        <v>39608</v>
      </c>
    </row>
    <row r="9" spans="1:1">
      <c r="A9" s="4">
        <v>39664</v>
      </c>
    </row>
    <row r="10" spans="1:1">
      <c r="A10" s="4">
        <v>39727</v>
      </c>
    </row>
    <row r="11" spans="1:1">
      <c r="A11" s="4">
        <v>39807</v>
      </c>
    </row>
    <row r="12" spans="1:1">
      <c r="A12" s="4">
        <v>39808</v>
      </c>
    </row>
    <row r="13" spans="1:1">
      <c r="A13" s="4">
        <v>39814</v>
      </c>
    </row>
    <row r="14" spans="1:1">
      <c r="A14" s="4">
        <v>39839</v>
      </c>
    </row>
    <row r="15" spans="1:1">
      <c r="A15" s="4">
        <v>39913</v>
      </c>
    </row>
    <row r="16" spans="1:1">
      <c r="A16" s="4">
        <v>39914</v>
      </c>
    </row>
    <row r="17" spans="1:1">
      <c r="A17" s="4">
        <v>39916</v>
      </c>
    </row>
    <row r="18" spans="1:1">
      <c r="A18" s="4">
        <v>39928</v>
      </c>
    </row>
    <row r="19" spans="1:1">
      <c r="A19" s="4">
        <v>39972</v>
      </c>
    </row>
    <row r="20" spans="1:1">
      <c r="A20" s="4">
        <v>40028</v>
      </c>
    </row>
    <row r="21" spans="1:1">
      <c r="A21" s="4">
        <v>40091</v>
      </c>
    </row>
    <row r="22" spans="1:1">
      <c r="A22" s="4">
        <v>40172</v>
      </c>
    </row>
    <row r="23" spans="1:1">
      <c r="A23" s="4">
        <v>40175</v>
      </c>
    </row>
    <row r="24" spans="1:1">
      <c r="A24" s="4">
        <v>40179</v>
      </c>
    </row>
    <row r="25" spans="1:1">
      <c r="A25" s="4">
        <v>40204</v>
      </c>
    </row>
    <row r="26" spans="1:1">
      <c r="A26" s="4">
        <v>40270</v>
      </c>
    </row>
    <row r="27" spans="1:1">
      <c r="A27" s="4">
        <v>40271</v>
      </c>
    </row>
    <row r="28" spans="1:1">
      <c r="A28" s="4">
        <v>40273</v>
      </c>
    </row>
    <row r="29" spans="1:1">
      <c r="A29" s="4">
        <v>40294</v>
      </c>
    </row>
    <row r="30" spans="1:1">
      <c r="A30" s="4">
        <v>40343</v>
      </c>
    </row>
    <row r="31" spans="1:1">
      <c r="A31" s="4">
        <v>40392</v>
      </c>
    </row>
    <row r="32" spans="1:1">
      <c r="A32" s="4">
        <v>40455</v>
      </c>
    </row>
    <row r="33" spans="1:1">
      <c r="A33" s="4">
        <v>40539</v>
      </c>
    </row>
    <row r="34" spans="1:1">
      <c r="A34" s="4">
        <v>40540</v>
      </c>
    </row>
    <row r="35" spans="1:1">
      <c r="A35" s="4">
        <v>40546</v>
      </c>
    </row>
    <row r="36" spans="1:1">
      <c r="A36" s="4">
        <v>40569</v>
      </c>
    </row>
    <row r="37" spans="1:1">
      <c r="A37" s="4">
        <v>40655</v>
      </c>
    </row>
    <row r="38" spans="1:1">
      <c r="A38" s="4">
        <v>40656</v>
      </c>
    </row>
    <row r="39" spans="1:1">
      <c r="A39" s="4">
        <v>40658</v>
      </c>
    </row>
    <row r="40" spans="1:1">
      <c r="A40" s="4">
        <v>40707</v>
      </c>
    </row>
    <row r="41" spans="1:1">
      <c r="A41" s="4">
        <v>40756</v>
      </c>
    </row>
    <row r="42" spans="1:1">
      <c r="A42" s="4">
        <v>40819</v>
      </c>
    </row>
    <row r="43" spans="1:1">
      <c r="A43" s="4">
        <v>40903</v>
      </c>
    </row>
    <row r="44" spans="1:1">
      <c r="A44" s="4">
        <v>40904</v>
      </c>
    </row>
    <row r="45" spans="1:1">
      <c r="A45" s="4">
        <v>40910</v>
      </c>
    </row>
    <row r="46" spans="1:1">
      <c r="A46" s="4">
        <v>40934</v>
      </c>
    </row>
    <row r="47" spans="1:1">
      <c r="A47" s="4">
        <v>41005</v>
      </c>
    </row>
    <row r="48" spans="1:1">
      <c r="A48" s="4">
        <v>41006</v>
      </c>
    </row>
    <row r="49" spans="1:1">
      <c r="A49" s="4">
        <v>41008</v>
      </c>
    </row>
    <row r="50" spans="1:1">
      <c r="A50" s="4">
        <v>41024</v>
      </c>
    </row>
    <row r="51" spans="1:1">
      <c r="A51" s="4">
        <v>41071</v>
      </c>
    </row>
    <row r="52" spans="1:1">
      <c r="A52" s="4">
        <v>41127</v>
      </c>
    </row>
    <row r="53" spans="1:1">
      <c r="A53" s="4">
        <v>41183</v>
      </c>
    </row>
    <row r="54" spans="1:1">
      <c r="A54" s="4">
        <v>41268</v>
      </c>
    </row>
    <row r="55" spans="1:1">
      <c r="A55" s="4">
        <v>41269</v>
      </c>
    </row>
    <row r="56" spans="1:1">
      <c r="A56" s="4">
        <v>41275</v>
      </c>
    </row>
    <row r="57" spans="1:1">
      <c r="A57" s="4">
        <v>41302</v>
      </c>
    </row>
    <row r="58" spans="1:1">
      <c r="A58" s="4">
        <v>41362</v>
      </c>
    </row>
    <row r="59" spans="1:1">
      <c r="A59" s="4">
        <v>41363</v>
      </c>
    </row>
    <row r="60" spans="1:1">
      <c r="A60" s="4">
        <v>41365</v>
      </c>
    </row>
    <row r="61" spans="1:1">
      <c r="A61" s="4">
        <v>41389</v>
      </c>
    </row>
    <row r="62" spans="1:1">
      <c r="A62" s="4">
        <v>41435</v>
      </c>
    </row>
    <row r="63" spans="1:1">
      <c r="A63" s="4">
        <v>41491</v>
      </c>
    </row>
    <row r="64" spans="1:1">
      <c r="A64" s="4">
        <v>41554</v>
      </c>
    </row>
    <row r="65" spans="1:1">
      <c r="A65" s="4">
        <v>41633</v>
      </c>
    </row>
    <row r="66" spans="1:1">
      <c r="A66" s="4">
        <v>41634</v>
      </c>
    </row>
    <row r="67" spans="1:1">
      <c r="A67" s="4">
        <v>41640</v>
      </c>
    </row>
    <row r="68" spans="1:1">
      <c r="A68" s="4">
        <v>41666</v>
      </c>
    </row>
    <row r="69" spans="1:1">
      <c r="A69" s="4">
        <v>41747</v>
      </c>
    </row>
    <row r="70" spans="1:1">
      <c r="A70" s="4">
        <v>41748</v>
      </c>
    </row>
    <row r="71" spans="1:1">
      <c r="A71" s="4">
        <v>41750</v>
      </c>
    </row>
    <row r="72" spans="1:1">
      <c r="A72" s="4">
        <v>41754</v>
      </c>
    </row>
    <row r="73" spans="1:1">
      <c r="A73" s="4">
        <v>41799</v>
      </c>
    </row>
    <row r="74" spans="1:1">
      <c r="A74" s="4">
        <v>41855</v>
      </c>
    </row>
    <row r="75" spans="1:1">
      <c r="A75" s="4">
        <v>41918</v>
      </c>
    </row>
    <row r="76" spans="1:1">
      <c r="A76" s="4">
        <v>41998</v>
      </c>
    </row>
    <row r="77" spans="1:1">
      <c r="A77" s="4">
        <v>41999</v>
      </c>
    </row>
    <row r="78" spans="1:1">
      <c r="A78" s="4">
        <v>42005</v>
      </c>
    </row>
    <row r="79" spans="1:1">
      <c r="A79" s="4">
        <v>42030</v>
      </c>
    </row>
    <row r="80" spans="1:1">
      <c r="A80" s="4">
        <v>42097</v>
      </c>
    </row>
    <row r="81" spans="1:1">
      <c r="A81" s="4">
        <v>42098</v>
      </c>
    </row>
    <row r="82" spans="1:1">
      <c r="A82" s="4">
        <v>42100</v>
      </c>
    </row>
    <row r="83" spans="1:1">
      <c r="A83" s="4">
        <v>42119</v>
      </c>
    </row>
    <row r="84" spans="1:1">
      <c r="A84" s="4">
        <v>42163</v>
      </c>
    </row>
    <row r="85" spans="1:1">
      <c r="A85" s="4">
        <v>42219</v>
      </c>
    </row>
    <row r="86" spans="1:1">
      <c r="A86" s="4">
        <v>42282</v>
      </c>
    </row>
    <row r="87" spans="1:1">
      <c r="A87" s="4">
        <v>42363</v>
      </c>
    </row>
    <row r="88" spans="1:1">
      <c r="A88" s="4">
        <v>42366</v>
      </c>
    </row>
    <row r="89" spans="1:1">
      <c r="A89" s="4">
        <v>42370</v>
      </c>
    </row>
    <row r="90" spans="1:1">
      <c r="A90" s="4">
        <v>42395</v>
      </c>
    </row>
    <row r="91" spans="1:1">
      <c r="A91" s="4">
        <v>42454</v>
      </c>
    </row>
    <row r="92" spans="1:1">
      <c r="A92" s="4">
        <v>42455</v>
      </c>
    </row>
    <row r="93" spans="1:1">
      <c r="A93" s="4">
        <v>42457</v>
      </c>
    </row>
    <row r="94" spans="1:1">
      <c r="A94" s="4">
        <v>42485</v>
      </c>
    </row>
    <row r="95" spans="1:1">
      <c r="A95" s="4">
        <v>42534</v>
      </c>
    </row>
    <row r="96" spans="1:1">
      <c r="A96" s="4">
        <v>42583</v>
      </c>
    </row>
    <row r="97" spans="1:1">
      <c r="A97" s="4">
        <v>42646</v>
      </c>
    </row>
    <row r="98" spans="1:1">
      <c r="A98" s="4">
        <v>42730</v>
      </c>
    </row>
    <row r="99" spans="1:1">
      <c r="A99" s="4">
        <v>42731</v>
      </c>
    </row>
    <row r="100" spans="1:1">
      <c r="A100" s="4">
        <v>42737</v>
      </c>
    </row>
    <row r="101" spans="1:1">
      <c r="A101" s="4">
        <v>42761</v>
      </c>
    </row>
    <row r="102" spans="1:1">
      <c r="A102" s="4">
        <v>42839</v>
      </c>
    </row>
    <row r="103" spans="1:1">
      <c r="A103" s="4">
        <v>42840</v>
      </c>
    </row>
    <row r="104" spans="1:1">
      <c r="A104" s="4">
        <v>42842</v>
      </c>
    </row>
    <row r="105" spans="1:1">
      <c r="A105" s="4">
        <v>42850</v>
      </c>
    </row>
    <row r="106" spans="1:1">
      <c r="A106" s="4">
        <v>42898</v>
      </c>
    </row>
    <row r="107" spans="1:1">
      <c r="A107" s="4">
        <v>42954</v>
      </c>
    </row>
    <row r="108" spans="1:1">
      <c r="A108" s="4">
        <v>43010</v>
      </c>
    </row>
    <row r="109" spans="1:1">
      <c r="A109" s="4">
        <v>43094</v>
      </c>
    </row>
    <row r="110" spans="1:1">
      <c r="A110" s="4">
        <v>43095</v>
      </c>
    </row>
    <row r="111" spans="1:1">
      <c r="A111" s="4">
        <v>43101</v>
      </c>
    </row>
    <row r="112" spans="1:1">
      <c r="A112" s="4">
        <v>43126</v>
      </c>
    </row>
    <row r="113" spans="1:1">
      <c r="A113" s="4">
        <v>43189</v>
      </c>
    </row>
    <row r="114" spans="1:1">
      <c r="A114" s="4">
        <v>43190</v>
      </c>
    </row>
    <row r="115" spans="1:1">
      <c r="A115" s="4">
        <v>43192</v>
      </c>
    </row>
    <row r="116" spans="1:1">
      <c r="A116" s="4">
        <v>43215</v>
      </c>
    </row>
    <row r="117" spans="1:1">
      <c r="A117" s="4">
        <v>43262</v>
      </c>
    </row>
    <row r="118" spans="1:1">
      <c r="A118" s="4">
        <v>43318</v>
      </c>
    </row>
    <row r="119" spans="1:1">
      <c r="A119" s="4">
        <v>43374</v>
      </c>
    </row>
    <row r="120" spans="1:1">
      <c r="A120" s="4">
        <v>43459</v>
      </c>
    </row>
    <row r="121" spans="1:1">
      <c r="A121" s="4">
        <v>43460</v>
      </c>
    </row>
    <row r="122" spans="1:1">
      <c r="A122" s="4">
        <v>43466</v>
      </c>
    </row>
    <row r="123" spans="1:1">
      <c r="A123" s="4">
        <v>43493</v>
      </c>
    </row>
    <row r="124" spans="1:1">
      <c r="A124" s="4">
        <v>43574</v>
      </c>
    </row>
    <row r="125" spans="1:1">
      <c r="A125" s="4">
        <v>43575</v>
      </c>
    </row>
    <row r="126" spans="1:1">
      <c r="A126" s="4">
        <v>43577</v>
      </c>
    </row>
    <row r="127" spans="1:1">
      <c r="A127" s="4">
        <v>43580</v>
      </c>
    </row>
    <row r="128" spans="1:1">
      <c r="A128" s="4">
        <v>43626</v>
      </c>
    </row>
    <row r="129" spans="1:1">
      <c r="A129" s="4">
        <v>43682</v>
      </c>
    </row>
    <row r="130" spans="1:1">
      <c r="A130" s="4">
        <v>43745</v>
      </c>
    </row>
    <row r="131" spans="1:1">
      <c r="A131" s="4">
        <v>43824</v>
      </c>
    </row>
    <row r="132" spans="1:1">
      <c r="A132" s="4">
        <v>43825</v>
      </c>
    </row>
    <row r="133" spans="1:1">
      <c r="A133" s="4">
        <v>43831</v>
      </c>
    </row>
    <row r="134" spans="1:1">
      <c r="A134" s="4">
        <v>43857</v>
      </c>
    </row>
    <row r="135" spans="1:1">
      <c r="A135" s="4">
        <v>43931</v>
      </c>
    </row>
    <row r="136" spans="1:1">
      <c r="A136" s="4">
        <v>43932</v>
      </c>
    </row>
    <row r="137" spans="1:1">
      <c r="A137" s="4">
        <v>43934</v>
      </c>
    </row>
    <row r="138" spans="1:1">
      <c r="A138" s="4">
        <v>43946</v>
      </c>
    </row>
    <row r="139" spans="1:1">
      <c r="A139" s="4">
        <v>43990</v>
      </c>
    </row>
    <row r="140" spans="1:1">
      <c r="A140" s="4">
        <v>44046</v>
      </c>
    </row>
    <row r="141" spans="1:1">
      <c r="A141" s="4">
        <v>44109</v>
      </c>
    </row>
    <row r="142" spans="1:1">
      <c r="A142" s="4">
        <v>44190</v>
      </c>
    </row>
    <row r="143" spans="1:1">
      <c r="A143" s="4">
        <v>44193</v>
      </c>
    </row>
    <row r="144" spans="1:1">
      <c r="A144" s="4">
        <v>44197</v>
      </c>
    </row>
    <row r="145" spans="1:1">
      <c r="A145" s="4">
        <v>44222</v>
      </c>
    </row>
    <row r="146" spans="1:1">
      <c r="A146" s="4">
        <v>44288</v>
      </c>
    </row>
    <row r="147" spans="1:1">
      <c r="A147" s="4">
        <v>44289</v>
      </c>
    </row>
    <row r="148" spans="1:1">
      <c r="A148" s="4">
        <v>44291</v>
      </c>
    </row>
    <row r="149" spans="1:1">
      <c r="A149" s="4">
        <v>44312</v>
      </c>
    </row>
    <row r="150" spans="1:1">
      <c r="A150" s="4">
        <v>44361</v>
      </c>
    </row>
    <row r="151" spans="1:1">
      <c r="A151" s="4">
        <v>44410</v>
      </c>
    </row>
    <row r="152" spans="1:1">
      <c r="A152" s="4">
        <v>44473</v>
      </c>
    </row>
    <row r="153" spans="1:1">
      <c r="A153" s="4">
        <v>44557</v>
      </c>
    </row>
    <row r="154" spans="1:1">
      <c r="A154" s="4">
        <v>44558</v>
      </c>
    </row>
    <row r="155" spans="1:1">
      <c r="A155" s="4">
        <v>44564</v>
      </c>
    </row>
    <row r="156" spans="1:1">
      <c r="A156" s="4">
        <v>44587</v>
      </c>
    </row>
    <row r="157" spans="1:1">
      <c r="A157" s="4">
        <v>44666</v>
      </c>
    </row>
    <row r="158" spans="1:1">
      <c r="A158" s="4">
        <v>44667</v>
      </c>
    </row>
    <row r="159" spans="1:1">
      <c r="A159" s="4">
        <v>44669</v>
      </c>
    </row>
    <row r="160" spans="1:1">
      <c r="A160" s="4">
        <v>44676</v>
      </c>
    </row>
    <row r="161" spans="1:1">
      <c r="A161" s="4">
        <v>44725</v>
      </c>
    </row>
    <row r="162" spans="1:1">
      <c r="A162" s="4">
        <v>44774</v>
      </c>
    </row>
    <row r="163" spans="1:1">
      <c r="A163" s="4">
        <v>44837</v>
      </c>
    </row>
    <row r="164" spans="1:1">
      <c r="A164" s="4">
        <v>44921</v>
      </c>
    </row>
    <row r="165" spans="1:1">
      <c r="A165" s="4">
        <v>44922</v>
      </c>
    </row>
    <row r="166" spans="1:1">
      <c r="A166" s="4">
        <v>44928</v>
      </c>
    </row>
    <row r="167" spans="1:1">
      <c r="A167" s="4">
        <v>44952</v>
      </c>
    </row>
    <row r="168" spans="1:1">
      <c r="A168" s="4">
        <v>45023</v>
      </c>
    </row>
    <row r="169" spans="1:1">
      <c r="A169" s="4">
        <v>45024</v>
      </c>
    </row>
    <row r="170" spans="1:1">
      <c r="A170" s="4">
        <v>45026</v>
      </c>
    </row>
    <row r="171" spans="1:1">
      <c r="A171" s="4">
        <v>45041</v>
      </c>
    </row>
    <row r="172" spans="1:1">
      <c r="A172" s="4">
        <v>45089</v>
      </c>
    </row>
    <row r="173" spans="1:1">
      <c r="A173" s="4">
        <v>45145</v>
      </c>
    </row>
    <row r="174" spans="1:1">
      <c r="A174" s="4">
        <v>45201</v>
      </c>
    </row>
    <row r="175" spans="1:1">
      <c r="A175" s="4">
        <v>45285</v>
      </c>
    </row>
    <row r="176" spans="1:1">
      <c r="A176" s="4">
        <v>45286</v>
      </c>
    </row>
    <row r="177" spans="1:1">
      <c r="A177" s="4">
        <v>45292</v>
      </c>
    </row>
    <row r="178" spans="1:1">
      <c r="A178" s="4">
        <v>45317</v>
      </c>
    </row>
    <row r="179" spans="1:1">
      <c r="A179" s="4">
        <v>45380</v>
      </c>
    </row>
    <row r="180" spans="1:1">
      <c r="A180" s="4">
        <v>45381</v>
      </c>
    </row>
    <row r="181" spans="1:1">
      <c r="A181" s="4">
        <v>45383</v>
      </c>
    </row>
    <row r="182" spans="1:1">
      <c r="A182" s="4">
        <v>45407</v>
      </c>
    </row>
    <row r="183" spans="1:1">
      <c r="A183" s="4">
        <v>45453</v>
      </c>
    </row>
    <row r="184" spans="1:1">
      <c r="A184" s="4">
        <v>45509</v>
      </c>
    </row>
    <row r="185" spans="1:1">
      <c r="A185" s="4">
        <v>45572</v>
      </c>
    </row>
    <row r="186" spans="1:1">
      <c r="A186" s="4">
        <v>45651</v>
      </c>
    </row>
    <row r="187" spans="1:1">
      <c r="A187" s="4">
        <v>45652</v>
      </c>
    </row>
    <row r="188" spans="1:1">
      <c r="A188" s="4">
        <v>45658</v>
      </c>
    </row>
    <row r="189" spans="1:1">
      <c r="A189" s="4">
        <v>45684</v>
      </c>
    </row>
    <row r="190" spans="1:1">
      <c r="A190" s="4">
        <v>45765</v>
      </c>
    </row>
    <row r="191" spans="1:1">
      <c r="A191" s="4">
        <v>45766</v>
      </c>
    </row>
    <row r="192" spans="1:1">
      <c r="A192" s="4">
        <v>45768</v>
      </c>
    </row>
    <row r="193" spans="1:1">
      <c r="A193" s="4">
        <v>45772</v>
      </c>
    </row>
    <row r="194" spans="1:1">
      <c r="A194" s="4">
        <v>45817</v>
      </c>
    </row>
    <row r="195" spans="1:1">
      <c r="A195" s="4">
        <v>45873</v>
      </c>
    </row>
    <row r="196" spans="1:1">
      <c r="A196" s="4">
        <v>45936</v>
      </c>
    </row>
    <row r="197" spans="1:1">
      <c r="A197" s="4">
        <v>46016</v>
      </c>
    </row>
    <row r="198" spans="1:1">
      <c r="A198" s="4">
        <v>46017</v>
      </c>
    </row>
    <row r="199" spans="1:1">
      <c r="A199" s="4">
        <v>46023</v>
      </c>
    </row>
    <row r="200" spans="1:1">
      <c r="A200" s="4">
        <v>46048</v>
      </c>
    </row>
    <row r="201" spans="1:1">
      <c r="A201" s="4">
        <v>46115</v>
      </c>
    </row>
    <row r="202" spans="1:1">
      <c r="A202" s="4">
        <v>46116</v>
      </c>
    </row>
    <row r="203" spans="1:1">
      <c r="A203" s="4">
        <v>46118</v>
      </c>
    </row>
    <row r="204" spans="1:1">
      <c r="A204" s="4">
        <v>46137</v>
      </c>
    </row>
    <row r="205" spans="1:1">
      <c r="A205" s="4">
        <v>46181</v>
      </c>
    </row>
    <row r="206" spans="1:1">
      <c r="A206" s="4">
        <v>46237</v>
      </c>
    </row>
    <row r="207" spans="1:1">
      <c r="A207" s="4">
        <v>46300</v>
      </c>
    </row>
    <row r="208" spans="1:1">
      <c r="A208" s="4">
        <v>46381</v>
      </c>
    </row>
    <row r="209" spans="1:1">
      <c r="A209" s="4">
        <v>46384</v>
      </c>
    </row>
    <row r="210" spans="1:1">
      <c r="A210" s="4">
        <v>46388</v>
      </c>
    </row>
    <row r="211" spans="1:1">
      <c r="A211" s="4">
        <v>46413</v>
      </c>
    </row>
    <row r="212" spans="1:1">
      <c r="A212" s="4">
        <v>46472</v>
      </c>
    </row>
    <row r="213" spans="1:1">
      <c r="A213" s="4">
        <v>46473</v>
      </c>
    </row>
    <row r="214" spans="1:1">
      <c r="A214" s="4">
        <v>46475</v>
      </c>
    </row>
    <row r="215" spans="1:1">
      <c r="A215" s="4">
        <v>46503</v>
      </c>
    </row>
    <row r="216" spans="1:1">
      <c r="A216" s="4">
        <v>46552</v>
      </c>
    </row>
    <row r="217" spans="1:1">
      <c r="A217" s="4">
        <v>46601</v>
      </c>
    </row>
    <row r="218" spans="1:1">
      <c r="A218" s="4">
        <v>46664</v>
      </c>
    </row>
    <row r="219" spans="1:1">
      <c r="A219" s="4">
        <v>46748</v>
      </c>
    </row>
    <row r="220" spans="1:1">
      <c r="A220" s="4">
        <v>46749</v>
      </c>
    </row>
    <row r="221" spans="1:1">
      <c r="A221" s="4">
        <v>46755</v>
      </c>
    </row>
    <row r="222" spans="1:1">
      <c r="A222" s="4">
        <v>46778</v>
      </c>
    </row>
    <row r="223" spans="1:1">
      <c r="A223" s="4">
        <v>46857</v>
      </c>
    </row>
    <row r="224" spans="1:1">
      <c r="A224" s="4">
        <v>46858</v>
      </c>
    </row>
    <row r="225" spans="1:1">
      <c r="A225" s="4">
        <v>46860</v>
      </c>
    </row>
    <row r="226" spans="1:1">
      <c r="A226" s="4">
        <v>46868</v>
      </c>
    </row>
    <row r="227" spans="1:1">
      <c r="A227" s="4">
        <v>46916</v>
      </c>
    </row>
    <row r="228" spans="1:1">
      <c r="A228" s="4">
        <v>46972</v>
      </c>
    </row>
    <row r="229" spans="1:1">
      <c r="A229" s="4">
        <v>47028</v>
      </c>
    </row>
    <row r="230" spans="1:1">
      <c r="A230" s="4">
        <v>47112</v>
      </c>
    </row>
    <row r="231" spans="1:1">
      <c r="A231" s="4">
        <v>47113</v>
      </c>
    </row>
    <row r="232" spans="1:1">
      <c r="A232" s="4">
        <v>47119</v>
      </c>
    </row>
    <row r="233" spans="1:1">
      <c r="A233" s="4">
        <v>47144</v>
      </c>
    </row>
    <row r="234" spans="1:1">
      <c r="A234" s="4">
        <v>47207</v>
      </c>
    </row>
    <row r="235" spans="1:1">
      <c r="A235" s="4">
        <v>47208</v>
      </c>
    </row>
    <row r="236" spans="1:1">
      <c r="A236" s="4">
        <v>47210</v>
      </c>
    </row>
    <row r="237" spans="1:1">
      <c r="A237" s="4">
        <v>47233</v>
      </c>
    </row>
    <row r="238" spans="1:1">
      <c r="A238" s="4">
        <v>47280</v>
      </c>
    </row>
    <row r="239" spans="1:1">
      <c r="A239" s="4">
        <v>47336</v>
      </c>
    </row>
    <row r="240" spans="1:1">
      <c r="A240" s="4">
        <v>47392</v>
      </c>
    </row>
    <row r="241" spans="1:1">
      <c r="A241" s="4">
        <v>47477</v>
      </c>
    </row>
    <row r="242" spans="1:1">
      <c r="A242" s="4">
        <v>47478</v>
      </c>
    </row>
    <row r="243" spans="1:1">
      <c r="A243" s="4">
        <v>47484</v>
      </c>
    </row>
    <row r="244" spans="1:1">
      <c r="A244" s="4">
        <v>47511</v>
      </c>
    </row>
    <row r="245" spans="1:1">
      <c r="A245" s="4">
        <v>47592</v>
      </c>
    </row>
    <row r="246" spans="1:1">
      <c r="A246" s="4">
        <v>47593</v>
      </c>
    </row>
    <row r="247" spans="1:1">
      <c r="A247" s="4">
        <v>47595</v>
      </c>
    </row>
    <row r="248" spans="1:1">
      <c r="A248" s="4">
        <v>47598</v>
      </c>
    </row>
    <row r="249" spans="1:1">
      <c r="A249" s="4">
        <v>47644</v>
      </c>
    </row>
    <row r="250" spans="1:1">
      <c r="A250" s="4">
        <v>47700</v>
      </c>
    </row>
    <row r="251" spans="1:1">
      <c r="A251" s="4">
        <v>47763</v>
      </c>
    </row>
    <row r="252" spans="1:1">
      <c r="A252" s="4">
        <v>47842</v>
      </c>
    </row>
    <row r="253" spans="1:1">
      <c r="A253" s="4">
        <v>47843</v>
      </c>
    </row>
    <row r="254" spans="1:1">
      <c r="A254" s="4">
        <v>47849</v>
      </c>
    </row>
    <row r="255" spans="1:1">
      <c r="A255" s="4">
        <v>47875</v>
      </c>
    </row>
    <row r="256" spans="1:1">
      <c r="A256" s="4">
        <v>47949</v>
      </c>
    </row>
    <row r="257" spans="1:1">
      <c r="A257" s="4">
        <v>47950</v>
      </c>
    </row>
    <row r="258" spans="1:1">
      <c r="A258" s="4">
        <v>47952</v>
      </c>
    </row>
    <row r="259" spans="1:1">
      <c r="A259" s="4">
        <v>47963</v>
      </c>
    </row>
    <row r="260" spans="1:1">
      <c r="A260" s="4">
        <v>48008</v>
      </c>
    </row>
    <row r="261" spans="1:1">
      <c r="A261" s="4">
        <v>48064</v>
      </c>
    </row>
    <row r="262" spans="1:1">
      <c r="A262" s="4">
        <v>48127</v>
      </c>
    </row>
    <row r="263" spans="1:1">
      <c r="A263" s="4">
        <v>48207</v>
      </c>
    </row>
    <row r="264" spans="1:1">
      <c r="A264" s="4">
        <v>48208</v>
      </c>
    </row>
    <row r="265" spans="1:1">
      <c r="A265" s="4">
        <v>48214</v>
      </c>
    </row>
    <row r="266" spans="1:1">
      <c r="A266" s="4">
        <v>48239</v>
      </c>
    </row>
    <row r="267" spans="1:1">
      <c r="A267" s="4">
        <v>48299</v>
      </c>
    </row>
    <row r="268" spans="1:1">
      <c r="A268" s="4">
        <v>48300</v>
      </c>
    </row>
    <row r="269" spans="1:1">
      <c r="A269" s="4">
        <v>48302</v>
      </c>
    </row>
    <row r="270" spans="1:1">
      <c r="A270" s="4">
        <v>48330</v>
      </c>
    </row>
    <row r="271" spans="1:1">
      <c r="A271" s="4">
        <v>48379</v>
      </c>
    </row>
    <row r="272" spans="1:1">
      <c r="A272" s="4">
        <v>48428</v>
      </c>
    </row>
    <row r="273" spans="1:1">
      <c r="A273" s="4">
        <v>48491</v>
      </c>
    </row>
    <row r="274" spans="1:1">
      <c r="A274" s="4">
        <v>48575</v>
      </c>
    </row>
    <row r="275" spans="1:1">
      <c r="A275" s="4">
        <v>48576</v>
      </c>
    </row>
    <row r="276" spans="1:1">
      <c r="A276" s="4">
        <v>48582</v>
      </c>
    </row>
    <row r="277" spans="1:1">
      <c r="A277" s="4">
        <v>48605</v>
      </c>
    </row>
    <row r="278" spans="1:1">
      <c r="A278" s="4">
        <v>48684</v>
      </c>
    </row>
    <row r="279" spans="1:1">
      <c r="A279" s="4">
        <v>48685</v>
      </c>
    </row>
    <row r="280" spans="1:1">
      <c r="A280" s="4">
        <v>48687</v>
      </c>
    </row>
    <row r="281" spans="1:1">
      <c r="A281" s="4">
        <v>48694</v>
      </c>
    </row>
    <row r="282" spans="1:1">
      <c r="A282" s="4">
        <v>48743</v>
      </c>
    </row>
    <row r="283" spans="1:1">
      <c r="A283" s="4">
        <v>48792</v>
      </c>
    </row>
    <row r="284" spans="1:1">
      <c r="A284" s="4">
        <v>48855</v>
      </c>
    </row>
    <row r="285" spans="1:1">
      <c r="A285" s="4">
        <v>48939</v>
      </c>
    </row>
    <row r="286" spans="1:1">
      <c r="A286" s="4">
        <v>48940</v>
      </c>
    </row>
    <row r="287" spans="1:1">
      <c r="A287" s="4">
        <v>48946</v>
      </c>
    </row>
    <row r="288" spans="1:1">
      <c r="A288" s="4">
        <v>48970</v>
      </c>
    </row>
    <row r="289" spans="1:1">
      <c r="A289" s="4">
        <v>49041</v>
      </c>
    </row>
    <row r="290" spans="1:1">
      <c r="A290" s="4">
        <v>49042</v>
      </c>
    </row>
    <row r="291" spans="1:1">
      <c r="A291" s="4">
        <v>49044</v>
      </c>
    </row>
    <row r="292" spans="1:1">
      <c r="A292" s="4">
        <v>49059</v>
      </c>
    </row>
    <row r="293" spans="1:1">
      <c r="A293" s="4">
        <v>49107</v>
      </c>
    </row>
    <row r="294" spans="1:1">
      <c r="A294" s="4">
        <v>49163</v>
      </c>
    </row>
    <row r="295" spans="1:1">
      <c r="A295" s="4">
        <v>49219</v>
      </c>
    </row>
    <row r="296" spans="1:1">
      <c r="A296" s="4">
        <v>49303</v>
      </c>
    </row>
    <row r="297" spans="1:1">
      <c r="A297" s="4">
        <v>49304</v>
      </c>
    </row>
    <row r="298" spans="1:1">
      <c r="A298" s="4">
        <v>49310</v>
      </c>
    </row>
    <row r="299" spans="1:1">
      <c r="A299" s="4">
        <v>49335</v>
      </c>
    </row>
    <row r="300" spans="1:1">
      <c r="A300" s="4">
        <v>49391</v>
      </c>
    </row>
    <row r="301" spans="1:1">
      <c r="A301" s="4">
        <v>49392</v>
      </c>
    </row>
    <row r="302" spans="1:1">
      <c r="A302" s="4">
        <v>49394</v>
      </c>
    </row>
    <row r="303" spans="1:1">
      <c r="A303" s="4">
        <v>49424</v>
      </c>
    </row>
    <row r="304" spans="1:1">
      <c r="A304" s="4">
        <v>49471</v>
      </c>
    </row>
    <row r="305" spans="1:1">
      <c r="A305" s="4">
        <v>49527</v>
      </c>
    </row>
    <row r="306" spans="1:1">
      <c r="A306" s="4">
        <v>49583</v>
      </c>
    </row>
    <row r="307" spans="1:1">
      <c r="A307" s="4">
        <v>49668</v>
      </c>
    </row>
    <row r="308" spans="1:1">
      <c r="A308" s="4">
        <v>49669</v>
      </c>
    </row>
    <row r="309" spans="1:1">
      <c r="A309" s="4">
        <v>49675</v>
      </c>
    </row>
    <row r="310" spans="1:1">
      <c r="A310" s="4">
        <v>49702</v>
      </c>
    </row>
    <row r="311" spans="1:1">
      <c r="A311" s="4">
        <v>49776</v>
      </c>
    </row>
    <row r="312" spans="1:1">
      <c r="A312" s="4">
        <v>49777</v>
      </c>
    </row>
    <row r="313" spans="1:1">
      <c r="A313" s="4">
        <v>49779</v>
      </c>
    </row>
    <row r="314" spans="1:1">
      <c r="A314" s="4">
        <v>49790</v>
      </c>
    </row>
    <row r="315" spans="1:1">
      <c r="A315" s="4">
        <v>49835</v>
      </c>
    </row>
    <row r="316" spans="1:1">
      <c r="A316" s="4">
        <v>49891</v>
      </c>
    </row>
    <row r="317" spans="1:1">
      <c r="A317" s="4">
        <v>49954</v>
      </c>
    </row>
    <row r="318" spans="1:1">
      <c r="A318" s="4">
        <v>50034</v>
      </c>
    </row>
    <row r="319" spans="1:1">
      <c r="A319" s="4">
        <v>50035</v>
      </c>
    </row>
    <row r="320" spans="1:1">
      <c r="A320" s="4">
        <v>50041</v>
      </c>
    </row>
    <row r="321" spans="1:1">
      <c r="A321" s="4">
        <v>50066</v>
      </c>
    </row>
    <row r="322" spans="1:1">
      <c r="A322" s="4">
        <v>50133</v>
      </c>
    </row>
    <row r="323" spans="1:1">
      <c r="A323" s="4">
        <v>50134</v>
      </c>
    </row>
    <row r="324" spans="1:1">
      <c r="A324" s="4">
        <v>50136</v>
      </c>
    </row>
    <row r="325" spans="1:1">
      <c r="A325" s="4">
        <v>50155</v>
      </c>
    </row>
    <row r="326" spans="1:1">
      <c r="A326" s="4">
        <v>50199</v>
      </c>
    </row>
    <row r="327" spans="1:1">
      <c r="A327" s="4">
        <v>50255</v>
      </c>
    </row>
    <row r="328" spans="1:1">
      <c r="A328" s="4">
        <v>50318</v>
      </c>
    </row>
    <row r="329" spans="1:1">
      <c r="A329" s="4">
        <v>50399</v>
      </c>
    </row>
    <row r="330" spans="1:1">
      <c r="A330" s="4">
        <v>50402</v>
      </c>
    </row>
    <row r="331" spans="1:1">
      <c r="A331" s="4">
        <v>50406</v>
      </c>
    </row>
    <row r="332" spans="1:1">
      <c r="A332" s="4">
        <v>50431</v>
      </c>
    </row>
    <row r="333" spans="1:1">
      <c r="A333" s="4">
        <v>50518</v>
      </c>
    </row>
    <row r="334" spans="1:1">
      <c r="A334" s="4">
        <v>50519</v>
      </c>
    </row>
    <row r="335" spans="1:1">
      <c r="A335" s="4">
        <v>50521</v>
      </c>
    </row>
    <row r="336" spans="1:1">
      <c r="A336" s="4">
        <v>50570</v>
      </c>
    </row>
    <row r="337" spans="1:1">
      <c r="A337" s="4">
        <v>50619</v>
      </c>
    </row>
    <row r="338" spans="1:1">
      <c r="A338" s="4">
        <v>50682</v>
      </c>
    </row>
    <row r="339" spans="1:1">
      <c r="A339" s="4">
        <v>50766</v>
      </c>
    </row>
    <row r="340" spans="1:1">
      <c r="A340" s="4">
        <v>50767</v>
      </c>
    </row>
    <row r="341" spans="1:1">
      <c r="A341" s="4">
        <v>50773</v>
      </c>
    </row>
    <row r="342" spans="1:1">
      <c r="A342" s="4">
        <v>50796</v>
      </c>
    </row>
    <row r="343" spans="1:1">
      <c r="A343" s="4">
        <v>50868</v>
      </c>
    </row>
    <row r="344" spans="1:1">
      <c r="A344" s="4">
        <v>50869</v>
      </c>
    </row>
    <row r="345" spans="1:1">
      <c r="A345" s="4">
        <v>50871</v>
      </c>
    </row>
    <row r="346" spans="1:1">
      <c r="A346" s="4">
        <v>50885</v>
      </c>
    </row>
    <row r="347" spans="1:1">
      <c r="A347" s="4">
        <v>50934</v>
      </c>
    </row>
    <row r="348" spans="1:1">
      <c r="A348" s="4">
        <v>50983</v>
      </c>
    </row>
    <row r="349" spans="1:1">
      <c r="A349" s="4">
        <v>51046</v>
      </c>
    </row>
    <row r="350" spans="1:1">
      <c r="A350" s="4">
        <v>51130</v>
      </c>
    </row>
    <row r="351" spans="1:1">
      <c r="A351" s="4">
        <v>51131</v>
      </c>
    </row>
    <row r="352" spans="1:1">
      <c r="A352" s="4">
        <v>51137</v>
      </c>
    </row>
    <row r="353" spans="1:1">
      <c r="A353" s="4">
        <v>51161</v>
      </c>
    </row>
    <row r="354" spans="1:1">
      <c r="A354" s="4">
        <v>51225</v>
      </c>
    </row>
    <row r="355" spans="1:1">
      <c r="A355" s="4">
        <v>51226</v>
      </c>
    </row>
    <row r="356" spans="1:1">
      <c r="A356" s="4">
        <v>51228</v>
      </c>
    </row>
    <row r="357" spans="1:1">
      <c r="A357" s="4">
        <v>51251</v>
      </c>
    </row>
    <row r="358" spans="1:1">
      <c r="A358" s="4">
        <v>51298</v>
      </c>
    </row>
    <row r="359" spans="1:1">
      <c r="A359" s="4">
        <v>51354</v>
      </c>
    </row>
    <row r="360" spans="1:1">
      <c r="A360" s="4">
        <v>51410</v>
      </c>
    </row>
    <row r="361" spans="1:1">
      <c r="A361" s="4">
        <v>51495</v>
      </c>
    </row>
    <row r="362" spans="1:1">
      <c r="A362" s="4">
        <v>51496</v>
      </c>
    </row>
    <row r="363" spans="1:1">
      <c r="A363" s="4">
        <v>51502</v>
      </c>
    </row>
    <row r="364" spans="1:1">
      <c r="A364" s="4">
        <v>51529</v>
      </c>
    </row>
    <row r="365" spans="1:1">
      <c r="A365" s="4">
        <v>51610</v>
      </c>
    </row>
    <row r="366" spans="1:1">
      <c r="A366" s="4">
        <v>51611</v>
      </c>
    </row>
    <row r="367" spans="1:1">
      <c r="A367" s="4">
        <v>51613</v>
      </c>
    </row>
    <row r="368" spans="1:1">
      <c r="A368" s="4">
        <v>51616</v>
      </c>
    </row>
    <row r="369" spans="1:1">
      <c r="A369" s="4">
        <v>51662</v>
      </c>
    </row>
    <row r="370" spans="1:1">
      <c r="A370" s="4">
        <v>51718</v>
      </c>
    </row>
    <row r="371" spans="1:1">
      <c r="A371" s="4">
        <v>51781</v>
      </c>
    </row>
    <row r="372" spans="1:1">
      <c r="A372" s="4">
        <v>51860</v>
      </c>
    </row>
    <row r="373" spans="1:1">
      <c r="A373" s="4">
        <v>51861</v>
      </c>
    </row>
    <row r="374" spans="1:1">
      <c r="A374" s="4">
        <v>51867</v>
      </c>
    </row>
    <row r="375" spans="1:1">
      <c r="A375" s="4">
        <v>51893</v>
      </c>
    </row>
    <row r="376" spans="1:1">
      <c r="A376" s="4">
        <v>51960</v>
      </c>
    </row>
    <row r="377" spans="1:1">
      <c r="A377" s="4">
        <v>51961</v>
      </c>
    </row>
    <row r="378" spans="1:1">
      <c r="A378" s="4">
        <v>51963</v>
      </c>
    </row>
    <row r="379" spans="1:1">
      <c r="A379" s="4">
        <v>51981</v>
      </c>
    </row>
    <row r="380" spans="1:1">
      <c r="A380" s="4">
        <v>52026</v>
      </c>
    </row>
    <row r="381" spans="1:1">
      <c r="A381" s="4">
        <v>52082</v>
      </c>
    </row>
    <row r="382" spans="1:1">
      <c r="A382" s="4">
        <v>52145</v>
      </c>
    </row>
    <row r="383" spans="1:1">
      <c r="A383" s="4">
        <v>52225</v>
      </c>
    </row>
    <row r="384" spans="1:1">
      <c r="A384" s="4">
        <v>52226</v>
      </c>
    </row>
    <row r="385" spans="1:1">
      <c r="A385" s="4">
        <v>52232</v>
      </c>
    </row>
    <row r="386" spans="1:1">
      <c r="A386" s="4">
        <v>52257</v>
      </c>
    </row>
    <row r="387" spans="1:1">
      <c r="A387" s="4">
        <v>52317</v>
      </c>
    </row>
    <row r="388" spans="1:1">
      <c r="A388" s="4">
        <v>52318</v>
      </c>
    </row>
    <row r="389" spans="1:1">
      <c r="A389" s="4">
        <v>52320</v>
      </c>
    </row>
    <row r="390" spans="1:1">
      <c r="A390" s="4">
        <v>52346</v>
      </c>
    </row>
    <row r="391" spans="1:1">
      <c r="A391" s="4">
        <v>52390</v>
      </c>
    </row>
    <row r="392" spans="1:1">
      <c r="A392" s="4">
        <v>52446</v>
      </c>
    </row>
    <row r="393" spans="1:1">
      <c r="A393" s="4">
        <v>52509</v>
      </c>
    </row>
    <row r="394" spans="1:1">
      <c r="A394" s="4">
        <v>52590</v>
      </c>
    </row>
    <row r="395" spans="1:1">
      <c r="A395" s="4">
        <v>52593</v>
      </c>
    </row>
    <row r="396" spans="1:1">
      <c r="A396" s="4">
        <v>52597</v>
      </c>
    </row>
    <row r="397" spans="1:1">
      <c r="A397" s="4">
        <v>52622</v>
      </c>
    </row>
    <row r="398" spans="1:1">
      <c r="A398" s="4">
        <v>52702</v>
      </c>
    </row>
    <row r="399" spans="1:1">
      <c r="A399" s="4">
        <v>52703</v>
      </c>
    </row>
    <row r="400" spans="1:1">
      <c r="A400" s="4">
        <v>52705</v>
      </c>
    </row>
    <row r="401" spans="1:1">
      <c r="A401" s="4">
        <v>52712</v>
      </c>
    </row>
    <row r="402" spans="1:1">
      <c r="A402" s="4">
        <v>52761</v>
      </c>
    </row>
    <row r="403" spans="1:1">
      <c r="A403" s="4">
        <v>52810</v>
      </c>
    </row>
    <row r="404" spans="1:1">
      <c r="A404" s="4">
        <v>52873</v>
      </c>
    </row>
    <row r="405" spans="1:1">
      <c r="A405" s="4">
        <v>52957</v>
      </c>
    </row>
    <row r="406" spans="1:1">
      <c r="A406" s="4">
        <v>52958</v>
      </c>
    </row>
    <row r="407" spans="1:1">
      <c r="A407" s="4">
        <v>52964</v>
      </c>
    </row>
    <row r="408" spans="1:1">
      <c r="A408" s="4">
        <v>52988</v>
      </c>
    </row>
    <row r="409" spans="1:1">
      <c r="A409" s="4">
        <v>53059</v>
      </c>
    </row>
    <row r="410" spans="1:1">
      <c r="A410" s="4">
        <v>53060</v>
      </c>
    </row>
    <row r="411" spans="1:1">
      <c r="A411" s="4">
        <v>53062</v>
      </c>
    </row>
    <row r="412" spans="1:1">
      <c r="A412" s="4">
        <v>53077</v>
      </c>
    </row>
    <row r="413" spans="1:1">
      <c r="A413" s="4">
        <v>53125</v>
      </c>
    </row>
    <row r="414" spans="1:1">
      <c r="A414" s="4">
        <v>53181</v>
      </c>
    </row>
    <row r="415" spans="1:1">
      <c r="A415" s="4">
        <v>53237</v>
      </c>
    </row>
    <row r="416" spans="1:1">
      <c r="A416" s="4">
        <v>53321</v>
      </c>
    </row>
    <row r="417" spans="1:1">
      <c r="A417" s="4">
        <v>53322</v>
      </c>
    </row>
    <row r="418" spans="1:1">
      <c r="A418" s="4">
        <v>53328</v>
      </c>
    </row>
    <row r="419" spans="1:1">
      <c r="A419" s="4">
        <v>53353</v>
      </c>
    </row>
    <row r="420" spans="1:1">
      <c r="A420" s="4">
        <v>53409</v>
      </c>
    </row>
    <row r="421" spans="1:1">
      <c r="A421" s="4">
        <v>53410</v>
      </c>
    </row>
    <row r="422" spans="1:1">
      <c r="A422" s="4">
        <v>53412</v>
      </c>
    </row>
    <row r="423" spans="1:1">
      <c r="A423" s="4">
        <v>53442</v>
      </c>
    </row>
    <row r="424" spans="1:1">
      <c r="A424" s="4">
        <v>53489</v>
      </c>
    </row>
    <row r="425" spans="1:1">
      <c r="A425" s="4">
        <v>53545</v>
      </c>
    </row>
    <row r="426" spans="1:1">
      <c r="A426" s="4">
        <v>53601</v>
      </c>
    </row>
    <row r="427" spans="1:1">
      <c r="A427" s="4">
        <v>53686</v>
      </c>
    </row>
    <row r="428" spans="1:1">
      <c r="A428" s="4">
        <v>53687</v>
      </c>
    </row>
    <row r="429" spans="1:1">
      <c r="A429" s="4">
        <v>53693</v>
      </c>
    </row>
    <row r="430" spans="1:1">
      <c r="A430" s="4">
        <v>53720</v>
      </c>
    </row>
    <row r="431" spans="1:1">
      <c r="A431" s="4">
        <v>53794</v>
      </c>
    </row>
    <row r="432" spans="1:1">
      <c r="A432" s="4">
        <v>53795</v>
      </c>
    </row>
    <row r="433" spans="1:1">
      <c r="A433" s="4">
        <v>53797</v>
      </c>
    </row>
    <row r="434" spans="1:1">
      <c r="A434" s="4">
        <v>53807</v>
      </c>
    </row>
    <row r="435" spans="1:1">
      <c r="A435" s="4">
        <v>53853</v>
      </c>
    </row>
    <row r="436" spans="1:1">
      <c r="A436" s="4">
        <v>53909</v>
      </c>
    </row>
    <row r="437" spans="1:1">
      <c r="A437" s="4">
        <v>53972</v>
      </c>
    </row>
    <row r="438" spans="1:1">
      <c r="A438" s="4">
        <v>54051</v>
      </c>
    </row>
    <row r="439" spans="1:1">
      <c r="A439" s="4">
        <v>54052</v>
      </c>
    </row>
    <row r="440" spans="1:1">
      <c r="A440" s="4">
        <v>54058</v>
      </c>
    </row>
    <row r="441" spans="1:1">
      <c r="A441" s="4">
        <v>54084</v>
      </c>
    </row>
    <row r="442" spans="1:1">
      <c r="A442" s="4">
        <v>54151</v>
      </c>
    </row>
    <row r="443" spans="1:1">
      <c r="A443" s="4">
        <v>54152</v>
      </c>
    </row>
    <row r="444" spans="1:1">
      <c r="A444" s="4">
        <v>54154</v>
      </c>
    </row>
    <row r="445" spans="1:1">
      <c r="A445" s="4">
        <v>54173</v>
      </c>
    </row>
    <row r="446" spans="1:1">
      <c r="A446" s="4">
        <v>54217</v>
      </c>
    </row>
    <row r="447" spans="1:1">
      <c r="A447" s="4">
        <v>54273</v>
      </c>
    </row>
    <row r="448" spans="1:1">
      <c r="A448" s="4">
        <v>54336</v>
      </c>
    </row>
    <row r="449" spans="1:1">
      <c r="A449" s="4">
        <v>54417</v>
      </c>
    </row>
    <row r="450" spans="1:1">
      <c r="A450" s="4">
        <v>54420</v>
      </c>
    </row>
    <row r="451" spans="1:1">
      <c r="A451" s="4">
        <v>54424</v>
      </c>
    </row>
    <row r="452" spans="1:1">
      <c r="A452" s="4">
        <v>54449</v>
      </c>
    </row>
    <row r="453" spans="1:1">
      <c r="A453" s="4">
        <v>54529</v>
      </c>
    </row>
    <row r="454" spans="1:1">
      <c r="A454" s="4">
        <v>54530</v>
      </c>
    </row>
    <row r="455" spans="1:1">
      <c r="A455" s="4">
        <v>54532</v>
      </c>
    </row>
    <row r="456" spans="1:1">
      <c r="A456" s="4">
        <v>54539</v>
      </c>
    </row>
    <row r="457" spans="1:1">
      <c r="A457" s="4">
        <v>54588</v>
      </c>
    </row>
    <row r="458" spans="1:1">
      <c r="A458" s="4">
        <v>54637</v>
      </c>
    </row>
    <row r="459" spans="1:1">
      <c r="A459" s="4">
        <v>54700</v>
      </c>
    </row>
    <row r="460" spans="1:1">
      <c r="A460" s="4">
        <v>54784</v>
      </c>
    </row>
    <row r="461" spans="1:1">
      <c r="A461" s="4">
        <v>54785</v>
      </c>
    </row>
    <row r="462" spans="1:1">
      <c r="A462" s="4">
        <v>54791</v>
      </c>
    </row>
    <row r="463" spans="1:1">
      <c r="A463" s="4">
        <v>54814</v>
      </c>
    </row>
    <row r="464" spans="1:1">
      <c r="A464" s="4">
        <v>54886</v>
      </c>
    </row>
    <row r="465" spans="1:1">
      <c r="A465" s="4">
        <v>54887</v>
      </c>
    </row>
    <row r="466" spans="1:1">
      <c r="A466" s="4">
        <v>54889</v>
      </c>
    </row>
    <row r="467" spans="1:1">
      <c r="A467" s="4">
        <v>54903</v>
      </c>
    </row>
    <row r="468" spans="1:1">
      <c r="A468" s="4">
        <v>54952</v>
      </c>
    </row>
    <row r="469" spans="1:1">
      <c r="A469" s="4">
        <v>55001</v>
      </c>
    </row>
    <row r="470" spans="1:1">
      <c r="A470" s="4">
        <v>55064</v>
      </c>
    </row>
    <row r="471" spans="1:1">
      <c r="A471" s="4">
        <v>55148</v>
      </c>
    </row>
    <row r="472" spans="1:1">
      <c r="A472" s="4">
        <v>55149</v>
      </c>
    </row>
    <row r="473" spans="1:1">
      <c r="A473" s="4">
        <v>55155</v>
      </c>
    </row>
    <row r="474" spans="1:1">
      <c r="A474" s="4">
        <v>55179</v>
      </c>
    </row>
    <row r="475" spans="1:1">
      <c r="A475" s="4">
        <v>55243</v>
      </c>
    </row>
    <row r="476" spans="1:1">
      <c r="A476" s="4">
        <v>55244</v>
      </c>
    </row>
    <row r="477" spans="1:1">
      <c r="A477" s="4">
        <v>55246</v>
      </c>
    </row>
    <row r="478" spans="1:1">
      <c r="A478" s="4">
        <v>55268</v>
      </c>
    </row>
    <row r="479" spans="1:1">
      <c r="A479" s="4">
        <v>55316</v>
      </c>
    </row>
    <row r="480" spans="1:1">
      <c r="A480" s="4">
        <v>55372</v>
      </c>
    </row>
    <row r="481" spans="1:1">
      <c r="A481" s="4">
        <v>55428</v>
      </c>
    </row>
    <row r="482" spans="1:1">
      <c r="A482" s="4">
        <v>55512</v>
      </c>
    </row>
    <row r="483" spans="1:1">
      <c r="A483" s="4">
        <v>55513</v>
      </c>
    </row>
    <row r="484" spans="1:1">
      <c r="A484" s="4">
        <v>55519</v>
      </c>
    </row>
    <row r="485" spans="1:1">
      <c r="A485" s="4">
        <v>55544</v>
      </c>
    </row>
    <row r="486" spans="1:1">
      <c r="A486" s="4">
        <v>55628</v>
      </c>
    </row>
    <row r="487" spans="1:1">
      <c r="A487" s="4">
        <v>55629</v>
      </c>
    </row>
    <row r="488" spans="1:1">
      <c r="A488" s="4">
        <v>55631</v>
      </c>
    </row>
    <row r="489" spans="1:1">
      <c r="A489" s="4">
        <v>55634</v>
      </c>
    </row>
    <row r="490" spans="1:1">
      <c r="A490" s="4">
        <v>55680</v>
      </c>
    </row>
    <row r="491" spans="1:1">
      <c r="A491" s="4">
        <v>55736</v>
      </c>
    </row>
    <row r="492" spans="1:1">
      <c r="A492" s="4">
        <v>55799</v>
      </c>
    </row>
    <row r="493" spans="1:1">
      <c r="A493" s="4">
        <v>55878</v>
      </c>
    </row>
    <row r="494" spans="1:1">
      <c r="A494" s="4">
        <v>55879</v>
      </c>
    </row>
    <row r="495" spans="1:1">
      <c r="A495" s="4">
        <v>55885</v>
      </c>
    </row>
    <row r="496" spans="1:1">
      <c r="A496" s="4">
        <v>55911</v>
      </c>
    </row>
    <row r="497" spans="1:1">
      <c r="A497" s="4">
        <v>55978</v>
      </c>
    </row>
    <row r="498" spans="1:1">
      <c r="A498" s="4">
        <v>55979</v>
      </c>
    </row>
    <row r="499" spans="1:1">
      <c r="A499" s="4">
        <v>55981</v>
      </c>
    </row>
    <row r="500" spans="1:1">
      <c r="A500" s="4">
        <v>55999</v>
      </c>
    </row>
    <row r="501" spans="1:1">
      <c r="A501" s="4">
        <v>56044</v>
      </c>
    </row>
    <row r="502" spans="1:1">
      <c r="A502" s="4">
        <v>56100</v>
      </c>
    </row>
    <row r="503" spans="1:1">
      <c r="A503" s="4">
        <v>56163</v>
      </c>
    </row>
    <row r="504" spans="1:1">
      <c r="A504" s="4">
        <v>56243</v>
      </c>
    </row>
    <row r="505" spans="1:1">
      <c r="A505" s="4">
        <v>56244</v>
      </c>
    </row>
    <row r="506" spans="1:1">
      <c r="A506" s="4">
        <v>56250</v>
      </c>
    </row>
    <row r="507" spans="1:1">
      <c r="A507" s="4">
        <v>56275</v>
      </c>
    </row>
    <row r="508" spans="1:1">
      <c r="A508" s="4">
        <v>56335</v>
      </c>
    </row>
    <row r="509" spans="1:1">
      <c r="A509" s="4">
        <v>56336</v>
      </c>
    </row>
    <row r="510" spans="1:1">
      <c r="A510" s="4">
        <v>56338</v>
      </c>
    </row>
    <row r="511" spans="1:1">
      <c r="A511" s="4">
        <v>56364</v>
      </c>
    </row>
    <row r="512" spans="1:1">
      <c r="A512" s="4">
        <v>56408</v>
      </c>
    </row>
    <row r="513" spans="1:1">
      <c r="A513" s="4">
        <v>56464</v>
      </c>
    </row>
    <row r="514" spans="1:1">
      <c r="A514" s="4">
        <v>56527</v>
      </c>
    </row>
    <row r="515" spans="1:1">
      <c r="A515" s="4">
        <v>56608</v>
      </c>
    </row>
    <row r="516" spans="1:1">
      <c r="A516" s="4">
        <v>56611</v>
      </c>
    </row>
    <row r="517" spans="1:1">
      <c r="A517" s="4">
        <v>56615</v>
      </c>
    </row>
    <row r="518" spans="1:1">
      <c r="A518" s="4">
        <v>56640</v>
      </c>
    </row>
    <row r="519" spans="1:1">
      <c r="A519" s="4">
        <v>56720</v>
      </c>
    </row>
    <row r="520" spans="1:1">
      <c r="A520" s="4">
        <v>56721</v>
      </c>
    </row>
    <row r="521" spans="1:1">
      <c r="A521" s="4">
        <v>56723</v>
      </c>
    </row>
    <row r="522" spans="1:1">
      <c r="A522" s="4">
        <v>56730</v>
      </c>
    </row>
    <row r="523" spans="1:1">
      <c r="A523" s="4">
        <v>56779</v>
      </c>
    </row>
    <row r="524" spans="1:1">
      <c r="A524" s="4">
        <v>56828</v>
      </c>
    </row>
    <row r="525" spans="1:1">
      <c r="A525" s="4">
        <v>56891</v>
      </c>
    </row>
    <row r="526" spans="1:1">
      <c r="A526" s="4">
        <v>56975</v>
      </c>
    </row>
    <row r="527" spans="1:1">
      <c r="A527" s="4">
        <v>56976</v>
      </c>
    </row>
    <row r="528" spans="1:1">
      <c r="A528" s="4">
        <v>56982</v>
      </c>
    </row>
    <row r="529" spans="1:1">
      <c r="A529" s="4">
        <v>57005</v>
      </c>
    </row>
    <row r="530" spans="1:1">
      <c r="A530" s="4">
        <v>57070</v>
      </c>
    </row>
    <row r="531" spans="1:1">
      <c r="A531" s="4">
        <v>57071</v>
      </c>
    </row>
    <row r="532" spans="1:1">
      <c r="A532" s="4">
        <v>57073</v>
      </c>
    </row>
    <row r="533" spans="1:1">
      <c r="A533" s="4">
        <v>57095</v>
      </c>
    </row>
    <row r="534" spans="1:1">
      <c r="A534" s="4">
        <v>57143</v>
      </c>
    </row>
    <row r="535" spans="1:1">
      <c r="A535" s="4">
        <v>57199</v>
      </c>
    </row>
    <row r="536" spans="1:1">
      <c r="A536" s="4">
        <v>57255</v>
      </c>
    </row>
    <row r="537" spans="1:1">
      <c r="A537" s="4">
        <v>57339</v>
      </c>
    </row>
    <row r="538" spans="1:1">
      <c r="A538" s="4">
        <v>57340</v>
      </c>
    </row>
    <row r="539" spans="1:1">
      <c r="A539" s="4">
        <v>57346</v>
      </c>
    </row>
    <row r="540" spans="1:1">
      <c r="A540" s="4">
        <v>57371</v>
      </c>
    </row>
    <row r="541" spans="1:1">
      <c r="A541" s="4">
        <v>57455</v>
      </c>
    </row>
    <row r="542" spans="1:1">
      <c r="A542" s="4">
        <v>57456</v>
      </c>
    </row>
    <row r="543" spans="1:1">
      <c r="A543" s="4">
        <v>57458</v>
      </c>
    </row>
    <row r="544" spans="1:1">
      <c r="A544" s="4">
        <v>57460</v>
      </c>
    </row>
    <row r="545" spans="1:1">
      <c r="A545" s="4">
        <v>57507</v>
      </c>
    </row>
    <row r="546" spans="1:1">
      <c r="A546" s="4">
        <v>57563</v>
      </c>
    </row>
    <row r="547" spans="1:1">
      <c r="A547" s="4">
        <v>57619</v>
      </c>
    </row>
    <row r="548" spans="1:1">
      <c r="A548" s="4">
        <v>57704</v>
      </c>
    </row>
    <row r="549" spans="1:1">
      <c r="A549" s="4">
        <v>57705</v>
      </c>
    </row>
    <row r="550" spans="1:1">
      <c r="A550" s="4">
        <v>57711</v>
      </c>
    </row>
    <row r="551" spans="1:1">
      <c r="A551" s="4">
        <v>57738</v>
      </c>
    </row>
    <row r="552" spans="1:1">
      <c r="A552" s="4">
        <v>57812</v>
      </c>
    </row>
    <row r="553" spans="1:1">
      <c r="A553" s="4">
        <v>57813</v>
      </c>
    </row>
    <row r="554" spans="1:1">
      <c r="A554" s="4">
        <v>57815</v>
      </c>
    </row>
    <row r="555" spans="1:1">
      <c r="A555" s="4">
        <v>57825</v>
      </c>
    </row>
    <row r="556" spans="1:1">
      <c r="A556" s="4">
        <v>57871</v>
      </c>
    </row>
    <row r="557" spans="1:1">
      <c r="A557" s="4">
        <v>57927</v>
      </c>
    </row>
    <row r="558" spans="1:1">
      <c r="A558" s="4">
        <v>57990</v>
      </c>
    </row>
  </sheetData>
  <phoneticPr fontId="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4"/>
  <sheetViews>
    <sheetView zoomScaleNormal="100" workbookViewId="0">
      <selection activeCell="D18" sqref="D18"/>
    </sheetView>
  </sheetViews>
  <sheetFormatPr defaultColWidth="9.140625" defaultRowHeight="12.75"/>
  <cols>
    <col min="1" max="1" width="9.140625" style="198"/>
    <col min="2" max="2" width="9.85546875" style="198" bestFit="1" customWidth="1"/>
    <col min="3" max="3" width="9.140625" style="198"/>
    <col min="4" max="4" width="10.140625" style="198" bestFit="1" customWidth="1"/>
    <col min="5" max="9" width="9.140625" style="198"/>
    <col min="10" max="10" width="10.140625" style="198" bestFit="1" customWidth="1"/>
    <col min="11" max="16384" width="9.140625" style="198"/>
  </cols>
  <sheetData>
    <row r="1" spans="1:10">
      <c r="A1" s="196" t="s">
        <v>41</v>
      </c>
      <c r="B1" s="197">
        <v>40498</v>
      </c>
    </row>
    <row r="9" spans="1:10">
      <c r="J9" s="199"/>
    </row>
    <row r="14" spans="1:10">
      <c r="D14" s="20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O135"/>
  <sheetViews>
    <sheetView workbookViewId="0">
      <selection activeCell="N22" sqref="N22"/>
    </sheetView>
  </sheetViews>
  <sheetFormatPr defaultColWidth="9.140625" defaultRowHeight="12.75"/>
  <cols>
    <col min="1" max="1" width="20.28515625" style="201" bestFit="1" customWidth="1"/>
    <col min="2" max="2" width="11.42578125" style="201" bestFit="1" customWidth="1"/>
    <col min="3" max="3" width="13.85546875" style="201" customWidth="1"/>
    <col min="4" max="4" width="9.140625" style="201"/>
    <col min="5" max="5" width="17.85546875" style="201" bestFit="1" customWidth="1"/>
    <col min="6" max="6" width="9.140625" style="201"/>
    <col min="7" max="7" width="18.7109375" style="201" bestFit="1" customWidth="1"/>
    <col min="8" max="8" width="11.42578125" style="201" bestFit="1" customWidth="1"/>
    <col min="9" max="9" width="11" style="201" customWidth="1"/>
    <col min="10" max="10" width="8.140625" style="201" customWidth="1"/>
    <col min="11" max="11" width="11.5703125" style="201" bestFit="1" customWidth="1"/>
    <col min="12" max="12" width="9.7109375" style="201" bestFit="1" customWidth="1"/>
    <col min="13" max="13" width="23.140625" style="201" bestFit="1" customWidth="1"/>
    <col min="14" max="15" width="11.42578125" style="201" bestFit="1" customWidth="1"/>
    <col min="16" max="16" width="9.140625" style="201"/>
    <col min="17" max="17" width="11.5703125" style="201" bestFit="1" customWidth="1"/>
    <col min="18" max="18" width="9.140625" style="201"/>
    <col min="19" max="19" width="18.42578125" style="201" bestFit="1" customWidth="1"/>
    <col min="20" max="20" width="12" style="201" bestFit="1" customWidth="1"/>
    <col min="21" max="22" width="9.140625" style="201"/>
    <col min="23" max="23" width="11.5703125" style="201" bestFit="1" customWidth="1"/>
    <col min="24" max="24" width="9.140625" style="201"/>
    <col min="25" max="25" width="24.140625" style="201" customWidth="1"/>
    <col min="26" max="26" width="11.42578125" style="201" bestFit="1" customWidth="1"/>
    <col min="27" max="27" width="10" style="201" customWidth="1"/>
    <col min="28" max="28" width="10.28515625" style="201" customWidth="1"/>
    <col min="29" max="29" width="11.5703125" style="201" bestFit="1" customWidth="1"/>
    <col min="30" max="31" width="9.140625" style="201"/>
    <col min="32" max="32" width="20" style="201" bestFit="1" customWidth="1"/>
    <col min="33" max="36" width="14" style="201" customWidth="1"/>
    <col min="37" max="37" width="9.140625" style="201"/>
    <col min="38" max="38" width="19.85546875" style="201" bestFit="1" customWidth="1"/>
    <col min="39" max="41" width="11" style="201" customWidth="1"/>
    <col min="42" max="16384" width="9.140625" style="201"/>
  </cols>
  <sheetData>
    <row r="1" spans="1:41">
      <c r="A1" s="201" t="s">
        <v>110</v>
      </c>
    </row>
    <row r="2" spans="1:41">
      <c r="B2" s="196" t="s">
        <v>111</v>
      </c>
      <c r="D2" s="196" t="s">
        <v>112</v>
      </c>
      <c r="E2" s="196"/>
      <c r="H2" s="196" t="s">
        <v>111</v>
      </c>
      <c r="J2" s="196" t="s">
        <v>112</v>
      </c>
      <c r="N2" s="196" t="s">
        <v>113</v>
      </c>
      <c r="O2" s="196" t="s">
        <v>114</v>
      </c>
      <c r="P2" s="196" t="s">
        <v>112</v>
      </c>
      <c r="T2" s="196" t="s">
        <v>111</v>
      </c>
      <c r="V2" s="196" t="s">
        <v>112</v>
      </c>
      <c r="Z2" s="196" t="s">
        <v>111</v>
      </c>
      <c r="AB2" s="196" t="s">
        <v>112</v>
      </c>
      <c r="AG2" s="196" t="s">
        <v>111</v>
      </c>
      <c r="AI2" s="196" t="s">
        <v>112</v>
      </c>
      <c r="AJ2" s="196"/>
      <c r="AM2" s="196" t="s">
        <v>111</v>
      </c>
      <c r="AO2" s="196" t="s">
        <v>112</v>
      </c>
    </row>
    <row r="3" spans="1:41">
      <c r="A3" s="196" t="s">
        <v>115</v>
      </c>
      <c r="B3" s="202">
        <v>4.75</v>
      </c>
      <c r="D3" s="202">
        <v>4.75</v>
      </c>
      <c r="E3" s="203">
        <v>4.75</v>
      </c>
      <c r="G3" s="196" t="s">
        <v>116</v>
      </c>
      <c r="H3" s="202">
        <v>0.22625000000000001</v>
      </c>
      <c r="J3" s="202">
        <v>0.22625000000000001</v>
      </c>
      <c r="M3" s="196" t="s">
        <v>117</v>
      </c>
      <c r="N3" s="202"/>
      <c r="O3" s="202">
        <v>0.25</v>
      </c>
      <c r="P3" s="202">
        <v>0.25</v>
      </c>
      <c r="Q3" s="202">
        <v>0.25</v>
      </c>
      <c r="S3" s="196" t="s">
        <v>118</v>
      </c>
      <c r="T3" s="202">
        <v>0.72624999999999995</v>
      </c>
      <c r="V3" s="202">
        <v>0.72624999999999995</v>
      </c>
      <c r="Y3" s="196" t="s">
        <v>119</v>
      </c>
      <c r="Z3" s="202">
        <v>0.55249999999999999</v>
      </c>
      <c r="AB3" s="202">
        <v>0.55249999999999999</v>
      </c>
      <c r="AF3" s="196" t="s">
        <v>120</v>
      </c>
      <c r="AG3" s="202">
        <v>3</v>
      </c>
      <c r="AI3" s="202">
        <v>3</v>
      </c>
      <c r="AJ3" s="203">
        <v>3</v>
      </c>
      <c r="AL3" s="196" t="s">
        <v>121</v>
      </c>
      <c r="AM3" s="202">
        <v>5.7140000000000003E-2</v>
      </c>
      <c r="AO3" s="202">
        <v>5.7140000000000003E-2</v>
      </c>
    </row>
    <row r="4" spans="1:41">
      <c r="A4" s="201" t="s">
        <v>122</v>
      </c>
      <c r="E4" s="203"/>
      <c r="O4" s="201">
        <v>0.3</v>
      </c>
      <c r="AJ4" s="203"/>
      <c r="AL4" s="196" t="s">
        <v>123</v>
      </c>
      <c r="AM4" s="202">
        <v>0.16929000000000002</v>
      </c>
      <c r="AO4" s="202">
        <v>0.16929000000000002</v>
      </c>
    </row>
    <row r="5" spans="1:41">
      <c r="A5" s="196" t="s">
        <v>30</v>
      </c>
      <c r="B5" s="196" t="s">
        <v>124</v>
      </c>
      <c r="C5" s="196" t="s">
        <v>125</v>
      </c>
      <c r="D5" s="196" t="s">
        <v>112</v>
      </c>
      <c r="E5" s="203"/>
      <c r="G5" s="196" t="s">
        <v>30</v>
      </c>
      <c r="H5" s="196" t="s">
        <v>111</v>
      </c>
      <c r="I5" s="196"/>
      <c r="J5" s="196" t="s">
        <v>112</v>
      </c>
      <c r="M5" s="196" t="s">
        <v>30</v>
      </c>
      <c r="N5" s="196" t="s">
        <v>113</v>
      </c>
      <c r="O5" s="196" t="s">
        <v>111</v>
      </c>
      <c r="P5" s="196" t="s">
        <v>112</v>
      </c>
      <c r="S5" s="196" t="s">
        <v>30</v>
      </c>
      <c r="T5" s="196" t="s">
        <v>111</v>
      </c>
      <c r="U5" s="196"/>
      <c r="V5" s="196" t="s">
        <v>112</v>
      </c>
      <c r="Y5" s="196" t="s">
        <v>30</v>
      </c>
      <c r="Z5" s="196" t="s">
        <v>111</v>
      </c>
      <c r="AA5" s="196"/>
      <c r="AB5" s="196" t="s">
        <v>112</v>
      </c>
      <c r="AF5" s="196" t="s">
        <v>30</v>
      </c>
      <c r="AG5" s="196" t="s">
        <v>126</v>
      </c>
      <c r="AH5" s="196" t="s">
        <v>127</v>
      </c>
      <c r="AI5" s="196" t="s">
        <v>112</v>
      </c>
      <c r="AJ5" s="203"/>
      <c r="AL5" s="196" t="s">
        <v>128</v>
      </c>
      <c r="AM5" s="202">
        <v>0.22786000000000001</v>
      </c>
      <c r="AO5" s="202">
        <v>0.22786000000000001</v>
      </c>
    </row>
    <row r="6" spans="1:41">
      <c r="A6" s="196" t="s">
        <v>129</v>
      </c>
      <c r="B6" s="202">
        <v>4.8099999999999996</v>
      </c>
      <c r="C6" s="202">
        <v>4.8</v>
      </c>
      <c r="D6" s="202">
        <v>4.8049999999999997</v>
      </c>
      <c r="E6" s="203">
        <v>4.8049999999999997</v>
      </c>
      <c r="G6" s="196" t="s">
        <v>130</v>
      </c>
      <c r="H6" s="202">
        <v>0.25344</v>
      </c>
      <c r="I6" s="202"/>
      <c r="J6" s="202">
        <v>0.25344</v>
      </c>
      <c r="M6" s="196" t="s">
        <v>131</v>
      </c>
      <c r="N6" s="202"/>
      <c r="O6" s="202">
        <v>0.12375000000000001</v>
      </c>
      <c r="P6" s="202">
        <v>0.12375000000000001</v>
      </c>
      <c r="Q6" s="202">
        <v>0.12375000000000001</v>
      </c>
      <c r="S6" s="196" t="s">
        <v>132</v>
      </c>
      <c r="T6" s="202">
        <v>0.85000000000000009</v>
      </c>
      <c r="U6" s="202"/>
      <c r="V6" s="202">
        <v>0.85000000000000009</v>
      </c>
      <c r="Y6" s="196" t="s">
        <v>133</v>
      </c>
      <c r="Z6" s="202">
        <v>0.56938</v>
      </c>
      <c r="AA6" s="202"/>
      <c r="AB6" s="202">
        <v>0.56938</v>
      </c>
      <c r="AF6" s="196" t="s">
        <v>134</v>
      </c>
      <c r="AG6" s="202">
        <v>3.15</v>
      </c>
      <c r="AH6" s="202">
        <v>3.1</v>
      </c>
      <c r="AI6" s="202">
        <v>3.125</v>
      </c>
      <c r="AJ6" s="203">
        <v>3.125</v>
      </c>
      <c r="AL6" s="196" t="s">
        <v>135</v>
      </c>
      <c r="AM6" s="202">
        <v>0.24750000000000003</v>
      </c>
      <c r="AO6" s="202">
        <v>0.24750000000000003</v>
      </c>
    </row>
    <row r="7" spans="1:41">
      <c r="A7" s="196" t="s">
        <v>136</v>
      </c>
      <c r="B7" s="202">
        <v>4.9700000000000006</v>
      </c>
      <c r="C7" s="202">
        <v>4.95</v>
      </c>
      <c r="D7" s="202">
        <v>4.9600000000000009</v>
      </c>
      <c r="E7" s="203">
        <v>4.9600000000000009</v>
      </c>
      <c r="G7" s="196" t="s">
        <v>137</v>
      </c>
      <c r="H7" s="202">
        <v>0.26828000000000002</v>
      </c>
      <c r="I7" s="202"/>
      <c r="J7" s="202">
        <v>0.26828000000000002</v>
      </c>
      <c r="M7" s="196" t="s">
        <v>138</v>
      </c>
      <c r="N7" s="202"/>
      <c r="O7" s="202">
        <v>0.1525</v>
      </c>
      <c r="P7" s="202">
        <v>0.1525</v>
      </c>
      <c r="Q7" s="202">
        <v>0.1525</v>
      </c>
      <c r="S7" s="196" t="s">
        <v>139</v>
      </c>
      <c r="T7" s="202">
        <v>0.93500000000000005</v>
      </c>
      <c r="U7" s="202"/>
      <c r="V7" s="202">
        <v>0.93500000000000005</v>
      </c>
      <c r="Y7" s="196" t="s">
        <v>140</v>
      </c>
      <c r="Z7" s="202">
        <v>0.62749999999999995</v>
      </c>
      <c r="AA7" s="202"/>
      <c r="AB7" s="202">
        <v>0.62749999999999995</v>
      </c>
      <c r="AF7" s="196" t="s">
        <v>141</v>
      </c>
      <c r="AG7" s="202">
        <v>3.17</v>
      </c>
      <c r="AH7" s="202">
        <v>3.12</v>
      </c>
      <c r="AI7" s="202">
        <v>3.145</v>
      </c>
      <c r="AJ7" s="203">
        <v>3.145</v>
      </c>
    </row>
    <row r="8" spans="1:41">
      <c r="A8" s="196" t="s">
        <v>142</v>
      </c>
      <c r="B8" s="202">
        <v>5.03</v>
      </c>
      <c r="C8" s="202">
        <v>4.99</v>
      </c>
      <c r="D8" s="202">
        <v>5.01</v>
      </c>
      <c r="E8" s="203">
        <v>5.01</v>
      </c>
      <c r="G8" s="196" t="s">
        <v>143</v>
      </c>
      <c r="H8" s="202">
        <v>0.28438000000000008</v>
      </c>
      <c r="I8" s="202"/>
      <c r="J8" s="202">
        <v>0.28438000000000008</v>
      </c>
      <c r="M8" s="196" t="s">
        <v>144</v>
      </c>
      <c r="N8" s="202"/>
      <c r="O8" s="202">
        <v>0.19563</v>
      </c>
      <c r="P8" s="202">
        <v>0.19563</v>
      </c>
      <c r="Q8" s="202">
        <v>0.19563</v>
      </c>
      <c r="S8" s="196" t="s">
        <v>145</v>
      </c>
      <c r="T8" s="202">
        <v>1.048</v>
      </c>
      <c r="U8" s="202"/>
      <c r="V8" s="202">
        <v>1.048</v>
      </c>
      <c r="Y8" s="196" t="s">
        <v>146</v>
      </c>
      <c r="Z8" s="202">
        <v>0.73749999999999993</v>
      </c>
      <c r="AA8" s="202"/>
      <c r="AB8" s="202">
        <v>0.73749999999999993</v>
      </c>
      <c r="AF8" s="196" t="s">
        <v>147</v>
      </c>
      <c r="AG8" s="202">
        <v>3.21</v>
      </c>
      <c r="AH8" s="202">
        <v>3.16</v>
      </c>
      <c r="AI8" s="202">
        <v>3.1850000000000001</v>
      </c>
      <c r="AJ8" s="203">
        <v>3.1850000000000001</v>
      </c>
      <c r="AL8" s="196" t="s">
        <v>30</v>
      </c>
      <c r="AM8" s="196" t="s">
        <v>111</v>
      </c>
      <c r="AN8" s="196"/>
      <c r="AO8" s="196" t="s">
        <v>112</v>
      </c>
    </row>
    <row r="9" spans="1:41">
      <c r="E9" s="203"/>
      <c r="AJ9" s="203"/>
      <c r="AL9" s="196" t="s">
        <v>148</v>
      </c>
      <c r="AM9" s="202">
        <v>0.16875000000000001</v>
      </c>
      <c r="AN9" s="202"/>
      <c r="AO9" s="202">
        <v>0.16875000000000001</v>
      </c>
    </row>
    <row r="10" spans="1:41">
      <c r="A10" s="196" t="s">
        <v>149</v>
      </c>
      <c r="B10" s="196" t="s">
        <v>113</v>
      </c>
      <c r="C10" s="196" t="s">
        <v>114</v>
      </c>
      <c r="D10" s="196" t="s">
        <v>112</v>
      </c>
      <c r="E10" s="196" t="s">
        <v>150</v>
      </c>
      <c r="G10" s="196" t="s">
        <v>151</v>
      </c>
      <c r="H10" s="196" t="s">
        <v>113</v>
      </c>
      <c r="I10" s="196" t="s">
        <v>114</v>
      </c>
      <c r="J10" s="196" t="s">
        <v>112</v>
      </c>
      <c r="K10" s="196" t="s">
        <v>152</v>
      </c>
      <c r="L10" s="196"/>
      <c r="M10" s="196" t="s">
        <v>151</v>
      </c>
      <c r="N10" s="196" t="s">
        <v>113</v>
      </c>
      <c r="O10" s="196" t="s">
        <v>114</v>
      </c>
      <c r="P10" s="196" t="s">
        <v>112</v>
      </c>
      <c r="Q10" s="196" t="s">
        <v>152</v>
      </c>
      <c r="S10" s="196" t="s">
        <v>151</v>
      </c>
      <c r="T10" s="196" t="s">
        <v>113</v>
      </c>
      <c r="U10" s="196" t="s">
        <v>114</v>
      </c>
      <c r="V10" s="196" t="s">
        <v>112</v>
      </c>
      <c r="W10" s="196" t="s">
        <v>152</v>
      </c>
      <c r="Y10" s="196" t="s">
        <v>151</v>
      </c>
      <c r="Z10" s="196" t="s">
        <v>113</v>
      </c>
      <c r="AA10" s="196" t="s">
        <v>114</v>
      </c>
      <c r="AB10" s="196" t="s">
        <v>112</v>
      </c>
      <c r="AC10" s="196" t="s">
        <v>152</v>
      </c>
      <c r="AF10" s="196" t="s">
        <v>149</v>
      </c>
      <c r="AG10" s="196" t="s">
        <v>113</v>
      </c>
      <c r="AH10" s="196" t="s">
        <v>114</v>
      </c>
      <c r="AI10" s="196" t="s">
        <v>112</v>
      </c>
      <c r="AJ10" s="196" t="s">
        <v>152</v>
      </c>
      <c r="AL10" s="196" t="s">
        <v>153</v>
      </c>
      <c r="AM10" s="202">
        <v>0.22833000000000001</v>
      </c>
      <c r="AN10" s="202"/>
      <c r="AO10" s="202">
        <v>0.22833000000000001</v>
      </c>
    </row>
    <row r="11" spans="1:41">
      <c r="A11" s="196" t="s">
        <v>154</v>
      </c>
      <c r="B11" s="202">
        <v>94.95</v>
      </c>
      <c r="C11" s="202">
        <v>94.960000000000008</v>
      </c>
      <c r="D11" s="202">
        <v>94.955000000000013</v>
      </c>
      <c r="E11" s="203">
        <v>94.960000000000008</v>
      </c>
      <c r="F11" s="202">
        <v>-4.9999999999954525E-3</v>
      </c>
      <c r="G11" s="196" t="s">
        <v>155</v>
      </c>
      <c r="H11" s="202">
        <v>99.672499999999985</v>
      </c>
      <c r="I11" s="202">
        <v>99.674999999999983</v>
      </c>
      <c r="J11" s="202">
        <v>99.673749999999984</v>
      </c>
      <c r="K11" s="203">
        <v>99.677499999999995</v>
      </c>
      <c r="L11" s="202">
        <v>-0.37500000000108002</v>
      </c>
      <c r="M11" s="196" t="s">
        <v>156</v>
      </c>
      <c r="N11" s="202">
        <v>0</v>
      </c>
      <c r="O11" s="202">
        <v>0</v>
      </c>
      <c r="P11" s="203">
        <v>0</v>
      </c>
      <c r="Q11" s="202">
        <v>99.664999999999992</v>
      </c>
      <c r="R11" s="204">
        <v>-9966.5</v>
      </c>
      <c r="S11" s="196" t="s">
        <v>157</v>
      </c>
      <c r="T11" s="202">
        <v>98.894999999999996</v>
      </c>
      <c r="U11" s="202">
        <v>98.9</v>
      </c>
      <c r="V11" s="203">
        <v>98.897500000000008</v>
      </c>
      <c r="W11" s="202">
        <v>98.884999999999991</v>
      </c>
      <c r="X11" s="202">
        <v>1.2500000000017053E-2</v>
      </c>
      <c r="Y11" s="196" t="s">
        <v>158</v>
      </c>
      <c r="Z11" s="202">
        <v>99.23</v>
      </c>
      <c r="AA11" s="202">
        <v>99.240000000000009</v>
      </c>
      <c r="AB11" s="202">
        <v>99.235000000000014</v>
      </c>
      <c r="AC11" s="202">
        <v>99.22</v>
      </c>
      <c r="AD11" s="205">
        <v>1.5000000000014779</v>
      </c>
      <c r="AF11" s="196" t="s">
        <v>159</v>
      </c>
      <c r="AG11" s="202">
        <v>96.78</v>
      </c>
      <c r="AH11" s="202">
        <v>96.79</v>
      </c>
      <c r="AI11" s="202">
        <v>96.784999999999997</v>
      </c>
      <c r="AJ11" s="203">
        <v>96.79</v>
      </c>
      <c r="AL11" s="196" t="s">
        <v>160</v>
      </c>
      <c r="AM11" s="202">
        <v>0.24792000000000003</v>
      </c>
      <c r="AN11" s="202"/>
      <c r="AO11" s="202">
        <v>0.24792000000000003</v>
      </c>
    </row>
    <row r="12" spans="1:41">
      <c r="A12" s="196" t="s">
        <v>161</v>
      </c>
      <c r="B12" s="202">
        <v>94.84</v>
      </c>
      <c r="C12" s="202">
        <v>94.85</v>
      </c>
      <c r="D12" s="202">
        <v>94.844999999999999</v>
      </c>
      <c r="E12" s="203">
        <v>94.86</v>
      </c>
      <c r="F12" s="202">
        <v>-1.5000000000000568E-2</v>
      </c>
      <c r="G12" s="196" t="s">
        <v>162</v>
      </c>
      <c r="H12" s="202">
        <v>99.57</v>
      </c>
      <c r="I12" s="202">
        <v>99.574999999999989</v>
      </c>
      <c r="J12" s="202">
        <v>99.572499999999991</v>
      </c>
      <c r="K12" s="203">
        <v>99.584999999999994</v>
      </c>
      <c r="L12" s="202">
        <v>-1.2500000000002842</v>
      </c>
      <c r="M12" s="196" t="s">
        <v>163</v>
      </c>
      <c r="N12" s="202">
        <v>0</v>
      </c>
      <c r="O12" s="202">
        <v>0</v>
      </c>
      <c r="P12" s="203">
        <v>0</v>
      </c>
      <c r="Q12" s="202">
        <v>99.664999999999992</v>
      </c>
      <c r="R12" s="204">
        <v>-9966.5</v>
      </c>
      <c r="S12" s="196" t="s">
        <v>164</v>
      </c>
      <c r="T12" s="202">
        <v>98.740000000000009</v>
      </c>
      <c r="U12" s="202">
        <v>98.745000000000005</v>
      </c>
      <c r="V12" s="203">
        <v>98.742500000000007</v>
      </c>
      <c r="W12" s="202">
        <v>98.73</v>
      </c>
      <c r="X12" s="202">
        <v>1.2500000000002842E-2</v>
      </c>
      <c r="Y12" s="196" t="s">
        <v>165</v>
      </c>
      <c r="Z12" s="202">
        <v>99.1</v>
      </c>
      <c r="AA12" s="202">
        <v>99.11</v>
      </c>
      <c r="AB12" s="202">
        <v>99.10499999999999</v>
      </c>
      <c r="AC12" s="202">
        <v>99.09</v>
      </c>
      <c r="AD12" s="205">
        <v>1.4999999999986358</v>
      </c>
      <c r="AF12" s="196" t="s">
        <v>166</v>
      </c>
      <c r="AG12" s="202">
        <v>96.57</v>
      </c>
      <c r="AH12" s="202">
        <v>96.59</v>
      </c>
      <c r="AI12" s="202">
        <v>96.58</v>
      </c>
      <c r="AJ12" s="203">
        <v>96.59</v>
      </c>
    </row>
    <row r="13" spans="1:41">
      <c r="A13" s="196" t="s">
        <v>167</v>
      </c>
      <c r="B13" s="202">
        <v>94.69</v>
      </c>
      <c r="C13" s="202">
        <v>94.7</v>
      </c>
      <c r="D13" s="202">
        <v>94.694999999999993</v>
      </c>
      <c r="E13" s="203">
        <v>94.710000000000008</v>
      </c>
      <c r="F13" s="202">
        <v>-1.5000000000014779E-2</v>
      </c>
      <c r="G13" s="196" t="s">
        <v>168</v>
      </c>
      <c r="H13" s="202">
        <v>99.45</v>
      </c>
      <c r="I13" s="202">
        <v>99.454999999999998</v>
      </c>
      <c r="J13" s="202">
        <v>99.452500000000001</v>
      </c>
      <c r="K13" s="203">
        <v>99.465000000000003</v>
      </c>
      <c r="L13" s="202">
        <v>-1.2500000000002842</v>
      </c>
      <c r="M13" s="196" t="s">
        <v>169</v>
      </c>
      <c r="N13" s="202">
        <v>0</v>
      </c>
      <c r="O13" s="202">
        <v>0</v>
      </c>
      <c r="P13" s="203">
        <v>-1.0000000000005116E-2</v>
      </c>
      <c r="Q13" s="202">
        <v>99.654999999999987</v>
      </c>
      <c r="R13" s="204">
        <v>-9966.5</v>
      </c>
      <c r="S13" s="196" t="s">
        <v>170</v>
      </c>
      <c r="T13" s="202">
        <v>98.614999999999995</v>
      </c>
      <c r="U13" s="202">
        <v>98.61999999999999</v>
      </c>
      <c r="V13" s="203">
        <v>98.617499999999993</v>
      </c>
      <c r="W13" s="202">
        <v>98.614999999999995</v>
      </c>
      <c r="X13" s="202">
        <v>2.4999999999977263E-3</v>
      </c>
      <c r="Y13" s="196" t="s">
        <v>171</v>
      </c>
      <c r="Z13" s="202">
        <v>98.960000000000008</v>
      </c>
      <c r="AA13" s="202">
        <v>98.97</v>
      </c>
      <c r="AB13" s="202">
        <v>98.965000000000003</v>
      </c>
      <c r="AC13" s="202">
        <v>98.940000000000012</v>
      </c>
      <c r="AD13" s="205">
        <v>2.4999999999991473</v>
      </c>
      <c r="AF13" s="196" t="s">
        <v>172</v>
      </c>
      <c r="AG13" s="202">
        <v>96.28</v>
      </c>
      <c r="AH13" s="202">
        <v>96.31</v>
      </c>
      <c r="AI13" s="202">
        <v>96.295000000000002</v>
      </c>
      <c r="AJ13" s="203">
        <v>96.31</v>
      </c>
    </row>
    <row r="14" spans="1:41">
      <c r="A14" s="196" t="s">
        <v>173</v>
      </c>
      <c r="B14" s="202">
        <v>94.57</v>
      </c>
      <c r="C14" s="202">
        <v>94.58</v>
      </c>
      <c r="D14" s="202">
        <v>94.574999999999989</v>
      </c>
      <c r="E14" s="203">
        <v>94.58</v>
      </c>
      <c r="F14" s="202">
        <v>-5.0000000000096634E-3</v>
      </c>
      <c r="G14" s="196" t="s">
        <v>174</v>
      </c>
      <c r="H14" s="202">
        <v>99.32</v>
      </c>
      <c r="I14" s="202">
        <v>99.324999999999989</v>
      </c>
      <c r="J14" s="202">
        <v>99.322499999999991</v>
      </c>
      <c r="K14" s="203">
        <v>99.34</v>
      </c>
      <c r="L14" s="202">
        <v>-1.7500000000012506</v>
      </c>
      <c r="M14" s="196" t="s">
        <v>175</v>
      </c>
      <c r="N14" s="202">
        <v>0</v>
      </c>
      <c r="O14" s="202">
        <v>0</v>
      </c>
      <c r="P14" s="203">
        <v>-1.9999999999996021E-2</v>
      </c>
      <c r="Q14" s="202">
        <v>99.644999999999996</v>
      </c>
      <c r="R14" s="204">
        <v>-9966.5</v>
      </c>
      <c r="S14" s="196" t="s">
        <v>176</v>
      </c>
      <c r="T14" s="202">
        <v>98.504999999999995</v>
      </c>
      <c r="U14" s="202">
        <v>98.51</v>
      </c>
      <c r="V14" s="203">
        <v>98.507499999999993</v>
      </c>
      <c r="W14" s="202">
        <v>98.524999999999991</v>
      </c>
      <c r="X14" s="202">
        <v>-1.7499999999998295E-2</v>
      </c>
      <c r="Y14" s="196" t="s">
        <v>177</v>
      </c>
      <c r="Z14" s="202">
        <v>98.8</v>
      </c>
      <c r="AA14" s="202">
        <v>98.81</v>
      </c>
      <c r="AB14" s="202">
        <v>98.805000000000007</v>
      </c>
      <c r="AC14" s="202">
        <v>98.79</v>
      </c>
      <c r="AD14" s="205">
        <v>1.5000000000000568</v>
      </c>
      <c r="AF14" s="196" t="s">
        <v>178</v>
      </c>
      <c r="AG14" s="202">
        <v>96</v>
      </c>
      <c r="AH14" s="202">
        <v>96.04</v>
      </c>
      <c r="AI14" s="202">
        <v>96.02000000000001</v>
      </c>
      <c r="AJ14" s="203">
        <v>96.04</v>
      </c>
    </row>
    <row r="15" spans="1:41">
      <c r="A15" s="196" t="s">
        <v>179</v>
      </c>
      <c r="B15" s="202">
        <v>94.47</v>
      </c>
      <c r="C15" s="202">
        <v>94.48</v>
      </c>
      <c r="D15" s="202">
        <v>94.474999999999994</v>
      </c>
      <c r="E15" s="203">
        <v>94.490000000000009</v>
      </c>
      <c r="F15" s="202">
        <v>-1.5000000000014779E-2</v>
      </c>
      <c r="G15" s="196" t="s">
        <v>180</v>
      </c>
      <c r="H15" s="202">
        <v>99.174999999999983</v>
      </c>
      <c r="I15" s="202">
        <v>99.179999999999993</v>
      </c>
      <c r="J15" s="202">
        <v>99.177499999999981</v>
      </c>
      <c r="K15" s="203">
        <v>99.194999999999993</v>
      </c>
      <c r="L15" s="202">
        <v>-1.7500000000012506</v>
      </c>
      <c r="M15" s="196" t="s">
        <v>181</v>
      </c>
      <c r="N15" s="202">
        <v>0</v>
      </c>
      <c r="O15" s="202">
        <v>0</v>
      </c>
      <c r="P15" s="203">
        <v>-4.0000000000006253E-2</v>
      </c>
      <c r="Q15" s="202">
        <v>99.624999999999986</v>
      </c>
      <c r="R15" s="204">
        <v>-9966.5</v>
      </c>
      <c r="S15" s="196" t="s">
        <v>182</v>
      </c>
      <c r="T15" s="202">
        <v>98.38</v>
      </c>
      <c r="U15" s="202">
        <v>98.384999999999991</v>
      </c>
      <c r="V15" s="203">
        <v>98.382499999999993</v>
      </c>
      <c r="W15" s="202">
        <v>98.415000000000006</v>
      </c>
      <c r="X15" s="202">
        <v>-3.2500000000013074E-2</v>
      </c>
      <c r="Y15" s="196" t="s">
        <v>183</v>
      </c>
      <c r="Z15" s="202">
        <v>98.61999999999999</v>
      </c>
      <c r="AA15" s="202">
        <v>98.63</v>
      </c>
      <c r="AB15" s="202">
        <v>98.625</v>
      </c>
      <c r="AC15" s="202">
        <v>98.61999999999999</v>
      </c>
      <c r="AD15" s="205">
        <v>0.50000000000096634</v>
      </c>
      <c r="AF15" s="196" t="s">
        <v>184</v>
      </c>
      <c r="AG15" s="202">
        <v>95.76</v>
      </c>
      <c r="AH15" s="202">
        <v>95.82</v>
      </c>
      <c r="AI15" s="202">
        <v>95.789999999999992</v>
      </c>
      <c r="AJ15" s="203">
        <v>95.81</v>
      </c>
    </row>
    <row r="16" spans="1:41">
      <c r="A16" s="196" t="s">
        <v>185</v>
      </c>
      <c r="B16" s="202">
        <v>94.39</v>
      </c>
      <c r="C16" s="202">
        <v>94.4</v>
      </c>
      <c r="D16" s="202">
        <v>94.39500000000001</v>
      </c>
      <c r="E16" s="203">
        <v>94.410000000000011</v>
      </c>
      <c r="F16" s="202">
        <v>-1.5000000000000568E-2</v>
      </c>
      <c r="G16" s="196" t="s">
        <v>186</v>
      </c>
      <c r="H16" s="202">
        <v>99.024999999999991</v>
      </c>
      <c r="I16" s="202">
        <v>99.03</v>
      </c>
      <c r="J16" s="202">
        <v>99.027500000000003</v>
      </c>
      <c r="K16" s="203">
        <v>99.045000000000002</v>
      </c>
      <c r="L16" s="202">
        <v>-1.7499999999998295</v>
      </c>
      <c r="M16" s="196" t="s">
        <v>187</v>
      </c>
      <c r="N16" s="202">
        <v>0</v>
      </c>
      <c r="O16" s="202">
        <v>0</v>
      </c>
      <c r="P16" s="203">
        <v>-4.9999999999997158E-2</v>
      </c>
      <c r="Q16" s="202">
        <v>99.614999999999995</v>
      </c>
      <c r="R16" s="204">
        <v>-9966.5</v>
      </c>
      <c r="S16" s="196" t="s">
        <v>188</v>
      </c>
      <c r="T16" s="202">
        <v>98.284999999999997</v>
      </c>
      <c r="U16" s="202">
        <v>98.295000000000002</v>
      </c>
      <c r="V16" s="203">
        <v>98.289999999999992</v>
      </c>
      <c r="W16" s="202">
        <v>98.334999999999994</v>
      </c>
      <c r="X16" s="202">
        <v>-4.5000000000001705E-2</v>
      </c>
      <c r="Y16" s="196" t="s">
        <v>189</v>
      </c>
      <c r="Z16" s="202">
        <v>98.440000000000012</v>
      </c>
      <c r="AA16" s="202">
        <v>98.45</v>
      </c>
      <c r="AB16" s="202">
        <v>98.445000000000007</v>
      </c>
      <c r="AC16" s="202">
        <v>98.45</v>
      </c>
      <c r="AD16" s="205">
        <v>-0.49999999999954525</v>
      </c>
      <c r="AF16" s="196" t="s">
        <v>190</v>
      </c>
      <c r="AG16" s="202">
        <v>95.57</v>
      </c>
      <c r="AH16" s="202">
        <v>95.649999999999991</v>
      </c>
      <c r="AI16" s="202">
        <v>95.609999999999985</v>
      </c>
      <c r="AJ16" s="203">
        <v>95.669999999999987</v>
      </c>
    </row>
    <row r="17" spans="1:41">
      <c r="A17" s="196" t="s">
        <v>191</v>
      </c>
      <c r="B17" s="202">
        <v>94.32</v>
      </c>
      <c r="C17" s="202">
        <v>94.34</v>
      </c>
      <c r="D17" s="202">
        <v>94.33</v>
      </c>
      <c r="E17" s="203">
        <v>94.36</v>
      </c>
      <c r="F17" s="202">
        <v>-3.0000000000001137E-2</v>
      </c>
      <c r="G17" s="196" t="s">
        <v>192</v>
      </c>
      <c r="H17" s="202">
        <v>98.864999999999995</v>
      </c>
      <c r="I17" s="202">
        <v>98.86999999999999</v>
      </c>
      <c r="J17" s="202">
        <v>98.867499999999993</v>
      </c>
      <c r="K17" s="203">
        <v>98.884999999999991</v>
      </c>
      <c r="L17" s="202">
        <v>-1.7499999999998295</v>
      </c>
      <c r="M17" s="196" t="s">
        <v>193</v>
      </c>
      <c r="N17" s="202">
        <v>0</v>
      </c>
      <c r="O17" s="202">
        <v>0</v>
      </c>
      <c r="P17" s="203">
        <v>-6.4999999999997726E-2</v>
      </c>
      <c r="Q17" s="202">
        <v>99.6</v>
      </c>
      <c r="R17" s="204">
        <v>-9966.5</v>
      </c>
      <c r="S17" s="196" t="s">
        <v>194</v>
      </c>
      <c r="T17" s="202">
        <v>98.19</v>
      </c>
      <c r="U17" s="202">
        <v>98.194999999999993</v>
      </c>
      <c r="V17" s="203">
        <v>98.192499999999995</v>
      </c>
      <c r="W17" s="202">
        <v>98.25</v>
      </c>
      <c r="X17" s="202">
        <v>-5.7500000000004547E-2</v>
      </c>
      <c r="Y17" s="196" t="s">
        <v>195</v>
      </c>
      <c r="Z17" s="202">
        <v>98.26</v>
      </c>
      <c r="AA17" s="202">
        <v>98.27</v>
      </c>
      <c r="AB17" s="202">
        <v>98.265000000000001</v>
      </c>
      <c r="AC17" s="202">
        <v>98.28</v>
      </c>
      <c r="AD17" s="205">
        <v>-1.5000000000000568</v>
      </c>
      <c r="AF17" s="196" t="s">
        <v>196</v>
      </c>
      <c r="AG17" s="202">
        <v>95.410000000000011</v>
      </c>
      <c r="AH17" s="202">
        <v>95.51</v>
      </c>
      <c r="AI17" s="202">
        <v>95.460000000000008</v>
      </c>
      <c r="AJ17" s="203">
        <v>95.5</v>
      </c>
    </row>
    <row r="18" spans="1:41">
      <c r="A18" s="196" t="s">
        <v>197</v>
      </c>
      <c r="B18" s="202">
        <v>94.28</v>
      </c>
      <c r="C18" s="202">
        <v>94.31</v>
      </c>
      <c r="D18" s="202">
        <v>94.295000000000002</v>
      </c>
      <c r="E18" s="203">
        <v>94.32</v>
      </c>
      <c r="F18" s="202">
        <v>-2.4999999999991473E-2</v>
      </c>
      <c r="G18" s="196" t="s">
        <v>198</v>
      </c>
      <c r="H18" s="202">
        <v>98.7</v>
      </c>
      <c r="I18" s="202">
        <v>98.704999999999998</v>
      </c>
      <c r="J18" s="202">
        <v>98.702500000000001</v>
      </c>
      <c r="K18" s="203">
        <v>98.72</v>
      </c>
      <c r="L18" s="202">
        <v>-1.7499999999998295</v>
      </c>
      <c r="M18" s="196" t="s">
        <v>199</v>
      </c>
      <c r="N18" s="202">
        <v>0</v>
      </c>
      <c r="O18" s="202">
        <v>0</v>
      </c>
      <c r="P18" s="203">
        <v>-9.0000000000003411E-2</v>
      </c>
      <c r="Q18" s="202">
        <v>99.574999999999989</v>
      </c>
      <c r="R18" s="204">
        <v>-9966.5</v>
      </c>
      <c r="S18" s="196" t="s">
        <v>200</v>
      </c>
      <c r="T18" s="202">
        <v>98.094999999999999</v>
      </c>
      <c r="U18" s="202">
        <v>98.1</v>
      </c>
      <c r="V18" s="203">
        <v>98.097499999999997</v>
      </c>
      <c r="W18" s="202">
        <v>98.16</v>
      </c>
      <c r="X18" s="202">
        <v>-6.25E-2</v>
      </c>
      <c r="Y18" s="196" t="s">
        <v>201</v>
      </c>
      <c r="Z18" s="202">
        <v>98.07</v>
      </c>
      <c r="AA18" s="202">
        <v>98.08</v>
      </c>
      <c r="AB18" s="202">
        <v>98.074999999999989</v>
      </c>
      <c r="AC18" s="202">
        <v>98.11</v>
      </c>
      <c r="AD18" s="205">
        <v>-3.50000000000108</v>
      </c>
      <c r="AF18" s="196" t="s">
        <v>202</v>
      </c>
      <c r="AG18" s="202">
        <v>95.27</v>
      </c>
      <c r="AH18" s="202">
        <v>95.39</v>
      </c>
      <c r="AI18" s="202">
        <v>95.33</v>
      </c>
      <c r="AJ18" s="203">
        <v>95.42</v>
      </c>
    </row>
    <row r="19" spans="1:41">
      <c r="A19" s="196" t="s">
        <v>203</v>
      </c>
      <c r="B19" s="202">
        <v>94.23</v>
      </c>
      <c r="C19" s="202">
        <v>94.27</v>
      </c>
      <c r="D19" s="202">
        <v>94.25</v>
      </c>
      <c r="E19" s="203">
        <v>94.27</v>
      </c>
      <c r="F19" s="202">
        <v>-1.9999999999996021E-2</v>
      </c>
      <c r="G19" s="196" t="s">
        <v>204</v>
      </c>
      <c r="H19" s="202">
        <v>98.504999999999995</v>
      </c>
      <c r="I19" s="202">
        <v>98.51</v>
      </c>
      <c r="J19" s="202">
        <v>98.507499999999993</v>
      </c>
      <c r="K19" s="203">
        <v>98.524999999999991</v>
      </c>
      <c r="L19" s="202">
        <v>-1.7499999999998295</v>
      </c>
      <c r="M19" s="196" t="s">
        <v>205</v>
      </c>
      <c r="N19" s="202">
        <v>0</v>
      </c>
      <c r="O19" s="202">
        <v>0</v>
      </c>
      <c r="P19" s="203">
        <v>-99.664999999999992</v>
      </c>
      <c r="Q19" s="202">
        <v>0</v>
      </c>
      <c r="R19" s="204">
        <v>-9966.5</v>
      </c>
      <c r="S19" s="196" t="s">
        <v>206</v>
      </c>
      <c r="T19" s="202">
        <v>97.974999999999994</v>
      </c>
      <c r="U19" s="202">
        <v>97.984999999999999</v>
      </c>
      <c r="V19" s="203">
        <v>97.97999999999999</v>
      </c>
      <c r="W19" s="202">
        <v>98.045000000000002</v>
      </c>
      <c r="X19" s="202">
        <v>-6.5000000000011937E-2</v>
      </c>
      <c r="Y19" s="196" t="s">
        <v>207</v>
      </c>
      <c r="Z19" s="202">
        <v>97.88</v>
      </c>
      <c r="AA19" s="202">
        <v>97.89</v>
      </c>
      <c r="AB19" s="202">
        <v>97.884999999999991</v>
      </c>
      <c r="AC19" s="202">
        <v>97.940000000000012</v>
      </c>
      <c r="AD19" s="205">
        <v>-5.5000000000021032</v>
      </c>
      <c r="AF19" s="196"/>
      <c r="AG19" s="202"/>
      <c r="AH19" s="202"/>
      <c r="AI19" s="202"/>
      <c r="AJ19" s="203"/>
    </row>
    <row r="20" spans="1:41">
      <c r="B20" s="196" t="s">
        <v>113</v>
      </c>
      <c r="C20" s="196" t="s">
        <v>114</v>
      </c>
      <c r="D20" s="196" t="s">
        <v>112</v>
      </c>
      <c r="E20" s="196" t="s">
        <v>150</v>
      </c>
      <c r="G20" s="196" t="s">
        <v>208</v>
      </c>
      <c r="H20" s="202">
        <v>98.32</v>
      </c>
      <c r="I20" s="202">
        <v>98.33</v>
      </c>
      <c r="J20" s="202">
        <v>98.324999999999989</v>
      </c>
      <c r="K20" s="203">
        <v>98.344999999999999</v>
      </c>
      <c r="L20" s="202">
        <v>-2.0000000000010232</v>
      </c>
      <c r="S20" s="196" t="s">
        <v>209</v>
      </c>
      <c r="T20" s="202">
        <v>97.884999999999991</v>
      </c>
      <c r="U20" s="202">
        <v>97.9</v>
      </c>
      <c r="V20" s="203">
        <v>97.892499999999998</v>
      </c>
      <c r="W20" s="202">
        <v>97.954999999999998</v>
      </c>
      <c r="X20" s="202">
        <v>-6.25E-2</v>
      </c>
      <c r="Y20" s="196" t="s">
        <v>210</v>
      </c>
      <c r="Z20" s="202">
        <v>97.710000000000008</v>
      </c>
      <c r="AA20" s="202">
        <v>97.73</v>
      </c>
      <c r="AB20" s="202">
        <v>97.72</v>
      </c>
      <c r="AC20" s="202">
        <v>97.78</v>
      </c>
      <c r="AD20" s="205">
        <v>-6.0000000000002274</v>
      </c>
      <c r="AG20" s="196"/>
      <c r="AH20" s="196"/>
      <c r="AI20" s="196"/>
      <c r="AJ20" s="196"/>
    </row>
    <row r="21" spans="1:41">
      <c r="A21" s="196" t="s">
        <v>211</v>
      </c>
      <c r="B21" s="202">
        <v>94.82</v>
      </c>
      <c r="C21" s="202">
        <v>94.83</v>
      </c>
      <c r="D21" s="202">
        <v>94.824999999999989</v>
      </c>
      <c r="E21" s="203">
        <v>94.85</v>
      </c>
      <c r="F21" s="202">
        <v>-2.5000000000005684E-2</v>
      </c>
      <c r="G21" s="196" t="s">
        <v>212</v>
      </c>
      <c r="H21" s="202">
        <v>98.11999999999999</v>
      </c>
      <c r="I21" s="202">
        <v>98.13</v>
      </c>
      <c r="J21" s="202">
        <v>98.125</v>
      </c>
      <c r="K21" s="203">
        <v>98.149999999999991</v>
      </c>
      <c r="L21" s="202">
        <v>-2.4999999999991473</v>
      </c>
      <c r="M21" s="196" t="s">
        <v>213</v>
      </c>
      <c r="N21" s="204">
        <v>11.75</v>
      </c>
      <c r="O21" s="204">
        <v>15.75</v>
      </c>
      <c r="P21" s="204">
        <v>13.75</v>
      </c>
      <c r="S21" s="196" t="s">
        <v>214</v>
      </c>
      <c r="T21" s="202">
        <v>97.78</v>
      </c>
      <c r="U21" s="202">
        <v>97.804999999999993</v>
      </c>
      <c r="V21" s="203">
        <v>97.79249999999999</v>
      </c>
      <c r="W21" s="202">
        <v>97.85499999999999</v>
      </c>
      <c r="X21" s="202">
        <v>-6.25E-2</v>
      </c>
      <c r="Y21" s="196"/>
      <c r="Z21" s="202"/>
      <c r="AA21" s="202"/>
      <c r="AB21" s="202"/>
      <c r="AF21" s="196"/>
      <c r="AG21" s="202"/>
      <c r="AH21" s="202"/>
      <c r="AI21" s="202"/>
      <c r="AJ21" s="203"/>
    </row>
    <row r="22" spans="1:41">
      <c r="A22" s="196" t="s">
        <v>215</v>
      </c>
      <c r="B22" s="202">
        <v>0</v>
      </c>
      <c r="C22" s="202">
        <v>0</v>
      </c>
      <c r="D22" s="202">
        <v>0</v>
      </c>
      <c r="E22" s="203">
        <v>94.8</v>
      </c>
      <c r="G22" s="196" t="s">
        <v>216</v>
      </c>
      <c r="H22" s="202">
        <v>97.915000000000006</v>
      </c>
      <c r="I22" s="202">
        <v>97.93</v>
      </c>
      <c r="J22" s="202">
        <v>97.922500000000014</v>
      </c>
      <c r="K22" s="203">
        <v>97.95</v>
      </c>
      <c r="L22" s="202">
        <v>-2.74999999999892</v>
      </c>
      <c r="M22" s="196" t="s">
        <v>217</v>
      </c>
      <c r="N22" s="204">
        <v>10.625</v>
      </c>
      <c r="O22" s="204">
        <v>14.625</v>
      </c>
      <c r="P22" s="204">
        <v>12.625</v>
      </c>
      <c r="S22" s="196" t="s">
        <v>218</v>
      </c>
      <c r="T22" s="202">
        <v>97.69</v>
      </c>
      <c r="U22" s="202">
        <v>97.72</v>
      </c>
      <c r="V22" s="203">
        <v>97.704999999999998</v>
      </c>
      <c r="W22" s="202">
        <v>97.765000000000001</v>
      </c>
      <c r="X22" s="202">
        <v>-6.0000000000002274E-2</v>
      </c>
      <c r="Y22" s="196"/>
      <c r="Z22" s="202"/>
      <c r="AA22" s="202"/>
      <c r="AB22" s="202"/>
      <c r="AF22" s="196"/>
      <c r="AG22" s="202"/>
      <c r="AH22" s="202"/>
      <c r="AI22" s="202"/>
      <c r="AJ22" s="203"/>
    </row>
    <row r="23" spans="1:41">
      <c r="A23" s="196"/>
      <c r="B23" s="202"/>
      <c r="C23" s="202"/>
      <c r="D23" s="202"/>
      <c r="G23" s="196" t="s">
        <v>219</v>
      </c>
      <c r="H23" s="202">
        <v>97.704999999999998</v>
      </c>
      <c r="I23" s="202">
        <v>97.715000000000003</v>
      </c>
      <c r="J23" s="202">
        <v>97.710000000000008</v>
      </c>
      <c r="K23" s="203">
        <v>97.734999999999999</v>
      </c>
      <c r="L23" s="202">
        <v>-2.4999999999991473</v>
      </c>
      <c r="M23" s="196" t="s">
        <v>220</v>
      </c>
      <c r="N23" s="204">
        <v>10.125</v>
      </c>
      <c r="O23" s="204">
        <v>14.125</v>
      </c>
      <c r="P23" s="204">
        <v>12.125</v>
      </c>
      <c r="S23" s="196" t="s">
        <v>221</v>
      </c>
      <c r="T23" s="202">
        <v>97.584999999999994</v>
      </c>
      <c r="U23" s="202">
        <v>97.61999999999999</v>
      </c>
      <c r="V23" s="203">
        <v>97.602499999999992</v>
      </c>
      <c r="W23" s="202">
        <v>97.664999999999992</v>
      </c>
      <c r="X23" s="202">
        <v>-6.25E-2</v>
      </c>
      <c r="Y23" s="196"/>
      <c r="Z23" s="202"/>
      <c r="AA23" s="202"/>
      <c r="AB23" s="202"/>
      <c r="AF23" s="196"/>
      <c r="AG23" s="202"/>
      <c r="AH23" s="202"/>
      <c r="AI23" s="202"/>
    </row>
    <row r="24" spans="1:41">
      <c r="A24" s="196"/>
      <c r="B24" s="196" t="s">
        <v>113</v>
      </c>
      <c r="C24" s="196" t="s">
        <v>114</v>
      </c>
      <c r="D24" s="196" t="s">
        <v>112</v>
      </c>
      <c r="E24" s="196" t="s">
        <v>150</v>
      </c>
      <c r="G24" s="196"/>
      <c r="H24" s="196"/>
      <c r="I24" s="196"/>
      <c r="J24" s="196"/>
      <c r="M24" s="196" t="s">
        <v>222</v>
      </c>
      <c r="N24" s="204">
        <v>9.5</v>
      </c>
      <c r="O24" s="204">
        <v>13.5</v>
      </c>
      <c r="P24" s="204">
        <v>11.5</v>
      </c>
      <c r="S24" s="196"/>
      <c r="T24" s="196"/>
      <c r="U24" s="196"/>
      <c r="V24" s="196"/>
      <c r="Y24" s="196"/>
      <c r="Z24" s="196"/>
      <c r="AA24" s="196"/>
      <c r="AB24" s="196"/>
      <c r="AF24" s="196"/>
      <c r="AG24" s="196"/>
      <c r="AH24" s="196"/>
      <c r="AI24" s="196"/>
      <c r="AJ24" s="196"/>
    </row>
    <row r="25" spans="1:41">
      <c r="A25" s="196" t="s">
        <v>223</v>
      </c>
      <c r="B25" s="202">
        <v>94.52</v>
      </c>
      <c r="C25" s="202">
        <v>94.524999999999991</v>
      </c>
      <c r="D25" s="202">
        <v>94.522499999999994</v>
      </c>
      <c r="E25" s="203">
        <v>94.57</v>
      </c>
      <c r="F25" s="203"/>
      <c r="G25" s="196" t="s">
        <v>224</v>
      </c>
      <c r="H25" s="202">
        <v>0</v>
      </c>
      <c r="I25" s="202">
        <v>0</v>
      </c>
      <c r="J25" s="202">
        <v>99.715600000000009</v>
      </c>
      <c r="K25" s="203">
        <v>99.715600000000009</v>
      </c>
      <c r="M25" s="196" t="s">
        <v>225</v>
      </c>
      <c r="N25" s="204">
        <v>8.75</v>
      </c>
      <c r="O25" s="204">
        <v>12.75</v>
      </c>
      <c r="P25" s="204">
        <v>10.75</v>
      </c>
      <c r="S25" s="196"/>
      <c r="T25" s="202"/>
      <c r="U25" s="202"/>
      <c r="V25" s="202"/>
      <c r="Y25" s="196"/>
      <c r="Z25" s="202"/>
      <c r="AA25" s="202"/>
      <c r="AB25" s="202"/>
      <c r="AF25" s="196"/>
      <c r="AG25" s="202"/>
      <c r="AH25" s="202"/>
      <c r="AI25" s="202"/>
      <c r="AJ25" s="203"/>
    </row>
    <row r="26" spans="1:41">
      <c r="A26" s="196" t="s">
        <v>226</v>
      </c>
      <c r="B26" s="202">
        <v>0</v>
      </c>
      <c r="C26" s="202">
        <v>0</v>
      </c>
      <c r="D26" s="202">
        <v>0</v>
      </c>
      <c r="E26" s="203">
        <v>94.57</v>
      </c>
      <c r="G26" s="196" t="s">
        <v>227</v>
      </c>
      <c r="H26" s="202">
        <v>0</v>
      </c>
      <c r="I26" s="202">
        <v>0</v>
      </c>
      <c r="J26" s="202">
        <v>99.746600000000015</v>
      </c>
      <c r="K26" s="203">
        <v>99.746600000000015</v>
      </c>
      <c r="M26" s="196" t="s">
        <v>228</v>
      </c>
      <c r="N26" s="204">
        <v>8.625</v>
      </c>
      <c r="O26" s="204">
        <v>12.625</v>
      </c>
      <c r="P26" s="204">
        <v>10.625</v>
      </c>
      <c r="S26" s="196"/>
      <c r="T26" s="202"/>
      <c r="U26" s="202"/>
      <c r="V26" s="202"/>
      <c r="Y26" s="196"/>
      <c r="Z26" s="202"/>
      <c r="AA26" s="202"/>
      <c r="AB26" s="202"/>
      <c r="AF26" s="196"/>
      <c r="AG26" s="202"/>
      <c r="AH26" s="202"/>
      <c r="AI26" s="202"/>
      <c r="AJ26" s="203"/>
    </row>
    <row r="27" spans="1:41">
      <c r="M27" s="196" t="s">
        <v>229</v>
      </c>
      <c r="N27" s="204">
        <v>8.5</v>
      </c>
      <c r="O27" s="204">
        <v>12.5</v>
      </c>
      <c r="P27" s="204">
        <v>10.5</v>
      </c>
    </row>
    <row r="28" spans="1:41">
      <c r="M28" s="196" t="s">
        <v>230</v>
      </c>
      <c r="N28" s="204">
        <v>8.5</v>
      </c>
      <c r="O28" s="204">
        <v>12.5</v>
      </c>
      <c r="P28" s="204">
        <v>10.5</v>
      </c>
      <c r="S28" s="196" t="s">
        <v>32</v>
      </c>
      <c r="T28" s="196" t="s">
        <v>114</v>
      </c>
      <c r="U28" s="196" t="s">
        <v>113</v>
      </c>
      <c r="V28" s="196" t="s">
        <v>112</v>
      </c>
      <c r="W28" s="196" t="s">
        <v>152</v>
      </c>
    </row>
    <row r="29" spans="1:41">
      <c r="A29" s="196" t="s">
        <v>32</v>
      </c>
      <c r="B29" s="196" t="s">
        <v>114</v>
      </c>
      <c r="C29" s="196" t="s">
        <v>113</v>
      </c>
      <c r="D29" s="196" t="s">
        <v>112</v>
      </c>
      <c r="E29" s="196" t="s">
        <v>152</v>
      </c>
      <c r="G29" s="196" t="s">
        <v>32</v>
      </c>
      <c r="H29" s="196" t="s">
        <v>114</v>
      </c>
      <c r="I29" s="196" t="s">
        <v>113</v>
      </c>
      <c r="J29" s="196" t="s">
        <v>112</v>
      </c>
      <c r="K29" s="196" t="s">
        <v>152</v>
      </c>
      <c r="M29" s="196" t="s">
        <v>231</v>
      </c>
      <c r="N29" s="204">
        <v>8.625</v>
      </c>
      <c r="O29" s="204">
        <v>12.625</v>
      </c>
      <c r="P29" s="204">
        <v>10.625</v>
      </c>
      <c r="R29" s="196"/>
      <c r="S29" s="196" t="s">
        <v>232</v>
      </c>
      <c r="T29" s="202">
        <v>1.304</v>
      </c>
      <c r="U29" s="202">
        <v>1.264</v>
      </c>
      <c r="V29" s="202">
        <v>1.284</v>
      </c>
      <c r="W29" s="202">
        <v>1.284</v>
      </c>
      <c r="Y29" s="196" t="s">
        <v>32</v>
      </c>
      <c r="Z29" s="196" t="s">
        <v>114</v>
      </c>
      <c r="AA29" s="196" t="s">
        <v>113</v>
      </c>
      <c r="AB29" s="196" t="s">
        <v>112</v>
      </c>
      <c r="AC29" s="196" t="s">
        <v>152</v>
      </c>
      <c r="AF29" s="196" t="s">
        <v>32</v>
      </c>
      <c r="AG29" s="196" t="s">
        <v>114</v>
      </c>
      <c r="AH29" s="196" t="s">
        <v>113</v>
      </c>
      <c r="AI29" s="196" t="s">
        <v>112</v>
      </c>
      <c r="AJ29" s="196" t="s">
        <v>152</v>
      </c>
      <c r="AL29" s="196" t="s">
        <v>32</v>
      </c>
      <c r="AM29" s="196" t="s">
        <v>114</v>
      </c>
      <c r="AN29" s="196" t="s">
        <v>113</v>
      </c>
      <c r="AO29" s="196" t="s">
        <v>112</v>
      </c>
    </row>
    <row r="30" spans="1:41">
      <c r="A30" s="196" t="s">
        <v>233</v>
      </c>
      <c r="B30" s="202">
        <v>5.24</v>
      </c>
      <c r="C30" s="202">
        <v>5.17</v>
      </c>
      <c r="D30" s="202">
        <v>5.2050000000000001</v>
      </c>
      <c r="E30" s="203">
        <v>5.1899999999999995</v>
      </c>
      <c r="G30" s="196" t="s">
        <v>234</v>
      </c>
      <c r="H30" s="202">
        <v>0.73799999999999999</v>
      </c>
      <c r="I30" s="202">
        <v>0.73199999999999998</v>
      </c>
      <c r="J30" s="202">
        <v>0.73499999999999999</v>
      </c>
      <c r="K30" s="203">
        <v>0.72099999999999997</v>
      </c>
      <c r="R30" s="202"/>
      <c r="S30" s="196" t="s">
        <v>235</v>
      </c>
      <c r="T30" s="202">
        <v>1.6820000000000002</v>
      </c>
      <c r="U30" s="202">
        <v>1.661</v>
      </c>
      <c r="V30" s="202">
        <v>1.6715</v>
      </c>
      <c r="W30" s="202">
        <v>1.6715</v>
      </c>
      <c r="Y30" s="196" t="s">
        <v>236</v>
      </c>
      <c r="Z30" s="202">
        <v>0.94000000000000006</v>
      </c>
      <c r="AA30" s="202">
        <v>0.92</v>
      </c>
      <c r="AB30" s="202">
        <v>0.93</v>
      </c>
      <c r="AC30" s="202">
        <v>0.93</v>
      </c>
      <c r="AF30" s="196" t="s">
        <v>237</v>
      </c>
      <c r="AG30" s="202">
        <v>3.55</v>
      </c>
      <c r="AH30" s="202">
        <v>3.4899999999999998</v>
      </c>
      <c r="AI30" s="202">
        <v>3.5199999999999996</v>
      </c>
      <c r="AJ30" s="202">
        <v>0</v>
      </c>
      <c r="AL30" s="196" t="s">
        <v>238</v>
      </c>
      <c r="AM30" s="202">
        <v>0.35</v>
      </c>
      <c r="AN30" s="202">
        <v>0.25</v>
      </c>
      <c r="AO30" s="202">
        <v>0.3</v>
      </c>
    </row>
    <row r="31" spans="1:41">
      <c r="A31" s="196" t="s">
        <v>239</v>
      </c>
      <c r="B31" s="202">
        <v>5.3979999999999997</v>
      </c>
      <c r="C31" s="202">
        <v>5.3380000000000001</v>
      </c>
      <c r="D31" s="202">
        <v>5.3680000000000003</v>
      </c>
      <c r="E31" s="203">
        <v>0</v>
      </c>
      <c r="G31" s="196" t="s">
        <v>240</v>
      </c>
      <c r="H31" s="202">
        <v>1.0580000000000001</v>
      </c>
      <c r="I31" s="202">
        <v>1.052</v>
      </c>
      <c r="J31" s="202">
        <v>1.0550000000000002</v>
      </c>
      <c r="K31" s="203">
        <v>1.002</v>
      </c>
      <c r="M31" s="196" t="s">
        <v>32</v>
      </c>
      <c r="N31" s="196" t="s">
        <v>114</v>
      </c>
      <c r="O31" s="196" t="s">
        <v>113</v>
      </c>
      <c r="P31" s="196" t="s">
        <v>112</v>
      </c>
      <c r="Q31" s="196" t="s">
        <v>152</v>
      </c>
      <c r="R31" s="202"/>
      <c r="S31" s="196" t="s">
        <v>241</v>
      </c>
      <c r="T31" s="202">
        <v>1.879</v>
      </c>
      <c r="U31" s="202">
        <v>1.869</v>
      </c>
      <c r="V31" s="202">
        <v>1.8740000000000001</v>
      </c>
      <c r="W31" s="202">
        <v>1.8740000000000001</v>
      </c>
      <c r="Y31" s="196" t="s">
        <v>242</v>
      </c>
      <c r="Z31" s="202">
        <v>1.5074999999999998</v>
      </c>
      <c r="AA31" s="202">
        <v>1.4674999999999998</v>
      </c>
      <c r="AB31" s="202">
        <v>1.4874999999999998</v>
      </c>
      <c r="AC31" s="202">
        <v>1.4874999999999998</v>
      </c>
      <c r="AF31" s="196" t="s">
        <v>243</v>
      </c>
      <c r="AG31" s="202">
        <v>3.9749999999999996</v>
      </c>
      <c r="AH31" s="202">
        <v>3.9149999999999996</v>
      </c>
      <c r="AI31" s="202">
        <v>3.9449999999999994</v>
      </c>
      <c r="AJ31" s="202">
        <v>0</v>
      </c>
      <c r="AL31" s="196" t="s">
        <v>244</v>
      </c>
      <c r="AM31" s="202">
        <v>0.4</v>
      </c>
      <c r="AN31" s="202">
        <v>0.3</v>
      </c>
      <c r="AO31" s="202">
        <v>0.35</v>
      </c>
    </row>
    <row r="32" spans="1:41">
      <c r="A32" s="196" t="s">
        <v>245</v>
      </c>
      <c r="B32" s="202">
        <v>5.5229999999999997</v>
      </c>
      <c r="C32" s="202">
        <v>5.4630000000000001</v>
      </c>
      <c r="D32" s="202">
        <v>5.4930000000000003</v>
      </c>
      <c r="E32" s="203">
        <v>0</v>
      </c>
      <c r="G32" s="196" t="s">
        <v>246</v>
      </c>
      <c r="H32" s="202">
        <v>1.4129999999999998</v>
      </c>
      <c r="I32" s="202">
        <v>1.4059999999999999</v>
      </c>
      <c r="J32" s="202">
        <v>1.4095</v>
      </c>
      <c r="K32" s="203">
        <v>1.32</v>
      </c>
      <c r="M32" s="196" t="s">
        <v>247</v>
      </c>
      <c r="N32" s="203">
        <v>0.41200000000000003</v>
      </c>
      <c r="O32" s="203">
        <v>0.39200000000000002</v>
      </c>
      <c r="P32" s="203">
        <v>0.40200000000000002</v>
      </c>
      <c r="Q32" s="203">
        <v>0.39200000000000002</v>
      </c>
      <c r="R32" s="202"/>
      <c r="S32" s="196" t="s">
        <v>248</v>
      </c>
      <c r="T32" s="202">
        <v>2.0749999999999997</v>
      </c>
      <c r="U32" s="202">
        <v>2.0449999999999999</v>
      </c>
      <c r="V32" s="202">
        <v>2.0599999999999996</v>
      </c>
      <c r="W32" s="202">
        <v>2.0599999999999996</v>
      </c>
      <c r="Y32" s="196" t="s">
        <v>249</v>
      </c>
      <c r="Z32" s="202">
        <v>1.84</v>
      </c>
      <c r="AA32" s="202">
        <v>1.8</v>
      </c>
      <c r="AB32" s="202">
        <v>1.82</v>
      </c>
      <c r="AC32" s="202">
        <v>1.82</v>
      </c>
      <c r="AF32" s="196" t="s">
        <v>250</v>
      </c>
      <c r="AG32" s="202">
        <v>4.2674999999999992</v>
      </c>
      <c r="AH32" s="202">
        <v>4.2074999999999996</v>
      </c>
      <c r="AI32" s="202">
        <v>4.2374999999999989</v>
      </c>
      <c r="AJ32" s="202">
        <v>0</v>
      </c>
      <c r="AL32" s="196" t="s">
        <v>251</v>
      </c>
      <c r="AM32" s="202">
        <v>0.43000000000000005</v>
      </c>
      <c r="AN32" s="202">
        <v>0.33</v>
      </c>
      <c r="AO32" s="202">
        <v>0.38</v>
      </c>
    </row>
    <row r="33" spans="1:41">
      <c r="A33" s="196" t="s">
        <v>252</v>
      </c>
      <c r="B33" s="202">
        <v>5.7249999999999996</v>
      </c>
      <c r="C33" s="202">
        <v>5.6649999999999991</v>
      </c>
      <c r="D33" s="202">
        <v>5.6949999999999994</v>
      </c>
      <c r="E33" s="203">
        <v>0</v>
      </c>
      <c r="G33" s="196" t="s">
        <v>253</v>
      </c>
      <c r="H33" s="202">
        <v>1.7809999999999999</v>
      </c>
      <c r="I33" s="202">
        <v>1.7749999999999999</v>
      </c>
      <c r="J33" s="202">
        <v>1.778</v>
      </c>
      <c r="K33" s="203">
        <v>1.6560000000000001</v>
      </c>
      <c r="M33" s="196" t="s">
        <v>254</v>
      </c>
      <c r="N33" s="203">
        <v>0.42000000000000004</v>
      </c>
      <c r="O33" s="203">
        <v>0.41000000000000003</v>
      </c>
      <c r="P33" s="203">
        <v>0.41500000000000004</v>
      </c>
      <c r="Q33" s="203">
        <v>0.41000000000000003</v>
      </c>
      <c r="R33" s="202"/>
      <c r="S33" s="196" t="s">
        <v>255</v>
      </c>
      <c r="T33" s="202">
        <v>2.2549999999999999</v>
      </c>
      <c r="U33" s="202">
        <v>2.2250000000000001</v>
      </c>
      <c r="V33" s="202">
        <v>2.2400000000000002</v>
      </c>
      <c r="W33" s="202">
        <v>2.2400000000000002</v>
      </c>
      <c r="Y33" s="196" t="s">
        <v>256</v>
      </c>
      <c r="Z33" s="202">
        <v>2.14</v>
      </c>
      <c r="AA33" s="202">
        <v>2.1</v>
      </c>
      <c r="AB33" s="202">
        <v>2.12</v>
      </c>
      <c r="AC33" s="202">
        <v>2.12</v>
      </c>
      <c r="AF33" s="196" t="s">
        <v>257</v>
      </c>
      <c r="AG33" s="202">
        <v>4.4850000000000003</v>
      </c>
      <c r="AH33" s="202">
        <v>4.4249999999999998</v>
      </c>
      <c r="AI33" s="202">
        <v>4.4550000000000001</v>
      </c>
      <c r="AJ33" s="202">
        <v>0</v>
      </c>
      <c r="AL33" s="196" t="s">
        <v>258</v>
      </c>
      <c r="AM33" s="202">
        <v>0.52</v>
      </c>
      <c r="AN33" s="202">
        <v>0.42000000000000004</v>
      </c>
      <c r="AO33" s="202">
        <v>0.47000000000000003</v>
      </c>
    </row>
    <row r="34" spans="1:41">
      <c r="A34" s="196" t="s">
        <v>259</v>
      </c>
      <c r="B34" s="202">
        <v>5.8079999999999998</v>
      </c>
      <c r="C34" s="202">
        <v>5.7480000000000002</v>
      </c>
      <c r="D34" s="202">
        <v>5.7780000000000005</v>
      </c>
      <c r="E34" s="203">
        <v>0</v>
      </c>
      <c r="F34" s="203"/>
      <c r="G34" s="196" t="s">
        <v>260</v>
      </c>
      <c r="H34" s="202">
        <v>2.1319999999999997</v>
      </c>
      <c r="I34" s="202">
        <v>2.125</v>
      </c>
      <c r="J34" s="202">
        <v>2.1284999999999998</v>
      </c>
      <c r="K34" s="203">
        <v>1.99</v>
      </c>
      <c r="M34" s="196" t="s">
        <v>261</v>
      </c>
      <c r="N34" s="203">
        <v>0.43900000000000006</v>
      </c>
      <c r="O34" s="203">
        <v>0.41900000000000004</v>
      </c>
      <c r="P34" s="203">
        <v>0.42900000000000005</v>
      </c>
      <c r="Q34" s="203">
        <v>0.42500000000000004</v>
      </c>
      <c r="R34" s="202"/>
      <c r="S34" s="196" t="s">
        <v>262</v>
      </c>
      <c r="T34" s="202">
        <v>2.4299999999999997</v>
      </c>
      <c r="U34" s="202">
        <v>2.4</v>
      </c>
      <c r="V34" s="202">
        <v>2.415</v>
      </c>
      <c r="W34" s="202">
        <v>2.415</v>
      </c>
      <c r="Y34" s="196" t="s">
        <v>263</v>
      </c>
      <c r="Z34" s="202">
        <v>2.4049999999999998</v>
      </c>
      <c r="AA34" s="202">
        <v>2.3649999999999998</v>
      </c>
      <c r="AB34" s="202">
        <v>2.3849999999999998</v>
      </c>
      <c r="AC34" s="202">
        <v>2.3849999999999998</v>
      </c>
      <c r="AF34" s="196" t="s">
        <v>264</v>
      </c>
      <c r="AG34" s="202">
        <v>4.6649999999999991</v>
      </c>
      <c r="AH34" s="202">
        <v>4.6049999999999995</v>
      </c>
      <c r="AI34" s="202">
        <v>4.6349999999999998</v>
      </c>
      <c r="AJ34" s="202">
        <v>0</v>
      </c>
      <c r="AL34" s="196" t="s">
        <v>265</v>
      </c>
      <c r="AM34" s="202">
        <v>0.65</v>
      </c>
      <c r="AN34" s="202">
        <v>0.55000000000000004</v>
      </c>
      <c r="AO34" s="202">
        <v>0.60000000000000009</v>
      </c>
    </row>
    <row r="35" spans="1:41">
      <c r="A35" s="196" t="s">
        <v>266</v>
      </c>
      <c r="B35" s="202">
        <v>5.8949999999999996</v>
      </c>
      <c r="C35" s="202">
        <v>5.84</v>
      </c>
      <c r="D35" s="202">
        <v>5.8674999999999997</v>
      </c>
      <c r="E35" s="203">
        <v>0</v>
      </c>
      <c r="G35" s="196" t="s">
        <v>267</v>
      </c>
      <c r="H35" s="202">
        <v>2.4379999999999997</v>
      </c>
      <c r="I35" s="202">
        <v>2.4309999999999996</v>
      </c>
      <c r="J35" s="202">
        <v>2.4344999999999999</v>
      </c>
      <c r="K35" s="203">
        <v>2.2870000000000004</v>
      </c>
      <c r="M35" s="196" t="s">
        <v>268</v>
      </c>
      <c r="N35" s="203">
        <v>0.47500000000000003</v>
      </c>
      <c r="O35" s="203">
        <v>0.45500000000000002</v>
      </c>
      <c r="P35" s="203">
        <v>0.46500000000000002</v>
      </c>
      <c r="Q35" s="203">
        <v>0.45500000000000002</v>
      </c>
      <c r="R35" s="202"/>
      <c r="S35" s="196" t="s">
        <v>269</v>
      </c>
      <c r="T35" s="202">
        <v>2.5830000000000002</v>
      </c>
      <c r="U35" s="202">
        <v>2.5529999999999999</v>
      </c>
      <c r="V35" s="202">
        <v>2.5680000000000001</v>
      </c>
      <c r="W35" s="202">
        <v>2.5680000000000001</v>
      </c>
      <c r="Y35" s="196" t="s">
        <v>270</v>
      </c>
      <c r="Z35" s="202">
        <v>2.8849999999999998</v>
      </c>
      <c r="AA35" s="202">
        <v>2.8449999999999998</v>
      </c>
      <c r="AB35" s="202">
        <v>2.8649999999999998</v>
      </c>
      <c r="AC35" s="202">
        <v>2.8649999999999998</v>
      </c>
      <c r="AF35" s="196" t="s">
        <v>271</v>
      </c>
      <c r="AG35" s="202">
        <v>4.9775</v>
      </c>
      <c r="AH35" s="202">
        <v>4.9174999999999995</v>
      </c>
      <c r="AI35" s="202">
        <v>4.9474999999999998</v>
      </c>
      <c r="AJ35" s="202">
        <v>0</v>
      </c>
      <c r="AL35" s="196" t="s">
        <v>272</v>
      </c>
      <c r="AM35" s="202">
        <v>0.96000000000000008</v>
      </c>
      <c r="AN35" s="202">
        <v>0.8600000000000001</v>
      </c>
      <c r="AO35" s="202">
        <v>0.91000000000000014</v>
      </c>
    </row>
    <row r="36" spans="1:41">
      <c r="A36" s="196" t="s">
        <v>273</v>
      </c>
      <c r="B36" s="202">
        <v>5.96</v>
      </c>
      <c r="C36" s="202">
        <v>5.9050000000000002</v>
      </c>
      <c r="D36" s="202">
        <v>5.9325000000000001</v>
      </c>
      <c r="E36" s="203">
        <v>0</v>
      </c>
      <c r="G36" s="196" t="s">
        <v>274</v>
      </c>
      <c r="H36" s="202">
        <v>2.6959999999999997</v>
      </c>
      <c r="I36" s="202">
        <v>2.6890000000000001</v>
      </c>
      <c r="J36" s="202">
        <v>2.6924999999999999</v>
      </c>
      <c r="K36" s="203">
        <v>2.5369999999999999</v>
      </c>
      <c r="M36" s="196" t="s">
        <v>275</v>
      </c>
      <c r="N36" s="203">
        <v>0.52500000000000002</v>
      </c>
      <c r="O36" s="203">
        <v>0.505</v>
      </c>
      <c r="P36" s="203">
        <v>0.51500000000000001</v>
      </c>
      <c r="Q36" s="203">
        <v>0.505</v>
      </c>
      <c r="R36" s="202"/>
      <c r="S36" s="196" t="s">
        <v>276</v>
      </c>
      <c r="T36" s="202">
        <v>2.7170000000000001</v>
      </c>
      <c r="U36" s="202">
        <v>2.6870000000000003</v>
      </c>
      <c r="V36" s="202">
        <v>2.702</v>
      </c>
      <c r="W36" s="202">
        <v>2.702</v>
      </c>
      <c r="Y36" s="196" t="s">
        <v>277</v>
      </c>
      <c r="Z36" s="202">
        <v>3.4075000000000002</v>
      </c>
      <c r="AA36" s="202">
        <v>3.3675000000000002</v>
      </c>
      <c r="AB36" s="202">
        <v>3.3875000000000002</v>
      </c>
      <c r="AC36" s="202">
        <v>3.3875000000000002</v>
      </c>
      <c r="AF36" s="196" t="s">
        <v>278</v>
      </c>
      <c r="AG36" s="202">
        <v>5.2924999999999995</v>
      </c>
      <c r="AH36" s="202">
        <v>5.2324999999999999</v>
      </c>
      <c r="AI36" s="202">
        <v>5.2624999999999993</v>
      </c>
      <c r="AJ36" s="202">
        <v>0</v>
      </c>
      <c r="AL36" s="196" t="s">
        <v>279</v>
      </c>
      <c r="AM36" s="202">
        <v>1.27</v>
      </c>
      <c r="AN36" s="202">
        <v>1.1700000000000002</v>
      </c>
      <c r="AO36" s="202">
        <v>1.2200000000000002</v>
      </c>
    </row>
    <row r="37" spans="1:41">
      <c r="A37" s="196" t="s">
        <v>280</v>
      </c>
      <c r="B37" s="202">
        <v>6.0179999999999998</v>
      </c>
      <c r="C37" s="202">
        <v>5.9630000000000001</v>
      </c>
      <c r="D37" s="202">
        <v>5.9904999999999999</v>
      </c>
      <c r="E37" s="203">
        <v>0</v>
      </c>
      <c r="G37" s="196" t="s">
        <v>281</v>
      </c>
      <c r="H37" s="202">
        <v>2.9079999999999999</v>
      </c>
      <c r="I37" s="202">
        <v>2.9009999999999998</v>
      </c>
      <c r="J37" s="202">
        <v>2.9044999999999996</v>
      </c>
      <c r="K37" s="203">
        <v>2.746</v>
      </c>
      <c r="M37" s="196" t="s">
        <v>282</v>
      </c>
      <c r="N37" s="203">
        <v>0.59599999999999997</v>
      </c>
      <c r="O37" s="203">
        <v>0.57599999999999996</v>
      </c>
      <c r="P37" s="203">
        <v>0.58599999999999997</v>
      </c>
      <c r="Q37" s="203">
        <v>0.57599999999999996</v>
      </c>
      <c r="R37" s="202"/>
      <c r="S37" s="196" t="s">
        <v>283</v>
      </c>
      <c r="T37" s="202">
        <v>2.827</v>
      </c>
      <c r="U37" s="202">
        <v>2.7970000000000002</v>
      </c>
      <c r="V37" s="202">
        <v>2.8120000000000003</v>
      </c>
      <c r="W37" s="202">
        <v>2.8120000000000003</v>
      </c>
      <c r="Y37" s="196" t="s">
        <v>284</v>
      </c>
      <c r="Z37" s="202">
        <v>3.613</v>
      </c>
      <c r="AA37" s="202">
        <v>3.6030000000000002</v>
      </c>
      <c r="AB37" s="202">
        <v>3.6080000000000001</v>
      </c>
      <c r="AC37" s="202">
        <v>3.6080000000000001</v>
      </c>
      <c r="AF37" s="196" t="s">
        <v>285</v>
      </c>
      <c r="AG37" s="202">
        <v>5.5124999999999993</v>
      </c>
      <c r="AH37" s="202">
        <v>5.4524999999999997</v>
      </c>
      <c r="AI37" s="202">
        <v>5.4824999999999999</v>
      </c>
      <c r="AJ37" s="202">
        <v>0</v>
      </c>
      <c r="AL37" s="196" t="s">
        <v>286</v>
      </c>
      <c r="AM37" s="202">
        <v>1.59</v>
      </c>
      <c r="AN37" s="202">
        <v>1.49</v>
      </c>
      <c r="AO37" s="202">
        <v>1.54</v>
      </c>
    </row>
    <row r="38" spans="1:41">
      <c r="A38" s="196" t="s">
        <v>287</v>
      </c>
      <c r="B38" s="202">
        <v>5.9430000000000005</v>
      </c>
      <c r="C38" s="202">
        <v>5.8879999999999999</v>
      </c>
      <c r="D38" s="202">
        <v>5.9154999999999998</v>
      </c>
      <c r="E38" s="203">
        <v>0</v>
      </c>
      <c r="G38" s="196" t="s">
        <v>288</v>
      </c>
      <c r="H38" s="202">
        <v>3.0859999999999999</v>
      </c>
      <c r="I38" s="202">
        <v>3.08</v>
      </c>
      <c r="J38" s="202">
        <v>3.0830000000000002</v>
      </c>
      <c r="K38" s="203">
        <v>2.9209999999999998</v>
      </c>
      <c r="M38" s="196" t="s">
        <v>289</v>
      </c>
      <c r="N38" s="203">
        <v>0.68599999999999994</v>
      </c>
      <c r="O38" s="203">
        <v>0.66600000000000004</v>
      </c>
      <c r="P38" s="203">
        <v>0.67599999999999993</v>
      </c>
      <c r="Q38" s="203">
        <v>0.66600000000000004</v>
      </c>
      <c r="R38" s="202"/>
      <c r="S38" s="196" t="s">
        <v>290</v>
      </c>
      <c r="T38" s="202">
        <v>2.923</v>
      </c>
      <c r="U38" s="202">
        <v>2.8929999999999998</v>
      </c>
      <c r="V38" s="202">
        <v>2.9079999999999999</v>
      </c>
      <c r="W38" s="202">
        <v>2.9079999999999999</v>
      </c>
      <c r="Y38" s="196" t="s">
        <v>291</v>
      </c>
      <c r="Z38" s="202">
        <v>3.8179999999999996</v>
      </c>
      <c r="AA38" s="202">
        <v>3.8079999999999998</v>
      </c>
      <c r="AB38" s="202">
        <v>3.8129999999999997</v>
      </c>
      <c r="AC38" s="202">
        <v>3.8129999999999997</v>
      </c>
      <c r="AF38" s="196"/>
      <c r="AG38" s="202"/>
      <c r="AH38" s="202"/>
      <c r="AI38" s="202"/>
      <c r="AJ38" s="202"/>
      <c r="AL38" s="196" t="s">
        <v>292</v>
      </c>
      <c r="AM38" s="202">
        <v>2.21</v>
      </c>
      <c r="AN38" s="202">
        <v>2.11</v>
      </c>
      <c r="AO38" s="202">
        <v>2.16</v>
      </c>
    </row>
    <row r="39" spans="1:41">
      <c r="A39" s="196" t="s">
        <v>293</v>
      </c>
      <c r="B39" s="202">
        <v>5.8279999999999994</v>
      </c>
      <c r="C39" s="202">
        <v>5.7730000000000006</v>
      </c>
      <c r="D39" s="202">
        <v>5.8004999999999995</v>
      </c>
      <c r="E39" s="203">
        <v>0</v>
      </c>
      <c r="G39" s="196" t="s">
        <v>294</v>
      </c>
      <c r="H39" s="202">
        <v>3.3569999999999998</v>
      </c>
      <c r="I39" s="202">
        <v>3.3499999999999996</v>
      </c>
      <c r="J39" s="202">
        <v>3.3534999999999995</v>
      </c>
      <c r="K39" s="203">
        <v>3.1970000000000001</v>
      </c>
      <c r="M39" s="196" t="s">
        <v>295</v>
      </c>
      <c r="N39" s="203">
        <v>0.79399999999999993</v>
      </c>
      <c r="O39" s="203">
        <v>0.77399999999999991</v>
      </c>
      <c r="P39" s="203">
        <v>0.78399999999999992</v>
      </c>
      <c r="Q39" s="203">
        <v>0.77399999999999991</v>
      </c>
      <c r="R39" s="202"/>
      <c r="S39" s="196" t="s">
        <v>296</v>
      </c>
      <c r="T39" s="202">
        <v>3.09</v>
      </c>
      <c r="U39" s="202">
        <v>3.05</v>
      </c>
      <c r="V39" s="202">
        <v>3.07</v>
      </c>
      <c r="W39" s="202">
        <v>3.07</v>
      </c>
      <c r="Y39" s="196" t="s">
        <v>297</v>
      </c>
      <c r="Z39" s="202">
        <v>3.96</v>
      </c>
      <c r="AA39" s="202">
        <v>3.9499999999999997</v>
      </c>
      <c r="AB39" s="202">
        <v>3.9550000000000001</v>
      </c>
      <c r="AC39" s="202">
        <v>3.9550000000000001</v>
      </c>
      <c r="AI39" s="202"/>
      <c r="AJ39" s="203"/>
      <c r="AL39" s="196" t="s">
        <v>298</v>
      </c>
      <c r="AM39" s="202">
        <v>2.8</v>
      </c>
      <c r="AN39" s="202">
        <v>2.7</v>
      </c>
      <c r="AO39" s="202">
        <v>2.75</v>
      </c>
    </row>
    <row r="40" spans="1:41">
      <c r="A40" s="196" t="s">
        <v>299</v>
      </c>
      <c r="B40" s="202">
        <v>5.6879999999999997</v>
      </c>
      <c r="C40" s="202">
        <v>5.633</v>
      </c>
      <c r="D40" s="202">
        <v>5.6604999999999999</v>
      </c>
      <c r="E40" s="203">
        <v>0</v>
      </c>
      <c r="G40" s="196" t="s">
        <v>300</v>
      </c>
      <c r="H40" s="202">
        <v>3.6259999999999999</v>
      </c>
      <c r="I40" s="202">
        <v>3.6189999999999998</v>
      </c>
      <c r="J40" s="202">
        <v>3.6224999999999996</v>
      </c>
      <c r="K40" s="203">
        <v>3.4759999999999995</v>
      </c>
      <c r="M40" s="196" t="s">
        <v>301</v>
      </c>
      <c r="N40" s="203">
        <v>0.91300000000000003</v>
      </c>
      <c r="O40" s="203">
        <v>0.89300000000000002</v>
      </c>
      <c r="P40" s="203">
        <v>0.90300000000000002</v>
      </c>
      <c r="Q40" s="203">
        <v>0.89300000000000002</v>
      </c>
      <c r="R40" s="202"/>
      <c r="S40" s="196" t="s">
        <v>302</v>
      </c>
      <c r="T40" s="202">
        <v>3.2280000000000002</v>
      </c>
      <c r="U40" s="202">
        <v>3.1880000000000002</v>
      </c>
      <c r="V40" s="202">
        <v>3.2080000000000002</v>
      </c>
      <c r="W40" s="202">
        <v>3.2080000000000002</v>
      </c>
      <c r="Y40" s="196" t="s">
        <v>303</v>
      </c>
      <c r="Z40" s="202">
        <v>4.01</v>
      </c>
      <c r="AA40" s="202">
        <v>4</v>
      </c>
      <c r="AB40" s="202">
        <v>4.0049999999999999</v>
      </c>
      <c r="AC40" s="202">
        <v>4.0049999999999999</v>
      </c>
      <c r="AI40" s="202"/>
      <c r="AJ40" s="203"/>
      <c r="AL40" s="196" t="s">
        <v>304</v>
      </c>
      <c r="AM40" s="202">
        <v>3</v>
      </c>
      <c r="AN40" s="202">
        <v>2.9</v>
      </c>
      <c r="AO40" s="202">
        <v>2.95</v>
      </c>
    </row>
    <row r="41" spans="1:41">
      <c r="G41" s="196" t="s">
        <v>305</v>
      </c>
      <c r="H41" s="202">
        <v>3.8609999999999998</v>
      </c>
      <c r="I41" s="202">
        <v>3.8539999999999996</v>
      </c>
      <c r="J41" s="202">
        <v>3.8574999999999999</v>
      </c>
      <c r="K41" s="203">
        <v>3.722</v>
      </c>
      <c r="M41" s="196" t="s">
        <v>306</v>
      </c>
      <c r="N41" s="203">
        <v>1.0389999999999999</v>
      </c>
      <c r="O41" s="203">
        <v>1.0189999999999999</v>
      </c>
      <c r="P41" s="203">
        <v>1.0289999999999999</v>
      </c>
      <c r="Q41" s="203">
        <v>1.0189999999999999</v>
      </c>
      <c r="R41" s="202"/>
      <c r="S41" s="196" t="s">
        <v>307</v>
      </c>
      <c r="T41" s="202">
        <v>3.278</v>
      </c>
      <c r="U41" s="202">
        <v>3.238</v>
      </c>
      <c r="V41" s="202">
        <v>3.258</v>
      </c>
      <c r="W41" s="202">
        <v>3.258</v>
      </c>
      <c r="Y41" s="196"/>
      <c r="Z41" s="202"/>
      <c r="AA41" s="202"/>
      <c r="AB41" s="202"/>
      <c r="AC41" s="202"/>
      <c r="AL41" s="196" t="s">
        <v>308</v>
      </c>
      <c r="AM41" s="202">
        <v>3.07</v>
      </c>
      <c r="AN41" s="202">
        <v>2.9699999999999998</v>
      </c>
      <c r="AO41" s="202">
        <v>3.0199999999999996</v>
      </c>
    </row>
    <row r="42" spans="1:41">
      <c r="D42" s="196" t="s">
        <v>54</v>
      </c>
      <c r="E42" s="196" t="s">
        <v>54</v>
      </c>
      <c r="G42" s="196" t="s">
        <v>309</v>
      </c>
      <c r="H42" s="202">
        <v>3.9779999999999998</v>
      </c>
      <c r="I42" s="202">
        <v>3.9709999999999996</v>
      </c>
      <c r="J42" s="202">
        <v>3.9744999999999999</v>
      </c>
      <c r="K42" s="203">
        <v>3.8459999999999996</v>
      </c>
      <c r="M42" s="196" t="s">
        <v>310</v>
      </c>
      <c r="N42" s="203">
        <v>1.1640000000000001</v>
      </c>
      <c r="O42" s="203">
        <v>1.1440000000000001</v>
      </c>
      <c r="P42" s="203">
        <v>1.1540000000000001</v>
      </c>
      <c r="Q42" s="203">
        <v>1.1440000000000001</v>
      </c>
      <c r="R42" s="202"/>
      <c r="S42" s="196" t="s">
        <v>311</v>
      </c>
      <c r="T42" s="202">
        <v>3.238</v>
      </c>
      <c r="U42" s="202">
        <v>3.2280000000000002</v>
      </c>
      <c r="V42" s="202">
        <v>3.2330000000000001</v>
      </c>
      <c r="W42" s="202">
        <v>3.2330000000000001</v>
      </c>
      <c r="Y42" s="196"/>
      <c r="Z42" s="202"/>
      <c r="AA42" s="202"/>
      <c r="AB42" s="202"/>
      <c r="AC42" s="202"/>
    </row>
    <row r="43" spans="1:41">
      <c r="A43" s="196" t="s">
        <v>233</v>
      </c>
      <c r="B43" s="204">
        <v>2.9999999999988702</v>
      </c>
      <c r="C43" s="204">
        <v>2.4999999999988702</v>
      </c>
      <c r="D43" s="206">
        <v>2.9999999999988702</v>
      </c>
      <c r="E43" s="206">
        <v>5.4999999999994387</v>
      </c>
      <c r="G43" s="196" t="s">
        <v>312</v>
      </c>
      <c r="H43" s="202">
        <v>4.0419999999999998</v>
      </c>
      <c r="I43" s="202">
        <v>4.0350000000000001</v>
      </c>
      <c r="J43" s="202">
        <v>4.0385</v>
      </c>
      <c r="K43" s="203">
        <v>3.9139999999999997</v>
      </c>
      <c r="M43" s="196" t="s">
        <v>313</v>
      </c>
      <c r="N43" s="203">
        <v>1.3900000000000001</v>
      </c>
      <c r="O43" s="203">
        <v>1.37</v>
      </c>
      <c r="P43" s="203">
        <v>1.3800000000000001</v>
      </c>
      <c r="Q43" s="203">
        <v>1.37</v>
      </c>
      <c r="R43" s="202"/>
      <c r="S43" s="196" t="s">
        <v>314</v>
      </c>
      <c r="T43" s="202">
        <v>3.097</v>
      </c>
      <c r="U43" s="202">
        <v>3.0569999999999999</v>
      </c>
      <c r="V43" s="202">
        <v>3.077</v>
      </c>
      <c r="W43" s="202">
        <v>3.077</v>
      </c>
      <c r="Y43" s="196"/>
      <c r="Z43" s="202"/>
      <c r="AA43" s="202"/>
      <c r="AB43" s="202"/>
      <c r="AC43" s="202"/>
    </row>
    <row r="44" spans="1:41">
      <c r="A44" s="196" t="s">
        <v>239</v>
      </c>
      <c r="B44" s="204">
        <v>19.299999999998896</v>
      </c>
      <c r="C44" s="204">
        <v>18.799999999998896</v>
      </c>
      <c r="D44" s="206">
        <v>19.299999999998896</v>
      </c>
      <c r="E44" s="206">
        <v>21.799999999999464</v>
      </c>
      <c r="M44" s="196" t="s">
        <v>315</v>
      </c>
      <c r="N44" s="203">
        <v>1.645</v>
      </c>
      <c r="O44" s="203">
        <v>1.625</v>
      </c>
      <c r="P44" s="203">
        <v>1.635</v>
      </c>
      <c r="Q44" s="203">
        <v>1.625</v>
      </c>
    </row>
    <row r="45" spans="1:41">
      <c r="A45" s="196" t="s">
        <v>245</v>
      </c>
      <c r="B45" s="204">
        <v>31.799999999998896</v>
      </c>
      <c r="C45" s="204">
        <v>31.299999999998896</v>
      </c>
      <c r="D45" s="206">
        <v>31.799999999998896</v>
      </c>
      <c r="E45" s="206">
        <v>34.299999999999464</v>
      </c>
      <c r="H45" s="196" t="s">
        <v>126</v>
      </c>
      <c r="I45" s="196" t="s">
        <v>127</v>
      </c>
      <c r="M45" s="196" t="s">
        <v>316</v>
      </c>
      <c r="N45" s="203">
        <v>1.9</v>
      </c>
      <c r="O45" s="203">
        <v>1.8800000000000001</v>
      </c>
      <c r="P45" s="203">
        <v>1.8900000000000001</v>
      </c>
      <c r="Q45" s="203">
        <v>1.8800000000000001</v>
      </c>
      <c r="S45" s="196"/>
      <c r="T45" s="203"/>
      <c r="U45" s="203"/>
      <c r="V45" s="203"/>
    </row>
    <row r="46" spans="1:41">
      <c r="A46" s="196" t="s">
        <v>252</v>
      </c>
      <c r="B46" s="204">
        <v>51.999999999998806</v>
      </c>
      <c r="C46" s="204">
        <v>51.499999999998806</v>
      </c>
      <c r="D46" s="206">
        <v>51.999999999998806</v>
      </c>
      <c r="E46" s="206">
        <v>54.499999999999375</v>
      </c>
      <c r="G46" s="196" t="s">
        <v>317</v>
      </c>
      <c r="H46" s="202">
        <v>0.53990000000000005</v>
      </c>
      <c r="I46" s="202">
        <v>0.53580000000000005</v>
      </c>
      <c r="J46" s="202">
        <v>0.53785000000000005</v>
      </c>
      <c r="K46" s="203"/>
      <c r="M46" s="196" t="s">
        <v>318</v>
      </c>
      <c r="N46" s="203">
        <v>1.9949999999999999</v>
      </c>
      <c r="O46" s="203">
        <v>1.9749999999999999</v>
      </c>
      <c r="P46" s="203">
        <v>1.9849999999999999</v>
      </c>
      <c r="Q46" s="203">
        <v>1.9749999999999999</v>
      </c>
      <c r="S46" s="196"/>
      <c r="T46" s="203"/>
      <c r="U46" s="203"/>
      <c r="V46" s="203"/>
    </row>
    <row r="47" spans="1:41">
      <c r="A47" s="196" t="s">
        <v>259</v>
      </c>
      <c r="B47" s="204">
        <v>60.29999999999891</v>
      </c>
      <c r="C47" s="204">
        <v>59.79999999999891</v>
      </c>
      <c r="D47" s="206">
        <v>60.29999999999891</v>
      </c>
      <c r="E47" s="206">
        <v>62.799999999999478</v>
      </c>
      <c r="G47" s="196" t="s">
        <v>319</v>
      </c>
      <c r="H47" s="202">
        <v>0.83590000000000009</v>
      </c>
      <c r="I47" s="202">
        <v>0.83320000000000005</v>
      </c>
      <c r="J47" s="202">
        <v>0.83455000000000013</v>
      </c>
      <c r="K47" s="203"/>
      <c r="M47" s="196" t="s">
        <v>320</v>
      </c>
      <c r="N47" s="203">
        <v>2.04</v>
      </c>
      <c r="O47" s="203">
        <v>2.02</v>
      </c>
      <c r="P47" s="203">
        <v>2.0300000000000002</v>
      </c>
      <c r="Q47" s="203">
        <v>2.02</v>
      </c>
      <c r="S47" s="196"/>
      <c r="T47" s="203"/>
      <c r="U47" s="203"/>
      <c r="V47" s="203"/>
    </row>
    <row r="48" spans="1:41">
      <c r="A48" s="196" t="s">
        <v>266</v>
      </c>
      <c r="B48" s="204">
        <v>38.999999999999346</v>
      </c>
      <c r="C48" s="204">
        <v>38.499999999999346</v>
      </c>
      <c r="D48" s="206">
        <v>38.999999999999346</v>
      </c>
      <c r="E48" s="206">
        <v>43.749999999999289</v>
      </c>
      <c r="G48" s="196" t="s">
        <v>321</v>
      </c>
      <c r="H48" s="202">
        <v>1.5243</v>
      </c>
      <c r="I48" s="202">
        <v>1.5226</v>
      </c>
      <c r="J48" s="202">
        <v>1.52345</v>
      </c>
      <c r="S48" s="196"/>
      <c r="T48" s="203"/>
      <c r="U48" s="203"/>
      <c r="V48" s="203"/>
    </row>
    <row r="49" spans="1:36">
      <c r="A49" s="196" t="s">
        <v>273</v>
      </c>
      <c r="B49" s="204">
        <v>45.499999999999389</v>
      </c>
      <c r="C49" s="204">
        <v>44.999999999999389</v>
      </c>
      <c r="D49" s="206">
        <v>45.499999999999389</v>
      </c>
      <c r="E49" s="206">
        <v>50.249999999999332</v>
      </c>
      <c r="G49" s="196" t="s">
        <v>322</v>
      </c>
      <c r="H49" s="202">
        <v>2.1778</v>
      </c>
      <c r="I49" s="202">
        <v>2.1765999999999996</v>
      </c>
      <c r="J49" s="202">
        <v>2.1772</v>
      </c>
      <c r="M49" s="196" t="s">
        <v>323</v>
      </c>
      <c r="N49" s="203">
        <v>22.125</v>
      </c>
      <c r="O49" s="203">
        <v>16.125</v>
      </c>
      <c r="P49" s="203">
        <v>19.125</v>
      </c>
      <c r="Q49" s="203"/>
      <c r="S49" s="196"/>
      <c r="T49" s="203"/>
      <c r="U49" s="203"/>
      <c r="V49" s="203"/>
    </row>
    <row r="50" spans="1:36">
      <c r="A50" s="196" t="s">
        <v>280</v>
      </c>
      <c r="B50" s="204">
        <v>51.299999999999372</v>
      </c>
      <c r="C50" s="204">
        <v>50.799999999999372</v>
      </c>
      <c r="D50" s="206">
        <v>51.299999999999372</v>
      </c>
      <c r="E50" s="206">
        <v>56.049999999999315</v>
      </c>
      <c r="G50" s="196" t="s">
        <v>324</v>
      </c>
      <c r="H50" s="202">
        <v>2.9611999999999998</v>
      </c>
      <c r="I50" s="202">
        <v>2.9592999999999998</v>
      </c>
      <c r="J50" s="202">
        <v>2.9602499999999998</v>
      </c>
      <c r="M50" s="196" t="s">
        <v>325</v>
      </c>
      <c r="N50" s="203">
        <v>21.5</v>
      </c>
      <c r="O50" s="203">
        <v>15.5</v>
      </c>
      <c r="P50" s="203">
        <v>18.5</v>
      </c>
      <c r="S50" s="196"/>
      <c r="T50" s="203"/>
      <c r="U50" s="203"/>
      <c r="V50" s="203"/>
    </row>
    <row r="51" spans="1:36" ht="13.5" thickBot="1">
      <c r="A51" s="196" t="s">
        <v>287</v>
      </c>
      <c r="B51" s="204">
        <v>43.799999999999351</v>
      </c>
      <c r="C51" s="204">
        <v>43.299999999999351</v>
      </c>
      <c r="D51" s="206">
        <v>43.799999999999351</v>
      </c>
      <c r="E51" s="206">
        <v>48.549999999999294</v>
      </c>
      <c r="G51" s="196" t="s">
        <v>326</v>
      </c>
      <c r="H51" s="202">
        <v>4.4153000000000002</v>
      </c>
      <c r="I51" s="202">
        <v>4.4134000000000002</v>
      </c>
      <c r="J51" s="202">
        <v>4.4143500000000007</v>
      </c>
      <c r="M51" s="196" t="s">
        <v>327</v>
      </c>
      <c r="N51" s="203">
        <v>20.875</v>
      </c>
      <c r="O51" s="203">
        <v>14.875000000000002</v>
      </c>
      <c r="P51" s="203">
        <v>17.875</v>
      </c>
      <c r="S51" s="196"/>
      <c r="T51" s="203"/>
      <c r="U51" s="203"/>
      <c r="V51" s="203"/>
    </row>
    <row r="52" spans="1:36" ht="13.5" thickBot="1">
      <c r="A52" s="196" t="s">
        <v>293</v>
      </c>
      <c r="B52" s="204">
        <v>32.299999999999329</v>
      </c>
      <c r="C52" s="204">
        <v>31.799999999999329</v>
      </c>
      <c r="D52" s="206">
        <v>32.299999999999329</v>
      </c>
      <c r="E52" s="206">
        <v>37.049999999999272</v>
      </c>
      <c r="M52" s="196" t="s">
        <v>328</v>
      </c>
      <c r="N52" s="203">
        <v>20.125</v>
      </c>
      <c r="O52" s="203">
        <v>14.125</v>
      </c>
      <c r="P52" s="203">
        <v>17.125</v>
      </c>
      <c r="Q52" s="204"/>
      <c r="S52" s="196"/>
      <c r="T52" s="244" t="s">
        <v>329</v>
      </c>
      <c r="U52" s="245"/>
      <c r="V52" s="203"/>
      <c r="Y52" s="196"/>
      <c r="Z52" s="244" t="s">
        <v>329</v>
      </c>
      <c r="AA52" s="245"/>
      <c r="AB52" s="203"/>
      <c r="AG52" s="241" t="s">
        <v>330</v>
      </c>
      <c r="AH52" s="242"/>
    </row>
    <row r="53" spans="1:36" ht="13.5" thickBot="1">
      <c r="A53" s="196" t="s">
        <v>299</v>
      </c>
      <c r="B53" s="204">
        <v>18.299999999999361</v>
      </c>
      <c r="C53" s="204">
        <v>17.799999999999361</v>
      </c>
      <c r="D53" s="206">
        <v>18.299999999999361</v>
      </c>
      <c r="E53" s="206">
        <v>23.049999999999304</v>
      </c>
      <c r="H53" s="207" t="s">
        <v>331</v>
      </c>
      <c r="M53" s="196" t="s">
        <v>332</v>
      </c>
      <c r="N53" s="203">
        <v>19.875</v>
      </c>
      <c r="O53" s="203">
        <v>13.875000000000002</v>
      </c>
      <c r="P53" s="203">
        <v>16.875</v>
      </c>
      <c r="Q53" s="203"/>
      <c r="T53" s="208" t="s">
        <v>333</v>
      </c>
      <c r="U53" s="209" t="s">
        <v>334</v>
      </c>
      <c r="Z53" s="241" t="s">
        <v>333</v>
      </c>
      <c r="AA53" s="242"/>
      <c r="AG53" s="196" t="s">
        <v>335</v>
      </c>
      <c r="AH53" s="196" t="s">
        <v>101</v>
      </c>
      <c r="AI53" s="196" t="s">
        <v>112</v>
      </c>
      <c r="AJ53" s="196" t="s">
        <v>336</v>
      </c>
    </row>
    <row r="54" spans="1:36">
      <c r="G54" s="210"/>
      <c r="H54" s="196" t="s">
        <v>114</v>
      </c>
      <c r="I54" s="196" t="s">
        <v>113</v>
      </c>
      <c r="J54" s="196" t="s">
        <v>112</v>
      </c>
      <c r="M54" s="196" t="s">
        <v>337</v>
      </c>
      <c r="N54" s="203">
        <v>19.75</v>
      </c>
      <c r="O54" s="203">
        <v>13.75</v>
      </c>
      <c r="P54" s="203">
        <v>16.75</v>
      </c>
      <c r="S54" s="196" t="s">
        <v>338</v>
      </c>
      <c r="T54" s="196" t="s">
        <v>112</v>
      </c>
      <c r="U54" s="196" t="s">
        <v>112</v>
      </c>
      <c r="V54" s="196" t="s">
        <v>339</v>
      </c>
      <c r="Y54" s="196" t="s">
        <v>340</v>
      </c>
      <c r="Z54" s="196" t="s">
        <v>113</v>
      </c>
      <c r="AA54" s="196" t="s">
        <v>114</v>
      </c>
      <c r="AB54" s="196" t="s">
        <v>112</v>
      </c>
      <c r="AC54" s="196" t="s">
        <v>339</v>
      </c>
      <c r="AE54" s="201">
        <v>1</v>
      </c>
      <c r="AF54" s="201" t="s">
        <v>341</v>
      </c>
      <c r="AG54" s="203">
        <v>3.5750000000000002</v>
      </c>
      <c r="AH54" s="203">
        <v>3.4950000000000001</v>
      </c>
      <c r="AI54" s="203">
        <v>3.5350000000000001</v>
      </c>
      <c r="AJ54" s="202">
        <v>3.5199999999999996</v>
      </c>
    </row>
    <row r="55" spans="1:36" ht="13.5" thickBot="1">
      <c r="G55" s="210" t="s">
        <v>342</v>
      </c>
      <c r="H55" s="204">
        <v>8.25</v>
      </c>
      <c r="I55" s="204">
        <v>12.25</v>
      </c>
      <c r="J55" s="204">
        <v>10.25</v>
      </c>
      <c r="M55" s="196" t="s">
        <v>343</v>
      </c>
      <c r="N55" s="203">
        <v>19.75</v>
      </c>
      <c r="O55" s="203">
        <v>13.75</v>
      </c>
      <c r="P55" s="203">
        <v>16.75</v>
      </c>
      <c r="S55" s="201" t="s">
        <v>344</v>
      </c>
      <c r="T55" s="204">
        <v>15.4</v>
      </c>
      <c r="U55" s="204">
        <v>18.100000000000001</v>
      </c>
      <c r="V55" s="201">
        <v>9</v>
      </c>
      <c r="Y55" s="201" t="s">
        <v>344</v>
      </c>
      <c r="Z55" s="204">
        <v>26.75</v>
      </c>
      <c r="AA55" s="204">
        <v>21.75</v>
      </c>
      <c r="AB55" s="204">
        <v>24.25</v>
      </c>
      <c r="AC55" s="201">
        <v>6</v>
      </c>
      <c r="AE55" s="201">
        <v>2</v>
      </c>
      <c r="AF55" s="201" t="s">
        <v>345</v>
      </c>
      <c r="AG55" s="203">
        <v>4.0049999999999999</v>
      </c>
      <c r="AH55" s="203">
        <v>3.9249999999999998</v>
      </c>
      <c r="AI55" s="203">
        <v>3.9649999999999999</v>
      </c>
      <c r="AJ55" s="202">
        <v>3.9449999999999994</v>
      </c>
    </row>
    <row r="56" spans="1:36" ht="13.5" thickBot="1">
      <c r="B56" s="241" t="s">
        <v>346</v>
      </c>
      <c r="C56" s="243"/>
      <c r="D56" s="242"/>
      <c r="G56" s="201" t="s">
        <v>344</v>
      </c>
      <c r="H56" s="204">
        <v>7.875</v>
      </c>
      <c r="I56" s="204">
        <v>11.875000000000002</v>
      </c>
      <c r="J56" s="204">
        <v>9.875</v>
      </c>
      <c r="M56" s="196" t="s">
        <v>347</v>
      </c>
      <c r="N56" s="203">
        <v>19.875</v>
      </c>
      <c r="O56" s="203">
        <v>13.875000000000002</v>
      </c>
      <c r="P56" s="203">
        <v>16.875</v>
      </c>
      <c r="R56" s="211"/>
      <c r="S56" s="201" t="s">
        <v>348</v>
      </c>
      <c r="T56" s="204">
        <v>15.3</v>
      </c>
      <c r="U56" s="204">
        <v>17.8</v>
      </c>
      <c r="V56" s="201">
        <v>10</v>
      </c>
      <c r="W56" s="204"/>
      <c r="Y56" s="201" t="s">
        <v>348</v>
      </c>
      <c r="Z56" s="204">
        <v>26.25</v>
      </c>
      <c r="AA56" s="204">
        <v>22.25</v>
      </c>
      <c r="AB56" s="204">
        <v>24.25</v>
      </c>
      <c r="AC56" s="201">
        <v>7</v>
      </c>
      <c r="AE56" s="201">
        <v>3</v>
      </c>
      <c r="AF56" s="201" t="s">
        <v>349</v>
      </c>
      <c r="AG56" s="203">
        <v>4.2975000000000003</v>
      </c>
      <c r="AH56" s="203">
        <v>4.2175000000000002</v>
      </c>
      <c r="AI56" s="203">
        <v>4.2575000000000003</v>
      </c>
      <c r="AJ56" s="202">
        <v>4.2374999999999989</v>
      </c>
    </row>
    <row r="57" spans="1:36">
      <c r="B57" s="196" t="s">
        <v>101</v>
      </c>
      <c r="C57" s="196" t="s">
        <v>335</v>
      </c>
      <c r="D57" s="196" t="s">
        <v>103</v>
      </c>
      <c r="G57" s="201" t="s">
        <v>348</v>
      </c>
      <c r="H57" s="204">
        <v>7.6249999999999991</v>
      </c>
      <c r="I57" s="204">
        <v>11.625</v>
      </c>
      <c r="J57" s="204">
        <v>9.625</v>
      </c>
      <c r="M57" s="196" t="s">
        <v>350</v>
      </c>
      <c r="N57" s="203">
        <v>20</v>
      </c>
      <c r="O57" s="203">
        <v>14</v>
      </c>
      <c r="P57" s="203">
        <v>17</v>
      </c>
      <c r="S57" s="201" t="s">
        <v>351</v>
      </c>
      <c r="T57" s="204">
        <v>14.8</v>
      </c>
      <c r="U57" s="204">
        <v>17</v>
      </c>
      <c r="V57" s="201">
        <v>11</v>
      </c>
      <c r="Y57" s="201" t="s">
        <v>351</v>
      </c>
      <c r="Z57" s="204">
        <v>25.5</v>
      </c>
      <c r="AA57" s="204">
        <v>21.5</v>
      </c>
      <c r="AB57" s="204">
        <v>23.5</v>
      </c>
      <c r="AC57" s="201">
        <v>8</v>
      </c>
      <c r="AE57" s="201">
        <v>4</v>
      </c>
      <c r="AF57" s="201" t="s">
        <v>352</v>
      </c>
      <c r="AG57" s="203">
        <v>4.5199999999999996</v>
      </c>
      <c r="AH57" s="203">
        <v>4.4400000000000004</v>
      </c>
      <c r="AI57" s="203">
        <v>4.4800000000000004</v>
      </c>
      <c r="AJ57" s="202">
        <v>4.4550000000000001</v>
      </c>
    </row>
    <row r="58" spans="1:36">
      <c r="A58" s="210">
        <v>0</v>
      </c>
      <c r="B58" s="212">
        <v>4.82</v>
      </c>
      <c r="C58" s="212">
        <v>4.8</v>
      </c>
      <c r="D58" s="212">
        <v>4.8100000000000005</v>
      </c>
      <c r="G58" s="201" t="s">
        <v>351</v>
      </c>
      <c r="H58" s="204">
        <v>7.1249999999999991</v>
      </c>
      <c r="I58" s="204">
        <v>11.125</v>
      </c>
      <c r="J58" s="204">
        <v>9.125</v>
      </c>
      <c r="K58" s="204"/>
      <c r="M58" s="196" t="s">
        <v>353</v>
      </c>
      <c r="N58" s="203">
        <v>20.125</v>
      </c>
      <c r="O58" s="203">
        <v>14.125</v>
      </c>
      <c r="P58" s="203">
        <v>17.125</v>
      </c>
      <c r="S58" s="201" t="s">
        <v>354</v>
      </c>
      <c r="T58" s="204">
        <v>14.2</v>
      </c>
      <c r="U58" s="204">
        <v>16.5</v>
      </c>
      <c r="V58" s="201">
        <v>12</v>
      </c>
      <c r="Y58" s="201" t="s">
        <v>354</v>
      </c>
      <c r="Z58" s="204">
        <v>24.75</v>
      </c>
      <c r="AA58" s="204">
        <v>20.75</v>
      </c>
      <c r="AB58" s="204">
        <v>22.75</v>
      </c>
      <c r="AC58" s="201">
        <v>9</v>
      </c>
      <c r="AE58" s="201">
        <v>5</v>
      </c>
      <c r="AF58" s="201" t="s">
        <v>355</v>
      </c>
      <c r="AG58" s="203">
        <v>4.7050000000000001</v>
      </c>
      <c r="AH58" s="203">
        <v>4.625</v>
      </c>
      <c r="AI58" s="203">
        <v>4.665</v>
      </c>
      <c r="AJ58" s="202">
        <v>4.6349999999999998</v>
      </c>
    </row>
    <row r="59" spans="1:36">
      <c r="A59" s="201">
        <v>1</v>
      </c>
      <c r="B59" s="212">
        <v>4.95</v>
      </c>
      <c r="C59" s="212">
        <v>4.93</v>
      </c>
      <c r="D59" s="212">
        <v>4.9399999999999995</v>
      </c>
      <c r="G59" s="201" t="s">
        <v>354</v>
      </c>
      <c r="H59" s="204">
        <v>6.875</v>
      </c>
      <c r="I59" s="204">
        <v>10.875000000000002</v>
      </c>
      <c r="J59" s="204">
        <v>8.875</v>
      </c>
      <c r="M59" s="196" t="s">
        <v>356</v>
      </c>
      <c r="N59" s="203">
        <v>20.25</v>
      </c>
      <c r="O59" s="203">
        <v>14.25</v>
      </c>
      <c r="P59" s="203">
        <v>17.25</v>
      </c>
      <c r="S59" s="201" t="s">
        <v>357</v>
      </c>
      <c r="T59" s="204">
        <v>13.5</v>
      </c>
      <c r="U59" s="204">
        <v>16</v>
      </c>
      <c r="V59" s="201">
        <v>13</v>
      </c>
      <c r="Y59" s="201" t="s">
        <v>357</v>
      </c>
      <c r="Z59" s="204">
        <v>24</v>
      </c>
      <c r="AA59" s="204">
        <v>20</v>
      </c>
      <c r="AB59" s="204">
        <v>22</v>
      </c>
      <c r="AC59" s="201">
        <v>10</v>
      </c>
      <c r="AE59" s="201">
        <v>6</v>
      </c>
      <c r="AF59" s="201" t="s">
        <v>358</v>
      </c>
      <c r="AG59" s="203">
        <v>5.03</v>
      </c>
      <c r="AH59" s="203">
        <v>4.95</v>
      </c>
      <c r="AI59" s="203">
        <v>4.99</v>
      </c>
      <c r="AJ59" s="202">
        <v>4.9474999999999998</v>
      </c>
    </row>
    <row r="60" spans="1:36">
      <c r="A60" s="201">
        <v>2</v>
      </c>
      <c r="B60" s="212">
        <v>5.03</v>
      </c>
      <c r="C60" s="212">
        <v>5.01</v>
      </c>
      <c r="D60" s="212">
        <v>5.0199999999999996</v>
      </c>
      <c r="G60" s="201" t="s">
        <v>357</v>
      </c>
      <c r="H60" s="204">
        <v>6.5</v>
      </c>
      <c r="I60" s="204">
        <v>10.5</v>
      </c>
      <c r="J60" s="204">
        <v>8.5</v>
      </c>
      <c r="M60" s="196" t="s">
        <v>359</v>
      </c>
      <c r="N60" s="203">
        <v>20.75</v>
      </c>
      <c r="O60" s="203">
        <v>14.75</v>
      </c>
      <c r="P60" s="203">
        <v>17.75</v>
      </c>
      <c r="S60" s="201" t="s">
        <v>360</v>
      </c>
      <c r="T60" s="204">
        <v>12.8</v>
      </c>
      <c r="U60" s="204">
        <v>15.7</v>
      </c>
      <c r="V60" s="201">
        <v>14</v>
      </c>
      <c r="Y60" s="210" t="s">
        <v>360</v>
      </c>
      <c r="Z60" s="204">
        <v>22.5</v>
      </c>
      <c r="AA60" s="204">
        <v>19.5</v>
      </c>
      <c r="AB60" s="204">
        <v>21</v>
      </c>
      <c r="AC60" s="201">
        <v>11</v>
      </c>
      <c r="AE60" s="201">
        <v>7</v>
      </c>
      <c r="AF60" s="201" t="s">
        <v>361</v>
      </c>
      <c r="AG60" s="203">
        <v>5.3449999999999998</v>
      </c>
      <c r="AH60" s="203">
        <v>5.2649999999999997</v>
      </c>
      <c r="AI60" s="203">
        <v>5.3049999999999997</v>
      </c>
      <c r="AJ60" s="202">
        <v>5.2624999999999993</v>
      </c>
    </row>
    <row r="61" spans="1:36">
      <c r="G61" s="201" t="s">
        <v>362</v>
      </c>
      <c r="H61" s="204">
        <v>6.25</v>
      </c>
      <c r="I61" s="204">
        <v>10.25</v>
      </c>
      <c r="J61" s="204">
        <v>8.25</v>
      </c>
      <c r="M61" s="196" t="s">
        <v>363</v>
      </c>
      <c r="N61" s="203">
        <v>21.25</v>
      </c>
      <c r="O61" s="203">
        <v>15.25</v>
      </c>
      <c r="P61" s="203">
        <v>18.25</v>
      </c>
      <c r="S61" s="201" t="s">
        <v>362</v>
      </c>
      <c r="T61" s="204">
        <v>12.1</v>
      </c>
      <c r="U61" s="204">
        <v>15.5</v>
      </c>
      <c r="V61" s="201">
        <v>15</v>
      </c>
      <c r="Y61" s="201" t="s">
        <v>362</v>
      </c>
      <c r="Z61" s="204">
        <v>21.5</v>
      </c>
      <c r="AA61" s="204">
        <v>18.5</v>
      </c>
      <c r="AB61" s="204">
        <v>20</v>
      </c>
      <c r="AC61" s="201">
        <v>12</v>
      </c>
      <c r="AE61" s="201">
        <v>9</v>
      </c>
      <c r="AF61" s="201" t="s">
        <v>364</v>
      </c>
      <c r="AG61" s="203">
        <v>5.5650000000000004</v>
      </c>
      <c r="AH61" s="203">
        <v>5.4850000000000003</v>
      </c>
      <c r="AI61" s="203">
        <v>5.5250000000000004</v>
      </c>
      <c r="AJ61" s="202">
        <v>5.4824999999999999</v>
      </c>
    </row>
    <row r="62" spans="1:36">
      <c r="A62" s="196" t="s">
        <v>30</v>
      </c>
      <c r="B62" s="196" t="s">
        <v>124</v>
      </c>
      <c r="C62" s="196" t="s">
        <v>125</v>
      </c>
      <c r="D62" s="196" t="s">
        <v>112</v>
      </c>
      <c r="G62" s="201" t="s">
        <v>365</v>
      </c>
      <c r="H62" s="204">
        <v>6.1249999999999991</v>
      </c>
      <c r="I62" s="204">
        <v>10.125</v>
      </c>
      <c r="J62" s="204">
        <v>8.125</v>
      </c>
      <c r="M62" s="196" t="s">
        <v>366</v>
      </c>
      <c r="N62" s="203">
        <v>21.875</v>
      </c>
      <c r="O62" s="203">
        <v>15.875000000000002</v>
      </c>
      <c r="P62" s="203">
        <v>18.875</v>
      </c>
      <c r="S62" s="201" t="s">
        <v>367</v>
      </c>
      <c r="T62" s="204">
        <v>11.4</v>
      </c>
      <c r="U62" s="204">
        <v>15.3</v>
      </c>
      <c r="V62" s="201">
        <v>16</v>
      </c>
      <c r="Y62" s="210" t="s">
        <v>367</v>
      </c>
      <c r="Z62" s="204">
        <v>20.5</v>
      </c>
      <c r="AA62" s="204">
        <v>17.5</v>
      </c>
      <c r="AB62" s="204">
        <v>19</v>
      </c>
      <c r="AC62" s="201">
        <v>13</v>
      </c>
      <c r="AG62" s="203"/>
      <c r="AH62" s="203"/>
      <c r="AI62" s="203"/>
    </row>
    <row r="63" spans="1:36" ht="13.5" thickBot="1">
      <c r="A63" s="196" t="s">
        <v>368</v>
      </c>
      <c r="B63" s="202">
        <v>4.8199999999999994</v>
      </c>
      <c r="C63" s="202">
        <v>4.8</v>
      </c>
      <c r="D63" s="202">
        <v>4.8099999999999996</v>
      </c>
      <c r="G63" s="210" t="s">
        <v>369</v>
      </c>
      <c r="H63" s="204">
        <v>6</v>
      </c>
      <c r="I63" s="204">
        <v>10</v>
      </c>
      <c r="J63" s="204">
        <v>8</v>
      </c>
      <c r="M63" s="196" t="s">
        <v>370</v>
      </c>
      <c r="N63" s="203">
        <v>22.125</v>
      </c>
      <c r="O63" s="203">
        <v>16.125</v>
      </c>
      <c r="P63" s="203">
        <v>19.125</v>
      </c>
      <c r="S63" s="201" t="s">
        <v>371</v>
      </c>
      <c r="T63" s="204">
        <v>10.7</v>
      </c>
      <c r="U63" s="204">
        <v>15.1</v>
      </c>
      <c r="V63" s="201">
        <v>17</v>
      </c>
      <c r="Y63" s="210" t="s">
        <v>371</v>
      </c>
      <c r="Z63" s="204">
        <v>19.5</v>
      </c>
      <c r="AA63" s="204">
        <v>16.5</v>
      </c>
      <c r="AB63" s="204">
        <v>18</v>
      </c>
      <c r="AC63" s="201">
        <v>14</v>
      </c>
    </row>
    <row r="64" spans="1:36" ht="13.5" thickBot="1">
      <c r="A64" s="196" t="s">
        <v>372</v>
      </c>
      <c r="B64" s="202">
        <v>4.9800000000000004</v>
      </c>
      <c r="C64" s="202">
        <v>4.96</v>
      </c>
      <c r="D64" s="202">
        <v>4.9700000000000006</v>
      </c>
      <c r="G64" s="210" t="s">
        <v>373</v>
      </c>
      <c r="H64" s="204">
        <v>6</v>
      </c>
      <c r="I64" s="204">
        <v>10</v>
      </c>
      <c r="J64" s="204">
        <v>8</v>
      </c>
      <c r="M64" s="196" t="s">
        <v>374</v>
      </c>
      <c r="N64" s="203">
        <v>22.375</v>
      </c>
      <c r="O64" s="203">
        <v>16.375</v>
      </c>
      <c r="P64" s="203">
        <v>19.375</v>
      </c>
      <c r="S64" s="201" t="s">
        <v>365</v>
      </c>
      <c r="T64" s="204">
        <v>10.1</v>
      </c>
      <c r="U64" s="204">
        <v>14.9</v>
      </c>
      <c r="V64" s="201">
        <v>18</v>
      </c>
      <c r="Y64" s="201" t="s">
        <v>365</v>
      </c>
      <c r="Z64" s="204">
        <v>18.75</v>
      </c>
      <c r="AA64" s="204">
        <v>15.75</v>
      </c>
      <c r="AB64" s="204">
        <v>17.25</v>
      </c>
      <c r="AC64" s="201">
        <v>15</v>
      </c>
      <c r="AG64" s="241" t="s">
        <v>330</v>
      </c>
      <c r="AH64" s="242"/>
    </row>
    <row r="65" spans="1:35">
      <c r="A65" s="196" t="s">
        <v>375</v>
      </c>
      <c r="B65" s="202">
        <v>5.04</v>
      </c>
      <c r="C65" s="202">
        <v>5.0199999999999996</v>
      </c>
      <c r="D65" s="202">
        <v>5.0299999999999994</v>
      </c>
      <c r="G65" s="210" t="s">
        <v>376</v>
      </c>
      <c r="H65" s="204">
        <v>5.875</v>
      </c>
      <c r="I65" s="204">
        <v>9.8750000000000018</v>
      </c>
      <c r="J65" s="204">
        <v>7.8750000000000009</v>
      </c>
      <c r="M65" s="196"/>
      <c r="S65" s="201" t="s">
        <v>369</v>
      </c>
      <c r="T65" s="204">
        <v>9</v>
      </c>
      <c r="U65" s="204">
        <v>14.1</v>
      </c>
      <c r="V65" s="201">
        <v>20</v>
      </c>
      <c r="Y65" s="201" t="s">
        <v>369</v>
      </c>
      <c r="Z65" s="204">
        <v>17</v>
      </c>
      <c r="AA65" s="204">
        <v>14</v>
      </c>
      <c r="AB65" s="204">
        <v>15.5</v>
      </c>
      <c r="AC65" s="201">
        <v>16</v>
      </c>
      <c r="AG65" s="196" t="s">
        <v>335</v>
      </c>
      <c r="AH65" s="196" t="s">
        <v>101</v>
      </c>
      <c r="AI65" s="196" t="s">
        <v>112</v>
      </c>
    </row>
    <row r="66" spans="1:35">
      <c r="G66" s="210" t="s">
        <v>377</v>
      </c>
      <c r="H66" s="204">
        <v>5.75</v>
      </c>
      <c r="I66" s="204">
        <v>9.75</v>
      </c>
      <c r="J66" s="204">
        <v>7.75</v>
      </c>
      <c r="M66" s="196" t="s">
        <v>378</v>
      </c>
      <c r="N66" s="203">
        <v>11.75</v>
      </c>
      <c r="O66" s="203">
        <v>3.75</v>
      </c>
      <c r="P66" s="203">
        <v>7.75</v>
      </c>
      <c r="S66" s="201" t="s">
        <v>373</v>
      </c>
      <c r="T66" s="204">
        <v>7.9</v>
      </c>
      <c r="U66" s="204">
        <v>12.8</v>
      </c>
      <c r="V66" s="201">
        <v>21</v>
      </c>
      <c r="Y66" s="201" t="s">
        <v>373</v>
      </c>
      <c r="Z66" s="204">
        <v>15</v>
      </c>
      <c r="AA66" s="204">
        <v>12</v>
      </c>
      <c r="AB66" s="204">
        <v>13.5</v>
      </c>
      <c r="AC66" s="201">
        <v>17</v>
      </c>
      <c r="AE66" s="201">
        <v>1</v>
      </c>
      <c r="AF66" s="201" t="s">
        <v>341</v>
      </c>
      <c r="AG66" s="204">
        <v>22</v>
      </c>
      <c r="AH66" s="204">
        <v>14</v>
      </c>
      <c r="AI66" s="204">
        <v>18</v>
      </c>
    </row>
    <row r="67" spans="1:35">
      <c r="G67" s="210" t="s">
        <v>379</v>
      </c>
      <c r="H67" s="204">
        <v>5.6249999999999991</v>
      </c>
      <c r="I67" s="204">
        <v>9.625</v>
      </c>
      <c r="J67" s="204">
        <v>7.625</v>
      </c>
      <c r="M67" s="196" t="s">
        <v>380</v>
      </c>
      <c r="N67" s="203">
        <v>10.125</v>
      </c>
      <c r="O67" s="203">
        <v>2.125</v>
      </c>
      <c r="P67" s="203">
        <v>6.125</v>
      </c>
      <c r="S67" s="201" t="s">
        <v>376</v>
      </c>
      <c r="T67" s="204">
        <v>6.6</v>
      </c>
      <c r="U67" s="204">
        <v>11.4</v>
      </c>
      <c r="V67" s="201">
        <v>22</v>
      </c>
      <c r="Y67" s="201" t="s">
        <v>376</v>
      </c>
      <c r="Z67" s="204">
        <v>12.75</v>
      </c>
      <c r="AA67" s="204">
        <v>9.75</v>
      </c>
      <c r="AB67" s="204">
        <v>11.25</v>
      </c>
      <c r="AC67" s="201">
        <v>18</v>
      </c>
      <c r="AE67" s="201">
        <v>2</v>
      </c>
      <c r="AF67" s="201" t="s">
        <v>345</v>
      </c>
      <c r="AG67" s="204">
        <v>30</v>
      </c>
      <c r="AH67" s="204">
        <v>22</v>
      </c>
      <c r="AI67" s="204">
        <v>26</v>
      </c>
    </row>
    <row r="68" spans="1:35">
      <c r="G68" s="210"/>
      <c r="H68" s="204"/>
      <c r="I68" s="204"/>
      <c r="J68" s="204"/>
      <c r="M68" s="196" t="s">
        <v>381</v>
      </c>
      <c r="N68" s="203">
        <v>9.625</v>
      </c>
      <c r="O68" s="203">
        <v>1.625</v>
      </c>
      <c r="P68" s="203">
        <v>5.625</v>
      </c>
      <c r="S68" s="201" t="s">
        <v>377</v>
      </c>
      <c r="T68" s="204">
        <v>5.9</v>
      </c>
      <c r="U68" s="204">
        <v>10.6</v>
      </c>
      <c r="V68" s="201">
        <v>23</v>
      </c>
      <c r="Y68" s="210" t="s">
        <v>377</v>
      </c>
      <c r="Z68" s="204">
        <v>11.5</v>
      </c>
      <c r="AA68" s="204">
        <v>8.5</v>
      </c>
      <c r="AB68" s="204">
        <v>10</v>
      </c>
      <c r="AC68" s="201">
        <v>19</v>
      </c>
      <c r="AE68" s="201">
        <v>3</v>
      </c>
      <c r="AF68" s="201" t="s">
        <v>349</v>
      </c>
      <c r="AG68" s="204">
        <v>37.25</v>
      </c>
      <c r="AH68" s="204">
        <v>29.25</v>
      </c>
      <c r="AI68" s="204">
        <v>33.25</v>
      </c>
    </row>
    <row r="69" spans="1:35">
      <c r="H69" s="207" t="s">
        <v>382</v>
      </c>
      <c r="M69" s="196" t="s">
        <v>383</v>
      </c>
      <c r="N69" s="203">
        <v>9</v>
      </c>
      <c r="O69" s="203">
        <v>1</v>
      </c>
      <c r="P69" s="203">
        <v>5</v>
      </c>
      <c r="S69" s="201" t="s">
        <v>379</v>
      </c>
      <c r="T69" s="204">
        <v>5.3</v>
      </c>
      <c r="U69" s="204">
        <v>10.1</v>
      </c>
      <c r="V69" s="201">
        <v>24</v>
      </c>
      <c r="Y69" s="201" t="s">
        <v>379</v>
      </c>
      <c r="Z69" s="204">
        <v>10.5</v>
      </c>
      <c r="AA69" s="204">
        <v>7.5</v>
      </c>
      <c r="AB69" s="204">
        <v>9</v>
      </c>
      <c r="AC69" s="201">
        <v>20</v>
      </c>
      <c r="AE69" s="201">
        <v>4</v>
      </c>
      <c r="AF69" s="201" t="s">
        <v>352</v>
      </c>
      <c r="AG69" s="204">
        <v>44</v>
      </c>
      <c r="AH69" s="204">
        <v>36</v>
      </c>
      <c r="AI69" s="204">
        <v>40</v>
      </c>
    </row>
    <row r="70" spans="1:35" ht="13.5" thickBot="1">
      <c r="F70" s="204"/>
      <c r="H70" s="196" t="s">
        <v>114</v>
      </c>
      <c r="I70" s="196" t="s">
        <v>113</v>
      </c>
      <c r="J70" s="196" t="s">
        <v>112</v>
      </c>
      <c r="M70" s="196" t="s">
        <v>384</v>
      </c>
      <c r="N70" s="203">
        <v>8.5</v>
      </c>
      <c r="O70" s="203">
        <v>0.5</v>
      </c>
      <c r="P70" s="203">
        <v>4.5</v>
      </c>
      <c r="AE70" s="201">
        <v>5</v>
      </c>
      <c r="AF70" s="201" t="s">
        <v>355</v>
      </c>
      <c r="AG70" s="204">
        <v>50.25</v>
      </c>
      <c r="AH70" s="204">
        <v>42.25</v>
      </c>
      <c r="AI70" s="204">
        <v>46.25</v>
      </c>
    </row>
    <row r="71" spans="1:35" ht="13.5" thickBot="1">
      <c r="F71" s="204"/>
      <c r="G71" s="210" t="s">
        <v>385</v>
      </c>
      <c r="H71" s="204">
        <v>-0.25</v>
      </c>
      <c r="I71" s="204">
        <v>3.75</v>
      </c>
      <c r="J71" s="204">
        <v>1.75</v>
      </c>
      <c r="M71" s="196" t="s">
        <v>386</v>
      </c>
      <c r="N71" s="203">
        <v>8.25</v>
      </c>
      <c r="O71" s="203">
        <v>0.25</v>
      </c>
      <c r="P71" s="203">
        <v>4.25</v>
      </c>
      <c r="Y71" s="196"/>
      <c r="Z71" s="244" t="s">
        <v>329</v>
      </c>
      <c r="AA71" s="245"/>
      <c r="AB71" s="203"/>
      <c r="AE71" s="201">
        <v>6</v>
      </c>
      <c r="AF71" s="201" t="s">
        <v>358</v>
      </c>
      <c r="AG71" s="204">
        <v>57.75</v>
      </c>
      <c r="AH71" s="204">
        <v>49.75</v>
      </c>
      <c r="AI71" s="204">
        <v>53.75</v>
      </c>
    </row>
    <row r="72" spans="1:35" ht="13.5" thickBot="1">
      <c r="F72" s="204"/>
      <c r="G72" s="210" t="s">
        <v>342</v>
      </c>
      <c r="H72" s="204">
        <v>2.125</v>
      </c>
      <c r="I72" s="204">
        <v>6.1249999999999991</v>
      </c>
      <c r="J72" s="204">
        <v>4.125</v>
      </c>
      <c r="M72" s="196" t="s">
        <v>387</v>
      </c>
      <c r="N72" s="203">
        <v>8.125</v>
      </c>
      <c r="O72" s="203">
        <v>0.125</v>
      </c>
      <c r="P72" s="203">
        <v>4.125</v>
      </c>
      <c r="Z72" s="241" t="s">
        <v>334</v>
      </c>
      <c r="AA72" s="242"/>
      <c r="AE72" s="201">
        <v>7</v>
      </c>
      <c r="AF72" s="201" t="s">
        <v>361</v>
      </c>
      <c r="AG72" s="204">
        <v>60.75</v>
      </c>
      <c r="AH72" s="204">
        <v>52.75</v>
      </c>
      <c r="AI72" s="204">
        <v>56.75</v>
      </c>
    </row>
    <row r="73" spans="1:35">
      <c r="F73" s="204"/>
      <c r="G73" s="201" t="s">
        <v>344</v>
      </c>
      <c r="H73" s="204">
        <v>4.5</v>
      </c>
      <c r="I73" s="204">
        <v>8.5</v>
      </c>
      <c r="J73" s="204">
        <v>6.5</v>
      </c>
      <c r="M73" s="196" t="s">
        <v>388</v>
      </c>
      <c r="N73" s="203">
        <v>8</v>
      </c>
      <c r="O73" s="203">
        <v>0</v>
      </c>
      <c r="P73" s="203">
        <v>4</v>
      </c>
      <c r="Y73" s="196" t="s">
        <v>340</v>
      </c>
      <c r="Z73" s="196" t="s">
        <v>113</v>
      </c>
      <c r="AA73" s="196" t="s">
        <v>114</v>
      </c>
      <c r="AB73" s="196" t="s">
        <v>112</v>
      </c>
      <c r="AC73" s="196" t="s">
        <v>339</v>
      </c>
      <c r="AE73" s="201">
        <v>9</v>
      </c>
      <c r="AF73" s="201" t="s">
        <v>364</v>
      </c>
      <c r="AG73" s="204">
        <v>62.25</v>
      </c>
      <c r="AH73" s="204">
        <v>54.25</v>
      </c>
      <c r="AI73" s="204">
        <v>58.25</v>
      </c>
    </row>
    <row r="74" spans="1:35">
      <c r="F74" s="204"/>
      <c r="G74" s="201" t="s">
        <v>348</v>
      </c>
      <c r="H74" s="204">
        <v>5.6249999999999991</v>
      </c>
      <c r="I74" s="204">
        <v>9.625</v>
      </c>
      <c r="J74" s="204">
        <v>7.625</v>
      </c>
      <c r="M74" s="196" t="s">
        <v>389</v>
      </c>
      <c r="N74" s="203">
        <v>8</v>
      </c>
      <c r="O74" s="203">
        <v>0</v>
      </c>
      <c r="P74" s="203">
        <v>4</v>
      </c>
      <c r="Y74" s="201" t="s">
        <v>344</v>
      </c>
      <c r="Z74" s="204">
        <v>23.75</v>
      </c>
      <c r="AA74" s="204">
        <v>18.75</v>
      </c>
      <c r="AB74" s="204">
        <v>21.25</v>
      </c>
      <c r="AC74" s="201">
        <v>6</v>
      </c>
    </row>
    <row r="75" spans="1:35">
      <c r="F75" s="204"/>
      <c r="G75" s="201" t="s">
        <v>351</v>
      </c>
      <c r="H75" s="204">
        <v>5.75</v>
      </c>
      <c r="I75" s="204">
        <v>9.75</v>
      </c>
      <c r="J75" s="204">
        <v>7.75</v>
      </c>
      <c r="M75" s="196" t="s">
        <v>390</v>
      </c>
      <c r="N75" s="203">
        <v>8</v>
      </c>
      <c r="O75" s="203">
        <v>0</v>
      </c>
      <c r="P75" s="203">
        <v>4</v>
      </c>
      <c r="Y75" s="201" t="s">
        <v>348</v>
      </c>
      <c r="Z75" s="204">
        <v>24.5</v>
      </c>
      <c r="AA75" s="204">
        <v>20.5</v>
      </c>
      <c r="AB75" s="204">
        <v>22.5</v>
      </c>
      <c r="AC75" s="201">
        <v>7</v>
      </c>
    </row>
    <row r="76" spans="1:35">
      <c r="F76" s="204"/>
      <c r="G76" s="201" t="s">
        <v>354</v>
      </c>
      <c r="H76" s="204">
        <v>5.375</v>
      </c>
      <c r="I76" s="204">
        <v>9.3750000000000018</v>
      </c>
      <c r="J76" s="204">
        <v>7.3750000000000009</v>
      </c>
      <c r="M76" s="196"/>
      <c r="N76" s="203"/>
      <c r="O76" s="203"/>
      <c r="P76" s="203"/>
      <c r="Y76" s="201" t="s">
        <v>351</v>
      </c>
      <c r="Z76" s="204">
        <v>24.5</v>
      </c>
      <c r="AA76" s="204">
        <v>20.5</v>
      </c>
      <c r="AB76" s="204">
        <v>22.5</v>
      </c>
      <c r="AC76" s="201">
        <v>8</v>
      </c>
    </row>
    <row r="77" spans="1:35">
      <c r="G77" s="201" t="s">
        <v>357</v>
      </c>
      <c r="H77" s="204">
        <v>5</v>
      </c>
      <c r="I77" s="204">
        <v>9</v>
      </c>
      <c r="J77" s="204">
        <v>7</v>
      </c>
      <c r="M77" s="196"/>
      <c r="N77" s="213" t="s">
        <v>391</v>
      </c>
      <c r="O77" s="213"/>
      <c r="P77" s="213"/>
      <c r="Y77" s="201" t="s">
        <v>354</v>
      </c>
      <c r="Z77" s="204">
        <v>23.75</v>
      </c>
      <c r="AA77" s="204">
        <v>19.75</v>
      </c>
      <c r="AB77" s="204">
        <v>21.75</v>
      </c>
      <c r="AC77" s="201">
        <v>9</v>
      </c>
    </row>
    <row r="78" spans="1:35">
      <c r="F78" s="204"/>
      <c r="G78" s="201" t="s">
        <v>362</v>
      </c>
      <c r="H78" s="204">
        <v>4.25</v>
      </c>
      <c r="I78" s="204">
        <v>8.25</v>
      </c>
      <c r="J78" s="204">
        <v>6.25</v>
      </c>
      <c r="M78" s="201">
        <v>1</v>
      </c>
      <c r="N78" s="204">
        <v>13</v>
      </c>
      <c r="O78" s="204">
        <v>15</v>
      </c>
      <c r="P78" s="204">
        <v>14</v>
      </c>
      <c r="Y78" s="201" t="s">
        <v>357</v>
      </c>
      <c r="Z78" s="204">
        <v>23</v>
      </c>
      <c r="AA78" s="204">
        <v>19</v>
      </c>
      <c r="AB78" s="204">
        <v>21</v>
      </c>
      <c r="AC78" s="201">
        <v>10</v>
      </c>
    </row>
    <row r="79" spans="1:35">
      <c r="F79" s="204"/>
      <c r="G79" s="201" t="s">
        <v>365</v>
      </c>
      <c r="H79" s="204">
        <v>3.25</v>
      </c>
      <c r="I79" s="204">
        <v>7.25</v>
      </c>
      <c r="J79" s="204">
        <v>5.25</v>
      </c>
      <c r="M79" s="201">
        <v>2</v>
      </c>
      <c r="N79" s="204">
        <v>11.75</v>
      </c>
      <c r="O79" s="204">
        <v>13.75</v>
      </c>
      <c r="P79" s="204">
        <v>12.75</v>
      </c>
      <c r="Y79" s="210" t="s">
        <v>360</v>
      </c>
      <c r="Z79" s="204">
        <v>22.25</v>
      </c>
      <c r="AA79" s="204">
        <v>18.25</v>
      </c>
      <c r="AB79" s="204">
        <v>20.25</v>
      </c>
      <c r="AC79" s="201">
        <v>11</v>
      </c>
    </row>
    <row r="80" spans="1:35">
      <c r="G80" s="210" t="s">
        <v>369</v>
      </c>
      <c r="H80" s="204">
        <v>2.625</v>
      </c>
      <c r="I80" s="204">
        <v>6.6249999999999991</v>
      </c>
      <c r="J80" s="204">
        <v>4.625</v>
      </c>
      <c r="M80" s="201">
        <v>3</v>
      </c>
      <c r="N80" s="204">
        <v>11.125</v>
      </c>
      <c r="O80" s="204">
        <v>13.125</v>
      </c>
      <c r="P80" s="204">
        <v>12.125</v>
      </c>
      <c r="Y80" s="201" t="s">
        <v>362</v>
      </c>
      <c r="Z80" s="204">
        <v>21.25</v>
      </c>
      <c r="AA80" s="204">
        <v>17.25</v>
      </c>
      <c r="AB80" s="204">
        <v>19.25</v>
      </c>
      <c r="AC80" s="201">
        <v>12</v>
      </c>
    </row>
    <row r="81" spans="1:29">
      <c r="G81" s="210" t="s">
        <v>373</v>
      </c>
      <c r="H81" s="204">
        <v>2</v>
      </c>
      <c r="I81" s="204">
        <v>6</v>
      </c>
      <c r="J81" s="204">
        <v>4</v>
      </c>
      <c r="M81" s="201">
        <v>4</v>
      </c>
      <c r="N81" s="204">
        <v>10.625</v>
      </c>
      <c r="O81" s="204">
        <v>12.625</v>
      </c>
      <c r="P81" s="204">
        <v>11.625</v>
      </c>
      <c r="Y81" s="210" t="s">
        <v>367</v>
      </c>
      <c r="Z81" s="204">
        <v>20.25</v>
      </c>
      <c r="AA81" s="204">
        <v>16.25</v>
      </c>
      <c r="AB81" s="204">
        <v>18.25</v>
      </c>
      <c r="AC81" s="201">
        <v>13</v>
      </c>
    </row>
    <row r="82" spans="1:29">
      <c r="G82" s="210" t="s">
        <v>376</v>
      </c>
      <c r="H82" s="204">
        <v>1.375</v>
      </c>
      <c r="I82" s="204">
        <v>5.375</v>
      </c>
      <c r="J82" s="204">
        <v>3.375</v>
      </c>
      <c r="M82" s="201">
        <v>5</v>
      </c>
      <c r="N82" s="204">
        <v>10</v>
      </c>
      <c r="O82" s="204">
        <v>12</v>
      </c>
      <c r="P82" s="204">
        <v>11</v>
      </c>
      <c r="Y82" s="210" t="s">
        <v>371</v>
      </c>
      <c r="Z82" s="204">
        <v>19.25</v>
      </c>
      <c r="AA82" s="204">
        <v>15.25</v>
      </c>
      <c r="AB82" s="204">
        <v>17.25</v>
      </c>
      <c r="AC82" s="201">
        <v>14</v>
      </c>
    </row>
    <row r="83" spans="1:29">
      <c r="G83" s="210" t="s">
        <v>377</v>
      </c>
      <c r="H83" s="204">
        <v>0.875</v>
      </c>
      <c r="I83" s="204">
        <v>4.875</v>
      </c>
      <c r="J83" s="204">
        <v>2.875</v>
      </c>
      <c r="M83" s="201">
        <v>6</v>
      </c>
      <c r="N83" s="204">
        <v>9.75</v>
      </c>
      <c r="O83" s="204">
        <v>11.75</v>
      </c>
      <c r="P83" s="204">
        <v>10.75</v>
      </c>
      <c r="Y83" s="201" t="s">
        <v>365</v>
      </c>
      <c r="Z83" s="204">
        <v>18.5</v>
      </c>
      <c r="AA83" s="204">
        <v>14.5</v>
      </c>
      <c r="AB83" s="204">
        <v>16.5</v>
      </c>
      <c r="AC83" s="201">
        <v>15</v>
      </c>
    </row>
    <row r="84" spans="1:29">
      <c r="G84" s="210" t="s">
        <v>379</v>
      </c>
      <c r="H84" s="204">
        <v>0.625</v>
      </c>
      <c r="I84" s="204">
        <v>4.6249999999999991</v>
      </c>
      <c r="J84" s="204">
        <v>2.6249999999999996</v>
      </c>
      <c r="M84" s="201">
        <v>7</v>
      </c>
      <c r="N84" s="204">
        <v>9.75</v>
      </c>
      <c r="O84" s="204">
        <v>11.75</v>
      </c>
      <c r="P84" s="204">
        <v>10.75</v>
      </c>
      <c r="Y84" s="201" t="s">
        <v>369</v>
      </c>
      <c r="Z84" s="204">
        <v>17.25</v>
      </c>
      <c r="AA84" s="204">
        <v>13.25</v>
      </c>
      <c r="AB84" s="204">
        <v>15.25</v>
      </c>
      <c r="AC84" s="201">
        <v>16</v>
      </c>
    </row>
    <row r="85" spans="1:29">
      <c r="G85" s="210"/>
      <c r="H85" s="204"/>
      <c r="I85" s="204"/>
      <c r="J85" s="204"/>
      <c r="M85" s="201">
        <v>8</v>
      </c>
      <c r="N85" s="204">
        <v>9.75</v>
      </c>
      <c r="O85" s="204">
        <v>11.75</v>
      </c>
      <c r="P85" s="204">
        <v>10.75</v>
      </c>
      <c r="Y85" s="201" t="s">
        <v>373</v>
      </c>
      <c r="Z85" s="204">
        <v>15.75</v>
      </c>
      <c r="AA85" s="204">
        <v>11.75</v>
      </c>
      <c r="AB85" s="204">
        <v>13.75</v>
      </c>
      <c r="AC85" s="201">
        <v>17</v>
      </c>
    </row>
    <row r="86" spans="1:29" ht="13.5" thickBot="1">
      <c r="Y86" s="201" t="s">
        <v>376</v>
      </c>
      <c r="Z86" s="204">
        <v>14</v>
      </c>
      <c r="AA86" s="204">
        <v>10</v>
      </c>
      <c r="AB86" s="204">
        <v>12</v>
      </c>
      <c r="AC86" s="201">
        <v>18</v>
      </c>
    </row>
    <row r="87" spans="1:29" ht="13.5" thickBot="1">
      <c r="C87" s="241" t="s">
        <v>392</v>
      </c>
      <c r="D87" s="242"/>
      <c r="E87" s="241" t="s">
        <v>393</v>
      </c>
      <c r="F87" s="242"/>
      <c r="G87" s="241" t="s">
        <v>394</v>
      </c>
      <c r="H87" s="242"/>
      <c r="I87" s="208" t="s">
        <v>395</v>
      </c>
      <c r="Y87" s="210" t="s">
        <v>377</v>
      </c>
      <c r="Z87" s="204">
        <v>13</v>
      </c>
      <c r="AA87" s="204">
        <v>9</v>
      </c>
      <c r="AB87" s="204">
        <v>11</v>
      </c>
      <c r="AC87" s="201">
        <v>19</v>
      </c>
    </row>
    <row r="88" spans="1:29">
      <c r="C88" s="196" t="s">
        <v>335</v>
      </c>
      <c r="D88" s="196" t="s">
        <v>101</v>
      </c>
      <c r="E88" s="196" t="s">
        <v>335</v>
      </c>
      <c r="F88" s="196" t="s">
        <v>101</v>
      </c>
      <c r="G88" s="196" t="s">
        <v>335</v>
      </c>
      <c r="H88" s="196" t="s">
        <v>101</v>
      </c>
      <c r="Y88" s="201" t="s">
        <v>379</v>
      </c>
      <c r="Z88" s="204">
        <v>12.25</v>
      </c>
      <c r="AA88" s="204">
        <v>8.25</v>
      </c>
      <c r="AB88" s="204">
        <v>10.25</v>
      </c>
      <c r="AC88" s="201">
        <v>20</v>
      </c>
    </row>
    <row r="89" spans="1:29">
      <c r="A89" s="201">
        <v>1</v>
      </c>
      <c r="B89" s="201" t="s">
        <v>345</v>
      </c>
      <c r="C89" s="201" t="s">
        <v>396</v>
      </c>
      <c r="D89" s="201" t="s">
        <v>397</v>
      </c>
      <c r="E89" s="204" t="s">
        <v>398</v>
      </c>
      <c r="F89" s="204" t="s">
        <v>399</v>
      </c>
      <c r="G89" s="201" t="s">
        <v>400</v>
      </c>
      <c r="H89" s="201" t="s">
        <v>401</v>
      </c>
      <c r="I89" s="214">
        <v>21.833333333333332</v>
      </c>
      <c r="Z89" s="204"/>
      <c r="AA89" s="204"/>
      <c r="AB89" s="204"/>
    </row>
    <row r="90" spans="1:29">
      <c r="A90" s="201">
        <v>2</v>
      </c>
      <c r="B90" s="201" t="s">
        <v>349</v>
      </c>
      <c r="C90" s="201" t="s">
        <v>402</v>
      </c>
      <c r="D90" s="201" t="s">
        <v>403</v>
      </c>
      <c r="E90" s="204" t="s">
        <v>404</v>
      </c>
      <c r="F90" s="204" t="s">
        <v>405</v>
      </c>
      <c r="G90" s="201" t="s">
        <v>406</v>
      </c>
      <c r="H90" s="201" t="s">
        <v>407</v>
      </c>
      <c r="I90" s="214">
        <v>33.71</v>
      </c>
      <c r="Z90" s="204"/>
      <c r="AA90" s="204"/>
      <c r="AB90" s="204"/>
    </row>
    <row r="91" spans="1:29">
      <c r="A91" s="201">
        <v>3</v>
      </c>
      <c r="B91" s="201" t="s">
        <v>352</v>
      </c>
      <c r="C91" s="201" t="s">
        <v>408</v>
      </c>
      <c r="D91" s="201" t="s">
        <v>409</v>
      </c>
      <c r="E91" s="204" t="s">
        <v>410</v>
      </c>
      <c r="F91" s="204" t="s">
        <v>411</v>
      </c>
      <c r="G91" s="201" t="s">
        <v>410</v>
      </c>
      <c r="H91" s="201" t="s">
        <v>412</v>
      </c>
      <c r="I91" s="214">
        <v>54.416666666666664</v>
      </c>
      <c r="Z91" s="204"/>
      <c r="AA91" s="204"/>
      <c r="AB91" s="204"/>
    </row>
    <row r="92" spans="1:29">
      <c r="A92" s="201">
        <v>4</v>
      </c>
      <c r="B92" s="201" t="s">
        <v>355</v>
      </c>
      <c r="C92" s="201" t="s">
        <v>413</v>
      </c>
      <c r="D92" s="201" t="s">
        <v>414</v>
      </c>
      <c r="E92" s="204" t="s">
        <v>415</v>
      </c>
      <c r="F92" s="204" t="s">
        <v>416</v>
      </c>
      <c r="G92" s="201" t="s">
        <v>417</v>
      </c>
      <c r="H92" s="201" t="s">
        <v>418</v>
      </c>
      <c r="I92" s="214">
        <v>62.833333333333336</v>
      </c>
      <c r="Z92" s="204"/>
      <c r="AA92" s="204"/>
      <c r="AB92" s="204"/>
    </row>
    <row r="93" spans="1:29">
      <c r="A93" s="201">
        <v>5</v>
      </c>
      <c r="B93" s="201" t="s">
        <v>419</v>
      </c>
      <c r="C93" s="201" t="s">
        <v>420</v>
      </c>
      <c r="D93" s="201" t="s">
        <v>421</v>
      </c>
      <c r="E93" s="204" t="s">
        <v>422</v>
      </c>
      <c r="F93" s="204" t="s">
        <v>423</v>
      </c>
      <c r="G93" s="201" t="s">
        <v>424</v>
      </c>
      <c r="H93" s="201" t="s">
        <v>425</v>
      </c>
      <c r="I93" s="214">
        <v>39.375</v>
      </c>
    </row>
    <row r="94" spans="1:29">
      <c r="A94" s="201">
        <v>6</v>
      </c>
      <c r="B94" s="201" t="s">
        <v>358</v>
      </c>
      <c r="C94" s="201" t="s">
        <v>426</v>
      </c>
      <c r="D94" s="201" t="s">
        <v>427</v>
      </c>
      <c r="E94" s="204" t="s">
        <v>428</v>
      </c>
      <c r="F94" s="204" t="s">
        <v>429</v>
      </c>
      <c r="G94" s="201" t="s">
        <v>430</v>
      </c>
      <c r="H94" s="201" t="s">
        <v>431</v>
      </c>
      <c r="I94" s="214">
        <v>45</v>
      </c>
    </row>
    <row r="95" spans="1:29">
      <c r="A95" s="201">
        <v>7</v>
      </c>
      <c r="B95" s="201" t="s">
        <v>432</v>
      </c>
      <c r="C95" s="201" t="s">
        <v>433</v>
      </c>
      <c r="D95" s="201" t="s">
        <v>434</v>
      </c>
      <c r="E95" s="204" t="s">
        <v>435</v>
      </c>
      <c r="F95" s="204" t="s">
        <v>436</v>
      </c>
      <c r="G95" s="201" t="s">
        <v>437</v>
      </c>
      <c r="H95" s="201" t="s">
        <v>438</v>
      </c>
      <c r="I95" s="214">
        <v>47.916666666666664</v>
      </c>
    </row>
    <row r="96" spans="1:29">
      <c r="A96" s="201">
        <v>8</v>
      </c>
      <c r="B96" s="201" t="s">
        <v>439</v>
      </c>
      <c r="C96" s="201" t="s">
        <v>440</v>
      </c>
      <c r="D96" s="201" t="s">
        <v>441</v>
      </c>
      <c r="E96" s="204" t="s">
        <v>442</v>
      </c>
      <c r="F96" s="204" t="s">
        <v>443</v>
      </c>
      <c r="G96" s="201" t="s">
        <v>444</v>
      </c>
      <c r="H96" s="201" t="s">
        <v>445</v>
      </c>
      <c r="I96" s="214">
        <v>50.25</v>
      </c>
    </row>
    <row r="97" spans="1:12">
      <c r="A97" s="201">
        <v>9</v>
      </c>
      <c r="B97" s="201" t="s">
        <v>361</v>
      </c>
      <c r="C97" s="201" t="s">
        <v>446</v>
      </c>
      <c r="D97" s="201" t="s">
        <v>447</v>
      </c>
      <c r="E97" s="204" t="s">
        <v>448</v>
      </c>
      <c r="F97" s="204" t="s">
        <v>435</v>
      </c>
      <c r="G97" s="201" t="s">
        <v>449</v>
      </c>
      <c r="H97" s="201" t="s">
        <v>450</v>
      </c>
      <c r="I97" s="214">
        <v>52.083333333333336</v>
      </c>
      <c r="J97" s="204">
        <v>52.25</v>
      </c>
    </row>
    <row r="98" spans="1:12">
      <c r="A98" s="201">
        <v>10</v>
      </c>
      <c r="B98" s="210" t="s">
        <v>451</v>
      </c>
      <c r="C98" s="201" t="s">
        <v>452</v>
      </c>
      <c r="D98" s="201" t="s">
        <v>453</v>
      </c>
      <c r="E98" s="204" t="s">
        <v>454</v>
      </c>
      <c r="F98" s="204" t="s">
        <v>455</v>
      </c>
      <c r="G98" s="201" t="s">
        <v>456</v>
      </c>
      <c r="H98" s="201" t="s">
        <v>457</v>
      </c>
      <c r="I98" s="214">
        <v>55.333333333333336</v>
      </c>
      <c r="J98" s="204">
        <v>55.5</v>
      </c>
      <c r="K98" s="204">
        <v>3.25</v>
      </c>
    </row>
    <row r="99" spans="1:12">
      <c r="A99" s="201">
        <v>11</v>
      </c>
      <c r="B99" s="201" t="s">
        <v>364</v>
      </c>
      <c r="C99" s="201" t="s">
        <v>458</v>
      </c>
      <c r="D99" s="201" t="s">
        <v>459</v>
      </c>
      <c r="E99" s="204" t="s">
        <v>460</v>
      </c>
      <c r="F99" s="204" t="s">
        <v>461</v>
      </c>
      <c r="G99" s="201" t="s">
        <v>462</v>
      </c>
      <c r="H99" s="201" t="s">
        <v>463</v>
      </c>
      <c r="I99" s="214">
        <v>57.75</v>
      </c>
      <c r="J99" s="204">
        <v>58</v>
      </c>
      <c r="K99" s="204">
        <v>2.5</v>
      </c>
      <c r="L99" s="204">
        <v>5.75</v>
      </c>
    </row>
    <row r="100" spans="1:12">
      <c r="A100" s="201">
        <v>12</v>
      </c>
      <c r="B100" s="201" t="s">
        <v>464</v>
      </c>
      <c r="C100" s="201" t="s">
        <v>465</v>
      </c>
      <c r="D100" s="201" t="s">
        <v>466</v>
      </c>
      <c r="E100" s="204" t="s">
        <v>467</v>
      </c>
      <c r="F100" s="204" t="s">
        <v>468</v>
      </c>
      <c r="G100" s="201" t="s">
        <v>469</v>
      </c>
      <c r="H100" s="201" t="s">
        <v>426</v>
      </c>
      <c r="I100" s="214">
        <v>50.166666666666664</v>
      </c>
      <c r="J100" s="204">
        <v>50.5</v>
      </c>
      <c r="K100" s="204">
        <v>-7.5</v>
      </c>
    </row>
    <row r="101" spans="1:12">
      <c r="A101" s="201">
        <v>13</v>
      </c>
      <c r="B101" s="201" t="s">
        <v>470</v>
      </c>
      <c r="C101" s="201" t="s">
        <v>420</v>
      </c>
      <c r="D101" s="201" t="s">
        <v>471</v>
      </c>
      <c r="E101" s="204" t="s">
        <v>424</v>
      </c>
      <c r="F101" s="204" t="s">
        <v>472</v>
      </c>
      <c r="G101" s="215" t="s">
        <v>473</v>
      </c>
      <c r="H101" s="215" t="s">
        <v>474</v>
      </c>
      <c r="I101" s="214">
        <v>38.666666666666664</v>
      </c>
    </row>
    <row r="102" spans="1:12">
      <c r="A102" s="201">
        <v>14</v>
      </c>
      <c r="B102" s="201" t="s">
        <v>475</v>
      </c>
      <c r="C102" s="201" t="s">
        <v>476</v>
      </c>
      <c r="D102" s="201" t="s">
        <v>477</v>
      </c>
      <c r="E102" s="204" t="s">
        <v>478</v>
      </c>
      <c r="F102" s="204" t="s">
        <v>479</v>
      </c>
      <c r="G102" s="201" t="s">
        <v>480</v>
      </c>
      <c r="H102" s="201" t="s">
        <v>481</v>
      </c>
      <c r="I102" s="214">
        <v>24.666666666666668</v>
      </c>
    </row>
    <row r="103" spans="1:12">
      <c r="I103" s="204"/>
    </row>
    <row r="104" spans="1:12" ht="13.5" thickBot="1">
      <c r="E104" s="214"/>
      <c r="F104" s="214"/>
      <c r="I104" s="204"/>
    </row>
    <row r="105" spans="1:12" ht="13.5" thickBot="1">
      <c r="A105" s="210"/>
      <c r="B105" s="210"/>
      <c r="C105" s="241" t="s">
        <v>392</v>
      </c>
      <c r="D105" s="242"/>
      <c r="E105" s="241" t="s">
        <v>393</v>
      </c>
      <c r="F105" s="242"/>
      <c r="G105" s="241" t="s">
        <v>394</v>
      </c>
      <c r="H105" s="242"/>
      <c r="I105" s="208" t="s">
        <v>395</v>
      </c>
      <c r="J105" s="204"/>
      <c r="K105" s="204"/>
    </row>
    <row r="106" spans="1:12">
      <c r="A106" s="210"/>
      <c r="B106" s="210"/>
      <c r="C106" s="196" t="s">
        <v>335</v>
      </c>
      <c r="D106" s="196" t="s">
        <v>101</v>
      </c>
      <c r="E106" s="196" t="s">
        <v>335</v>
      </c>
      <c r="F106" s="196" t="s">
        <v>101</v>
      </c>
      <c r="G106" s="196" t="s">
        <v>335</v>
      </c>
      <c r="H106" s="196" t="s">
        <v>101</v>
      </c>
    </row>
    <row r="107" spans="1:12">
      <c r="A107" s="210">
        <v>0</v>
      </c>
      <c r="B107" s="210" t="s">
        <v>482</v>
      </c>
      <c r="C107" s="210" t="s">
        <v>483</v>
      </c>
      <c r="D107" s="210" t="s">
        <v>484</v>
      </c>
      <c r="E107" s="214" t="s">
        <v>485</v>
      </c>
      <c r="F107" s="214" t="s">
        <v>486</v>
      </c>
      <c r="G107" s="214" t="s">
        <v>487</v>
      </c>
      <c r="H107" s="214" t="s">
        <v>488</v>
      </c>
      <c r="I107" s="204">
        <v>6.666666666666667</v>
      </c>
    </row>
    <row r="108" spans="1:12">
      <c r="A108" s="210">
        <v>1</v>
      </c>
      <c r="B108" s="210" t="s">
        <v>489</v>
      </c>
      <c r="C108" s="210" t="s">
        <v>490</v>
      </c>
      <c r="D108" s="210" t="s">
        <v>491</v>
      </c>
      <c r="E108" s="214" t="s">
        <v>492</v>
      </c>
      <c r="F108" s="214" t="s">
        <v>493</v>
      </c>
      <c r="G108" s="214" t="s">
        <v>494</v>
      </c>
      <c r="H108" s="214" t="s">
        <v>495</v>
      </c>
      <c r="I108" s="204">
        <v>14.166666666666666</v>
      </c>
      <c r="J108" s="204"/>
      <c r="K108" s="204"/>
      <c r="L108" s="204"/>
    </row>
    <row r="109" spans="1:12">
      <c r="A109" s="210">
        <v>2</v>
      </c>
      <c r="B109" s="210" t="s">
        <v>496</v>
      </c>
      <c r="C109" s="210" t="s">
        <v>497</v>
      </c>
      <c r="D109" s="210" t="s">
        <v>498</v>
      </c>
      <c r="E109" s="214" t="s">
        <v>499</v>
      </c>
      <c r="F109" s="214" t="s">
        <v>500</v>
      </c>
      <c r="G109" s="214" t="s">
        <v>501</v>
      </c>
      <c r="H109" s="214" t="s">
        <v>502</v>
      </c>
      <c r="I109" s="204">
        <v>20.75</v>
      </c>
    </row>
    <row r="110" spans="1:12">
      <c r="A110" s="210">
        <v>3</v>
      </c>
      <c r="B110" s="210" t="s">
        <v>503</v>
      </c>
      <c r="C110" s="210" t="s">
        <v>504</v>
      </c>
      <c r="D110" s="210" t="s">
        <v>505</v>
      </c>
      <c r="E110" s="214" t="s">
        <v>506</v>
      </c>
      <c r="F110" s="214" t="s">
        <v>501</v>
      </c>
      <c r="G110" s="214" t="s">
        <v>507</v>
      </c>
      <c r="H110" s="214" t="s">
        <v>508</v>
      </c>
      <c r="I110" s="204">
        <v>25.25</v>
      </c>
    </row>
    <row r="111" spans="1:12">
      <c r="A111" s="210">
        <v>4</v>
      </c>
      <c r="B111" s="210" t="s">
        <v>509</v>
      </c>
      <c r="C111" s="210" t="s">
        <v>510</v>
      </c>
      <c r="D111" s="210" t="s">
        <v>511</v>
      </c>
      <c r="E111" s="214" t="s">
        <v>512</v>
      </c>
      <c r="F111" s="214" t="s">
        <v>513</v>
      </c>
      <c r="G111" s="214" t="s">
        <v>514</v>
      </c>
      <c r="H111" s="214" t="s">
        <v>515</v>
      </c>
      <c r="I111" s="204">
        <v>27.75</v>
      </c>
      <c r="J111" s="204"/>
    </row>
    <row r="112" spans="1:12">
      <c r="A112" s="210">
        <v>5</v>
      </c>
      <c r="B112" s="210" t="s">
        <v>516</v>
      </c>
      <c r="C112" s="210" t="s">
        <v>517</v>
      </c>
      <c r="D112" s="210" t="s">
        <v>518</v>
      </c>
      <c r="E112" s="214" t="s">
        <v>519</v>
      </c>
      <c r="F112" s="214" t="s">
        <v>480</v>
      </c>
      <c r="G112" s="216">
        <v>30.625</v>
      </c>
      <c r="H112" s="216">
        <v>25.625</v>
      </c>
      <c r="I112" s="204">
        <v>28.625</v>
      </c>
    </row>
    <row r="113" spans="1:13">
      <c r="A113" s="210">
        <v>6</v>
      </c>
      <c r="B113" s="210" t="s">
        <v>520</v>
      </c>
      <c r="C113" s="210" t="s">
        <v>521</v>
      </c>
      <c r="D113" s="210" t="s">
        <v>522</v>
      </c>
      <c r="E113" s="214" t="s">
        <v>523</v>
      </c>
      <c r="F113" s="214" t="s">
        <v>524</v>
      </c>
      <c r="G113" s="214" t="s">
        <v>525</v>
      </c>
      <c r="H113" s="214" t="s">
        <v>526</v>
      </c>
      <c r="I113" s="204">
        <v>29.25</v>
      </c>
    </row>
    <row r="114" spans="1:13">
      <c r="A114" s="210">
        <v>7</v>
      </c>
      <c r="B114" s="210" t="s">
        <v>527</v>
      </c>
      <c r="C114" s="210" t="s">
        <v>521</v>
      </c>
      <c r="D114" s="210" t="s">
        <v>522</v>
      </c>
      <c r="E114" s="214" t="s">
        <v>523</v>
      </c>
      <c r="F114" s="214" t="s">
        <v>524</v>
      </c>
      <c r="G114" s="216">
        <v>31.25</v>
      </c>
      <c r="H114" s="216">
        <v>26.25</v>
      </c>
      <c r="I114" s="204">
        <v>29.25</v>
      </c>
    </row>
    <row r="115" spans="1:13">
      <c r="A115" s="210">
        <v>8</v>
      </c>
      <c r="B115" s="210" t="s">
        <v>528</v>
      </c>
      <c r="C115" s="210" t="s">
        <v>521</v>
      </c>
      <c r="D115" s="210" t="s">
        <v>522</v>
      </c>
      <c r="E115" s="214" t="s">
        <v>529</v>
      </c>
      <c r="F115" s="214" t="s">
        <v>530</v>
      </c>
      <c r="G115" s="216">
        <v>31.25</v>
      </c>
      <c r="H115" s="216">
        <v>26.25</v>
      </c>
      <c r="I115" s="204">
        <v>29.333333333333332</v>
      </c>
    </row>
    <row r="116" spans="1:13">
      <c r="A116" s="210">
        <v>9</v>
      </c>
      <c r="B116" s="210" t="s">
        <v>531</v>
      </c>
      <c r="C116" s="210" t="s">
        <v>521</v>
      </c>
      <c r="D116" s="210" t="s">
        <v>522</v>
      </c>
      <c r="E116" s="214" t="s">
        <v>529</v>
      </c>
      <c r="F116" s="214" t="s">
        <v>530</v>
      </c>
      <c r="G116" s="214" t="s">
        <v>529</v>
      </c>
      <c r="H116" s="214" t="s">
        <v>526</v>
      </c>
      <c r="I116" s="204">
        <v>29.333333333333332</v>
      </c>
      <c r="J116" s="204">
        <v>30</v>
      </c>
    </row>
    <row r="117" spans="1:13">
      <c r="A117" s="210">
        <v>10</v>
      </c>
      <c r="B117" s="210" t="s">
        <v>532</v>
      </c>
      <c r="C117" s="210" t="s">
        <v>407</v>
      </c>
      <c r="D117" s="210" t="s">
        <v>533</v>
      </c>
      <c r="E117" s="214" t="s">
        <v>534</v>
      </c>
      <c r="F117" s="214" t="s">
        <v>535</v>
      </c>
      <c r="G117" s="214" t="s">
        <v>536</v>
      </c>
      <c r="H117" s="214" t="s">
        <v>508</v>
      </c>
      <c r="I117" s="204">
        <v>25.916666666666668</v>
      </c>
      <c r="J117" s="217">
        <v>27</v>
      </c>
      <c r="K117" s="204">
        <v>-3</v>
      </c>
      <c r="M117" s="201">
        <v>-7.5</v>
      </c>
    </row>
    <row r="118" spans="1:13">
      <c r="A118" s="210">
        <v>11</v>
      </c>
      <c r="B118" s="210" t="s">
        <v>537</v>
      </c>
      <c r="C118" s="210" t="s">
        <v>396</v>
      </c>
      <c r="D118" s="210" t="s">
        <v>538</v>
      </c>
      <c r="E118" s="214" t="s">
        <v>539</v>
      </c>
      <c r="F118" s="214" t="s">
        <v>540</v>
      </c>
      <c r="G118" s="214" t="s">
        <v>541</v>
      </c>
      <c r="H118" s="214" t="s">
        <v>542</v>
      </c>
      <c r="I118" s="204">
        <v>19.166666666666668</v>
      </c>
      <c r="J118" s="204">
        <v>20</v>
      </c>
      <c r="K118" s="204">
        <v>-7</v>
      </c>
      <c r="L118" s="204">
        <v>-10</v>
      </c>
    </row>
    <row r="119" spans="1:13">
      <c r="A119" s="210">
        <v>12</v>
      </c>
      <c r="B119" s="210" t="s">
        <v>543</v>
      </c>
      <c r="C119" s="210" t="s">
        <v>544</v>
      </c>
      <c r="D119" s="210" t="s">
        <v>545</v>
      </c>
      <c r="E119" s="214" t="s">
        <v>546</v>
      </c>
      <c r="F119" s="214" t="s">
        <v>547</v>
      </c>
      <c r="G119" s="214" t="s">
        <v>548</v>
      </c>
      <c r="H119" s="214" t="s">
        <v>549</v>
      </c>
      <c r="I119" s="204">
        <v>7.5</v>
      </c>
      <c r="J119" s="204">
        <v>8</v>
      </c>
      <c r="K119" s="204">
        <v>-12</v>
      </c>
    </row>
    <row r="120" spans="1:13">
      <c r="A120" s="210">
        <v>13</v>
      </c>
      <c r="B120" s="210" t="s">
        <v>550</v>
      </c>
      <c r="C120" s="210" t="s">
        <v>551</v>
      </c>
      <c r="D120" s="210" t="s">
        <v>552</v>
      </c>
      <c r="E120" s="214" t="s">
        <v>553</v>
      </c>
      <c r="F120" s="214" t="s">
        <v>554</v>
      </c>
      <c r="G120" s="214" t="s">
        <v>555</v>
      </c>
      <c r="H120" s="214" t="s">
        <v>556</v>
      </c>
      <c r="I120" s="204">
        <v>-3.25</v>
      </c>
    </row>
    <row r="121" spans="1:13">
      <c r="A121" s="210">
        <v>14</v>
      </c>
      <c r="B121" s="210" t="s">
        <v>557</v>
      </c>
      <c r="C121" s="210" t="s">
        <v>558</v>
      </c>
      <c r="D121" s="210" t="s">
        <v>559</v>
      </c>
      <c r="E121" s="214" t="s">
        <v>560</v>
      </c>
      <c r="F121" s="214" t="s">
        <v>561</v>
      </c>
      <c r="G121" s="214" t="s">
        <v>562</v>
      </c>
      <c r="H121" s="214" t="s">
        <v>563</v>
      </c>
      <c r="I121" s="204">
        <v>-14.483333333333334</v>
      </c>
    </row>
    <row r="122" spans="1:13">
      <c r="I122" s="204"/>
    </row>
    <row r="123" spans="1:13">
      <c r="F123" s="218"/>
      <c r="H123" s="218"/>
      <c r="I123" s="218"/>
    </row>
    <row r="124" spans="1:13">
      <c r="C124" s="204">
        <v>30</v>
      </c>
      <c r="D124" s="204"/>
      <c r="E124" s="204">
        <v>29</v>
      </c>
      <c r="F124" s="204"/>
      <c r="G124" s="204">
        <v>28.75</v>
      </c>
      <c r="H124" s="218"/>
      <c r="I124" s="204">
        <v>29.25</v>
      </c>
    </row>
    <row r="125" spans="1:13">
      <c r="C125" s="204">
        <v>30</v>
      </c>
      <c r="D125" s="204">
        <v>0</v>
      </c>
      <c r="E125" s="204">
        <v>29</v>
      </c>
      <c r="F125" s="204">
        <v>-2.25</v>
      </c>
      <c r="G125" s="204">
        <v>28.75</v>
      </c>
      <c r="H125" s="204">
        <v>0</v>
      </c>
      <c r="I125" s="204">
        <v>29.25</v>
      </c>
      <c r="J125" s="204">
        <v>-0.75</v>
      </c>
    </row>
    <row r="126" spans="1:13">
      <c r="C126" s="204">
        <v>30</v>
      </c>
      <c r="D126" s="204">
        <v>0</v>
      </c>
      <c r="E126" s="204">
        <v>31.25</v>
      </c>
      <c r="F126" s="204">
        <v>4.25</v>
      </c>
      <c r="G126" s="204">
        <v>28.75</v>
      </c>
      <c r="H126" s="204">
        <v>0</v>
      </c>
      <c r="I126" s="204">
        <v>30</v>
      </c>
      <c r="J126" s="204">
        <v>1.4166666666666679</v>
      </c>
    </row>
    <row r="127" spans="1:13">
      <c r="C127" s="204">
        <v>30</v>
      </c>
      <c r="D127" s="204"/>
      <c r="E127" s="204">
        <v>29.25</v>
      </c>
      <c r="F127" s="204"/>
      <c r="G127" s="204">
        <v>28.75</v>
      </c>
      <c r="H127" s="204"/>
      <c r="I127" s="204">
        <v>29.333333333333332</v>
      </c>
    </row>
    <row r="128" spans="1:13">
      <c r="C128" s="204"/>
      <c r="D128" s="204"/>
    </row>
    <row r="129" spans="3:4">
      <c r="C129" s="204"/>
      <c r="D129" s="204"/>
    </row>
    <row r="130" spans="3:4">
      <c r="C130" s="204"/>
      <c r="D130" s="204"/>
    </row>
    <row r="131" spans="3:4">
      <c r="C131" s="204"/>
      <c r="D131" s="204"/>
    </row>
    <row r="132" spans="3:4">
      <c r="C132" s="204"/>
      <c r="D132" s="204"/>
    </row>
    <row r="133" spans="3:4">
      <c r="C133" s="204"/>
      <c r="D133" s="204"/>
    </row>
    <row r="134" spans="3:4">
      <c r="C134" s="204"/>
      <c r="D134" s="204"/>
    </row>
    <row r="135" spans="3:4">
      <c r="C135" s="204"/>
      <c r="D135" s="204"/>
    </row>
  </sheetData>
  <mergeCells count="14">
    <mergeCell ref="AG52:AH52"/>
    <mergeCell ref="Z53:AA53"/>
    <mergeCell ref="B56:D56"/>
    <mergeCell ref="AG64:AH64"/>
    <mergeCell ref="C105:D105"/>
    <mergeCell ref="E105:F105"/>
    <mergeCell ref="G105:H105"/>
    <mergeCell ref="T52:U52"/>
    <mergeCell ref="Z52:AA52"/>
    <mergeCell ref="Z71:AA71"/>
    <mergeCell ref="Z72:AA72"/>
    <mergeCell ref="C87:D87"/>
    <mergeCell ref="E87:F87"/>
    <mergeCell ref="G87:H87"/>
  </mergeCell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37"/>
  <sheetViews>
    <sheetView workbookViewId="0">
      <selection activeCell="D18" sqref="D18"/>
    </sheetView>
  </sheetViews>
  <sheetFormatPr defaultColWidth="9.140625" defaultRowHeight="12.75"/>
  <cols>
    <col min="1" max="1" width="9.140625" style="198"/>
    <col min="2" max="2" width="13.140625" style="198" bestFit="1" customWidth="1"/>
    <col min="3" max="5" width="9.140625" style="198"/>
    <col min="6" max="6" width="2" style="198" customWidth="1"/>
    <col min="7" max="14" width="9.140625" style="198"/>
    <col min="15" max="17" width="9.140625" style="204"/>
    <col min="18" max="16384" width="9.140625" style="198"/>
  </cols>
  <sheetData>
    <row r="1" spans="1:20">
      <c r="B1" s="196" t="s">
        <v>564</v>
      </c>
      <c r="H1" s="207" t="s">
        <v>565</v>
      </c>
      <c r="L1" s="207"/>
      <c r="M1" s="219" t="s">
        <v>566</v>
      </c>
    </row>
    <row r="2" spans="1:20">
      <c r="C2" s="196" t="s">
        <v>567</v>
      </c>
      <c r="H2" s="201"/>
      <c r="I2" s="207" t="s">
        <v>382</v>
      </c>
      <c r="J2" s="201"/>
      <c r="K2" s="201"/>
      <c r="N2" s="207" t="s">
        <v>382</v>
      </c>
    </row>
    <row r="3" spans="1:20">
      <c r="C3" s="196" t="s">
        <v>335</v>
      </c>
      <c r="D3" s="196" t="s">
        <v>101</v>
      </c>
      <c r="E3" s="196" t="s">
        <v>103</v>
      </c>
      <c r="F3" s="196"/>
      <c r="I3" s="196" t="s">
        <v>114</v>
      </c>
      <c r="J3" s="196" t="s">
        <v>113</v>
      </c>
      <c r="K3" s="196" t="s">
        <v>112</v>
      </c>
      <c r="N3" s="196" t="s">
        <v>114</v>
      </c>
      <c r="O3" s="220" t="s">
        <v>113</v>
      </c>
      <c r="P3" s="220" t="s">
        <v>112</v>
      </c>
      <c r="S3" s="196" t="s">
        <v>568</v>
      </c>
    </row>
    <row r="4" spans="1:20">
      <c r="A4" s="201">
        <v>11</v>
      </c>
      <c r="B4" s="201" t="s">
        <v>569</v>
      </c>
      <c r="C4" s="204" t="s">
        <v>570</v>
      </c>
      <c r="D4" s="204" t="s">
        <v>571</v>
      </c>
      <c r="E4" s="202">
        <v>13.25</v>
      </c>
      <c r="F4" s="202"/>
      <c r="G4" s="201">
        <v>6</v>
      </c>
      <c r="H4" s="201" t="s">
        <v>344</v>
      </c>
      <c r="I4" s="204">
        <v>14.75</v>
      </c>
      <c r="J4" s="204">
        <v>12.75</v>
      </c>
      <c r="K4" s="204">
        <v>13.75</v>
      </c>
      <c r="M4" s="201">
        <v>8</v>
      </c>
      <c r="N4" s="201" t="s">
        <v>572</v>
      </c>
      <c r="O4" s="204" t="s">
        <v>573</v>
      </c>
      <c r="P4" s="204" t="s">
        <v>574</v>
      </c>
      <c r="Q4" s="204">
        <v>13.25</v>
      </c>
      <c r="S4" s="202">
        <v>13.416666666666666</v>
      </c>
    </row>
    <row r="5" spans="1:20">
      <c r="A5" s="201">
        <v>12</v>
      </c>
      <c r="B5" s="201" t="s">
        <v>575</v>
      </c>
      <c r="C5" s="204" t="s">
        <v>576</v>
      </c>
      <c r="D5" s="204" t="s">
        <v>577</v>
      </c>
      <c r="E5" s="202">
        <v>14</v>
      </c>
      <c r="F5" s="202"/>
      <c r="G5" s="201">
        <v>7</v>
      </c>
      <c r="H5" s="201" t="s">
        <v>348</v>
      </c>
      <c r="I5" s="204">
        <v>14.5</v>
      </c>
      <c r="J5" s="204">
        <v>12.5</v>
      </c>
      <c r="K5" s="204">
        <v>13.5</v>
      </c>
      <c r="M5" s="201">
        <v>9</v>
      </c>
      <c r="N5" s="201" t="s">
        <v>578</v>
      </c>
      <c r="O5" s="204" t="s">
        <v>579</v>
      </c>
      <c r="P5" s="204" t="s">
        <v>574</v>
      </c>
      <c r="Q5" s="204">
        <v>13.375</v>
      </c>
      <c r="S5" s="202">
        <v>13.625</v>
      </c>
    </row>
    <row r="6" spans="1:20">
      <c r="A6" s="201">
        <v>13</v>
      </c>
      <c r="B6" s="201" t="s">
        <v>580</v>
      </c>
      <c r="C6" s="204" t="s">
        <v>581</v>
      </c>
      <c r="D6" s="204" t="s">
        <v>582</v>
      </c>
      <c r="E6" s="202">
        <v>13</v>
      </c>
      <c r="F6" s="202"/>
      <c r="G6" s="201">
        <v>8</v>
      </c>
      <c r="H6" s="201" t="s">
        <v>351</v>
      </c>
      <c r="I6" s="204">
        <v>14</v>
      </c>
      <c r="J6" s="204">
        <v>12</v>
      </c>
      <c r="K6" s="204">
        <v>13</v>
      </c>
      <c r="M6" s="201">
        <v>10</v>
      </c>
      <c r="N6" s="201" t="s">
        <v>583</v>
      </c>
      <c r="O6" s="204" t="s">
        <v>573</v>
      </c>
      <c r="P6" s="204" t="s">
        <v>584</v>
      </c>
      <c r="Q6" s="204">
        <v>13.125</v>
      </c>
      <c r="S6" s="202">
        <v>13.041666666666666</v>
      </c>
    </row>
    <row r="7" spans="1:20">
      <c r="A7" s="201">
        <v>14</v>
      </c>
      <c r="B7" s="201" t="s">
        <v>585</v>
      </c>
      <c r="C7" s="204" t="s">
        <v>577</v>
      </c>
      <c r="D7" s="204" t="s">
        <v>586</v>
      </c>
      <c r="E7" s="202">
        <v>12.5</v>
      </c>
      <c r="F7" s="202"/>
      <c r="G7" s="201">
        <v>9</v>
      </c>
      <c r="H7" s="201" t="s">
        <v>354</v>
      </c>
      <c r="I7" s="204">
        <v>13.5</v>
      </c>
      <c r="J7" s="204">
        <v>11.5</v>
      </c>
      <c r="K7" s="204">
        <v>12.5</v>
      </c>
      <c r="M7" s="201">
        <v>11</v>
      </c>
      <c r="N7" s="201" t="s">
        <v>587</v>
      </c>
      <c r="O7" s="204" t="s">
        <v>588</v>
      </c>
      <c r="P7" s="204" t="s">
        <v>589</v>
      </c>
      <c r="Q7" s="204">
        <v>12.375</v>
      </c>
      <c r="S7" s="202">
        <v>12.458333333333334</v>
      </c>
      <c r="T7" s="221"/>
    </row>
    <row r="8" spans="1:20">
      <c r="A8" s="201">
        <v>15</v>
      </c>
      <c r="B8" s="201" t="s">
        <v>590</v>
      </c>
      <c r="C8" s="204" t="s">
        <v>591</v>
      </c>
      <c r="D8" s="204" t="s">
        <v>592</v>
      </c>
      <c r="E8" s="202">
        <v>12</v>
      </c>
      <c r="F8" s="202"/>
      <c r="G8" s="201">
        <v>10</v>
      </c>
      <c r="H8" s="201" t="s">
        <v>357</v>
      </c>
      <c r="I8" s="204">
        <v>12.75</v>
      </c>
      <c r="J8" s="204">
        <v>10.75</v>
      </c>
      <c r="K8" s="204">
        <v>11.75</v>
      </c>
      <c r="M8" s="201">
        <v>12</v>
      </c>
      <c r="N8" s="201" t="s">
        <v>593</v>
      </c>
      <c r="O8" s="204" t="s">
        <v>594</v>
      </c>
      <c r="P8" s="204" t="s">
        <v>595</v>
      </c>
      <c r="Q8" s="204">
        <v>11.875</v>
      </c>
      <c r="S8" s="202">
        <v>11.875</v>
      </c>
    </row>
    <row r="9" spans="1:20">
      <c r="A9" s="201">
        <v>16</v>
      </c>
      <c r="B9" s="201" t="s">
        <v>596</v>
      </c>
      <c r="C9" s="204" t="s">
        <v>571</v>
      </c>
      <c r="D9" s="204" t="s">
        <v>597</v>
      </c>
      <c r="E9" s="202">
        <v>11.25</v>
      </c>
      <c r="F9" s="202"/>
      <c r="G9" s="201"/>
      <c r="I9" s="222">
        <v>12</v>
      </c>
      <c r="J9" s="222">
        <v>10</v>
      </c>
      <c r="K9" s="222">
        <v>11</v>
      </c>
      <c r="M9" s="201">
        <v>13</v>
      </c>
      <c r="N9" s="201" t="s">
        <v>598</v>
      </c>
      <c r="O9" s="204" t="s">
        <v>599</v>
      </c>
      <c r="P9" s="204" t="s">
        <v>600</v>
      </c>
      <c r="Q9" s="204">
        <v>11.25</v>
      </c>
      <c r="S9" s="202">
        <v>11.166666666666666</v>
      </c>
    </row>
    <row r="10" spans="1:20">
      <c r="A10" s="201">
        <v>17</v>
      </c>
      <c r="B10" s="201" t="s">
        <v>601</v>
      </c>
      <c r="C10" s="204" t="s">
        <v>602</v>
      </c>
      <c r="D10" s="204" t="s">
        <v>603</v>
      </c>
      <c r="E10" s="202">
        <v>10.25</v>
      </c>
      <c r="F10" s="202"/>
      <c r="G10" s="201">
        <v>11</v>
      </c>
      <c r="H10" s="201" t="s">
        <v>362</v>
      </c>
      <c r="I10" s="204">
        <v>11.25</v>
      </c>
      <c r="J10" s="204">
        <v>9.25</v>
      </c>
      <c r="K10" s="204">
        <v>10.25</v>
      </c>
      <c r="M10" s="201">
        <v>14</v>
      </c>
      <c r="N10" s="201" t="s">
        <v>604</v>
      </c>
      <c r="O10" s="204" t="s">
        <v>605</v>
      </c>
      <c r="P10" s="204" t="s">
        <v>606</v>
      </c>
      <c r="Q10" s="204">
        <v>10.375</v>
      </c>
      <c r="S10" s="202">
        <v>10.291666666666666</v>
      </c>
    </row>
    <row r="11" spans="1:20">
      <c r="A11" s="201">
        <v>18</v>
      </c>
      <c r="B11" s="201" t="s">
        <v>607</v>
      </c>
      <c r="C11" s="204" t="s">
        <v>608</v>
      </c>
      <c r="D11" s="204" t="s">
        <v>609</v>
      </c>
      <c r="E11" s="202">
        <v>9.5</v>
      </c>
      <c r="F11" s="202"/>
      <c r="G11" s="201"/>
      <c r="I11" s="222">
        <v>10.666666666666666</v>
      </c>
      <c r="J11" s="222">
        <v>8.6666666666666661</v>
      </c>
      <c r="K11" s="222">
        <v>9.6666666666666661</v>
      </c>
      <c r="M11" s="201">
        <v>15</v>
      </c>
      <c r="N11" s="201" t="s">
        <v>610</v>
      </c>
      <c r="O11" s="204" t="s">
        <v>611</v>
      </c>
      <c r="P11" s="204" t="s">
        <v>612</v>
      </c>
      <c r="Q11" s="204">
        <v>9.25</v>
      </c>
      <c r="S11" s="202">
        <v>9.4722222222222214</v>
      </c>
    </row>
    <row r="12" spans="1:20">
      <c r="A12" s="201">
        <v>19</v>
      </c>
      <c r="B12" s="201" t="s">
        <v>613</v>
      </c>
      <c r="C12" s="204" t="s">
        <v>614</v>
      </c>
      <c r="D12" s="204" t="s">
        <v>615</v>
      </c>
      <c r="E12" s="202">
        <v>9</v>
      </c>
      <c r="F12" s="202"/>
      <c r="G12" s="201"/>
      <c r="I12" s="222">
        <v>10.083333333333334</v>
      </c>
      <c r="J12" s="222">
        <v>8.0833333333333339</v>
      </c>
      <c r="K12" s="222">
        <v>9.0833333333333339</v>
      </c>
      <c r="M12" s="201">
        <v>16</v>
      </c>
      <c r="N12" s="201" t="s">
        <v>616</v>
      </c>
      <c r="O12" s="204" t="s">
        <v>617</v>
      </c>
      <c r="P12" s="204" t="s">
        <v>612</v>
      </c>
      <c r="Q12" s="204">
        <v>9</v>
      </c>
      <c r="S12" s="202">
        <v>9.0277777777777786</v>
      </c>
    </row>
    <row r="13" spans="1:20">
      <c r="A13" s="201">
        <v>20</v>
      </c>
      <c r="B13" s="201" t="s">
        <v>618</v>
      </c>
      <c r="C13" s="204" t="s">
        <v>619</v>
      </c>
      <c r="D13" s="204" t="s">
        <v>620</v>
      </c>
      <c r="E13" s="202">
        <v>8.5</v>
      </c>
      <c r="F13" s="202"/>
      <c r="G13" s="201">
        <v>12</v>
      </c>
      <c r="H13" s="201" t="s">
        <v>365</v>
      </c>
      <c r="I13" s="204">
        <v>9.5</v>
      </c>
      <c r="J13" s="204">
        <v>7.5</v>
      </c>
      <c r="K13" s="204">
        <v>8.5</v>
      </c>
      <c r="M13" s="201">
        <v>17</v>
      </c>
      <c r="N13" s="201" t="s">
        <v>621</v>
      </c>
      <c r="O13" s="204" t="s">
        <v>617</v>
      </c>
      <c r="P13" s="204" t="s">
        <v>612</v>
      </c>
      <c r="Q13" s="204">
        <v>9</v>
      </c>
      <c r="S13" s="202">
        <v>8.6666666666666661</v>
      </c>
    </row>
    <row r="14" spans="1:20">
      <c r="A14" s="201">
        <v>21</v>
      </c>
      <c r="B14" s="201" t="s">
        <v>622</v>
      </c>
      <c r="C14" s="204" t="s">
        <v>609</v>
      </c>
      <c r="D14" s="204" t="s">
        <v>623</v>
      </c>
      <c r="E14" s="202">
        <v>7.5</v>
      </c>
      <c r="F14" s="202"/>
      <c r="G14" s="201"/>
      <c r="H14" s="201"/>
      <c r="I14" s="204"/>
      <c r="J14" s="204"/>
      <c r="K14" s="204"/>
      <c r="M14" s="201"/>
      <c r="N14" s="201"/>
      <c r="O14" s="222">
        <v>9.5</v>
      </c>
      <c r="P14" s="222">
        <v>8.3000000000000007</v>
      </c>
      <c r="Q14" s="222">
        <v>8.9</v>
      </c>
      <c r="S14" s="202">
        <v>8.1999999999999993</v>
      </c>
    </row>
    <row r="15" spans="1:20">
      <c r="A15" s="201">
        <v>22</v>
      </c>
      <c r="B15" s="201" t="s">
        <v>624</v>
      </c>
      <c r="C15" s="204" t="s">
        <v>615</v>
      </c>
      <c r="D15" s="204" t="s">
        <v>625</v>
      </c>
      <c r="E15" s="202">
        <v>7</v>
      </c>
      <c r="F15" s="202"/>
      <c r="G15" s="201"/>
      <c r="M15" s="201">
        <v>18</v>
      </c>
      <c r="N15" s="201" t="s">
        <v>626</v>
      </c>
      <c r="O15" s="204" t="s">
        <v>617</v>
      </c>
      <c r="P15" s="204" t="s">
        <v>627</v>
      </c>
      <c r="Q15" s="204">
        <v>8.75</v>
      </c>
      <c r="S15" s="202">
        <v>7.875</v>
      </c>
    </row>
    <row r="16" spans="1:20">
      <c r="A16" s="201">
        <v>23</v>
      </c>
      <c r="B16" s="201" t="s">
        <v>628</v>
      </c>
      <c r="C16" s="204" t="s">
        <v>620</v>
      </c>
      <c r="D16" s="204" t="s">
        <v>629</v>
      </c>
      <c r="E16" s="202">
        <v>6.5</v>
      </c>
      <c r="F16" s="202"/>
      <c r="G16" s="201"/>
      <c r="M16" s="201">
        <v>19</v>
      </c>
      <c r="N16" s="201" t="s">
        <v>630</v>
      </c>
      <c r="O16" s="204" t="s">
        <v>631</v>
      </c>
      <c r="P16" s="204" t="s">
        <v>632</v>
      </c>
      <c r="Q16" s="204">
        <v>7.75</v>
      </c>
      <c r="S16" s="202">
        <v>7.125</v>
      </c>
    </row>
    <row r="17" spans="1:19">
      <c r="A17" s="201">
        <v>24</v>
      </c>
      <c r="B17" s="201" t="s">
        <v>633</v>
      </c>
      <c r="C17" s="204" t="s">
        <v>625</v>
      </c>
      <c r="D17" s="204" t="s">
        <v>634</v>
      </c>
      <c r="E17" s="202">
        <v>5.5</v>
      </c>
      <c r="F17" s="202"/>
      <c r="G17" s="201"/>
      <c r="M17" s="201">
        <v>20</v>
      </c>
      <c r="N17" s="201" t="s">
        <v>635</v>
      </c>
      <c r="O17" s="204" t="s">
        <v>636</v>
      </c>
      <c r="P17" s="204" t="s">
        <v>637</v>
      </c>
      <c r="Q17" s="204">
        <v>6.5</v>
      </c>
      <c r="S17" s="202">
        <v>6</v>
      </c>
    </row>
    <row r="18" spans="1:19">
      <c r="A18" s="201">
        <v>25</v>
      </c>
      <c r="B18" s="201" t="s">
        <v>638</v>
      </c>
      <c r="C18" s="204" t="s">
        <v>629</v>
      </c>
      <c r="D18" s="204" t="s">
        <v>639</v>
      </c>
      <c r="E18" s="202">
        <v>4.5</v>
      </c>
      <c r="F18" s="202"/>
      <c r="G18" s="201"/>
      <c r="M18" s="201">
        <v>21</v>
      </c>
      <c r="N18" s="201" t="s">
        <v>640</v>
      </c>
      <c r="O18" s="204" t="s">
        <v>641</v>
      </c>
      <c r="P18" s="204" t="s">
        <v>642</v>
      </c>
      <c r="Q18" s="204">
        <v>6</v>
      </c>
      <c r="S18" s="202">
        <v>5.25</v>
      </c>
    </row>
    <row r="19" spans="1:19">
      <c r="B19" s="201"/>
    </row>
    <row r="20" spans="1:19">
      <c r="B20" s="201"/>
      <c r="C20" s="196" t="s">
        <v>643</v>
      </c>
      <c r="H20" s="201"/>
      <c r="I20" s="207" t="s">
        <v>331</v>
      </c>
      <c r="J20" s="201"/>
      <c r="K20" s="201"/>
      <c r="N20" s="207" t="s">
        <v>331</v>
      </c>
    </row>
    <row r="21" spans="1:19">
      <c r="B21" s="201"/>
      <c r="C21" s="196" t="s">
        <v>335</v>
      </c>
      <c r="D21" s="196" t="s">
        <v>101</v>
      </c>
      <c r="E21" s="196" t="s">
        <v>103</v>
      </c>
      <c r="I21" s="196" t="s">
        <v>114</v>
      </c>
      <c r="J21" s="196" t="s">
        <v>113</v>
      </c>
      <c r="K21" s="196" t="s">
        <v>112</v>
      </c>
      <c r="N21" s="196"/>
      <c r="O21" s="196" t="s">
        <v>114</v>
      </c>
      <c r="P21" s="220" t="s">
        <v>113</v>
      </c>
      <c r="Q21" s="220" t="s">
        <v>112</v>
      </c>
      <c r="S21" s="196" t="s">
        <v>568</v>
      </c>
    </row>
    <row r="22" spans="1:19">
      <c r="A22" s="201">
        <v>11</v>
      </c>
      <c r="B22" s="201" t="s">
        <v>569</v>
      </c>
      <c r="C22" s="204" t="s">
        <v>602</v>
      </c>
      <c r="D22" s="204" t="s">
        <v>644</v>
      </c>
      <c r="E22" s="202">
        <v>9.75</v>
      </c>
      <c r="G22" s="201">
        <v>6</v>
      </c>
      <c r="H22" s="201" t="s">
        <v>645</v>
      </c>
      <c r="I22" s="204">
        <v>10.75</v>
      </c>
      <c r="J22" s="204">
        <v>8.75</v>
      </c>
      <c r="K22" s="204">
        <v>9.75</v>
      </c>
      <c r="M22" s="201">
        <v>8</v>
      </c>
      <c r="N22" s="201" t="s">
        <v>572</v>
      </c>
      <c r="O22" s="204" t="s">
        <v>606</v>
      </c>
      <c r="P22" s="204" t="s">
        <v>646</v>
      </c>
      <c r="Q22" s="204">
        <v>9.75</v>
      </c>
      <c r="S22" s="202">
        <v>9.75</v>
      </c>
    </row>
    <row r="23" spans="1:19">
      <c r="A23" s="201">
        <v>12</v>
      </c>
      <c r="B23" s="201" t="s">
        <v>575</v>
      </c>
      <c r="C23" s="204" t="s">
        <v>597</v>
      </c>
      <c r="D23" s="204" t="s">
        <v>647</v>
      </c>
      <c r="E23" s="202">
        <v>9.25</v>
      </c>
      <c r="G23" s="201">
        <v>7</v>
      </c>
      <c r="H23" s="201" t="s">
        <v>648</v>
      </c>
      <c r="I23" s="204">
        <v>10.25</v>
      </c>
      <c r="J23" s="204">
        <v>8.25</v>
      </c>
      <c r="K23" s="204">
        <v>9.25</v>
      </c>
      <c r="M23" s="201">
        <v>9</v>
      </c>
      <c r="N23" s="201" t="s">
        <v>578</v>
      </c>
      <c r="O23" s="204" t="s">
        <v>646</v>
      </c>
      <c r="P23" s="204" t="s">
        <v>649</v>
      </c>
      <c r="Q23" s="204">
        <v>9.25</v>
      </c>
      <c r="S23" s="202">
        <v>9.25</v>
      </c>
    </row>
    <row r="24" spans="1:19">
      <c r="A24" s="201">
        <v>13</v>
      </c>
      <c r="B24" s="201" t="s">
        <v>580</v>
      </c>
      <c r="C24" s="204" t="s">
        <v>614</v>
      </c>
      <c r="D24" s="204" t="s">
        <v>615</v>
      </c>
      <c r="E24" s="202">
        <v>9</v>
      </c>
      <c r="G24" s="201">
        <v>8</v>
      </c>
      <c r="H24" s="201" t="s">
        <v>650</v>
      </c>
      <c r="I24" s="204">
        <v>10</v>
      </c>
      <c r="J24" s="204">
        <v>8</v>
      </c>
      <c r="K24" s="204">
        <v>9</v>
      </c>
      <c r="M24" s="201">
        <v>10</v>
      </c>
      <c r="N24" s="201" t="s">
        <v>583</v>
      </c>
      <c r="O24" s="204" t="s">
        <v>651</v>
      </c>
      <c r="P24" s="204" t="s">
        <v>652</v>
      </c>
      <c r="Q24" s="204">
        <v>9</v>
      </c>
      <c r="S24" s="202">
        <v>9</v>
      </c>
    </row>
    <row r="25" spans="1:19">
      <c r="A25" s="201">
        <v>14</v>
      </c>
      <c r="B25" s="201" t="s">
        <v>585</v>
      </c>
      <c r="C25" s="204" t="s">
        <v>603</v>
      </c>
      <c r="D25" s="204" t="s">
        <v>653</v>
      </c>
      <c r="E25" s="202">
        <v>8.75</v>
      </c>
      <c r="G25" s="201">
        <v>9</v>
      </c>
      <c r="H25" s="201" t="s">
        <v>654</v>
      </c>
      <c r="I25" s="204">
        <v>9.75</v>
      </c>
      <c r="J25" s="204">
        <v>7.75</v>
      </c>
      <c r="K25" s="204">
        <v>8.75</v>
      </c>
      <c r="M25" s="201">
        <v>11</v>
      </c>
      <c r="N25" s="201" t="s">
        <v>587</v>
      </c>
      <c r="O25" s="204" t="s">
        <v>649</v>
      </c>
      <c r="P25" s="204" t="s">
        <v>612</v>
      </c>
      <c r="Q25" s="204">
        <v>8.75</v>
      </c>
      <c r="S25" s="202">
        <v>8.75</v>
      </c>
    </row>
    <row r="26" spans="1:19">
      <c r="A26" s="201">
        <v>15</v>
      </c>
      <c r="B26" s="201" t="s">
        <v>590</v>
      </c>
      <c r="C26" s="204" t="s">
        <v>619</v>
      </c>
      <c r="D26" s="204" t="s">
        <v>620</v>
      </c>
      <c r="E26" s="202">
        <v>8.5</v>
      </c>
      <c r="G26" s="201">
        <v>10</v>
      </c>
      <c r="H26" s="201" t="s">
        <v>655</v>
      </c>
      <c r="I26" s="204">
        <v>9.5</v>
      </c>
      <c r="J26" s="204">
        <v>7.5</v>
      </c>
      <c r="K26" s="204">
        <v>8.5</v>
      </c>
      <c r="M26" s="201">
        <v>12</v>
      </c>
      <c r="N26" s="201" t="s">
        <v>593</v>
      </c>
      <c r="O26" s="204" t="s">
        <v>652</v>
      </c>
      <c r="P26" s="204" t="s">
        <v>656</v>
      </c>
      <c r="Q26" s="204">
        <v>8.5</v>
      </c>
      <c r="S26" s="202">
        <v>8.5</v>
      </c>
    </row>
    <row r="27" spans="1:19">
      <c r="A27" s="201">
        <v>16</v>
      </c>
      <c r="B27" s="201" t="s">
        <v>596</v>
      </c>
      <c r="C27" s="204" t="s">
        <v>657</v>
      </c>
      <c r="D27" s="204" t="s">
        <v>658</v>
      </c>
      <c r="E27" s="202">
        <v>8.25</v>
      </c>
      <c r="G27" s="201"/>
      <c r="H27" s="201"/>
      <c r="I27" s="222">
        <v>9.25</v>
      </c>
      <c r="J27" s="222">
        <v>7.25</v>
      </c>
      <c r="K27" s="222">
        <v>8.25</v>
      </c>
      <c r="M27" s="201">
        <v>13</v>
      </c>
      <c r="N27" s="201" t="s">
        <v>598</v>
      </c>
      <c r="O27" s="204" t="s">
        <v>652</v>
      </c>
      <c r="P27" s="204" t="s">
        <v>627</v>
      </c>
      <c r="Q27" s="204">
        <v>8.375</v>
      </c>
      <c r="S27" s="202">
        <v>8.2916666666666661</v>
      </c>
    </row>
    <row r="28" spans="1:19">
      <c r="A28" s="201">
        <v>17</v>
      </c>
      <c r="B28" s="201" t="s">
        <v>601</v>
      </c>
      <c r="C28" s="204" t="s">
        <v>659</v>
      </c>
      <c r="D28" s="204" t="s">
        <v>660</v>
      </c>
      <c r="E28" s="202">
        <v>8</v>
      </c>
      <c r="G28" s="201">
        <v>11</v>
      </c>
      <c r="H28" s="201" t="s">
        <v>661</v>
      </c>
      <c r="I28" s="204">
        <v>9</v>
      </c>
      <c r="J28" s="204">
        <v>7</v>
      </c>
      <c r="K28" s="204">
        <v>8</v>
      </c>
      <c r="M28" s="201">
        <v>14</v>
      </c>
      <c r="N28" s="201" t="s">
        <v>604</v>
      </c>
      <c r="O28" s="204" t="s">
        <v>656</v>
      </c>
      <c r="P28" s="204" t="s">
        <v>662</v>
      </c>
      <c r="Q28" s="204">
        <v>8</v>
      </c>
      <c r="S28" s="202">
        <v>8</v>
      </c>
    </row>
    <row r="29" spans="1:19">
      <c r="A29" s="201">
        <v>18</v>
      </c>
      <c r="B29" s="201" t="s">
        <v>607</v>
      </c>
      <c r="C29" s="204" t="s">
        <v>644</v>
      </c>
      <c r="D29" s="204" t="s">
        <v>663</v>
      </c>
      <c r="E29" s="202">
        <v>7.75</v>
      </c>
      <c r="G29" s="201"/>
      <c r="H29" s="201"/>
      <c r="I29" s="222">
        <v>8.9166666666666661</v>
      </c>
      <c r="J29" s="222">
        <v>6.916666666666667</v>
      </c>
      <c r="K29" s="222">
        <v>7.916666666666667</v>
      </c>
      <c r="M29" s="201">
        <v>15</v>
      </c>
      <c r="N29" s="201" t="s">
        <v>610</v>
      </c>
      <c r="O29" s="204" t="s">
        <v>656</v>
      </c>
      <c r="P29" s="204" t="s">
        <v>664</v>
      </c>
      <c r="Q29" s="204">
        <v>7.875</v>
      </c>
      <c r="S29" s="202">
        <v>7.8472222222222223</v>
      </c>
    </row>
    <row r="30" spans="1:19">
      <c r="A30" s="201">
        <v>19</v>
      </c>
      <c r="B30" s="201" t="s">
        <v>613</v>
      </c>
      <c r="C30" s="204" t="s">
        <v>665</v>
      </c>
      <c r="D30" s="204" t="s">
        <v>666</v>
      </c>
      <c r="E30" s="202">
        <v>7.625</v>
      </c>
      <c r="G30" s="201"/>
      <c r="H30" s="201"/>
      <c r="I30" s="222">
        <v>8.8333333333333339</v>
      </c>
      <c r="J30" s="222">
        <v>6.833333333333333</v>
      </c>
      <c r="K30" s="222">
        <v>7.833333333333333</v>
      </c>
      <c r="M30" s="201">
        <v>16</v>
      </c>
      <c r="N30" s="201" t="s">
        <v>616</v>
      </c>
      <c r="O30" s="204" t="s">
        <v>627</v>
      </c>
      <c r="P30" s="204" t="s">
        <v>664</v>
      </c>
      <c r="Q30" s="204">
        <v>7.75</v>
      </c>
      <c r="S30" s="202">
        <v>7.7361111111111107</v>
      </c>
    </row>
    <row r="31" spans="1:19">
      <c r="A31" s="201">
        <v>20</v>
      </c>
      <c r="B31" s="201" t="s">
        <v>618</v>
      </c>
      <c r="C31" s="204" t="s">
        <v>609</v>
      </c>
      <c r="D31" s="204" t="s">
        <v>623</v>
      </c>
      <c r="E31" s="202">
        <v>7.5</v>
      </c>
      <c r="G31" s="201">
        <v>12</v>
      </c>
      <c r="H31" s="201" t="s">
        <v>667</v>
      </c>
      <c r="I31" s="204">
        <v>8.75</v>
      </c>
      <c r="J31" s="204">
        <v>6.75</v>
      </c>
      <c r="K31" s="204">
        <v>7.75</v>
      </c>
      <c r="M31" s="201">
        <v>17</v>
      </c>
      <c r="N31" s="201" t="s">
        <v>621</v>
      </c>
      <c r="O31" s="204" t="s">
        <v>627</v>
      </c>
      <c r="P31" s="204" t="s">
        <v>664</v>
      </c>
      <c r="Q31" s="204">
        <v>7.75</v>
      </c>
      <c r="S31" s="202">
        <v>7.666666666666667</v>
      </c>
    </row>
    <row r="32" spans="1:19">
      <c r="A32" s="201">
        <v>21</v>
      </c>
      <c r="B32" s="201" t="s">
        <v>622</v>
      </c>
      <c r="C32" s="204" t="s">
        <v>653</v>
      </c>
      <c r="D32" s="204" t="s">
        <v>668</v>
      </c>
      <c r="E32" s="202">
        <v>6.75</v>
      </c>
      <c r="G32" s="201"/>
      <c r="H32" s="201"/>
      <c r="I32" s="222">
        <v>8.4166666666666661</v>
      </c>
      <c r="J32" s="222">
        <v>6.0166666666666666</v>
      </c>
      <c r="K32" s="222">
        <v>7.2166666666666668</v>
      </c>
      <c r="M32" s="201"/>
      <c r="N32" s="201"/>
      <c r="O32" s="222">
        <v>7.4</v>
      </c>
      <c r="P32" s="222">
        <v>6.7</v>
      </c>
      <c r="Q32" s="222">
        <v>7.05</v>
      </c>
      <c r="S32" s="202">
        <v>7.0055555555555555</v>
      </c>
    </row>
    <row r="33" spans="1:19">
      <c r="A33" s="201">
        <v>22</v>
      </c>
      <c r="B33" s="201" t="s">
        <v>624</v>
      </c>
      <c r="C33" s="204" t="s">
        <v>663</v>
      </c>
      <c r="D33" s="204" t="s">
        <v>669</v>
      </c>
      <c r="E33" s="202">
        <v>5.75</v>
      </c>
      <c r="G33" s="201">
        <v>13</v>
      </c>
      <c r="H33" s="201" t="s">
        <v>670</v>
      </c>
      <c r="I33" s="204">
        <v>8</v>
      </c>
      <c r="J33" s="204">
        <v>5</v>
      </c>
      <c r="K33" s="204">
        <v>6.5</v>
      </c>
      <c r="M33" s="201">
        <v>18</v>
      </c>
      <c r="N33" s="201" t="s">
        <v>626</v>
      </c>
      <c r="O33" s="204" t="s">
        <v>671</v>
      </c>
      <c r="P33" s="204" t="s">
        <v>637</v>
      </c>
      <c r="Q33" s="204">
        <v>6</v>
      </c>
      <c r="S33" s="202">
        <v>6.083333333333333</v>
      </c>
    </row>
    <row r="34" spans="1:19">
      <c r="A34" s="201">
        <v>23</v>
      </c>
      <c r="B34" s="201" t="s">
        <v>628</v>
      </c>
      <c r="C34" s="204" t="s">
        <v>672</v>
      </c>
      <c r="D34" s="204" t="s">
        <v>673</v>
      </c>
      <c r="E34" s="202">
        <v>5.25</v>
      </c>
      <c r="G34" s="201">
        <v>14</v>
      </c>
      <c r="H34" s="201" t="s">
        <v>674</v>
      </c>
      <c r="I34" s="204">
        <v>7.25</v>
      </c>
      <c r="J34" s="204">
        <v>4.25</v>
      </c>
      <c r="K34" s="204">
        <v>5.75</v>
      </c>
      <c r="M34" s="201">
        <v>19</v>
      </c>
      <c r="N34" s="201" t="s">
        <v>630</v>
      </c>
      <c r="O34" s="204" t="s">
        <v>675</v>
      </c>
      <c r="P34" s="204" t="s">
        <v>642</v>
      </c>
      <c r="Q34" s="204">
        <v>5.375</v>
      </c>
      <c r="S34" s="202">
        <v>5.458333333333333</v>
      </c>
    </row>
    <row r="35" spans="1:19">
      <c r="A35" s="201">
        <v>24</v>
      </c>
      <c r="B35" s="201" t="s">
        <v>633</v>
      </c>
      <c r="C35" s="204" t="s">
        <v>668</v>
      </c>
      <c r="D35" s="204" t="s">
        <v>676</v>
      </c>
      <c r="E35" s="202">
        <v>4.75</v>
      </c>
      <c r="G35" s="201">
        <v>15</v>
      </c>
      <c r="H35" s="201" t="s">
        <v>677</v>
      </c>
      <c r="I35" s="204">
        <v>6.5</v>
      </c>
      <c r="J35" s="204">
        <v>3.5</v>
      </c>
      <c r="K35" s="204">
        <v>5</v>
      </c>
      <c r="M35" s="201">
        <v>20</v>
      </c>
      <c r="N35" s="201" t="s">
        <v>635</v>
      </c>
      <c r="O35" s="204" t="s">
        <v>642</v>
      </c>
      <c r="P35" s="204" t="s">
        <v>678</v>
      </c>
      <c r="Q35" s="204">
        <v>4.625</v>
      </c>
      <c r="S35" s="202">
        <v>4.791666666666667</v>
      </c>
    </row>
    <row r="36" spans="1:19">
      <c r="A36" s="201">
        <v>25</v>
      </c>
      <c r="B36" s="201" t="s">
        <v>638</v>
      </c>
      <c r="C36" s="204" t="s">
        <v>679</v>
      </c>
      <c r="D36" s="204" t="s">
        <v>673</v>
      </c>
      <c r="E36" s="202">
        <v>4.75</v>
      </c>
      <c r="G36" s="201">
        <v>16</v>
      </c>
      <c r="H36" s="201" t="s">
        <v>680</v>
      </c>
      <c r="I36" s="204">
        <v>6.25</v>
      </c>
      <c r="J36" s="204">
        <v>3.25</v>
      </c>
      <c r="K36" s="204">
        <v>4.75</v>
      </c>
      <c r="M36" s="201">
        <v>21</v>
      </c>
      <c r="N36" s="201" t="s">
        <v>640</v>
      </c>
      <c r="O36" s="204" t="s">
        <v>642</v>
      </c>
      <c r="P36" s="204" t="s">
        <v>681</v>
      </c>
      <c r="Q36" s="204">
        <v>4.5</v>
      </c>
      <c r="S36" s="202">
        <v>4.666666666666667</v>
      </c>
    </row>
    <row r="37" spans="1:19">
      <c r="I37" s="204"/>
      <c r="J37" s="20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Y151"/>
  <sheetViews>
    <sheetView topLeftCell="AG1" workbookViewId="0">
      <selection activeCell="D18" sqref="D18"/>
    </sheetView>
  </sheetViews>
  <sheetFormatPr defaultColWidth="9.140625" defaultRowHeight="12.75"/>
  <cols>
    <col min="1" max="1" width="9.140625" style="198"/>
    <col min="2" max="2" width="14.140625" style="198" customWidth="1"/>
    <col min="3" max="4" width="10.7109375" style="198" bestFit="1" customWidth="1"/>
    <col min="5" max="5" width="9.7109375" style="198" bestFit="1" customWidth="1"/>
    <col min="6" max="7" width="9.140625" style="198"/>
    <col min="8" max="8" width="17.5703125" style="198" customWidth="1"/>
    <col min="9" max="10" width="9.7109375" style="198" bestFit="1" customWidth="1"/>
    <col min="11" max="11" width="9.140625" style="198"/>
    <col min="12" max="12" width="12.5703125" style="198" customWidth="1"/>
    <col min="13" max="13" width="17.7109375" style="198" bestFit="1" customWidth="1"/>
    <col min="14" max="16" width="9.140625" style="198"/>
    <col min="17" max="17" width="10.140625" style="198" bestFit="1" customWidth="1"/>
    <col min="18" max="16384" width="9.140625" style="198"/>
  </cols>
  <sheetData>
    <row r="1" spans="1:51">
      <c r="A1" s="196" t="s">
        <v>682</v>
      </c>
      <c r="B1" s="196"/>
      <c r="C1" s="196" t="s">
        <v>113</v>
      </c>
      <c r="D1" s="196" t="s">
        <v>114</v>
      </c>
      <c r="E1" s="196" t="s">
        <v>112</v>
      </c>
      <c r="G1" s="196" t="s">
        <v>682</v>
      </c>
      <c r="H1" s="196" t="s">
        <v>683</v>
      </c>
      <c r="I1" s="196" t="s">
        <v>113</v>
      </c>
      <c r="J1" s="196" t="s">
        <v>114</v>
      </c>
      <c r="K1" s="196" t="s">
        <v>112</v>
      </c>
      <c r="L1" s="196" t="s">
        <v>124</v>
      </c>
    </row>
    <row r="2" spans="1:51">
      <c r="B2" s="196" t="s">
        <v>684</v>
      </c>
      <c r="C2" s="203">
        <v>0.9839</v>
      </c>
      <c r="D2" s="203">
        <v>0.98419999999999996</v>
      </c>
      <c r="E2" s="203">
        <v>0.98404999999999998</v>
      </c>
      <c r="H2" s="196" t="s">
        <v>684</v>
      </c>
      <c r="I2" s="204">
        <v>0.9839</v>
      </c>
      <c r="J2" s="204">
        <v>0.98419999999999996</v>
      </c>
      <c r="K2" s="203">
        <v>0.98404999999999998</v>
      </c>
      <c r="M2" s="198" t="s">
        <v>685</v>
      </c>
    </row>
    <row r="3" spans="1:51">
      <c r="A3" s="196" t="s">
        <v>686</v>
      </c>
      <c r="B3" s="196" t="s">
        <v>687</v>
      </c>
      <c r="C3" s="204">
        <v>-1.44</v>
      </c>
      <c r="D3" s="204">
        <v>-1.04</v>
      </c>
      <c r="E3" s="204">
        <v>-1.24</v>
      </c>
      <c r="G3" s="196" t="s">
        <v>686</v>
      </c>
      <c r="H3" s="196" t="s">
        <v>688</v>
      </c>
      <c r="I3" s="203">
        <v>-1.22</v>
      </c>
      <c r="J3" s="203">
        <v>-1.2</v>
      </c>
      <c r="K3" s="204">
        <v>-1.21</v>
      </c>
      <c r="L3" s="204"/>
      <c r="M3" s="198" t="s">
        <v>689</v>
      </c>
      <c r="AQ3" s="204"/>
      <c r="AR3" s="204"/>
      <c r="AS3" s="204"/>
      <c r="AT3" s="204"/>
    </row>
    <row r="4" spans="1:51">
      <c r="A4" s="196" t="s">
        <v>690</v>
      </c>
      <c r="B4" s="196" t="s">
        <v>691</v>
      </c>
      <c r="C4" s="204">
        <v>-1.2249999999999999</v>
      </c>
      <c r="D4" s="204">
        <v>-1.2049999999999998</v>
      </c>
      <c r="E4" s="204">
        <v>-1.2149999999999999</v>
      </c>
      <c r="G4" s="196" t="s">
        <v>690</v>
      </c>
      <c r="H4" s="196" t="s">
        <v>692</v>
      </c>
      <c r="I4" s="203">
        <v>-1.23</v>
      </c>
      <c r="J4" s="203">
        <v>-1.21</v>
      </c>
      <c r="K4" s="204">
        <v>-1.22</v>
      </c>
      <c r="L4" s="204">
        <v>-1.2249999999999999</v>
      </c>
      <c r="AQ4" s="206">
        <v>43.548062358299312</v>
      </c>
      <c r="AR4" s="206">
        <v>13.518096742327309</v>
      </c>
      <c r="AS4" s="206">
        <v>15.295391015296998</v>
      </c>
    </row>
    <row r="5" spans="1:51">
      <c r="A5" s="196" t="s">
        <v>693</v>
      </c>
      <c r="B5" s="196" t="s">
        <v>694</v>
      </c>
      <c r="C5" s="204">
        <v>-9.81</v>
      </c>
      <c r="D5" s="204">
        <v>-9.7399999999999984</v>
      </c>
      <c r="E5" s="204">
        <v>-9.7749999999999986</v>
      </c>
      <c r="G5" s="196" t="s">
        <v>693</v>
      </c>
      <c r="H5" s="196" t="s">
        <v>695</v>
      </c>
      <c r="I5" s="204">
        <v>-9.8500000000000014</v>
      </c>
      <c r="J5" s="204">
        <v>-9.75</v>
      </c>
      <c r="K5" s="204">
        <v>-9.8000000000000007</v>
      </c>
      <c r="L5" s="204">
        <v>-8.5500000000000007</v>
      </c>
      <c r="AQ5" s="206">
        <v>-2.4477678808474366</v>
      </c>
      <c r="AR5" s="206">
        <v>-6.0875910279638674</v>
      </c>
      <c r="AS5" s="206">
        <v>10.646086709935307</v>
      </c>
      <c r="AT5" s="223"/>
    </row>
    <row r="6" spans="1:51">
      <c r="A6" s="196" t="s">
        <v>696</v>
      </c>
      <c r="B6" s="196" t="s">
        <v>697</v>
      </c>
      <c r="C6" s="204">
        <v>-39.1</v>
      </c>
      <c r="D6" s="204">
        <v>-39</v>
      </c>
      <c r="E6" s="204">
        <v>-39.049999999999997</v>
      </c>
      <c r="G6" s="196" t="s">
        <v>696</v>
      </c>
      <c r="H6" s="196" t="s">
        <v>698</v>
      </c>
      <c r="I6" s="204">
        <v>-39.18</v>
      </c>
      <c r="J6" s="204">
        <v>-38.979999999999997</v>
      </c>
      <c r="K6" s="204">
        <v>-39.08</v>
      </c>
      <c r="L6" s="204">
        <v>-36.620000000000005</v>
      </c>
      <c r="S6" s="200"/>
      <c r="T6" s="200"/>
      <c r="AQ6" s="223"/>
      <c r="AR6" s="223"/>
      <c r="AS6" s="223"/>
      <c r="AT6" s="223"/>
    </row>
    <row r="7" spans="1:51" ht="13.5" thickBot="1">
      <c r="A7" s="196" t="s">
        <v>699</v>
      </c>
      <c r="B7" s="196" t="s">
        <v>700</v>
      </c>
      <c r="C7" s="204">
        <v>-74.89</v>
      </c>
      <c r="D7" s="204">
        <v>-74.69</v>
      </c>
      <c r="E7" s="204">
        <v>-74.789999999999992</v>
      </c>
      <c r="G7" s="196" t="s">
        <v>699</v>
      </c>
      <c r="H7" s="196" t="s">
        <v>701</v>
      </c>
      <c r="I7" s="204">
        <v>-74.97</v>
      </c>
      <c r="J7" s="204">
        <v>-74.669999999999987</v>
      </c>
      <c r="K7" s="204">
        <v>-74.819999999999993</v>
      </c>
      <c r="L7" s="204">
        <v>-76.13</v>
      </c>
      <c r="M7" s="200"/>
      <c r="T7" s="200"/>
      <c r="AQ7" s="223"/>
      <c r="AR7" s="223"/>
      <c r="AS7" s="223"/>
    </row>
    <row r="8" spans="1:51" ht="13.5" thickBot="1">
      <c r="A8" s="196" t="s">
        <v>385</v>
      </c>
      <c r="B8" s="196" t="s">
        <v>702</v>
      </c>
      <c r="C8" s="204">
        <v>-113.44000000000001</v>
      </c>
      <c r="D8" s="204">
        <v>-113.24000000000001</v>
      </c>
      <c r="E8" s="204">
        <v>-113.34</v>
      </c>
      <c r="G8" s="196" t="s">
        <v>385</v>
      </c>
      <c r="H8" s="196" t="s">
        <v>703</v>
      </c>
      <c r="I8" s="204">
        <v>-113.55</v>
      </c>
      <c r="J8" s="204">
        <v>-113.14999999999999</v>
      </c>
      <c r="K8" s="204">
        <v>-113.35</v>
      </c>
      <c r="L8" s="204">
        <v>-113.5</v>
      </c>
      <c r="M8" s="200"/>
      <c r="S8" s="204"/>
      <c r="T8" s="204"/>
      <c r="U8" s="204"/>
      <c r="V8" s="204"/>
      <c r="W8" s="200"/>
      <c r="X8" s="200"/>
      <c r="Y8" s="204"/>
      <c r="Z8" s="204"/>
      <c r="AA8" s="204"/>
      <c r="AB8" s="204"/>
      <c r="AO8" s="241" t="s">
        <v>704</v>
      </c>
      <c r="AP8" s="243"/>
      <c r="AQ8" s="243"/>
      <c r="AR8" s="243"/>
      <c r="AS8" s="243"/>
      <c r="AT8" s="242"/>
    </row>
    <row r="9" spans="1:51" ht="13.5" thickBot="1">
      <c r="A9" s="196" t="s">
        <v>705</v>
      </c>
      <c r="B9" s="196" t="s">
        <v>706</v>
      </c>
      <c r="C9" s="204">
        <v>-148.22</v>
      </c>
      <c r="D9" s="204">
        <v>-147.72</v>
      </c>
      <c r="E9" s="204">
        <v>-147.97</v>
      </c>
      <c r="G9" s="196" t="s">
        <v>705</v>
      </c>
      <c r="H9" s="196" t="s">
        <v>707</v>
      </c>
      <c r="I9" s="204">
        <v>-148.47</v>
      </c>
      <c r="J9" s="204">
        <v>-147.47</v>
      </c>
      <c r="K9" s="204">
        <v>-147.97</v>
      </c>
      <c r="L9" s="204">
        <v>-148.06</v>
      </c>
      <c r="M9" s="224"/>
      <c r="N9" s="204"/>
      <c r="O9" s="204"/>
      <c r="P9" s="204"/>
      <c r="AD9" s="207" t="s">
        <v>708</v>
      </c>
      <c r="AJ9" s="196" t="s">
        <v>64</v>
      </c>
      <c r="AQ9" s="241" t="s">
        <v>709</v>
      </c>
      <c r="AR9" s="243"/>
      <c r="AS9" s="243"/>
      <c r="AT9" s="242"/>
    </row>
    <row r="10" spans="1:51">
      <c r="A10" s="196" t="s">
        <v>710</v>
      </c>
      <c r="B10" s="196" t="s">
        <v>711</v>
      </c>
      <c r="C10" s="204">
        <v>-187.55</v>
      </c>
      <c r="D10" s="204">
        <v>-186.85000000000002</v>
      </c>
      <c r="E10" s="204">
        <v>-187.20000000000002</v>
      </c>
      <c r="G10" s="196" t="s">
        <v>710</v>
      </c>
      <c r="H10" s="196" t="s">
        <v>712</v>
      </c>
      <c r="I10" s="204">
        <v>-187.52</v>
      </c>
      <c r="J10" s="204">
        <v>-186.52</v>
      </c>
      <c r="K10" s="204">
        <v>-187.02</v>
      </c>
      <c r="L10" s="204">
        <v>-188.16</v>
      </c>
      <c r="N10" s="196" t="s">
        <v>113</v>
      </c>
      <c r="O10" s="196" t="s">
        <v>114</v>
      </c>
      <c r="P10" s="196" t="s">
        <v>112</v>
      </c>
      <c r="S10" s="196" t="s">
        <v>682</v>
      </c>
      <c r="T10" s="196" t="s">
        <v>713</v>
      </c>
      <c r="U10" s="196" t="s">
        <v>714</v>
      </c>
      <c r="V10" s="196" t="s">
        <v>715</v>
      </c>
      <c r="W10" s="196" t="s">
        <v>716</v>
      </c>
      <c r="Y10" s="196" t="s">
        <v>713</v>
      </c>
      <c r="Z10" s="196" t="s">
        <v>714</v>
      </c>
      <c r="AA10" s="196" t="s">
        <v>715</v>
      </c>
      <c r="AB10" s="196" t="s">
        <v>716</v>
      </c>
      <c r="AD10" s="196" t="s">
        <v>682</v>
      </c>
      <c r="AE10" s="196" t="s">
        <v>713</v>
      </c>
      <c r="AF10" s="196" t="s">
        <v>714</v>
      </c>
      <c r="AG10" s="196" t="s">
        <v>715</v>
      </c>
      <c r="AH10" s="196" t="s">
        <v>716</v>
      </c>
      <c r="AI10" s="196" t="s">
        <v>2</v>
      </c>
      <c r="AJ10" s="196" t="s">
        <v>682</v>
      </c>
      <c r="AK10" s="196" t="s">
        <v>713</v>
      </c>
      <c r="AL10" s="196" t="s">
        <v>714</v>
      </c>
      <c r="AM10" s="196" t="s">
        <v>715</v>
      </c>
      <c r="AN10" s="196" t="s">
        <v>716</v>
      </c>
      <c r="AO10" s="196" t="s">
        <v>2</v>
      </c>
      <c r="AP10" s="196"/>
      <c r="AQ10" s="196" t="s">
        <v>713</v>
      </c>
      <c r="AR10" s="196" t="s">
        <v>714</v>
      </c>
      <c r="AS10" s="196" t="s">
        <v>715</v>
      </c>
      <c r="AT10" s="196" t="s">
        <v>716</v>
      </c>
    </row>
    <row r="11" spans="1:51">
      <c r="A11" s="196" t="s">
        <v>342</v>
      </c>
      <c r="B11" s="196" t="s">
        <v>717</v>
      </c>
      <c r="C11" s="204">
        <v>-225.85000000000002</v>
      </c>
      <c r="D11" s="204">
        <v>-224.92000000000002</v>
      </c>
      <c r="E11" s="204">
        <v>-225.38500000000002</v>
      </c>
      <c r="G11" s="196" t="s">
        <v>342</v>
      </c>
      <c r="H11" s="196" t="s">
        <v>718</v>
      </c>
      <c r="I11" s="204">
        <v>-225.73</v>
      </c>
      <c r="J11" s="204">
        <v>-224.73</v>
      </c>
      <c r="K11" s="204">
        <v>-225.23</v>
      </c>
      <c r="L11" s="204">
        <v>-224.83</v>
      </c>
      <c r="M11" s="224" t="s">
        <v>719</v>
      </c>
      <c r="N11" s="204">
        <v>2.5</v>
      </c>
      <c r="O11" s="204">
        <v>12.5</v>
      </c>
      <c r="P11" s="204">
        <v>7.5</v>
      </c>
      <c r="R11" s="205">
        <v>1</v>
      </c>
      <c r="S11" s="204">
        <v>6.666666666666667</v>
      </c>
      <c r="T11" s="204">
        <v>-33</v>
      </c>
      <c r="U11" s="204">
        <v>-31.25</v>
      </c>
      <c r="V11" s="204">
        <v>-3.5</v>
      </c>
      <c r="W11" s="204">
        <v>18</v>
      </c>
      <c r="X11" s="205">
        <v>1</v>
      </c>
      <c r="Y11" s="204">
        <v>39.666666666666664</v>
      </c>
      <c r="Z11" s="204">
        <v>37.916666666666664</v>
      </c>
      <c r="AA11" s="204">
        <v>10.166666666666668</v>
      </c>
      <c r="AB11" s="204">
        <v>-11.333333333333332</v>
      </c>
      <c r="AC11" s="205">
        <v>1</v>
      </c>
      <c r="AD11" s="202">
        <v>5.2050000000000001</v>
      </c>
      <c r="AE11" s="225">
        <v>0.40200000000000002</v>
      </c>
      <c r="AF11" s="203">
        <v>1.284</v>
      </c>
      <c r="AG11" s="202">
        <v>0.93</v>
      </c>
      <c r="AH11" s="203">
        <v>3.5199999999999996</v>
      </c>
      <c r="AI11" s="205">
        <v>1</v>
      </c>
      <c r="AJ11" s="206">
        <v>96.790092008272595</v>
      </c>
      <c r="AK11" s="206">
        <v>101.34328030875001</v>
      </c>
      <c r="AL11" s="206">
        <v>100.77624594569639</v>
      </c>
      <c r="AM11" s="206">
        <v>99.443118436488234</v>
      </c>
      <c r="AN11" s="206">
        <v>97.72959883747977</v>
      </c>
      <c r="AO11" s="205">
        <v>1</v>
      </c>
      <c r="AP11" s="205"/>
      <c r="AQ11" s="206">
        <v>41.219048845442906</v>
      </c>
      <c r="AR11" s="206">
        <v>39.203650777952014</v>
      </c>
      <c r="AS11" s="206">
        <v>10.262602028500615</v>
      </c>
      <c r="AT11" s="206">
        <v>-11.508052899921655</v>
      </c>
      <c r="AU11" s="226"/>
      <c r="AV11" s="206"/>
      <c r="AW11" s="206"/>
      <c r="AX11" s="206"/>
      <c r="AY11" s="206"/>
    </row>
    <row r="12" spans="1:51">
      <c r="A12" s="196" t="s">
        <v>720</v>
      </c>
      <c r="B12" s="196" t="s">
        <v>721</v>
      </c>
      <c r="C12" s="204">
        <v>-267.47999999999996</v>
      </c>
      <c r="D12" s="204">
        <v>-266.47999999999996</v>
      </c>
      <c r="E12" s="204">
        <v>-266.97999999999996</v>
      </c>
      <c r="G12" s="196" t="s">
        <v>720</v>
      </c>
      <c r="H12" s="196" t="s">
        <v>722</v>
      </c>
      <c r="I12" s="204">
        <v>-267.97999999999996</v>
      </c>
      <c r="J12" s="204">
        <v>-265.97999999999996</v>
      </c>
      <c r="K12" s="227">
        <v>-263.83</v>
      </c>
      <c r="L12" s="227">
        <v>-263.15333333333336</v>
      </c>
      <c r="M12" s="224" t="s">
        <v>723</v>
      </c>
      <c r="N12" s="204">
        <v>9.25</v>
      </c>
      <c r="O12" s="204">
        <v>19.25</v>
      </c>
      <c r="P12" s="204">
        <v>14.25</v>
      </c>
      <c r="R12" s="205">
        <v>2</v>
      </c>
      <c r="S12" s="204">
        <v>14.166666666666666</v>
      </c>
      <c r="T12" s="204">
        <v>-39.5</v>
      </c>
      <c r="U12" s="204">
        <v>-29.25</v>
      </c>
      <c r="V12" s="204">
        <v>2</v>
      </c>
      <c r="W12" s="204">
        <v>26</v>
      </c>
      <c r="X12" s="205">
        <v>2</v>
      </c>
      <c r="Y12" s="204">
        <v>53.666666666666664</v>
      </c>
      <c r="Z12" s="204">
        <v>43.416666666666664</v>
      </c>
      <c r="AA12" s="204">
        <v>12.166666666666666</v>
      </c>
      <c r="AB12" s="204">
        <v>-11.833333333333334</v>
      </c>
      <c r="AC12" s="205">
        <v>2</v>
      </c>
      <c r="AD12" s="202">
        <v>5.3680000000000003</v>
      </c>
      <c r="AE12" s="225">
        <v>0.41500000000000004</v>
      </c>
      <c r="AF12" s="203">
        <v>1.6715</v>
      </c>
      <c r="AG12" s="202">
        <v>1.4874999999999998</v>
      </c>
      <c r="AH12" s="203">
        <v>3.9449999999999994</v>
      </c>
      <c r="AI12" s="205">
        <v>2</v>
      </c>
      <c r="AJ12" s="206">
        <v>188.15156497569711</v>
      </c>
      <c r="AK12" s="206">
        <v>202.73216038129937</v>
      </c>
      <c r="AL12" s="206">
        <v>199.66774509632717</v>
      </c>
      <c r="AM12" s="206">
        <v>196.65029777458923</v>
      </c>
      <c r="AN12" s="206">
        <v>190.8609398372646</v>
      </c>
      <c r="AO12" s="205">
        <v>2</v>
      </c>
      <c r="AP12" s="205"/>
      <c r="AQ12" s="206">
        <v>56.727675054216775</v>
      </c>
      <c r="AR12" s="206">
        <v>45.206969439709972</v>
      </c>
      <c r="AS12" s="206">
        <v>12.076327446793689</v>
      </c>
      <c r="AT12" s="206">
        <v>-12.207732272878976</v>
      </c>
      <c r="AU12" s="206"/>
      <c r="AV12" s="206"/>
      <c r="AW12" s="206"/>
      <c r="AX12" s="206"/>
      <c r="AY12" s="206"/>
    </row>
    <row r="13" spans="1:51">
      <c r="A13" s="196" t="s">
        <v>724</v>
      </c>
      <c r="B13" s="196" t="s">
        <v>725</v>
      </c>
      <c r="C13" s="204">
        <v>-304.95</v>
      </c>
      <c r="D13" s="204">
        <v>-300.95</v>
      </c>
      <c r="E13" s="204">
        <v>-302.95</v>
      </c>
      <c r="G13" s="196" t="s">
        <v>724</v>
      </c>
      <c r="H13" s="196" t="s">
        <v>726</v>
      </c>
      <c r="I13" s="204">
        <v>-303.26</v>
      </c>
      <c r="J13" s="204">
        <v>-301.26</v>
      </c>
      <c r="K13" s="227">
        <v>-302.42999999999995</v>
      </c>
      <c r="L13" s="227">
        <v>-301.47666666666669</v>
      </c>
      <c r="M13" s="224" t="s">
        <v>727</v>
      </c>
      <c r="N13" s="204">
        <v>15.5</v>
      </c>
      <c r="O13" s="204">
        <v>25.5</v>
      </c>
      <c r="P13" s="204">
        <v>20.5</v>
      </c>
      <c r="R13" s="205">
        <v>3</v>
      </c>
      <c r="S13" s="204">
        <v>20.75</v>
      </c>
      <c r="T13" s="204">
        <v>-44.5</v>
      </c>
      <c r="U13" s="204">
        <v>-27</v>
      </c>
      <c r="V13" s="204">
        <v>2</v>
      </c>
      <c r="W13" s="204">
        <v>33.25</v>
      </c>
      <c r="X13" s="205">
        <v>3</v>
      </c>
      <c r="Y13" s="204">
        <v>65.25</v>
      </c>
      <c r="Z13" s="204">
        <v>47.75</v>
      </c>
      <c r="AA13" s="204">
        <v>18.75</v>
      </c>
      <c r="AB13" s="204">
        <v>-12.5</v>
      </c>
      <c r="AC13" s="205">
        <v>3</v>
      </c>
      <c r="AD13" s="202">
        <v>5.4930000000000003</v>
      </c>
      <c r="AE13" s="225">
        <v>0.42900000000000005</v>
      </c>
      <c r="AF13" s="203">
        <v>1.8740000000000001</v>
      </c>
      <c r="AG13" s="202">
        <v>1.82</v>
      </c>
      <c r="AH13" s="203">
        <v>4.2374999999999989</v>
      </c>
      <c r="AI13" s="205">
        <v>3</v>
      </c>
      <c r="AJ13" s="206">
        <v>273.96381291823633</v>
      </c>
      <c r="AK13" s="206">
        <v>304.2457647647289</v>
      </c>
      <c r="AL13" s="206">
        <v>296.38472107961832</v>
      </c>
      <c r="AM13" s="206">
        <v>291.21928267302167</v>
      </c>
      <c r="AN13" s="206">
        <v>278.85998972262007</v>
      </c>
      <c r="AO13" s="205">
        <v>3</v>
      </c>
      <c r="AP13" s="205"/>
      <c r="AQ13" s="206">
        <v>70.168703834696203</v>
      </c>
      <c r="AR13" s="206">
        <v>49.959651391214877</v>
      </c>
      <c r="AS13" s="206">
        <v>18.624031029346675</v>
      </c>
      <c r="AT13" s="206">
        <v>-13.094231322055471</v>
      </c>
      <c r="AU13" s="206"/>
      <c r="AV13" s="206"/>
      <c r="AW13" s="206"/>
      <c r="AX13" s="206"/>
      <c r="AY13" s="206"/>
    </row>
    <row r="14" spans="1:51">
      <c r="A14" s="196" t="s">
        <v>728</v>
      </c>
      <c r="B14" s="196" t="s">
        <v>729</v>
      </c>
      <c r="C14" s="204">
        <v>-345.45</v>
      </c>
      <c r="D14" s="204">
        <v>-341.2</v>
      </c>
      <c r="E14" s="204">
        <v>-343.32499999999999</v>
      </c>
      <c r="G14" s="196" t="s">
        <v>728</v>
      </c>
      <c r="H14" s="196" t="s">
        <v>730</v>
      </c>
      <c r="I14" s="204">
        <v>-342.03</v>
      </c>
      <c r="J14" s="204">
        <v>-340.03</v>
      </c>
      <c r="K14" s="204">
        <v>-341.03</v>
      </c>
      <c r="L14" s="204">
        <v>-339.8</v>
      </c>
      <c r="M14" s="224" t="s">
        <v>731</v>
      </c>
      <c r="N14" s="204">
        <v>20</v>
      </c>
      <c r="O14" s="204">
        <v>30</v>
      </c>
      <c r="P14" s="204">
        <v>25</v>
      </c>
      <c r="R14" s="205">
        <v>4</v>
      </c>
      <c r="S14" s="204">
        <v>25.25</v>
      </c>
      <c r="T14" s="204">
        <v>-47.25</v>
      </c>
      <c r="U14" s="204">
        <v>-24.75</v>
      </c>
      <c r="V14" s="204">
        <v>2</v>
      </c>
      <c r="W14" s="204">
        <v>40</v>
      </c>
      <c r="X14" s="205">
        <v>4</v>
      </c>
      <c r="Y14" s="204">
        <v>72.5</v>
      </c>
      <c r="Z14" s="204">
        <v>50</v>
      </c>
      <c r="AA14" s="204">
        <v>23.25</v>
      </c>
      <c r="AB14" s="204">
        <v>-14.75</v>
      </c>
      <c r="AC14" s="205">
        <v>4</v>
      </c>
      <c r="AD14" s="202">
        <v>5.6949999999999994</v>
      </c>
      <c r="AE14" s="225">
        <v>0.46500000000000002</v>
      </c>
      <c r="AF14" s="203">
        <v>2.0599999999999996</v>
      </c>
      <c r="AG14" s="202">
        <v>2.12</v>
      </c>
      <c r="AH14" s="203">
        <v>4.4550000000000001</v>
      </c>
      <c r="AI14" s="205">
        <v>4</v>
      </c>
      <c r="AJ14" s="206">
        <v>353.65575148795335</v>
      </c>
      <c r="AK14" s="206">
        <v>405.6201982440777</v>
      </c>
      <c r="AL14" s="206">
        <v>390.35102736421607</v>
      </c>
      <c r="AM14" s="206">
        <v>382.37937235951051</v>
      </c>
      <c r="AN14" s="206">
        <v>361.57260826915024</v>
      </c>
      <c r="AO14" s="205">
        <v>4</v>
      </c>
      <c r="AP14" s="205"/>
      <c r="AQ14" s="206">
        <v>79.442683948717047</v>
      </c>
      <c r="AR14" s="206">
        <v>52.56805685788045</v>
      </c>
      <c r="AS14" s="206">
        <v>23.08756169240451</v>
      </c>
      <c r="AT14" s="206">
        <v>-15.645430853069726</v>
      </c>
      <c r="AU14" s="206"/>
      <c r="AV14" s="206"/>
      <c r="AW14" s="206"/>
      <c r="AX14" s="206"/>
      <c r="AY14" s="206"/>
    </row>
    <row r="15" spans="1:51">
      <c r="A15" s="196" t="s">
        <v>344</v>
      </c>
      <c r="B15" s="196" t="s">
        <v>732</v>
      </c>
      <c r="C15" s="204">
        <v>-457.48999999999995</v>
      </c>
      <c r="D15" s="204">
        <v>-455.48999999999995</v>
      </c>
      <c r="E15" s="204">
        <v>-456.48999999999995</v>
      </c>
      <c r="G15" s="196" t="s">
        <v>344</v>
      </c>
      <c r="H15" s="196" t="s">
        <v>733</v>
      </c>
      <c r="I15" s="204">
        <v>-457.95</v>
      </c>
      <c r="J15" s="204">
        <v>-454.95</v>
      </c>
      <c r="K15" s="204">
        <v>-456.45</v>
      </c>
      <c r="L15" s="204">
        <v>-454.3</v>
      </c>
      <c r="M15" s="224" t="s">
        <v>734</v>
      </c>
      <c r="N15" s="204">
        <v>22.75</v>
      </c>
      <c r="O15" s="204">
        <v>32.75</v>
      </c>
      <c r="P15" s="204">
        <v>27.75</v>
      </c>
      <c r="Q15" s="200"/>
      <c r="R15" s="205">
        <v>5</v>
      </c>
      <c r="S15" s="204">
        <v>27.75</v>
      </c>
      <c r="T15" s="204">
        <v>-48.25</v>
      </c>
      <c r="U15" s="204">
        <v>-22.25</v>
      </c>
      <c r="V15" s="204">
        <v>2</v>
      </c>
      <c r="W15" s="204">
        <v>46.25</v>
      </c>
      <c r="X15" s="205">
        <v>5</v>
      </c>
      <c r="Y15" s="204">
        <v>76</v>
      </c>
      <c r="Z15" s="204">
        <v>50</v>
      </c>
      <c r="AA15" s="204">
        <v>25.75</v>
      </c>
      <c r="AB15" s="204">
        <v>-18.5</v>
      </c>
      <c r="AC15" s="205">
        <v>5</v>
      </c>
      <c r="AD15" s="202">
        <v>5.7780000000000005</v>
      </c>
      <c r="AE15" s="225">
        <v>0.51500000000000001</v>
      </c>
      <c r="AF15" s="203">
        <v>2.2400000000000002</v>
      </c>
      <c r="AG15" s="202">
        <v>2.3849999999999998</v>
      </c>
      <c r="AH15" s="203">
        <v>4.6349999999999998</v>
      </c>
      <c r="AI15" s="205">
        <v>5</v>
      </c>
      <c r="AJ15" s="206">
        <v>428.62947384515456</v>
      </c>
      <c r="AK15" s="206">
        <v>506.51221503483305</v>
      </c>
      <c r="AL15" s="206">
        <v>481.06188766792678</v>
      </c>
      <c r="AM15" s="206">
        <v>469.77939415097387</v>
      </c>
      <c r="AN15" s="206">
        <v>438.9162762426227</v>
      </c>
      <c r="AO15" s="205">
        <v>5</v>
      </c>
      <c r="AP15" s="205"/>
      <c r="AQ15" s="206">
        <v>84.767111203742218</v>
      </c>
      <c r="AR15" s="206">
        <v>52.721747520279322</v>
      </c>
      <c r="AS15" s="206">
        <v>25.557993043797612</v>
      </c>
      <c r="AT15" s="206">
        <v>-19.609967092591432</v>
      </c>
      <c r="AU15" s="206"/>
      <c r="AV15" s="206"/>
      <c r="AW15" s="206"/>
      <c r="AX15" s="206"/>
      <c r="AY15" s="206"/>
    </row>
    <row r="16" spans="1:51">
      <c r="A16" s="196" t="s">
        <v>735</v>
      </c>
      <c r="B16" s="196" t="s">
        <v>736</v>
      </c>
      <c r="C16" s="204">
        <v>-582.4</v>
      </c>
      <c r="D16" s="204">
        <v>-575.9</v>
      </c>
      <c r="E16" s="204">
        <v>-579.15</v>
      </c>
      <c r="G16" s="196" t="s">
        <v>735</v>
      </c>
      <c r="H16" s="196" t="s">
        <v>737</v>
      </c>
      <c r="I16" s="204">
        <v>-576.31999999999994</v>
      </c>
      <c r="J16" s="204">
        <v>-571.31999999999994</v>
      </c>
      <c r="K16" s="204">
        <v>-573.81999999999994</v>
      </c>
      <c r="L16" s="204">
        <v>-569.9</v>
      </c>
      <c r="M16" s="224" t="s">
        <v>738</v>
      </c>
      <c r="N16" s="204">
        <v>23.75</v>
      </c>
      <c r="O16" s="204">
        <v>33.75</v>
      </c>
      <c r="P16" s="204">
        <v>28.75</v>
      </c>
      <c r="R16" s="205">
        <v>7</v>
      </c>
      <c r="S16" s="204">
        <v>29.25</v>
      </c>
      <c r="T16" s="204">
        <v>-46.25</v>
      </c>
      <c r="U16" s="204">
        <v>-18.5</v>
      </c>
      <c r="V16" s="204">
        <v>-1.5</v>
      </c>
      <c r="W16" s="204">
        <v>53.75</v>
      </c>
      <c r="X16" s="205">
        <v>7</v>
      </c>
      <c r="Y16" s="204">
        <v>75.5</v>
      </c>
      <c r="Z16" s="204">
        <v>47.75</v>
      </c>
      <c r="AA16" s="204">
        <v>30.75</v>
      </c>
      <c r="AB16" s="204">
        <v>-24.5</v>
      </c>
      <c r="AC16" s="205">
        <v>7</v>
      </c>
      <c r="AD16" s="202">
        <v>5.8674999999999997</v>
      </c>
      <c r="AE16" s="225">
        <v>0.58599999999999997</v>
      </c>
      <c r="AF16" s="203">
        <v>2.5680000000000001</v>
      </c>
      <c r="AG16" s="202">
        <v>2.8649999999999998</v>
      </c>
      <c r="AH16" s="203">
        <v>4.9474999999999998</v>
      </c>
      <c r="AI16" s="205">
        <v>7</v>
      </c>
      <c r="AJ16" s="206">
        <v>565.14963354796657</v>
      </c>
      <c r="AK16" s="206">
        <v>706.55467115144972</v>
      </c>
      <c r="AL16" s="206">
        <v>651.90379615781717</v>
      </c>
      <c r="AM16" s="206">
        <v>632.56191770575015</v>
      </c>
      <c r="AN16" s="206">
        <v>578.04062400568694</v>
      </c>
      <c r="AO16" s="205">
        <v>7</v>
      </c>
      <c r="AP16" s="205"/>
      <c r="AQ16" s="206">
        <v>87.072126390852588</v>
      </c>
      <c r="AR16" s="206">
        <v>50.589870917382477</v>
      </c>
      <c r="AS16" s="206">
        <v>30.92892328019725</v>
      </c>
      <c r="AT16" s="206">
        <v>-25.726030587249177</v>
      </c>
      <c r="AU16" s="206"/>
      <c r="AV16" s="206"/>
      <c r="AW16" s="206"/>
      <c r="AX16" s="206"/>
      <c r="AY16" s="206"/>
    </row>
    <row r="17" spans="1:51">
      <c r="A17" s="196" t="s">
        <v>739</v>
      </c>
      <c r="B17" s="196" t="s">
        <v>740</v>
      </c>
      <c r="C17" s="204">
        <v>-690.44999999999993</v>
      </c>
      <c r="D17" s="204">
        <v>-680.44999999999993</v>
      </c>
      <c r="E17" s="204">
        <v>-685.44999999999993</v>
      </c>
      <c r="G17" s="196" t="s">
        <v>739</v>
      </c>
      <c r="H17" s="196" t="s">
        <v>741</v>
      </c>
      <c r="I17" s="204">
        <v>-683.18000000000006</v>
      </c>
      <c r="J17" s="204">
        <v>-675.18000000000006</v>
      </c>
      <c r="K17" s="204">
        <v>-679.18000000000006</v>
      </c>
      <c r="L17" s="204">
        <v>-679.7</v>
      </c>
      <c r="M17" s="224" t="s">
        <v>742</v>
      </c>
      <c r="N17" s="204">
        <v>24.25</v>
      </c>
      <c r="O17" s="204">
        <v>34.25</v>
      </c>
      <c r="P17" s="204">
        <v>29.25</v>
      </c>
      <c r="R17" s="205">
        <v>10</v>
      </c>
      <c r="S17" s="204">
        <v>29.333333333333332</v>
      </c>
      <c r="T17" s="204">
        <v>-39.25</v>
      </c>
      <c r="U17" s="204">
        <v>-14.5</v>
      </c>
      <c r="V17" s="204">
        <v>-6</v>
      </c>
      <c r="W17" s="204">
        <v>56.75</v>
      </c>
      <c r="X17" s="205">
        <v>10</v>
      </c>
      <c r="Y17" s="204">
        <v>68.583333333333329</v>
      </c>
      <c r="Z17" s="204">
        <v>43.833333333333329</v>
      </c>
      <c r="AA17" s="204">
        <v>35.333333333333329</v>
      </c>
      <c r="AB17" s="204">
        <v>-27.416666666666668</v>
      </c>
      <c r="AC17" s="205">
        <v>10</v>
      </c>
      <c r="AD17" s="202">
        <v>5.9325000000000001</v>
      </c>
      <c r="AE17" s="225">
        <v>0.67599999999999993</v>
      </c>
      <c r="AF17" s="203">
        <v>2.9079999999999999</v>
      </c>
      <c r="AG17" s="202">
        <v>3.3875000000000002</v>
      </c>
      <c r="AH17" s="203">
        <v>5.2624999999999993</v>
      </c>
      <c r="AI17" s="205">
        <v>10</v>
      </c>
      <c r="AJ17" s="206">
        <v>740.24509742104283</v>
      </c>
      <c r="AK17" s="206">
        <v>999.30278029745887</v>
      </c>
      <c r="AL17" s="206">
        <v>883.23100170930707</v>
      </c>
      <c r="AM17" s="206">
        <v>847.67272555399563</v>
      </c>
      <c r="AN17" s="206">
        <v>753.73069120123114</v>
      </c>
      <c r="AO17" s="205">
        <v>10</v>
      </c>
      <c r="AP17" s="205"/>
      <c r="AQ17" s="206">
        <v>82.319343322894781</v>
      </c>
      <c r="AR17" s="206">
        <v>46.634156492315455</v>
      </c>
      <c r="AS17" s="206">
        <v>36.20407975373292</v>
      </c>
      <c r="AT17" s="206">
        <v>-28.450523492861063</v>
      </c>
      <c r="AU17" s="206"/>
      <c r="AV17" s="206"/>
      <c r="AW17" s="206"/>
      <c r="AX17" s="206"/>
      <c r="AY17" s="206"/>
    </row>
    <row r="18" spans="1:51">
      <c r="A18" s="196" t="s">
        <v>348</v>
      </c>
      <c r="B18" s="196" t="s">
        <v>743</v>
      </c>
      <c r="C18" s="204">
        <v>-909.4</v>
      </c>
      <c r="D18" s="204">
        <v>-894.4</v>
      </c>
      <c r="E18" s="204">
        <v>-901.9</v>
      </c>
      <c r="G18" s="196" t="s">
        <v>348</v>
      </c>
      <c r="H18" s="196" t="s">
        <v>744</v>
      </c>
      <c r="I18" s="204">
        <v>-894.21</v>
      </c>
      <c r="J18" s="204">
        <v>-884.21</v>
      </c>
      <c r="K18" s="204">
        <v>-889.21</v>
      </c>
      <c r="L18" s="204">
        <v>-891.8</v>
      </c>
      <c r="M18" s="224" t="s">
        <v>745</v>
      </c>
      <c r="N18" s="204">
        <v>11.25</v>
      </c>
      <c r="O18" s="204">
        <v>21.25</v>
      </c>
      <c r="P18" s="204">
        <v>16.25</v>
      </c>
      <c r="R18" s="205">
        <v>15</v>
      </c>
      <c r="S18" s="204">
        <v>19.166666666666668</v>
      </c>
      <c r="T18" s="204">
        <v>-28.5</v>
      </c>
      <c r="U18" s="204">
        <v>-8</v>
      </c>
      <c r="V18" s="204">
        <v>-9</v>
      </c>
      <c r="W18" s="204">
        <v>58.25</v>
      </c>
      <c r="X18" s="205">
        <v>15</v>
      </c>
      <c r="Y18" s="204">
        <v>47.666666666666671</v>
      </c>
      <c r="Z18" s="204">
        <v>27.166666666666668</v>
      </c>
      <c r="AA18" s="204">
        <v>28.166666666666668</v>
      </c>
      <c r="AB18" s="204">
        <v>-39.083333333333329</v>
      </c>
      <c r="AC18" s="205">
        <v>15</v>
      </c>
      <c r="AD18" s="202">
        <v>5.9904999999999999</v>
      </c>
      <c r="AE18" s="225">
        <v>0.78399999999999992</v>
      </c>
      <c r="AF18" s="203">
        <v>3.2080000000000002</v>
      </c>
      <c r="AG18" s="202">
        <v>3.8129999999999997</v>
      </c>
      <c r="AH18" s="203">
        <v>5.4824999999999999</v>
      </c>
      <c r="AI18" s="205">
        <v>15</v>
      </c>
      <c r="AJ18" s="206">
        <v>973.07852546971139</v>
      </c>
      <c r="AK18" s="206">
        <v>1464.4305522232287</v>
      </c>
      <c r="AL18" s="206">
        <v>1210.167488981001</v>
      </c>
      <c r="AM18" s="206">
        <v>1145.3809212474362</v>
      </c>
      <c r="AN18" s="206">
        <v>980.40652776093827</v>
      </c>
      <c r="AO18" s="205">
        <v>15</v>
      </c>
      <c r="AP18" s="205"/>
      <c r="AQ18" s="206">
        <v>62.057625254223254</v>
      </c>
      <c r="AR18" s="206">
        <v>29.115853354529051</v>
      </c>
      <c r="AS18" s="206">
        <v>29.760290944060909</v>
      </c>
      <c r="AT18" s="206">
        <v>-39.521998993186344</v>
      </c>
      <c r="AU18" s="206"/>
      <c r="AV18" s="206"/>
      <c r="AW18" s="206"/>
      <c r="AX18" s="206"/>
      <c r="AY18" s="206"/>
    </row>
    <row r="19" spans="1:51">
      <c r="A19" s="196" t="s">
        <v>351</v>
      </c>
      <c r="B19" s="196" t="s">
        <v>746</v>
      </c>
      <c r="C19" s="204">
        <v>-1289.4000000000001</v>
      </c>
      <c r="D19" s="204">
        <v>-1269.4000000000001</v>
      </c>
      <c r="E19" s="204">
        <v>-1279.4000000000001</v>
      </c>
      <c r="G19" s="196" t="s">
        <v>351</v>
      </c>
      <c r="H19" s="196" t="s">
        <v>747</v>
      </c>
      <c r="I19" s="204">
        <v>-1259.81</v>
      </c>
      <c r="J19" s="204">
        <v>-1229.81</v>
      </c>
      <c r="K19" s="204">
        <v>-1244.81</v>
      </c>
      <c r="L19" s="204"/>
      <c r="M19" s="224" t="s">
        <v>748</v>
      </c>
      <c r="N19" s="204">
        <v>0.5</v>
      </c>
      <c r="O19" s="204">
        <v>10.5</v>
      </c>
      <c r="P19" s="204">
        <v>5.5</v>
      </c>
      <c r="R19" s="205">
        <v>20</v>
      </c>
      <c r="S19" s="204">
        <v>7.5</v>
      </c>
      <c r="T19" s="204">
        <v>-21.75</v>
      </c>
      <c r="U19" s="204">
        <v>-3.25</v>
      </c>
      <c r="V19" s="204">
        <v>-10</v>
      </c>
      <c r="W19" s="204"/>
      <c r="X19" s="205">
        <v>20</v>
      </c>
      <c r="Y19" s="204">
        <v>29.25</v>
      </c>
      <c r="Z19" s="204">
        <v>10.75</v>
      </c>
      <c r="AA19" s="204">
        <v>17.5</v>
      </c>
      <c r="AB19" s="204">
        <v>7.5</v>
      </c>
      <c r="AC19" s="205">
        <v>20</v>
      </c>
      <c r="AD19" s="202">
        <v>5.9154999999999998</v>
      </c>
      <c r="AE19" s="225">
        <v>0.90300000000000002</v>
      </c>
      <c r="AF19" s="203">
        <v>3.258</v>
      </c>
      <c r="AG19" s="202">
        <v>3.9550000000000001</v>
      </c>
      <c r="AI19" s="205">
        <v>20</v>
      </c>
      <c r="AJ19" s="206">
        <v>1161.072455685656</v>
      </c>
      <c r="AK19" s="206">
        <v>1893.4009039592499</v>
      </c>
      <c r="AL19" s="206">
        <v>1490.0472108135082</v>
      </c>
      <c r="AM19" s="206">
        <v>1389.7251024586942</v>
      </c>
      <c r="AN19" s="206"/>
      <c r="AO19" s="205">
        <v>20</v>
      </c>
      <c r="AP19" s="205"/>
      <c r="AQ19" s="206">
        <v>42.968475252730471</v>
      </c>
      <c r="AR19" s="206">
        <v>11.67084516253048</v>
      </c>
      <c r="AS19" s="206">
        <v>19.469322807145662</v>
      </c>
      <c r="AT19" s="206"/>
      <c r="AU19" s="206"/>
      <c r="AV19" s="206"/>
      <c r="AW19" s="206"/>
      <c r="AX19" s="206"/>
      <c r="AY19" s="206"/>
    </row>
    <row r="20" spans="1:51">
      <c r="A20" s="196" t="s">
        <v>354</v>
      </c>
      <c r="B20" s="196" t="s">
        <v>749</v>
      </c>
      <c r="C20" s="204">
        <v>-1648</v>
      </c>
      <c r="D20" s="204">
        <v>-1539</v>
      </c>
      <c r="E20" s="204">
        <v>-1593.5</v>
      </c>
      <c r="G20" s="196" t="s">
        <v>354</v>
      </c>
      <c r="H20" s="196" t="s">
        <v>750</v>
      </c>
      <c r="I20" s="204">
        <v>-1597.83</v>
      </c>
      <c r="J20" s="204">
        <v>-1557.83</v>
      </c>
      <c r="K20" s="204">
        <v>-1577.83</v>
      </c>
      <c r="L20" s="204"/>
      <c r="M20" s="224" t="s">
        <v>751</v>
      </c>
      <c r="N20" s="217">
        <v>-11</v>
      </c>
      <c r="O20" s="217">
        <v>-1</v>
      </c>
      <c r="P20" s="204">
        <v>-6</v>
      </c>
      <c r="R20" s="205">
        <v>25</v>
      </c>
      <c r="S20" s="204">
        <v>-3.25</v>
      </c>
      <c r="T20" s="204">
        <v>-17.25</v>
      </c>
      <c r="U20" s="204">
        <v>-0.5</v>
      </c>
      <c r="V20" s="204">
        <v>-8.375</v>
      </c>
      <c r="W20" s="204"/>
      <c r="X20" s="205">
        <v>25</v>
      </c>
      <c r="Y20" s="204">
        <v>14</v>
      </c>
      <c r="Z20" s="204">
        <v>-2.75</v>
      </c>
      <c r="AA20" s="204">
        <v>5.125</v>
      </c>
      <c r="AB20" s="204">
        <v>-3.25</v>
      </c>
      <c r="AC20" s="205">
        <v>25</v>
      </c>
      <c r="AD20" s="202">
        <v>5.8004999999999995</v>
      </c>
      <c r="AE20" s="225">
        <v>1.0289999999999999</v>
      </c>
      <c r="AF20" s="203">
        <v>3.2330000000000001</v>
      </c>
      <c r="AG20" s="202">
        <v>4.0049999999999999</v>
      </c>
      <c r="AI20" s="205">
        <v>25</v>
      </c>
      <c r="AJ20" s="206">
        <v>1319.5181160413838</v>
      </c>
      <c r="AK20" s="206">
        <v>2279.5360399007809</v>
      </c>
      <c r="AL20" s="206">
        <v>1734.9117115808697</v>
      </c>
      <c r="AM20" s="206">
        <v>1588.806507336086</v>
      </c>
      <c r="AN20" s="206"/>
      <c r="AO20" s="205">
        <v>25</v>
      </c>
      <c r="AP20" s="205"/>
      <c r="AQ20" s="206">
        <v>26.55027042467314</v>
      </c>
      <c r="AR20" s="206">
        <v>-2.592596478786632</v>
      </c>
      <c r="AS20" s="206">
        <v>6.8341771986117994</v>
      </c>
      <c r="AT20" s="206"/>
      <c r="AU20" s="206"/>
      <c r="AV20" s="206"/>
      <c r="AW20" s="206"/>
      <c r="AX20" s="206"/>
      <c r="AY20" s="206"/>
    </row>
    <row r="21" spans="1:51">
      <c r="A21" s="196" t="s">
        <v>357</v>
      </c>
      <c r="B21" s="196" t="s">
        <v>752</v>
      </c>
      <c r="C21" s="204">
        <v>-1859.2</v>
      </c>
      <c r="D21" s="204">
        <v>-1829.2</v>
      </c>
      <c r="E21" s="204">
        <v>-1844.2</v>
      </c>
      <c r="G21" s="196" t="s">
        <v>357</v>
      </c>
      <c r="H21" s="196" t="s">
        <v>753</v>
      </c>
      <c r="I21" s="204">
        <v>-1840.25</v>
      </c>
      <c r="J21" s="204">
        <v>-1790.25</v>
      </c>
      <c r="K21" s="204">
        <v>-1815.25</v>
      </c>
      <c r="L21" s="204"/>
      <c r="M21" s="224" t="s">
        <v>754</v>
      </c>
      <c r="N21" s="204">
        <v>-22.5</v>
      </c>
      <c r="O21" s="204">
        <v>-12.5</v>
      </c>
      <c r="P21" s="204">
        <v>-17.5</v>
      </c>
      <c r="R21" s="205">
        <v>30</v>
      </c>
      <c r="S21" s="204">
        <v>-14.483333333333334</v>
      </c>
      <c r="T21" s="204">
        <v>-14.5</v>
      </c>
      <c r="U21" s="204">
        <v>2.25</v>
      </c>
      <c r="V21" s="204">
        <v>-6.75</v>
      </c>
      <c r="W21" s="204"/>
      <c r="X21" s="205">
        <v>30</v>
      </c>
      <c r="Y21" s="204">
        <v>1.6666666666665719E-2</v>
      </c>
      <c r="Z21" s="204">
        <v>-16.733333333333334</v>
      </c>
      <c r="AA21" s="204">
        <v>-7.7333333333333343</v>
      </c>
      <c r="AB21" s="204">
        <v>-14.483333333333334</v>
      </c>
      <c r="AC21" s="205">
        <v>30</v>
      </c>
      <c r="AD21" s="202">
        <v>5.6604999999999999</v>
      </c>
      <c r="AE21" s="225">
        <v>1.1540000000000001</v>
      </c>
      <c r="AF21" s="203">
        <v>3.077</v>
      </c>
      <c r="AG21" s="202">
        <v>0</v>
      </c>
      <c r="AI21" s="205">
        <v>30</v>
      </c>
      <c r="AJ21" s="206">
        <v>1462.5203387958752</v>
      </c>
      <c r="AK21" s="206">
        <v>2621.6176567681218</v>
      </c>
      <c r="AL21" s="206">
        <v>1975.6693468268611</v>
      </c>
      <c r="AM21" s="206">
        <v>3030.8394057545815</v>
      </c>
      <c r="AN21" s="206"/>
      <c r="AO21" s="205">
        <v>30</v>
      </c>
      <c r="AP21" s="205"/>
      <c r="AQ21" s="206">
        <v>11.508411885358854</v>
      </c>
      <c r="AR21" s="206">
        <v>-17.522782366924424</v>
      </c>
      <c r="AS21" s="206">
        <v>-0.49503830169837038</v>
      </c>
      <c r="AT21" s="206"/>
      <c r="AV21" s="206"/>
    </row>
    <row r="22" spans="1:51">
      <c r="A22" s="196" t="s">
        <v>362</v>
      </c>
      <c r="B22" s="196" t="s">
        <v>755</v>
      </c>
      <c r="C22" s="204">
        <v>-2221.5</v>
      </c>
      <c r="D22" s="204">
        <v>-2173.5</v>
      </c>
      <c r="E22" s="204">
        <v>-2197.5</v>
      </c>
      <c r="F22" s="200"/>
      <c r="G22" s="196" t="s">
        <v>362</v>
      </c>
      <c r="H22" s="196" t="s">
        <v>756</v>
      </c>
      <c r="I22" s="204" t="s">
        <v>757</v>
      </c>
      <c r="J22" s="204" t="s">
        <v>757</v>
      </c>
      <c r="K22" s="204" t="e">
        <v>#DIV/0!</v>
      </c>
      <c r="L22" s="204"/>
    </row>
    <row r="23" spans="1:51">
      <c r="A23" s="196" t="s">
        <v>365</v>
      </c>
      <c r="B23" s="196" t="s">
        <v>758</v>
      </c>
      <c r="C23" s="204">
        <v>-2573.3000000000002</v>
      </c>
      <c r="D23" s="204">
        <v>-2498.3000000000002</v>
      </c>
      <c r="E23" s="204">
        <v>-2535.8000000000002</v>
      </c>
      <c r="F23" s="200"/>
      <c r="G23" s="196" t="s">
        <v>365</v>
      </c>
      <c r="H23" s="196" t="s">
        <v>759</v>
      </c>
      <c r="I23" s="204" t="s">
        <v>757</v>
      </c>
      <c r="J23" s="204" t="s">
        <v>757</v>
      </c>
      <c r="K23" s="204" t="e">
        <v>#DIV/0!</v>
      </c>
      <c r="L23" s="204"/>
    </row>
    <row r="24" spans="1:51">
      <c r="A24" s="196" t="s">
        <v>373</v>
      </c>
      <c r="B24" s="196" t="s">
        <v>760</v>
      </c>
      <c r="C24" s="204">
        <v>-2925</v>
      </c>
      <c r="D24" s="204">
        <v>-2835</v>
      </c>
      <c r="E24" s="204">
        <v>-2880</v>
      </c>
      <c r="G24" s="196" t="s">
        <v>373</v>
      </c>
      <c r="H24" s="196" t="s">
        <v>761</v>
      </c>
      <c r="I24" s="204" t="s">
        <v>757</v>
      </c>
      <c r="J24" s="204" t="s">
        <v>757</v>
      </c>
      <c r="K24" s="204" t="e">
        <v>#DIV/0!</v>
      </c>
      <c r="L24" s="204"/>
    </row>
    <row r="25" spans="1:51">
      <c r="M25" s="224"/>
      <c r="N25" s="204"/>
      <c r="O25" s="204"/>
      <c r="P25" s="204"/>
    </row>
    <row r="26" spans="1:51">
      <c r="A26" s="196" t="s">
        <v>713</v>
      </c>
      <c r="B26" s="196"/>
      <c r="C26" s="196" t="s">
        <v>113</v>
      </c>
      <c r="D26" s="196" t="s">
        <v>114</v>
      </c>
      <c r="E26" s="196" t="s">
        <v>112</v>
      </c>
      <c r="G26" s="196" t="s">
        <v>713</v>
      </c>
      <c r="H26" s="196" t="s">
        <v>683</v>
      </c>
      <c r="I26" s="196" t="s">
        <v>113</v>
      </c>
      <c r="J26" s="196" t="s">
        <v>114</v>
      </c>
      <c r="K26" s="196" t="s">
        <v>112</v>
      </c>
      <c r="N26" s="196" t="s">
        <v>113</v>
      </c>
      <c r="O26" s="196" t="s">
        <v>114</v>
      </c>
      <c r="P26" s="196" t="s">
        <v>112</v>
      </c>
    </row>
    <row r="27" spans="1:51">
      <c r="B27" s="196" t="s">
        <v>762</v>
      </c>
      <c r="C27" s="203">
        <v>83.1</v>
      </c>
      <c r="D27" s="203">
        <v>83.14</v>
      </c>
      <c r="E27" s="203">
        <v>83.12</v>
      </c>
      <c r="H27" s="196" t="s">
        <v>763</v>
      </c>
      <c r="I27" s="203">
        <v>83.1</v>
      </c>
      <c r="J27" s="203">
        <v>83.14</v>
      </c>
      <c r="K27" s="203">
        <v>83.12</v>
      </c>
      <c r="M27" s="224" t="s">
        <v>764</v>
      </c>
      <c r="N27" s="204">
        <v>-36</v>
      </c>
      <c r="O27" s="204">
        <v>-30</v>
      </c>
      <c r="P27" s="204">
        <v>-33</v>
      </c>
      <c r="R27" s="205"/>
      <c r="S27" s="204"/>
    </row>
    <row r="28" spans="1:51">
      <c r="A28" s="196" t="s">
        <v>686</v>
      </c>
      <c r="B28" s="196" t="s">
        <v>765</v>
      </c>
      <c r="C28" s="204">
        <v>-0.05</v>
      </c>
      <c r="D28" s="204">
        <v>-0.04</v>
      </c>
      <c r="E28" s="204">
        <v>-4.4999999999999998E-2</v>
      </c>
      <c r="G28" s="196" t="s">
        <v>686</v>
      </c>
      <c r="H28" s="196" t="s">
        <v>766</v>
      </c>
      <c r="I28" s="204">
        <v>-0.05</v>
      </c>
      <c r="J28" s="204">
        <v>-0.02</v>
      </c>
      <c r="K28" s="204">
        <v>-3.5000000000000003E-2</v>
      </c>
      <c r="M28" s="224" t="s">
        <v>767</v>
      </c>
      <c r="N28" s="204">
        <v>-42.5</v>
      </c>
      <c r="O28" s="204">
        <v>-36.5</v>
      </c>
      <c r="P28" s="204">
        <v>-39.5</v>
      </c>
      <c r="R28" s="205"/>
      <c r="S28" s="204"/>
    </row>
    <row r="29" spans="1:51">
      <c r="A29" s="196" t="s">
        <v>690</v>
      </c>
      <c r="B29" s="196" t="s">
        <v>768</v>
      </c>
      <c r="C29" s="204">
        <v>-0.05</v>
      </c>
      <c r="D29" s="204">
        <v>-0.04</v>
      </c>
      <c r="E29" s="204">
        <v>-4.4999999999999998E-2</v>
      </c>
      <c r="G29" s="196" t="s">
        <v>690</v>
      </c>
      <c r="H29" s="196" t="s">
        <v>769</v>
      </c>
      <c r="I29" s="204">
        <v>-5.5E-2</v>
      </c>
      <c r="J29" s="204">
        <v>-4.4999999999999998E-2</v>
      </c>
      <c r="K29" s="204">
        <v>-0.05</v>
      </c>
      <c r="M29" s="224" t="s">
        <v>770</v>
      </c>
      <c r="N29" s="204">
        <v>-47.5</v>
      </c>
      <c r="O29" s="204">
        <v>-41.5</v>
      </c>
      <c r="P29" s="204">
        <v>-44.5</v>
      </c>
      <c r="Q29" s="200"/>
      <c r="R29" s="205"/>
      <c r="S29" s="204"/>
    </row>
    <row r="30" spans="1:51">
      <c r="A30" s="196" t="s">
        <v>693</v>
      </c>
      <c r="B30" s="196" t="s">
        <v>771</v>
      </c>
      <c r="C30" s="204">
        <v>-0.42000000000000004</v>
      </c>
      <c r="D30" s="204">
        <v>-0.36</v>
      </c>
      <c r="E30" s="204">
        <v>-0.39</v>
      </c>
      <c r="G30" s="196" t="s">
        <v>693</v>
      </c>
      <c r="H30" s="196" t="s">
        <v>772</v>
      </c>
      <c r="I30" s="204">
        <v>-0.41000000000000003</v>
      </c>
      <c r="J30" s="204">
        <v>-0.37</v>
      </c>
      <c r="K30" s="204">
        <v>-0.39</v>
      </c>
      <c r="M30" s="224" t="s">
        <v>773</v>
      </c>
      <c r="N30" s="204">
        <v>-50.25</v>
      </c>
      <c r="O30" s="204">
        <v>-44.25</v>
      </c>
      <c r="P30" s="204">
        <v>-47.25</v>
      </c>
      <c r="R30" s="205"/>
      <c r="S30" s="204"/>
    </row>
    <row r="31" spans="1:51">
      <c r="A31" s="196" t="s">
        <v>696</v>
      </c>
      <c r="B31" s="196" t="s">
        <v>774</v>
      </c>
      <c r="C31" s="204">
        <v>-1.9</v>
      </c>
      <c r="D31" s="204">
        <v>-1.7</v>
      </c>
      <c r="E31" s="204">
        <v>-1.7999999999999998</v>
      </c>
      <c r="G31" s="196" t="s">
        <v>696</v>
      </c>
      <c r="H31" s="196" t="s">
        <v>775</v>
      </c>
      <c r="I31" s="204">
        <v>-1.95</v>
      </c>
      <c r="J31" s="204">
        <v>-1.75</v>
      </c>
      <c r="K31" s="204">
        <v>-1.85</v>
      </c>
      <c r="M31" s="224" t="s">
        <v>776</v>
      </c>
      <c r="N31" s="204">
        <v>-51.25</v>
      </c>
      <c r="O31" s="204">
        <v>-45.25</v>
      </c>
      <c r="P31" s="204">
        <v>-48.25</v>
      </c>
      <c r="R31" s="205"/>
      <c r="S31" s="204"/>
    </row>
    <row r="32" spans="1:51">
      <c r="A32" s="196" t="s">
        <v>699</v>
      </c>
      <c r="B32" s="196" t="s">
        <v>777</v>
      </c>
      <c r="C32" s="204">
        <v>-4.96</v>
      </c>
      <c r="D32" s="204">
        <v>-4.71</v>
      </c>
      <c r="E32" s="204">
        <v>-4.835</v>
      </c>
      <c r="G32" s="196" t="s">
        <v>699</v>
      </c>
      <c r="H32" s="196" t="s">
        <v>778</v>
      </c>
      <c r="I32" s="204">
        <v>-4.8</v>
      </c>
      <c r="J32" s="204">
        <v>-4.5</v>
      </c>
      <c r="K32" s="204">
        <v>-4.6500000000000004</v>
      </c>
      <c r="M32" s="224" t="s">
        <v>779</v>
      </c>
      <c r="N32" s="204">
        <v>-49.25</v>
      </c>
      <c r="O32" s="204">
        <v>-43.25</v>
      </c>
      <c r="P32" s="204">
        <v>-46.25</v>
      </c>
      <c r="Q32" s="200"/>
      <c r="R32" s="205"/>
      <c r="S32" s="204"/>
    </row>
    <row r="33" spans="1:19">
      <c r="A33" s="196" t="s">
        <v>385</v>
      </c>
      <c r="B33" s="196" t="s">
        <v>780</v>
      </c>
      <c r="C33" s="204">
        <v>-7.45</v>
      </c>
      <c r="D33" s="204">
        <v>-7.25</v>
      </c>
      <c r="E33" s="204">
        <v>-7.35</v>
      </c>
      <c r="G33" s="196" t="s">
        <v>385</v>
      </c>
      <c r="H33" s="196" t="s">
        <v>781</v>
      </c>
      <c r="I33" s="204">
        <v>-7.5</v>
      </c>
      <c r="J33" s="204">
        <v>-7.2</v>
      </c>
      <c r="K33" s="204">
        <v>-7.35</v>
      </c>
      <c r="M33" s="224" t="s">
        <v>782</v>
      </c>
      <c r="N33" s="204">
        <v>-42.25</v>
      </c>
      <c r="O33" s="204">
        <v>-36.25</v>
      </c>
      <c r="P33" s="204">
        <v>-39.25</v>
      </c>
      <c r="R33" s="205"/>
      <c r="S33" s="204"/>
    </row>
    <row r="34" spans="1:19">
      <c r="A34" s="196" t="s">
        <v>705</v>
      </c>
      <c r="B34" s="196" t="s">
        <v>783</v>
      </c>
      <c r="C34" s="204">
        <v>-10.33</v>
      </c>
      <c r="D34" s="204">
        <v>-9.98</v>
      </c>
      <c r="E34" s="204">
        <v>-10.155000000000001</v>
      </c>
      <c r="G34" s="196" t="s">
        <v>705</v>
      </c>
      <c r="H34" s="196" t="s">
        <v>784</v>
      </c>
      <c r="I34" s="204">
        <v>-10.4</v>
      </c>
      <c r="J34" s="204">
        <v>-9.9</v>
      </c>
      <c r="K34" s="204">
        <v>-10.15</v>
      </c>
      <c r="M34" s="224" t="s">
        <v>785</v>
      </c>
      <c r="N34" s="204">
        <v>-31.5</v>
      </c>
      <c r="O34" s="204">
        <v>-25.5</v>
      </c>
      <c r="P34" s="204">
        <v>-28.5</v>
      </c>
      <c r="R34" s="205"/>
      <c r="S34" s="204"/>
    </row>
    <row r="35" spans="1:19">
      <c r="A35" s="196" t="s">
        <v>710</v>
      </c>
      <c r="B35" s="196" t="s">
        <v>786</v>
      </c>
      <c r="C35" s="204">
        <v>-14.05</v>
      </c>
      <c r="D35" s="204">
        <v>-13.450000000000001</v>
      </c>
      <c r="E35" s="204">
        <v>-13.75</v>
      </c>
      <c r="G35" s="196" t="s">
        <v>710</v>
      </c>
      <c r="H35" s="196" t="s">
        <v>787</v>
      </c>
      <c r="I35" s="204">
        <v>-13.75</v>
      </c>
      <c r="J35" s="204">
        <v>-13.25</v>
      </c>
      <c r="K35" s="204">
        <v>-13.5</v>
      </c>
      <c r="M35" s="224" t="s">
        <v>788</v>
      </c>
      <c r="N35" s="204">
        <v>-24.75</v>
      </c>
      <c r="O35" s="204">
        <v>-18.75</v>
      </c>
      <c r="P35" s="204">
        <v>-21.75</v>
      </c>
      <c r="R35" s="205"/>
      <c r="S35" s="204"/>
    </row>
    <row r="36" spans="1:19">
      <c r="A36" s="196" t="s">
        <v>342</v>
      </c>
      <c r="B36" s="196" t="s">
        <v>789</v>
      </c>
      <c r="C36" s="204">
        <v>-20</v>
      </c>
      <c r="D36" s="204">
        <v>-15</v>
      </c>
      <c r="E36" s="204">
        <v>-17.5</v>
      </c>
      <c r="G36" s="196" t="s">
        <v>342</v>
      </c>
      <c r="H36" s="196" t="s">
        <v>790</v>
      </c>
      <c r="I36" s="204">
        <v>-17.3</v>
      </c>
      <c r="J36" s="204">
        <v>-16.8</v>
      </c>
      <c r="K36" s="204">
        <v>-17.05</v>
      </c>
      <c r="M36" s="224" t="s">
        <v>791</v>
      </c>
      <c r="N36" s="204">
        <v>-20.25</v>
      </c>
      <c r="O36" s="204">
        <v>-14.25</v>
      </c>
      <c r="P36" s="204">
        <v>-17.25</v>
      </c>
      <c r="R36" s="205"/>
      <c r="S36" s="204"/>
    </row>
    <row r="37" spans="1:19">
      <c r="A37" s="196" t="s">
        <v>720</v>
      </c>
      <c r="B37" s="196" t="s">
        <v>792</v>
      </c>
      <c r="C37" s="204">
        <v>-21.67</v>
      </c>
      <c r="D37" s="204">
        <v>-21.05</v>
      </c>
      <c r="E37" s="204">
        <v>-21.36</v>
      </c>
      <c r="G37" s="196" t="s">
        <v>720</v>
      </c>
      <c r="H37" s="196" t="s">
        <v>793</v>
      </c>
      <c r="I37" s="204">
        <v>-22</v>
      </c>
      <c r="J37" s="204">
        <v>-21</v>
      </c>
      <c r="K37" s="204">
        <v>-21.5</v>
      </c>
      <c r="M37" s="224" t="s">
        <v>794</v>
      </c>
      <c r="N37" s="204">
        <v>-17.5</v>
      </c>
      <c r="O37" s="204">
        <v>-11.5</v>
      </c>
      <c r="P37" s="204">
        <v>-14.5</v>
      </c>
    </row>
    <row r="38" spans="1:19">
      <c r="A38" s="196" t="s">
        <v>724</v>
      </c>
      <c r="B38" s="196" t="s">
        <v>795</v>
      </c>
      <c r="C38" s="204">
        <v>-29</v>
      </c>
      <c r="D38" s="204">
        <v>-24</v>
      </c>
      <c r="E38" s="204">
        <v>-26.5</v>
      </c>
      <c r="G38" s="196" t="s">
        <v>724</v>
      </c>
      <c r="H38" s="196" t="s">
        <v>796</v>
      </c>
      <c r="I38" s="204">
        <v>-26.1</v>
      </c>
      <c r="J38" s="204">
        <v>-25.1</v>
      </c>
      <c r="K38" s="204">
        <v>-25.6</v>
      </c>
    </row>
    <row r="39" spans="1:19">
      <c r="A39" s="196" t="s">
        <v>728</v>
      </c>
      <c r="B39" s="196" t="s">
        <v>797</v>
      </c>
      <c r="C39" s="204">
        <v>-30.25</v>
      </c>
      <c r="D39" s="204">
        <v>-29.25</v>
      </c>
      <c r="E39" s="204">
        <v>-29.75</v>
      </c>
      <c r="G39" s="196" t="s">
        <v>728</v>
      </c>
      <c r="H39" s="196" t="s">
        <v>798</v>
      </c>
      <c r="I39" s="204">
        <v>-30.5</v>
      </c>
      <c r="J39" s="204">
        <v>-29</v>
      </c>
      <c r="K39" s="204">
        <v>-29.75</v>
      </c>
    </row>
    <row r="40" spans="1:19">
      <c r="A40" s="196" t="s">
        <v>344</v>
      </c>
      <c r="B40" s="196" t="s">
        <v>799</v>
      </c>
      <c r="C40" s="204">
        <v>-47.53</v>
      </c>
      <c r="D40" s="204">
        <v>-46.48</v>
      </c>
      <c r="E40" s="204">
        <v>-47.004999999999995</v>
      </c>
      <c r="G40" s="196" t="s">
        <v>344</v>
      </c>
      <c r="H40" s="196" t="s">
        <v>800</v>
      </c>
      <c r="I40" s="204">
        <v>-47</v>
      </c>
      <c r="J40" s="204">
        <v>-46.75</v>
      </c>
      <c r="K40" s="204">
        <v>-46.875</v>
      </c>
    </row>
    <row r="41" spans="1:19">
      <c r="A41" s="196" t="s">
        <v>735</v>
      </c>
      <c r="B41" s="196" t="s">
        <v>801</v>
      </c>
      <c r="C41" s="204">
        <v>-70</v>
      </c>
      <c r="D41" s="204">
        <v>-64.5</v>
      </c>
      <c r="E41" s="204">
        <v>-67.25</v>
      </c>
      <c r="G41" s="196" t="s">
        <v>735</v>
      </c>
      <c r="H41" s="196" t="s">
        <v>802</v>
      </c>
      <c r="I41" s="204">
        <v>-69.649999999999991</v>
      </c>
      <c r="J41" s="204">
        <v>-64.649999999999991</v>
      </c>
      <c r="K41" s="204">
        <v>-67.149999999999991</v>
      </c>
    </row>
    <row r="42" spans="1:19">
      <c r="A42" s="196" t="s">
        <v>739</v>
      </c>
      <c r="B42" s="196" t="s">
        <v>803</v>
      </c>
      <c r="C42" s="204">
        <v>-92.990000000000009</v>
      </c>
      <c r="D42" s="204">
        <v>-90.34</v>
      </c>
      <c r="E42" s="204">
        <v>-91.665000000000006</v>
      </c>
      <c r="G42" s="196" t="s">
        <v>739</v>
      </c>
      <c r="H42" s="196" t="s">
        <v>804</v>
      </c>
      <c r="I42" s="204">
        <v>-93.05</v>
      </c>
      <c r="J42" s="204">
        <v>-88.05</v>
      </c>
      <c r="K42" s="204">
        <v>-90.55</v>
      </c>
    </row>
    <row r="43" spans="1:19">
      <c r="A43" s="196" t="s">
        <v>348</v>
      </c>
      <c r="B43" s="196" t="s">
        <v>805</v>
      </c>
      <c r="C43" s="204">
        <v>-146.95000000000002</v>
      </c>
      <c r="D43" s="204">
        <v>-146.85000000000002</v>
      </c>
      <c r="E43" s="204">
        <v>-146.90000000000003</v>
      </c>
      <c r="G43" s="196" t="s">
        <v>348</v>
      </c>
      <c r="H43" s="196" t="s">
        <v>806</v>
      </c>
      <c r="I43" s="204">
        <v>-149.4</v>
      </c>
      <c r="J43" s="204">
        <v>-144.4</v>
      </c>
      <c r="K43" s="204">
        <v>-146.9</v>
      </c>
    </row>
    <row r="44" spans="1:19">
      <c r="A44" s="196" t="s">
        <v>351</v>
      </c>
      <c r="B44" s="196" t="s">
        <v>807</v>
      </c>
      <c r="C44" s="204">
        <v>-325.5</v>
      </c>
      <c r="D44" s="204">
        <v>-322</v>
      </c>
      <c r="E44" s="204">
        <v>-323.75</v>
      </c>
      <c r="G44" s="196" t="s">
        <v>351</v>
      </c>
      <c r="H44" s="196" t="s">
        <v>808</v>
      </c>
      <c r="I44" s="204">
        <v>-295</v>
      </c>
      <c r="J44" s="204">
        <v>-285</v>
      </c>
      <c r="K44" s="204">
        <v>-290</v>
      </c>
      <c r="M44" s="200"/>
    </row>
    <row r="45" spans="1:19">
      <c r="A45" s="196" t="s">
        <v>354</v>
      </c>
      <c r="B45" s="196" t="s">
        <v>809</v>
      </c>
      <c r="C45" s="204">
        <v>-517.5</v>
      </c>
      <c r="D45" s="204">
        <v>-513</v>
      </c>
      <c r="E45" s="204">
        <v>-515.25</v>
      </c>
      <c r="G45" s="196" t="s">
        <v>354</v>
      </c>
      <c r="H45" s="196" t="s">
        <v>810</v>
      </c>
      <c r="I45" s="204">
        <v>-486</v>
      </c>
      <c r="J45" s="204">
        <v>-466</v>
      </c>
      <c r="K45" s="204">
        <v>-476</v>
      </c>
      <c r="M45" s="200"/>
    </row>
    <row r="46" spans="1:19">
      <c r="A46" s="196" t="s">
        <v>357</v>
      </c>
      <c r="B46" s="196" t="s">
        <v>811</v>
      </c>
      <c r="C46" s="204">
        <v>-744</v>
      </c>
      <c r="D46" s="204">
        <v>-725</v>
      </c>
      <c r="E46" s="204">
        <v>-734.5</v>
      </c>
      <c r="G46" s="196" t="s">
        <v>357</v>
      </c>
      <c r="H46" s="196" t="s">
        <v>812</v>
      </c>
      <c r="I46" s="204">
        <v>-721</v>
      </c>
      <c r="J46" s="204">
        <v>-691</v>
      </c>
      <c r="K46" s="204">
        <v>-706</v>
      </c>
      <c r="M46" s="200"/>
    </row>
    <row r="47" spans="1:19">
      <c r="A47" s="196" t="s">
        <v>362</v>
      </c>
      <c r="B47" s="196" t="s">
        <v>813</v>
      </c>
      <c r="C47" s="204">
        <v>-1225</v>
      </c>
      <c r="D47" s="204">
        <v>-1155</v>
      </c>
      <c r="E47" s="204">
        <v>-1190</v>
      </c>
      <c r="G47" s="196" t="s">
        <v>362</v>
      </c>
      <c r="H47" s="196" t="s">
        <v>814</v>
      </c>
      <c r="I47" s="204" t="s">
        <v>757</v>
      </c>
      <c r="J47" s="204" t="s">
        <v>757</v>
      </c>
      <c r="K47" s="204" t="e">
        <v>#DIV/0!</v>
      </c>
    </row>
    <row r="48" spans="1:19">
      <c r="A48" s="196" t="s">
        <v>365</v>
      </c>
      <c r="B48" s="196" t="s">
        <v>815</v>
      </c>
      <c r="C48" s="204">
        <v>-1845</v>
      </c>
      <c r="D48" s="204">
        <v>-1765</v>
      </c>
      <c r="E48" s="204">
        <v>-1805</v>
      </c>
      <c r="G48" s="196" t="s">
        <v>365</v>
      </c>
      <c r="H48" s="196" t="s">
        <v>816</v>
      </c>
      <c r="I48" s="204" t="s">
        <v>757</v>
      </c>
      <c r="J48" s="204" t="s">
        <v>757</v>
      </c>
      <c r="K48" s="204" t="e">
        <v>#DIV/0!</v>
      </c>
    </row>
    <row r="49" spans="1:19">
      <c r="A49" s="196" t="s">
        <v>373</v>
      </c>
      <c r="B49" s="196" t="s">
        <v>817</v>
      </c>
      <c r="C49" s="204">
        <v>-2771</v>
      </c>
      <c r="D49" s="204">
        <v>-2602.3000000000002</v>
      </c>
      <c r="E49" s="204">
        <v>-2686.65</v>
      </c>
      <c r="G49" s="196" t="s">
        <v>373</v>
      </c>
      <c r="H49" s="196" t="s">
        <v>818</v>
      </c>
      <c r="I49" s="204" t="s">
        <v>757</v>
      </c>
      <c r="J49" s="204" t="s">
        <v>757</v>
      </c>
      <c r="K49" s="204" t="e">
        <v>#DIV/0!</v>
      </c>
    </row>
    <row r="50" spans="1:19">
      <c r="M50" s="224" t="s">
        <v>819</v>
      </c>
      <c r="N50" s="204">
        <v>-41</v>
      </c>
      <c r="O50" s="204">
        <v>-31</v>
      </c>
      <c r="P50" s="204">
        <v>-36</v>
      </c>
    </row>
    <row r="51" spans="1:19">
      <c r="A51" s="196" t="s">
        <v>714</v>
      </c>
      <c r="B51" s="196"/>
      <c r="C51" s="196" t="s">
        <v>113</v>
      </c>
      <c r="D51" s="196" t="s">
        <v>114</v>
      </c>
      <c r="E51" s="196" t="s">
        <v>112</v>
      </c>
      <c r="G51" s="196" t="s">
        <v>714</v>
      </c>
      <c r="H51" s="196"/>
      <c r="I51" s="196" t="s">
        <v>113</v>
      </c>
      <c r="J51" s="196" t="s">
        <v>114</v>
      </c>
      <c r="K51" s="196" t="s">
        <v>112</v>
      </c>
      <c r="N51" s="196" t="s">
        <v>113</v>
      </c>
      <c r="O51" s="196" t="s">
        <v>114</v>
      </c>
      <c r="P51" s="196" t="s">
        <v>112</v>
      </c>
    </row>
    <row r="52" spans="1:19">
      <c r="B52" s="196" t="s">
        <v>820</v>
      </c>
      <c r="C52" s="203">
        <v>1.3575999999999999</v>
      </c>
      <c r="D52" s="203">
        <v>1.3580000000000001</v>
      </c>
      <c r="E52" s="203">
        <v>1.3578000000000001</v>
      </c>
      <c r="H52" s="196" t="s">
        <v>820</v>
      </c>
      <c r="I52" s="203">
        <v>1.3575999999999999</v>
      </c>
      <c r="J52" s="203">
        <v>1.3580000000000001</v>
      </c>
      <c r="K52" s="203">
        <v>1.3578000000000001</v>
      </c>
      <c r="M52" s="224" t="s">
        <v>821</v>
      </c>
      <c r="N52" s="204">
        <v>-33.75</v>
      </c>
      <c r="O52" s="204">
        <v>-28.75</v>
      </c>
      <c r="P52" s="204">
        <v>-31.25</v>
      </c>
      <c r="Q52" s="200"/>
      <c r="R52" s="205"/>
      <c r="S52" s="204"/>
    </row>
    <row r="53" spans="1:19">
      <c r="A53" s="196" t="s">
        <v>686</v>
      </c>
      <c r="B53" s="196" t="s">
        <v>822</v>
      </c>
      <c r="C53" s="204">
        <v>-0.14300000000000002</v>
      </c>
      <c r="D53" s="204">
        <v>-0.13600000000000001</v>
      </c>
      <c r="E53" s="204">
        <v>-0.13950000000000001</v>
      </c>
      <c r="G53" s="196" t="s">
        <v>686</v>
      </c>
      <c r="H53" s="196" t="s">
        <v>822</v>
      </c>
      <c r="I53" s="203">
        <v>-0.14300000000000002</v>
      </c>
      <c r="J53" s="203">
        <v>-0.13600000000000001</v>
      </c>
      <c r="K53" s="204">
        <v>-0.13950000000000001</v>
      </c>
      <c r="M53" s="224" t="s">
        <v>823</v>
      </c>
      <c r="N53" s="204">
        <v>-31.75</v>
      </c>
      <c r="O53" s="204">
        <v>-26.75</v>
      </c>
      <c r="P53" s="204">
        <v>-29.25</v>
      </c>
      <c r="Q53" s="201"/>
      <c r="R53" s="205"/>
      <c r="S53" s="204"/>
    </row>
    <row r="54" spans="1:19">
      <c r="A54" s="196" t="s">
        <v>690</v>
      </c>
      <c r="B54" s="196" t="s">
        <v>824</v>
      </c>
      <c r="C54" s="204">
        <v>-0.14300000000000002</v>
      </c>
      <c r="D54" s="204">
        <v>-0.13600000000000001</v>
      </c>
      <c r="E54" s="204">
        <v>-0.13950000000000001</v>
      </c>
      <c r="G54" s="196" t="s">
        <v>690</v>
      </c>
      <c r="H54" s="196" t="s">
        <v>824</v>
      </c>
      <c r="I54" s="203">
        <v>-0.14300000000000002</v>
      </c>
      <c r="J54" s="203">
        <v>-0.13600000000000001</v>
      </c>
      <c r="K54" s="204">
        <v>-0.13950000000000001</v>
      </c>
      <c r="M54" s="224" t="s">
        <v>825</v>
      </c>
      <c r="N54" s="204">
        <v>-29.5</v>
      </c>
      <c r="O54" s="204">
        <v>-24.5</v>
      </c>
      <c r="P54" s="204">
        <v>-27</v>
      </c>
      <c r="Q54" s="204"/>
      <c r="R54" s="205"/>
      <c r="S54" s="204"/>
    </row>
    <row r="55" spans="1:19">
      <c r="A55" s="196" t="s">
        <v>693</v>
      </c>
      <c r="B55" s="196" t="s">
        <v>826</v>
      </c>
      <c r="C55" s="204">
        <v>-1.08</v>
      </c>
      <c r="D55" s="204">
        <v>-0.99</v>
      </c>
      <c r="E55" s="204">
        <v>-1.0350000000000001</v>
      </c>
      <c r="G55" s="196" t="s">
        <v>693</v>
      </c>
      <c r="H55" s="196" t="s">
        <v>826</v>
      </c>
      <c r="I55" s="203">
        <v>-1.08</v>
      </c>
      <c r="J55" s="203">
        <v>-0.99</v>
      </c>
      <c r="K55" s="204">
        <v>-1.0350000000000001</v>
      </c>
      <c r="M55" s="224" t="s">
        <v>827</v>
      </c>
      <c r="N55" s="204">
        <v>-27.25</v>
      </c>
      <c r="O55" s="204">
        <v>-22.25</v>
      </c>
      <c r="P55" s="204">
        <v>-24.75</v>
      </c>
      <c r="Q55" s="201"/>
      <c r="R55" s="205"/>
      <c r="S55" s="204"/>
    </row>
    <row r="56" spans="1:19">
      <c r="A56" s="196" t="s">
        <v>696</v>
      </c>
      <c r="B56" s="196" t="s">
        <v>828</v>
      </c>
      <c r="C56" s="204">
        <v>-4.07</v>
      </c>
      <c r="D56" s="204">
        <v>-3.8699999999999997</v>
      </c>
      <c r="E56" s="204">
        <v>-3.9699999999999998</v>
      </c>
      <c r="G56" s="196" t="s">
        <v>696</v>
      </c>
      <c r="H56" s="196" t="s">
        <v>828</v>
      </c>
      <c r="I56" s="203">
        <v>-4.07</v>
      </c>
      <c r="J56" s="203">
        <v>-3.8699999999999997</v>
      </c>
      <c r="K56" s="204">
        <v>-3.9699999999999998</v>
      </c>
      <c r="M56" s="224" t="s">
        <v>829</v>
      </c>
      <c r="N56" s="204">
        <v>-24.75</v>
      </c>
      <c r="O56" s="204">
        <v>-19.75</v>
      </c>
      <c r="P56" s="204">
        <v>-22.25</v>
      </c>
      <c r="Q56" s="204"/>
      <c r="R56" s="205"/>
      <c r="S56" s="204"/>
    </row>
    <row r="57" spans="1:19">
      <c r="A57" s="196" t="s">
        <v>699</v>
      </c>
      <c r="B57" s="196" t="s">
        <v>830</v>
      </c>
      <c r="C57" s="204">
        <v>-8.57</v>
      </c>
      <c r="D57" s="204">
        <v>-8.32</v>
      </c>
      <c r="E57" s="204">
        <v>-8.4450000000000003</v>
      </c>
      <c r="G57" s="196" t="s">
        <v>699</v>
      </c>
      <c r="H57" s="196" t="s">
        <v>830</v>
      </c>
      <c r="I57" s="203">
        <v>-8.57</v>
      </c>
      <c r="J57" s="203">
        <v>-8.32</v>
      </c>
      <c r="K57" s="204">
        <v>-8.4450000000000003</v>
      </c>
      <c r="M57" s="224" t="s">
        <v>831</v>
      </c>
      <c r="N57" s="204">
        <v>-21</v>
      </c>
      <c r="O57" s="204">
        <v>-16</v>
      </c>
      <c r="P57" s="204">
        <v>-18.5</v>
      </c>
      <c r="R57" s="205"/>
      <c r="S57" s="204"/>
    </row>
    <row r="58" spans="1:19">
      <c r="A58" s="196" t="s">
        <v>385</v>
      </c>
      <c r="B58" s="196" t="s">
        <v>832</v>
      </c>
      <c r="C58" s="204">
        <v>-13.92</v>
      </c>
      <c r="D58" s="204">
        <v>-13.42</v>
      </c>
      <c r="E58" s="204">
        <v>-13.67</v>
      </c>
      <c r="G58" s="196" t="s">
        <v>385</v>
      </c>
      <c r="H58" s="196" t="s">
        <v>832</v>
      </c>
      <c r="I58" s="203">
        <v>-13.92</v>
      </c>
      <c r="J58" s="203">
        <v>-13.42</v>
      </c>
      <c r="K58" s="204">
        <v>-13.67</v>
      </c>
      <c r="M58" s="224" t="s">
        <v>833</v>
      </c>
      <c r="N58" s="204">
        <v>-17</v>
      </c>
      <c r="O58" s="204">
        <v>-12</v>
      </c>
      <c r="P58" s="204">
        <v>-14.5</v>
      </c>
      <c r="R58" s="205"/>
      <c r="S58" s="204"/>
    </row>
    <row r="59" spans="1:19">
      <c r="A59" s="196" t="s">
        <v>705</v>
      </c>
      <c r="B59" s="196" t="s">
        <v>834</v>
      </c>
      <c r="C59" s="204">
        <v>-19.100000000000001</v>
      </c>
      <c r="D59" s="204">
        <v>-18.600000000000001</v>
      </c>
      <c r="E59" s="204">
        <v>-18.850000000000001</v>
      </c>
      <c r="G59" s="196" t="s">
        <v>705</v>
      </c>
      <c r="H59" s="196" t="s">
        <v>834</v>
      </c>
      <c r="I59" s="203">
        <v>-19.100000000000001</v>
      </c>
      <c r="J59" s="203">
        <v>-18.600000000000001</v>
      </c>
      <c r="K59" s="204">
        <v>-18.850000000000001</v>
      </c>
      <c r="M59" s="224" t="s">
        <v>835</v>
      </c>
      <c r="N59" s="204">
        <v>-10.5</v>
      </c>
      <c r="O59" s="204">
        <v>-5.5</v>
      </c>
      <c r="P59" s="204">
        <v>-8</v>
      </c>
      <c r="R59" s="205"/>
      <c r="S59" s="204"/>
    </row>
    <row r="60" spans="1:19">
      <c r="A60" s="196" t="s">
        <v>710</v>
      </c>
      <c r="B60" s="196" t="s">
        <v>836</v>
      </c>
      <c r="C60" s="204">
        <v>-25.49</v>
      </c>
      <c r="D60" s="204">
        <v>-24.49</v>
      </c>
      <c r="E60" s="204">
        <v>-24.99</v>
      </c>
      <c r="G60" s="196" t="s">
        <v>710</v>
      </c>
      <c r="H60" s="196" t="s">
        <v>836</v>
      </c>
      <c r="I60" s="203">
        <v>-25.49</v>
      </c>
      <c r="J60" s="203">
        <v>-24.49</v>
      </c>
      <c r="K60" s="204">
        <v>-24.99</v>
      </c>
      <c r="M60" s="224" t="s">
        <v>837</v>
      </c>
      <c r="N60" s="204">
        <v>-5.75</v>
      </c>
      <c r="O60" s="204">
        <v>-0.75</v>
      </c>
      <c r="P60" s="204">
        <v>-3.25</v>
      </c>
      <c r="R60" s="205"/>
      <c r="S60" s="204"/>
    </row>
    <row r="61" spans="1:19">
      <c r="A61" s="196" t="s">
        <v>342</v>
      </c>
      <c r="B61" s="196" t="s">
        <v>838</v>
      </c>
      <c r="C61" s="204">
        <v>-31.86</v>
      </c>
      <c r="D61" s="204">
        <v>-30.650000000000002</v>
      </c>
      <c r="E61" s="204">
        <v>-31.255000000000003</v>
      </c>
      <c r="G61" s="196" t="s">
        <v>342</v>
      </c>
      <c r="H61" s="196" t="s">
        <v>838</v>
      </c>
      <c r="I61" s="203">
        <v>-31.86</v>
      </c>
      <c r="J61" s="203">
        <v>-30.650000000000002</v>
      </c>
      <c r="K61" s="204">
        <v>-31.255000000000003</v>
      </c>
      <c r="M61" s="224" t="s">
        <v>839</v>
      </c>
      <c r="N61" s="217">
        <v>-3</v>
      </c>
      <c r="O61" s="217">
        <v>2</v>
      </c>
      <c r="P61" s="204">
        <v>-0.5</v>
      </c>
      <c r="R61" s="205"/>
      <c r="S61" s="204"/>
    </row>
    <row r="62" spans="1:19">
      <c r="A62" s="196" t="s">
        <v>720</v>
      </c>
      <c r="B62" s="196" t="s">
        <v>840</v>
      </c>
      <c r="C62" s="204">
        <v>-38.290000000000006</v>
      </c>
      <c r="D62" s="204">
        <v>-36.9</v>
      </c>
      <c r="E62" s="204">
        <v>-37.594999999999999</v>
      </c>
      <c r="G62" s="196" t="s">
        <v>720</v>
      </c>
      <c r="H62" s="196" t="s">
        <v>840</v>
      </c>
      <c r="I62" s="203">
        <v>-38.290000000000006</v>
      </c>
      <c r="J62" s="203">
        <v>-36.9</v>
      </c>
      <c r="K62" s="204">
        <v>-37.594999999999999</v>
      </c>
      <c r="M62" s="224" t="s">
        <v>841</v>
      </c>
      <c r="N62" s="204">
        <v>-0.25</v>
      </c>
      <c r="O62" s="204">
        <v>4.75</v>
      </c>
      <c r="P62" s="204">
        <v>2.25</v>
      </c>
    </row>
    <row r="63" spans="1:19">
      <c r="A63" s="196" t="s">
        <v>724</v>
      </c>
      <c r="B63" s="196" t="s">
        <v>842</v>
      </c>
      <c r="C63" s="204">
        <v>-44.01</v>
      </c>
      <c r="D63" s="204">
        <v>-42.47</v>
      </c>
      <c r="E63" s="204">
        <v>-43.239999999999995</v>
      </c>
      <c r="G63" s="196" t="s">
        <v>724</v>
      </c>
      <c r="H63" s="196" t="s">
        <v>842</v>
      </c>
      <c r="I63" s="203">
        <v>-44.01</v>
      </c>
      <c r="J63" s="203">
        <v>-42.47</v>
      </c>
      <c r="K63" s="204">
        <v>-43.239999999999995</v>
      </c>
      <c r="M63" s="224"/>
      <c r="N63" s="204"/>
      <c r="O63" s="204"/>
      <c r="P63" s="204"/>
    </row>
    <row r="64" spans="1:19">
      <c r="A64" s="196" t="s">
        <v>728</v>
      </c>
      <c r="B64" s="196" t="s">
        <v>843</v>
      </c>
      <c r="C64" s="204">
        <v>-49.9</v>
      </c>
      <c r="D64" s="204">
        <v>-48.1</v>
      </c>
      <c r="E64" s="204">
        <v>-49</v>
      </c>
      <c r="G64" s="196" t="s">
        <v>728</v>
      </c>
      <c r="H64" s="196" t="s">
        <v>843</v>
      </c>
      <c r="I64" s="203">
        <v>-49.9</v>
      </c>
      <c r="J64" s="203">
        <v>-48.1</v>
      </c>
      <c r="K64" s="204">
        <v>-49</v>
      </c>
      <c r="M64" s="228"/>
    </row>
    <row r="65" spans="1:17">
      <c r="A65" s="196" t="s">
        <v>344</v>
      </c>
      <c r="B65" s="196" t="s">
        <v>844</v>
      </c>
      <c r="C65" s="204">
        <v>-69.09</v>
      </c>
      <c r="D65" s="204">
        <v>-66.86999999999999</v>
      </c>
      <c r="E65" s="204">
        <v>-67.97999999999999</v>
      </c>
      <c r="G65" s="196" t="s">
        <v>344</v>
      </c>
      <c r="H65" s="196" t="s">
        <v>844</v>
      </c>
      <c r="I65" s="203">
        <v>-69.09</v>
      </c>
      <c r="J65" s="203">
        <v>-66.86999999999999</v>
      </c>
      <c r="K65" s="204">
        <v>-67.97999999999999</v>
      </c>
      <c r="M65" s="228"/>
    </row>
    <row r="66" spans="1:17">
      <c r="A66" s="196" t="s">
        <v>735</v>
      </c>
      <c r="B66" s="196" t="s">
        <v>845</v>
      </c>
      <c r="C66" s="204">
        <v>-86.45</v>
      </c>
      <c r="D66" s="204">
        <v>-83.05</v>
      </c>
      <c r="E66" s="204">
        <v>-84.75</v>
      </c>
      <c r="G66" s="196" t="s">
        <v>735</v>
      </c>
      <c r="H66" s="196" t="s">
        <v>845</v>
      </c>
      <c r="I66" s="203">
        <v>-86.45</v>
      </c>
      <c r="J66" s="203">
        <v>-83.05</v>
      </c>
      <c r="K66" s="204">
        <v>-84.75</v>
      </c>
      <c r="M66" s="228"/>
    </row>
    <row r="67" spans="1:17">
      <c r="A67" s="196" t="s">
        <v>739</v>
      </c>
      <c r="B67" s="196" t="s">
        <v>846</v>
      </c>
      <c r="C67" s="204">
        <v>-104.45</v>
      </c>
      <c r="D67" s="204">
        <v>-98.1</v>
      </c>
      <c r="E67" s="204">
        <v>-101.27500000000001</v>
      </c>
      <c r="G67" s="196" t="s">
        <v>739</v>
      </c>
      <c r="H67" s="196" t="s">
        <v>846</v>
      </c>
      <c r="I67" s="203">
        <v>-104.45</v>
      </c>
      <c r="J67" s="203">
        <v>-98.1</v>
      </c>
      <c r="K67" s="204">
        <v>-101.27500000000001</v>
      </c>
    </row>
    <row r="68" spans="1:17">
      <c r="A68" s="196" t="s">
        <v>348</v>
      </c>
      <c r="B68" s="196" t="s">
        <v>847</v>
      </c>
      <c r="C68" s="204">
        <v>-135.5</v>
      </c>
      <c r="D68" s="204">
        <v>-121.25</v>
      </c>
      <c r="E68" s="204">
        <v>-128.375</v>
      </c>
      <c r="G68" s="196" t="s">
        <v>348</v>
      </c>
      <c r="H68" s="196" t="s">
        <v>847</v>
      </c>
      <c r="I68" s="203">
        <v>-135.5</v>
      </c>
      <c r="J68" s="203">
        <v>-121.25</v>
      </c>
      <c r="K68" s="204">
        <v>-128.375</v>
      </c>
    </row>
    <row r="69" spans="1:17">
      <c r="A69" s="196" t="s">
        <v>351</v>
      </c>
      <c r="B69" s="196" t="s">
        <v>848</v>
      </c>
      <c r="C69" s="204">
        <v>-169.75</v>
      </c>
      <c r="D69" s="204">
        <v>-136.25</v>
      </c>
      <c r="E69" s="204">
        <v>-153</v>
      </c>
      <c r="G69" s="196" t="s">
        <v>351</v>
      </c>
      <c r="H69" s="196" t="s">
        <v>848</v>
      </c>
      <c r="I69" s="203">
        <v>-169.75</v>
      </c>
      <c r="J69" s="203">
        <v>-136.25</v>
      </c>
      <c r="K69" s="204">
        <v>-153</v>
      </c>
    </row>
    <row r="70" spans="1:17">
      <c r="A70" s="196" t="s">
        <v>354</v>
      </c>
      <c r="B70" s="196" t="s">
        <v>849</v>
      </c>
      <c r="C70" s="204">
        <v>-177</v>
      </c>
      <c r="D70" s="204">
        <v>-155</v>
      </c>
      <c r="E70" s="204">
        <v>-166</v>
      </c>
      <c r="G70" s="196" t="s">
        <v>354</v>
      </c>
      <c r="H70" s="196" t="s">
        <v>849</v>
      </c>
      <c r="I70" s="203">
        <v>-177</v>
      </c>
      <c r="J70" s="203">
        <v>-155</v>
      </c>
      <c r="K70" s="204">
        <v>-166</v>
      </c>
    </row>
    <row r="71" spans="1:17">
      <c r="A71" s="196" t="s">
        <v>357</v>
      </c>
      <c r="B71" s="196" t="s">
        <v>850</v>
      </c>
      <c r="C71" s="204">
        <v>-71.75</v>
      </c>
      <c r="D71" s="204">
        <v>0.75</v>
      </c>
      <c r="E71" s="204">
        <v>-35.5</v>
      </c>
      <c r="G71" s="196" t="s">
        <v>357</v>
      </c>
      <c r="H71" s="196" t="s">
        <v>850</v>
      </c>
      <c r="I71" s="203">
        <v>-71.75</v>
      </c>
      <c r="J71" s="203">
        <v>0.75</v>
      </c>
      <c r="K71" s="204">
        <v>-35.5</v>
      </c>
    </row>
    <row r="72" spans="1:17">
      <c r="A72" s="196" t="s">
        <v>362</v>
      </c>
      <c r="B72" s="196" t="s">
        <v>851</v>
      </c>
      <c r="C72" s="204">
        <v>96</v>
      </c>
      <c r="D72" s="204">
        <v>135</v>
      </c>
      <c r="E72" s="204">
        <v>115.5</v>
      </c>
      <c r="G72" s="196" t="s">
        <v>362</v>
      </c>
      <c r="H72" s="196" t="s">
        <v>851</v>
      </c>
      <c r="I72" s="203">
        <v>96</v>
      </c>
      <c r="J72" s="203">
        <v>135</v>
      </c>
      <c r="K72" s="204">
        <v>115.5</v>
      </c>
    </row>
    <row r="73" spans="1:17">
      <c r="A73" s="196" t="s">
        <v>365</v>
      </c>
      <c r="B73" s="196" t="s">
        <v>852</v>
      </c>
      <c r="C73" s="204">
        <v>507</v>
      </c>
      <c r="D73" s="204">
        <v>564</v>
      </c>
      <c r="E73" s="204">
        <v>535.5</v>
      </c>
      <c r="G73" s="196" t="s">
        <v>365</v>
      </c>
      <c r="H73" s="196" t="s">
        <v>852</v>
      </c>
      <c r="I73" s="203">
        <v>507</v>
      </c>
      <c r="J73" s="203">
        <v>564</v>
      </c>
      <c r="K73" s="204">
        <v>535.5</v>
      </c>
    </row>
    <row r="74" spans="1:17">
      <c r="A74" s="196" t="s">
        <v>373</v>
      </c>
      <c r="B74" s="196" t="s">
        <v>853</v>
      </c>
      <c r="C74" s="204">
        <v>1170</v>
      </c>
      <c r="D74" s="204">
        <v>1290</v>
      </c>
      <c r="E74" s="204">
        <v>1230</v>
      </c>
      <c r="G74" s="196" t="s">
        <v>373</v>
      </c>
      <c r="H74" s="196" t="s">
        <v>853</v>
      </c>
      <c r="I74" s="203">
        <v>1170</v>
      </c>
      <c r="J74" s="203">
        <v>1290</v>
      </c>
      <c r="K74" s="204">
        <v>1230</v>
      </c>
    </row>
    <row r="75" spans="1:17">
      <c r="A75" s="196"/>
      <c r="B75" s="196"/>
      <c r="C75" s="204"/>
      <c r="D75" s="204"/>
      <c r="E75" s="204"/>
      <c r="G75" s="196" t="s">
        <v>854</v>
      </c>
      <c r="H75" s="196" t="s">
        <v>855</v>
      </c>
      <c r="I75" s="204">
        <v>-118.84</v>
      </c>
      <c r="J75" s="204" t="s">
        <v>856</v>
      </c>
      <c r="K75" s="204">
        <v>-118.84</v>
      </c>
      <c r="M75" s="224" t="s">
        <v>857</v>
      </c>
      <c r="N75" s="204">
        <v>-21</v>
      </c>
      <c r="O75" s="204">
        <v>-11</v>
      </c>
      <c r="P75" s="204">
        <v>-16</v>
      </c>
    </row>
    <row r="76" spans="1:17">
      <c r="A76" s="196" t="s">
        <v>715</v>
      </c>
      <c r="B76" s="196"/>
      <c r="C76" s="196" t="s">
        <v>113</v>
      </c>
      <c r="D76" s="196" t="s">
        <v>114</v>
      </c>
      <c r="E76" s="196" t="s">
        <v>112</v>
      </c>
      <c r="G76" s="196" t="s">
        <v>715</v>
      </c>
      <c r="H76" s="196" t="s">
        <v>683</v>
      </c>
      <c r="I76" s="196" t="s">
        <v>113</v>
      </c>
      <c r="J76" s="196" t="s">
        <v>114</v>
      </c>
      <c r="K76" s="196" t="s">
        <v>112</v>
      </c>
      <c r="N76" s="196" t="s">
        <v>113</v>
      </c>
      <c r="O76" s="196" t="s">
        <v>114</v>
      </c>
      <c r="P76" s="196" t="s">
        <v>112</v>
      </c>
    </row>
    <row r="77" spans="1:17">
      <c r="B77" s="196" t="s">
        <v>858</v>
      </c>
      <c r="C77" s="203">
        <v>1.6046</v>
      </c>
      <c r="D77" s="203">
        <v>1.6049</v>
      </c>
      <c r="E77" s="203">
        <v>1.6047500000000001</v>
      </c>
      <c r="H77" s="196" t="s">
        <v>859</v>
      </c>
      <c r="I77" s="202">
        <v>1.6046</v>
      </c>
      <c r="J77" s="202">
        <v>1.6051</v>
      </c>
      <c r="K77" s="203">
        <v>1.6048499999999999</v>
      </c>
      <c r="M77" s="224" t="s">
        <v>860</v>
      </c>
      <c r="N77" s="204">
        <v>-8.5</v>
      </c>
      <c r="O77" s="204">
        <v>1.5</v>
      </c>
      <c r="P77" s="204">
        <v>-3.5</v>
      </c>
    </row>
    <row r="78" spans="1:17">
      <c r="A78" s="196" t="s">
        <v>686</v>
      </c>
      <c r="B78" s="196" t="s">
        <v>861</v>
      </c>
      <c r="C78" s="204">
        <v>-0.13</v>
      </c>
      <c r="D78" s="204">
        <v>-0.11</v>
      </c>
      <c r="E78" s="204">
        <v>-0.12</v>
      </c>
      <c r="G78" s="196" t="s">
        <v>686</v>
      </c>
      <c r="H78" s="196" t="s">
        <v>862</v>
      </c>
      <c r="I78" s="202">
        <v>-0.13</v>
      </c>
      <c r="J78" s="202">
        <v>-0.11</v>
      </c>
      <c r="K78" s="204">
        <v>-0.12</v>
      </c>
      <c r="M78" s="224" t="s">
        <v>863</v>
      </c>
      <c r="N78" s="204">
        <v>-0.5</v>
      </c>
      <c r="O78" s="204">
        <v>4.5</v>
      </c>
      <c r="P78" s="204">
        <v>2</v>
      </c>
    </row>
    <row r="79" spans="1:17">
      <c r="A79" s="196" t="s">
        <v>690</v>
      </c>
      <c r="B79" s="196" t="s">
        <v>864</v>
      </c>
      <c r="C79" s="204">
        <v>-0.13</v>
      </c>
      <c r="D79" s="204">
        <v>-0.1</v>
      </c>
      <c r="E79" s="204">
        <v>-0.115</v>
      </c>
      <c r="G79" s="196" t="s">
        <v>690</v>
      </c>
      <c r="H79" s="196" t="s">
        <v>865</v>
      </c>
      <c r="I79" s="202">
        <v>-0.125</v>
      </c>
      <c r="J79" s="202">
        <v>-0.115</v>
      </c>
      <c r="K79" s="204">
        <v>-0.12</v>
      </c>
      <c r="M79" s="224" t="s">
        <v>866</v>
      </c>
      <c r="N79" s="204">
        <v>-0.5</v>
      </c>
      <c r="O79" s="204">
        <v>4.5</v>
      </c>
      <c r="P79" s="204">
        <v>2</v>
      </c>
      <c r="Q79" s="200"/>
    </row>
    <row r="80" spans="1:17">
      <c r="A80" s="196" t="s">
        <v>693</v>
      </c>
      <c r="B80" s="196" t="s">
        <v>867</v>
      </c>
      <c r="C80" s="204">
        <v>-1.04</v>
      </c>
      <c r="D80" s="204">
        <v>-0.87</v>
      </c>
      <c r="E80" s="204">
        <v>-0.95500000000000007</v>
      </c>
      <c r="G80" s="196" t="s">
        <v>693</v>
      </c>
      <c r="H80" s="196" t="s">
        <v>868</v>
      </c>
      <c r="I80" s="206">
        <v>-1</v>
      </c>
      <c r="J80" s="206">
        <v>-0.9</v>
      </c>
      <c r="K80" s="204">
        <v>-0.95</v>
      </c>
      <c r="M80" s="224" t="s">
        <v>869</v>
      </c>
      <c r="N80" s="204">
        <v>-0.5</v>
      </c>
      <c r="O80" s="204">
        <v>4.5</v>
      </c>
      <c r="P80" s="204">
        <v>2</v>
      </c>
    </row>
    <row r="81" spans="1:17">
      <c r="A81" s="196" t="s">
        <v>696</v>
      </c>
      <c r="B81" s="196" t="s">
        <v>870</v>
      </c>
      <c r="C81" s="206">
        <v>-3.96</v>
      </c>
      <c r="D81" s="206">
        <v>-3.54</v>
      </c>
      <c r="E81" s="204">
        <v>-3.75</v>
      </c>
      <c r="G81" s="196" t="s">
        <v>696</v>
      </c>
      <c r="H81" s="196" t="s">
        <v>871</v>
      </c>
      <c r="I81" s="206">
        <v>-3.8499999999999996</v>
      </c>
      <c r="J81" s="206">
        <v>-3.65</v>
      </c>
      <c r="K81" s="204">
        <v>-3.75</v>
      </c>
      <c r="M81" s="224" t="s">
        <v>872</v>
      </c>
      <c r="N81" s="204">
        <v>-0.5</v>
      </c>
      <c r="O81" s="204">
        <v>4.5</v>
      </c>
      <c r="P81" s="204">
        <v>2</v>
      </c>
      <c r="Q81" s="200"/>
    </row>
    <row r="82" spans="1:17">
      <c r="A82" s="196" t="s">
        <v>699</v>
      </c>
      <c r="B82" s="196" t="s">
        <v>873</v>
      </c>
      <c r="C82" s="206">
        <v>-7.6</v>
      </c>
      <c r="D82" s="206">
        <v>-7.3</v>
      </c>
      <c r="E82" s="204">
        <v>-7.4499999999999993</v>
      </c>
      <c r="G82" s="196" t="s">
        <v>699</v>
      </c>
      <c r="H82" s="196" t="s">
        <v>874</v>
      </c>
      <c r="I82" s="206">
        <v>-7.6</v>
      </c>
      <c r="J82" s="206">
        <v>-7.3</v>
      </c>
      <c r="K82" s="204">
        <v>-7.4499999999999993</v>
      </c>
      <c r="M82" s="224" t="s">
        <v>875</v>
      </c>
      <c r="N82" s="204">
        <v>-4</v>
      </c>
      <c r="O82" s="204">
        <v>1</v>
      </c>
      <c r="P82" s="204">
        <v>-1.5</v>
      </c>
    </row>
    <row r="83" spans="1:17">
      <c r="A83" s="196" t="s">
        <v>385</v>
      </c>
      <c r="B83" s="196" t="s">
        <v>876</v>
      </c>
      <c r="C83" s="206">
        <v>-12.1</v>
      </c>
      <c r="D83" s="206">
        <v>-11.8</v>
      </c>
      <c r="E83" s="204">
        <v>-11.95</v>
      </c>
      <c r="G83" s="196" t="s">
        <v>385</v>
      </c>
      <c r="H83" s="196" t="s">
        <v>877</v>
      </c>
      <c r="I83" s="206">
        <v>-12.1</v>
      </c>
      <c r="J83" s="206">
        <v>-11.8</v>
      </c>
      <c r="K83" s="204">
        <v>-11.95</v>
      </c>
      <c r="M83" s="224" t="s">
        <v>878</v>
      </c>
      <c r="N83" s="204">
        <v>-8.5</v>
      </c>
      <c r="O83" s="204">
        <v>-3.5</v>
      </c>
      <c r="P83" s="204">
        <v>-6</v>
      </c>
    </row>
    <row r="84" spans="1:17">
      <c r="A84" s="196" t="s">
        <v>705</v>
      </c>
      <c r="B84" s="196" t="s">
        <v>879</v>
      </c>
      <c r="C84" s="206">
        <v>-16.7</v>
      </c>
      <c r="D84" s="206">
        <v>-16.3</v>
      </c>
      <c r="E84" s="204">
        <v>-16.5</v>
      </c>
      <c r="G84" s="196" t="s">
        <v>705</v>
      </c>
      <c r="H84" s="196" t="s">
        <v>880</v>
      </c>
      <c r="I84" s="206">
        <v>-16.5</v>
      </c>
      <c r="J84" s="206">
        <v>-16</v>
      </c>
      <c r="K84" s="204">
        <v>-16.25</v>
      </c>
      <c r="M84" s="224" t="s">
        <v>881</v>
      </c>
      <c r="N84" s="204">
        <v>-11.5</v>
      </c>
      <c r="O84" s="204">
        <v>-6.5</v>
      </c>
      <c r="P84" s="204">
        <v>-9</v>
      </c>
    </row>
    <row r="85" spans="1:17">
      <c r="A85" s="196" t="s">
        <v>710</v>
      </c>
      <c r="B85" s="196" t="s">
        <v>882</v>
      </c>
      <c r="C85" s="206">
        <v>-21.84</v>
      </c>
      <c r="D85" s="206">
        <v>-21.34</v>
      </c>
      <c r="E85" s="204">
        <v>-21.59</v>
      </c>
      <c r="G85" s="196" t="s">
        <v>710</v>
      </c>
      <c r="H85" s="196" t="s">
        <v>883</v>
      </c>
      <c r="I85" s="206">
        <v>-22.279999999999998</v>
      </c>
      <c r="J85" s="206">
        <v>-21.279999999999998</v>
      </c>
      <c r="K85" s="204">
        <v>-21.779999999999998</v>
      </c>
      <c r="M85" s="224" t="s">
        <v>884</v>
      </c>
      <c r="N85" s="204">
        <v>-12.5</v>
      </c>
      <c r="O85" s="204">
        <v>-7.5</v>
      </c>
      <c r="P85" s="204">
        <v>-10</v>
      </c>
    </row>
    <row r="86" spans="1:17">
      <c r="A86" s="196" t="s">
        <v>342</v>
      </c>
      <c r="B86" s="196" t="s">
        <v>885</v>
      </c>
      <c r="C86" s="206">
        <v>-27.8</v>
      </c>
      <c r="D86" s="206">
        <v>-27.2</v>
      </c>
      <c r="E86" s="204">
        <v>-27.5</v>
      </c>
      <c r="G86" s="196" t="s">
        <v>342</v>
      </c>
      <c r="H86" s="196" t="s">
        <v>886</v>
      </c>
      <c r="I86" s="206">
        <v>-28</v>
      </c>
      <c r="J86" s="206">
        <v>-27</v>
      </c>
      <c r="K86" s="204">
        <v>-27.5</v>
      </c>
      <c r="M86" s="224" t="s">
        <v>887</v>
      </c>
      <c r="N86" s="217">
        <v>-10.875</v>
      </c>
      <c r="O86" s="217">
        <v>-5.875</v>
      </c>
      <c r="P86" s="204">
        <v>-8.375</v>
      </c>
    </row>
    <row r="87" spans="1:17">
      <c r="A87" s="196" t="s">
        <v>720</v>
      </c>
      <c r="B87" s="196" t="s">
        <v>888</v>
      </c>
      <c r="C87" s="206">
        <v>-34.75</v>
      </c>
      <c r="D87" s="206">
        <v>-34.15</v>
      </c>
      <c r="E87" s="204">
        <v>-34.450000000000003</v>
      </c>
      <c r="G87" s="196" t="s">
        <v>720</v>
      </c>
      <c r="H87" s="196" t="s">
        <v>889</v>
      </c>
      <c r="I87" s="206">
        <v>-35.200000000000003</v>
      </c>
      <c r="J87" s="206">
        <v>-33.700000000000003</v>
      </c>
      <c r="K87" s="204">
        <v>-34.450000000000003</v>
      </c>
      <c r="M87" s="224" t="s">
        <v>890</v>
      </c>
      <c r="N87" s="204">
        <v>-9.25</v>
      </c>
      <c r="O87" s="204">
        <v>-4.25</v>
      </c>
      <c r="P87" s="204">
        <v>-6.75</v>
      </c>
    </row>
    <row r="88" spans="1:17">
      <c r="A88" s="196" t="s">
        <v>724</v>
      </c>
      <c r="B88" s="196" t="s">
        <v>891</v>
      </c>
      <c r="C88" s="206">
        <v>-40.68</v>
      </c>
      <c r="D88" s="206">
        <v>-39.93</v>
      </c>
      <c r="E88" s="204">
        <v>-40.305</v>
      </c>
      <c r="G88" s="196" t="s">
        <v>724</v>
      </c>
      <c r="H88" s="196" t="s">
        <v>892</v>
      </c>
      <c r="I88" s="206">
        <v>-41.3</v>
      </c>
      <c r="J88" s="206">
        <v>-39.299999999999997</v>
      </c>
      <c r="K88" s="204">
        <v>-40.299999999999997</v>
      </c>
    </row>
    <row r="89" spans="1:17">
      <c r="A89" s="196" t="s">
        <v>728</v>
      </c>
      <c r="B89" s="196" t="s">
        <v>893</v>
      </c>
      <c r="C89" s="206">
        <v>-47</v>
      </c>
      <c r="D89" s="206">
        <v>-46</v>
      </c>
      <c r="E89" s="204">
        <v>-46.5</v>
      </c>
      <c r="G89" s="196" t="s">
        <v>728</v>
      </c>
      <c r="H89" s="196" t="s">
        <v>894</v>
      </c>
      <c r="I89" s="206">
        <v>-48</v>
      </c>
      <c r="J89" s="206">
        <v>-45</v>
      </c>
      <c r="K89" s="204">
        <v>-46.5</v>
      </c>
    </row>
    <row r="90" spans="1:17">
      <c r="A90" s="196" t="s">
        <v>344</v>
      </c>
      <c r="B90" s="196" t="s">
        <v>895</v>
      </c>
      <c r="C90" s="206">
        <v>-69.5</v>
      </c>
      <c r="D90" s="206">
        <v>-67.5</v>
      </c>
      <c r="E90" s="204">
        <v>-68.5</v>
      </c>
      <c r="G90" s="196" t="s">
        <v>344</v>
      </c>
      <c r="H90" s="196" t="s">
        <v>896</v>
      </c>
      <c r="I90" s="206">
        <v>-70</v>
      </c>
      <c r="J90" s="206">
        <v>-67</v>
      </c>
      <c r="K90" s="204">
        <v>-68.5</v>
      </c>
    </row>
    <row r="91" spans="1:17">
      <c r="A91" s="196" t="s">
        <v>735</v>
      </c>
      <c r="B91" s="196" t="s">
        <v>897</v>
      </c>
      <c r="C91" s="206">
        <v>-95.75</v>
      </c>
      <c r="D91" s="206">
        <v>-88.25</v>
      </c>
      <c r="E91" s="204">
        <v>-92</v>
      </c>
      <c r="G91" s="196" t="s">
        <v>735</v>
      </c>
      <c r="H91" s="196" t="s">
        <v>898</v>
      </c>
      <c r="I91" s="206">
        <v>-94.9</v>
      </c>
      <c r="J91" s="206">
        <v>-89.9</v>
      </c>
      <c r="K91" s="204">
        <v>-92.4</v>
      </c>
    </row>
    <row r="92" spans="1:17">
      <c r="A92" s="196" t="s">
        <v>739</v>
      </c>
      <c r="B92" s="196" t="s">
        <v>899</v>
      </c>
      <c r="C92" s="206">
        <v>-118.96000000000001</v>
      </c>
      <c r="D92" s="206">
        <v>-112.34</v>
      </c>
      <c r="E92" s="204">
        <v>-115.65</v>
      </c>
      <c r="G92" s="196" t="s">
        <v>739</v>
      </c>
      <c r="H92" s="196" t="s">
        <v>900</v>
      </c>
      <c r="I92" s="206">
        <v>-120.3</v>
      </c>
      <c r="J92" s="206">
        <v>-113.3</v>
      </c>
      <c r="K92" s="204">
        <v>-116.8</v>
      </c>
    </row>
    <row r="93" spans="1:17">
      <c r="A93" s="196" t="s">
        <v>348</v>
      </c>
      <c r="B93" s="196" t="s">
        <v>901</v>
      </c>
      <c r="C93" s="206">
        <v>-177.54</v>
      </c>
      <c r="D93" s="206">
        <v>-166.95000000000002</v>
      </c>
      <c r="E93" s="204">
        <v>-172.245</v>
      </c>
      <c r="G93" s="196" t="s">
        <v>348</v>
      </c>
      <c r="H93" s="196" t="s">
        <v>902</v>
      </c>
      <c r="I93" s="206">
        <v>-180.05</v>
      </c>
      <c r="J93" s="206">
        <v>-160.05000000000001</v>
      </c>
      <c r="K93" s="204">
        <v>-170.05</v>
      </c>
    </row>
    <row r="94" spans="1:17">
      <c r="A94" s="196" t="s">
        <v>351</v>
      </c>
      <c r="B94" s="196" t="s">
        <v>903</v>
      </c>
      <c r="C94" s="206">
        <v>-272.8</v>
      </c>
      <c r="D94" s="206">
        <v>-256.8</v>
      </c>
      <c r="E94" s="204">
        <v>-264.8</v>
      </c>
      <c r="G94" s="196" t="s">
        <v>351</v>
      </c>
      <c r="H94" s="196" t="s">
        <v>904</v>
      </c>
      <c r="I94" s="206">
        <v>-291</v>
      </c>
      <c r="J94" s="206">
        <v>-251</v>
      </c>
      <c r="K94" s="204">
        <v>-271</v>
      </c>
    </row>
    <row r="95" spans="1:17">
      <c r="A95" s="196" t="s">
        <v>354</v>
      </c>
      <c r="B95" s="196" t="s">
        <v>905</v>
      </c>
      <c r="C95" s="206">
        <v>-325</v>
      </c>
      <c r="D95" s="206">
        <v>-290</v>
      </c>
      <c r="E95" s="204">
        <v>-307.5</v>
      </c>
      <c r="G95" s="196" t="s">
        <v>354</v>
      </c>
      <c r="H95" s="196" t="s">
        <v>906</v>
      </c>
      <c r="I95" s="206">
        <v>-371</v>
      </c>
      <c r="J95" s="206">
        <v>-321</v>
      </c>
      <c r="K95" s="204">
        <v>-346</v>
      </c>
    </row>
    <row r="96" spans="1:17">
      <c r="A96" s="196" t="s">
        <v>357</v>
      </c>
      <c r="B96" s="196" t="s">
        <v>907</v>
      </c>
      <c r="C96" s="206">
        <v>-337</v>
      </c>
      <c r="D96" s="206">
        <v>-293</v>
      </c>
      <c r="E96" s="204">
        <v>-315</v>
      </c>
      <c r="G96" s="196" t="s">
        <v>357</v>
      </c>
      <c r="H96" s="196" t="s">
        <v>908</v>
      </c>
      <c r="I96" s="206">
        <v>-402</v>
      </c>
      <c r="J96" s="206">
        <v>-342</v>
      </c>
      <c r="K96" s="204">
        <v>-372</v>
      </c>
    </row>
    <row r="97" spans="1:16">
      <c r="A97" s="196" t="s">
        <v>362</v>
      </c>
      <c r="B97" s="196" t="s">
        <v>909</v>
      </c>
      <c r="C97" s="206">
        <v>-243.7</v>
      </c>
      <c r="D97" s="206">
        <v>-185.7</v>
      </c>
      <c r="E97" s="204">
        <v>-214.7</v>
      </c>
      <c r="G97" s="196" t="s">
        <v>362</v>
      </c>
      <c r="H97" s="196" t="s">
        <v>910</v>
      </c>
      <c r="I97" s="206" t="s">
        <v>757</v>
      </c>
      <c r="J97" s="206" t="s">
        <v>757</v>
      </c>
      <c r="K97" s="204" t="e">
        <v>#DIV/0!</v>
      </c>
    </row>
    <row r="98" spans="1:16">
      <c r="A98" s="196" t="s">
        <v>365</v>
      </c>
      <c r="B98" s="196" t="s">
        <v>911</v>
      </c>
      <c r="C98" s="206">
        <v>-108.4</v>
      </c>
      <c r="D98" s="206">
        <v>-8.4</v>
      </c>
      <c r="E98" s="204">
        <v>-58.400000000000006</v>
      </c>
      <c r="G98" s="196" t="s">
        <v>365</v>
      </c>
      <c r="H98" s="196" t="s">
        <v>912</v>
      </c>
      <c r="I98" s="206" t="s">
        <v>757</v>
      </c>
      <c r="J98" s="206" t="s">
        <v>757</v>
      </c>
      <c r="K98" s="204" t="e">
        <v>#DIV/0!</v>
      </c>
    </row>
    <row r="99" spans="1:16">
      <c r="A99" s="196" t="s">
        <v>373</v>
      </c>
      <c r="B99" s="196" t="s">
        <v>913</v>
      </c>
      <c r="C99" s="206" t="s">
        <v>757</v>
      </c>
      <c r="D99" s="206" t="s">
        <v>757</v>
      </c>
      <c r="E99" s="204" t="e">
        <v>#DIV/0!</v>
      </c>
      <c r="G99" s="196" t="s">
        <v>373</v>
      </c>
      <c r="H99" s="196" t="s">
        <v>914</v>
      </c>
      <c r="I99" s="206" t="s">
        <v>757</v>
      </c>
      <c r="J99" s="206" t="s">
        <v>757</v>
      </c>
      <c r="K99" s="204" t="e">
        <v>#DIV/0!</v>
      </c>
    </row>
    <row r="103" spans="1:16">
      <c r="A103" s="196" t="s">
        <v>716</v>
      </c>
      <c r="B103" s="196"/>
      <c r="C103" s="196" t="s">
        <v>113</v>
      </c>
      <c r="D103" s="196" t="s">
        <v>114</v>
      </c>
      <c r="E103" s="196" t="s">
        <v>112</v>
      </c>
      <c r="G103" s="196" t="s">
        <v>716</v>
      </c>
      <c r="H103" s="196" t="s">
        <v>915</v>
      </c>
      <c r="I103" s="196" t="s">
        <v>113</v>
      </c>
      <c r="J103" s="196" t="s">
        <v>114</v>
      </c>
      <c r="K103" s="196" t="s">
        <v>112</v>
      </c>
      <c r="N103" s="196" t="s">
        <v>113</v>
      </c>
      <c r="O103" s="196" t="s">
        <v>114</v>
      </c>
      <c r="P103" s="196" t="s">
        <v>112</v>
      </c>
    </row>
    <row r="104" spans="1:16">
      <c r="B104" s="196" t="s">
        <v>916</v>
      </c>
      <c r="C104" s="203">
        <v>0.77229999999999988</v>
      </c>
      <c r="D104" s="203">
        <v>0.77289999999999992</v>
      </c>
      <c r="E104" s="203">
        <v>0.77259999999999995</v>
      </c>
      <c r="H104" s="196" t="s">
        <v>916</v>
      </c>
      <c r="I104" s="203">
        <v>0.77229999999999988</v>
      </c>
      <c r="J104" s="203">
        <v>0.77289999999999992</v>
      </c>
      <c r="K104" s="203">
        <v>0.77259999999999995</v>
      </c>
      <c r="M104" s="224" t="s">
        <v>917</v>
      </c>
      <c r="N104" s="204">
        <v>13</v>
      </c>
      <c r="O104" s="204">
        <v>23</v>
      </c>
      <c r="P104" s="204">
        <v>18</v>
      </c>
    </row>
    <row r="105" spans="1:16">
      <c r="A105" s="196" t="s">
        <v>686</v>
      </c>
      <c r="B105" s="196" t="s">
        <v>918</v>
      </c>
      <c r="C105" s="203">
        <v>-0.63</v>
      </c>
      <c r="D105" s="203">
        <v>-0.59</v>
      </c>
      <c r="E105" s="204">
        <v>-0.61</v>
      </c>
      <c r="G105" s="196" t="s">
        <v>686</v>
      </c>
      <c r="H105" s="196" t="s">
        <v>919</v>
      </c>
      <c r="I105" s="202">
        <v>-0.62</v>
      </c>
      <c r="J105" s="202">
        <v>-0.59</v>
      </c>
      <c r="K105" s="204">
        <v>-0.60499999999999998</v>
      </c>
      <c r="M105" s="224" t="s">
        <v>920</v>
      </c>
      <c r="N105" s="204">
        <v>21</v>
      </c>
      <c r="O105" s="204">
        <v>31</v>
      </c>
      <c r="P105" s="204">
        <v>26</v>
      </c>
    </row>
    <row r="106" spans="1:16">
      <c r="A106" s="196" t="s">
        <v>690</v>
      </c>
      <c r="B106" s="196" t="s">
        <v>921</v>
      </c>
      <c r="C106" s="203">
        <v>-0.71</v>
      </c>
      <c r="D106" s="203">
        <v>-0.51</v>
      </c>
      <c r="E106" s="204">
        <v>-0.61</v>
      </c>
      <c r="G106" s="196" t="s">
        <v>690</v>
      </c>
      <c r="H106" s="196" t="s">
        <v>922</v>
      </c>
      <c r="I106" s="202">
        <v>-0.62</v>
      </c>
      <c r="J106" s="202">
        <v>-0.59</v>
      </c>
      <c r="K106" s="204">
        <v>-0.60499999999999998</v>
      </c>
      <c r="M106" s="224" t="s">
        <v>923</v>
      </c>
      <c r="N106" s="204">
        <v>27.25</v>
      </c>
      <c r="O106" s="204">
        <v>37.25</v>
      </c>
      <c r="P106" s="204">
        <v>32.25</v>
      </c>
    </row>
    <row r="107" spans="1:16">
      <c r="A107" s="196" t="s">
        <v>693</v>
      </c>
      <c r="B107" s="196" t="s">
        <v>924</v>
      </c>
      <c r="C107" s="203">
        <v>-5.0599999999999996</v>
      </c>
      <c r="D107" s="203">
        <v>-4.74</v>
      </c>
      <c r="E107" s="204">
        <v>-4.9000000000000004</v>
      </c>
      <c r="G107" s="196" t="s">
        <v>693</v>
      </c>
      <c r="H107" s="196" t="s">
        <v>925</v>
      </c>
      <c r="I107" s="202">
        <v>-4.96</v>
      </c>
      <c r="J107" s="202">
        <v>-4.8099999999999996</v>
      </c>
      <c r="K107" s="204">
        <v>-4.8849999999999998</v>
      </c>
      <c r="M107" s="224" t="s">
        <v>926</v>
      </c>
      <c r="N107" s="204">
        <v>34</v>
      </c>
      <c r="O107" s="204">
        <v>44</v>
      </c>
      <c r="P107" s="204">
        <v>39</v>
      </c>
    </row>
    <row r="108" spans="1:16">
      <c r="A108" s="196" t="s">
        <v>696</v>
      </c>
      <c r="B108" s="196" t="s">
        <v>927</v>
      </c>
      <c r="C108" s="203">
        <v>-19.670000000000002</v>
      </c>
      <c r="D108" s="203">
        <v>-17.670000000000002</v>
      </c>
      <c r="E108" s="204">
        <v>-18.670000000000002</v>
      </c>
      <c r="G108" s="196" t="s">
        <v>696</v>
      </c>
      <c r="H108" s="196" t="s">
        <v>928</v>
      </c>
      <c r="I108" s="202">
        <v>-20</v>
      </c>
      <c r="J108" s="202">
        <v>-19.5</v>
      </c>
      <c r="K108" s="204">
        <v>-19.75</v>
      </c>
      <c r="M108" s="224" t="s">
        <v>929</v>
      </c>
      <c r="N108" s="204">
        <v>40</v>
      </c>
      <c r="O108" s="204">
        <v>50</v>
      </c>
      <c r="P108" s="204">
        <v>45</v>
      </c>
    </row>
    <row r="109" spans="1:16">
      <c r="A109" s="196" t="s">
        <v>699</v>
      </c>
      <c r="B109" s="196" t="s">
        <v>930</v>
      </c>
      <c r="C109" s="203">
        <v>-39.58</v>
      </c>
      <c r="D109" s="203">
        <v>-37.33</v>
      </c>
      <c r="E109" s="204">
        <v>-38.454999999999998</v>
      </c>
      <c r="G109" s="196" t="s">
        <v>699</v>
      </c>
      <c r="H109" s="196" t="s">
        <v>931</v>
      </c>
      <c r="I109" s="202">
        <v>-38.299999999999997</v>
      </c>
      <c r="J109" s="202">
        <v>-37.299999999999997</v>
      </c>
      <c r="K109" s="204">
        <v>-37.799999999999997</v>
      </c>
      <c r="M109" s="224" t="s">
        <v>932</v>
      </c>
      <c r="N109" s="204">
        <v>47</v>
      </c>
      <c r="O109" s="204">
        <v>57</v>
      </c>
      <c r="P109" s="204">
        <v>52</v>
      </c>
    </row>
    <row r="110" spans="1:16">
      <c r="A110" s="196" t="s">
        <v>385</v>
      </c>
      <c r="B110" s="196" t="s">
        <v>933</v>
      </c>
      <c r="C110" s="203">
        <v>-58.809999999999995</v>
      </c>
      <c r="D110" s="203">
        <v>-56.06</v>
      </c>
      <c r="E110" s="204">
        <v>-57.435000000000002</v>
      </c>
      <c r="G110" s="196" t="s">
        <v>385</v>
      </c>
      <c r="H110" s="196" t="s">
        <v>934</v>
      </c>
      <c r="I110" s="202">
        <v>-58.2</v>
      </c>
      <c r="J110" s="202">
        <v>-57.2</v>
      </c>
      <c r="K110" s="204">
        <v>-57.7</v>
      </c>
      <c r="M110" s="224" t="s">
        <v>935</v>
      </c>
      <c r="N110" s="204">
        <v>50</v>
      </c>
      <c r="O110" s="204">
        <v>60</v>
      </c>
      <c r="P110" s="204">
        <v>55</v>
      </c>
    </row>
    <row r="111" spans="1:16">
      <c r="A111" s="196" t="s">
        <v>705</v>
      </c>
      <c r="B111" s="196" t="s">
        <v>936</v>
      </c>
      <c r="C111" s="203">
        <v>-77.03</v>
      </c>
      <c r="D111" s="203">
        <v>-74.03</v>
      </c>
      <c r="E111" s="204">
        <v>-75.53</v>
      </c>
      <c r="G111" s="196" t="s">
        <v>705</v>
      </c>
      <c r="H111" s="196" t="s">
        <v>937</v>
      </c>
      <c r="I111" s="202">
        <v>-75.599999999999994</v>
      </c>
      <c r="J111" s="202">
        <v>-74.599999999999994</v>
      </c>
      <c r="K111" s="204">
        <v>-75.099999999999994</v>
      </c>
      <c r="M111" s="224" t="s">
        <v>938</v>
      </c>
      <c r="N111" s="204">
        <v>51.5</v>
      </c>
      <c r="O111" s="204">
        <v>61.5</v>
      </c>
      <c r="P111" s="204">
        <v>56.5</v>
      </c>
    </row>
    <row r="112" spans="1:16">
      <c r="A112" s="196" t="s">
        <v>710</v>
      </c>
      <c r="B112" s="196" t="s">
        <v>939</v>
      </c>
      <c r="C112" s="203">
        <v>-98.5</v>
      </c>
      <c r="D112" s="203">
        <v>-92.5</v>
      </c>
      <c r="E112" s="204">
        <v>-95.5</v>
      </c>
      <c r="G112" s="196" t="s">
        <v>710</v>
      </c>
      <c r="H112" s="196" t="s">
        <v>940</v>
      </c>
      <c r="I112" s="202">
        <v>-96</v>
      </c>
      <c r="J112" s="202">
        <v>-95</v>
      </c>
      <c r="K112" s="204">
        <v>-95.5</v>
      </c>
      <c r="M112" s="224" t="s">
        <v>941</v>
      </c>
      <c r="N112" s="204">
        <v>51.5</v>
      </c>
      <c r="O112" s="204">
        <v>61.5</v>
      </c>
      <c r="P112" s="204">
        <v>56.5</v>
      </c>
    </row>
    <row r="113" spans="1:16">
      <c r="A113" s="196" t="s">
        <v>342</v>
      </c>
      <c r="B113" s="196" t="s">
        <v>942</v>
      </c>
      <c r="C113" s="203">
        <v>-117.28</v>
      </c>
      <c r="D113" s="203">
        <v>-114.03</v>
      </c>
      <c r="E113" s="204">
        <v>-115.655</v>
      </c>
      <c r="G113" s="196" t="s">
        <v>342</v>
      </c>
      <c r="H113" s="196" t="s">
        <v>943</v>
      </c>
      <c r="I113" s="202">
        <v>-116.1</v>
      </c>
      <c r="J113" s="202">
        <v>-115.1</v>
      </c>
      <c r="K113" s="204">
        <v>-115.6</v>
      </c>
      <c r="M113" s="224" t="s">
        <v>944</v>
      </c>
      <c r="N113" s="204" t="s">
        <v>757</v>
      </c>
      <c r="O113" s="204" t="s">
        <v>757</v>
      </c>
      <c r="P113" s="204" t="e">
        <v>#DIV/0!</v>
      </c>
    </row>
    <row r="114" spans="1:16">
      <c r="A114" s="196" t="s">
        <v>720</v>
      </c>
      <c r="B114" s="196" t="s">
        <v>945</v>
      </c>
      <c r="C114" s="203">
        <v>-141.1</v>
      </c>
      <c r="D114" s="203">
        <v>-134</v>
      </c>
      <c r="E114" s="204">
        <v>-137.55000000000001</v>
      </c>
      <c r="G114" s="196" t="s">
        <v>720</v>
      </c>
      <c r="H114" s="196" t="s">
        <v>946</v>
      </c>
      <c r="I114" s="202">
        <v>-138.19999999999999</v>
      </c>
      <c r="J114" s="202">
        <v>-136.19999999999999</v>
      </c>
      <c r="K114" s="204">
        <v>-137.19999999999999</v>
      </c>
      <c r="M114" s="224" t="s">
        <v>947</v>
      </c>
      <c r="N114" s="204" t="s">
        <v>757</v>
      </c>
      <c r="O114" s="204" t="s">
        <v>757</v>
      </c>
      <c r="P114" s="204" t="e">
        <v>#DIV/0!</v>
      </c>
    </row>
    <row r="115" spans="1:16">
      <c r="A115" s="196" t="s">
        <v>724</v>
      </c>
      <c r="B115" s="196" t="s">
        <v>948</v>
      </c>
      <c r="C115" s="203">
        <v>-158.6</v>
      </c>
      <c r="D115" s="203">
        <v>-155.1</v>
      </c>
      <c r="E115" s="204">
        <v>-156.85</v>
      </c>
      <c r="G115" s="196" t="s">
        <v>724</v>
      </c>
      <c r="H115" s="196" t="s">
        <v>949</v>
      </c>
      <c r="I115" s="202">
        <v>-157.6</v>
      </c>
      <c r="J115" s="202">
        <v>-155.6</v>
      </c>
      <c r="K115" s="204">
        <v>-156.6</v>
      </c>
    </row>
    <row r="116" spans="1:16">
      <c r="A116" s="196" t="s">
        <v>728</v>
      </c>
      <c r="B116" s="196" t="s">
        <v>950</v>
      </c>
      <c r="C116" s="203">
        <v>-178.64</v>
      </c>
      <c r="D116" s="203">
        <v>-177.5</v>
      </c>
      <c r="E116" s="204">
        <v>-178.07</v>
      </c>
      <c r="G116" s="196" t="s">
        <v>728</v>
      </c>
      <c r="H116" s="196" t="s">
        <v>951</v>
      </c>
      <c r="I116" s="202">
        <v>-178.9</v>
      </c>
      <c r="J116" s="202">
        <v>-176.4</v>
      </c>
      <c r="K116" s="204">
        <v>-177.65</v>
      </c>
    </row>
    <row r="117" spans="1:16">
      <c r="A117" s="196" t="s">
        <v>344</v>
      </c>
      <c r="B117" s="196" t="s">
        <v>952</v>
      </c>
      <c r="C117" s="203">
        <v>-245.65</v>
      </c>
      <c r="D117" s="203">
        <v>-241.15</v>
      </c>
      <c r="E117" s="204">
        <v>-243.4</v>
      </c>
      <c r="G117" s="196" t="s">
        <v>344</v>
      </c>
      <c r="H117" s="196" t="s">
        <v>953</v>
      </c>
      <c r="I117" s="202">
        <v>-244</v>
      </c>
      <c r="J117" s="202">
        <v>-241.5</v>
      </c>
      <c r="K117" s="204">
        <v>-242.75</v>
      </c>
    </row>
    <row r="118" spans="1:16">
      <c r="A118" s="196" t="s">
        <v>735</v>
      </c>
      <c r="B118" s="196" t="s">
        <v>954</v>
      </c>
      <c r="C118" s="203">
        <v>-320.60000000000002</v>
      </c>
      <c r="D118" s="203">
        <v>-310.60000000000002</v>
      </c>
      <c r="E118" s="204">
        <v>-315.60000000000002</v>
      </c>
      <c r="G118" s="196" t="s">
        <v>735</v>
      </c>
      <c r="H118" s="196" t="s">
        <v>955</v>
      </c>
      <c r="I118" s="202">
        <v>-320.60000000000002</v>
      </c>
      <c r="J118" s="202">
        <v>-310.60000000000002</v>
      </c>
      <c r="K118" s="204">
        <v>-315.60000000000002</v>
      </c>
    </row>
    <row r="119" spans="1:16">
      <c r="A119" s="196" t="s">
        <v>739</v>
      </c>
      <c r="B119" s="196" t="s">
        <v>956</v>
      </c>
      <c r="C119" s="203">
        <v>-388.5</v>
      </c>
      <c r="D119" s="203">
        <v>-378.5</v>
      </c>
      <c r="E119" s="204">
        <v>-383.5</v>
      </c>
      <c r="G119" s="196" t="s">
        <v>739</v>
      </c>
      <c r="H119" s="196" t="s">
        <v>957</v>
      </c>
      <c r="I119" s="202">
        <v>-388.5</v>
      </c>
      <c r="J119" s="202">
        <v>-378.5</v>
      </c>
      <c r="K119" s="204">
        <v>-383.5</v>
      </c>
    </row>
    <row r="120" spans="1:16">
      <c r="A120" s="196" t="s">
        <v>348</v>
      </c>
      <c r="B120" s="196" t="s">
        <v>958</v>
      </c>
      <c r="C120" s="203">
        <v>-516.6</v>
      </c>
      <c r="D120" s="203">
        <v>-506.6</v>
      </c>
      <c r="E120" s="204">
        <v>-511.6</v>
      </c>
      <c r="G120" s="196" t="s">
        <v>348</v>
      </c>
      <c r="H120" s="196" t="s">
        <v>959</v>
      </c>
      <c r="I120" s="202">
        <v>-516.6</v>
      </c>
      <c r="J120" s="202">
        <v>-506.6</v>
      </c>
      <c r="K120" s="204">
        <v>-511.6</v>
      </c>
    </row>
    <row r="121" spans="1:16">
      <c r="A121" s="196" t="s">
        <v>351</v>
      </c>
      <c r="B121" s="196" t="s">
        <v>960</v>
      </c>
      <c r="C121" s="203">
        <v>-813</v>
      </c>
      <c r="D121" s="203">
        <v>-753</v>
      </c>
      <c r="E121" s="204">
        <v>-783</v>
      </c>
      <c r="G121" s="196" t="s">
        <v>351</v>
      </c>
      <c r="H121" s="196" t="s">
        <v>961</v>
      </c>
      <c r="I121" s="202" t="s">
        <v>757</v>
      </c>
      <c r="J121" s="202" t="s">
        <v>757</v>
      </c>
      <c r="K121" s="204" t="e">
        <v>#DIV/0!</v>
      </c>
    </row>
    <row r="122" spans="1:16">
      <c r="A122" s="196" t="s">
        <v>354</v>
      </c>
      <c r="B122" s="196" t="s">
        <v>962</v>
      </c>
      <c r="C122" s="203">
        <v>-1043.5</v>
      </c>
      <c r="D122" s="203">
        <v>-983.5</v>
      </c>
      <c r="E122" s="204">
        <v>-1013.5</v>
      </c>
      <c r="G122" s="196" t="s">
        <v>354</v>
      </c>
      <c r="H122" s="196" t="s">
        <v>963</v>
      </c>
      <c r="I122" s="202" t="s">
        <v>757</v>
      </c>
      <c r="J122" s="202" t="s">
        <v>757</v>
      </c>
      <c r="K122" s="204" t="e">
        <v>#DIV/0!</v>
      </c>
    </row>
    <row r="123" spans="1:16">
      <c r="A123" s="196" t="s">
        <v>357</v>
      </c>
      <c r="B123" s="196" t="s">
        <v>964</v>
      </c>
      <c r="C123" s="203">
        <v>-1250</v>
      </c>
      <c r="D123" s="203">
        <v>-1166.7</v>
      </c>
      <c r="E123" s="204">
        <v>-1208.3499999999999</v>
      </c>
      <c r="G123" s="196" t="s">
        <v>357</v>
      </c>
      <c r="H123" s="196" t="s">
        <v>965</v>
      </c>
      <c r="I123" s="202" t="s">
        <v>757</v>
      </c>
      <c r="J123" s="202" t="s">
        <v>757</v>
      </c>
      <c r="K123" s="204" t="e">
        <v>#DIV/0!</v>
      </c>
    </row>
    <row r="124" spans="1:16">
      <c r="A124" s="196" t="s">
        <v>362</v>
      </c>
      <c r="B124" s="196" t="s">
        <v>966</v>
      </c>
      <c r="C124" s="203">
        <v>-1587.2</v>
      </c>
      <c r="D124" s="203">
        <v>-1457.2</v>
      </c>
      <c r="E124" s="204">
        <v>-1522.2</v>
      </c>
      <c r="G124" s="196" t="s">
        <v>362</v>
      </c>
      <c r="H124" s="196" t="s">
        <v>967</v>
      </c>
      <c r="I124" s="202" t="s">
        <v>757</v>
      </c>
      <c r="J124" s="202" t="s">
        <v>757</v>
      </c>
      <c r="K124" s="204" t="e">
        <v>#DIV/0!</v>
      </c>
    </row>
    <row r="125" spans="1:16">
      <c r="A125" s="196" t="s">
        <v>365</v>
      </c>
      <c r="B125" s="196" t="s">
        <v>968</v>
      </c>
      <c r="C125" s="203">
        <v>-2010.6</v>
      </c>
      <c r="D125" s="203">
        <v>-1810.6</v>
      </c>
      <c r="E125" s="204">
        <v>-1910.6</v>
      </c>
      <c r="G125" s="196" t="s">
        <v>365</v>
      </c>
      <c r="H125" s="196" t="s">
        <v>969</v>
      </c>
      <c r="I125" s="202" t="s">
        <v>757</v>
      </c>
      <c r="J125" s="202" t="s">
        <v>757</v>
      </c>
      <c r="K125" s="204" t="e">
        <v>#DIV/0!</v>
      </c>
    </row>
    <row r="126" spans="1:16">
      <c r="A126" s="196" t="s">
        <v>373</v>
      </c>
      <c r="B126" s="196" t="s">
        <v>970</v>
      </c>
      <c r="C126" s="203" t="s">
        <v>757</v>
      </c>
      <c r="D126" s="203" t="s">
        <v>757</v>
      </c>
      <c r="E126" s="204" t="e">
        <v>#DIV/0!</v>
      </c>
      <c r="G126" s="196" t="s">
        <v>373</v>
      </c>
      <c r="H126" s="196" t="s">
        <v>971</v>
      </c>
      <c r="I126" s="202" t="s">
        <v>757</v>
      </c>
      <c r="J126" s="202" t="s">
        <v>757</v>
      </c>
      <c r="K126" s="204" t="e">
        <v>#DIV/0!</v>
      </c>
    </row>
    <row r="128" spans="1:16">
      <c r="A128" s="196" t="s">
        <v>972</v>
      </c>
      <c r="B128" s="196"/>
      <c r="C128" s="196" t="s">
        <v>113</v>
      </c>
      <c r="D128" s="196" t="s">
        <v>114</v>
      </c>
      <c r="E128" s="196" t="s">
        <v>112</v>
      </c>
      <c r="G128" s="196" t="s">
        <v>972</v>
      </c>
      <c r="H128" s="196" t="s">
        <v>683</v>
      </c>
      <c r="I128" s="196" t="s">
        <v>113</v>
      </c>
      <c r="J128" s="196" t="s">
        <v>114</v>
      </c>
      <c r="K128" s="196" t="s">
        <v>112</v>
      </c>
      <c r="N128" s="196" t="s">
        <v>113</v>
      </c>
      <c r="O128" s="196" t="s">
        <v>114</v>
      </c>
      <c r="P128" s="196" t="s">
        <v>112</v>
      </c>
    </row>
    <row r="129" spans="1:16">
      <c r="B129" s="196" t="s">
        <v>973</v>
      </c>
      <c r="C129" s="203">
        <v>7.7519</v>
      </c>
      <c r="D129" s="203">
        <v>7.7528999999999995</v>
      </c>
      <c r="E129" s="203">
        <v>7.7523999999999997</v>
      </c>
      <c r="H129" s="196" t="s">
        <v>973</v>
      </c>
      <c r="I129" s="203">
        <v>7.7519</v>
      </c>
      <c r="J129" s="203">
        <v>7.7528999999999995</v>
      </c>
      <c r="K129" s="203">
        <v>7.7523999999999997</v>
      </c>
      <c r="M129" s="224" t="s">
        <v>974</v>
      </c>
      <c r="N129" s="204">
        <v>-30</v>
      </c>
      <c r="O129" s="204">
        <v>-20</v>
      </c>
      <c r="P129" s="204">
        <v>-25</v>
      </c>
    </row>
    <row r="130" spans="1:16">
      <c r="A130" s="196" t="s">
        <v>686</v>
      </c>
      <c r="B130" s="196" t="s">
        <v>975</v>
      </c>
      <c r="C130" s="203">
        <v>-0.37</v>
      </c>
      <c r="D130" s="203">
        <v>-0.2</v>
      </c>
      <c r="E130" s="204">
        <v>-0.28500000000000003</v>
      </c>
      <c r="G130" s="196" t="s">
        <v>686</v>
      </c>
      <c r="H130" s="196" t="s">
        <v>976</v>
      </c>
      <c r="I130" s="202" t="s">
        <v>757</v>
      </c>
      <c r="J130" s="202" t="s">
        <v>757</v>
      </c>
      <c r="K130" s="204" t="e">
        <v>#DIV/0!</v>
      </c>
      <c r="M130" s="224" t="s">
        <v>977</v>
      </c>
      <c r="N130" s="204">
        <v>-34</v>
      </c>
      <c r="O130" s="204">
        <v>-24</v>
      </c>
      <c r="P130" s="204">
        <v>-29</v>
      </c>
    </row>
    <row r="131" spans="1:16">
      <c r="A131" s="196" t="s">
        <v>690</v>
      </c>
      <c r="B131" s="196" t="s">
        <v>978</v>
      </c>
      <c r="C131" s="203">
        <v>-0.43000000000000005</v>
      </c>
      <c r="D131" s="203">
        <v>-0.26</v>
      </c>
      <c r="E131" s="204">
        <v>-0.34500000000000003</v>
      </c>
      <c r="G131" s="196" t="s">
        <v>690</v>
      </c>
      <c r="H131" s="196" t="s">
        <v>979</v>
      </c>
      <c r="I131" s="202">
        <v>-0.48000000000000004</v>
      </c>
      <c r="J131" s="202">
        <v>-0.38</v>
      </c>
      <c r="K131" s="204">
        <v>-0.43000000000000005</v>
      </c>
      <c r="M131" s="224" t="s">
        <v>980</v>
      </c>
      <c r="N131" s="204">
        <v>-35</v>
      </c>
      <c r="O131" s="204">
        <v>-25</v>
      </c>
      <c r="P131" s="204">
        <v>-30</v>
      </c>
    </row>
    <row r="132" spans="1:16">
      <c r="A132" s="196" t="s">
        <v>693</v>
      </c>
      <c r="B132" s="196" t="s">
        <v>981</v>
      </c>
      <c r="C132" s="203">
        <v>-3.01</v>
      </c>
      <c r="D132" s="203">
        <v>-2.4899999999999998</v>
      </c>
      <c r="E132" s="204">
        <v>-2.75</v>
      </c>
      <c r="G132" s="196" t="s">
        <v>693</v>
      </c>
      <c r="H132" s="196" t="s">
        <v>982</v>
      </c>
      <c r="I132" s="202">
        <v>-3</v>
      </c>
      <c r="J132" s="202">
        <v>-2.5</v>
      </c>
      <c r="K132" s="204">
        <v>-2.75</v>
      </c>
      <c r="M132" s="224" t="s">
        <v>983</v>
      </c>
      <c r="N132" s="204">
        <v>-35</v>
      </c>
      <c r="O132" s="204">
        <v>-25</v>
      </c>
      <c r="P132" s="204">
        <v>-30</v>
      </c>
    </row>
    <row r="133" spans="1:16">
      <c r="A133" s="196" t="s">
        <v>696</v>
      </c>
      <c r="B133" s="196" t="s">
        <v>984</v>
      </c>
      <c r="C133" s="203">
        <v>-17.510000000000002</v>
      </c>
      <c r="D133" s="203">
        <v>-12.51</v>
      </c>
      <c r="E133" s="204">
        <v>-15.010000000000002</v>
      </c>
      <c r="G133" s="196" t="s">
        <v>696</v>
      </c>
      <c r="H133" s="196" t="s">
        <v>985</v>
      </c>
      <c r="I133" s="202">
        <v>-14</v>
      </c>
      <c r="J133" s="202">
        <v>-12</v>
      </c>
      <c r="K133" s="204">
        <v>-13</v>
      </c>
      <c r="M133" s="224" t="s">
        <v>986</v>
      </c>
      <c r="N133" s="204">
        <v>-35</v>
      </c>
      <c r="O133" s="204">
        <v>-25</v>
      </c>
      <c r="P133" s="204">
        <v>-30</v>
      </c>
    </row>
    <row r="134" spans="1:16">
      <c r="A134" s="196" t="s">
        <v>699</v>
      </c>
      <c r="B134" s="196" t="s">
        <v>987</v>
      </c>
      <c r="C134" s="203">
        <v>-32.15</v>
      </c>
      <c r="D134" s="203">
        <v>-28.85</v>
      </c>
      <c r="E134" s="204">
        <v>-30.5</v>
      </c>
      <c r="G134" s="196" t="s">
        <v>699</v>
      </c>
      <c r="H134" s="196" t="s">
        <v>988</v>
      </c>
      <c r="I134" s="202">
        <v>-33</v>
      </c>
      <c r="J134" s="202">
        <v>-30</v>
      </c>
      <c r="K134" s="204">
        <v>-31.5</v>
      </c>
      <c r="M134" s="224" t="s">
        <v>989</v>
      </c>
      <c r="N134" s="204">
        <v>-31</v>
      </c>
      <c r="O134" s="204">
        <v>-21</v>
      </c>
      <c r="P134" s="204">
        <v>-26</v>
      </c>
    </row>
    <row r="135" spans="1:16">
      <c r="A135" s="196" t="s">
        <v>385</v>
      </c>
      <c r="B135" s="196" t="s">
        <v>990</v>
      </c>
      <c r="C135" s="203">
        <v>-52.51</v>
      </c>
      <c r="D135" s="203">
        <v>-48.49</v>
      </c>
      <c r="E135" s="204">
        <v>-50.5</v>
      </c>
      <c r="G135" s="196" t="s">
        <v>385</v>
      </c>
      <c r="H135" s="196" t="s">
        <v>991</v>
      </c>
      <c r="I135" s="202">
        <v>-53</v>
      </c>
      <c r="J135" s="202">
        <v>-48</v>
      </c>
      <c r="K135" s="204">
        <v>-50.5</v>
      </c>
      <c r="M135" s="224" t="s">
        <v>992</v>
      </c>
      <c r="N135" s="204">
        <v>-31</v>
      </c>
      <c r="O135" s="204">
        <v>-21</v>
      </c>
      <c r="P135" s="204">
        <v>-26</v>
      </c>
    </row>
    <row r="136" spans="1:16">
      <c r="A136" s="196" t="s">
        <v>342</v>
      </c>
      <c r="B136" s="196" t="s">
        <v>993</v>
      </c>
      <c r="C136" s="203">
        <v>-115</v>
      </c>
      <c r="D136" s="203">
        <v>-90</v>
      </c>
      <c r="E136" s="204">
        <v>-102.5</v>
      </c>
      <c r="G136" s="196" t="s">
        <v>342</v>
      </c>
      <c r="H136" s="196" t="s">
        <v>994</v>
      </c>
      <c r="I136" s="202">
        <v>-109</v>
      </c>
      <c r="J136" s="202">
        <v>-104</v>
      </c>
      <c r="K136" s="204">
        <v>-106.5</v>
      </c>
      <c r="M136" s="224" t="s">
        <v>995</v>
      </c>
      <c r="N136" s="204">
        <v>-33</v>
      </c>
      <c r="O136" s="204">
        <v>-23</v>
      </c>
      <c r="P136" s="204">
        <v>-28</v>
      </c>
    </row>
    <row r="137" spans="1:16">
      <c r="A137" s="196" t="s">
        <v>728</v>
      </c>
      <c r="B137" s="196" t="s">
        <v>996</v>
      </c>
      <c r="C137" s="203">
        <v>-177.1</v>
      </c>
      <c r="D137" s="203">
        <v>-168.9</v>
      </c>
      <c r="E137" s="204">
        <v>-173</v>
      </c>
      <c r="G137" s="196" t="s">
        <v>728</v>
      </c>
      <c r="H137" s="196" t="s">
        <v>997</v>
      </c>
      <c r="I137" s="202">
        <v>-176</v>
      </c>
      <c r="J137" s="202">
        <v>-170</v>
      </c>
      <c r="K137" s="204">
        <v>-173</v>
      </c>
      <c r="M137" s="224" t="s">
        <v>998</v>
      </c>
      <c r="N137" s="204">
        <v>-36</v>
      </c>
      <c r="O137" s="204">
        <v>-26</v>
      </c>
      <c r="P137" s="204">
        <v>-31</v>
      </c>
    </row>
    <row r="138" spans="1:16">
      <c r="A138" s="196" t="s">
        <v>344</v>
      </c>
      <c r="B138" s="196" t="s">
        <v>999</v>
      </c>
      <c r="C138" s="203">
        <v>-262.60000000000002</v>
      </c>
      <c r="D138" s="203">
        <v>-247.4</v>
      </c>
      <c r="E138" s="204">
        <v>-255</v>
      </c>
      <c r="G138" s="196" t="s">
        <v>344</v>
      </c>
      <c r="H138" s="196" t="s">
        <v>1000</v>
      </c>
      <c r="I138" s="202">
        <v>-260</v>
      </c>
      <c r="J138" s="202">
        <v>-250</v>
      </c>
      <c r="K138" s="204">
        <v>-255</v>
      </c>
      <c r="M138" s="224"/>
      <c r="N138" s="204"/>
      <c r="O138" s="204"/>
      <c r="P138" s="204"/>
    </row>
    <row r="139" spans="1:16">
      <c r="A139" s="196"/>
      <c r="B139" s="196"/>
      <c r="C139" s="203"/>
      <c r="D139" s="203"/>
      <c r="E139" s="204"/>
      <c r="G139" s="196"/>
      <c r="H139" s="196"/>
      <c r="I139" s="202"/>
      <c r="J139" s="202"/>
      <c r="K139" s="204"/>
      <c r="M139" s="224"/>
      <c r="N139" s="204"/>
      <c r="O139" s="204"/>
      <c r="P139" s="204"/>
    </row>
    <row r="140" spans="1:16">
      <c r="A140" s="196"/>
      <c r="B140" s="196"/>
      <c r="C140" s="203"/>
      <c r="D140" s="203"/>
      <c r="E140" s="204"/>
      <c r="G140" s="196"/>
      <c r="H140" s="196"/>
      <c r="I140" s="202"/>
      <c r="J140" s="202"/>
      <c r="K140" s="204"/>
    </row>
    <row r="141" spans="1:16">
      <c r="A141" s="196"/>
      <c r="B141" s="196"/>
      <c r="C141" s="203"/>
      <c r="D141" s="203"/>
      <c r="E141" s="204"/>
      <c r="G141" s="196"/>
      <c r="H141" s="196"/>
      <c r="I141" s="202"/>
      <c r="J141" s="202"/>
      <c r="K141" s="204"/>
    </row>
    <row r="142" spans="1:16">
      <c r="A142" s="196"/>
      <c r="B142" s="196"/>
      <c r="C142" s="203"/>
      <c r="D142" s="203"/>
      <c r="E142" s="204"/>
      <c r="G142" s="196"/>
      <c r="H142" s="196"/>
      <c r="I142" s="202"/>
      <c r="J142" s="202"/>
      <c r="K142" s="204"/>
    </row>
    <row r="143" spans="1:16">
      <c r="A143" s="196"/>
      <c r="B143" s="196"/>
      <c r="C143" s="203"/>
      <c r="D143" s="203"/>
      <c r="E143" s="204"/>
      <c r="G143" s="196"/>
      <c r="H143" s="196"/>
      <c r="I143" s="202"/>
      <c r="J143" s="202"/>
      <c r="K143" s="204"/>
    </row>
    <row r="144" spans="1:16">
      <c r="A144" s="196"/>
      <c r="B144" s="196"/>
      <c r="C144" s="203"/>
      <c r="D144" s="203"/>
      <c r="E144" s="204"/>
      <c r="G144" s="196"/>
      <c r="H144" s="196"/>
      <c r="I144" s="202"/>
      <c r="J144" s="202"/>
      <c r="K144" s="204"/>
    </row>
    <row r="145" spans="1:11">
      <c r="A145" s="196"/>
      <c r="B145" s="196"/>
      <c r="C145" s="203"/>
      <c r="D145" s="203"/>
      <c r="E145" s="204"/>
      <c r="G145" s="196"/>
      <c r="H145" s="196"/>
      <c r="I145" s="202"/>
      <c r="J145" s="202"/>
      <c r="K145" s="204"/>
    </row>
    <row r="146" spans="1:11">
      <c r="A146" s="196"/>
      <c r="B146" s="196"/>
      <c r="C146" s="203"/>
      <c r="D146" s="203"/>
      <c r="E146" s="204"/>
      <c r="G146" s="196"/>
      <c r="H146" s="196"/>
      <c r="I146" s="202"/>
      <c r="J146" s="202"/>
      <c r="K146" s="204"/>
    </row>
    <row r="147" spans="1:11">
      <c r="A147" s="196"/>
      <c r="B147" s="196"/>
      <c r="C147" s="203"/>
      <c r="D147" s="203"/>
      <c r="E147" s="204"/>
      <c r="G147" s="196"/>
      <c r="H147" s="196"/>
      <c r="I147" s="202"/>
      <c r="J147" s="202"/>
      <c r="K147" s="204"/>
    </row>
    <row r="148" spans="1:11">
      <c r="A148" s="196"/>
      <c r="B148" s="196"/>
      <c r="C148" s="203"/>
      <c r="D148" s="203"/>
      <c r="E148" s="204"/>
      <c r="G148" s="196"/>
      <c r="H148" s="196"/>
      <c r="I148" s="202"/>
      <c r="J148" s="202"/>
      <c r="K148" s="204"/>
    </row>
    <row r="149" spans="1:11">
      <c r="A149" s="196"/>
      <c r="B149" s="196"/>
      <c r="C149" s="203"/>
      <c r="D149" s="203"/>
      <c r="E149" s="204"/>
      <c r="G149" s="196"/>
      <c r="H149" s="196"/>
      <c r="I149" s="202"/>
      <c r="J149" s="202"/>
      <c r="K149" s="204"/>
    </row>
    <row r="150" spans="1:11">
      <c r="A150" s="196"/>
      <c r="B150" s="196"/>
      <c r="C150" s="203"/>
      <c r="D150" s="203"/>
      <c r="E150" s="204"/>
      <c r="G150" s="196"/>
      <c r="H150" s="196"/>
      <c r="I150" s="202"/>
      <c r="J150" s="202"/>
      <c r="K150" s="204"/>
    </row>
    <row r="151" spans="1:11">
      <c r="A151" s="196"/>
      <c r="B151" s="196"/>
      <c r="C151" s="203"/>
      <c r="D151" s="203"/>
      <c r="E151" s="204"/>
      <c r="G151" s="196"/>
      <c r="H151" s="196"/>
      <c r="I151" s="202"/>
      <c r="J151" s="202"/>
      <c r="K151" s="204"/>
    </row>
  </sheetData>
  <mergeCells count="2">
    <mergeCell ref="AO8:AT8"/>
    <mergeCell ref="AQ9:AT9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S67"/>
  <sheetViews>
    <sheetView tabSelected="1" topLeftCell="E3" workbookViewId="0">
      <selection activeCell="O38" sqref="O38"/>
    </sheetView>
  </sheetViews>
  <sheetFormatPr defaultColWidth="9.140625" defaultRowHeight="12.75"/>
  <cols>
    <col min="1" max="1" width="13.7109375" style="198" bestFit="1" customWidth="1"/>
    <col min="2" max="2" width="20.42578125" style="198" bestFit="1" customWidth="1"/>
    <col min="3" max="3" width="13.28515625" style="198" bestFit="1" customWidth="1"/>
    <col min="4" max="8" width="9.140625" style="198"/>
    <col min="9" max="9" width="13.140625" style="198" bestFit="1" customWidth="1"/>
    <col min="10" max="10" width="15.85546875" style="198" bestFit="1" customWidth="1"/>
    <col min="11" max="12" width="16.85546875" style="198" bestFit="1" customWidth="1"/>
    <col min="13" max="14" width="9.140625" style="198"/>
    <col min="15" max="15" width="8.5703125" style="198" bestFit="1" customWidth="1"/>
    <col min="16" max="16" width="9.28515625" style="198" bestFit="1" customWidth="1"/>
    <col min="17" max="17" width="9.140625" style="198"/>
    <col min="18" max="18" width="9.28515625" style="198" bestFit="1" customWidth="1"/>
    <col min="19" max="19" width="12.42578125" style="198" bestFit="1" customWidth="1"/>
    <col min="20" max="16384" width="9.140625" style="198"/>
  </cols>
  <sheetData>
    <row r="1" spans="1:19">
      <c r="A1" s="201"/>
      <c r="B1" s="196" t="s">
        <v>1001</v>
      </c>
      <c r="C1" s="196" t="s">
        <v>1002</v>
      </c>
    </row>
    <row r="2" spans="1:19">
      <c r="A2" s="201">
        <v>3</v>
      </c>
      <c r="B2" s="201" t="s">
        <v>1003</v>
      </c>
      <c r="C2" s="201" t="s">
        <v>1004</v>
      </c>
    </row>
    <row r="3" spans="1:19">
      <c r="A3" s="201">
        <v>6</v>
      </c>
      <c r="B3" s="201" t="s">
        <v>35</v>
      </c>
      <c r="C3" s="201" t="s">
        <v>1005</v>
      </c>
    </row>
    <row r="4" spans="1:19">
      <c r="A4" s="201">
        <v>9</v>
      </c>
      <c r="B4" s="201" t="s">
        <v>1006</v>
      </c>
      <c r="C4" s="201" t="s">
        <v>1007</v>
      </c>
    </row>
    <row r="5" spans="1:19">
      <c r="A5" s="201">
        <v>12</v>
      </c>
      <c r="B5" s="201" t="s">
        <v>122</v>
      </c>
      <c r="C5" s="201" t="s">
        <v>1008</v>
      </c>
    </row>
    <row r="6" spans="1:19">
      <c r="G6" s="221"/>
      <c r="S6" s="218"/>
    </row>
    <row r="7" spans="1:19">
      <c r="G7" s="221"/>
      <c r="Q7" s="196"/>
    </row>
    <row r="8" spans="1:19">
      <c r="A8" s="196" t="s">
        <v>151</v>
      </c>
      <c r="B8" s="196" t="s">
        <v>1009</v>
      </c>
      <c r="C8" s="196" t="s">
        <v>1010</v>
      </c>
      <c r="D8" s="196" t="s">
        <v>1001</v>
      </c>
      <c r="E8" s="196" t="s">
        <v>1002</v>
      </c>
      <c r="F8" s="196" t="s">
        <v>1011</v>
      </c>
      <c r="G8" s="196" t="s">
        <v>1012</v>
      </c>
      <c r="K8" s="196" t="s">
        <v>1009</v>
      </c>
      <c r="L8" s="196" t="s">
        <v>1009</v>
      </c>
      <c r="M8" s="196" t="s">
        <v>1001</v>
      </c>
      <c r="N8" s="196" t="s">
        <v>1002</v>
      </c>
      <c r="O8" s="196" t="s">
        <v>1013</v>
      </c>
      <c r="P8" s="196"/>
      <c r="Q8" s="196"/>
    </row>
    <row r="9" spans="1:19">
      <c r="A9" s="196" t="s">
        <v>155</v>
      </c>
      <c r="B9" s="202">
        <v>99.677499999999995</v>
      </c>
      <c r="C9" s="229">
        <v>40525</v>
      </c>
      <c r="D9" s="205" t="s">
        <v>122</v>
      </c>
      <c r="E9" s="205" t="s">
        <v>1008</v>
      </c>
      <c r="F9" s="205" t="s">
        <v>1014</v>
      </c>
      <c r="G9" s="202">
        <v>99.625</v>
      </c>
      <c r="H9" s="202" t="s">
        <v>1015</v>
      </c>
      <c r="I9" s="198" t="s">
        <v>1016</v>
      </c>
      <c r="J9" s="198" t="s">
        <v>1017</v>
      </c>
      <c r="K9" s="204">
        <v>7.5000000000000009</v>
      </c>
      <c r="L9" s="204">
        <v>3.4999999999999996</v>
      </c>
      <c r="M9" s="230" t="e">
        <v>#NUM!</v>
      </c>
      <c r="N9" s="230" t="e">
        <v>#NUM!</v>
      </c>
      <c r="O9" s="231" t="e">
        <v>#NUM!</v>
      </c>
      <c r="P9" s="211"/>
      <c r="Q9" s="211"/>
      <c r="R9" s="204"/>
      <c r="S9" s="204" t="e">
        <v>#VALUE!</v>
      </c>
    </row>
    <row r="10" spans="1:19">
      <c r="A10" s="196" t="s">
        <v>162</v>
      </c>
      <c r="B10" s="202">
        <v>99.584999999999994</v>
      </c>
      <c r="C10" s="229">
        <v>40616</v>
      </c>
      <c r="D10" s="205" t="s">
        <v>1003</v>
      </c>
      <c r="E10" s="205" t="s">
        <v>1004</v>
      </c>
      <c r="F10" s="205" t="s">
        <v>1018</v>
      </c>
      <c r="G10" s="202">
        <v>99.625</v>
      </c>
      <c r="H10" s="202" t="s">
        <v>1015</v>
      </c>
      <c r="I10" s="198" t="s">
        <v>1019</v>
      </c>
      <c r="J10" s="198" t="s">
        <v>1020</v>
      </c>
      <c r="K10" s="204">
        <v>6.5</v>
      </c>
      <c r="L10" s="204">
        <v>13.5</v>
      </c>
      <c r="M10" s="230">
        <v>0.93972600471594869</v>
      </c>
      <c r="N10" s="230">
        <v>1.2957270257860354</v>
      </c>
      <c r="O10" s="231">
        <v>4.6385650382916874E-3</v>
      </c>
      <c r="P10" s="211"/>
      <c r="Q10" s="211"/>
      <c r="R10" s="204"/>
      <c r="S10" s="204">
        <v>2.8216707372096139E-2</v>
      </c>
    </row>
    <row r="11" spans="1:19">
      <c r="A11" s="196" t="s">
        <v>168</v>
      </c>
      <c r="B11" s="202">
        <v>99.465000000000003</v>
      </c>
      <c r="C11" s="229">
        <v>40707</v>
      </c>
      <c r="D11" s="205" t="s">
        <v>35</v>
      </c>
      <c r="E11" s="205" t="s">
        <v>1005</v>
      </c>
      <c r="F11" s="205" t="s">
        <v>1018</v>
      </c>
      <c r="G11" s="202">
        <v>99.5</v>
      </c>
      <c r="H11" s="202" t="s">
        <v>1021</v>
      </c>
      <c r="I11" s="198" t="s">
        <v>1022</v>
      </c>
      <c r="J11" s="198" t="s">
        <v>1023</v>
      </c>
      <c r="K11" s="204">
        <v>12.75</v>
      </c>
      <c r="L11" s="204">
        <v>18.75</v>
      </c>
      <c r="M11" s="230">
        <v>0.94162156356324545</v>
      </c>
      <c r="N11" s="230">
        <v>1.1146566489177752</v>
      </c>
      <c r="O11" s="231">
        <v>5.5005442183866946E-3</v>
      </c>
      <c r="P11" s="211"/>
      <c r="Q11" s="211"/>
      <c r="R11" s="204"/>
      <c r="S11" s="204">
        <v>9.0954334651685509E-2</v>
      </c>
    </row>
    <row r="12" spans="1:19">
      <c r="A12" s="196" t="s">
        <v>174</v>
      </c>
      <c r="B12" s="202">
        <v>99.34</v>
      </c>
      <c r="C12" s="229">
        <v>40805</v>
      </c>
      <c r="D12" s="205" t="s">
        <v>1006</v>
      </c>
      <c r="E12" s="205" t="s">
        <v>1007</v>
      </c>
      <c r="F12" s="205" t="s">
        <v>1018</v>
      </c>
      <c r="G12" s="202">
        <v>99.375</v>
      </c>
      <c r="H12" s="202" t="s">
        <v>1024</v>
      </c>
      <c r="I12" s="198" t="s">
        <v>1025</v>
      </c>
      <c r="J12" s="198" t="s">
        <v>1026</v>
      </c>
      <c r="K12" s="204">
        <v>19</v>
      </c>
      <c r="L12" s="204">
        <v>24.000000000000004</v>
      </c>
      <c r="M12" s="230">
        <v>0.90487037708651707</v>
      </c>
      <c r="N12" s="230">
        <v>0.97496611846942272</v>
      </c>
      <c r="O12" s="231">
        <v>6.2034604353345705E-3</v>
      </c>
      <c r="P12" s="211"/>
      <c r="Q12" s="211"/>
      <c r="R12" s="204"/>
      <c r="S12" s="204">
        <v>0.2109102378504808</v>
      </c>
    </row>
    <row r="13" spans="1:19">
      <c r="A13" s="196" t="s">
        <v>180</v>
      </c>
      <c r="B13" s="202">
        <v>99.194999999999993</v>
      </c>
      <c r="C13" s="229">
        <v>40896</v>
      </c>
      <c r="D13" s="205" t="s">
        <v>122</v>
      </c>
      <c r="E13" s="205" t="s">
        <v>1008</v>
      </c>
      <c r="F13" s="205" t="s">
        <v>1018</v>
      </c>
      <c r="G13" s="202">
        <v>99.25</v>
      </c>
      <c r="H13" s="202" t="s">
        <v>1027</v>
      </c>
      <c r="I13" s="198" t="s">
        <v>1028</v>
      </c>
      <c r="J13" s="198" t="s">
        <v>1029</v>
      </c>
      <c r="K13" s="204">
        <v>24.250000000000004</v>
      </c>
      <c r="L13" s="204">
        <v>29.750000000000004</v>
      </c>
      <c r="M13" s="230">
        <v>0.85807260166233945</v>
      </c>
      <c r="N13" s="230">
        <v>0.85807260166231603</v>
      </c>
      <c r="O13" s="231">
        <v>6.9074844433817959E-3</v>
      </c>
      <c r="P13" s="211"/>
      <c r="Q13" s="211"/>
      <c r="R13" s="204"/>
      <c r="S13" s="204">
        <v>0.39928762424320741</v>
      </c>
    </row>
    <row r="14" spans="1:19">
      <c r="A14" s="196" t="s">
        <v>186</v>
      </c>
      <c r="B14" s="202">
        <v>99.045000000000002</v>
      </c>
      <c r="C14" s="229">
        <v>40987</v>
      </c>
      <c r="D14" s="205" t="s">
        <v>1003</v>
      </c>
      <c r="E14" s="205" t="s">
        <v>1004</v>
      </c>
      <c r="F14" s="205" t="s">
        <v>1030</v>
      </c>
      <c r="G14" s="202">
        <v>99</v>
      </c>
      <c r="H14" s="202" t="s">
        <v>1031</v>
      </c>
      <c r="I14" s="198" t="s">
        <v>1032</v>
      </c>
      <c r="J14" s="198" t="s">
        <v>1033</v>
      </c>
      <c r="K14" s="204">
        <v>37.5</v>
      </c>
      <c r="L14" s="204">
        <v>31</v>
      </c>
      <c r="M14" s="230">
        <v>0.8078225403590571</v>
      </c>
      <c r="N14" s="230">
        <v>0.75868114953573307</v>
      </c>
      <c r="O14" s="231">
        <v>7.4800551192476094E-3</v>
      </c>
      <c r="P14" s="211"/>
      <c r="Q14" s="211"/>
      <c r="R14" s="204"/>
      <c r="S14" s="204">
        <v>0.66089234392610896</v>
      </c>
    </row>
    <row r="15" spans="1:19">
      <c r="A15" s="196" t="s">
        <v>192</v>
      </c>
      <c r="B15" s="202">
        <v>98.884999999999991</v>
      </c>
      <c r="C15" s="229">
        <v>41078</v>
      </c>
      <c r="D15" s="205" t="s">
        <v>35</v>
      </c>
      <c r="E15" s="205" t="s">
        <v>1005</v>
      </c>
      <c r="F15" s="205" t="s">
        <v>1030</v>
      </c>
      <c r="G15" s="202">
        <v>98.875</v>
      </c>
      <c r="H15" s="202" t="s">
        <v>1034</v>
      </c>
      <c r="I15" s="198" t="s">
        <v>1035</v>
      </c>
      <c r="J15" s="198" t="s">
        <v>1036</v>
      </c>
      <c r="K15" s="204">
        <v>42.000000000000007</v>
      </c>
      <c r="L15" s="204">
        <v>36.5</v>
      </c>
      <c r="M15" s="230">
        <v>0.7648037237493398</v>
      </c>
      <c r="N15" s="230">
        <v>0.67627656753113896</v>
      </c>
      <c r="O15" s="231">
        <v>8.0340226238887341E-3</v>
      </c>
      <c r="P15" s="211"/>
      <c r="Q15" s="211"/>
      <c r="R15" s="204"/>
      <c r="S15" s="204">
        <v>1.019773079228923</v>
      </c>
    </row>
    <row r="16" spans="1:19">
      <c r="A16" s="196" t="s">
        <v>198</v>
      </c>
      <c r="B16" s="202">
        <v>98.72</v>
      </c>
      <c r="C16" s="229">
        <v>41169</v>
      </c>
      <c r="D16" s="205" t="s">
        <v>1006</v>
      </c>
      <c r="E16" s="205" t="s">
        <v>1007</v>
      </c>
      <c r="F16" s="205" t="s">
        <v>1030</v>
      </c>
      <c r="G16" s="202">
        <v>98.75</v>
      </c>
      <c r="H16" s="202" t="s">
        <v>1037</v>
      </c>
      <c r="I16" s="198" t="s">
        <v>1038</v>
      </c>
      <c r="J16" s="198" t="s">
        <v>1039</v>
      </c>
      <c r="K16" s="204">
        <v>46.5</v>
      </c>
      <c r="L16" s="204">
        <v>42.500000000000007</v>
      </c>
      <c r="M16" s="230">
        <v>0.72950870189184414</v>
      </c>
      <c r="N16" s="230">
        <v>0.61599247036272664</v>
      </c>
      <c r="O16" s="231">
        <v>8.6112075024292606E-3</v>
      </c>
      <c r="P16" s="211"/>
      <c r="Q16" s="211"/>
      <c r="R16" s="204"/>
      <c r="S16" s="204">
        <v>1.5066924477040047</v>
      </c>
    </row>
    <row r="17" spans="1:19">
      <c r="A17" s="196" t="s">
        <v>204</v>
      </c>
      <c r="B17" s="202">
        <v>98.524999999999991</v>
      </c>
      <c r="C17" s="229">
        <v>41260</v>
      </c>
      <c r="D17" s="205" t="s">
        <v>122</v>
      </c>
      <c r="E17" s="205" t="s">
        <v>1008</v>
      </c>
      <c r="F17" s="205" t="s">
        <v>1030</v>
      </c>
      <c r="G17" s="202">
        <v>98.5</v>
      </c>
      <c r="H17" s="202" t="s">
        <v>1040</v>
      </c>
      <c r="I17" s="198" t="s">
        <v>1041</v>
      </c>
      <c r="J17" s="198" t="s">
        <v>1042</v>
      </c>
      <c r="K17" s="204"/>
      <c r="L17" s="204"/>
      <c r="M17" s="230"/>
      <c r="N17" s="230"/>
      <c r="O17" s="231"/>
      <c r="P17" s="211"/>
      <c r="Q17" s="211"/>
      <c r="R17" s="217"/>
      <c r="S17" s="217">
        <v>1.8805524048509097</v>
      </c>
    </row>
    <row r="18" spans="1:19">
      <c r="A18" s="196" t="s">
        <v>208</v>
      </c>
      <c r="B18" s="202">
        <v>98.344999999999999</v>
      </c>
      <c r="C18" s="229">
        <v>41351</v>
      </c>
      <c r="D18" s="205" t="s">
        <v>1003</v>
      </c>
      <c r="E18" s="205" t="s">
        <v>1004</v>
      </c>
      <c r="F18" s="205" t="s">
        <v>1043</v>
      </c>
      <c r="G18" s="202">
        <v>98.375</v>
      </c>
      <c r="H18" s="202" t="s">
        <v>1044</v>
      </c>
      <c r="I18" s="198" t="s">
        <v>1045</v>
      </c>
      <c r="J18" s="198" t="s">
        <v>1046</v>
      </c>
      <c r="K18" s="204"/>
      <c r="L18" s="204"/>
      <c r="M18" s="230"/>
      <c r="N18" s="230"/>
      <c r="O18" s="231"/>
      <c r="P18" s="211"/>
      <c r="Q18" s="211"/>
      <c r="R18" s="217"/>
      <c r="S18" s="217">
        <v>2.292130009664346</v>
      </c>
    </row>
    <row r="19" spans="1:19">
      <c r="A19" s="196" t="s">
        <v>212</v>
      </c>
      <c r="B19" s="202">
        <v>98.149999999999991</v>
      </c>
      <c r="C19" s="229">
        <v>41442</v>
      </c>
      <c r="D19" s="205" t="s">
        <v>35</v>
      </c>
      <c r="E19" s="205" t="s">
        <v>1005</v>
      </c>
      <c r="F19" s="205" t="s">
        <v>1043</v>
      </c>
      <c r="G19" s="202">
        <v>98.125</v>
      </c>
      <c r="H19" s="202" t="s">
        <v>1047</v>
      </c>
      <c r="I19" s="198" t="s">
        <v>1048</v>
      </c>
      <c r="J19" s="198" t="s">
        <v>1049</v>
      </c>
      <c r="K19" s="204"/>
      <c r="L19" s="204"/>
      <c r="M19" s="230"/>
      <c r="N19" s="230"/>
      <c r="O19" s="231"/>
      <c r="P19" s="211"/>
      <c r="Q19" s="211"/>
      <c r="R19" s="217"/>
      <c r="S19" s="217">
        <v>2.7407564484781912</v>
      </c>
    </row>
    <row r="20" spans="1:19">
      <c r="A20" s="196" t="s">
        <v>216</v>
      </c>
      <c r="B20" s="202">
        <v>97.95</v>
      </c>
      <c r="C20" s="229">
        <v>41533</v>
      </c>
      <c r="D20" s="205" t="s">
        <v>1006</v>
      </c>
      <c r="E20" s="205" t="s">
        <v>1007</v>
      </c>
      <c r="F20" s="205" t="s">
        <v>1043</v>
      </c>
      <c r="G20" s="202">
        <v>98</v>
      </c>
      <c r="H20" s="202" t="s">
        <v>1050</v>
      </c>
      <c r="I20" s="198" t="s">
        <v>1051</v>
      </c>
      <c r="J20" s="198" t="s">
        <v>1052</v>
      </c>
      <c r="K20" s="204"/>
      <c r="L20" s="204"/>
      <c r="M20" s="230"/>
      <c r="N20" s="230"/>
      <c r="O20" s="231"/>
      <c r="P20" s="211"/>
      <c r="Q20" s="211"/>
      <c r="R20" s="217"/>
      <c r="S20" s="217">
        <v>3.2255919413025764</v>
      </c>
    </row>
    <row r="21" spans="1:19">
      <c r="D21" s="205"/>
    </row>
    <row r="22" spans="1:19">
      <c r="A22" s="196" t="s">
        <v>1053</v>
      </c>
      <c r="B22" s="196" t="s">
        <v>1009</v>
      </c>
      <c r="C22" s="196" t="s">
        <v>1010</v>
      </c>
      <c r="D22" s="196" t="s">
        <v>1001</v>
      </c>
      <c r="E22" s="196" t="s">
        <v>1002</v>
      </c>
      <c r="F22" s="196" t="s">
        <v>1011</v>
      </c>
      <c r="G22" s="196" t="s">
        <v>1012</v>
      </c>
      <c r="K22" s="196" t="s">
        <v>1009</v>
      </c>
      <c r="L22" s="196" t="s">
        <v>1009</v>
      </c>
      <c r="M22" s="196" t="s">
        <v>1001</v>
      </c>
      <c r="N22" s="196" t="s">
        <v>1002</v>
      </c>
      <c r="O22" s="196" t="s">
        <v>1013</v>
      </c>
    </row>
    <row r="23" spans="1:19">
      <c r="A23" s="196" t="s">
        <v>157</v>
      </c>
      <c r="B23" s="202">
        <v>98.884999999999991</v>
      </c>
      <c r="C23" s="229">
        <v>40525</v>
      </c>
      <c r="D23" s="205" t="s">
        <v>122</v>
      </c>
      <c r="E23" s="205" t="s">
        <v>1008</v>
      </c>
      <c r="F23" s="205" t="s">
        <v>1014</v>
      </c>
      <c r="G23" s="202">
        <v>98.875</v>
      </c>
      <c r="H23" s="202" t="s">
        <v>1034</v>
      </c>
      <c r="I23" s="198" t="s">
        <v>1054</v>
      </c>
      <c r="J23" s="198" t="s">
        <v>1055</v>
      </c>
      <c r="K23" s="204">
        <v>4.75</v>
      </c>
      <c r="L23" s="204">
        <v>3.75</v>
      </c>
      <c r="M23" s="230">
        <v>0.34203363901407169</v>
      </c>
      <c r="N23" s="230">
        <v>0.34203363901399775</v>
      </c>
      <c r="O23" s="231">
        <v>3.8136750750065187E-3</v>
      </c>
      <c r="R23" s="204"/>
      <c r="S23" s="204">
        <v>3.0677490203812612E-3</v>
      </c>
    </row>
    <row r="24" spans="1:19">
      <c r="A24" s="196" t="s">
        <v>164</v>
      </c>
      <c r="B24" s="202">
        <v>98.73</v>
      </c>
      <c r="C24" s="229">
        <v>40616</v>
      </c>
      <c r="D24" s="205" t="s">
        <v>1003</v>
      </c>
      <c r="E24" s="205" t="s">
        <v>1004</v>
      </c>
      <c r="F24" s="205" t="s">
        <v>1018</v>
      </c>
      <c r="G24" s="202">
        <v>98.75</v>
      </c>
      <c r="H24" s="202" t="s">
        <v>1056</v>
      </c>
      <c r="I24" s="198" t="s">
        <v>1057</v>
      </c>
      <c r="J24" s="198" t="s">
        <v>1058</v>
      </c>
      <c r="K24" s="204">
        <v>9.75</v>
      </c>
      <c r="L24" s="204">
        <v>11.75</v>
      </c>
      <c r="M24" s="230">
        <v>0.37422677880885352</v>
      </c>
      <c r="N24" s="230">
        <v>0.37422677880886829</v>
      </c>
      <c r="O24" s="231">
        <v>4.7526800908725183E-3</v>
      </c>
      <c r="R24" s="204"/>
      <c r="S24" s="204">
        <v>2.9685375332290542E-2</v>
      </c>
    </row>
    <row r="25" spans="1:19">
      <c r="A25" s="196" t="s">
        <v>170</v>
      </c>
      <c r="B25" s="202">
        <v>98.614999999999995</v>
      </c>
      <c r="C25" s="229">
        <v>40707</v>
      </c>
      <c r="D25" s="205" t="s">
        <v>35</v>
      </c>
      <c r="E25" s="205" t="s">
        <v>1005</v>
      </c>
      <c r="F25" s="205" t="s">
        <v>1018</v>
      </c>
      <c r="G25" s="202">
        <v>98.625</v>
      </c>
      <c r="H25" s="202" t="s">
        <v>1059</v>
      </c>
      <c r="I25" s="198" t="s">
        <v>1060</v>
      </c>
      <c r="J25" s="198" t="s">
        <v>1061</v>
      </c>
      <c r="K25" s="204">
        <v>16.75</v>
      </c>
      <c r="L25" s="204">
        <v>17.750000000000004</v>
      </c>
      <c r="M25" s="230">
        <v>0.41467682893940067</v>
      </c>
      <c r="N25" s="230">
        <v>0.41467682893938784</v>
      </c>
      <c r="O25" s="231">
        <v>5.7432740808106321E-3</v>
      </c>
      <c r="R25" s="204"/>
      <c r="S25" s="204">
        <v>9.9369198563510841E-2</v>
      </c>
    </row>
    <row r="26" spans="1:19">
      <c r="A26" s="196" t="s">
        <v>176</v>
      </c>
      <c r="B26" s="202">
        <v>98.524999999999991</v>
      </c>
      <c r="C26" s="229">
        <v>40805</v>
      </c>
      <c r="D26" s="205" t="s">
        <v>1006</v>
      </c>
      <c r="E26" s="205" t="s">
        <v>1007</v>
      </c>
      <c r="F26" s="205" t="s">
        <v>1018</v>
      </c>
      <c r="G26" s="232">
        <v>98.5</v>
      </c>
      <c r="H26" s="202" t="s">
        <v>1062</v>
      </c>
      <c r="I26" s="198" t="s">
        <v>1063</v>
      </c>
      <c r="J26" s="198" t="s">
        <v>1064</v>
      </c>
      <c r="K26" s="204">
        <v>25.5</v>
      </c>
      <c r="L26" s="204">
        <v>23</v>
      </c>
      <c r="M26" s="230">
        <v>0.44761965774538226</v>
      </c>
      <c r="N26" s="230">
        <v>0.447619657745366</v>
      </c>
      <c r="O26" s="231">
        <v>6.6023899517443077E-3</v>
      </c>
      <c r="R26" s="204"/>
      <c r="S26" s="204">
        <v>0.23939459383160749</v>
      </c>
    </row>
    <row r="27" spans="1:19">
      <c r="A27" s="196" t="s">
        <v>182</v>
      </c>
      <c r="B27" s="202">
        <v>98.415000000000006</v>
      </c>
      <c r="C27" s="229">
        <v>40896</v>
      </c>
      <c r="D27" s="205" t="s">
        <v>122</v>
      </c>
      <c r="E27" s="205" t="s">
        <v>1008</v>
      </c>
      <c r="F27" s="205" t="s">
        <v>1018</v>
      </c>
      <c r="G27" s="232">
        <v>98.5</v>
      </c>
      <c r="H27" s="202" t="s">
        <v>1062</v>
      </c>
      <c r="I27" s="198" t="s">
        <v>1065</v>
      </c>
      <c r="J27" s="198" t="s">
        <v>1066</v>
      </c>
      <c r="K27" s="204">
        <v>26</v>
      </c>
      <c r="L27" s="204">
        <v>34.5</v>
      </c>
      <c r="M27" s="230">
        <v>0.47206118892374632</v>
      </c>
      <c r="N27" s="230">
        <v>0.47206118892375615</v>
      </c>
      <c r="O27" s="231">
        <v>7.4821698444414277E-3</v>
      </c>
      <c r="R27" s="204"/>
      <c r="S27" s="204">
        <v>0.46940219978649639</v>
      </c>
    </row>
    <row r="28" spans="1:19">
      <c r="A28" s="196" t="s">
        <v>188</v>
      </c>
      <c r="B28" s="202">
        <v>98.334999999999994</v>
      </c>
      <c r="C28" s="229">
        <v>40987</v>
      </c>
      <c r="D28" s="205" t="s">
        <v>1003</v>
      </c>
      <c r="E28" s="205" t="s">
        <v>1004</v>
      </c>
      <c r="F28" s="205" t="s">
        <v>1030</v>
      </c>
      <c r="G28" s="232">
        <v>98.25</v>
      </c>
      <c r="H28" s="202" t="s">
        <v>1067</v>
      </c>
      <c r="I28" s="198" t="s">
        <v>1068</v>
      </c>
      <c r="J28" s="198" t="s">
        <v>1069</v>
      </c>
      <c r="K28" s="204">
        <v>43.000000000000007</v>
      </c>
      <c r="L28" s="204">
        <v>34.5</v>
      </c>
      <c r="M28" s="230">
        <v>0.49591707116712413</v>
      </c>
      <c r="N28" s="230">
        <v>0.49591707116711553</v>
      </c>
      <c r="O28" s="231">
        <v>8.257019234932576E-3</v>
      </c>
      <c r="R28" s="204"/>
      <c r="S28" s="204">
        <v>0.80674315933659224</v>
      </c>
    </row>
    <row r="29" spans="1:19">
      <c r="A29" s="196" t="s">
        <v>194</v>
      </c>
      <c r="B29" s="202">
        <v>98.25</v>
      </c>
      <c r="C29" s="229">
        <v>41078</v>
      </c>
      <c r="D29" s="205" t="s">
        <v>35</v>
      </c>
      <c r="E29" s="205" t="s">
        <v>1005</v>
      </c>
      <c r="F29" s="205" t="s">
        <v>1030</v>
      </c>
      <c r="G29" s="232">
        <v>98.25</v>
      </c>
      <c r="H29" s="202" t="s">
        <v>1067</v>
      </c>
      <c r="I29" s="198" t="s">
        <v>1070</v>
      </c>
      <c r="J29" s="198" t="s">
        <v>1071</v>
      </c>
      <c r="K29" s="204">
        <v>45</v>
      </c>
      <c r="L29" s="204">
        <v>45</v>
      </c>
      <c r="M29" s="230">
        <v>0.52006505170486361</v>
      </c>
      <c r="N29" s="230">
        <v>0.52006505170486372</v>
      </c>
      <c r="O29" s="231">
        <v>9.101138404835115E-3</v>
      </c>
      <c r="P29" s="211"/>
      <c r="Q29" s="211"/>
      <c r="R29" s="204"/>
      <c r="S29" s="204">
        <v>1.3107331954026273</v>
      </c>
    </row>
    <row r="30" spans="1:19">
      <c r="A30" s="196" t="s">
        <v>200</v>
      </c>
      <c r="B30" s="202">
        <v>98.16</v>
      </c>
      <c r="C30" s="229">
        <v>41169</v>
      </c>
      <c r="D30" s="205" t="s">
        <v>1006</v>
      </c>
      <c r="E30" s="205" t="s">
        <v>1007</v>
      </c>
      <c r="F30" s="205" t="s">
        <v>1030</v>
      </c>
      <c r="G30" s="232">
        <v>98.25</v>
      </c>
      <c r="H30" s="202" t="s">
        <v>1067</v>
      </c>
      <c r="I30" s="198" t="s">
        <v>1072</v>
      </c>
      <c r="J30" s="198" t="s">
        <v>1073</v>
      </c>
      <c r="K30" s="204">
        <v>46</v>
      </c>
      <c r="L30" s="204">
        <v>55.000000000000007</v>
      </c>
      <c r="M30" s="230">
        <v>0.5297073217995476</v>
      </c>
      <c r="N30" s="230">
        <v>0.52970732179954405</v>
      </c>
      <c r="O30" s="231">
        <v>9.7466147211116624E-3</v>
      </c>
      <c r="P30" s="211"/>
      <c r="Q30" s="211"/>
      <c r="R30" s="204"/>
      <c r="S30" s="204">
        <v>1.9328914227759499</v>
      </c>
    </row>
    <row r="31" spans="1:19">
      <c r="A31" s="196" t="s">
        <v>206</v>
      </c>
      <c r="B31" s="202">
        <v>98.045000000000002</v>
      </c>
      <c r="C31" s="229">
        <v>41260</v>
      </c>
      <c r="D31" s="205" t="s">
        <v>122</v>
      </c>
      <c r="E31" s="205" t="s">
        <v>1008</v>
      </c>
      <c r="F31" s="205" t="s">
        <v>1030</v>
      </c>
      <c r="G31" s="232">
        <v>98</v>
      </c>
      <c r="H31" s="202" t="s">
        <v>1074</v>
      </c>
      <c r="I31" s="198" t="s">
        <v>1075</v>
      </c>
      <c r="J31" s="198" t="s">
        <v>1076</v>
      </c>
      <c r="K31" s="204"/>
      <c r="L31" s="204"/>
      <c r="M31" s="230"/>
      <c r="N31" s="230"/>
      <c r="O31" s="231"/>
      <c r="R31" s="217"/>
      <c r="S31" s="217">
        <v>2.4120205228293377</v>
      </c>
    </row>
    <row r="32" spans="1:19">
      <c r="A32" s="196" t="s">
        <v>209</v>
      </c>
      <c r="B32" s="202">
        <v>97.954999999999998</v>
      </c>
      <c r="C32" s="229">
        <v>41351</v>
      </c>
      <c r="D32" s="205" t="s">
        <v>1003</v>
      </c>
      <c r="E32" s="205" t="s">
        <v>1004</v>
      </c>
      <c r="F32" s="205" t="s">
        <v>1043</v>
      </c>
      <c r="G32" s="232">
        <v>98</v>
      </c>
      <c r="H32" s="202" t="s">
        <v>1074</v>
      </c>
      <c r="I32" s="198" t="s">
        <v>1077</v>
      </c>
      <c r="J32" s="198" t="s">
        <v>1078</v>
      </c>
      <c r="K32" s="204"/>
      <c r="L32" s="204"/>
      <c r="M32" s="230"/>
      <c r="N32" s="230"/>
      <c r="O32" s="231"/>
      <c r="R32" s="217"/>
      <c r="S32" s="217">
        <v>2.9392514467620465</v>
      </c>
    </row>
    <row r="33" spans="1:19">
      <c r="A33" s="196" t="s">
        <v>214</v>
      </c>
      <c r="B33" s="202">
        <v>97.85499999999999</v>
      </c>
      <c r="C33" s="229">
        <v>41442</v>
      </c>
      <c r="D33" s="205" t="s">
        <v>35</v>
      </c>
      <c r="E33" s="205" t="s">
        <v>1005</v>
      </c>
      <c r="F33" s="205" t="s">
        <v>1043</v>
      </c>
      <c r="G33" s="232">
        <v>97.75</v>
      </c>
      <c r="H33" s="202" t="s">
        <v>1079</v>
      </c>
      <c r="I33" s="198" t="s">
        <v>1080</v>
      </c>
      <c r="J33" s="198" t="s">
        <v>1081</v>
      </c>
      <c r="K33" s="204"/>
      <c r="L33" s="204"/>
      <c r="M33" s="230"/>
      <c r="N33" s="230"/>
      <c r="O33" s="231"/>
      <c r="R33" s="217"/>
      <c r="S33" s="217">
        <v>3.5136983216181825</v>
      </c>
    </row>
    <row r="34" spans="1:19">
      <c r="A34" s="196" t="s">
        <v>218</v>
      </c>
      <c r="B34" s="202">
        <v>97.765000000000001</v>
      </c>
      <c r="C34" s="229">
        <v>41533</v>
      </c>
      <c r="D34" s="205" t="s">
        <v>1006</v>
      </c>
      <c r="E34" s="205" t="s">
        <v>1007</v>
      </c>
      <c r="F34" s="205" t="s">
        <v>1043</v>
      </c>
      <c r="G34" s="232">
        <v>97.75</v>
      </c>
      <c r="H34" s="202" t="s">
        <v>1079</v>
      </c>
      <c r="I34" s="198" t="s">
        <v>1082</v>
      </c>
      <c r="J34" s="198" t="s">
        <v>1083</v>
      </c>
      <c r="K34" s="204"/>
      <c r="L34" s="204"/>
      <c r="M34" s="230"/>
      <c r="N34" s="230"/>
      <c r="O34" s="231"/>
      <c r="R34" s="217"/>
      <c r="S34" s="217">
        <v>4.1341269465745656</v>
      </c>
    </row>
    <row r="35" spans="1:19">
      <c r="A35" s="196"/>
      <c r="B35" s="202"/>
      <c r="C35" s="229"/>
      <c r="D35" s="205"/>
      <c r="E35" s="205"/>
      <c r="F35" s="205"/>
      <c r="G35" s="232"/>
      <c r="H35" s="202"/>
      <c r="K35" s="204"/>
      <c r="L35" s="204"/>
      <c r="M35" s="230"/>
      <c r="N35" s="230"/>
      <c r="O35" s="231"/>
      <c r="R35" s="204"/>
      <c r="S35" s="204"/>
    </row>
    <row r="36" spans="1:19">
      <c r="A36" s="196"/>
      <c r="B36" s="202"/>
      <c r="C36" s="229"/>
      <c r="D36" s="205"/>
      <c r="E36" s="205"/>
      <c r="F36" s="205"/>
      <c r="G36" s="232"/>
      <c r="H36" s="202"/>
      <c r="K36" s="204"/>
      <c r="L36" s="204"/>
      <c r="M36" s="230"/>
      <c r="N36" s="230"/>
      <c r="O36" s="231"/>
      <c r="R36" s="204"/>
      <c r="S36" s="204"/>
    </row>
    <row r="37" spans="1:19">
      <c r="A37" s="196" t="s">
        <v>1084</v>
      </c>
      <c r="B37" s="196" t="s">
        <v>1009</v>
      </c>
      <c r="C37" s="196" t="s">
        <v>1010</v>
      </c>
      <c r="D37" s="196" t="s">
        <v>1001</v>
      </c>
      <c r="E37" s="196" t="s">
        <v>1002</v>
      </c>
      <c r="F37" s="196" t="s">
        <v>1011</v>
      </c>
      <c r="G37" s="196" t="s">
        <v>1012</v>
      </c>
      <c r="K37" s="196" t="s">
        <v>150</v>
      </c>
      <c r="L37" s="196" t="s">
        <v>150</v>
      </c>
      <c r="M37" s="196" t="s">
        <v>1001</v>
      </c>
      <c r="N37" s="196" t="s">
        <v>1002</v>
      </c>
      <c r="O37" s="196" t="s">
        <v>1013</v>
      </c>
    </row>
    <row r="38" spans="1:19">
      <c r="A38" s="196" t="s">
        <v>154</v>
      </c>
      <c r="B38" s="202">
        <v>94.960000000000008</v>
      </c>
      <c r="C38" s="229">
        <v>40521</v>
      </c>
      <c r="D38" s="205" t="s">
        <v>122</v>
      </c>
      <c r="E38" s="205" t="s">
        <v>1008</v>
      </c>
      <c r="F38" s="205" t="s">
        <v>1014</v>
      </c>
      <c r="G38" s="202">
        <v>95</v>
      </c>
      <c r="H38" s="202" t="s">
        <v>1085</v>
      </c>
      <c r="I38" s="198" t="s">
        <v>1086</v>
      </c>
      <c r="J38" s="198" t="s">
        <v>1087</v>
      </c>
      <c r="K38" s="204">
        <v>1</v>
      </c>
      <c r="L38" s="204">
        <v>5</v>
      </c>
      <c r="M38" s="230">
        <v>5.6415162732451903E-2</v>
      </c>
      <c r="N38" s="230">
        <v>5.6415162732474017E-2</v>
      </c>
      <c r="O38" s="231">
        <v>2.8433242017161285E-3</v>
      </c>
      <c r="R38" s="204"/>
      <c r="S38" s="204">
        <v>1.7219249989848251E-3</v>
      </c>
    </row>
    <row r="39" spans="1:19">
      <c r="A39" s="196" t="s">
        <v>161</v>
      </c>
      <c r="B39" s="202">
        <v>94.85</v>
      </c>
      <c r="C39" s="229">
        <v>40612</v>
      </c>
      <c r="D39" s="205" t="s">
        <v>1003</v>
      </c>
      <c r="E39" s="205" t="s">
        <v>1004</v>
      </c>
      <c r="F39" s="205" t="s">
        <v>1018</v>
      </c>
      <c r="G39" s="202">
        <v>94.875</v>
      </c>
      <c r="H39" s="202" t="s">
        <v>1088</v>
      </c>
      <c r="I39" s="198" t="s">
        <v>1089</v>
      </c>
      <c r="J39" s="198" t="s">
        <v>1090</v>
      </c>
      <c r="K39" s="204">
        <v>18.5</v>
      </c>
      <c r="L39" s="204">
        <v>20</v>
      </c>
      <c r="M39" s="230">
        <v>0.1761782296831407</v>
      </c>
      <c r="N39" s="230">
        <v>0.16722798176959866</v>
      </c>
      <c r="O39" s="231">
        <v>8.8427099449080483E-3</v>
      </c>
      <c r="R39" s="204"/>
      <c r="S39" s="204">
        <v>0.10375640002463717</v>
      </c>
    </row>
    <row r="40" spans="1:19">
      <c r="A40" s="196" t="s">
        <v>167</v>
      </c>
      <c r="B40" s="202">
        <v>94.7</v>
      </c>
      <c r="C40" s="229">
        <v>40703</v>
      </c>
      <c r="D40" s="205" t="s">
        <v>35</v>
      </c>
      <c r="E40" s="205" t="s">
        <v>1005</v>
      </c>
      <c r="F40" s="205" t="s">
        <v>1018</v>
      </c>
      <c r="G40" s="202">
        <v>94.75</v>
      </c>
      <c r="H40" s="202" t="s">
        <v>1091</v>
      </c>
      <c r="I40" s="198" t="s">
        <v>1092</v>
      </c>
      <c r="J40" s="198" t="s">
        <v>1093</v>
      </c>
      <c r="K40" s="204">
        <v>26.5</v>
      </c>
      <c r="L40" s="204">
        <v>30.5</v>
      </c>
      <c r="M40" s="230">
        <v>0.18587115550359362</v>
      </c>
      <c r="N40" s="230">
        <v>0.17942109382810362</v>
      </c>
      <c r="O40" s="231">
        <v>9.6802446072899711E-3</v>
      </c>
      <c r="R40" s="204"/>
      <c r="S40" s="204">
        <v>0.28504920970113923</v>
      </c>
    </row>
    <row r="41" spans="1:19">
      <c r="A41" s="196" t="s">
        <v>173</v>
      </c>
      <c r="B41" s="202">
        <v>94.58</v>
      </c>
      <c r="C41" s="229">
        <v>40794</v>
      </c>
      <c r="D41" s="205" t="s">
        <v>1006</v>
      </c>
      <c r="E41" s="205" t="s">
        <v>1007</v>
      </c>
      <c r="F41" s="205" t="s">
        <v>1018</v>
      </c>
      <c r="G41" s="202">
        <v>94.625</v>
      </c>
      <c r="H41" s="202" t="s">
        <v>1094</v>
      </c>
      <c r="I41" s="198" t="s">
        <v>1095</v>
      </c>
      <c r="J41" s="198" t="s">
        <v>1096</v>
      </c>
      <c r="K41" s="204">
        <v>36</v>
      </c>
      <c r="L41" s="204">
        <v>40.5</v>
      </c>
      <c r="M41" s="230">
        <v>0.19898625218101668</v>
      </c>
      <c r="N41" s="230">
        <v>0.19898625218101557</v>
      </c>
      <c r="O41" s="231">
        <v>1.0785054868211076E-2</v>
      </c>
      <c r="R41" s="204"/>
      <c r="S41" s="204">
        <v>0.64506164009754841</v>
      </c>
    </row>
    <row r="42" spans="1:19">
      <c r="A42" s="196" t="s">
        <v>179</v>
      </c>
      <c r="B42" s="202">
        <v>94.48</v>
      </c>
      <c r="C42" s="229">
        <v>40885</v>
      </c>
      <c r="D42" s="205" t="s">
        <v>122</v>
      </c>
      <c r="E42" s="205" t="s">
        <v>1008</v>
      </c>
      <c r="F42" s="205" t="s">
        <v>1018</v>
      </c>
      <c r="G42" s="202">
        <v>94.5</v>
      </c>
      <c r="H42" s="202" t="s">
        <v>1097</v>
      </c>
      <c r="I42" s="198" t="s">
        <v>1098</v>
      </c>
      <c r="J42" s="198" t="s">
        <v>1099</v>
      </c>
      <c r="K42" s="204">
        <v>44.5</v>
      </c>
      <c r="L42" s="204">
        <v>45.5</v>
      </c>
      <c r="M42" s="230">
        <v>0.20266346405836694</v>
      </c>
      <c r="N42" s="230">
        <v>0.19819246787749523</v>
      </c>
      <c r="O42" s="231">
        <v>1.1063623721429787E-2</v>
      </c>
      <c r="R42" s="204"/>
      <c r="S42" s="204">
        <v>1.0363741535251769</v>
      </c>
    </row>
    <row r="43" spans="1:19">
      <c r="A43" s="196" t="s">
        <v>185</v>
      </c>
      <c r="B43" s="202">
        <v>94.39</v>
      </c>
      <c r="C43" s="229">
        <v>40976</v>
      </c>
      <c r="D43" s="205" t="s">
        <v>1003</v>
      </c>
      <c r="E43" s="205" t="s">
        <v>1004</v>
      </c>
      <c r="F43" s="205" t="s">
        <v>1030</v>
      </c>
      <c r="G43" s="202">
        <v>94.375</v>
      </c>
      <c r="H43" s="202" t="s">
        <v>1100</v>
      </c>
      <c r="I43" s="198" t="s">
        <v>1101</v>
      </c>
      <c r="J43" s="198" t="s">
        <v>1102</v>
      </c>
      <c r="K43" s="204">
        <v>52</v>
      </c>
      <c r="L43" s="204">
        <v>48.500000000000007</v>
      </c>
      <c r="M43" s="230">
        <v>0.20131529783181523</v>
      </c>
      <c r="N43" s="230">
        <v>0.19342552278021574</v>
      </c>
      <c r="O43" s="231">
        <v>1.1072480018167468E-2</v>
      </c>
      <c r="P43" s="233"/>
      <c r="R43" s="204"/>
      <c r="S43" s="204">
        <v>1.4649395075181415</v>
      </c>
    </row>
    <row r="44" spans="1:19">
      <c r="A44" s="196" t="s">
        <v>191</v>
      </c>
      <c r="B44" s="202">
        <v>94.34</v>
      </c>
      <c r="C44" s="229">
        <v>41067</v>
      </c>
      <c r="D44" s="205" t="s">
        <v>35</v>
      </c>
      <c r="E44" s="205" t="s">
        <v>1005</v>
      </c>
      <c r="F44" s="205" t="s">
        <v>1030</v>
      </c>
      <c r="G44" s="202">
        <v>94.375</v>
      </c>
      <c r="H44" s="202" t="s">
        <v>1100</v>
      </c>
      <c r="I44" s="198" t="s">
        <v>1103</v>
      </c>
      <c r="J44" s="198" t="s">
        <v>1104</v>
      </c>
      <c r="K44" s="204"/>
      <c r="L44" s="204"/>
      <c r="M44" s="230"/>
      <c r="N44" s="230"/>
      <c r="O44" s="231"/>
      <c r="P44" s="233"/>
      <c r="R44" s="204"/>
      <c r="S44" s="204">
        <v>1.9589149036350502</v>
      </c>
    </row>
    <row r="45" spans="1:19">
      <c r="A45" s="196" t="s">
        <v>197</v>
      </c>
      <c r="B45" s="202">
        <v>94.31</v>
      </c>
      <c r="C45" s="229">
        <v>41165</v>
      </c>
      <c r="D45" s="205" t="s">
        <v>1006</v>
      </c>
      <c r="E45" s="205" t="s">
        <v>1007</v>
      </c>
      <c r="F45" s="205" t="s">
        <v>1030</v>
      </c>
      <c r="G45" s="202">
        <v>94.25</v>
      </c>
      <c r="H45" s="202" t="s">
        <v>1105</v>
      </c>
      <c r="I45" s="198" t="s">
        <v>1106</v>
      </c>
      <c r="J45" s="198" t="s">
        <v>1107</v>
      </c>
      <c r="K45" s="204"/>
      <c r="L45" s="204"/>
      <c r="M45" s="230"/>
      <c r="N45" s="230"/>
      <c r="O45" s="231"/>
      <c r="P45" s="233"/>
      <c r="R45" s="204"/>
      <c r="S45" s="204">
        <v>2.5184177633286691</v>
      </c>
    </row>
    <row r="46" spans="1:19">
      <c r="A46" s="196"/>
      <c r="B46" s="202"/>
      <c r="C46" s="229"/>
      <c r="D46" s="205"/>
      <c r="E46" s="205"/>
      <c r="F46" s="205"/>
      <c r="G46" s="202"/>
      <c r="H46" s="202"/>
      <c r="K46" s="204"/>
      <c r="L46" s="204"/>
      <c r="M46" s="230"/>
      <c r="N46" s="230"/>
      <c r="O46" s="231"/>
      <c r="P46" s="233"/>
      <c r="R46" s="204"/>
      <c r="S46" s="204"/>
    </row>
    <row r="47" spans="1:19">
      <c r="A47" s="196"/>
      <c r="B47" s="202"/>
      <c r="C47" s="229"/>
      <c r="D47" s="205"/>
      <c r="E47" s="205"/>
      <c r="F47" s="205"/>
      <c r="G47" s="202"/>
      <c r="H47" s="202"/>
      <c r="K47" s="204"/>
      <c r="L47" s="204"/>
      <c r="M47" s="230"/>
      <c r="N47" s="230"/>
      <c r="O47" s="231"/>
      <c r="R47" s="204"/>
      <c r="S47" s="204"/>
    </row>
    <row r="48" spans="1:19">
      <c r="A48" s="196" t="s">
        <v>211</v>
      </c>
      <c r="B48" s="202">
        <v>94.85</v>
      </c>
      <c r="C48" s="229">
        <v>40527</v>
      </c>
      <c r="D48" s="205" t="s">
        <v>122</v>
      </c>
      <c r="E48" s="205" t="s">
        <v>1008</v>
      </c>
      <c r="F48" s="205" t="s">
        <v>1014</v>
      </c>
      <c r="G48" s="202">
        <v>94.9</v>
      </c>
      <c r="H48" s="202" t="s">
        <v>1108</v>
      </c>
      <c r="I48" s="198" t="s">
        <v>1109</v>
      </c>
      <c r="J48" s="198" t="s">
        <v>1110</v>
      </c>
      <c r="K48" s="204">
        <v>8.5</v>
      </c>
      <c r="L48" s="204">
        <v>13.5</v>
      </c>
      <c r="M48" s="211">
        <v>2.6171578352850864E-2</v>
      </c>
      <c r="N48" s="211">
        <v>2.6159282149588937E-2</v>
      </c>
      <c r="O48" s="231"/>
      <c r="R48" s="204"/>
      <c r="S48" s="204"/>
    </row>
    <row r="49" spans="1:19">
      <c r="A49" s="196" t="s">
        <v>223</v>
      </c>
      <c r="B49" s="202">
        <v>94.57</v>
      </c>
      <c r="C49" s="229">
        <v>40527</v>
      </c>
      <c r="D49" s="205" t="s">
        <v>122</v>
      </c>
      <c r="E49" s="205" t="s">
        <v>1008</v>
      </c>
      <c r="F49" s="205" t="s">
        <v>1014</v>
      </c>
      <c r="G49" s="202">
        <v>94.600000000000009</v>
      </c>
      <c r="H49" s="202" t="s">
        <v>1111</v>
      </c>
      <c r="I49" s="198" t="s">
        <v>1112</v>
      </c>
      <c r="J49" s="198" t="s">
        <v>1113</v>
      </c>
      <c r="K49" s="204">
        <v>10.500000000000002</v>
      </c>
      <c r="L49" s="204">
        <v>13.5</v>
      </c>
      <c r="M49" s="211">
        <v>7.9687895896185981E-2</v>
      </c>
      <c r="N49" s="211">
        <v>7.9650456126091271E-2</v>
      </c>
      <c r="O49" s="231"/>
      <c r="R49" s="204"/>
      <c r="S49" s="204"/>
    </row>
    <row r="50" spans="1:19">
      <c r="A50" s="196"/>
      <c r="B50" s="202"/>
      <c r="C50" s="229"/>
      <c r="D50" s="205"/>
      <c r="E50" s="205"/>
      <c r="F50" s="205"/>
      <c r="G50" s="202"/>
      <c r="H50" s="202"/>
      <c r="K50" s="202"/>
      <c r="L50" s="202"/>
    </row>
    <row r="51" spans="1:19">
      <c r="A51" s="196" t="s">
        <v>211</v>
      </c>
      <c r="B51" s="202">
        <v>94.85</v>
      </c>
      <c r="C51" s="229">
        <v>40527</v>
      </c>
      <c r="D51" s="205" t="s">
        <v>122</v>
      </c>
      <c r="E51" s="205" t="s">
        <v>1008</v>
      </c>
      <c r="F51" s="205" t="s">
        <v>1014</v>
      </c>
      <c r="G51" s="202">
        <v>94.9</v>
      </c>
      <c r="H51" s="202" t="s">
        <v>1108</v>
      </c>
      <c r="I51" s="198" t="s">
        <v>1109</v>
      </c>
      <c r="J51" s="198" t="s">
        <v>1110</v>
      </c>
      <c r="K51" s="204">
        <v>8.5</v>
      </c>
      <c r="L51" s="204">
        <v>13.5</v>
      </c>
      <c r="M51" s="211">
        <v>2.531325923809374E-2</v>
      </c>
      <c r="N51" s="211">
        <v>2.5301366299248444E-2</v>
      </c>
      <c r="P51" s="200"/>
    </row>
    <row r="52" spans="1:19">
      <c r="A52" s="196" t="s">
        <v>211</v>
      </c>
      <c r="B52" s="202">
        <v>94.85</v>
      </c>
      <c r="C52" s="229">
        <v>40527</v>
      </c>
      <c r="D52" s="205" t="s">
        <v>122</v>
      </c>
      <c r="E52" s="205" t="s">
        <v>1008</v>
      </c>
      <c r="F52" s="205" t="s">
        <v>1014</v>
      </c>
      <c r="G52" s="202">
        <v>94.9</v>
      </c>
      <c r="H52" s="202" t="s">
        <v>1108</v>
      </c>
      <c r="I52" s="198" t="s">
        <v>1109</v>
      </c>
      <c r="J52" s="198" t="s">
        <v>1110</v>
      </c>
      <c r="K52" s="204">
        <v>8.5</v>
      </c>
      <c r="L52" s="204">
        <v>13.5</v>
      </c>
      <c r="M52" s="211">
        <v>2.6171578352850864E-2</v>
      </c>
      <c r="N52" s="211">
        <v>2.6159282149588937E-2</v>
      </c>
    </row>
    <row r="53" spans="1:19">
      <c r="K53" s="200"/>
    </row>
    <row r="55" spans="1:19">
      <c r="A55" s="196" t="s">
        <v>1114</v>
      </c>
      <c r="B55" s="196" t="s">
        <v>1009</v>
      </c>
      <c r="C55" s="196" t="s">
        <v>1010</v>
      </c>
      <c r="D55" s="196" t="s">
        <v>1001</v>
      </c>
      <c r="E55" s="196" t="s">
        <v>1002</v>
      </c>
      <c r="F55" s="196" t="s">
        <v>1011</v>
      </c>
      <c r="G55" s="196" t="s">
        <v>1012</v>
      </c>
      <c r="K55" s="196" t="s">
        <v>1009</v>
      </c>
      <c r="L55" s="196" t="s">
        <v>1009</v>
      </c>
      <c r="M55" s="196" t="s">
        <v>1001</v>
      </c>
      <c r="N55" s="196" t="s">
        <v>1002</v>
      </c>
      <c r="O55" s="196" t="s">
        <v>1013</v>
      </c>
    </row>
    <row r="56" spans="1:19">
      <c r="A56" s="196" t="s">
        <v>158</v>
      </c>
      <c r="B56" s="202">
        <v>99.22</v>
      </c>
      <c r="C56" s="229">
        <v>40527</v>
      </c>
      <c r="D56" s="205" t="s">
        <v>122</v>
      </c>
      <c r="E56" s="205" t="s">
        <v>1008</v>
      </c>
      <c r="F56" s="205" t="s">
        <v>1014</v>
      </c>
      <c r="G56" s="202">
        <v>99.25</v>
      </c>
      <c r="H56" s="202" t="s">
        <v>1115</v>
      </c>
      <c r="I56" s="198" t="s">
        <v>1116</v>
      </c>
      <c r="J56" s="198" t="s">
        <v>1117</v>
      </c>
      <c r="K56" s="204">
        <v>2.25</v>
      </c>
      <c r="L56" s="204">
        <v>5.2500000000000009</v>
      </c>
      <c r="M56" s="230">
        <v>0.42028479794114865</v>
      </c>
      <c r="N56" s="230">
        <v>0.42028479794113216</v>
      </c>
      <c r="O56" s="231">
        <v>3.2782214239408997E-3</v>
      </c>
      <c r="R56" s="204">
        <v>2.7423478919999999E-4</v>
      </c>
      <c r="S56" s="204">
        <v>2.2648850202802162E-3</v>
      </c>
    </row>
    <row r="57" spans="1:19">
      <c r="A57" s="196" t="s">
        <v>165</v>
      </c>
      <c r="B57" s="202">
        <v>99.09</v>
      </c>
      <c r="C57" s="229">
        <v>40618</v>
      </c>
      <c r="D57" s="205" t="s">
        <v>1003</v>
      </c>
      <c r="E57" s="205" t="s">
        <v>1004</v>
      </c>
      <c r="F57" s="205" t="s">
        <v>1018</v>
      </c>
      <c r="G57" s="202">
        <v>99.125</v>
      </c>
      <c r="H57" s="202" t="s">
        <v>1118</v>
      </c>
      <c r="I57" s="198" t="s">
        <v>1119</v>
      </c>
      <c r="J57" s="198" t="s">
        <v>1120</v>
      </c>
      <c r="K57" s="204">
        <v>9.75</v>
      </c>
      <c r="L57" s="204">
        <v>13.25</v>
      </c>
      <c r="M57" s="230">
        <v>0.56395982968662484</v>
      </c>
      <c r="N57" s="230">
        <v>0.56395982968664238</v>
      </c>
      <c r="O57" s="231">
        <v>5.1320344501483463E-3</v>
      </c>
      <c r="R57" s="204">
        <v>6.8394402954E-3</v>
      </c>
      <c r="S57" s="204">
        <v>3.4582363879606004E-2</v>
      </c>
    </row>
    <row r="58" spans="1:19">
      <c r="A58" s="196" t="s">
        <v>171</v>
      </c>
      <c r="B58" s="202">
        <v>98.940000000000012</v>
      </c>
      <c r="C58" s="229">
        <v>40709</v>
      </c>
      <c r="D58" s="205" t="s">
        <v>35</v>
      </c>
      <c r="E58" s="205" t="s">
        <v>1005</v>
      </c>
      <c r="F58" s="205" t="s">
        <v>1018</v>
      </c>
      <c r="G58" s="202">
        <v>99</v>
      </c>
      <c r="H58" s="202" t="s">
        <v>1121</v>
      </c>
      <c r="I58" s="198" t="s">
        <v>1122</v>
      </c>
      <c r="J58" s="198" t="s">
        <v>1123</v>
      </c>
      <c r="K58" s="204">
        <v>16</v>
      </c>
      <c r="L58" s="204">
        <v>22</v>
      </c>
      <c r="M58" s="230">
        <v>0.61030428280949922</v>
      </c>
      <c r="N58" s="230">
        <v>0.6103042828095393</v>
      </c>
      <c r="O58" s="231">
        <v>6.469225397780832E-3</v>
      </c>
      <c r="R58" s="204">
        <v>4.39529801772E-2</v>
      </c>
      <c r="S58" s="204">
        <v>0.12597528075188369</v>
      </c>
    </row>
    <row r="59" spans="1:19">
      <c r="A59" s="196" t="s">
        <v>177</v>
      </c>
      <c r="B59" s="202">
        <v>98.79</v>
      </c>
      <c r="C59" s="229">
        <v>40807</v>
      </c>
      <c r="D59" s="205" t="s">
        <v>1006</v>
      </c>
      <c r="E59" s="205" t="s">
        <v>1007</v>
      </c>
      <c r="F59" s="205" t="s">
        <v>1018</v>
      </c>
      <c r="G59" s="202">
        <v>98.75</v>
      </c>
      <c r="H59" s="202" t="s">
        <v>1056</v>
      </c>
      <c r="I59" s="198" t="s">
        <v>1124</v>
      </c>
      <c r="J59" s="198" t="s">
        <v>1125</v>
      </c>
      <c r="K59" s="204">
        <v>30.75</v>
      </c>
      <c r="L59" s="204">
        <v>26.75</v>
      </c>
      <c r="M59" s="230">
        <v>0.646251415433723</v>
      </c>
      <c r="N59" s="230">
        <v>0.64625141543373787</v>
      </c>
      <c r="O59" s="231">
        <v>7.819642126748098E-3</v>
      </c>
      <c r="R59" s="204">
        <v>0.16601887005310001</v>
      </c>
      <c r="S59" s="204">
        <v>0.33558185662737711</v>
      </c>
    </row>
    <row r="60" spans="1:19">
      <c r="A60" s="196" t="s">
        <v>183</v>
      </c>
      <c r="B60" s="202">
        <v>98.61999999999999</v>
      </c>
      <c r="C60" s="229">
        <v>40898</v>
      </c>
      <c r="D60" s="205" t="s">
        <v>122</v>
      </c>
      <c r="E60" s="205" t="s">
        <v>1008</v>
      </c>
      <c r="F60" s="205" t="s">
        <v>1018</v>
      </c>
      <c r="G60" s="232">
        <v>98.5</v>
      </c>
      <c r="H60" s="202" t="s">
        <v>1062</v>
      </c>
      <c r="I60" s="198" t="s">
        <v>1126</v>
      </c>
      <c r="J60" s="198" t="s">
        <v>1127</v>
      </c>
      <c r="K60" s="204">
        <v>45</v>
      </c>
      <c r="L60" s="204">
        <v>33</v>
      </c>
      <c r="M60" s="230">
        <v>0.65747865532361749</v>
      </c>
      <c r="N60" s="230">
        <v>0.65747865532360028</v>
      </c>
      <c r="O60" s="231">
        <v>9.0732054434658673E-3</v>
      </c>
      <c r="R60" s="204">
        <v>0.37481128360900001</v>
      </c>
      <c r="S60" s="204">
        <v>0.68990379952125702</v>
      </c>
    </row>
    <row r="61" spans="1:19">
      <c r="A61" s="196" t="s">
        <v>189</v>
      </c>
      <c r="B61" s="202">
        <v>98.45</v>
      </c>
      <c r="C61" s="229">
        <v>40989</v>
      </c>
      <c r="D61" s="205" t="s">
        <v>1003</v>
      </c>
      <c r="E61" s="205" t="s">
        <v>1004</v>
      </c>
      <c r="F61" s="205" t="s">
        <v>1030</v>
      </c>
      <c r="G61" s="232">
        <v>98.5</v>
      </c>
      <c r="H61" s="202" t="s">
        <v>1062</v>
      </c>
      <c r="I61" s="198" t="s">
        <v>1128</v>
      </c>
      <c r="J61" s="198" t="s">
        <v>1129</v>
      </c>
      <c r="K61" s="204">
        <v>42.500000000000007</v>
      </c>
      <c r="L61" s="204">
        <v>47.5</v>
      </c>
      <c r="M61" s="230">
        <v>0.65306257603330231</v>
      </c>
      <c r="N61" s="230">
        <v>0.65306257603330631</v>
      </c>
      <c r="O61" s="231">
        <v>1.0122469928516198E-2</v>
      </c>
      <c r="R61" s="204">
        <v>0.796151124376</v>
      </c>
      <c r="S61" s="204">
        <v>1.2120907481142662</v>
      </c>
    </row>
    <row r="62" spans="1:19">
      <c r="A62" s="196" t="s">
        <v>195</v>
      </c>
      <c r="B62" s="202">
        <v>98.28</v>
      </c>
      <c r="C62" s="229">
        <v>41080</v>
      </c>
      <c r="D62" s="205" t="s">
        <v>35</v>
      </c>
      <c r="E62" s="205" t="s">
        <v>1005</v>
      </c>
      <c r="F62" s="205" t="s">
        <v>1030</v>
      </c>
      <c r="G62" s="232">
        <v>98.25</v>
      </c>
      <c r="H62" s="202" t="s">
        <v>1067</v>
      </c>
      <c r="I62" s="198" t="s">
        <v>1130</v>
      </c>
      <c r="J62" s="198" t="s">
        <v>1131</v>
      </c>
      <c r="K62" s="204">
        <v>55.500000000000007</v>
      </c>
      <c r="L62" s="204">
        <v>52.5</v>
      </c>
      <c r="M62" s="230">
        <v>0.63479008696367234</v>
      </c>
      <c r="N62" s="230">
        <v>0.63479008696367389</v>
      </c>
      <c r="O62" s="231">
        <v>1.0918389495775171E-2</v>
      </c>
      <c r="R62" s="204">
        <v>1.368124286344</v>
      </c>
      <c r="S62" s="204">
        <v>1.8862727184646804</v>
      </c>
    </row>
    <row r="63" spans="1:19">
      <c r="A63" s="196" t="s">
        <v>201</v>
      </c>
      <c r="B63" s="202">
        <v>98.11</v>
      </c>
      <c r="C63" s="229">
        <v>41171</v>
      </c>
      <c r="D63" s="205" t="s">
        <v>1006</v>
      </c>
      <c r="E63" s="205" t="s">
        <v>1007</v>
      </c>
      <c r="F63" s="205" t="s">
        <v>1030</v>
      </c>
      <c r="G63" s="232">
        <v>98</v>
      </c>
      <c r="H63" s="202" t="s">
        <v>1074</v>
      </c>
      <c r="I63" s="198" t="s">
        <v>1132</v>
      </c>
      <c r="J63" s="198" t="s">
        <v>1133</v>
      </c>
      <c r="K63" s="204">
        <v>68.5</v>
      </c>
      <c r="L63" s="204">
        <v>57.499999999999993</v>
      </c>
      <c r="M63" s="230">
        <v>0.61441696699660497</v>
      </c>
      <c r="N63" s="230">
        <v>0.6144169669966042</v>
      </c>
      <c r="O63" s="231">
        <v>1.1612480676235831E-2</v>
      </c>
      <c r="R63" s="204">
        <v>2.1373530185249998</v>
      </c>
      <c r="S63" s="204">
        <v>2.7440974011033199</v>
      </c>
    </row>
    <row r="64" spans="1:19">
      <c r="A64" s="196" t="s">
        <v>207</v>
      </c>
      <c r="B64" s="202">
        <v>97.940000000000012</v>
      </c>
      <c r="C64" s="229">
        <v>41262</v>
      </c>
      <c r="D64" s="205" t="s">
        <v>122</v>
      </c>
      <c r="E64" s="205" t="s">
        <v>1008</v>
      </c>
      <c r="F64" s="205" t="s">
        <v>1030</v>
      </c>
      <c r="G64" s="232">
        <v>98</v>
      </c>
      <c r="H64" s="202" t="s">
        <v>1074</v>
      </c>
      <c r="I64" s="198" t="s">
        <v>1134</v>
      </c>
      <c r="J64" s="198" t="s">
        <v>1135</v>
      </c>
      <c r="K64" s="204"/>
      <c r="L64" s="204"/>
      <c r="M64" s="230"/>
      <c r="N64" s="230"/>
      <c r="O64" s="231"/>
      <c r="R64" s="217">
        <v>3.4725932164589999</v>
      </c>
      <c r="S64" s="217">
        <v>3.4247697258205161</v>
      </c>
    </row>
    <row r="65" spans="1:19">
      <c r="A65" s="196" t="s">
        <v>210</v>
      </c>
      <c r="B65" s="202">
        <v>97.78</v>
      </c>
      <c r="C65" s="229">
        <v>41353</v>
      </c>
      <c r="D65" s="205" t="s">
        <v>1003</v>
      </c>
      <c r="E65" s="205" t="s">
        <v>1004</v>
      </c>
      <c r="F65" s="205" t="s">
        <v>1043</v>
      </c>
      <c r="G65" s="232">
        <v>97.75</v>
      </c>
      <c r="H65" s="202" t="s">
        <v>1079</v>
      </c>
      <c r="I65" s="198" t="s">
        <v>1136</v>
      </c>
      <c r="J65" s="198" t="s">
        <v>1137</v>
      </c>
      <c r="K65" s="204"/>
      <c r="L65" s="204"/>
      <c r="M65" s="230"/>
      <c r="N65" s="230"/>
      <c r="O65" s="231"/>
      <c r="R65" s="217">
        <v>5.2999200891100005</v>
      </c>
      <c r="S65" s="217">
        <v>4.1740869108264249</v>
      </c>
    </row>
    <row r="66" spans="1:19">
      <c r="A66" s="196" t="s">
        <v>1138</v>
      </c>
      <c r="B66" s="202">
        <v>97.63</v>
      </c>
      <c r="C66" s="229">
        <v>41444</v>
      </c>
      <c r="D66" s="205" t="s">
        <v>35</v>
      </c>
      <c r="E66" s="205" t="s">
        <v>1005</v>
      </c>
      <c r="F66" s="205" t="s">
        <v>1043</v>
      </c>
      <c r="G66" s="232">
        <v>97.75</v>
      </c>
      <c r="H66" s="202" t="s">
        <v>1079</v>
      </c>
      <c r="I66" s="198" t="s">
        <v>1139</v>
      </c>
      <c r="J66" s="198" t="s">
        <v>1140</v>
      </c>
      <c r="R66" s="217">
        <v>7.7589308739270004</v>
      </c>
      <c r="S66" s="217">
        <v>4.9904745110876938</v>
      </c>
    </row>
    <row r="67" spans="1:19">
      <c r="A67" s="196" t="s">
        <v>1141</v>
      </c>
      <c r="B67" s="202">
        <v>97.490000000000009</v>
      </c>
      <c r="C67" s="229">
        <v>41535</v>
      </c>
      <c r="D67" s="205" t="s">
        <v>1006</v>
      </c>
      <c r="E67" s="205" t="s">
        <v>1007</v>
      </c>
      <c r="F67" s="205" t="s">
        <v>1043</v>
      </c>
      <c r="G67" s="232">
        <v>97.5</v>
      </c>
      <c r="H67" s="202" t="s">
        <v>1142</v>
      </c>
      <c r="I67" s="198" t="s">
        <v>1143</v>
      </c>
      <c r="J67" s="198" t="s">
        <v>1144</v>
      </c>
      <c r="R67" s="217">
        <v>10.873666642661</v>
      </c>
      <c r="S67" s="217">
        <v>5.8723735353850337</v>
      </c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Rates &amp; Dates</vt:lpstr>
      <vt:lpstr>PDH Calc</vt:lpstr>
      <vt:lpstr>Peturbed_Zeros</vt:lpstr>
      <vt:lpstr>Holidays</vt:lpstr>
      <vt:lpstr>Global Params</vt:lpstr>
      <vt:lpstr>IR</vt:lpstr>
      <vt:lpstr>AUD SCB</vt:lpstr>
      <vt:lpstr>FX</vt:lpstr>
      <vt:lpstr>ETO</vt:lpstr>
      <vt:lpstr>AbsVol</vt:lpstr>
      <vt:lpstr>Alpha</vt:lpstr>
      <vt:lpstr>Calc_Date</vt:lpstr>
      <vt:lpstr>CF</vt:lpstr>
      <vt:lpstr>CF_Dates</vt:lpstr>
      <vt:lpstr>CF_Days</vt:lpstr>
      <vt:lpstr>Holidays</vt:lpstr>
      <vt:lpstr>Inputs</vt:lpstr>
      <vt:lpstr>Interp_Method</vt:lpstr>
      <vt:lpstr>InterpSpace</vt:lpstr>
      <vt:lpstr>Method</vt:lpstr>
      <vt:lpstr>Par_Shifts</vt:lpstr>
      <vt:lpstr>ParRates</vt:lpstr>
      <vt:lpstr>Peturbed_DF</vt:lpstr>
      <vt:lpstr>Peturbed_QZ</vt:lpstr>
      <vt:lpstr>PV</vt:lpstr>
      <vt:lpstr>QZ_Nodes</vt:lpstr>
      <vt:lpstr>Seed</vt:lpstr>
      <vt:lpstr>StripCalcsQtrly</vt:lpstr>
      <vt:lpstr>StripCalcsSemi</vt:lpstr>
      <vt:lpstr>Today</vt:lpstr>
      <vt:lpstr>ZeroCompFreq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sbarrake</dc:creator>
  <cp:lastModifiedBy>Alex</cp:lastModifiedBy>
  <cp:lastPrinted>2008-12-19T01:33:55Z</cp:lastPrinted>
  <dcterms:created xsi:type="dcterms:W3CDTF">2006-07-20T05:12:14Z</dcterms:created>
  <dcterms:modified xsi:type="dcterms:W3CDTF">2019-06-24T07:31:14Z</dcterms:modified>
</cp:coreProperties>
</file>