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05" windowWidth="19035" windowHeight="12270" tabRatio="354" activeTab="1"/>
  </bookViews>
  <sheets>
    <sheet name="Main" sheetId="1" r:id="rId1"/>
    <sheet name="Trader" sheetId="2" r:id="rId2"/>
    <sheet name="LPM" sheetId="18" r:id="rId3"/>
    <sheet name="SuperD" sheetId="23" r:id="rId4"/>
    <sheet name="Errorlogs" sheetId="4" r:id="rId5"/>
  </sheets>
  <externalReferences>
    <externalReference r:id="rId6"/>
  </externalReferences>
  <definedNames>
    <definedName name="CreationTime">Main!$E$6</definedName>
    <definedName name="CurveLifetime">Main!$E$15</definedName>
    <definedName name="LastPublished">Main!$E$5</definedName>
    <definedName name="MarketPrefix">Main!$E$11</definedName>
    <definedName name="Publish_LPM">Main!$C$21</definedName>
    <definedName name="Publish_SuperD">Main!$C$22</definedName>
    <definedName name="Publish_TRADER">Main!$C$20</definedName>
    <definedName name="Published">#REF!</definedName>
    <definedName name="RerunFrequency">Main!$E$13</definedName>
    <definedName name="TimeToPublish">Main!$E$7</definedName>
    <definedName name="ValueDate">Main!$E$27</definedName>
    <definedName name="WebService">Main!$E$17</definedName>
  </definedNames>
  <calcPr calcId="125725" calcMode="manual" calcCompleted="0" calcOnSave="0"/>
</workbook>
</file>

<file path=xl/calcChain.xml><?xml version="1.0" encoding="utf-8"?>
<calcChain xmlns="http://schemas.openxmlformats.org/spreadsheetml/2006/main">
  <c r="B4" i="4" a="1"/>
  <c r="B4"/>
  <c r="C4"/>
  <c r="D4"/>
  <c r="B5"/>
  <c r="C5"/>
  <c r="D5"/>
  <c r="B6"/>
  <c r="C6"/>
  <c r="D6"/>
  <c r="B7"/>
  <c r="C7"/>
  <c r="D7"/>
  <c r="B8"/>
  <c r="C8"/>
  <c r="D8"/>
  <c r="B9"/>
  <c r="C9"/>
  <c r="D9"/>
  <c r="B10"/>
  <c r="C10"/>
  <c r="D10"/>
  <c r="B11"/>
  <c r="C11"/>
  <c r="D11"/>
  <c r="B12"/>
  <c r="C12"/>
  <c r="D12"/>
  <c r="B13"/>
  <c r="C13"/>
  <c r="D13"/>
  <c r="B14"/>
  <c r="C14"/>
  <c r="D14"/>
  <c r="B15"/>
  <c r="C15"/>
  <c r="D15"/>
  <c r="B16"/>
  <c r="C16"/>
  <c r="D16"/>
  <c r="B17"/>
  <c r="C17"/>
  <c r="D17"/>
  <c r="B18"/>
  <c r="C18"/>
  <c r="D18"/>
  <c r="B19"/>
  <c r="C19"/>
  <c r="D19"/>
  <c r="B20"/>
  <c r="C20"/>
  <c r="D20"/>
  <c r="B21"/>
  <c r="C21"/>
  <c r="D21"/>
  <c r="B22"/>
  <c r="C22"/>
  <c r="D22"/>
  <c r="B23"/>
  <c r="C23"/>
  <c r="D23"/>
  <c r="J6" i="23" a="1"/>
  <c r="J6"/>
  <c r="J7"/>
  <c r="C6" a="1"/>
  <c r="C6"/>
  <c r="C7"/>
  <c r="P23" i="18"/>
  <c r="P22"/>
  <c r="P21"/>
  <c r="P20"/>
  <c r="P19"/>
  <c r="P18"/>
  <c r="P17"/>
  <c r="P16"/>
  <c r="P15"/>
  <c r="P14"/>
  <c r="P13"/>
  <c r="P12"/>
  <c r="P11"/>
  <c r="P10"/>
  <c r="B10" i="23" a="1"/>
  <c r="B12" s="1"/>
  <c r="O14" i="18" a="1"/>
  <c r="O16" s="1"/>
  <c r="N14" a="1"/>
  <c r="N18" s="1"/>
  <c r="O10" a="1"/>
  <c r="O13" s="1"/>
  <c r="J10" a="1"/>
  <c r="J11" s="1"/>
  <c r="F10" a="1"/>
  <c r="F10" s="1"/>
  <c r="B10" a="1"/>
  <c r="B14" s="1"/>
  <c r="N12" i="2" a="1"/>
  <c r="N16" s="1"/>
  <c r="H12" a="1"/>
  <c r="H14" s="1"/>
  <c r="B12" a="1"/>
  <c r="B13" s="1"/>
  <c r="D2" i="4"/>
  <c r="G48" i="18"/>
  <c r="O40" i="2"/>
  <c r="I40"/>
  <c r="J30" i="23"/>
  <c r="J25" s="1"/>
  <c r="D2"/>
  <c r="C2" i="18"/>
  <c r="J24" i="23"/>
  <c r="S47" i="18"/>
  <c r="B13" i="23" l="1"/>
  <c r="B14"/>
  <c r="B15"/>
  <c r="B19"/>
  <c r="B20"/>
  <c r="B16"/>
  <c r="B10"/>
  <c r="B17"/>
  <c r="B11"/>
  <c r="B18"/>
  <c r="N21" i="18"/>
  <c r="O20"/>
  <c r="B24"/>
  <c r="B12"/>
  <c r="F11"/>
  <c r="N19"/>
  <c r="O19"/>
  <c r="B27"/>
  <c r="B15"/>
  <c r="B28"/>
  <c r="B16"/>
  <c r="O21"/>
  <c r="O14"/>
  <c r="B30"/>
  <c r="B18"/>
  <c r="O10"/>
  <c r="O23"/>
  <c r="O15"/>
  <c r="O12"/>
  <c r="O17"/>
  <c r="B33"/>
  <c r="B21"/>
  <c r="B34"/>
  <c r="B22"/>
  <c r="B10"/>
  <c r="N15"/>
  <c r="O18"/>
  <c r="B29"/>
  <c r="B23"/>
  <c r="B17"/>
  <c r="B11"/>
  <c r="O11"/>
  <c r="N20"/>
  <c r="N14"/>
  <c r="N22"/>
  <c r="N16"/>
  <c r="B31"/>
  <c r="B25"/>
  <c r="B19"/>
  <c r="B13"/>
  <c r="B32"/>
  <c r="B26"/>
  <c r="B20"/>
  <c r="J10"/>
  <c r="N23"/>
  <c r="N17"/>
  <c r="O22"/>
  <c r="N19" i="2"/>
  <c r="H23"/>
  <c r="B32"/>
  <c r="B23"/>
  <c r="B14"/>
  <c r="B35"/>
  <c r="B26"/>
  <c r="B17"/>
  <c r="B36"/>
  <c r="B28"/>
  <c r="B18"/>
  <c r="B29"/>
  <c r="B20"/>
  <c r="B30"/>
  <c r="B22"/>
  <c r="B12"/>
  <c r="H17"/>
  <c r="N13"/>
  <c r="B34"/>
  <c r="B24"/>
  <c r="B16"/>
  <c r="H29"/>
  <c r="N25"/>
  <c r="N31"/>
  <c r="H27"/>
  <c r="H21"/>
  <c r="H15"/>
  <c r="N29"/>
  <c r="N23"/>
  <c r="N17"/>
  <c r="B33"/>
  <c r="B27"/>
  <c r="B21"/>
  <c r="B15"/>
  <c r="H28"/>
  <c r="H22"/>
  <c r="H16"/>
  <c r="N30"/>
  <c r="N24"/>
  <c r="N18"/>
  <c r="N12"/>
  <c r="H30"/>
  <c r="H24"/>
  <c r="H18"/>
  <c r="H12"/>
  <c r="N32"/>
  <c r="N26"/>
  <c r="N20"/>
  <c r="N14"/>
  <c r="H31"/>
  <c r="H25"/>
  <c r="H19"/>
  <c r="H13"/>
  <c r="N27"/>
  <c r="N21"/>
  <c r="N15"/>
  <c r="B37"/>
  <c r="B31"/>
  <c r="B25"/>
  <c r="B19"/>
  <c r="H32"/>
  <c r="H26"/>
  <c r="H20"/>
  <c r="N28"/>
  <c r="N22"/>
  <c r="S39" i="18"/>
  <c r="S38"/>
  <c r="O54"/>
  <c r="O50"/>
  <c r="O47"/>
  <c r="O39"/>
  <c r="O38"/>
  <c r="K38"/>
  <c r="K48"/>
  <c r="G38"/>
  <c r="G39"/>
  <c r="C48"/>
  <c r="D2" i="2"/>
  <c r="E6" i="1"/>
  <c r="C40" i="2"/>
  <c r="O55" i="18" l="1"/>
  <c r="K39"/>
  <c r="K51"/>
  <c r="G51"/>
  <c r="J33" i="23"/>
  <c r="C33"/>
  <c r="S50" i="18"/>
  <c r="C51"/>
  <c r="C24" i="23" l="1"/>
  <c r="C38" i="18"/>
  <c r="C30" i="23" l="1"/>
  <c r="C25" l="1"/>
  <c r="C39" i="18"/>
  <c r="E21" i="1" l="1"/>
  <c r="L27" i="2"/>
  <c r="L29"/>
  <c r="R14"/>
  <c r="L12"/>
  <c r="L30"/>
  <c r="L31"/>
  <c r="L23"/>
  <c r="R15"/>
  <c r="R25"/>
  <c r="L16"/>
  <c r="L17"/>
  <c r="L32"/>
  <c r="R18"/>
  <c r="R20"/>
  <c r="R13"/>
  <c r="R27"/>
  <c r="R24"/>
  <c r="R31"/>
  <c r="L24"/>
  <c r="L20"/>
  <c r="R32"/>
  <c r="R16"/>
  <c r="L14"/>
  <c r="R22"/>
  <c r="R19"/>
  <c r="L25"/>
  <c r="L26"/>
  <c r="L28"/>
  <c r="L18"/>
  <c r="R29"/>
  <c r="R21"/>
  <c r="L22"/>
  <c r="R23"/>
  <c r="R30"/>
  <c r="R12"/>
  <c r="R28"/>
  <c r="L21"/>
  <c r="R17"/>
  <c r="L13"/>
  <c r="R26"/>
  <c r="L19"/>
  <c r="L15"/>
  <c r="E22" i="1" l="1"/>
  <c r="E20" l="1"/>
  <c r="N10" i="18" l="1" a="1"/>
  <c r="N13" l="1"/>
  <c r="N10"/>
  <c r="N11"/>
  <c r="N12"/>
  <c r="O6" a="1"/>
  <c r="O6" l="1"/>
  <c r="O7"/>
  <c r="F10" i="23" a="1"/>
  <c r="F14" l="1"/>
  <c r="F45"/>
  <c r="F44"/>
  <c r="F32"/>
  <c r="F33"/>
  <c r="F38"/>
  <c r="F80"/>
  <c r="F129"/>
  <c r="F21"/>
  <c r="F124"/>
  <c r="F88"/>
  <c r="F52"/>
  <c r="F16"/>
  <c r="F107"/>
  <c r="F71"/>
  <c r="F35"/>
  <c r="F126"/>
  <c r="F90"/>
  <c r="F54"/>
  <c r="F18"/>
  <c r="F115"/>
  <c r="F79"/>
  <c r="F43"/>
  <c r="F105"/>
  <c r="F110"/>
  <c r="F112"/>
  <c r="F40"/>
  <c r="F95"/>
  <c r="F23"/>
  <c r="F78"/>
  <c r="F103"/>
  <c r="F31"/>
  <c r="F63"/>
  <c r="F98"/>
  <c r="F50"/>
  <c r="F51"/>
  <c r="F56"/>
  <c r="F39"/>
  <c r="F94"/>
  <c r="F58"/>
  <c r="F22"/>
  <c r="F113"/>
  <c r="F77"/>
  <c r="F41"/>
  <c r="F96"/>
  <c r="F60"/>
  <c r="F24"/>
  <c r="F121"/>
  <c r="F85"/>
  <c r="F49"/>
  <c r="F13"/>
  <c r="F81"/>
  <c r="F68"/>
  <c r="F69"/>
  <c r="F62"/>
  <c r="F74"/>
  <c r="F57"/>
  <c r="F100"/>
  <c r="F64"/>
  <c r="F28"/>
  <c r="F119"/>
  <c r="F83"/>
  <c r="F47"/>
  <c r="F11"/>
  <c r="F102"/>
  <c r="F66"/>
  <c r="F30"/>
  <c r="F127"/>
  <c r="F91"/>
  <c r="F55"/>
  <c r="F19"/>
  <c r="F99"/>
  <c r="F86"/>
  <c r="F87"/>
  <c r="F116"/>
  <c r="F92"/>
  <c r="F75"/>
  <c r="F106"/>
  <c r="F70"/>
  <c r="F34"/>
  <c r="F125"/>
  <c r="F89"/>
  <c r="F53"/>
  <c r="F17"/>
  <c r="F108"/>
  <c r="F72"/>
  <c r="F36"/>
  <c r="F97"/>
  <c r="F61"/>
  <c r="F25"/>
  <c r="F42"/>
  <c r="F27"/>
  <c r="F122"/>
  <c r="F123"/>
  <c r="F15"/>
  <c r="F128"/>
  <c r="F20"/>
  <c r="F26"/>
  <c r="F111"/>
  <c r="F118"/>
  <c r="F82"/>
  <c r="F46"/>
  <c r="F10"/>
  <c r="F101"/>
  <c r="F65"/>
  <c r="F29"/>
  <c r="F120"/>
  <c r="F84"/>
  <c r="F48"/>
  <c r="F12"/>
  <c r="F109"/>
  <c r="F73"/>
  <c r="F37"/>
  <c r="F117"/>
  <c r="F104"/>
  <c r="F93"/>
  <c r="F76"/>
  <c r="F59"/>
  <c r="F114"/>
  <c r="F67"/>
  <c r="K10" i="18" l="1" a="1"/>
  <c r="K11" l="1"/>
  <c r="K10"/>
  <c r="K6" a="1"/>
  <c r="K6" l="1"/>
  <c r="K7"/>
  <c r="C10" a="1"/>
  <c r="C14" l="1"/>
  <c r="C27"/>
  <c r="C29"/>
  <c r="C12"/>
  <c r="C25"/>
  <c r="C28"/>
  <c r="C10"/>
  <c r="C15"/>
  <c r="C18"/>
  <c r="C31"/>
  <c r="C16"/>
  <c r="C33"/>
  <c r="C24"/>
  <c r="C20"/>
  <c r="C13"/>
  <c r="C22"/>
  <c r="C11"/>
  <c r="C30"/>
  <c r="C26"/>
  <c r="C21"/>
  <c r="C34"/>
  <c r="C23"/>
  <c r="C19"/>
  <c r="C17"/>
  <c r="C32"/>
  <c r="C6" a="1"/>
  <c r="C7" l="1"/>
  <c r="C6"/>
  <c r="I12" i="2" a="1"/>
  <c r="I12" l="1"/>
  <c r="I24"/>
  <c r="I23"/>
  <c r="I17"/>
  <c r="I27"/>
  <c r="I14"/>
  <c r="I16"/>
  <c r="I30"/>
  <c r="I25"/>
  <c r="I15"/>
  <c r="I13"/>
  <c r="I20"/>
  <c r="I22"/>
  <c r="I32"/>
  <c r="I19"/>
  <c r="I26"/>
  <c r="I28"/>
  <c r="I29"/>
  <c r="I21"/>
  <c r="I31"/>
  <c r="I18"/>
  <c r="O12" l="1" a="1"/>
  <c r="C12" a="1"/>
  <c r="O14" l="1"/>
  <c r="O16"/>
  <c r="O18"/>
  <c r="O13"/>
  <c r="O20"/>
  <c r="O21"/>
  <c r="O22"/>
  <c r="O24"/>
  <c r="O19"/>
  <c r="O26"/>
  <c r="O17"/>
  <c r="O28"/>
  <c r="O30"/>
  <c r="O25"/>
  <c r="O32"/>
  <c r="O15"/>
  <c r="O31"/>
  <c r="O23"/>
  <c r="O27"/>
  <c r="O12"/>
  <c r="O29"/>
  <c r="C16"/>
  <c r="C15"/>
  <c r="C37"/>
  <c r="C21"/>
  <c r="C36"/>
  <c r="C28"/>
  <c r="C19"/>
  <c r="C29"/>
  <c r="C24"/>
  <c r="C27"/>
  <c r="C35"/>
  <c r="C33"/>
  <c r="C34"/>
  <c r="C13"/>
  <c r="C12"/>
  <c r="C14"/>
  <c r="C31"/>
  <c r="C17"/>
  <c r="C18"/>
  <c r="C20"/>
  <c r="C26"/>
  <c r="C23"/>
  <c r="C30"/>
  <c r="C32"/>
  <c r="C22"/>
  <c r="C25"/>
  <c r="G10" i="18" l="1" a="1"/>
  <c r="G11" l="1"/>
  <c r="G10"/>
  <c r="G6" a="1"/>
  <c r="G7" l="1"/>
  <c r="G6"/>
  <c r="C10" i="23" a="1"/>
  <c r="D10" a="1"/>
  <c r="C12" l="1"/>
  <c r="C13"/>
  <c r="C10"/>
  <c r="C17"/>
  <c r="C14"/>
  <c r="C15"/>
  <c r="C19"/>
  <c r="C16"/>
  <c r="C20"/>
  <c r="C11"/>
  <c r="C18"/>
  <c r="D12"/>
  <c r="D14"/>
  <c r="D15"/>
  <c r="D19"/>
  <c r="D20"/>
  <c r="D11"/>
  <c r="D17"/>
  <c r="D18"/>
  <c r="D13"/>
  <c r="D16"/>
  <c r="D10"/>
  <c r="G10" l="1" a="1"/>
  <c r="G14" l="1"/>
  <c r="G105"/>
  <c r="G69"/>
  <c r="G33"/>
  <c r="G112"/>
  <c r="G76"/>
  <c r="G40"/>
  <c r="G44"/>
  <c r="G101"/>
  <c r="G65"/>
  <c r="G29"/>
  <c r="G104"/>
  <c r="G102"/>
  <c r="G66"/>
  <c r="G30"/>
  <c r="G50"/>
  <c r="G97"/>
  <c r="G61"/>
  <c r="G25"/>
  <c r="G21"/>
  <c r="G28"/>
  <c r="G98"/>
  <c r="G89"/>
  <c r="G17"/>
  <c r="G26"/>
  <c r="G90"/>
  <c r="G18"/>
  <c r="G20"/>
  <c r="G121"/>
  <c r="G49"/>
  <c r="G111"/>
  <c r="G75"/>
  <c r="G39"/>
  <c r="G118"/>
  <c r="G82"/>
  <c r="G46"/>
  <c r="G56"/>
  <c r="G107"/>
  <c r="G71"/>
  <c r="G35"/>
  <c r="G128"/>
  <c r="G108"/>
  <c r="G72"/>
  <c r="G36"/>
  <c r="G62"/>
  <c r="G103"/>
  <c r="G67"/>
  <c r="G31"/>
  <c r="G13"/>
  <c r="G93"/>
  <c r="G117"/>
  <c r="G81"/>
  <c r="G45"/>
  <c r="G124"/>
  <c r="G88"/>
  <c r="G52"/>
  <c r="G16"/>
  <c r="G68"/>
  <c r="G113"/>
  <c r="G77"/>
  <c r="G41"/>
  <c r="G114"/>
  <c r="G78"/>
  <c r="G42"/>
  <c r="G80"/>
  <c r="G109"/>
  <c r="G73"/>
  <c r="G37"/>
  <c r="G12"/>
  <c r="G123"/>
  <c r="G87"/>
  <c r="G51"/>
  <c r="G15"/>
  <c r="G94"/>
  <c r="G58"/>
  <c r="G22"/>
  <c r="G86"/>
  <c r="G119"/>
  <c r="G83"/>
  <c r="G47"/>
  <c r="G120"/>
  <c r="G84"/>
  <c r="G48"/>
  <c r="G92"/>
  <c r="G115"/>
  <c r="G79"/>
  <c r="G43"/>
  <c r="G11"/>
  <c r="G129"/>
  <c r="G122"/>
  <c r="G99"/>
  <c r="G63"/>
  <c r="G27"/>
  <c r="G106"/>
  <c r="G70"/>
  <c r="G34"/>
  <c r="G116"/>
  <c r="G32"/>
  <c r="G95"/>
  <c r="G59"/>
  <c r="G23"/>
  <c r="G74"/>
  <c r="G96"/>
  <c r="G60"/>
  <c r="G24"/>
  <c r="G38"/>
  <c r="G127"/>
  <c r="G91"/>
  <c r="G55"/>
  <c r="G19"/>
  <c r="G57"/>
  <c r="G100"/>
  <c r="G64"/>
  <c r="G125"/>
  <c r="G53"/>
  <c r="G126"/>
  <c r="G54"/>
  <c r="G110"/>
  <c r="G85"/>
  <c r="G10"/>
  <c r="I9" l="1" a="1"/>
  <c r="R9" i="18" l="1" a="1"/>
  <c r="K9" i="23"/>
  <c r="J14"/>
  <c r="L17"/>
  <c r="I13"/>
  <c r="J13"/>
  <c r="N13"/>
  <c r="O19"/>
  <c r="M12"/>
  <c r="M17"/>
  <c r="Q13"/>
  <c r="K10"/>
  <c r="L19"/>
  <c r="P15"/>
  <c r="J12"/>
  <c r="I17"/>
  <c r="M13"/>
  <c r="Q9"/>
  <c r="R18"/>
  <c r="O10"/>
  <c r="R17"/>
  <c r="I10"/>
  <c r="K16"/>
  <c r="I9"/>
  <c r="N14"/>
  <c r="Q15"/>
  <c r="L15"/>
  <c r="P19"/>
  <c r="K14"/>
  <c r="L14"/>
  <c r="P14"/>
  <c r="L11"/>
  <c r="R15"/>
  <c r="O13"/>
  <c r="I18"/>
  <c r="M14"/>
  <c r="Q10"/>
  <c r="R19"/>
  <c r="L16"/>
  <c r="P12"/>
  <c r="J9"/>
  <c r="O17"/>
  <c r="I14"/>
  <c r="M10"/>
  <c r="N16"/>
  <c r="L9"/>
  <c r="J10"/>
  <c r="M15"/>
  <c r="N15"/>
  <c r="J17"/>
  <c r="J16"/>
  <c r="N19"/>
  <c r="Q14"/>
  <c r="O18"/>
  <c r="I15"/>
  <c r="M11"/>
  <c r="R16"/>
  <c r="L13"/>
  <c r="P9"/>
  <c r="K18"/>
  <c r="O14"/>
  <c r="I11"/>
  <c r="P11"/>
  <c r="K12"/>
  <c r="P17"/>
  <c r="N10"/>
  <c r="N12"/>
  <c r="O16"/>
  <c r="M9"/>
  <c r="P16"/>
  <c r="N9"/>
  <c r="L18"/>
  <c r="R9"/>
  <c r="N18"/>
  <c r="Q17"/>
  <c r="I16"/>
  <c r="K19"/>
  <c r="O15"/>
  <c r="I12"/>
  <c r="N17"/>
  <c r="R13"/>
  <c r="L10"/>
  <c r="Q18"/>
  <c r="K15"/>
  <c r="O11"/>
  <c r="R12"/>
  <c r="R14"/>
  <c r="Q11"/>
  <c r="J19"/>
  <c r="R11"/>
  <c r="L12"/>
  <c r="M18"/>
  <c r="K11"/>
  <c r="Q16"/>
  <c r="K13"/>
  <c r="O9"/>
  <c r="P18"/>
  <c r="J15"/>
  <c r="N11"/>
  <c r="M16"/>
  <c r="Q12"/>
  <c r="P13"/>
  <c r="I19"/>
  <c r="P10"/>
  <c r="J11"/>
  <c r="K17"/>
  <c r="Q19"/>
  <c r="O12"/>
  <c r="J18"/>
  <c r="R10"/>
  <c r="M19"/>
  <c r="T9" i="18" l="1"/>
  <c r="T11"/>
  <c r="U17"/>
  <c r="S19"/>
  <c r="U11"/>
  <c r="AA14"/>
  <c r="Y9"/>
  <c r="S15"/>
  <c r="AA9"/>
  <c r="S16"/>
  <c r="AA10"/>
  <c r="S13"/>
  <c r="V15"/>
  <c r="T10"/>
  <c r="X18"/>
  <c r="U14"/>
  <c r="R10"/>
  <c r="Z18"/>
  <c r="T15"/>
  <c r="X11"/>
  <c r="Z13"/>
  <c r="X15"/>
  <c r="V18"/>
  <c r="W18"/>
  <c r="V14"/>
  <c r="Y13"/>
  <c r="T17"/>
  <c r="R14"/>
  <c r="W9"/>
  <c r="U16"/>
  <c r="U12"/>
  <c r="AA15"/>
  <c r="X10"/>
  <c r="R16"/>
  <c r="Z10"/>
  <c r="AA16"/>
  <c r="Z11"/>
  <c r="X16"/>
  <c r="T16"/>
  <c r="S11"/>
  <c r="U19"/>
  <c r="R15"/>
  <c r="Y10"/>
  <c r="V19"/>
  <c r="Z15"/>
  <c r="T12"/>
  <c r="S9"/>
  <c r="S18"/>
  <c r="Y14"/>
  <c r="AA13"/>
  <c r="Y16"/>
  <c r="W11"/>
  <c r="Z16"/>
  <c r="Y11"/>
  <c r="Z17"/>
  <c r="X12"/>
  <c r="U18"/>
  <c r="S17"/>
  <c r="AA11"/>
  <c r="Y15"/>
  <c r="V11"/>
  <c r="V16"/>
  <c r="Z12"/>
  <c r="R13"/>
  <c r="Z19"/>
  <c r="U10"/>
  <c r="Z14"/>
  <c r="W17"/>
  <c r="V12"/>
  <c r="Y17"/>
  <c r="W12"/>
  <c r="Y18"/>
  <c r="W13"/>
  <c r="AA19"/>
  <c r="R18"/>
  <c r="Y12"/>
  <c r="W16"/>
  <c r="S12"/>
  <c r="R17"/>
  <c r="V13"/>
  <c r="Z9"/>
  <c r="U13"/>
  <c r="AA12"/>
  <c r="V10"/>
  <c r="R19"/>
  <c r="V17"/>
  <c r="W10"/>
  <c r="T19"/>
  <c r="S14"/>
  <c r="W19"/>
  <c r="T14"/>
  <c r="R9"/>
  <c r="U15"/>
  <c r="S10"/>
  <c r="Y19"/>
  <c r="W14"/>
  <c r="V9"/>
  <c r="AA17"/>
  <c r="X13"/>
  <c r="U9"/>
  <c r="T18"/>
  <c r="X14"/>
  <c r="R11"/>
  <c r="R12"/>
  <c r="W15"/>
  <c r="X9"/>
  <c r="T13"/>
  <c r="X19"/>
  <c r="AA18"/>
  <c r="X17"/>
  <c r="S6" a="1"/>
  <c r="S7" l="1"/>
  <c r="S6"/>
  <c r="C41" i="2" l="1"/>
  <c r="O41"/>
  <c r="D11" a="1"/>
  <c r="D38"/>
  <c r="D36"/>
  <c r="D34"/>
  <c r="D32"/>
  <c r="D30"/>
  <c r="D28"/>
  <c r="D26"/>
  <c r="D24"/>
  <c r="D22"/>
  <c r="D20"/>
  <c r="D18"/>
  <c r="D16"/>
  <c r="D14"/>
  <c r="D12"/>
  <c r="E38"/>
  <c r="E36"/>
  <c r="E34"/>
  <c r="E32"/>
  <c r="E30"/>
  <c r="E28"/>
  <c r="E26"/>
  <c r="E24"/>
  <c r="E22"/>
  <c r="E20"/>
  <c r="E18"/>
  <c r="E16"/>
  <c r="E14"/>
  <c r="E12"/>
  <c r="F38"/>
  <c r="F36"/>
  <c r="F34"/>
  <c r="F32"/>
  <c r="F30"/>
  <c r="F28"/>
  <c r="F26"/>
  <c r="F24"/>
  <c r="F22"/>
  <c r="F20"/>
  <c r="F18"/>
  <c r="F16"/>
  <c r="F14"/>
  <c r="F12"/>
  <c r="D37"/>
  <c r="D35"/>
  <c r="D33"/>
  <c r="D31"/>
  <c r="D29"/>
  <c r="D27"/>
  <c r="D25"/>
  <c r="D23"/>
  <c r="D21"/>
  <c r="D19"/>
  <c r="D17"/>
  <c r="D15"/>
  <c r="D13"/>
  <c r="D11"/>
  <c r="E37"/>
  <c r="E35"/>
  <c r="E33"/>
  <c r="E31"/>
  <c r="E29"/>
  <c r="E27"/>
  <c r="E25"/>
  <c r="E23"/>
  <c r="E21"/>
  <c r="E19"/>
  <c r="E17"/>
  <c r="E15"/>
  <c r="E13"/>
  <c r="E11"/>
  <c r="F37"/>
  <c r="F35"/>
  <c r="F33"/>
  <c r="F31"/>
  <c r="F29"/>
  <c r="F27"/>
  <c r="F25"/>
  <c r="F23"/>
  <c r="F21"/>
  <c r="F19"/>
  <c r="F17"/>
  <c r="F15"/>
  <c r="F13"/>
  <c r="F11"/>
  <c r="I41"/>
  <c r="J12" a="1"/>
  <c r="K12" a="1"/>
  <c r="P12" a="1"/>
  <c r="J31"/>
  <c r="P31"/>
  <c r="P20"/>
  <c r="P28"/>
  <c r="P12"/>
  <c r="J26"/>
  <c r="J22"/>
  <c r="J18"/>
  <c r="K28"/>
  <c r="K16"/>
  <c r="K22"/>
  <c r="K19"/>
  <c r="P15"/>
  <c r="P17"/>
  <c r="P27"/>
  <c r="P14"/>
  <c r="J20"/>
  <c r="J12"/>
  <c r="J14"/>
  <c r="K18"/>
  <c r="K12"/>
  <c r="K29"/>
  <c r="P13"/>
  <c r="P24"/>
  <c r="P30"/>
  <c r="J32"/>
  <c r="J27"/>
  <c r="J21"/>
  <c r="J17"/>
  <c r="K14"/>
  <c r="K25"/>
  <c r="K31"/>
  <c r="P22"/>
  <c r="P23"/>
  <c r="P29"/>
  <c r="J29"/>
  <c r="J15"/>
  <c r="J23"/>
  <c r="J16"/>
  <c r="K17"/>
  <c r="K21"/>
  <c r="K27"/>
  <c r="P16"/>
  <c r="P18"/>
  <c r="P25"/>
  <c r="P21"/>
  <c r="J24"/>
  <c r="J28"/>
  <c r="K32"/>
  <c r="K20"/>
  <c r="K26"/>
  <c r="K13"/>
  <c r="K15"/>
  <c r="P19"/>
  <c r="P26"/>
  <c r="P32"/>
  <c r="J19"/>
  <c r="J30"/>
  <c r="J13"/>
  <c r="J25"/>
  <c r="K24"/>
  <c r="K30"/>
  <c r="K23"/>
  <c r="Q12" a="1"/>
  <c r="O6" a="1"/>
  <c r="Q27"/>
  <c r="Q17"/>
  <c r="Q20"/>
  <c r="Q31"/>
  <c r="Q22"/>
  <c r="Q30"/>
  <c r="Q19"/>
  <c r="Q25"/>
  <c r="Q14"/>
  <c r="O7"/>
  <c r="Q23"/>
  <c r="O6"/>
  <c r="Q13"/>
  <c r="Q24"/>
  <c r="Q32"/>
  <c r="Q12"/>
  <c r="Q18"/>
  <c r="Q29"/>
  <c r="Q26"/>
  <c r="Q21"/>
  <c r="Q16"/>
  <c r="Q15"/>
  <c r="Q28"/>
  <c r="C6" a="1"/>
  <c r="C6"/>
  <c r="C7"/>
  <c r="I6" a="1"/>
  <c r="I7"/>
  <c r="I6"/>
</calcChain>
</file>

<file path=xl/sharedStrings.xml><?xml version="1.0" encoding="utf-8"?>
<sst xmlns="http://schemas.openxmlformats.org/spreadsheetml/2006/main" count="263" uniqueCount="104">
  <si>
    <t>PricingStructureType</t>
  </si>
  <si>
    <t>RateCurve</t>
  </si>
  <si>
    <t>IndexTenor</t>
  </si>
  <si>
    <t>3M</t>
  </si>
  <si>
    <t>Currency</t>
  </si>
  <si>
    <t>AUD</t>
  </si>
  <si>
    <t>Index</t>
  </si>
  <si>
    <t>LIBOR-BBA</t>
  </si>
  <si>
    <t>Algorithm</t>
  </si>
  <si>
    <t>MarketName</t>
  </si>
  <si>
    <t>ExpiryIntervalInMins</t>
  </si>
  <si>
    <t>Instrument</t>
  </si>
  <si>
    <t>Rate</t>
  </si>
  <si>
    <t>Spread</t>
  </si>
  <si>
    <t>Market Prefix</t>
  </si>
  <si>
    <t>Web Service</t>
  </si>
  <si>
    <t>http://sydwadbrl01:8900/PricingStructures.asmx</t>
  </si>
  <si>
    <t>6M</t>
  </si>
  <si>
    <t>Swap</t>
  </si>
  <si>
    <t>Base algorithm</t>
  </si>
  <si>
    <t>IndexName</t>
  </si>
  <si>
    <t>AUDSwap</t>
  </si>
  <si>
    <t>Validity</t>
  </si>
  <si>
    <t>Official</t>
  </si>
  <si>
    <t>LPMCopy</t>
  </si>
  <si>
    <t>310Y</t>
  </si>
  <si>
    <t>BondFuturesPay</t>
  </si>
  <si>
    <t>AUDBondFuturesPay</t>
  </si>
  <si>
    <t>BondFuturesRec</t>
  </si>
  <si>
    <t>AUD-BondFuturesRec</t>
  </si>
  <si>
    <t>LpmCapFloorCurve</t>
  </si>
  <si>
    <t>CapFrequency</t>
  </si>
  <si>
    <t>CapFloor</t>
  </si>
  <si>
    <t>CapStartLag</t>
  </si>
  <si>
    <t>Source</t>
  </si>
  <si>
    <t>SydSPU</t>
  </si>
  <si>
    <t>Handle</t>
  </si>
  <si>
    <t>ParVolatilityInterpolation</t>
  </si>
  <si>
    <t>CubicHermiteSpline</t>
  </si>
  <si>
    <t>RollConvention</t>
  </si>
  <si>
    <t>MODFOLLOWING</t>
  </si>
  <si>
    <t>Volatility</t>
  </si>
  <si>
    <t>Calculation Date</t>
  </si>
  <si>
    <t>Expiry</t>
  </si>
  <si>
    <t>PPD</t>
  </si>
  <si>
    <t>Type</t>
  </si>
  <si>
    <t>LPMSwaptionCurve</t>
  </si>
  <si>
    <t>Swaption</t>
  </si>
  <si>
    <t>RateVolatilityMatrix</t>
  </si>
  <si>
    <t>Date</t>
  </si>
  <si>
    <t>Caplet vol</t>
  </si>
  <si>
    <t>Swap Rate</t>
  </si>
  <si>
    <t>Black Vol</t>
  </si>
  <si>
    <t>RateATMVolatilityMatrix</t>
  </si>
  <si>
    <t>DF</t>
  </si>
  <si>
    <t>Zero</t>
  </si>
  <si>
    <t>ExpiryTrigger</t>
  </si>
  <si>
    <t xml:space="preserve"> </t>
  </si>
  <si>
    <t>AUD 3M "Zero Bank" Curve</t>
  </si>
  <si>
    <t>Build Curve:</t>
  </si>
  <si>
    <t>Publish timestamp:</t>
  </si>
  <si>
    <t>AUD 1M Curve</t>
  </si>
  <si>
    <t>1x3</t>
  </si>
  <si>
    <t>Trader Curves (AUD)</t>
  </si>
  <si>
    <t>Market Name:</t>
  </si>
  <si>
    <t>3x6</t>
  </si>
  <si>
    <t>AUD 6M Curve</t>
  </si>
  <si>
    <t>Value Date</t>
  </si>
  <si>
    <t>Last Publish Attempt</t>
  </si>
  <si>
    <t>LPM</t>
  </si>
  <si>
    <t>LAST PUBLISHED</t>
  </si>
  <si>
    <t>Time taken   (seconds)</t>
  </si>
  <si>
    <t>Now</t>
  </si>
  <si>
    <t>On</t>
  </si>
  <si>
    <t>Super Derivatives</t>
  </si>
  <si>
    <t>Curve Name:</t>
  </si>
  <si>
    <t>STRUCTURE PROPERTIES</t>
  </si>
  <si>
    <t>PUBLISH PROPERTIES</t>
  </si>
  <si>
    <t>6M Interest Rate Curve</t>
  </si>
  <si>
    <t>Bond Futures Pay Side</t>
  </si>
  <si>
    <t>Curve name:</t>
  </si>
  <si>
    <t>Publish Timestamp:</t>
  </si>
  <si>
    <t>Bond Futures Receive Side</t>
  </si>
  <si>
    <t>Caps / Floors Curve</t>
  </si>
  <si>
    <t>Swaption Volatilities</t>
  </si>
  <si>
    <t>Cap Floor Volatilities</t>
  </si>
  <si>
    <t>Swapton Volatilities</t>
  </si>
  <si>
    <t>INTERMEDIATE CALCULATIONS</t>
  </si>
  <si>
    <t>Curve Publisher</t>
  </si>
  <si>
    <t>Publish frequency (minutes)</t>
  </si>
  <si>
    <t>Publish lifetime (minutes)</t>
  </si>
  <si>
    <t>TIMER DETAILS</t>
  </si>
  <si>
    <t>PUBLISHING SETTINGS</t>
  </si>
  <si>
    <t>PRICING SETTINGS</t>
  </si>
  <si>
    <t>COMPONENT CONTROL</t>
  </si>
  <si>
    <t xml:space="preserve">  Trader AUD</t>
  </si>
  <si>
    <t xml:space="preserve">  LPM</t>
  </si>
  <si>
    <t xml:space="preserve">  Super Derivatives</t>
  </si>
  <si>
    <t>Error Log</t>
  </si>
  <si>
    <t>build the curve object)</t>
  </si>
  <si>
    <r>
      <rPr>
        <b/>
        <sz val="11"/>
        <rFont val="Calibri"/>
        <family val="2"/>
      </rPr>
      <t>Curve Inputs</t>
    </r>
    <r>
      <rPr>
        <sz val="11"/>
        <rFont val="Calibri"/>
        <family val="2"/>
        <scheme val="minor"/>
      </rPr>
      <t xml:space="preserve">   (The data below is used to</t>
    </r>
  </si>
  <si>
    <r>
      <rPr>
        <b/>
        <sz val="11"/>
        <rFont val="Calibri"/>
        <family val="2"/>
      </rPr>
      <t xml:space="preserve">   Pillar Points</t>
    </r>
    <r>
      <rPr>
        <sz val="11"/>
        <rFont val="Calibri"/>
        <family val="2"/>
        <scheme val="minor"/>
      </rPr>
      <t xml:space="preserve"> (not necessarily coincide</t>
    </r>
  </si>
  <si>
    <t xml:space="preserve">   with instruments on LHS, esp near expiry)</t>
  </si>
  <si>
    <t>Test</t>
  </si>
</sst>
</file>

<file path=xl/styles.xml><?xml version="1.0" encoding="utf-8"?>
<styleSheet xmlns="http://schemas.openxmlformats.org/spreadsheetml/2006/main">
  <numFmts count="15">
    <numFmt numFmtId="43" formatCode="_-* #,##0.00_-;\-* #,##0.00_-;_-* &quot;-&quot;??_-;_-@_-"/>
    <numFmt numFmtId="164" formatCode="&quot;$&quot;#,##0\ ;\(&quot;$&quot;#,##0\)"/>
    <numFmt numFmtId="165" formatCode="dd\-mmm\-yy"/>
    <numFmt numFmtId="166" formatCode="0.00_)"/>
    <numFmt numFmtId="167" formatCode="0.000%"/>
    <numFmt numFmtId="168" formatCode="#,##0.0;#,##0.0"/>
    <numFmt numFmtId="169" formatCode="\+#,##0.00;\-#,##0.00"/>
    <numFmt numFmtId="170" formatCode="d/mm/yyyy\ h:mm:ss"/>
    <numFmt numFmtId="171" formatCode="0.000"/>
    <numFmt numFmtId="172" formatCode="0.0000%"/>
    <numFmt numFmtId="173" formatCode="#,##0.000000"/>
    <numFmt numFmtId="174" formatCode="hh:mm:ss;@"/>
    <numFmt numFmtId="175" formatCode="d\-mmm\-yy\ \ \ hh:mm:ss"/>
    <numFmt numFmtId="176" formatCode="dd\-mmm\-yy\ hh:mm:ss"/>
    <numFmt numFmtId="177" formatCode="0.0000"/>
  </numFmts>
  <fonts count="55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MS Sans Serif"/>
      <family val="2"/>
    </font>
    <font>
      <i/>
      <sz val="10"/>
      <color indexed="11"/>
      <name val="Arial"/>
      <family val="2"/>
    </font>
    <font>
      <b/>
      <i/>
      <sz val="9"/>
      <color indexed="57"/>
      <name val="Verdana"/>
      <family val="2"/>
    </font>
    <font>
      <i/>
      <sz val="10"/>
      <name val="Arial"/>
      <family val="2"/>
    </font>
    <font>
      <b/>
      <i/>
      <sz val="9"/>
      <color indexed="16"/>
      <name val="Verdana"/>
      <family val="2"/>
    </font>
    <font>
      <b/>
      <sz val="9"/>
      <color indexed="9"/>
      <name val="Verdana"/>
      <family val="2"/>
    </font>
    <font>
      <b/>
      <i/>
      <sz val="16"/>
      <name val="Helv"/>
      <family val="2"/>
    </font>
    <font>
      <b/>
      <sz val="10"/>
      <name val="Arial"/>
      <family val="2"/>
    </font>
    <font>
      <b/>
      <sz val="9"/>
      <color indexed="16"/>
      <name val="Verdana"/>
      <family val="2"/>
    </font>
    <font>
      <sz val="14"/>
      <color indexed="8"/>
      <name val="Verdana"/>
      <family val="2"/>
    </font>
    <font>
      <i/>
      <sz val="10"/>
      <name val="Bookman Old Style"/>
      <family val="1"/>
    </font>
    <font>
      <i/>
      <sz val="10"/>
      <color indexed="8"/>
      <name val="Bookman Old Style"/>
      <family val="1"/>
    </font>
    <font>
      <b/>
      <sz val="12"/>
      <color indexed="16"/>
      <name val="MS Sans Serif"/>
      <family val="2"/>
    </font>
    <font>
      <sz val="8"/>
      <color indexed="12"/>
      <name val="MS Sans Serif"/>
      <family val="2"/>
    </font>
    <font>
      <b/>
      <sz val="12"/>
      <color indexed="17"/>
      <name val="MS Sans Serif"/>
      <family val="2"/>
    </font>
    <font>
      <sz val="11"/>
      <name val="ＭＳ Ｐゴシック"/>
      <charset val="128"/>
    </font>
    <font>
      <b/>
      <sz val="8"/>
      <color indexed="9"/>
      <name val="Arial"/>
      <family val="2"/>
    </font>
    <font>
      <b/>
      <sz val="8"/>
      <color indexed="8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sz val="11"/>
      <color rgb="FF006100"/>
      <name val="Calibri"/>
      <family val="2"/>
      <scheme val="minor"/>
    </font>
    <font>
      <sz val="10"/>
      <color rgb="FF0000FF"/>
      <name val="Arial"/>
      <family val="2"/>
    </font>
    <font>
      <sz val="10"/>
      <color theme="3"/>
      <name val="Arial"/>
      <family val="2"/>
    </font>
    <font>
      <sz val="10"/>
      <color rgb="FF003399"/>
      <name val="Arial"/>
      <family val="2"/>
    </font>
    <font>
      <sz val="10"/>
      <color theme="1" tint="0.499984740745262"/>
      <name val="Arial"/>
      <family val="2"/>
    </font>
    <font>
      <sz val="14"/>
      <name val="Calibri"/>
      <family val="2"/>
      <scheme val="minor"/>
    </font>
    <font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</fonts>
  <fills count="5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8"/>
      </patternFill>
    </fill>
    <fill>
      <patternFill patternType="solid">
        <fgColor indexed="23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1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56"/>
        <bgColor indexed="64"/>
      </patternFill>
    </fill>
    <fill>
      <patternFill patternType="lightTrellis">
        <fgColor indexed="57"/>
        <b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52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4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22"/>
      </patternFill>
    </fill>
    <fill>
      <patternFill patternType="solid">
        <fgColor indexed="9"/>
        <bgColor indexed="9"/>
      </patternFill>
    </fill>
    <fill>
      <patternFill patternType="solid">
        <fgColor indexed="1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DF1BD"/>
        <bgColor indexed="64"/>
      </patternFill>
    </fill>
    <fill>
      <patternFill patternType="solid">
        <fgColor theme="4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14"/>
      </right>
      <top style="medium">
        <color indexed="1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14"/>
      </left>
      <right style="medium">
        <color indexed="14"/>
      </right>
      <top style="medium">
        <color indexed="1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 tint="-0.499984740745262"/>
      </bottom>
      <diagonal/>
    </border>
  </borders>
  <cellStyleXfs count="488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>
      <alignment horizontal="left" wrapText="1"/>
    </xf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20" borderId="0" applyNumberFormat="0" applyBorder="0" applyAlignment="0" applyProtection="0"/>
    <xf numFmtId="0" fontId="21" fillId="21" borderId="0" applyAlignment="0"/>
    <xf numFmtId="0" fontId="6" fillId="4" borderId="0" applyNumberFormat="0" applyBorder="0" applyAlignment="0" applyProtection="0"/>
    <xf numFmtId="0" fontId="37" fillId="22" borderId="1"/>
    <xf numFmtId="0" fontId="7" fillId="23" borderId="1" applyNumberFormat="0" applyAlignment="0" applyProtection="0"/>
    <xf numFmtId="0" fontId="8" fillId="24" borderId="2" applyNumberFormat="0" applyAlignment="0" applyProtection="0"/>
    <xf numFmtId="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2" fontId="3" fillId="0" borderId="0" applyFont="0" applyFill="0" applyBorder="0" applyAlignment="0" applyProtection="0"/>
    <xf numFmtId="0" fontId="10" fillId="5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22" fillId="25" borderId="0" applyNumberFormat="0" applyBorder="0">
      <alignment horizontal="right" vertical="center"/>
    </xf>
    <xf numFmtId="19" fontId="22" fillId="25" borderId="6" applyNumberFormat="0" applyBorder="0">
      <alignment horizontal="left" vertical="center"/>
    </xf>
    <xf numFmtId="2" fontId="23" fillId="26" borderId="0">
      <alignment horizontal="center" vertical="center"/>
    </xf>
    <xf numFmtId="2" fontId="23" fillId="26" borderId="7" applyBorder="0">
      <alignment horizontal="left" vertical="center"/>
    </xf>
    <xf numFmtId="0" fontId="22" fillId="25" borderId="0">
      <alignment horizontal="right" vertical="center"/>
    </xf>
    <xf numFmtId="19" fontId="24" fillId="25" borderId="8" applyNumberFormat="0" applyBorder="0">
      <alignment horizontal="left" vertical="center" indent="1"/>
    </xf>
    <xf numFmtId="2" fontId="25" fillId="26" borderId="9" applyBorder="0">
      <alignment horizontal="left" vertical="center" indent="1"/>
    </xf>
    <xf numFmtId="2" fontId="25" fillId="26" borderId="10" applyBorder="0">
      <alignment horizontal="center" vertical="center"/>
    </xf>
    <xf numFmtId="0" fontId="14" fillId="8" borderId="1" applyNumberFormat="0" applyAlignment="0" applyProtection="0"/>
    <xf numFmtId="2" fontId="3" fillId="27" borderId="11" applyBorder="0">
      <alignment horizontal="left" vertical="center" indent="1"/>
    </xf>
    <xf numFmtId="0" fontId="3" fillId="27" borderId="0">
      <alignment horizontal="right" vertical="center"/>
    </xf>
    <xf numFmtId="2" fontId="3" fillId="27" borderId="6" applyNumberFormat="0" applyBorder="0">
      <alignment horizontal="right" vertical="center"/>
    </xf>
    <xf numFmtId="2" fontId="26" fillId="28" borderId="8" applyBorder="0">
      <alignment horizontal="left" vertical="center" indent="1"/>
    </xf>
    <xf numFmtId="2" fontId="26" fillId="28" borderId="0">
      <alignment horizontal="right" vertical="center"/>
    </xf>
    <xf numFmtId="2" fontId="26" fillId="28" borderId="7" applyBorder="0">
      <alignment horizontal="left" vertical="center"/>
    </xf>
    <xf numFmtId="2" fontId="26" fillId="28" borderId="12" applyBorder="0">
      <alignment horizontal="center" vertical="center"/>
    </xf>
    <xf numFmtId="19" fontId="24" fillId="29" borderId="13" applyNumberFormat="0" applyBorder="0">
      <alignment horizontal="left" vertical="center"/>
    </xf>
    <xf numFmtId="165" fontId="24" fillId="29" borderId="10" applyNumberFormat="0" applyBorder="0">
      <alignment horizontal="right" vertical="center"/>
    </xf>
    <xf numFmtId="19" fontId="24" fillId="29" borderId="14" applyNumberFormat="0" applyBorder="0">
      <alignment horizontal="right" vertical="center"/>
    </xf>
    <xf numFmtId="2" fontId="25" fillId="30" borderId="15" applyBorder="0">
      <alignment horizontal="left" vertical="center" indent="1"/>
    </xf>
    <xf numFmtId="2" fontId="25" fillId="30" borderId="7" applyNumberFormat="0">
      <alignment horizontal="center" vertical="center"/>
    </xf>
    <xf numFmtId="2" fontId="25" fillId="30" borderId="7" applyNumberFormat="0" applyBorder="0">
      <alignment horizontal="left" vertical="center"/>
    </xf>
    <xf numFmtId="2" fontId="3" fillId="31" borderId="14" applyNumberFormat="0" applyBorder="0">
      <alignment horizontal="right" vertical="center"/>
    </xf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3" fillId="0" borderId="0" applyNumberFormat="0" applyFont="0" applyFill="0" applyBorder="0" applyAlignment="0"/>
    <xf numFmtId="166" fontId="27" fillId="0" borderId="0"/>
    <xf numFmtId="0" fontId="3" fillId="33" borderId="17" applyNumberFormat="0" applyFont="0" applyAlignment="0" applyProtection="0"/>
    <xf numFmtId="0" fontId="28" fillId="34" borderId="18" applyNumberFormat="0" applyBorder="0">
      <alignment horizontal="left" vertical="center"/>
    </xf>
    <xf numFmtId="2" fontId="28" fillId="34" borderId="7" applyNumberFormat="0" applyBorder="0">
      <alignment horizontal="left" vertical="center"/>
    </xf>
    <xf numFmtId="2" fontId="26" fillId="28" borderId="19" applyNumberFormat="0" applyBorder="0">
      <alignment horizontal="left" vertical="center"/>
    </xf>
    <xf numFmtId="2" fontId="26" fillId="28" borderId="7" applyNumberFormat="0" applyBorder="0">
      <alignment horizontal="left" vertical="center"/>
    </xf>
    <xf numFmtId="0" fontId="17" fillId="23" borderId="20" applyNumberFormat="0" applyAlignment="0" applyProtection="0"/>
    <xf numFmtId="19" fontId="3" fillId="35" borderId="21" applyNumberFormat="0" applyBorder="0">
      <alignment horizontal="left" vertical="center" indent="1"/>
    </xf>
    <xf numFmtId="0" fontId="3" fillId="35" borderId="0">
      <alignment horizontal="right" vertical="center"/>
    </xf>
    <xf numFmtId="19" fontId="3" fillId="35" borderId="14" applyNumberFormat="0" applyBorder="0">
      <alignment horizontal="right" vertical="center"/>
    </xf>
    <xf numFmtId="2" fontId="29" fillId="36" borderId="9" applyBorder="0">
      <alignment horizontal="left" vertical="center" indent="1"/>
    </xf>
    <xf numFmtId="2" fontId="29" fillId="36" borderId="0">
      <alignment horizontal="center" vertical="center"/>
    </xf>
    <xf numFmtId="2" fontId="29" fillId="36" borderId="22">
      <alignment horizontal="left" vertical="center"/>
    </xf>
    <xf numFmtId="0" fontId="30" fillId="37" borderId="12">
      <alignment horizontal="center"/>
    </xf>
    <xf numFmtId="167" fontId="31" fillId="38" borderId="0" applyNumberFormat="0" applyBorder="0">
      <alignment horizontal="right" vertical="center"/>
    </xf>
    <xf numFmtId="167" fontId="31" fillId="38" borderId="0" applyNumberFormat="0" applyBorder="0">
      <alignment horizontal="right" vertical="center"/>
    </xf>
    <xf numFmtId="0" fontId="32" fillId="39" borderId="12" applyNumberFormat="0">
      <alignment horizontal="center" vertical="center"/>
    </xf>
    <xf numFmtId="0" fontId="32" fillId="39" borderId="0" applyNumberFormat="0" applyBorder="0">
      <alignment horizontal="left" vertical="center" indent="1"/>
    </xf>
    <xf numFmtId="168" fontId="33" fillId="40" borderId="0">
      <alignment horizontal="center" vertical="center"/>
    </xf>
    <xf numFmtId="0" fontId="38" fillId="41" borderId="23"/>
    <xf numFmtId="169" fontId="34" fillId="42" borderId="0">
      <alignment horizontal="center" vertical="center"/>
      <protection locked="0"/>
    </xf>
    <xf numFmtId="0" fontId="3" fillId="0" borderId="0">
      <alignment horizontal="left" wrapText="1"/>
    </xf>
    <xf numFmtId="2" fontId="35" fillId="43" borderId="18" applyNumberFormat="0" applyFill="0" applyBorder="0" applyAlignment="0">
      <alignment horizontal="center"/>
      <protection locked="0"/>
    </xf>
    <xf numFmtId="2" fontId="3" fillId="22" borderId="7" applyNumberFormat="0" applyBorder="0">
      <alignment horizontal="right" vertical="center"/>
    </xf>
    <xf numFmtId="2" fontId="3" fillId="22" borderId="0">
      <alignment horizontal="right" vertical="center"/>
    </xf>
    <xf numFmtId="0" fontId="37" fillId="44" borderId="23">
      <alignment vertical="top"/>
    </xf>
    <xf numFmtId="2" fontId="26" fillId="45" borderId="12">
      <alignment horizontal="center" vertical="center"/>
    </xf>
    <xf numFmtId="2" fontId="26" fillId="45" borderId="0" applyNumberFormat="0" applyBorder="0">
      <alignment horizontal="left" vertical="center"/>
    </xf>
    <xf numFmtId="2" fontId="26" fillId="45" borderId="12">
      <alignment horizontal="center" vertical="center"/>
    </xf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38" fontId="36" fillId="0" borderId="0" applyFont="0" applyFill="0" applyBorder="0" applyAlignment="0" applyProtection="0"/>
    <xf numFmtId="0" fontId="36" fillId="0" borderId="0"/>
    <xf numFmtId="0" fontId="12" fillId="0" borderId="4" applyNumberFormat="0" applyFill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4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20" borderId="0" applyNumberFormat="0" applyBorder="0" applyAlignment="0" applyProtection="0"/>
    <xf numFmtId="0" fontId="10" fillId="5" borderId="0" applyNumberFormat="0" applyBorder="0" applyAlignment="0" applyProtection="0"/>
    <xf numFmtId="0" fontId="6" fillId="4" borderId="0" applyNumberFormat="0" applyBorder="0" applyAlignment="0" applyProtection="0"/>
    <xf numFmtId="0" fontId="11" fillId="0" borderId="3" applyNumberFormat="0" applyFill="0" applyAlignment="0" applyProtection="0"/>
    <xf numFmtId="0" fontId="7" fillId="23" borderId="1" applyNumberFormat="0" applyAlignment="0" applyProtection="0"/>
    <xf numFmtId="0" fontId="8" fillId="24" borderId="2" applyNumberFormat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0" fillId="5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4" fillId="8" borderId="1" applyNumberFormat="0" applyAlignment="0" applyProtection="0"/>
    <xf numFmtId="0" fontId="14" fillId="8" borderId="1" applyNumberFormat="0" applyAlignment="0" applyProtection="0"/>
    <xf numFmtId="0" fontId="13" fillId="0" borderId="5" applyNumberFormat="0" applyFill="0" applyAlignment="0" applyProtection="0"/>
    <xf numFmtId="0" fontId="14" fillId="8" borderId="1" applyNumberFormat="0" applyAlignment="0" applyProtection="0"/>
    <xf numFmtId="0" fontId="13" fillId="0" borderId="0" applyNumberFormat="0" applyFill="0" applyBorder="0" applyAlignment="0" applyProtection="0"/>
    <xf numFmtId="0" fontId="14" fillId="8" borderId="1" applyNumberFormat="0" applyAlignment="0" applyProtection="0"/>
    <xf numFmtId="0" fontId="14" fillId="8" borderId="1" applyNumberFormat="0" applyAlignment="0" applyProtection="0"/>
    <xf numFmtId="0" fontId="14" fillId="8" borderId="1" applyNumberFormat="0" applyAlignment="0" applyProtection="0"/>
    <xf numFmtId="0" fontId="14" fillId="8" borderId="1" applyNumberFormat="0" applyAlignment="0" applyProtection="0"/>
    <xf numFmtId="0" fontId="13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2" fillId="0" borderId="4" applyNumberFormat="0" applyFill="0" applyAlignment="0" applyProtection="0"/>
    <xf numFmtId="0" fontId="11" fillId="0" borderId="3" applyNumberFormat="0" applyFill="0" applyAlignment="0" applyProtection="0"/>
    <xf numFmtId="0" fontId="10" fillId="5" borderId="0" applyNumberFormat="0" applyBorder="0" applyAlignment="0" applyProtection="0"/>
    <xf numFmtId="0" fontId="9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5" applyNumberFormat="0" applyFill="0" applyAlignment="0" applyProtection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12" fillId="0" borderId="4" applyNumberFormat="0" applyFill="0" applyAlignment="0" applyProtection="0"/>
    <xf numFmtId="0" fontId="8" fillId="24" borderId="2" applyNumberFormat="0" applyAlignment="0" applyProtection="0"/>
    <xf numFmtId="0" fontId="7" fillId="23" borderId="1" applyNumberFormat="0" applyAlignment="0" applyProtection="0"/>
    <xf numFmtId="0" fontId="11" fillId="0" borderId="3" applyNumberFormat="0" applyFill="0" applyAlignment="0" applyProtection="0"/>
    <xf numFmtId="0" fontId="3" fillId="33" borderId="17" applyNumberFormat="0" applyFont="0" applyAlignment="0" applyProtection="0"/>
    <xf numFmtId="0" fontId="6" fillId="4" borderId="0" applyNumberFormat="0" applyBorder="0" applyAlignment="0" applyProtection="0"/>
    <xf numFmtId="0" fontId="10" fillId="5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17" fillId="23" borderId="20" applyNumberFormat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2" fillId="2" borderId="0">
      <alignment vertical="top"/>
    </xf>
    <xf numFmtId="0" fontId="9" fillId="0" borderId="0" applyNumberFormat="0" applyFill="0" applyBorder="0" applyAlignment="0" applyProtection="0"/>
    <xf numFmtId="0" fontId="11" fillId="0" borderId="3" applyNumberFormat="0" applyFill="0" applyAlignment="0" applyProtection="0"/>
    <xf numFmtId="0" fontId="10" fillId="5" borderId="0" applyNumberFormat="0" applyBorder="0" applyAlignment="0" applyProtection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10" fillId="5" borderId="0" applyNumberFormat="0" applyBorder="0" applyAlignment="0" applyProtection="0"/>
    <xf numFmtId="0" fontId="8" fillId="24" borderId="2" applyNumberFormat="0" applyAlignment="0" applyProtection="0"/>
    <xf numFmtId="0" fontId="7" fillId="23" borderId="1" applyNumberFormat="0" applyAlignment="0" applyProtection="0"/>
    <xf numFmtId="0" fontId="9" fillId="0" borderId="0" applyNumberFormat="0" applyFill="0" applyBorder="0" applyAlignment="0" applyProtection="0"/>
    <xf numFmtId="0" fontId="3" fillId="33" borderId="17" applyNumberFormat="0" applyFont="0" applyAlignment="0" applyProtection="0"/>
    <xf numFmtId="0" fontId="6" fillId="4" borderId="0" applyNumberFormat="0" applyBorder="0" applyAlignment="0" applyProtection="0"/>
    <xf numFmtId="2" fontId="3" fillId="0" borderId="0" applyFont="0" applyFill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17" fillId="23" borderId="20" applyNumberFormat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13" fillId="0" borderId="0" applyNumberFormat="0" applyFill="0" applyBorder="0" applyAlignment="0" applyProtection="0"/>
    <xf numFmtId="0" fontId="8" fillId="24" borderId="2" applyNumberFormat="0" applyAlignment="0" applyProtection="0"/>
    <xf numFmtId="0" fontId="7" fillId="23" borderId="1" applyNumberFormat="0" applyAlignment="0" applyProtection="0"/>
    <xf numFmtId="0" fontId="13" fillId="0" borderId="5" applyNumberFormat="0" applyFill="0" applyAlignment="0" applyProtection="0"/>
    <xf numFmtId="0" fontId="3" fillId="33" borderId="17" applyNumberFormat="0" applyFont="0" applyAlignment="0" applyProtection="0"/>
    <xf numFmtId="0" fontId="6" fillId="4" borderId="0" applyNumberFormat="0" applyBorder="0" applyAlignment="0" applyProtection="0"/>
    <xf numFmtId="0" fontId="12" fillId="0" borderId="4" applyNumberFormat="0" applyFill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17" fillId="23" borderId="20" applyNumberFormat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11" fillId="0" borderId="3" applyNumberFormat="0" applyFill="0" applyAlignment="0" applyProtection="0"/>
    <xf numFmtId="0" fontId="2" fillId="2" borderId="0">
      <alignment vertical="top"/>
    </xf>
    <xf numFmtId="0" fontId="3" fillId="0" borderId="0" applyFont="0" applyFill="0" applyBorder="0" applyAlignment="0" applyProtection="0"/>
    <xf numFmtId="0" fontId="8" fillId="24" borderId="2" applyNumberFormat="0" applyAlignment="0" applyProtection="0"/>
    <xf numFmtId="0" fontId="7" fillId="23" borderId="1" applyNumberFormat="0" applyAlignment="0" applyProtection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164" fontId="3" fillId="0" borderId="0" applyFont="0" applyFill="0" applyBorder="0" applyAlignment="0" applyProtection="0"/>
    <xf numFmtId="0" fontId="6" fillId="4" borderId="0" applyNumberFormat="0" applyBorder="0" applyAlignment="0" applyProtection="0"/>
    <xf numFmtId="3" fontId="3" fillId="0" borderId="0" applyFont="0" applyFill="0" applyBorder="0" applyAlignment="0" applyProtection="0"/>
    <xf numFmtId="0" fontId="5" fillId="20" borderId="0" applyNumberFormat="0" applyBorder="0" applyAlignment="0" applyProtection="0"/>
    <xf numFmtId="0" fontId="3" fillId="33" borderId="17" applyNumberFormat="0" applyFont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5" fillId="18" borderId="0" applyNumberFormat="0" applyBorder="0" applyAlignment="0" applyProtection="0"/>
    <xf numFmtId="0" fontId="17" fillId="23" borderId="20" applyNumberFormat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9" fontId="3" fillId="0" borderId="0" applyFont="0" applyFill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8" fillId="24" borderId="2" applyNumberFormat="0" applyAlignment="0" applyProtection="0"/>
    <xf numFmtId="0" fontId="2" fillId="2" borderId="0">
      <alignment vertical="top"/>
    </xf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9" fillId="0" borderId="0" applyNumberFormat="0" applyFill="0" applyBorder="0" applyAlignment="0" applyProtection="0"/>
    <xf numFmtId="0" fontId="14" fillId="8" borderId="1" applyNumberFormat="0" applyAlignment="0" applyProtection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8" fillId="24" borderId="2" applyNumberFormat="0" applyAlignment="0" applyProtection="0"/>
    <xf numFmtId="0" fontId="7" fillId="23" borderId="1" applyNumberFormat="0" applyAlignment="0" applyProtection="0"/>
    <xf numFmtId="0" fontId="13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3" fillId="33" borderId="17" applyNumberFormat="0" applyFont="0" applyAlignment="0" applyProtection="0"/>
    <xf numFmtId="0" fontId="13" fillId="0" borderId="5" applyNumberFormat="0" applyFill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17" fillId="23" borderId="20" applyNumberFormat="0" applyAlignment="0" applyProtection="0"/>
    <xf numFmtId="0" fontId="5" fillId="19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2" fillId="0" borderId="4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2" fillId="2" borderId="0">
      <alignment vertical="top"/>
    </xf>
    <xf numFmtId="0" fontId="7" fillId="23" borderId="1" applyNumberFormat="0" applyAlignment="0" applyProtection="0"/>
    <xf numFmtId="0" fontId="6" fillId="4" borderId="0" applyNumberFormat="0" applyBorder="0" applyAlignment="0" applyProtection="0"/>
    <xf numFmtId="0" fontId="21" fillId="21" borderId="0" applyAlignment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3" fillId="33" borderId="17" applyNumberFormat="0" applyFont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17" fillId="23" borderId="20" applyNumberFormat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0" applyNumberFormat="0" applyFill="0" applyBorder="0" applyAlignment="0" applyProtection="0">
      <alignment horizontal="left" wrapText="1"/>
    </xf>
    <xf numFmtId="0" fontId="2" fillId="2" borderId="0">
      <alignment vertical="top"/>
    </xf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11" fillId="0" borderId="3" applyNumberFormat="0" applyFill="0" applyAlignment="0" applyProtection="0"/>
    <xf numFmtId="0" fontId="10" fillId="5" borderId="0" applyNumberFormat="0" applyBorder="0" applyAlignment="0" applyProtection="0"/>
    <xf numFmtId="2" fontId="3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0" fontId="8" fillId="24" borderId="2" applyNumberFormat="0" applyAlignment="0" applyProtection="0"/>
    <xf numFmtId="0" fontId="7" fillId="23" borderId="1" applyNumberFormat="0" applyAlignment="0" applyProtection="0"/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3" fillId="0" borderId="0" applyNumberFormat="0" applyFont="0" applyFill="0" applyBorder="0" applyAlignment="0"/>
    <xf numFmtId="0" fontId="6" fillId="4" borderId="0" applyNumberFormat="0" applyBorder="0" applyAlignment="0" applyProtection="0"/>
    <xf numFmtId="0" fontId="3" fillId="33" borderId="17" applyNumberFormat="0" applyFont="0" applyAlignment="0" applyProtection="0"/>
    <xf numFmtId="0" fontId="21" fillId="21" borderId="0" applyAlignment="0"/>
    <xf numFmtId="0" fontId="5" fillId="20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17" fillId="23" borderId="20" applyNumberFormat="0" applyAlignment="0" applyProtection="0"/>
    <xf numFmtId="0" fontId="5" fillId="19" borderId="0" applyNumberFormat="0" applyBorder="0" applyAlignment="0" applyProtection="0"/>
    <xf numFmtId="0" fontId="5" fillId="18" borderId="0" applyNumberFormat="0" applyBorder="0" applyAlignment="0" applyProtection="0"/>
    <xf numFmtId="0" fontId="5" fillId="17" borderId="0" applyNumberFormat="0" applyBorder="0" applyAlignment="0" applyProtection="0"/>
    <xf numFmtId="0" fontId="5" fillId="16" borderId="0" applyNumberFormat="0" applyBorder="0" applyAlignment="0" applyProtection="0"/>
    <xf numFmtId="0" fontId="5" fillId="15" borderId="0" applyNumberFormat="0" applyBorder="0" applyAlignment="0" applyProtection="0"/>
    <xf numFmtId="0" fontId="5" fillId="14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6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3" fillId="0" borderId="0">
      <alignment horizontal="left" wrapText="1"/>
    </xf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5" borderId="0" applyNumberFormat="0" applyBorder="0" applyAlignment="0" applyProtection="0"/>
    <xf numFmtId="0" fontId="4" fillId="4" borderId="0" applyNumberFormat="0" applyBorder="0" applyAlignment="0" applyProtection="0"/>
    <xf numFmtId="0" fontId="4" fillId="3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0" fontId="3" fillId="0" borderId="0" applyNumberFormat="0" applyFill="0" applyBorder="0" applyAlignment="0" applyProtection="0">
      <alignment horizontal="left" wrapText="1"/>
    </xf>
    <xf numFmtId="0" fontId="2" fillId="2" borderId="0">
      <alignment vertical="top"/>
    </xf>
    <xf numFmtId="0" fontId="15" fillId="0" borderId="16" applyNumberFormat="0" applyFill="0" applyAlignment="0" applyProtection="0"/>
    <xf numFmtId="0" fontId="16" fillId="32" borderId="0" applyNumberFormat="0" applyBorder="0" applyAlignment="0" applyProtection="0"/>
    <xf numFmtId="0" fontId="3" fillId="0" borderId="0" applyNumberFormat="0" applyFont="0" applyFill="0" applyBorder="0" applyAlignment="0"/>
    <xf numFmtId="0" fontId="3" fillId="33" borderId="17" applyNumberFormat="0" applyFont="0" applyAlignment="0" applyProtection="0"/>
    <xf numFmtId="0" fontId="17" fillId="23" borderId="20" applyNumberFormat="0" applyAlignment="0" applyProtection="0"/>
    <xf numFmtId="0" fontId="3" fillId="0" borderId="0">
      <alignment horizontal="left" wrapText="1"/>
    </xf>
    <xf numFmtId="0" fontId="18" fillId="0" borderId="0" applyNumberFormat="0" applyFill="0" applyBorder="0" applyAlignment="0" applyProtection="0"/>
    <xf numFmtId="0" fontId="19" fillId="0" borderId="24" applyNumberFormat="0" applyFill="0" applyAlignment="0" applyProtection="0"/>
    <xf numFmtId="0" fontId="20" fillId="0" borderId="0" applyNumberFormat="0" applyFill="0" applyBorder="0" applyAlignment="0" applyProtection="0"/>
    <xf numFmtId="2" fontId="3" fillId="27" borderId="11" applyBorder="0">
      <alignment horizontal="left" vertical="center" indent="1"/>
    </xf>
    <xf numFmtId="0" fontId="3" fillId="27" borderId="0">
      <alignment horizontal="right" vertical="center"/>
    </xf>
    <xf numFmtId="2" fontId="3" fillId="27" borderId="6" applyNumberFormat="0" applyBorder="0">
      <alignment horizontal="right" vertical="center"/>
    </xf>
    <xf numFmtId="2" fontId="3" fillId="31" borderId="14" applyNumberFormat="0" applyBorder="0">
      <alignment horizontal="right" vertical="center"/>
    </xf>
    <xf numFmtId="19" fontId="3" fillId="35" borderId="21" applyNumberFormat="0" applyBorder="0">
      <alignment horizontal="left" vertical="center" indent="1"/>
    </xf>
    <xf numFmtId="0" fontId="3" fillId="35" borderId="0">
      <alignment horizontal="right" vertical="center"/>
    </xf>
    <xf numFmtId="19" fontId="3" fillId="35" borderId="14" applyNumberFormat="0" applyBorder="0">
      <alignment horizontal="right" vertical="center"/>
    </xf>
    <xf numFmtId="2" fontId="3" fillId="22" borderId="7" applyNumberFormat="0" applyBorder="0">
      <alignment horizontal="right" vertical="center"/>
    </xf>
    <xf numFmtId="2" fontId="3" fillId="22" borderId="0">
      <alignment horizontal="right" vertical="center"/>
    </xf>
    <xf numFmtId="2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0" fontId="21" fillId="21" borderId="0" applyAlignment="0"/>
    <xf numFmtId="0" fontId="3" fillId="0" borderId="0" applyNumberFormat="0" applyFill="0" applyBorder="0" applyAlignment="0" applyProtection="0">
      <alignment horizontal="left" wrapText="1"/>
    </xf>
    <xf numFmtId="0" fontId="2" fillId="2" borderId="0">
      <alignment vertical="top"/>
    </xf>
    <xf numFmtId="2" fontId="3" fillId="0" borderId="0" applyFont="0" applyFill="0" applyBorder="0" applyAlignment="0" applyProtection="0"/>
    <xf numFmtId="0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3" fontId="3" fillId="0" borderId="0" applyFont="0" applyFill="0" applyBorder="0" applyAlignment="0" applyProtection="0"/>
    <xf numFmtId="0" fontId="3" fillId="0" borderId="0" applyNumberFormat="0" applyFont="0" applyFill="0" applyBorder="0" applyAlignment="0"/>
    <xf numFmtId="0" fontId="3" fillId="33" borderId="17" applyNumberFormat="0" applyFont="0" applyAlignment="0" applyProtection="0"/>
    <xf numFmtId="0" fontId="21" fillId="21" borderId="0" applyAlignment="0"/>
    <xf numFmtId="0" fontId="3" fillId="0" borderId="0">
      <alignment horizontal="left" wrapText="1"/>
    </xf>
    <xf numFmtId="0" fontId="3" fillId="0" borderId="0" applyNumberFormat="0" applyFill="0" applyBorder="0" applyAlignment="0" applyProtection="0">
      <alignment horizontal="left" wrapText="1"/>
    </xf>
    <xf numFmtId="0" fontId="2" fillId="2" borderId="0">
      <alignment vertical="top"/>
    </xf>
    <xf numFmtId="0" fontId="3" fillId="0" borderId="0" applyNumberFormat="0" applyFont="0" applyFill="0" applyBorder="0" applyAlignment="0"/>
    <xf numFmtId="0" fontId="3" fillId="33" borderId="17" applyNumberFormat="0" applyFont="0" applyAlignment="0" applyProtection="0"/>
    <xf numFmtId="0" fontId="3" fillId="0" borderId="0">
      <alignment horizontal="left" wrapText="1"/>
    </xf>
    <xf numFmtId="0" fontId="2" fillId="2" borderId="0">
      <alignment vertical="top"/>
    </xf>
    <xf numFmtId="0" fontId="43" fillId="46" borderId="0" applyNumberFormat="0" applyFont="0" applyBorder="0" applyAlignment="0" applyProtection="0"/>
    <xf numFmtId="0" fontId="44" fillId="50" borderId="0" applyNumberFormat="0" applyBorder="0" applyAlignment="0">
      <protection locked="0"/>
    </xf>
    <xf numFmtId="0" fontId="1" fillId="0" borderId="0"/>
    <xf numFmtId="9" fontId="1" fillId="0" borderId="0" applyFont="0" applyFill="0" applyBorder="0" applyAlignment="0" applyProtection="0"/>
    <xf numFmtId="0" fontId="42" fillId="51" borderId="0" applyNumberFormat="0" applyFont="0" applyBorder="0" applyAlignment="0" applyProtection="0">
      <alignment horizontal="center"/>
    </xf>
  </cellStyleXfs>
  <cellXfs count="133">
    <xf numFmtId="0" fontId="0" fillId="0" borderId="0" xfId="0"/>
    <xf numFmtId="0" fontId="0" fillId="0" borderId="0" xfId="0"/>
    <xf numFmtId="0" fontId="39" fillId="0" borderId="0" xfId="280" applyFont="1" applyFill="1" applyBorder="1" applyAlignment="1">
      <alignment horizontal="left" vertical="center"/>
    </xf>
    <xf numFmtId="0" fontId="39" fillId="0" borderId="0" xfId="280" applyFont="1" applyFill="1" applyBorder="1" applyAlignment="1">
      <alignment vertical="center"/>
    </xf>
    <xf numFmtId="0" fontId="39" fillId="0" borderId="0" xfId="280" applyFont="1" applyFill="1" applyBorder="1" applyAlignment="1">
      <alignment horizontal="center" vertical="center"/>
    </xf>
    <xf numFmtId="15" fontId="39" fillId="0" borderId="0" xfId="280" applyNumberFormat="1" applyFont="1" applyFill="1" applyBorder="1" applyAlignment="1">
      <alignment horizontal="center" vertical="center"/>
    </xf>
    <xf numFmtId="173" fontId="39" fillId="0" borderId="0" xfId="280" applyNumberFormat="1" applyFont="1" applyFill="1" applyBorder="1" applyAlignment="1">
      <alignment horizontal="center" vertical="center"/>
    </xf>
    <xf numFmtId="167" fontId="39" fillId="0" borderId="0" xfId="280" applyNumberFormat="1" applyFont="1" applyFill="1" applyBorder="1" applyAlignment="1">
      <alignment horizontal="center" vertical="center"/>
    </xf>
    <xf numFmtId="0" fontId="39" fillId="0" borderId="0" xfId="280" applyFont="1" applyFill="1" applyBorder="1" applyAlignment="1">
      <alignment horizontal="right" vertical="center"/>
    </xf>
    <xf numFmtId="3" fontId="39" fillId="49" borderId="0" xfId="280" applyNumberFormat="1" applyFont="1" applyFill="1" applyBorder="1" applyAlignment="1">
      <alignment horizontal="left" vertical="center"/>
    </xf>
    <xf numFmtId="15" fontId="39" fillId="49" borderId="0" xfId="280" applyNumberFormat="1" applyFont="1" applyFill="1" applyBorder="1" applyAlignment="1">
      <alignment horizontal="center" vertical="center"/>
    </xf>
    <xf numFmtId="173" fontId="39" fillId="49" borderId="0" xfId="280" applyNumberFormat="1" applyFont="1" applyFill="1" applyBorder="1" applyAlignment="1">
      <alignment horizontal="center" vertical="center"/>
    </xf>
    <xf numFmtId="167" fontId="39" fillId="49" borderId="0" xfId="280" applyNumberFormat="1" applyFont="1" applyFill="1" applyBorder="1" applyAlignment="1">
      <alignment horizontal="center" vertical="center"/>
    </xf>
    <xf numFmtId="0" fontId="41" fillId="0" borderId="0" xfId="280" applyFont="1" applyFill="1" applyBorder="1" applyAlignment="1">
      <alignment vertical="center"/>
    </xf>
    <xf numFmtId="172" fontId="39" fillId="49" borderId="0" xfId="1" applyNumberFormat="1" applyFont="1" applyFill="1" applyBorder="1" applyAlignment="1">
      <alignment horizontal="center" vertical="center"/>
    </xf>
    <xf numFmtId="0" fontId="44" fillId="50" borderId="0" xfId="484" applyBorder="1" applyAlignment="1">
      <alignment horizontal="left" vertical="center"/>
      <protection locked="0"/>
    </xf>
    <xf numFmtId="171" fontId="44" fillId="50" borderId="0" xfId="484" applyNumberFormat="1" applyBorder="1" applyAlignment="1">
      <alignment horizontal="left" vertical="center"/>
      <protection locked="0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Border="1" applyAlignment="1">
      <alignment horizontal="center"/>
    </xf>
    <xf numFmtId="0" fontId="1" fillId="0" borderId="0" xfId="0" quotePrefix="1" applyFont="1"/>
    <xf numFmtId="0" fontId="0" fillId="0" borderId="0" xfId="0" applyAlignment="1">
      <alignment horizontal="left"/>
    </xf>
    <xf numFmtId="0" fontId="45" fillId="0" borderId="0" xfId="0" applyFont="1" applyAlignment="1">
      <alignment horizontal="left"/>
    </xf>
    <xf numFmtId="174" fontId="39" fillId="0" borderId="0" xfId="280" applyNumberFormat="1" applyFont="1" applyFill="1" applyBorder="1" applyAlignment="1">
      <alignment horizontal="left" vertical="center"/>
    </xf>
    <xf numFmtId="15" fontId="46" fillId="0" borderId="0" xfId="0" applyNumberFormat="1" applyFont="1" applyAlignment="1">
      <alignment horizontal="left"/>
    </xf>
    <xf numFmtId="0" fontId="47" fillId="0" borderId="0" xfId="0" applyFont="1" applyAlignment="1">
      <alignment horizontal="left"/>
    </xf>
    <xf numFmtId="176" fontId="45" fillId="0" borderId="0" xfId="0" applyNumberFormat="1" applyFont="1" applyAlignment="1">
      <alignment horizontal="left"/>
    </xf>
    <xf numFmtId="0" fontId="1" fillId="0" borderId="0" xfId="0" quotePrefix="1" applyFont="1" applyAlignment="1">
      <alignment horizontal="left"/>
    </xf>
    <xf numFmtId="176" fontId="3" fillId="0" borderId="0" xfId="0" applyNumberFormat="1" applyFont="1" applyAlignment="1">
      <alignment horizontal="left"/>
    </xf>
    <xf numFmtId="0" fontId="44" fillId="50" borderId="0" xfId="484" applyAlignment="1">
      <alignment horizontal="center"/>
      <protection locked="0"/>
    </xf>
    <xf numFmtId="0" fontId="1" fillId="49" borderId="0" xfId="0" applyFont="1" applyFill="1"/>
    <xf numFmtId="0" fontId="39" fillId="0" borderId="0" xfId="0" applyFont="1" applyFill="1"/>
    <xf numFmtId="0" fontId="39" fillId="0" borderId="0" xfId="0" applyFont="1" applyFill="1" applyAlignment="1">
      <alignment horizontal="center"/>
    </xf>
    <xf numFmtId="15" fontId="39" fillId="0" borderId="0" xfId="0" applyNumberFormat="1" applyFont="1" applyFill="1" applyAlignment="1">
      <alignment horizontal="center"/>
    </xf>
    <xf numFmtId="173" fontId="39" fillId="0" borderId="0" xfId="0" applyNumberFormat="1" applyFont="1" applyFill="1" applyAlignment="1">
      <alignment horizontal="center"/>
    </xf>
    <xf numFmtId="167" fontId="39" fillId="0" borderId="0" xfId="0" applyNumberFormat="1" applyFont="1" applyFill="1" applyAlignment="1">
      <alignment horizontal="right"/>
    </xf>
    <xf numFmtId="0" fontId="39" fillId="0" borderId="0" xfId="0" applyFont="1" applyFill="1" applyAlignment="1">
      <alignment horizontal="left"/>
    </xf>
    <xf numFmtId="9" fontId="39" fillId="0" borderId="0" xfId="0" applyNumberFormat="1" applyFont="1" applyFill="1" applyAlignment="1">
      <alignment horizontal="center"/>
    </xf>
    <xf numFmtId="15" fontId="39" fillId="0" borderId="0" xfId="0" applyNumberFormat="1" applyFont="1" applyFill="1" applyBorder="1" applyAlignment="1">
      <alignment horizontal="center"/>
    </xf>
    <xf numFmtId="173" fontId="39" fillId="0" borderId="0" xfId="0" applyNumberFormat="1" applyFont="1" applyFill="1" applyBorder="1" applyAlignment="1">
      <alignment horizontal="center"/>
    </xf>
    <xf numFmtId="167" fontId="39" fillId="0" borderId="0" xfId="0" applyNumberFormat="1" applyFont="1" applyFill="1" applyBorder="1" applyAlignment="1">
      <alignment horizontal="right"/>
    </xf>
    <xf numFmtId="0" fontId="39" fillId="0" borderId="0" xfId="0" applyFont="1" applyFill="1" applyBorder="1" applyAlignment="1">
      <alignment horizontal="left"/>
    </xf>
    <xf numFmtId="9" fontId="39" fillId="0" borderId="0" xfId="0" applyNumberFormat="1" applyFont="1" applyFill="1" applyBorder="1" applyAlignment="1">
      <alignment horizontal="center"/>
    </xf>
    <xf numFmtId="0" fontId="39" fillId="0" borderId="0" xfId="0" applyFont="1" applyFill="1" applyBorder="1"/>
    <xf numFmtId="0" fontId="39" fillId="0" borderId="0" xfId="0" applyFont="1" applyFill="1" applyBorder="1" applyAlignment="1">
      <alignment horizontal="center"/>
    </xf>
    <xf numFmtId="9" fontId="39" fillId="0" borderId="0" xfId="0" quotePrefix="1" applyNumberFormat="1" applyFont="1" applyFill="1" applyAlignment="1">
      <alignment horizontal="left"/>
    </xf>
    <xf numFmtId="0" fontId="39" fillId="0" borderId="0" xfId="0" quotePrefix="1" applyFont="1" applyFill="1" applyAlignment="1">
      <alignment horizontal="left"/>
    </xf>
    <xf numFmtId="174" fontId="39" fillId="0" borderId="0" xfId="0" applyNumberFormat="1" applyFont="1" applyFill="1" applyAlignment="1">
      <alignment horizontal="center"/>
    </xf>
    <xf numFmtId="0" fontId="39" fillId="0" borderId="0" xfId="0" applyFont="1" applyFill="1" applyAlignment="1">
      <alignment horizontal="right"/>
    </xf>
    <xf numFmtId="0" fontId="39" fillId="0" borderId="0" xfId="0" applyFont="1" applyFill="1" applyBorder="1" applyAlignment="1">
      <alignment horizontal="right"/>
    </xf>
    <xf numFmtId="0" fontId="49" fillId="0" borderId="26" xfId="0" applyFont="1" applyFill="1" applyBorder="1"/>
    <xf numFmtId="0" fontId="49" fillId="0" borderId="26" xfId="0" applyFont="1" applyFill="1" applyBorder="1" applyAlignment="1">
      <alignment horizontal="center"/>
    </xf>
    <xf numFmtId="15" fontId="50" fillId="0" borderId="26" xfId="0" applyNumberFormat="1" applyFont="1" applyFill="1" applyBorder="1" applyAlignment="1">
      <alignment horizontal="left"/>
    </xf>
    <xf numFmtId="173" fontId="49" fillId="0" borderId="26" xfId="0" applyNumberFormat="1" applyFont="1" applyFill="1" applyBorder="1" applyAlignment="1">
      <alignment horizontal="center"/>
    </xf>
    <xf numFmtId="167" fontId="49" fillId="0" borderId="26" xfId="0" applyNumberFormat="1" applyFont="1" applyFill="1" applyBorder="1" applyAlignment="1">
      <alignment horizontal="right"/>
    </xf>
    <xf numFmtId="0" fontId="49" fillId="0" borderId="26" xfId="0" applyFont="1" applyFill="1" applyBorder="1" applyAlignment="1">
      <alignment horizontal="left"/>
    </xf>
    <xf numFmtId="9" fontId="49" fillId="0" borderId="26" xfId="0" applyNumberFormat="1" applyFont="1" applyFill="1" applyBorder="1" applyAlignment="1">
      <alignment horizontal="center"/>
    </xf>
    <xf numFmtId="0" fontId="49" fillId="0" borderId="26" xfId="0" applyFont="1" applyFill="1" applyBorder="1" applyAlignment="1">
      <alignment horizontal="right"/>
    </xf>
    <xf numFmtId="0" fontId="49" fillId="0" borderId="0" xfId="0" applyFont="1" applyFill="1"/>
    <xf numFmtId="0" fontId="51" fillId="0" borderId="0" xfId="0" applyFont="1"/>
    <xf numFmtId="0" fontId="51" fillId="0" borderId="25" xfId="0" applyFont="1" applyBorder="1"/>
    <xf numFmtId="0" fontId="51" fillId="0" borderId="25" xfId="0" applyFont="1" applyBorder="1" applyAlignment="1">
      <alignment horizontal="left"/>
    </xf>
    <xf numFmtId="0" fontId="41" fillId="0" borderId="0" xfId="280" applyFont="1" applyFill="1" applyBorder="1" applyAlignment="1">
      <alignment horizontal="center" vertical="center"/>
    </xf>
    <xf numFmtId="15" fontId="39" fillId="0" borderId="0" xfId="280" applyNumberFormat="1" applyFont="1" applyFill="1" applyBorder="1" applyAlignment="1">
      <alignment horizontal="left" vertical="center" wrapText="1"/>
    </xf>
    <xf numFmtId="170" fontId="39" fillId="0" borderId="0" xfId="280" applyNumberFormat="1" applyFont="1" applyFill="1" applyBorder="1" applyAlignment="1">
      <alignment horizontal="left" vertical="center"/>
    </xf>
    <xf numFmtId="0" fontId="41" fillId="0" borderId="0" xfId="280" applyFont="1" applyFill="1" applyBorder="1" applyAlignment="1">
      <alignment horizontal="left" vertical="center"/>
    </xf>
    <xf numFmtId="0" fontId="52" fillId="0" borderId="0" xfId="0" applyFont="1"/>
    <xf numFmtId="0" fontId="51" fillId="0" borderId="25" xfId="0" applyFont="1" applyBorder="1" applyAlignment="1">
      <alignment horizontal="center"/>
    </xf>
    <xf numFmtId="0" fontId="1" fillId="0" borderId="0" xfId="0" applyFont="1" applyAlignment="1"/>
    <xf numFmtId="0" fontId="1" fillId="49" borderId="0" xfId="0" applyFont="1" applyFill="1" applyAlignment="1">
      <alignment horizontal="left"/>
    </xf>
    <xf numFmtId="175" fontId="39" fillId="0" borderId="0" xfId="280" applyNumberFormat="1" applyFont="1" applyFill="1" applyBorder="1" applyAlignment="1">
      <alignment horizontal="left" vertical="center" wrapText="1"/>
    </xf>
    <xf numFmtId="9" fontId="39" fillId="0" borderId="0" xfId="1" applyFont="1" applyFill="1" applyBorder="1" applyAlignment="1">
      <alignment horizontal="center" vertical="center"/>
    </xf>
    <xf numFmtId="0" fontId="39" fillId="0" borderId="0" xfId="0" applyFont="1" applyFill="1" applyBorder="1" applyAlignment="1"/>
    <xf numFmtId="0" fontId="49" fillId="0" borderId="25" xfId="0" applyFont="1" applyFill="1" applyBorder="1" applyAlignment="1"/>
    <xf numFmtId="0" fontId="49" fillId="0" borderId="0" xfId="0" applyFont="1" applyFill="1" applyBorder="1" applyAlignment="1"/>
    <xf numFmtId="0" fontId="48" fillId="0" borderId="0" xfId="280" applyFont="1" applyFill="1" applyBorder="1" applyAlignment="1">
      <alignment horizontal="left"/>
    </xf>
    <xf numFmtId="0" fontId="39" fillId="0" borderId="0" xfId="280" applyFont="1" applyFill="1" applyBorder="1" applyAlignment="1">
      <alignment horizontal="left"/>
    </xf>
    <xf numFmtId="0" fontId="41" fillId="0" borderId="0" xfId="280" applyFont="1" applyFill="1" applyBorder="1" applyAlignment="1">
      <alignment horizontal="left"/>
    </xf>
    <xf numFmtId="0" fontId="39" fillId="47" borderId="0" xfId="0" applyFont="1" applyFill="1" applyBorder="1" applyAlignment="1"/>
    <xf numFmtId="0" fontId="39" fillId="47" borderId="0" xfId="280" applyFont="1" applyFill="1" applyBorder="1" applyAlignment="1">
      <alignment horizontal="left" vertical="center"/>
    </xf>
    <xf numFmtId="0" fontId="39" fillId="49" borderId="0" xfId="0" applyFont="1" applyFill="1" applyBorder="1" applyAlignment="1"/>
    <xf numFmtId="10" fontId="39" fillId="0" borderId="0" xfId="1" applyNumberFormat="1" applyFont="1" applyFill="1" applyBorder="1" applyAlignment="1">
      <alignment horizontal="right"/>
    </xf>
    <xf numFmtId="0" fontId="39" fillId="47" borderId="0" xfId="0" applyFont="1" applyFill="1" applyBorder="1" applyAlignment="1">
      <alignment horizontal="right"/>
    </xf>
    <xf numFmtId="0" fontId="39" fillId="47" borderId="0" xfId="0" applyFont="1" applyFill="1" applyBorder="1"/>
    <xf numFmtId="15" fontId="39" fillId="47" borderId="0" xfId="0" applyNumberFormat="1" applyFont="1" applyFill="1" applyBorder="1" applyAlignment="1">
      <alignment horizontal="center"/>
    </xf>
    <xf numFmtId="173" fontId="39" fillId="47" borderId="0" xfId="0" applyNumberFormat="1" applyFont="1" applyFill="1" applyBorder="1" applyAlignment="1">
      <alignment horizontal="center"/>
    </xf>
    <xf numFmtId="167" fontId="39" fillId="47" borderId="0" xfId="0" applyNumberFormat="1" applyFont="1" applyFill="1" applyBorder="1" applyAlignment="1">
      <alignment horizontal="right"/>
    </xf>
    <xf numFmtId="0" fontId="39" fillId="47" borderId="0" xfId="0" applyFont="1" applyFill="1"/>
    <xf numFmtId="15" fontId="39" fillId="47" borderId="0" xfId="0" applyNumberFormat="1" applyFont="1" applyFill="1" applyAlignment="1">
      <alignment horizontal="center"/>
    </xf>
    <xf numFmtId="173" fontId="39" fillId="47" borderId="0" xfId="0" applyNumberFormat="1" applyFont="1" applyFill="1" applyAlignment="1">
      <alignment horizontal="center"/>
    </xf>
    <xf numFmtId="167" fontId="39" fillId="47" borderId="0" xfId="0" applyNumberFormat="1" applyFont="1" applyFill="1" applyAlignment="1">
      <alignment horizontal="right"/>
    </xf>
    <xf numFmtId="0" fontId="40" fillId="48" borderId="0" xfId="280" applyFont="1" applyFill="1" applyBorder="1" applyAlignment="1">
      <alignment horizontal="left"/>
    </xf>
    <xf numFmtId="0" fontId="53" fillId="48" borderId="0" xfId="280" applyFont="1" applyFill="1" applyBorder="1" applyAlignment="1">
      <alignment horizontal="left"/>
    </xf>
    <xf numFmtId="0" fontId="53" fillId="48" borderId="0" xfId="280" applyFont="1" applyFill="1" applyBorder="1" applyAlignment="1">
      <alignment horizontal="center" vertical="center"/>
    </xf>
    <xf numFmtId="0" fontId="53" fillId="48" borderId="0" xfId="280" applyFont="1" applyFill="1" applyBorder="1" applyAlignment="1">
      <alignment horizontal="right" vertical="center"/>
    </xf>
    <xf numFmtId="0" fontId="39" fillId="49" borderId="0" xfId="0" applyFont="1" applyFill="1" applyBorder="1" applyAlignment="1">
      <alignment horizontal="center"/>
    </xf>
    <xf numFmtId="0" fontId="39" fillId="49" borderId="0" xfId="280" applyNumberFormat="1" applyFont="1" applyFill="1" applyBorder="1" applyAlignment="1">
      <alignment horizontal="left" vertical="center"/>
    </xf>
    <xf numFmtId="0" fontId="39" fillId="49" borderId="0" xfId="280" applyFont="1" applyFill="1" applyBorder="1" applyAlignment="1">
      <alignment horizontal="center" vertical="center"/>
    </xf>
    <xf numFmtId="0" fontId="40" fillId="48" borderId="0" xfId="280" applyFont="1" applyFill="1" applyBorder="1" applyAlignment="1">
      <alignment vertical="center"/>
    </xf>
    <xf numFmtId="43" fontId="1" fillId="49" borderId="0" xfId="0" applyNumberFormat="1" applyFont="1" applyFill="1" applyAlignment="1">
      <alignment horizontal="left"/>
    </xf>
    <xf numFmtId="4" fontId="1" fillId="49" borderId="0" xfId="0" applyNumberFormat="1" applyFont="1" applyFill="1" applyAlignment="1">
      <alignment horizontal="center"/>
    </xf>
    <xf numFmtId="0" fontId="1" fillId="49" borderId="0" xfId="0" applyNumberFormat="1" applyFont="1" applyFill="1" applyAlignment="1">
      <alignment horizontal="center"/>
    </xf>
    <xf numFmtId="4" fontId="1" fillId="0" borderId="0" xfId="0" applyNumberFormat="1" applyFont="1" applyAlignment="1">
      <alignment horizontal="right"/>
    </xf>
    <xf numFmtId="4" fontId="1" fillId="49" borderId="0" xfId="0" applyNumberFormat="1" applyFont="1" applyFill="1" applyAlignment="1">
      <alignment horizontal="right"/>
    </xf>
    <xf numFmtId="0" fontId="40" fillId="48" borderId="0" xfId="0" applyFont="1" applyFill="1" applyBorder="1" applyAlignment="1"/>
    <xf numFmtId="0" fontId="53" fillId="48" borderId="0" xfId="0" applyFont="1" applyFill="1" applyBorder="1" applyAlignment="1"/>
    <xf numFmtId="10" fontId="39" fillId="49" borderId="0" xfId="1" applyNumberFormat="1" applyFont="1" applyFill="1" applyBorder="1" applyAlignment="1">
      <alignment horizontal="right"/>
    </xf>
    <xf numFmtId="10" fontId="39" fillId="49" borderId="0" xfId="280" applyNumberFormat="1" applyFont="1" applyFill="1" applyBorder="1" applyAlignment="1">
      <alignment horizontal="center" vertical="center"/>
    </xf>
    <xf numFmtId="0" fontId="39" fillId="49" borderId="0" xfId="482" applyNumberFormat="1" applyFont="1" applyFill="1" applyBorder="1" applyAlignment="1">
      <alignment horizontal="left" vertical="center"/>
    </xf>
    <xf numFmtId="0" fontId="39" fillId="47" borderId="0" xfId="0" applyFont="1" applyFill="1" applyBorder="1" applyAlignment="1">
      <alignment horizontal="left" vertical="center"/>
    </xf>
    <xf numFmtId="175" fontId="39" fillId="47" borderId="0" xfId="280" applyNumberFormat="1" applyFont="1" applyFill="1" applyBorder="1" applyAlignment="1">
      <alignment horizontal="left" vertical="center"/>
    </xf>
    <xf numFmtId="0" fontId="39" fillId="47" borderId="0" xfId="0" applyFont="1" applyFill="1" applyBorder="1" applyAlignment="1">
      <alignment horizontal="left"/>
    </xf>
    <xf numFmtId="0" fontId="39" fillId="47" borderId="0" xfId="482" applyFont="1" applyFill="1" applyBorder="1" applyAlignment="1">
      <alignment horizontal="left" vertical="center"/>
    </xf>
    <xf numFmtId="0" fontId="39" fillId="47" borderId="0" xfId="280" applyFont="1" applyFill="1" applyBorder="1" applyAlignment="1">
      <alignment vertical="center"/>
    </xf>
    <xf numFmtId="0" fontId="39" fillId="47" borderId="0" xfId="280" applyFont="1" applyFill="1" applyBorder="1" applyAlignment="1" applyProtection="1">
      <alignment vertical="center"/>
    </xf>
    <xf numFmtId="0" fontId="1" fillId="47" borderId="0" xfId="0" applyFont="1" applyFill="1" applyAlignment="1">
      <alignment horizontal="left"/>
    </xf>
    <xf numFmtId="0" fontId="39" fillId="47" borderId="0" xfId="280" applyFont="1" applyFill="1" applyBorder="1" applyAlignment="1" applyProtection="1">
      <alignment horizontal="left" vertical="center"/>
    </xf>
    <xf numFmtId="0" fontId="1" fillId="47" borderId="0" xfId="0" applyFont="1" applyFill="1"/>
    <xf numFmtId="15" fontId="1" fillId="47" borderId="0" xfId="0" applyNumberFormat="1" applyFont="1" applyFill="1" applyAlignment="1">
      <alignment horizontal="left"/>
    </xf>
    <xf numFmtId="9" fontId="39" fillId="47" borderId="0" xfId="0" applyNumberFormat="1" applyFont="1" applyFill="1" applyAlignment="1">
      <alignment horizontal="left"/>
    </xf>
    <xf numFmtId="0" fontId="39" fillId="47" borderId="0" xfId="0" applyFont="1" applyFill="1" applyAlignment="1">
      <alignment horizontal="right"/>
    </xf>
    <xf numFmtId="15" fontId="3" fillId="0" borderId="0" xfId="0" applyNumberFormat="1" applyFont="1" applyAlignment="1">
      <alignment horizontal="left"/>
    </xf>
    <xf numFmtId="0" fontId="47" fillId="0" borderId="0" xfId="0" applyFont="1" applyBorder="1"/>
    <xf numFmtId="0" fontId="47" fillId="0" borderId="0" xfId="0" applyFont="1" applyBorder="1" applyAlignment="1">
      <alignment horizontal="left"/>
    </xf>
    <xf numFmtId="15" fontId="44" fillId="50" borderId="0" xfId="484" applyNumberFormat="1" applyAlignment="1">
      <alignment horizontal="left"/>
      <protection locked="0"/>
    </xf>
    <xf numFmtId="0" fontId="44" fillId="50" borderId="0" xfId="484">
      <protection locked="0"/>
    </xf>
    <xf numFmtId="0" fontId="0" fillId="49" borderId="0" xfId="0" applyFill="1"/>
    <xf numFmtId="170" fontId="0" fillId="49" borderId="0" xfId="0" applyNumberFormat="1" applyFill="1" applyAlignment="1">
      <alignment horizontal="left"/>
    </xf>
    <xf numFmtId="0" fontId="0" fillId="49" borderId="0" xfId="0" applyFill="1" applyAlignment="1">
      <alignment horizontal="left"/>
    </xf>
    <xf numFmtId="170" fontId="0" fillId="0" borderId="0" xfId="0" applyNumberFormat="1" applyAlignment="1">
      <alignment horizontal="left"/>
    </xf>
    <xf numFmtId="15" fontId="39" fillId="49" borderId="9" xfId="280" applyNumberFormat="1" applyFont="1" applyFill="1" applyBorder="1" applyAlignment="1">
      <alignment horizontal="center" vertical="center"/>
    </xf>
    <xf numFmtId="177" fontId="39" fillId="49" borderId="0" xfId="1" applyNumberFormat="1" applyFont="1" applyFill="1" applyBorder="1" applyAlignment="1">
      <alignment horizontal="center" vertical="center"/>
    </xf>
  </cellXfs>
  <cellStyles count="488">
    <cellStyle name="_Copy of Portfolios to Archeus 6-3-04 (2)" xfId="2"/>
    <cellStyle name="_Copy of Portfolios to Archeus 6-3-04 (2) 2" xfId="393"/>
    <cellStyle name="_Copy of Portfolios to Archeus 6-3-04 (2) 2 2" xfId="467"/>
    <cellStyle name="_Copy of Portfolios to Archeus 6-3-04 (2) 3" xfId="442"/>
    <cellStyle name="_Copy of Portfolios to Archeus 6-3-04 (2) 3 2" xfId="477"/>
    <cellStyle name="20% - Accent1 10" xfId="438"/>
    <cellStyle name="20% - Accent1 2" xfId="3"/>
    <cellStyle name="20% - Accent1 3" xfId="103"/>
    <cellStyle name="20% - Accent1 4" xfId="195"/>
    <cellStyle name="20% - Accent1 5" xfId="236"/>
    <cellStyle name="20% - Accent1 6" xfId="275"/>
    <cellStyle name="20% - Accent1 7" xfId="315"/>
    <cellStyle name="20% - Accent1 8" xfId="356"/>
    <cellStyle name="20% - Accent1 9" xfId="392"/>
    <cellStyle name="20% - Accent2 10" xfId="437"/>
    <cellStyle name="20% - Accent2 2" xfId="4"/>
    <cellStyle name="20% - Accent2 3" xfId="104"/>
    <cellStyle name="20% - Accent2 4" xfId="194"/>
    <cellStyle name="20% - Accent2 5" xfId="235"/>
    <cellStyle name="20% - Accent2 6" xfId="274"/>
    <cellStyle name="20% - Accent2 7" xfId="314"/>
    <cellStyle name="20% - Accent2 8" xfId="355"/>
    <cellStyle name="20% - Accent2 9" xfId="391"/>
    <cellStyle name="20% - Accent3 10" xfId="436"/>
    <cellStyle name="20% - Accent3 2" xfId="5"/>
    <cellStyle name="20% - Accent3 3" xfId="105"/>
    <cellStyle name="20% - Accent3 4" xfId="193"/>
    <cellStyle name="20% - Accent3 5" xfId="234"/>
    <cellStyle name="20% - Accent3 6" xfId="273"/>
    <cellStyle name="20% - Accent3 7" xfId="313"/>
    <cellStyle name="20% - Accent3 8" xfId="354"/>
    <cellStyle name="20% - Accent3 9" xfId="390"/>
    <cellStyle name="20% - Accent4 10" xfId="435"/>
    <cellStyle name="20% - Accent4 2" xfId="6"/>
    <cellStyle name="20% - Accent4 3" xfId="106"/>
    <cellStyle name="20% - Accent4 4" xfId="192"/>
    <cellStyle name="20% - Accent4 5" xfId="233"/>
    <cellStyle name="20% - Accent4 6" xfId="272"/>
    <cellStyle name="20% - Accent4 7" xfId="312"/>
    <cellStyle name="20% - Accent4 8" xfId="353"/>
    <cellStyle name="20% - Accent4 9" xfId="389"/>
    <cellStyle name="20% - Accent5 10" xfId="434"/>
    <cellStyle name="20% - Accent5 2" xfId="7"/>
    <cellStyle name="20% - Accent5 3" xfId="107"/>
    <cellStyle name="20% - Accent5 4" xfId="191"/>
    <cellStyle name="20% - Accent5 5" xfId="232"/>
    <cellStyle name="20% - Accent5 6" xfId="271"/>
    <cellStyle name="20% - Accent5 7" xfId="311"/>
    <cellStyle name="20% - Accent5 8" xfId="352"/>
    <cellStyle name="20% - Accent5 9" xfId="388"/>
    <cellStyle name="20% - Accent6 10" xfId="433"/>
    <cellStyle name="20% - Accent6 2" xfId="8"/>
    <cellStyle name="20% - Accent6 3" xfId="108"/>
    <cellStyle name="20% - Accent6 4" xfId="190"/>
    <cellStyle name="20% - Accent6 5" xfId="231"/>
    <cellStyle name="20% - Accent6 6" xfId="270"/>
    <cellStyle name="20% - Accent6 7" xfId="310"/>
    <cellStyle name="20% - Accent6 8" xfId="351"/>
    <cellStyle name="20% - Accent6 9" xfId="387"/>
    <cellStyle name="40% - Accent1 10" xfId="432"/>
    <cellStyle name="40% - Accent1 2" xfId="9"/>
    <cellStyle name="40% - Accent1 3" xfId="109"/>
    <cellStyle name="40% - Accent1 4" xfId="189"/>
    <cellStyle name="40% - Accent1 5" xfId="230"/>
    <cellStyle name="40% - Accent1 6" xfId="269"/>
    <cellStyle name="40% - Accent1 7" xfId="309"/>
    <cellStyle name="40% - Accent1 8" xfId="350"/>
    <cellStyle name="40% - Accent1 9" xfId="386"/>
    <cellStyle name="40% - Accent2 10" xfId="430"/>
    <cellStyle name="40% - Accent2 2" xfId="10"/>
    <cellStyle name="40% - Accent2 3" xfId="110"/>
    <cellStyle name="40% - Accent2 4" xfId="188"/>
    <cellStyle name="40% - Accent2 5" xfId="229"/>
    <cellStyle name="40% - Accent2 6" xfId="268"/>
    <cellStyle name="40% - Accent2 7" xfId="308"/>
    <cellStyle name="40% - Accent2 8" xfId="349"/>
    <cellStyle name="40% - Accent2 9" xfId="385"/>
    <cellStyle name="40% - Accent3 10" xfId="429"/>
    <cellStyle name="40% - Accent3 2" xfId="11"/>
    <cellStyle name="40% - Accent3 3" xfId="111"/>
    <cellStyle name="40% - Accent3 4" xfId="187"/>
    <cellStyle name="40% - Accent3 5" xfId="228"/>
    <cellStyle name="40% - Accent3 6" xfId="267"/>
    <cellStyle name="40% - Accent3 7" xfId="307"/>
    <cellStyle name="40% - Accent3 8" xfId="348"/>
    <cellStyle name="40% - Accent3 9" xfId="384"/>
    <cellStyle name="40% - Accent4 10" xfId="428"/>
    <cellStyle name="40% - Accent4 2" xfId="12"/>
    <cellStyle name="40% - Accent4 3" xfId="112"/>
    <cellStyle name="40% - Accent4 4" xfId="186"/>
    <cellStyle name="40% - Accent4 5" xfId="227"/>
    <cellStyle name="40% - Accent4 6" xfId="266"/>
    <cellStyle name="40% - Accent4 7" xfId="306"/>
    <cellStyle name="40% - Accent4 8" xfId="347"/>
    <cellStyle name="40% - Accent4 9" xfId="383"/>
    <cellStyle name="40% - Accent5 10" xfId="427"/>
    <cellStyle name="40% - Accent5 2" xfId="13"/>
    <cellStyle name="40% - Accent5 3" xfId="113"/>
    <cellStyle name="40% - Accent5 4" xfId="185"/>
    <cellStyle name="40% - Accent5 5" xfId="226"/>
    <cellStyle name="40% - Accent5 6" xfId="265"/>
    <cellStyle name="40% - Accent5 7" xfId="305"/>
    <cellStyle name="40% - Accent5 8" xfId="346"/>
    <cellStyle name="40% - Accent5 9" xfId="382"/>
    <cellStyle name="40% - Accent6 10" xfId="426"/>
    <cellStyle name="40% - Accent6 2" xfId="14"/>
    <cellStyle name="40% - Accent6 3" xfId="114"/>
    <cellStyle name="40% - Accent6 4" xfId="184"/>
    <cellStyle name="40% - Accent6 5" xfId="225"/>
    <cellStyle name="40% - Accent6 6" xfId="264"/>
    <cellStyle name="40% - Accent6 7" xfId="304"/>
    <cellStyle name="40% - Accent6 8" xfId="345"/>
    <cellStyle name="40% - Accent6 9" xfId="381"/>
    <cellStyle name="60% - Accent1 10" xfId="425"/>
    <cellStyle name="60% - Accent1 2" xfId="15"/>
    <cellStyle name="60% - Accent1 3" xfId="115"/>
    <cellStyle name="60% - Accent1 4" xfId="183"/>
    <cellStyle name="60% - Accent1 5" xfId="224"/>
    <cellStyle name="60% - Accent1 6" xfId="263"/>
    <cellStyle name="60% - Accent1 7" xfId="302"/>
    <cellStyle name="60% - Accent1 8" xfId="344"/>
    <cellStyle name="60% - Accent1 9" xfId="380"/>
    <cellStyle name="60% - Accent2 10" xfId="424"/>
    <cellStyle name="60% - Accent2 2" xfId="16"/>
    <cellStyle name="60% - Accent2 3" xfId="116"/>
    <cellStyle name="60% - Accent2 4" xfId="182"/>
    <cellStyle name="60% - Accent2 5" xfId="223"/>
    <cellStyle name="60% - Accent2 6" xfId="262"/>
    <cellStyle name="60% - Accent2 7" xfId="301"/>
    <cellStyle name="60% - Accent2 8" xfId="343"/>
    <cellStyle name="60% - Accent2 9" xfId="379"/>
    <cellStyle name="60% - Accent3 10" xfId="423"/>
    <cellStyle name="60% - Accent3 2" xfId="17"/>
    <cellStyle name="60% - Accent3 3" xfId="117"/>
    <cellStyle name="60% - Accent3 4" xfId="181"/>
    <cellStyle name="60% - Accent3 5" xfId="222"/>
    <cellStyle name="60% - Accent3 6" xfId="261"/>
    <cellStyle name="60% - Accent3 7" xfId="300"/>
    <cellStyle name="60% - Accent3 8" xfId="342"/>
    <cellStyle name="60% - Accent3 9" xfId="378"/>
    <cellStyle name="60% - Accent4 10" xfId="422"/>
    <cellStyle name="60% - Accent4 2" xfId="18"/>
    <cellStyle name="60% - Accent4 3" xfId="118"/>
    <cellStyle name="60% - Accent4 4" xfId="180"/>
    <cellStyle name="60% - Accent4 5" xfId="221"/>
    <cellStyle name="60% - Accent4 6" xfId="260"/>
    <cellStyle name="60% - Accent4 7" xfId="299"/>
    <cellStyle name="60% - Accent4 8" xfId="341"/>
    <cellStyle name="60% - Accent4 9" xfId="377"/>
    <cellStyle name="60% - Accent5 10" xfId="421"/>
    <cellStyle name="60% - Accent5 2" xfId="19"/>
    <cellStyle name="60% - Accent5 3" xfId="119"/>
    <cellStyle name="60% - Accent5 4" xfId="179"/>
    <cellStyle name="60% - Accent5 5" xfId="220"/>
    <cellStyle name="60% - Accent5 6" xfId="259"/>
    <cellStyle name="60% - Accent5 7" xfId="298"/>
    <cellStyle name="60% - Accent5 8" xfId="340"/>
    <cellStyle name="60% - Accent5 9" xfId="375"/>
    <cellStyle name="60% - Accent6 10" xfId="420"/>
    <cellStyle name="60% - Accent6 2" xfId="20"/>
    <cellStyle name="60% - Accent6 3" xfId="120"/>
    <cellStyle name="60% - Accent6 4" xfId="178"/>
    <cellStyle name="60% - Accent6 5" xfId="219"/>
    <cellStyle name="60% - Accent6 6" xfId="258"/>
    <cellStyle name="60% - Accent6 7" xfId="297"/>
    <cellStyle name="60% - Accent6 8" xfId="339"/>
    <cellStyle name="60% - Accent6 9" xfId="374"/>
    <cellStyle name="Accent1 10" xfId="419"/>
    <cellStyle name="Accent1 2" xfId="21"/>
    <cellStyle name="Accent1 3" xfId="121"/>
    <cellStyle name="Accent1 4" xfId="177"/>
    <cellStyle name="Accent1 5" xfId="218"/>
    <cellStyle name="Accent1 6" xfId="257"/>
    <cellStyle name="Accent1 7" xfId="296"/>
    <cellStyle name="Accent1 8" xfId="338"/>
    <cellStyle name="Accent1 9" xfId="373"/>
    <cellStyle name="Accent2 10" xfId="418"/>
    <cellStyle name="Accent2 2" xfId="22"/>
    <cellStyle name="Accent2 3" xfId="122"/>
    <cellStyle name="Accent2 4" xfId="176"/>
    <cellStyle name="Accent2 5" xfId="217"/>
    <cellStyle name="Accent2 6" xfId="256"/>
    <cellStyle name="Accent2 7" xfId="294"/>
    <cellStyle name="Accent2 8" xfId="337"/>
    <cellStyle name="Accent2 9" xfId="372"/>
    <cellStyle name="Accent3 10" xfId="417"/>
    <cellStyle name="Accent3 2" xfId="23"/>
    <cellStyle name="Accent3 3" xfId="123"/>
    <cellStyle name="Accent3 4" xfId="175"/>
    <cellStyle name="Accent3 5" xfId="216"/>
    <cellStyle name="Accent3 6" xfId="255"/>
    <cellStyle name="Accent3 7" xfId="293"/>
    <cellStyle name="Accent3 8" xfId="336"/>
    <cellStyle name="Accent3 9" xfId="370"/>
    <cellStyle name="Accent4 10" xfId="415"/>
    <cellStyle name="Accent4 2" xfId="24"/>
    <cellStyle name="Accent4 3" xfId="124"/>
    <cellStyle name="Accent4 4" xfId="174"/>
    <cellStyle name="Accent4 5" xfId="215"/>
    <cellStyle name="Accent4 6" xfId="254"/>
    <cellStyle name="Accent4 7" xfId="292"/>
    <cellStyle name="Accent4 8" xfId="334"/>
    <cellStyle name="Accent4 9" xfId="369"/>
    <cellStyle name="Accent5 10" xfId="414"/>
    <cellStyle name="Accent5 2" xfId="25"/>
    <cellStyle name="Accent5 3" xfId="125"/>
    <cellStyle name="Accent5 4" xfId="172"/>
    <cellStyle name="Accent5 5" xfId="213"/>
    <cellStyle name="Accent5 6" xfId="252"/>
    <cellStyle name="Accent5 7" xfId="291"/>
    <cellStyle name="Accent5 8" xfId="333"/>
    <cellStyle name="Accent5 9" xfId="368"/>
    <cellStyle name="Accent6 10" xfId="413"/>
    <cellStyle name="Accent6 2" xfId="26"/>
    <cellStyle name="Accent6 3" xfId="126"/>
    <cellStyle name="Accent6 4" xfId="171"/>
    <cellStyle name="Accent6 5" xfId="212"/>
    <cellStyle name="Accent6 6" xfId="251"/>
    <cellStyle name="Accent6 7" xfId="289"/>
    <cellStyle name="Accent6 8" xfId="332"/>
    <cellStyle name="Accent6 9" xfId="367"/>
    <cellStyle name="back" xfId="27"/>
    <cellStyle name="back 2" xfId="364"/>
    <cellStyle name="back 2 2" xfId="466"/>
    <cellStyle name="back 3" xfId="412"/>
    <cellStyle name="back 3 2" xfId="475"/>
    <cellStyle name="Bad 10" xfId="410"/>
    <cellStyle name="Bad 2" xfId="28"/>
    <cellStyle name="Bad 3" xfId="128"/>
    <cellStyle name="Bad 4" xfId="169"/>
    <cellStyle name="Bad 5" xfId="210"/>
    <cellStyle name="Bad 6" xfId="249"/>
    <cellStyle name="Bad 7" xfId="287"/>
    <cellStyle name="Bad 8" xfId="329"/>
    <cellStyle name="Bad 9" xfId="363"/>
    <cellStyle name="Button" xfId="29"/>
    <cellStyle name="Calculation 10" xfId="406"/>
    <cellStyle name="Calculation 2" xfId="30"/>
    <cellStyle name="Calculation 3" xfId="130"/>
    <cellStyle name="Calculation 4" xfId="166"/>
    <cellStyle name="Calculation 5" xfId="207"/>
    <cellStyle name="Calculation 6" xfId="246"/>
    <cellStyle name="Calculation 7" xfId="283"/>
    <cellStyle name="Calculation 8" xfId="327"/>
    <cellStyle name="Calculation 9" xfId="362"/>
    <cellStyle name="Check Cell 10" xfId="405"/>
    <cellStyle name="Check Cell 2" xfId="31"/>
    <cellStyle name="Check Cell 3" xfId="131"/>
    <cellStyle name="Check Cell 4" xfId="165"/>
    <cellStyle name="Check Cell 5" xfId="206"/>
    <cellStyle name="Check Cell 6" xfId="245"/>
    <cellStyle name="Check Cell 7" xfId="282"/>
    <cellStyle name="Check Cell 8" xfId="326"/>
    <cellStyle name="Check Cell 9" xfId="316"/>
    <cellStyle name="Comma0" xfId="32"/>
    <cellStyle name="Comma0 2" xfId="288"/>
    <cellStyle name="Comma0 2 2" xfId="465"/>
    <cellStyle name="Comma0 3" xfId="404"/>
    <cellStyle name="Comma0 3 2" xfId="472"/>
    <cellStyle name="Currency0" xfId="33"/>
    <cellStyle name="Currency0 2" xfId="286"/>
    <cellStyle name="Currency0 2 2" xfId="464"/>
    <cellStyle name="Currency0 3" xfId="403"/>
    <cellStyle name="Currency0 3 2" xfId="471"/>
    <cellStyle name="Date" xfId="34"/>
    <cellStyle name="Date 2" xfId="281"/>
    <cellStyle name="Date 2 2" xfId="463"/>
    <cellStyle name="Date 3" xfId="402"/>
    <cellStyle name="Date 3 2" xfId="470"/>
    <cellStyle name="Explanatory Text 10" xfId="401"/>
    <cellStyle name="Explanatory Text 2" xfId="35"/>
    <cellStyle name="Explanatory Text 3" xfId="135"/>
    <cellStyle name="Explanatory Text 4" xfId="159"/>
    <cellStyle name="Explanatory Text 5" xfId="200"/>
    <cellStyle name="Explanatory Text 6" xfId="241"/>
    <cellStyle name="Explanatory Text 7" xfId="208"/>
    <cellStyle name="Explanatory Text 8" xfId="322"/>
    <cellStyle name="Explanatory Text 9" xfId="240"/>
    <cellStyle name="Fixed" xfId="36"/>
    <cellStyle name="Fixed 2" xfId="211"/>
    <cellStyle name="Fixed 2 2" xfId="462"/>
    <cellStyle name="Fixed 3" xfId="400"/>
    <cellStyle name="Fixed 3 2" xfId="469"/>
    <cellStyle name="Good" xfId="483" builtinId="26" customBuiltin="1"/>
    <cellStyle name="Good 10" xfId="399"/>
    <cellStyle name="Good 2" xfId="37"/>
    <cellStyle name="Good 3" xfId="137"/>
    <cellStyle name="Good 4" xfId="158"/>
    <cellStyle name="Good 5" xfId="127"/>
    <cellStyle name="Good 6" xfId="170"/>
    <cellStyle name="Good 7" xfId="202"/>
    <cellStyle name="Good 8" xfId="321"/>
    <cellStyle name="Good 9" xfId="205"/>
    <cellStyle name="Heading 1 10" xfId="398"/>
    <cellStyle name="Heading 1 2" xfId="38"/>
    <cellStyle name="Heading 1 3" xfId="138"/>
    <cellStyle name="Heading 1 4" xfId="157"/>
    <cellStyle name="Heading 1 5" xfId="129"/>
    <cellStyle name="Heading 1 6" xfId="167"/>
    <cellStyle name="Heading 1 7" xfId="201"/>
    <cellStyle name="Heading 1 8" xfId="279"/>
    <cellStyle name="Heading 1 9" xfId="143"/>
    <cellStyle name="Heading 2 10" xfId="357"/>
    <cellStyle name="Heading 2 2" xfId="39"/>
    <cellStyle name="Heading 2 3" xfId="139"/>
    <cellStyle name="Heading 2 4" xfId="156"/>
    <cellStyle name="Heading 2 5" xfId="132"/>
    <cellStyle name="Heading 2 6" xfId="164"/>
    <cellStyle name="Heading 2 7" xfId="102"/>
    <cellStyle name="Heading 2 8" xfId="250"/>
    <cellStyle name="Heading 2 9" xfId="144"/>
    <cellStyle name="Heading 3 10" xfId="331"/>
    <cellStyle name="Heading 3 2" xfId="40"/>
    <cellStyle name="Heading 3 3" xfId="140"/>
    <cellStyle name="Heading 3 4" xfId="155"/>
    <cellStyle name="Heading 3 5" xfId="133"/>
    <cellStyle name="Heading 3 6" xfId="161"/>
    <cellStyle name="Heading 3 7" xfId="136"/>
    <cellStyle name="Heading 3 8" xfId="247"/>
    <cellStyle name="Heading 3 9" xfId="147"/>
    <cellStyle name="Heading 4 10" xfId="328"/>
    <cellStyle name="Heading 4 2" xfId="41"/>
    <cellStyle name="Heading 4 3" xfId="141"/>
    <cellStyle name="Heading 4 4" xfId="154"/>
    <cellStyle name="Heading 4 5" xfId="134"/>
    <cellStyle name="Heading 4 6" xfId="160"/>
    <cellStyle name="Heading 4 7" xfId="142"/>
    <cellStyle name="Heading 4 8" xfId="244"/>
    <cellStyle name="Heading 4 9" xfId="149"/>
    <cellStyle name="InfoDataColumn" xfId="42"/>
    <cellStyle name="InfoDataRow" xfId="43"/>
    <cellStyle name="InfoLabelColumn" xfId="44"/>
    <cellStyle name="InfoLabelRow" xfId="45"/>
    <cellStyle name="InfolDataColumn" xfId="46"/>
    <cellStyle name="InformationalData" xfId="47"/>
    <cellStyle name="InformationalLabel" xfId="48"/>
    <cellStyle name="InformationalLabelTop" xfId="49"/>
    <cellStyle name="Input" xfId="484" builtinId="20" customBuiltin="1"/>
    <cellStyle name="Input 10" xfId="152"/>
    <cellStyle name="Input 2" xfId="50"/>
    <cellStyle name="Input 3" xfId="150"/>
    <cellStyle name="Input 4" xfId="146"/>
    <cellStyle name="Input 5" xfId="151"/>
    <cellStyle name="Input 6" xfId="145"/>
    <cellStyle name="Input 7" xfId="153"/>
    <cellStyle name="Input 8" xfId="148"/>
    <cellStyle name="Input 9" xfId="323"/>
    <cellStyle name="InputData" xfId="51"/>
    <cellStyle name="InputData 2" xfId="453"/>
    <cellStyle name="InputDataColumn" xfId="52"/>
    <cellStyle name="InputDataColumn 2" xfId="454"/>
    <cellStyle name="InputDataRow" xfId="53"/>
    <cellStyle name="InputDataRow 2" xfId="455"/>
    <cellStyle name="InputLabel" xfId="54"/>
    <cellStyle name="InputLabelColumn" xfId="55"/>
    <cellStyle name="InputLabelRow" xfId="56"/>
    <cellStyle name="InputLabelTop" xfId="57"/>
    <cellStyle name="IntermediateData" xfId="58"/>
    <cellStyle name="IntermediateDataColumn" xfId="59"/>
    <cellStyle name="IntermediateDataRow" xfId="60"/>
    <cellStyle name="IntermediateLabel" xfId="61"/>
    <cellStyle name="IntermediateLabelColumn" xfId="62"/>
    <cellStyle name="IntermediateLabelRow" xfId="63"/>
    <cellStyle name="InvalidCell" xfId="64"/>
    <cellStyle name="InvalidCell 2" xfId="456"/>
    <cellStyle name="Linked Cell 10" xfId="444"/>
    <cellStyle name="Linked Cell 2" xfId="65"/>
    <cellStyle name="Linked Cell 3" xfId="162"/>
    <cellStyle name="Linked Cell 4" xfId="203"/>
    <cellStyle name="Linked Cell 5" xfId="242"/>
    <cellStyle name="Linked Cell 6" xfId="284"/>
    <cellStyle name="Linked Cell 7" xfId="324"/>
    <cellStyle name="Linked Cell 8" xfId="365"/>
    <cellStyle name="Linked Cell 9" xfId="407"/>
    <cellStyle name="Neutral 10" xfId="445"/>
    <cellStyle name="Neutral 2" xfId="66"/>
    <cellStyle name="Neutral 3" xfId="163"/>
    <cellStyle name="Neutral 4" xfId="204"/>
    <cellStyle name="Neutral 5" xfId="243"/>
    <cellStyle name="Neutral 6" xfId="285"/>
    <cellStyle name="Neutral 7" xfId="325"/>
    <cellStyle name="Neutral 8" xfId="366"/>
    <cellStyle name="Neutral 9" xfId="408"/>
    <cellStyle name="NewSheet" xfId="67"/>
    <cellStyle name="NewSheet 2" xfId="409"/>
    <cellStyle name="NewSheet 2 2" xfId="473"/>
    <cellStyle name="NewSheet 3" xfId="446"/>
    <cellStyle name="NewSheet 3 2" xfId="479"/>
    <cellStyle name="Normal" xfId="0" builtinId="0" customBuiltin="1"/>
    <cellStyle name="Normal - Style1" xfId="68"/>
    <cellStyle name="Normal 10" xfId="443"/>
    <cellStyle name="Normal 10 2" xfId="478"/>
    <cellStyle name="Normal 2" xfId="485"/>
    <cellStyle name="Normal 4" xfId="199"/>
    <cellStyle name="Normal 6" xfId="280"/>
    <cellStyle name="Normal 7" xfId="317"/>
    <cellStyle name="Normal 8" xfId="361"/>
    <cellStyle name="Normal 9" xfId="394"/>
    <cellStyle name="Normal 9 2" xfId="482"/>
    <cellStyle name="Normal 9 3" xfId="468"/>
    <cellStyle name="Note 10" xfId="447"/>
    <cellStyle name="Note 10 2" xfId="480"/>
    <cellStyle name="Note 2" xfId="69"/>
    <cellStyle name="Note 3" xfId="168"/>
    <cellStyle name="Note 4" xfId="209"/>
    <cellStyle name="Note 5" xfId="248"/>
    <cellStyle name="Note 6" xfId="290"/>
    <cellStyle name="Note 7" xfId="330"/>
    <cellStyle name="Note 8" xfId="371"/>
    <cellStyle name="Note 9" xfId="411"/>
    <cellStyle name="Note 9 2" xfId="474"/>
    <cellStyle name="ObjectDataColumn" xfId="70"/>
    <cellStyle name="ObjectDataRow" xfId="71"/>
    <cellStyle name="ObjectLabelColumn" xfId="72"/>
    <cellStyle name="ObjectLabelRow" xfId="73"/>
    <cellStyle name="Output 10" xfId="448"/>
    <cellStyle name="Output 2" xfId="74"/>
    <cellStyle name="Output 3" xfId="173"/>
    <cellStyle name="Output 4" xfId="214"/>
    <cellStyle name="Output 5" xfId="253"/>
    <cellStyle name="Output 6" xfId="295"/>
    <cellStyle name="Output 7" xfId="335"/>
    <cellStyle name="Output 8" xfId="376"/>
    <cellStyle name="Output 9" xfId="416"/>
    <cellStyle name="OutputData" xfId="75"/>
    <cellStyle name="OutputData 2" xfId="457"/>
    <cellStyle name="OutputDataColumn" xfId="76"/>
    <cellStyle name="OutputDataColumn 2" xfId="458"/>
    <cellStyle name="OutputDataRow" xfId="77"/>
    <cellStyle name="OutputDataRow 2" xfId="459"/>
    <cellStyle name="OutputLabel" xfId="78"/>
    <cellStyle name="OutputLabelColumn" xfId="79"/>
    <cellStyle name="OutputLabelRow" xfId="80"/>
    <cellStyle name="PanelLabel" xfId="81"/>
    <cellStyle name="Percent" xfId="1" builtinId="5"/>
    <cellStyle name="Percent 2" xfId="486"/>
    <cellStyle name="Percent 6" xfId="303"/>
    <cellStyle name="PersonalDataColumn" xfId="82"/>
    <cellStyle name="PersonalDataRow" xfId="83"/>
    <cellStyle name="PersonalLabelColumn" xfId="84"/>
    <cellStyle name="PersonalLabelRow" xfId="85"/>
    <cellStyle name="result" xfId="86"/>
    <cellStyle name="RowHead" xfId="87"/>
    <cellStyle name="spreads" xfId="88"/>
    <cellStyle name="Style 1" xfId="89"/>
    <cellStyle name="Style 1 2" xfId="431"/>
    <cellStyle name="Style 1 2 2" xfId="476"/>
    <cellStyle name="Style 1 3" xfId="449"/>
    <cellStyle name="Style 1 3 2" xfId="481"/>
    <cellStyle name="swaptn" xfId="90"/>
    <cellStyle name="TableDataColumn" xfId="91"/>
    <cellStyle name="TableDataColumn 2" xfId="460"/>
    <cellStyle name="TableDataRow" xfId="92"/>
    <cellStyle name="TableDataRow 2" xfId="461"/>
    <cellStyle name="TableHead" xfId="93"/>
    <cellStyle name="TableLabelColumn" xfId="94"/>
    <cellStyle name="TableLabelRow" xfId="95"/>
    <cellStyle name="TableLabelTop" xfId="96"/>
    <cellStyle name="Title 10" xfId="450"/>
    <cellStyle name="Title 2" xfId="97"/>
    <cellStyle name="Title 3" xfId="196"/>
    <cellStyle name="Title 4" xfId="237"/>
    <cellStyle name="Title 5" xfId="276"/>
    <cellStyle name="Title 6" xfId="318"/>
    <cellStyle name="Title 7" xfId="358"/>
    <cellStyle name="Title 8" xfId="395"/>
    <cellStyle name="Title 9" xfId="439"/>
    <cellStyle name="Total 10" xfId="451"/>
    <cellStyle name="Total 2" xfId="98"/>
    <cellStyle name="Total 3" xfId="197"/>
    <cellStyle name="Total 4" xfId="238"/>
    <cellStyle name="Total 5" xfId="277"/>
    <cellStyle name="Total 6" xfId="319"/>
    <cellStyle name="Total 7" xfId="359"/>
    <cellStyle name="Total 8" xfId="396"/>
    <cellStyle name="Total 9" xfId="440"/>
    <cellStyle name="Warning Text 10" xfId="452"/>
    <cellStyle name="Warning Text 2" xfId="99"/>
    <cellStyle name="Warning Text 3" xfId="198"/>
    <cellStyle name="Warning Text 4" xfId="239"/>
    <cellStyle name="Warning Text 5" xfId="278"/>
    <cellStyle name="Warning Text 6" xfId="320"/>
    <cellStyle name="Warning Text 7" xfId="360"/>
    <cellStyle name="Warning Text 8" xfId="397"/>
    <cellStyle name="Warning Text 9" xfId="441"/>
    <cellStyle name="Working" xfId="487"/>
    <cellStyle name="桁区切り_NewDemo" xfId="100"/>
    <cellStyle name="標準_NewDemo" xfId="101"/>
  </cellStyles>
  <dxfs count="1">
    <dxf>
      <font>
        <b/>
        <i val="0"/>
        <color rgb="FFFF0000"/>
      </font>
    </dxf>
  </dxfs>
  <tableStyles count="0" defaultTableStyle="TableStyleMedium9" defaultPivotStyle="PivotStyleLight16"/>
  <colors>
    <mruColors>
      <color rgb="FFEAEAEA"/>
      <color rgb="FFFF0000"/>
      <color rgb="FF003399"/>
      <color rgb="FF006699"/>
      <color rgb="FFEBF3A3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838199</xdr:colOff>
      <xdr:row>3</xdr:row>
      <xdr:rowOff>133350</xdr:rowOff>
    </xdr:from>
    <xdr:to>
      <xdr:col>6</xdr:col>
      <xdr:colOff>104775</xdr:colOff>
      <xdr:row>6</xdr:row>
      <xdr:rowOff>142875</xdr:rowOff>
    </xdr:to>
    <xdr:sp macro="[0]!Button_Start_Timer" textlink="">
      <xdr:nvSpPr>
        <xdr:cNvPr id="2" name="Rounded Rectangle 1"/>
        <xdr:cNvSpPr/>
      </xdr:nvSpPr>
      <xdr:spPr>
        <a:xfrm>
          <a:off x="6019799" y="619125"/>
          <a:ext cx="771526" cy="4953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000"/>
            <a:t>Start</a:t>
          </a:r>
        </a:p>
        <a:p>
          <a:pPr algn="ctr"/>
          <a:r>
            <a:rPr lang="en-AU" sz="1000"/>
            <a:t>Timer</a:t>
          </a:r>
        </a:p>
      </xdr:txBody>
    </xdr:sp>
    <xdr:clientData/>
  </xdr:twoCellAnchor>
  <xdr:twoCellAnchor editAs="oneCell">
    <xdr:from>
      <xdr:col>6</xdr:col>
      <xdr:colOff>447675</xdr:colOff>
      <xdr:row>3</xdr:row>
      <xdr:rowOff>133350</xdr:rowOff>
    </xdr:from>
    <xdr:to>
      <xdr:col>8</xdr:col>
      <xdr:colOff>1</xdr:colOff>
      <xdr:row>6</xdr:row>
      <xdr:rowOff>142875</xdr:rowOff>
    </xdr:to>
    <xdr:sp macro="[0]!Button_Stop_Timer" textlink="">
      <xdr:nvSpPr>
        <xdr:cNvPr id="3" name="Rounded Rectangle 2"/>
        <xdr:cNvSpPr/>
      </xdr:nvSpPr>
      <xdr:spPr>
        <a:xfrm>
          <a:off x="7010400" y="619125"/>
          <a:ext cx="771526" cy="4953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AU" sz="1000"/>
            <a:t>Stop</a:t>
          </a:r>
        </a:p>
        <a:p>
          <a:pPr algn="ctr"/>
          <a:r>
            <a:rPr lang="en-AU" sz="1000"/>
            <a:t>Timer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wapDeskCurve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preads"/>
      <sheetName val="TraderMids"/>
      <sheetName val="SuperDerivatives"/>
      <sheetName val="Corporates"/>
      <sheetName val="Retail"/>
      <sheetName val="LPM"/>
      <sheetName val="3Y+10Y BF"/>
      <sheetName val="Swaption"/>
      <sheetName val="ICAP Swaption"/>
      <sheetName val="CapFloor"/>
      <sheetName val="MarketDataAUD"/>
    </sheetNames>
    <definedNames>
      <definedName name="AUD1v3names" refersTo="='TraderMids'!$R$39:$R$59"/>
      <definedName name="AUD1v3rates" refersTo="='TraderMids'!$S$39:$S$59"/>
      <definedName name="AUD3v6names" refersTo="='TraderMids'!$N$39:$N$59"/>
      <definedName name="AUD3v6rates" refersTo="='TraderMids'!$O$39:$O$59"/>
      <definedName name="AUDcurveNames" refersTo="='TraderMids'!$N$8:$N$33"/>
      <definedName name="AUDcurveRates" refersTo="='TraderMids'!$P$8:$P$33"/>
      <definedName name="BlackVols1" refersTo="='CapFloor'!$H$13:$H$23"/>
      <definedName name="BlackVolSurface" refersTo="='Swaption'!$B$52:$K$62"/>
      <definedName name="Expiries" refersTo="='CapFloor'!$D$9:$D$12"/>
      <definedName name="Expiries1" refersTo="='CapFloor'!$B$13:$B$23"/>
      <definedName name="Expiries2" refersTo="='CapFloor'!$D$14:$D$23"/>
      <definedName name="FuturesNames" refersTo="='LPM'!$J$10:$J$11"/>
      <definedName name="Names" refersTo="='LPM'!$J$6:$J$30"/>
      <definedName name="PPDs" refersTo="='CapFloor'!$E$9:$E$12"/>
      <definedName name="PPDs2" refersTo="='CapFloor'!$E$14:$E$23"/>
      <definedName name="PPDsurface" refersTo="='Swaption'!$B$66:$K$76"/>
      <definedName name="QtlyCapletVols" refersTo="='CapFloor'!$S$15:$S$134"/>
      <definedName name="QtlyDates" refersTo="='CapFloor'!$N$15:$N$134"/>
      <definedName name="Rates" refersTo="='LPM'!$L$6:$L$30"/>
      <definedName name="SwapRates1" refersTo="='CapFloor'!$G$13:$G$23"/>
      <definedName name="YTTpay" refersTo="='3Y+10Y BF'!$C$6:$C$7"/>
      <definedName name="YTTrec" refersTo="='3Y+10Y BF'!$F$6:$F$7"/>
    </definedNames>
    <sheetDataSet>
      <sheetData sheetId="0">
        <row r="6">
          <cell r="J6" t="str">
            <v>3m1m</v>
          </cell>
          <cell r="L6">
            <v>3</v>
          </cell>
        </row>
        <row r="7">
          <cell r="J7" t="str">
            <v>6m3m</v>
          </cell>
          <cell r="L7">
            <v>0</v>
          </cell>
        </row>
        <row r="8">
          <cell r="J8" t="str">
            <v>Retail</v>
          </cell>
          <cell r="L8" t="str">
            <v>OFFER</v>
          </cell>
        </row>
        <row r="9">
          <cell r="E9" t="str">
            <v>AUD-IRFuture-IR-M1</v>
          </cell>
          <cell r="J9" t="str">
            <v>3m1m</v>
          </cell>
          <cell r="L9">
            <v>7</v>
          </cell>
        </row>
        <row r="10">
          <cell r="E10" t="str">
            <v>AUD-IRFuture-IR-U1</v>
          </cell>
          <cell r="J10" t="str">
            <v>6m3m</v>
          </cell>
          <cell r="L10">
            <v>0</v>
          </cell>
        </row>
        <row r="11">
          <cell r="E11" t="str">
            <v>AUD-IRFuture-IR-Z1</v>
          </cell>
        </row>
        <row r="12">
          <cell r="E12" t="str">
            <v>AUD-IRFuture-IR-H2</v>
          </cell>
          <cell r="J12" t="str">
            <v>EFP Adjustments</v>
          </cell>
          <cell r="N12" t="str">
            <v>Curve Check</v>
          </cell>
        </row>
        <row r="13">
          <cell r="B13" t="str">
            <v>AUD-IRFuture-IR-M2</v>
          </cell>
          <cell r="L13" t="str">
            <v>Overide</v>
          </cell>
          <cell r="P13" t="str">
            <v>Market</v>
          </cell>
        </row>
        <row r="14">
          <cell r="B14" t="str">
            <v>AUD-IRFuture-IR-U2</v>
          </cell>
          <cell r="E14" t="str">
            <v>AUD-IRFuture-IR-U2</v>
          </cell>
          <cell r="J14" t="str">
            <v>3y</v>
          </cell>
          <cell r="N14" t="str">
            <v>3y</v>
          </cell>
          <cell r="P14">
            <v>5.324999999999995E-2</v>
          </cell>
        </row>
        <row r="15">
          <cell r="B15" t="str">
            <v>AUD-IRFuture-IR-Z2</v>
          </cell>
          <cell r="E15" t="str">
            <v>AUD-IRFuture-IR-Z2</v>
          </cell>
          <cell r="J15" t="str">
            <v>4y</v>
          </cell>
          <cell r="N15" t="str">
            <v>4y</v>
          </cell>
          <cell r="P15">
            <v>5.5312499999999945E-2</v>
          </cell>
          <cell r="S15">
            <v>553.12499999999943</v>
          </cell>
        </row>
        <row r="16">
          <cell r="B16" t="str">
            <v>AUD-IRFuture-IR-H3</v>
          </cell>
          <cell r="E16" t="str">
            <v>AUD-IRFuture-IR-H3</v>
          </cell>
          <cell r="J16" t="str">
            <v>5y</v>
          </cell>
          <cell r="N16" t="str">
            <v>5y</v>
          </cell>
          <cell r="P16">
            <v>5.6387499999999945E-2</v>
          </cell>
          <cell r="S16">
            <v>563.87499999999943</v>
          </cell>
        </row>
        <row r="17">
          <cell r="B17" t="str">
            <v>AUD-IRSwap-3Y</v>
          </cell>
          <cell r="E17" t="str">
            <v>AUD-IRSwap-3Y</v>
          </cell>
          <cell r="J17" t="str">
            <v>6y</v>
          </cell>
          <cell r="N17" t="str">
            <v>6y</v>
          </cell>
          <cell r="P17">
            <v>5.732500000000007E-2</v>
          </cell>
          <cell r="S17">
            <v>573.25000000000068</v>
          </cell>
        </row>
        <row r="18">
          <cell r="B18" t="str">
            <v>AUD-IRSwap-4Y</v>
          </cell>
          <cell r="E18" t="str">
            <v>AUD-IRSwap-4Y</v>
          </cell>
          <cell r="J18" t="str">
            <v>7y</v>
          </cell>
          <cell r="N18" t="str">
            <v>7y</v>
          </cell>
          <cell r="P18">
            <v>5.7975000000000068E-2</v>
          </cell>
          <cell r="S18">
            <v>579.75000000000068</v>
          </cell>
        </row>
        <row r="19">
          <cell r="B19" t="str">
            <v>AUD-IRSwap-5Y</v>
          </cell>
          <cell r="E19" t="str">
            <v>AUD-IRSwap-5Y</v>
          </cell>
          <cell r="J19" t="str">
            <v>8y</v>
          </cell>
          <cell r="N19" t="str">
            <v>8y</v>
          </cell>
          <cell r="P19">
            <v>5.8462500000000063E-2</v>
          </cell>
          <cell r="S19">
            <v>584.62500000000068</v>
          </cell>
        </row>
        <row r="20">
          <cell r="B20" t="str">
            <v>AUD-IRSwap-6Y</v>
          </cell>
          <cell r="E20" t="str">
            <v>AUD-IRSwap-6Y</v>
          </cell>
          <cell r="J20" t="str">
            <v>9y</v>
          </cell>
          <cell r="N20" t="str">
            <v>9y</v>
          </cell>
          <cell r="P20">
            <v>5.8787500000000062E-2</v>
          </cell>
          <cell r="S20">
            <v>587.87500000000057</v>
          </cell>
        </row>
        <row r="21">
          <cell r="B21" t="str">
            <v>AUD-IRSwap-7Y</v>
          </cell>
          <cell r="E21" t="str">
            <v>AUD-IRSwap-7Y</v>
          </cell>
          <cell r="J21" t="str">
            <v>10y</v>
          </cell>
          <cell r="N21" t="str">
            <v>10y</v>
          </cell>
          <cell r="P21">
            <v>5.9075000000000072E-2</v>
          </cell>
          <cell r="S21">
            <v>590.75000000000068</v>
          </cell>
        </row>
        <row r="22">
          <cell r="B22" t="str">
            <v>AUD-IRSwap-8Y</v>
          </cell>
          <cell r="E22" t="str">
            <v>AUD-IRSwap-8Y</v>
          </cell>
          <cell r="J22" t="str">
            <v>12y</v>
          </cell>
          <cell r="N22" t="str">
            <v>12y</v>
          </cell>
          <cell r="P22">
            <v>5.9600000000000063E-2</v>
          </cell>
          <cell r="S22">
            <v>596.00000000000068</v>
          </cell>
        </row>
        <row r="23">
          <cell r="B23" t="str">
            <v>AUD-IRSwap-9Y</v>
          </cell>
          <cell r="E23" t="str">
            <v>AUD-IRSwap-9Y</v>
          </cell>
          <cell r="J23" t="str">
            <v>15y</v>
          </cell>
          <cell r="N23" t="str">
            <v>15y</v>
          </cell>
          <cell r="P23">
            <v>5.9900000000000071E-2</v>
          </cell>
          <cell r="S23">
            <v>599.00000000000068</v>
          </cell>
        </row>
        <row r="24">
          <cell r="J24" t="str">
            <v>20y</v>
          </cell>
          <cell r="N24" t="str">
            <v>20y</v>
          </cell>
          <cell r="P24">
            <v>5.8937500000000059E-2</v>
          </cell>
          <cell r="S24">
            <v>589.37500000000057</v>
          </cell>
        </row>
        <row r="25">
          <cell r="J25" t="str">
            <v>25y</v>
          </cell>
          <cell r="N25" t="str">
            <v>25y</v>
          </cell>
          <cell r="P25">
            <v>5.7543750000000067E-2</v>
          </cell>
          <cell r="S25">
            <v>575.43750000000068</v>
          </cell>
        </row>
        <row r="26">
          <cell r="J26" t="str">
            <v>30y</v>
          </cell>
          <cell r="N26" t="str">
            <v>30y</v>
          </cell>
          <cell r="P26">
            <v>5.6125000000000064E-2</v>
          </cell>
          <cell r="S26">
            <v>561.25000000000068</v>
          </cell>
        </row>
        <row r="28">
          <cell r="J28" t="str">
            <v>Futures</v>
          </cell>
        </row>
        <row r="29">
          <cell r="L29" t="str">
            <v>Overide</v>
          </cell>
        </row>
        <row r="30">
          <cell r="J30" t="str">
            <v>3yr</v>
          </cell>
          <cell r="L30">
            <v>0</v>
          </cell>
        </row>
      </sheetData>
      <sheetData sheetId="1">
        <row r="8">
          <cell r="J8" t="str">
            <v>Volatility</v>
          </cell>
          <cell r="N8" t="str">
            <v>AUD-Deposit-1D</v>
          </cell>
          <cell r="P8">
            <v>4.75</v>
          </cell>
        </row>
        <row r="9">
          <cell r="D9">
            <v>4.7500000000000001E-2</v>
          </cell>
          <cell r="E9">
            <v>0</v>
          </cell>
          <cell r="J9" t="str">
            <v>Adjusted</v>
          </cell>
          <cell r="N9" t="str">
            <v>AUD-Deposit-1M</v>
          </cell>
          <cell r="P9">
            <v>4.82</v>
          </cell>
        </row>
        <row r="10">
          <cell r="D10">
            <v>4.82E-2</v>
          </cell>
          <cell r="E10">
            <v>0</v>
          </cell>
          <cell r="J10">
            <v>5.0349999999999964E-2</v>
          </cell>
          <cell r="N10" t="str">
            <v>AUD-Deposit-2M</v>
          </cell>
          <cell r="P10">
            <v>4.91</v>
          </cell>
        </row>
        <row r="11">
          <cell r="D11">
            <v>4.9100000000000005E-2</v>
          </cell>
          <cell r="E11">
            <v>0</v>
          </cell>
          <cell r="J11">
            <v>5.1150000000000091E-2</v>
          </cell>
          <cell r="N11" t="str">
            <v>AUD-Deposit-3M</v>
          </cell>
          <cell r="P11">
            <v>4.99</v>
          </cell>
        </row>
        <row r="12">
          <cell r="D12">
            <v>4.99E-2</v>
          </cell>
          <cell r="E12">
            <v>0</v>
          </cell>
          <cell r="J12">
            <v>5.1845890961000021E-2</v>
          </cell>
          <cell r="N12" t="str">
            <v>AUD-IRFuture-IR-M1</v>
          </cell>
          <cell r="P12">
            <v>5.0349999999999966</v>
          </cell>
        </row>
        <row r="13">
          <cell r="B13" t="str">
            <v>6M</v>
          </cell>
          <cell r="H13">
            <v>4</v>
          </cell>
          <cell r="J13">
            <v>5.2636372572999864E-2</v>
          </cell>
          <cell r="N13" t="str">
            <v>AUD-IRFuture-IR-U1</v>
          </cell>
          <cell r="P13">
            <v>5.1150000000000091</v>
          </cell>
        </row>
        <row r="14">
          <cell r="H14">
            <v>5</v>
          </cell>
          <cell r="J14">
            <v>5.3121337998999978E-2</v>
          </cell>
          <cell r="N14" t="str">
            <v>AUD-IRFuture-IR-Z1</v>
          </cell>
          <cell r="P14">
            <v>5.1845890961000025</v>
          </cell>
        </row>
        <row r="15">
          <cell r="B15" t="str">
            <v>Short Swaps</v>
          </cell>
          <cell r="H15">
            <v>6</v>
          </cell>
          <cell r="J15">
            <v>5.3550739806000135E-2</v>
          </cell>
          <cell r="N15" t="str">
            <v>AUD-IRFuture-IR-H2</v>
          </cell>
          <cell r="P15">
            <v>5.2636372572999868</v>
          </cell>
        </row>
        <row r="16">
          <cell r="H16">
            <v>7</v>
          </cell>
          <cell r="J16">
            <v>5.3922488098000057E-2</v>
          </cell>
          <cell r="N16" t="str">
            <v>AUD-IRFuture-IR-M2</v>
          </cell>
          <cell r="P16">
            <v>5.312133799899998</v>
          </cell>
        </row>
        <row r="17">
          <cell r="B17" t="str">
            <v>Maturity</v>
          </cell>
          <cell r="D17" t="str">
            <v>Adjusted</v>
          </cell>
          <cell r="E17" t="str">
            <v>Spread</v>
          </cell>
          <cell r="H17">
            <v>8</v>
          </cell>
          <cell r="J17">
            <v>5.4190801127000074E-2</v>
          </cell>
          <cell r="N17" t="str">
            <v>AUD-IRFuture-IR-U2</v>
          </cell>
          <cell r="P17">
            <v>5.3550739806000136</v>
          </cell>
        </row>
        <row r="18">
          <cell r="B18" t="str">
            <v>2x1s</v>
          </cell>
          <cell r="D18">
            <v>4.8499999999999995E-2</v>
          </cell>
          <cell r="E18">
            <v>0</v>
          </cell>
          <cell r="N18" t="str">
            <v>AUD-IRFuture-IR-Z2</v>
          </cell>
          <cell r="P18">
            <v>5.3922488098000061</v>
          </cell>
        </row>
        <row r="19">
          <cell r="B19" t="str">
            <v>3x1s</v>
          </cell>
          <cell r="D19">
            <v>4.8900000000000006E-2</v>
          </cell>
          <cell r="E19">
            <v>0</v>
          </cell>
          <cell r="N19" t="str">
            <v>AUD-IRFuture-IR-H3</v>
          </cell>
          <cell r="P19">
            <v>5.4190801127000077</v>
          </cell>
        </row>
        <row r="20">
          <cell r="B20" t="str">
            <v>6x1s</v>
          </cell>
          <cell r="D20">
            <v>4.9700000000000008E-2</v>
          </cell>
          <cell r="E20">
            <v>0</v>
          </cell>
          <cell r="N20" t="str">
            <v>AUD-IRSwap-3Y</v>
          </cell>
          <cell r="P20">
            <v>5.3208333333333258</v>
          </cell>
        </row>
        <row r="21">
          <cell r="N21" t="str">
            <v>AUD-IRSwap-4Y</v>
          </cell>
          <cell r="P21">
            <v>5.4508333333333256</v>
          </cell>
          <cell r="S21">
            <v>-7.75</v>
          </cell>
        </row>
        <row r="22">
          <cell r="B22" t="str">
            <v>Swaps</v>
          </cell>
          <cell r="N22" t="str">
            <v>AUD-IRSwap-5Y</v>
          </cell>
          <cell r="P22">
            <v>5.5641666666666589</v>
          </cell>
          <cell r="S22">
            <v>-7.2499999999999991</v>
          </cell>
        </row>
        <row r="23">
          <cell r="N23" t="str">
            <v>AUD-IRSwap-6Y</v>
          </cell>
          <cell r="P23">
            <v>5.660000000000009</v>
          </cell>
          <cell r="S23">
            <v>-7</v>
          </cell>
        </row>
        <row r="24">
          <cell r="N24" t="str">
            <v>AUD-IRSwap-7Y</v>
          </cell>
          <cell r="P24">
            <v>5.7291666666666758</v>
          </cell>
          <cell r="S24">
            <v>-6.75</v>
          </cell>
        </row>
        <row r="25">
          <cell r="J25" t="str">
            <v>Adjusted</v>
          </cell>
          <cell r="N25" t="str">
            <v>AUD-IRSwap-8Y</v>
          </cell>
          <cell r="P25">
            <v>5.7758333333333418</v>
          </cell>
          <cell r="S25">
            <v>-6.6666666666666661</v>
          </cell>
        </row>
        <row r="26">
          <cell r="J26">
            <v>1.075E-3</v>
          </cell>
          <cell r="N26" t="str">
            <v>AUD-IRSwap-9Y</v>
          </cell>
          <cell r="P26">
            <v>5.8090833333333425</v>
          </cell>
          <cell r="S26">
            <v>-6.5833333333333339</v>
          </cell>
        </row>
        <row r="27">
          <cell r="J27">
            <v>1.1749999999999998E-3</v>
          </cell>
          <cell r="N27" t="str">
            <v>AUD-IRSwap-10Y</v>
          </cell>
          <cell r="P27">
            <v>5.8400000000000087</v>
          </cell>
          <cell r="S27">
            <v>-6.5</v>
          </cell>
        </row>
        <row r="28">
          <cell r="J28">
            <v>1.1999999999999999E-3</v>
          </cell>
          <cell r="N28" t="str">
            <v>AUD-IRSwap-12Y</v>
          </cell>
          <cell r="P28">
            <v>5.8966666666666754</v>
          </cell>
          <cell r="S28">
            <v>-6.0000000000000009</v>
          </cell>
        </row>
        <row r="29">
          <cell r="J29">
            <v>1.1999999999999999E-3</v>
          </cell>
          <cell r="N29" t="str">
            <v>AUD-IRSwap-15Y</v>
          </cell>
          <cell r="P29">
            <v>5.933250000000009</v>
          </cell>
          <cell r="S29">
            <v>-5.25</v>
          </cell>
        </row>
        <row r="30">
          <cell r="J30">
            <v>1.1749999999999998E-3</v>
          </cell>
          <cell r="N30" t="str">
            <v>AUD-IRSwap-20Y</v>
          </cell>
          <cell r="P30">
            <v>5.8465833333333421</v>
          </cell>
          <cell r="S30">
            <v>-4.5</v>
          </cell>
        </row>
        <row r="31">
          <cell r="N31" t="str">
            <v>AUD-IRSwap-25Y</v>
          </cell>
          <cell r="P31">
            <v>5.7120000000000086</v>
          </cell>
          <cell r="S31">
            <v>-4</v>
          </cell>
        </row>
        <row r="32">
          <cell r="N32" t="str">
            <v>AUD-IRSwap-30Y</v>
          </cell>
          <cell r="P32">
            <v>5.5741666666666756</v>
          </cell>
          <cell r="S32">
            <v>-3.75</v>
          </cell>
        </row>
        <row r="33">
          <cell r="N33" t="str">
            <v>AUD-IRSwap-40Y</v>
          </cell>
          <cell r="P33">
            <v>5.3816242169248136</v>
          </cell>
          <cell r="S33">
            <v>-3.0906400087735433</v>
          </cell>
        </row>
        <row r="36">
          <cell r="N36" t="str">
            <v>Basis Curves</v>
          </cell>
        </row>
        <row r="38">
          <cell r="N38" t="str">
            <v>Instrument</v>
          </cell>
          <cell r="S38" t="str">
            <v>QR</v>
          </cell>
        </row>
        <row r="39">
          <cell r="N39" t="str">
            <v>AUD-SpreadDeposit-1D-6M</v>
          </cell>
          <cell r="O39">
            <v>1.0956862068297255E-3</v>
          </cell>
          <cell r="R39" t="str">
            <v>AUD-SpreadDeposit-1D-1M</v>
          </cell>
          <cell r="S39">
            <v>0</v>
          </cell>
        </row>
        <row r="40">
          <cell r="N40" t="str">
            <v>AUD-SpreadDeposit-1M-6M</v>
          </cell>
          <cell r="O40">
            <v>1.0956862068297255E-3</v>
          </cell>
          <cell r="R40" t="str">
            <v>AUD-SpreadDeposit-1M-1M</v>
          </cell>
          <cell r="S40">
            <v>0</v>
          </cell>
        </row>
        <row r="41">
          <cell r="N41" t="str">
            <v>AUD-SpreadDeposit-2M-6M</v>
          </cell>
          <cell r="O41">
            <v>1.0956862068297255E-3</v>
          </cell>
          <cell r="R41" t="str">
            <v>AUD-SpreadDeposit-2M-1M</v>
          </cell>
          <cell r="S41">
            <v>6.0000000000001025E-4</v>
          </cell>
        </row>
        <row r="42">
          <cell r="N42" t="str">
            <v>AUD-SpreadDeposit-3M-6M</v>
          </cell>
          <cell r="O42">
            <v>1.0956862068297255E-3</v>
          </cell>
          <cell r="R42" t="str">
            <v>AUD-SpreadDeposit-3M-1M</v>
          </cell>
          <cell r="S42">
            <v>9.9999999999999395E-4</v>
          </cell>
        </row>
        <row r="43">
          <cell r="N43" t="str">
            <v>AUD-SpreadDeposit-6M-6M</v>
          </cell>
          <cell r="O43">
            <v>1.0956862068297255E-3</v>
          </cell>
          <cell r="R43" t="str">
            <v>AUD-SpreadDeposit-6M-1M</v>
          </cell>
          <cell r="S43">
            <v>1.0043137931702653E-3</v>
          </cell>
        </row>
        <row r="44">
          <cell r="N44" t="str">
            <v>AUD-BasisSwap-1Y-6M</v>
          </cell>
          <cell r="O44">
            <v>8.25E-4</v>
          </cell>
          <cell r="R44" t="str">
            <v>AUD-BasisSwap-1Y-1M</v>
          </cell>
          <cell r="S44">
            <v>1.075E-3</v>
          </cell>
        </row>
        <row r="45">
          <cell r="N45" t="str">
            <v>AUD-BasisSwap-2Y-6M</v>
          </cell>
          <cell r="O45">
            <v>8.0000000000000004E-4</v>
          </cell>
          <cell r="R45" t="str">
            <v>AUD-BasisSwap-2Y-1M</v>
          </cell>
          <cell r="S45">
            <v>1.1749999999999998E-3</v>
          </cell>
        </row>
        <row r="46">
          <cell r="N46" t="str">
            <v>AUD-BasisSwap-3Y-6M</v>
          </cell>
          <cell r="O46">
            <v>7.7499999999999997E-4</v>
          </cell>
          <cell r="R46" t="str">
            <v>AUD-BasisSwap-3Y-1M</v>
          </cell>
          <cell r="S46">
            <v>1.1999999999999999E-3</v>
          </cell>
        </row>
        <row r="47">
          <cell r="N47" t="str">
            <v>AUD-BasisSwap-4Y-6M</v>
          </cell>
          <cell r="O47">
            <v>7.7499999999999997E-4</v>
          </cell>
          <cell r="R47" t="str">
            <v>AUD-BasisSwap-4Y-1M</v>
          </cell>
          <cell r="S47">
            <v>1.1999999999999999E-3</v>
          </cell>
        </row>
        <row r="48">
          <cell r="N48" t="str">
            <v>AUD-BasisSwap-5Y-6M</v>
          </cell>
          <cell r="O48">
            <v>7.2499999999999995E-4</v>
          </cell>
          <cell r="R48" t="str">
            <v>AUD-BasisSwap-5Y-1M</v>
          </cell>
          <cell r="S48">
            <v>1.1749999999999998E-3</v>
          </cell>
        </row>
        <row r="49">
          <cell r="N49" t="str">
            <v>AUD-BasisSwap-6Y-6M</v>
          </cell>
          <cell r="O49">
            <v>6.9999999999999999E-4</v>
          </cell>
          <cell r="R49" t="str">
            <v>AUD-BasisSwap-6Y-1M</v>
          </cell>
          <cell r="S49">
            <v>1.1249999999999999E-3</v>
          </cell>
        </row>
        <row r="50">
          <cell r="N50" t="str">
            <v>AUD-BasisSwap-7Y-6M</v>
          </cell>
          <cell r="O50">
            <v>6.7500000000000004E-4</v>
          </cell>
          <cell r="R50" t="str">
            <v>AUD-BasisSwap-7Y-1M</v>
          </cell>
          <cell r="S50">
            <v>1.075E-3</v>
          </cell>
        </row>
        <row r="51">
          <cell r="N51" t="str">
            <v>AUD-BasisSwap-8Y-6M</v>
          </cell>
          <cell r="O51">
            <v>6.6666666666666664E-4</v>
          </cell>
          <cell r="R51" t="str">
            <v>AUD-BasisSwap-8Y-1M</v>
          </cell>
          <cell r="S51">
            <v>1.0333333333333334E-3</v>
          </cell>
        </row>
        <row r="52">
          <cell r="N52" t="str">
            <v>AUD-BasisSwap-9Y-6M</v>
          </cell>
          <cell r="O52">
            <v>6.5833333333333336E-4</v>
          </cell>
          <cell r="R52" t="str">
            <v>AUD-BasisSwap-9Y-1M</v>
          </cell>
          <cell r="S52">
            <v>9.9166666666666674E-4</v>
          </cell>
        </row>
        <row r="53">
          <cell r="N53" t="str">
            <v>AUD-BasisSwap-10Y-6M</v>
          </cell>
          <cell r="O53">
            <v>6.4999999999999997E-4</v>
          </cell>
          <cell r="R53" t="str">
            <v>AUD-BasisSwap-10Y-1M</v>
          </cell>
          <cell r="S53">
            <v>9.5E-4</v>
          </cell>
        </row>
        <row r="54">
          <cell r="N54" t="str">
            <v>AUD-BasisSwap-12Y-6M</v>
          </cell>
          <cell r="O54">
            <v>6.0000000000000006E-4</v>
          </cell>
          <cell r="R54" t="str">
            <v>AUD-BasisSwap-12Y-1M</v>
          </cell>
          <cell r="S54">
            <v>8.3584377042498484E-4</v>
          </cell>
        </row>
        <row r="55">
          <cell r="N55" t="str">
            <v>AUD-BasisSwap-15Y-6M</v>
          </cell>
          <cell r="O55">
            <v>5.2499999999999997E-4</v>
          </cell>
          <cell r="R55" t="str">
            <v>AUD-BasisSwap-15Y-1M</v>
          </cell>
          <cell r="S55">
            <v>7.2378279390941181E-4</v>
          </cell>
        </row>
        <row r="56">
          <cell r="N56" t="str">
            <v>AUD-BasisSwap-20Y-6M</v>
          </cell>
          <cell r="O56">
            <v>4.4999999999999999E-4</v>
          </cell>
          <cell r="R56" t="str">
            <v>AUD-BasisSwap-20Y-1M</v>
          </cell>
          <cell r="S56">
            <v>6.1406525782605609E-4</v>
          </cell>
        </row>
        <row r="57">
          <cell r="N57" t="str">
            <v>AUD-BasisSwap-25Y-6M</v>
          </cell>
          <cell r="O57">
            <v>4.0000000000000002E-4</v>
          </cell>
          <cell r="R57" t="str">
            <v>AUD-BasisSwap-25Y-1M</v>
          </cell>
          <cell r="S57">
            <v>5.4898809605978321E-4</v>
          </cell>
        </row>
        <row r="58">
          <cell r="N58" t="str">
            <v>AUD-BasisSwap-30Y-6M</v>
          </cell>
          <cell r="O58">
            <v>3.7500000000000001E-4</v>
          </cell>
          <cell r="R58" t="str">
            <v>AUD-BasisSwap-30Y-1M</v>
          </cell>
          <cell r="S58">
            <v>5.0563232834306714E-4</v>
          </cell>
        </row>
        <row r="59">
          <cell r="N59" t="str">
            <v>AUD-BasisSwap-40Y-6M</v>
          </cell>
          <cell r="O59">
            <v>3.0906400087735435E-4</v>
          </cell>
          <cell r="R59" t="str">
            <v>AUD-BasisSwap-40Y-1M</v>
          </cell>
          <cell r="S59">
            <v>4.5189299500261591E-4</v>
          </cell>
        </row>
      </sheetData>
      <sheetData sheetId="2">
        <row r="6">
          <cell r="C6">
            <v>5.0995686206829725E-2</v>
          </cell>
          <cell r="F6" t="str">
            <v>AUD-Deposit-3M</v>
          </cell>
        </row>
        <row r="7">
          <cell r="C7">
            <v>5.1799999999999999E-2</v>
          </cell>
          <cell r="F7" t="str">
            <v>AUD-Deposit-6M</v>
          </cell>
        </row>
        <row r="9">
          <cell r="D9">
            <v>0.08</v>
          </cell>
        </row>
        <row r="10">
          <cell r="D10">
            <v>7.7499999999999999E-2</v>
          </cell>
        </row>
        <row r="11">
          <cell r="D11">
            <v>7.7499999999999999E-2</v>
          </cell>
        </row>
        <row r="12">
          <cell r="D12">
            <v>7.2499999999999995E-2</v>
          </cell>
        </row>
        <row r="13">
          <cell r="B13" t="str">
            <v>AUD-BasisSwap-6Y-6M</v>
          </cell>
          <cell r="G13">
            <v>1.1249999999999999E-3</v>
          </cell>
          <cell r="H13">
            <v>0.11249999999999999</v>
          </cell>
        </row>
        <row r="14">
          <cell r="B14" t="str">
            <v>AUD-BasisSwap-7Y-6M</v>
          </cell>
          <cell r="D14">
            <v>6.7500000000000004E-2</v>
          </cell>
          <cell r="G14">
            <v>1.075E-3</v>
          </cell>
          <cell r="H14">
            <v>0.1075</v>
          </cell>
        </row>
        <row r="15">
          <cell r="B15" t="str">
            <v>AUD-BasisSwap-8Y-6M</v>
          </cell>
          <cell r="D15">
            <v>6.6666666666666666E-2</v>
          </cell>
          <cell r="G15">
            <v>1.0333333333333334E-3</v>
          </cell>
          <cell r="H15">
            <v>0.10333333333333333</v>
          </cell>
        </row>
        <row r="16">
          <cell r="B16" t="str">
            <v>AUD-BasisSwap-9Y-6M</v>
          </cell>
          <cell r="D16">
            <v>6.5833333333333341E-2</v>
          </cell>
          <cell r="G16">
            <v>9.9166666666666674E-4</v>
          </cell>
          <cell r="H16">
            <v>9.9166666666666681E-2</v>
          </cell>
        </row>
        <row r="17">
          <cell r="B17" t="str">
            <v>AUD-BasisSwap-10Y-6M</v>
          </cell>
          <cell r="D17">
            <v>6.5000000000000002E-2</v>
          </cell>
          <cell r="G17">
            <v>9.5E-4</v>
          </cell>
          <cell r="H17">
            <v>9.5000000000000001E-2</v>
          </cell>
        </row>
        <row r="18">
          <cell r="B18" t="str">
            <v>AUD-BasisSwap-12Y-6M</v>
          </cell>
          <cell r="D18">
            <v>6.0000000000000005E-2</v>
          </cell>
          <cell r="G18">
            <v>8.3584377042498484E-4</v>
          </cell>
          <cell r="H18">
            <v>8.3584377042498478E-2</v>
          </cell>
        </row>
        <row r="19">
          <cell r="B19" t="str">
            <v>AUD-BasisSwap-15Y-6M</v>
          </cell>
          <cell r="D19">
            <v>5.2499999999999998E-2</v>
          </cell>
          <cell r="G19">
            <v>7.2378279390941181E-4</v>
          </cell>
          <cell r="H19">
            <v>7.2378279390941186E-2</v>
          </cell>
        </row>
        <row r="20">
          <cell r="B20" t="str">
            <v>AUD-BasisSwap-20Y-6M</v>
          </cell>
          <cell r="D20">
            <v>4.4999999999999998E-2</v>
          </cell>
          <cell r="G20">
            <v>6.1406525782605609E-4</v>
          </cell>
          <cell r="H20">
            <v>6.1406525782605609E-2</v>
          </cell>
        </row>
        <row r="21">
          <cell r="B21" t="str">
            <v>AUD-BasisSwap-25Y-6M</v>
          </cell>
          <cell r="D21">
            <v>0.04</v>
          </cell>
          <cell r="G21">
            <v>5.4898809605978321E-4</v>
          </cell>
          <cell r="H21">
            <v>5.4898809605978323E-2</v>
          </cell>
        </row>
        <row r="22">
          <cell r="B22" t="str">
            <v>AUD-BasisSwap-30Y-6M</v>
          </cell>
          <cell r="D22">
            <v>3.7499999999999999E-2</v>
          </cell>
          <cell r="G22">
            <v>5.0563232834306714E-4</v>
          </cell>
          <cell r="H22">
            <v>5.0563232834306714E-2</v>
          </cell>
        </row>
        <row r="23">
          <cell r="B23" t="str">
            <v>AUD-BasisSwap-40Y-6M</v>
          </cell>
          <cell r="D23">
            <v>3.0906400087735434E-2</v>
          </cell>
          <cell r="G23">
            <v>4.5189299500261591E-4</v>
          </cell>
          <cell r="H23">
            <v>4.5189299500261591E-2</v>
          </cell>
        </row>
      </sheetData>
      <sheetData sheetId="3">
        <row r="6">
          <cell r="C6">
            <v>2</v>
          </cell>
          <cell r="F6">
            <v>-5</v>
          </cell>
          <cell r="J6">
            <v>4.7699999999999999E-2</v>
          </cell>
          <cell r="L6">
            <v>-2</v>
          </cell>
        </row>
        <row r="7">
          <cell r="C7">
            <v>2</v>
          </cell>
          <cell r="F7">
            <v>-5</v>
          </cell>
          <cell r="J7">
            <v>4.8399999999999999E-2</v>
          </cell>
          <cell r="L7">
            <v>-2</v>
          </cell>
        </row>
        <row r="8">
          <cell r="J8">
            <v>4.9300000000000004E-2</v>
          </cell>
          <cell r="L8">
            <v>-2</v>
          </cell>
          <cell r="N8" t="str">
            <v>AUD-SpreadDeposit-2M-6M</v>
          </cell>
          <cell r="P8">
            <v>1.2956862068297255E-3</v>
          </cell>
        </row>
        <row r="9">
          <cell r="D9">
            <v>1.199999999999994E-3</v>
          </cell>
          <cell r="E9">
            <v>4.9999999999999394E-4</v>
          </cell>
          <cell r="J9">
            <v>5.0099999999999999E-2</v>
          </cell>
          <cell r="L9">
            <v>-2</v>
          </cell>
          <cell r="N9" t="str">
            <v>AUD-SpreadDeposit-3M-6M</v>
          </cell>
          <cell r="P9">
            <v>1.2956862068297255E-3</v>
          </cell>
        </row>
        <row r="10">
          <cell r="D10">
            <v>1.2043137931702654E-3</v>
          </cell>
          <cell r="E10">
            <v>5.043137931702653E-4</v>
          </cell>
          <cell r="J10">
            <v>5.0549999999999963E-2</v>
          </cell>
          <cell r="L10">
            <v>-2</v>
          </cell>
          <cell r="N10" t="str">
            <v>AUD-SpreadDeposit-6M-6M</v>
          </cell>
          <cell r="P10">
            <v>1.2956862068297255E-3</v>
          </cell>
        </row>
        <row r="11">
          <cell r="D11">
            <v>1.075E-3</v>
          </cell>
          <cell r="E11">
            <v>1.3749999999999999E-3</v>
          </cell>
          <cell r="J11">
            <v>5.135000000000009E-2</v>
          </cell>
          <cell r="L11">
            <v>-2</v>
          </cell>
          <cell r="N11" t="str">
            <v>AUD-BasisSwap-1Y-6M</v>
          </cell>
          <cell r="P11">
            <v>8.25E-4</v>
          </cell>
        </row>
        <row r="12">
          <cell r="D12">
            <v>1.1749999999999998E-3</v>
          </cell>
          <cell r="E12">
            <v>1.4749999999999997E-3</v>
          </cell>
          <cell r="J12">
            <v>5.204589096100002E-2</v>
          </cell>
          <cell r="L12">
            <v>-2</v>
          </cell>
          <cell r="N12" t="str">
            <v>AUD-BasisSwap-2Y-6M</v>
          </cell>
          <cell r="P12">
            <v>8.0000000000000004E-4</v>
          </cell>
        </row>
        <row r="13">
          <cell r="B13" t="str">
            <v>AUD-BasisSwap-3Y-1M</v>
          </cell>
          <cell r="H13" t="str">
            <v>AUD-IRFuture-IR-H2</v>
          </cell>
          <cell r="J13">
            <v>5.2836372572999862E-2</v>
          </cell>
          <cell r="L13">
            <v>-2</v>
          </cell>
          <cell r="N13" t="str">
            <v>AUD-BasisSwap-3Y-6M</v>
          </cell>
          <cell r="P13">
            <v>7.7499999999999997E-4</v>
          </cell>
        </row>
        <row r="14">
          <cell r="B14" t="str">
            <v>AUD-BasisSwap-4Y-1M</v>
          </cell>
          <cell r="D14">
            <v>1.1999999999999999E-3</v>
          </cell>
          <cell r="E14">
            <v>1.4999999999999998E-3</v>
          </cell>
          <cell r="H14" t="str">
            <v>AUD-IRFuture-IR-M2</v>
          </cell>
          <cell r="J14">
            <v>5.3321337998999976E-2</v>
          </cell>
          <cell r="L14">
            <v>-2</v>
          </cell>
          <cell r="N14" t="str">
            <v>AUD-BasisSwap-4Y-6M</v>
          </cell>
          <cell r="P14">
            <v>4.75E-4</v>
          </cell>
        </row>
        <row r="15">
          <cell r="B15" t="str">
            <v>AUD-BasisSwap-5Y-1M</v>
          </cell>
          <cell r="D15">
            <v>1.1749999999999998E-3</v>
          </cell>
          <cell r="E15">
            <v>1.4749999999999997E-3</v>
          </cell>
          <cell r="H15" t="str">
            <v>AUD-IRFuture-IR-U2</v>
          </cell>
          <cell r="J15">
            <v>5.3750739806000133E-2</v>
          </cell>
          <cell r="L15">
            <v>-2</v>
          </cell>
          <cell r="N15" t="str">
            <v>AUD-BasisSwap-5Y-6M</v>
          </cell>
          <cell r="P15">
            <v>4.2499999999999998E-4</v>
          </cell>
          <cell r="S15">
            <v>0</v>
          </cell>
        </row>
        <row r="16">
          <cell r="B16" t="str">
            <v>AUD-BasisSwap-6Y-1M</v>
          </cell>
          <cell r="D16">
            <v>1.1249999999999999E-3</v>
          </cell>
          <cell r="E16">
            <v>1.4249999999999998E-3</v>
          </cell>
          <cell r="H16" t="str">
            <v>AUD-IRFuture-IR-Z2</v>
          </cell>
          <cell r="J16">
            <v>5.4122488098000056E-2</v>
          </cell>
          <cell r="L16">
            <v>-2</v>
          </cell>
          <cell r="N16" t="str">
            <v>AUD-BasisSwap-6Y-6M</v>
          </cell>
          <cell r="P16">
            <v>4.0000000000000002E-4</v>
          </cell>
          <cell r="S16">
            <v>0</v>
          </cell>
        </row>
        <row r="17">
          <cell r="B17" t="str">
            <v>AUD-BasisSwap-7Y-1M</v>
          </cell>
          <cell r="D17">
            <v>1.075E-3</v>
          </cell>
          <cell r="E17">
            <v>1.3749999999999999E-3</v>
          </cell>
          <cell r="H17" t="str">
            <v>AUD-IRFuture-IR-H3</v>
          </cell>
          <cell r="J17">
            <v>5.4390801127000073E-2</v>
          </cell>
          <cell r="L17">
            <v>-2</v>
          </cell>
          <cell r="N17" t="str">
            <v>AUD-BasisSwap-7Y-6M</v>
          </cell>
          <cell r="P17">
            <v>3.7500000000000006E-4</v>
          </cell>
          <cell r="S17">
            <v>0</v>
          </cell>
        </row>
        <row r="18">
          <cell r="B18" t="str">
            <v>AUD-BasisSwap-8Y-1M</v>
          </cell>
          <cell r="D18">
            <v>1.0333333333333334E-3</v>
          </cell>
          <cell r="E18">
            <v>1.3333333333333333E-3</v>
          </cell>
          <cell r="H18" t="str">
            <v>AUD-IRSwap-3Y</v>
          </cell>
          <cell r="J18">
            <v>5.3408333333333259E-2</v>
          </cell>
          <cell r="L18">
            <v>-2</v>
          </cell>
          <cell r="N18" t="str">
            <v>AUD-BasisSwap-8Y-6M</v>
          </cell>
          <cell r="P18">
            <v>3.6666666666666667E-4</v>
          </cell>
          <cell r="S18">
            <v>0</v>
          </cell>
        </row>
        <row r="19">
          <cell r="B19" t="str">
            <v>AUD-BasisSwap-9Y-1M</v>
          </cell>
          <cell r="D19">
            <v>9.9166666666666674E-4</v>
          </cell>
          <cell r="E19">
            <v>1.2916666666666667E-3</v>
          </cell>
          <cell r="H19" t="str">
            <v>AUD-IRSwap-4Y</v>
          </cell>
          <cell r="J19">
            <v>5.5158333333333254E-2</v>
          </cell>
          <cell r="L19">
            <v>-3.5</v>
          </cell>
          <cell r="N19" t="str">
            <v>AUD-BasisSwap-9Y-6M</v>
          </cell>
          <cell r="P19">
            <v>3.5833333333333339E-4</v>
          </cell>
          <cell r="S19">
            <v>0</v>
          </cell>
        </row>
        <row r="20">
          <cell r="B20" t="str">
            <v>AUD-BasisSwap-10Y-1M</v>
          </cell>
          <cell r="D20">
            <v>9.5E-4</v>
          </cell>
          <cell r="E20">
            <v>1.25E-3</v>
          </cell>
          <cell r="H20" t="str">
            <v>AUD-IRSwap-5Y</v>
          </cell>
          <cell r="J20">
            <v>5.6291666666666587E-2</v>
          </cell>
          <cell r="L20">
            <v>-3.5</v>
          </cell>
          <cell r="N20" t="str">
            <v>AUD-BasisSwap-10Y-6M</v>
          </cell>
          <cell r="P20">
            <v>3.5E-4</v>
          </cell>
          <cell r="S20">
            <v>0</v>
          </cell>
        </row>
        <row r="21">
          <cell r="B21" t="str">
            <v>AUD-BasisSwap-12Y-1M</v>
          </cell>
          <cell r="D21">
            <v>8.3584377042498484E-4</v>
          </cell>
          <cell r="E21">
            <v>1.1358437704249848E-3</v>
          </cell>
          <cell r="H21" t="str">
            <v>AUD-IRSwap-6Y</v>
          </cell>
          <cell r="J21">
            <v>5.7250000000000092E-2</v>
          </cell>
          <cell r="L21">
            <v>-3.5</v>
          </cell>
          <cell r="N21" t="str">
            <v>AUD-BasisSwap-12Y-6M</v>
          </cell>
          <cell r="P21">
            <v>3.0000000000000008E-4</v>
          </cell>
          <cell r="S21">
            <v>0</v>
          </cell>
        </row>
        <row r="22">
          <cell r="B22" t="str">
            <v>AUD-BasisSwap-15Y-1M</v>
          </cell>
          <cell r="D22">
            <v>7.2378279390941181E-4</v>
          </cell>
          <cell r="E22">
            <v>1.0237827939094117E-3</v>
          </cell>
          <cell r="H22" t="str">
            <v>AUD-IRSwap-7Y</v>
          </cell>
          <cell r="J22">
            <v>5.7941666666666752E-2</v>
          </cell>
          <cell r="L22">
            <v>-3.5</v>
          </cell>
          <cell r="N22" t="str">
            <v>AUD-BasisSwap-15Y-6M</v>
          </cell>
          <cell r="P22">
            <v>2.2499999999999999E-4</v>
          </cell>
          <cell r="S22">
            <v>0</v>
          </cell>
        </row>
        <row r="23">
          <cell r="B23" t="str">
            <v>AUD-BasisSwap-20Y-1M</v>
          </cell>
          <cell r="D23">
            <v>6.1406525782605609E-4</v>
          </cell>
          <cell r="E23">
            <v>9.1406525782605601E-4</v>
          </cell>
          <cell r="H23" t="str">
            <v>AUD-IRSwap-8Y</v>
          </cell>
          <cell r="J23">
            <v>5.8408333333333416E-2</v>
          </cell>
          <cell r="L23">
            <v>-3.5</v>
          </cell>
          <cell r="N23" t="str">
            <v>AUD-BasisSwap-20Y-6M</v>
          </cell>
          <cell r="P23">
            <v>1.5000000000000001E-4</v>
          </cell>
          <cell r="S23">
            <v>0</v>
          </cell>
        </row>
        <row r="24">
          <cell r="J24">
            <v>5.8740833333333423E-2</v>
          </cell>
          <cell r="L24">
            <v>-3.5</v>
          </cell>
          <cell r="N24" t="str">
            <v>AUD-BasisSwap-25Y-6M</v>
          </cell>
          <cell r="P24">
            <v>1.0000000000000005E-4</v>
          </cell>
          <cell r="S24">
            <v>0</v>
          </cell>
        </row>
        <row r="25">
          <cell r="J25">
            <v>5.910000000000009E-2</v>
          </cell>
          <cell r="L25">
            <v>-4</v>
          </cell>
          <cell r="N25" t="str">
            <v>AUD-BasisSwap-30Y-6M</v>
          </cell>
          <cell r="P25">
            <v>7.5000000000000034E-5</v>
          </cell>
          <cell r="S25">
            <v>0</v>
          </cell>
        </row>
        <row r="26">
          <cell r="J26">
            <v>5.976666666666676E-2</v>
          </cell>
          <cell r="L26">
            <v>-5</v>
          </cell>
          <cell r="N26" t="str">
            <v>AUD-BasisSwap-40Y-6M</v>
          </cell>
          <cell r="P26">
            <v>9.0640008773543754E-6</v>
          </cell>
          <cell r="S26">
            <v>0</v>
          </cell>
        </row>
        <row r="27">
          <cell r="J27">
            <v>6.0132500000000096E-2</v>
          </cell>
          <cell r="L27">
            <v>-5</v>
          </cell>
          <cell r="S27">
            <v>0</v>
          </cell>
        </row>
        <row r="28">
          <cell r="J28">
            <v>5.926583333333342E-2</v>
          </cell>
          <cell r="L28">
            <v>-5</v>
          </cell>
          <cell r="S28">
            <v>0</v>
          </cell>
        </row>
        <row r="29">
          <cell r="J29">
            <v>5.7920000000000089E-2</v>
          </cell>
          <cell r="L29">
            <v>-5</v>
          </cell>
          <cell r="S29">
            <v>0</v>
          </cell>
        </row>
        <row r="30">
          <cell r="J30">
            <v>5.6541666666666761E-2</v>
          </cell>
          <cell r="L30">
            <v>-5</v>
          </cell>
          <cell r="S30">
            <v>0</v>
          </cell>
        </row>
        <row r="31">
          <cell r="S31">
            <v>0</v>
          </cell>
        </row>
        <row r="32">
          <cell r="S32">
            <v>0</v>
          </cell>
        </row>
        <row r="33">
          <cell r="S33">
            <v>0</v>
          </cell>
        </row>
        <row r="34">
          <cell r="S34">
            <v>0</v>
          </cell>
        </row>
        <row r="35">
          <cell r="S35">
            <v>0</v>
          </cell>
        </row>
        <row r="36">
          <cell r="S36">
            <v>0</v>
          </cell>
        </row>
        <row r="37">
          <cell r="S37">
            <v>0</v>
          </cell>
        </row>
        <row r="38">
          <cell r="S38">
            <v>0</v>
          </cell>
        </row>
        <row r="39">
          <cell r="S39">
            <v>0</v>
          </cell>
        </row>
        <row r="40">
          <cell r="S40">
            <v>0</v>
          </cell>
        </row>
        <row r="41">
          <cell r="S41">
            <v>0</v>
          </cell>
        </row>
        <row r="42">
          <cell r="S42">
            <v>0</v>
          </cell>
        </row>
        <row r="43">
          <cell r="S43">
            <v>0</v>
          </cell>
        </row>
        <row r="44">
          <cell r="S44">
            <v>0</v>
          </cell>
        </row>
        <row r="45">
          <cell r="S45">
            <v>0</v>
          </cell>
        </row>
      </sheetData>
      <sheetData sheetId="4">
        <row r="6">
          <cell r="C6">
            <v>2.5</v>
          </cell>
          <cell r="F6">
            <v>-9.5</v>
          </cell>
          <cell r="J6">
            <v>4.7750000000000001E-2</v>
          </cell>
          <cell r="L6">
            <v>-2.5</v>
          </cell>
        </row>
        <row r="7">
          <cell r="C7">
            <v>2.5</v>
          </cell>
          <cell r="F7">
            <v>-9.5</v>
          </cell>
          <cell r="J7">
            <v>4.845E-2</v>
          </cell>
          <cell r="L7">
            <v>-2.5</v>
          </cell>
        </row>
        <row r="8">
          <cell r="J8">
            <v>4.9350000000000005E-2</v>
          </cell>
          <cell r="L8">
            <v>-2.5</v>
          </cell>
          <cell r="N8" t="str">
            <v>AUD-SpreadDeposit-2M-6M</v>
          </cell>
          <cell r="P8">
            <v>1.3456862068297255E-3</v>
          </cell>
        </row>
        <row r="9">
          <cell r="D9">
            <v>1.249999999999994E-3</v>
          </cell>
          <cell r="E9">
            <v>4.9999999999993951E-5</v>
          </cell>
          <cell r="J9">
            <v>5.015E-2</v>
          </cell>
          <cell r="L9">
            <v>-2.5</v>
          </cell>
          <cell r="N9" t="str">
            <v>AUD-SpreadDeposit-3M-6M</v>
          </cell>
          <cell r="P9">
            <v>1.3456862068297255E-3</v>
          </cell>
        </row>
        <row r="10">
          <cell r="D10">
            <v>1.2543137931702653E-3</v>
          </cell>
          <cell r="E10">
            <v>5.4313793170265314E-5</v>
          </cell>
          <cell r="J10">
            <v>5.0599999999999964E-2</v>
          </cell>
          <cell r="L10">
            <v>-2.5</v>
          </cell>
          <cell r="N10" t="str">
            <v>AUD-SpreadDeposit-6M-6M</v>
          </cell>
          <cell r="P10">
            <v>1.3456862068297255E-3</v>
          </cell>
        </row>
        <row r="11">
          <cell r="D11">
            <v>1.075E-3</v>
          </cell>
          <cell r="E11">
            <v>1.7750000000000001E-3</v>
          </cell>
          <cell r="J11">
            <v>5.1400000000000091E-2</v>
          </cell>
          <cell r="L11">
            <v>-2.5</v>
          </cell>
          <cell r="N11" t="str">
            <v>AUD-BasisSwap-1Y-6M</v>
          </cell>
          <cell r="P11">
            <v>8.25E-4</v>
          </cell>
        </row>
        <row r="12">
          <cell r="D12">
            <v>1.1749999999999998E-3</v>
          </cell>
          <cell r="E12">
            <v>1.8749999999999999E-3</v>
          </cell>
          <cell r="J12">
            <v>5.2095890961000021E-2</v>
          </cell>
          <cell r="L12">
            <v>-2.5</v>
          </cell>
          <cell r="N12" t="str">
            <v>AUD-BasisSwap-2Y-6M</v>
          </cell>
          <cell r="P12">
            <v>8.0000000000000004E-4</v>
          </cell>
        </row>
        <row r="13">
          <cell r="B13" t="str">
            <v>AUD-BasisSwap-3Y-1M</v>
          </cell>
          <cell r="H13" t="str">
            <v>AUD-IRFuture-IR-H2</v>
          </cell>
          <cell r="J13">
            <v>5.2886372572999864E-2</v>
          </cell>
          <cell r="L13">
            <v>-2.5</v>
          </cell>
          <cell r="N13" t="str">
            <v>AUD-BasisSwap-3Y-6M</v>
          </cell>
          <cell r="P13">
            <v>7.7499999999999997E-4</v>
          </cell>
        </row>
        <row r="14">
          <cell r="B14" t="str">
            <v>AUD-BasisSwap-4Y-1M</v>
          </cell>
          <cell r="D14">
            <v>1.1999999999999999E-3</v>
          </cell>
          <cell r="E14">
            <v>1.8999999999999998E-3</v>
          </cell>
          <cell r="H14" t="str">
            <v>AUD-IRFuture-IR-M2</v>
          </cell>
          <cell r="J14">
            <v>5.3371337998999978E-2</v>
          </cell>
          <cell r="L14">
            <v>-2.5</v>
          </cell>
          <cell r="N14" t="str">
            <v>AUD-BasisSwap-4Y-6M</v>
          </cell>
          <cell r="P14">
            <v>3.7499999999999995E-4</v>
          </cell>
        </row>
        <row r="15">
          <cell r="B15" t="str">
            <v>AUD-BasisSwap-5Y-1M</v>
          </cell>
          <cell r="D15">
            <v>1.1749999999999998E-3</v>
          </cell>
          <cell r="E15">
            <v>1.8749999999999999E-3</v>
          </cell>
          <cell r="H15" t="str">
            <v>AUD-IRFuture-IR-U2</v>
          </cell>
          <cell r="J15">
            <v>5.3800739806000135E-2</v>
          </cell>
          <cell r="L15">
            <v>-2.5</v>
          </cell>
          <cell r="N15" t="str">
            <v>AUD-BasisSwap-5Y-6M</v>
          </cell>
          <cell r="P15">
            <v>3.2499999999999993E-4</v>
          </cell>
          <cell r="S15">
            <v>0</v>
          </cell>
        </row>
        <row r="16">
          <cell r="B16" t="str">
            <v>AUD-BasisSwap-6Y-1M</v>
          </cell>
          <cell r="D16">
            <v>1.1249999999999999E-3</v>
          </cell>
          <cell r="E16">
            <v>1.8249999999999998E-3</v>
          </cell>
          <cell r="H16" t="str">
            <v>AUD-IRFuture-IR-Z2</v>
          </cell>
          <cell r="J16">
            <v>5.4172488098000057E-2</v>
          </cell>
          <cell r="L16">
            <v>-2.5</v>
          </cell>
          <cell r="N16" t="str">
            <v>AUD-BasisSwap-6Y-6M</v>
          </cell>
          <cell r="P16">
            <v>2.9999999999999997E-4</v>
          </cell>
          <cell r="S16">
            <v>0</v>
          </cell>
        </row>
        <row r="17">
          <cell r="B17" t="str">
            <v>AUD-BasisSwap-7Y-1M</v>
          </cell>
          <cell r="D17">
            <v>1.075E-3</v>
          </cell>
          <cell r="E17">
            <v>1.7750000000000001E-3</v>
          </cell>
          <cell r="H17" t="str">
            <v>AUD-IRFuture-IR-H3</v>
          </cell>
          <cell r="J17">
            <v>5.4440801127000074E-2</v>
          </cell>
          <cell r="L17">
            <v>-2.5</v>
          </cell>
          <cell r="N17" t="str">
            <v>AUD-BasisSwap-7Y-6M</v>
          </cell>
          <cell r="P17">
            <v>2.7500000000000002E-4</v>
          </cell>
          <cell r="S17">
            <v>0</v>
          </cell>
        </row>
        <row r="18">
          <cell r="B18" t="str">
            <v>AUD-BasisSwap-8Y-1M</v>
          </cell>
          <cell r="D18">
            <v>1.0333333333333334E-3</v>
          </cell>
          <cell r="E18">
            <v>1.7333333333333333E-3</v>
          </cell>
          <cell r="H18" t="str">
            <v>AUD-IRSwap-3Y</v>
          </cell>
          <cell r="J18">
            <v>5.3608333333333258E-2</v>
          </cell>
          <cell r="L18">
            <v>-4</v>
          </cell>
          <cell r="N18" t="str">
            <v>AUD-BasisSwap-8Y-6M</v>
          </cell>
          <cell r="P18">
            <v>2.6666666666666663E-4</v>
          </cell>
          <cell r="S18">
            <v>0</v>
          </cell>
        </row>
        <row r="19">
          <cell r="B19" t="str">
            <v>AUD-BasisSwap-9Y-1M</v>
          </cell>
          <cell r="D19">
            <v>9.9166666666666674E-4</v>
          </cell>
          <cell r="E19">
            <v>1.6916666666666668E-3</v>
          </cell>
          <cell r="H19" t="str">
            <v>AUD-IRSwap-4Y</v>
          </cell>
          <cell r="J19">
            <v>5.5308333333333258E-2</v>
          </cell>
          <cell r="L19">
            <v>-4</v>
          </cell>
          <cell r="N19" t="str">
            <v>AUD-BasisSwap-9Y-6M</v>
          </cell>
          <cell r="P19">
            <v>2.5833333333333334E-4</v>
          </cell>
          <cell r="S19">
            <v>0</v>
          </cell>
        </row>
        <row r="20">
          <cell r="B20" t="str">
            <v>AUD-BasisSwap-10Y-1M</v>
          </cell>
          <cell r="D20">
            <v>9.5E-4</v>
          </cell>
          <cell r="E20">
            <v>1.65E-3</v>
          </cell>
          <cell r="H20" t="str">
            <v>AUD-IRSwap-5Y</v>
          </cell>
          <cell r="J20">
            <v>5.6441666666666591E-2</v>
          </cell>
          <cell r="L20">
            <v>-4</v>
          </cell>
          <cell r="N20" t="str">
            <v>AUD-BasisSwap-10Y-6M</v>
          </cell>
          <cell r="P20">
            <v>2.4999999999999995E-4</v>
          </cell>
          <cell r="S20">
            <v>0</v>
          </cell>
        </row>
        <row r="21">
          <cell r="B21" t="str">
            <v>AUD-BasisSwap-12Y-1M</v>
          </cell>
          <cell r="D21">
            <v>8.3584377042498484E-4</v>
          </cell>
          <cell r="E21">
            <v>1.5358437704249849E-3</v>
          </cell>
          <cell r="H21" t="str">
            <v>AUD-IRSwap-6Y</v>
          </cell>
          <cell r="J21">
            <v>5.7400000000000097E-2</v>
          </cell>
          <cell r="L21">
            <v>-4</v>
          </cell>
          <cell r="N21" t="str">
            <v>AUD-BasisSwap-12Y-6M</v>
          </cell>
          <cell r="P21">
            <v>2.0000000000000004E-4</v>
          </cell>
          <cell r="S21">
            <v>0</v>
          </cell>
        </row>
        <row r="22">
          <cell r="B22" t="str">
            <v>AUD-BasisSwap-15Y-1M</v>
          </cell>
          <cell r="D22">
            <v>7.2378279390941181E-4</v>
          </cell>
          <cell r="E22">
            <v>1.4237827939094119E-3</v>
          </cell>
          <cell r="H22" t="str">
            <v>AUD-IRSwap-7Y</v>
          </cell>
          <cell r="J22">
            <v>5.8191666666666753E-2</v>
          </cell>
          <cell r="L22">
            <v>-5</v>
          </cell>
          <cell r="N22" t="str">
            <v>AUD-BasisSwap-15Y-6M</v>
          </cell>
          <cell r="P22">
            <v>1.2499999999999995E-4</v>
          </cell>
          <cell r="S22">
            <v>0</v>
          </cell>
        </row>
        <row r="23">
          <cell r="B23" t="str">
            <v>AUD-BasisSwap-20Y-1M</v>
          </cell>
          <cell r="D23">
            <v>6.1406525782605609E-4</v>
          </cell>
          <cell r="E23">
            <v>1.3140652578260562E-3</v>
          </cell>
          <cell r="H23" t="str">
            <v>AUD-IRSwap-8Y</v>
          </cell>
          <cell r="J23">
            <v>5.8658333333333416E-2</v>
          </cell>
          <cell r="L23">
            <v>-5</v>
          </cell>
          <cell r="N23" t="str">
            <v>AUD-BasisSwap-20Y-6M</v>
          </cell>
          <cell r="P23">
            <v>4.9999999999999969E-5</v>
          </cell>
          <cell r="S23">
            <v>0</v>
          </cell>
        </row>
        <row r="24">
          <cell r="J24">
            <v>5.8990833333333423E-2</v>
          </cell>
          <cell r="L24">
            <v>-5</v>
          </cell>
          <cell r="N24" t="str">
            <v>AUD-BasisSwap-25Y-6M</v>
          </cell>
          <cell r="P24">
            <v>0</v>
          </cell>
          <cell r="S24">
            <v>0</v>
          </cell>
        </row>
        <row r="25">
          <cell r="J25">
            <v>5.9300000000000089E-2</v>
          </cell>
          <cell r="L25">
            <v>-5</v>
          </cell>
          <cell r="N25" t="str">
            <v>AUD-BasisSwap-30Y-6M</v>
          </cell>
          <cell r="P25">
            <v>-2.5000000000000011E-5</v>
          </cell>
          <cell r="S25">
            <v>0</v>
          </cell>
        </row>
        <row r="26">
          <cell r="J26">
            <v>5.9966666666666758E-2</v>
          </cell>
          <cell r="L26">
            <v>-6</v>
          </cell>
          <cell r="N26" t="str">
            <v>AUD-BasisSwap-40Y-6M</v>
          </cell>
          <cell r="P26">
            <v>-9.093599912264567E-5</v>
          </cell>
          <cell r="S26">
            <v>0</v>
          </cell>
        </row>
        <row r="27">
          <cell r="J27">
            <v>6.043250000000009E-2</v>
          </cell>
          <cell r="L27">
            <v>-7</v>
          </cell>
          <cell r="S27">
            <v>0</v>
          </cell>
        </row>
        <row r="28">
          <cell r="J28">
            <v>5.9865833333333417E-2</v>
          </cell>
          <cell r="L28">
            <v>-10</v>
          </cell>
          <cell r="S28">
            <v>0</v>
          </cell>
        </row>
        <row r="29">
          <cell r="J29">
            <v>5.8520000000000086E-2</v>
          </cell>
          <cell r="L29">
            <v>-10</v>
          </cell>
          <cell r="S29">
            <v>0</v>
          </cell>
        </row>
        <row r="30">
          <cell r="J30">
            <v>5.7141666666666757E-2</v>
          </cell>
          <cell r="L30">
            <v>-10</v>
          </cell>
          <cell r="S30">
            <v>0</v>
          </cell>
        </row>
        <row r="31">
          <cell r="S31">
            <v>0</v>
          </cell>
        </row>
        <row r="32">
          <cell r="S32">
            <v>0</v>
          </cell>
        </row>
        <row r="33">
          <cell r="S33">
            <v>0</v>
          </cell>
        </row>
        <row r="34">
          <cell r="S34">
            <v>0</v>
          </cell>
        </row>
        <row r="35">
          <cell r="S35">
            <v>0</v>
          </cell>
        </row>
        <row r="36">
          <cell r="S36">
            <v>0</v>
          </cell>
        </row>
        <row r="37">
          <cell r="S37">
            <v>0</v>
          </cell>
        </row>
        <row r="38">
          <cell r="S38">
            <v>0</v>
          </cell>
        </row>
        <row r="39">
          <cell r="S39">
            <v>0</v>
          </cell>
        </row>
        <row r="40">
          <cell r="S40">
            <v>0</v>
          </cell>
        </row>
        <row r="41">
          <cell r="S41">
            <v>0</v>
          </cell>
        </row>
        <row r="42">
          <cell r="S42">
            <v>0</v>
          </cell>
        </row>
        <row r="43">
          <cell r="S43">
            <v>0</v>
          </cell>
        </row>
        <row r="44">
          <cell r="S44">
            <v>0</v>
          </cell>
        </row>
        <row r="45">
          <cell r="S45">
            <v>0</v>
          </cell>
        </row>
      </sheetData>
      <sheetData sheetId="5">
        <row r="6">
          <cell r="C6">
            <v>0</v>
          </cell>
          <cell r="F6" t="str">
            <v>AUD-Deposit-1D</v>
          </cell>
          <cell r="J6" t="str">
            <v>AUD-Deposit-1D</v>
          </cell>
          <cell r="L6">
            <v>4.7500000000000001E-2</v>
          </cell>
        </row>
        <row r="7">
          <cell r="C7">
            <v>0</v>
          </cell>
          <cell r="F7" t="str">
            <v>AUD-Deposit-1M</v>
          </cell>
          <cell r="J7" t="str">
            <v>AUD-Deposit-1M</v>
          </cell>
          <cell r="L7">
            <v>4.82E-2</v>
          </cell>
        </row>
        <row r="8">
          <cell r="J8" t="str">
            <v>AUD-Deposit-2M</v>
          </cell>
          <cell r="L8">
            <v>4.9100000000000005E-2</v>
          </cell>
        </row>
        <row r="9">
          <cell r="J9" t="str">
            <v>AUD-Deposit-88D</v>
          </cell>
          <cell r="L9">
            <v>4.99E-2</v>
          </cell>
        </row>
        <row r="10">
          <cell r="D10">
            <v>5.0349999999999964E-2</v>
          </cell>
          <cell r="J10" t="str">
            <v>AUD-IRFuture-IR-M1</v>
          </cell>
          <cell r="L10">
            <v>5.0449999999999967E-2</v>
          </cell>
        </row>
        <row r="11">
          <cell r="D11">
            <v>5.1150000000000091E-2</v>
          </cell>
          <cell r="J11" t="str">
            <v>AUD-IRFuture-IR-U1</v>
          </cell>
          <cell r="L11">
            <v>5.1250000000000094E-2</v>
          </cell>
        </row>
        <row r="12">
          <cell r="D12">
            <v>5.1850000000000021E-2</v>
          </cell>
          <cell r="J12" t="str">
            <v>AUD-IRFuture-IR-Z1</v>
          </cell>
          <cell r="L12">
            <v>5.1950000000000024E-2</v>
          </cell>
        </row>
        <row r="13">
          <cell r="B13" t="str">
            <v>AUD-IRFuture-IR-H2</v>
          </cell>
          <cell r="G13">
            <v>0</v>
          </cell>
          <cell r="H13">
            <v>5.2649999999999864E-2</v>
          </cell>
          <cell r="J13" t="str">
            <v>AUD-IRFuture-IR-H2</v>
          </cell>
          <cell r="L13">
            <v>5.2749999999999866E-2</v>
          </cell>
        </row>
        <row r="14">
          <cell r="B14" t="str">
            <v>AUD-IRFuture-IR-M2</v>
          </cell>
          <cell r="D14">
            <v>5.3149999999999975E-2</v>
          </cell>
          <cell r="G14">
            <v>0</v>
          </cell>
          <cell r="H14">
            <v>5.3149999999999975E-2</v>
          </cell>
          <cell r="J14" t="str">
            <v>AUD-IRFuture-IR-M2</v>
          </cell>
          <cell r="L14">
            <v>5.3249999999999978E-2</v>
          </cell>
        </row>
        <row r="15">
          <cell r="B15" t="str">
            <v>AUD-IRFuture-IR-U2</v>
          </cell>
          <cell r="D15">
            <v>5.3600000000000134E-2</v>
          </cell>
          <cell r="G15">
            <v>0</v>
          </cell>
          <cell r="H15">
            <v>5.3600000000000134E-2</v>
          </cell>
          <cell r="J15" t="str">
            <v>AUD-IRFuture-IR-U2</v>
          </cell>
          <cell r="L15">
            <v>5.3750000000000131E-2</v>
          </cell>
        </row>
        <row r="16">
          <cell r="B16" t="str">
            <v>AUD-IRFuture-IR-Z2</v>
          </cell>
          <cell r="D16">
            <v>5.4000000000000055E-2</v>
          </cell>
          <cell r="G16">
            <v>0</v>
          </cell>
          <cell r="H16">
            <v>5.4000000000000055E-2</v>
          </cell>
          <cell r="J16" t="str">
            <v>AUD-IRFuture-IR-Z2</v>
          </cell>
          <cell r="L16">
            <v>5.4150000000000052E-2</v>
          </cell>
        </row>
        <row r="17">
          <cell r="B17" t="str">
            <v>AUD-IRFuture-IR-H3</v>
          </cell>
          <cell r="D17">
            <v>5.430000000000007E-2</v>
          </cell>
          <cell r="G17">
            <v>0</v>
          </cell>
          <cell r="H17">
            <v>5.430000000000007E-2</v>
          </cell>
          <cell r="J17" t="str">
            <v>AUD-IRFuture-IR-H3</v>
          </cell>
          <cell r="L17">
            <v>5.4449999999999998E-2</v>
          </cell>
        </row>
        <row r="18">
          <cell r="B18" t="str">
            <v>AUD-IRSwap-3Y</v>
          </cell>
          <cell r="D18">
            <v>5.320833333333326E-2</v>
          </cell>
          <cell r="G18">
            <v>0</v>
          </cell>
          <cell r="H18">
            <v>5.320833333333326E-2</v>
          </cell>
          <cell r="J18" t="str">
            <v>AUD-IRSwap-3Y</v>
          </cell>
          <cell r="L18">
            <v>5.3399999999999871E-2</v>
          </cell>
        </row>
        <row r="19">
          <cell r="B19" t="str">
            <v>AUD-IRSwap-4Y</v>
          </cell>
          <cell r="D19">
            <v>5.5283333333333254E-2</v>
          </cell>
          <cell r="G19">
            <v>0</v>
          </cell>
          <cell r="H19">
            <v>5.5283333333333254E-2</v>
          </cell>
          <cell r="J19" t="str">
            <v>AUD-IRSwap-4Y</v>
          </cell>
          <cell r="L19">
            <v>5.5474999999999872E-2</v>
          </cell>
        </row>
        <row r="20">
          <cell r="B20" t="str">
            <v>AUD-IRSwap-5Y</v>
          </cell>
          <cell r="D20">
            <v>5.6366666666666586E-2</v>
          </cell>
          <cell r="G20">
            <v>0</v>
          </cell>
          <cell r="H20">
            <v>5.6366666666666586E-2</v>
          </cell>
          <cell r="J20" t="str">
            <v>AUD-IRSwap-5Y</v>
          </cell>
          <cell r="L20">
            <v>5.659999999999988E-2</v>
          </cell>
        </row>
        <row r="21">
          <cell r="B21" t="str">
            <v>AUD-IRSwap-7Y</v>
          </cell>
          <cell r="D21">
            <v>5.7966666666666757E-2</v>
          </cell>
          <cell r="G21">
            <v>0</v>
          </cell>
          <cell r="H21">
            <v>5.7966666666666757E-2</v>
          </cell>
          <cell r="J21" t="str">
            <v>AUD-IRSwap-7Y</v>
          </cell>
          <cell r="L21">
            <v>5.827500000000007E-2</v>
          </cell>
        </row>
        <row r="22">
          <cell r="B22" t="str">
            <v>AUD-IRSwap-10Y</v>
          </cell>
          <cell r="D22">
            <v>5.9050000000000089E-2</v>
          </cell>
          <cell r="G22">
            <v>0</v>
          </cell>
          <cell r="H22">
            <v>5.9050000000000089E-2</v>
          </cell>
          <cell r="J22" t="str">
            <v>AUD-IRSwap-10Y</v>
          </cell>
          <cell r="L22">
            <v>5.9375000000000074E-2</v>
          </cell>
        </row>
        <row r="23">
          <cell r="B23" t="str">
            <v>AUD-IRSwap-15Y</v>
          </cell>
          <cell r="D23">
            <v>5.9857500000000091E-2</v>
          </cell>
          <cell r="G23">
            <v>0</v>
          </cell>
          <cell r="H23">
            <v>5.9857500000000091E-2</v>
          </cell>
          <cell r="J23" t="str">
            <v>AUD-IRSwap-15Y</v>
          </cell>
          <cell r="L23">
            <v>6.0450000000000073E-2</v>
          </cell>
        </row>
        <row r="24">
          <cell r="J24" t="str">
            <v>AUD-IRSwap-20Y</v>
          </cell>
          <cell r="L24">
            <v>5.9825000000000073E-2</v>
          </cell>
        </row>
        <row r="25">
          <cell r="J25" t="str">
            <v>AUD-IRSwap-25Y</v>
          </cell>
          <cell r="L25">
            <v>5.8425000000000067E-2</v>
          </cell>
        </row>
        <row r="26">
          <cell r="J26" t="str">
            <v>AUD-IRSwap-26Y</v>
          </cell>
          <cell r="L26">
            <v>5.8135000000000076E-2</v>
          </cell>
        </row>
        <row r="27">
          <cell r="J27" t="str">
            <v>AUD-IRSwap-27Y</v>
          </cell>
          <cell r="L27">
            <v>5.7845000000000063E-2</v>
          </cell>
        </row>
        <row r="28">
          <cell r="J28" t="str">
            <v>AUD-IRSwap-28Y</v>
          </cell>
          <cell r="L28">
            <v>5.7555000000000071E-2</v>
          </cell>
        </row>
        <row r="29">
          <cell r="J29" t="str">
            <v>AUD-IRSwap-29Y</v>
          </cell>
          <cell r="L29">
            <v>5.7265000000000073E-2</v>
          </cell>
        </row>
        <row r="30">
          <cell r="J30" t="str">
            <v>AUD-IRSwap-30Y</v>
          </cell>
          <cell r="L30">
            <v>5.6975000000000067E-2</v>
          </cell>
        </row>
      </sheetData>
      <sheetData sheetId="6">
        <row r="6">
          <cell r="C6">
            <v>5.0499999999999969E-2</v>
          </cell>
          <cell r="F6">
            <v>5.0399999999999917E-2</v>
          </cell>
        </row>
        <row r="7">
          <cell r="C7">
            <v>5.3700000000000046E-2</v>
          </cell>
          <cell r="F7">
            <v>5.3650000000000093E-2</v>
          </cell>
        </row>
      </sheetData>
      <sheetData sheetId="7">
        <row r="6">
          <cell r="F6">
            <v>250</v>
          </cell>
        </row>
        <row r="8">
          <cell r="P8" t="str">
            <v>Swap Conv</v>
          </cell>
        </row>
        <row r="9">
          <cell r="D9" t="str">
            <v>2Y</v>
          </cell>
          <cell r="E9" t="str">
            <v>3Y</v>
          </cell>
          <cell r="J9" t="str">
            <v>15Y</v>
          </cell>
          <cell r="N9" t="str">
            <v>Highlander.Market.Curve.RateATMVolatilityMatrix.AUD-IRSwap</v>
          </cell>
          <cell r="P9" t="str">
            <v>DayCount</v>
          </cell>
        </row>
        <row r="10">
          <cell r="D10">
            <v>4.2</v>
          </cell>
          <cell r="E10">
            <v>4.4000000000000004</v>
          </cell>
          <cell r="J10">
            <v>4.3499999999999996</v>
          </cell>
          <cell r="N10" t="str">
            <v>RateATMVolatilityMatrix</v>
          </cell>
        </row>
        <row r="11">
          <cell r="D11">
            <v>4.3</v>
          </cell>
          <cell r="E11">
            <v>4.5</v>
          </cell>
          <cell r="J11">
            <v>4.45</v>
          </cell>
          <cell r="N11">
            <v>40681</v>
          </cell>
        </row>
        <row r="12">
          <cell r="D12">
            <v>4.9000000000000004</v>
          </cell>
          <cell r="E12">
            <v>4.9000000000000004</v>
          </cell>
          <cell r="J12">
            <v>4.7</v>
          </cell>
          <cell r="N12">
            <v>40681</v>
          </cell>
          <cell r="P12" t="str">
            <v>Quarterly Schedule</v>
          </cell>
        </row>
        <row r="13">
          <cell r="B13" t="str">
            <v>6M</v>
          </cell>
          <cell r="G13">
            <v>5.0999999999999996</v>
          </cell>
          <cell r="H13">
            <v>5.05</v>
          </cell>
          <cell r="J13">
            <v>4.9000000000000004</v>
          </cell>
          <cell r="N13" t="str">
            <v>Curve</v>
          </cell>
          <cell r="P13" t="str">
            <v>Out of Spot</v>
          </cell>
        </row>
        <row r="14">
          <cell r="B14" t="str">
            <v>1Y</v>
          </cell>
          <cell r="D14">
            <v>5.7</v>
          </cell>
          <cell r="E14">
            <v>5.7</v>
          </cell>
          <cell r="G14">
            <v>5.5</v>
          </cell>
          <cell r="H14">
            <v>5.35</v>
          </cell>
          <cell r="J14">
            <v>5.2</v>
          </cell>
          <cell r="N14" t="str">
            <v>AUD-IRSwap</v>
          </cell>
          <cell r="P14" t="str">
            <v>Quarters</v>
          </cell>
        </row>
        <row r="15">
          <cell r="B15" t="str">
            <v>2Y</v>
          </cell>
          <cell r="D15">
            <v>6</v>
          </cell>
          <cell r="E15">
            <v>5.85</v>
          </cell>
          <cell r="G15">
            <v>5.6</v>
          </cell>
          <cell r="H15">
            <v>5.45</v>
          </cell>
          <cell r="J15">
            <v>5.2</v>
          </cell>
          <cell r="N15" t="str">
            <v>SydneySwapDesk</v>
          </cell>
          <cell r="P15">
            <v>0</v>
          </cell>
        </row>
        <row r="16">
          <cell r="B16" t="str">
            <v>3Y</v>
          </cell>
          <cell r="D16">
            <v>5.7</v>
          </cell>
          <cell r="E16">
            <v>5.6</v>
          </cell>
          <cell r="G16">
            <v>5.4</v>
          </cell>
          <cell r="H16">
            <v>5.3</v>
          </cell>
          <cell r="J16">
            <v>5.15</v>
          </cell>
          <cell r="N16" t="str">
            <v>AUD-IRSwap-SydneySwapDesk</v>
          </cell>
          <cell r="P16">
            <v>1</v>
          </cell>
          <cell r="S16">
            <v>0.25205479452054796</v>
          </cell>
        </row>
        <row r="17">
          <cell r="B17" t="str">
            <v>5Y</v>
          </cell>
          <cell r="D17">
            <v>5.28</v>
          </cell>
          <cell r="E17">
            <v>5.2</v>
          </cell>
          <cell r="G17">
            <v>5.0999999999999996</v>
          </cell>
          <cell r="H17">
            <v>5.09</v>
          </cell>
          <cell r="J17">
            <v>5.07</v>
          </cell>
          <cell r="N17" t="str">
            <v>RateATMVolatilityMatrix.AUD-IRSwap</v>
          </cell>
          <cell r="P17">
            <v>2</v>
          </cell>
          <cell r="S17">
            <v>0.25753424657534246</v>
          </cell>
        </row>
        <row r="18">
          <cell r="B18" t="str">
            <v>7Y</v>
          </cell>
          <cell r="D18">
            <v>5.15</v>
          </cell>
          <cell r="E18">
            <v>5.0999999999999996</v>
          </cell>
          <cell r="G18">
            <v>5.0999999999999996</v>
          </cell>
          <cell r="H18">
            <v>5.08</v>
          </cell>
          <cell r="J18">
            <v>5.05</v>
          </cell>
          <cell r="N18" t="str">
            <v>Linear</v>
          </cell>
          <cell r="P18">
            <v>3</v>
          </cell>
          <cell r="S18">
            <v>0.24931506849315069</v>
          </cell>
        </row>
        <row r="19">
          <cell r="B19" t="str">
            <v>10Y</v>
          </cell>
          <cell r="D19">
            <v>5.0999999999999996</v>
          </cell>
          <cell r="E19">
            <v>5.05</v>
          </cell>
          <cell r="G19">
            <v>5.05</v>
          </cell>
          <cell r="H19">
            <v>5.05</v>
          </cell>
          <cell r="J19">
            <v>5.05</v>
          </cell>
          <cell r="N19" t="str">
            <v>AUD</v>
          </cell>
          <cell r="P19">
            <v>4</v>
          </cell>
          <cell r="S19">
            <v>0.24931506849315069</v>
          </cell>
        </row>
        <row r="20">
          <cell r="N20" t="str">
            <v>LogNormalVolatility</v>
          </cell>
          <cell r="P20">
            <v>5</v>
          </cell>
          <cell r="S20">
            <v>0.24931506849315069</v>
          </cell>
        </row>
        <row r="21">
          <cell r="N21" t="str">
            <v>SwapDesk</v>
          </cell>
          <cell r="P21">
            <v>6</v>
          </cell>
          <cell r="S21">
            <v>0.24931506849315069</v>
          </cell>
        </row>
        <row r="22">
          <cell r="N22" t="str">
            <v>Volatility</v>
          </cell>
          <cell r="P22">
            <v>7</v>
          </cell>
          <cell r="S22">
            <v>0.25205479452054796</v>
          </cell>
        </row>
        <row r="23">
          <cell r="D23" t="str">
            <v>2Y</v>
          </cell>
          <cell r="E23" t="str">
            <v>3Y</v>
          </cell>
          <cell r="G23" t="str">
            <v>5Y</v>
          </cell>
          <cell r="H23" t="str">
            <v>7Y</v>
          </cell>
          <cell r="J23" t="str">
            <v>15Y</v>
          </cell>
          <cell r="N23" t="str">
            <v>Mid</v>
          </cell>
          <cell r="P23">
            <v>8</v>
          </cell>
          <cell r="S23">
            <v>0.24657534246575341</v>
          </cell>
        </row>
        <row r="24">
          <cell r="J24">
            <v>4.6499999999999995</v>
          </cell>
          <cell r="N24" t="str">
            <v>Close</v>
          </cell>
          <cell r="P24">
            <v>9</v>
          </cell>
          <cell r="S24">
            <v>0.24931506849315069</v>
          </cell>
        </row>
        <row r="25">
          <cell r="J25">
            <v>4.75</v>
          </cell>
          <cell r="N25">
            <v>40681</v>
          </cell>
          <cell r="P25">
            <v>10</v>
          </cell>
          <cell r="S25">
            <v>0.25205479452054796</v>
          </cell>
        </row>
        <row r="26">
          <cell r="J26">
            <v>5</v>
          </cell>
          <cell r="N26" t="str">
            <v>Sydney</v>
          </cell>
          <cell r="P26">
            <v>11</v>
          </cell>
          <cell r="S26">
            <v>0.25205479452054796</v>
          </cell>
        </row>
        <row r="27">
          <cell r="J27">
            <v>5.2</v>
          </cell>
          <cell r="P27">
            <v>12</v>
          </cell>
          <cell r="S27">
            <v>0.24383561643835616</v>
          </cell>
        </row>
        <row r="28">
          <cell r="J28">
            <v>5.5</v>
          </cell>
          <cell r="P28">
            <v>13</v>
          </cell>
          <cell r="S28">
            <v>0.25205479452054796</v>
          </cell>
        </row>
        <row r="29">
          <cell r="J29">
            <v>5.5</v>
          </cell>
          <cell r="P29">
            <v>14</v>
          </cell>
          <cell r="S29">
            <v>0.25205479452054796</v>
          </cell>
        </row>
        <row r="30">
          <cell r="J30">
            <v>5.45</v>
          </cell>
          <cell r="P30">
            <v>15</v>
          </cell>
          <cell r="S30">
            <v>0.25205479452054796</v>
          </cell>
        </row>
        <row r="31">
          <cell r="P31">
            <v>16</v>
          </cell>
          <cell r="S31">
            <v>0.24383561643835616</v>
          </cell>
        </row>
        <row r="32">
          <cell r="P32">
            <v>17</v>
          </cell>
          <cell r="S32">
            <v>0.25205479452054796</v>
          </cell>
        </row>
        <row r="33">
          <cell r="P33">
            <v>18</v>
          </cell>
          <cell r="S33">
            <v>0.25205479452054796</v>
          </cell>
        </row>
        <row r="34">
          <cell r="S34">
            <v>0.25205479452054796</v>
          </cell>
        </row>
        <row r="35">
          <cell r="S35">
            <v>0.24657534246575341</v>
          </cell>
        </row>
        <row r="36">
          <cell r="S36">
            <v>0.25205479452054796</v>
          </cell>
        </row>
        <row r="37">
          <cell r="S37">
            <v>0.25753424657534246</v>
          </cell>
        </row>
        <row r="38">
          <cell r="S38">
            <v>0.24931506849315069</v>
          </cell>
        </row>
        <row r="39">
          <cell r="R39">
            <v>0.71358526930688293</v>
          </cell>
          <cell r="S39">
            <v>0.24109589041095891</v>
          </cell>
        </row>
        <row r="40">
          <cell r="R40">
            <v>0.70248406095119265</v>
          </cell>
          <cell r="S40">
            <v>0.25753424657534246</v>
          </cell>
        </row>
        <row r="41">
          <cell r="R41">
            <v>0.69183592012355444</v>
          </cell>
          <cell r="S41">
            <v>0.24931506849315069</v>
          </cell>
        </row>
        <row r="42">
          <cell r="R42">
            <v>0.68128546514730726</v>
          </cell>
          <cell r="S42">
            <v>0.24931506849315069</v>
          </cell>
        </row>
        <row r="43">
          <cell r="R43">
            <v>0.67083316895703871</v>
          </cell>
          <cell r="S43">
            <v>0.24931506849315069</v>
          </cell>
        </row>
        <row r="44">
          <cell r="R44">
            <v>0.66076830208129966</v>
          </cell>
          <cell r="S44">
            <v>0.24931506849315069</v>
          </cell>
        </row>
        <row r="45">
          <cell r="R45">
            <v>0.65081310273287707</v>
          </cell>
          <cell r="S45">
            <v>0.24931506849315069</v>
          </cell>
        </row>
        <row r="46">
          <cell r="R46">
            <v>0.64085958422141331</v>
          </cell>
          <cell r="S46">
            <v>0.25205479452054796</v>
          </cell>
        </row>
        <row r="47">
          <cell r="R47">
            <v>0.63123011114006256</v>
          </cell>
          <cell r="S47">
            <v>0.24657534246575341</v>
          </cell>
        </row>
        <row r="48">
          <cell r="R48">
            <v>0.62179416057184578</v>
          </cell>
          <cell r="S48">
            <v>0.24931506849315069</v>
          </cell>
        </row>
        <row r="49">
          <cell r="R49">
            <v>0.61236999803546632</v>
          </cell>
          <cell r="S49">
            <v>0.25205479452054796</v>
          </cell>
        </row>
        <row r="50">
          <cell r="R50">
            <v>0.60306104749639422</v>
          </cell>
          <cell r="S50">
            <v>0.25205479452054796</v>
          </cell>
        </row>
        <row r="51">
          <cell r="R51">
            <v>0.59406507921451379</v>
          </cell>
          <cell r="S51">
            <v>0.24657534246575341</v>
          </cell>
        </row>
        <row r="52">
          <cell r="C52" t="str">
            <v>1Y</v>
          </cell>
          <cell r="D52" t="str">
            <v>2Y</v>
          </cell>
          <cell r="E52" t="str">
            <v>3Y</v>
          </cell>
          <cell r="F52" t="str">
            <v>4Y</v>
          </cell>
          <cell r="G52" t="str">
            <v>5Y</v>
          </cell>
          <cell r="H52" t="str">
            <v>7Y</v>
          </cell>
          <cell r="I52" t="str">
            <v>10Y</v>
          </cell>
          <cell r="J52" t="str">
            <v>15Y</v>
          </cell>
          <cell r="K52" t="str">
            <v>20Y</v>
          </cell>
          <cell r="R52">
            <v>0.58500075434617049</v>
          </cell>
          <cell r="S52">
            <v>0.25205479452054796</v>
          </cell>
        </row>
        <row r="53">
          <cell r="B53" t="str">
            <v>1M</v>
          </cell>
          <cell r="C53">
            <v>0.1228589415493155</v>
          </cell>
          <cell r="D53">
            <v>0.13537481401530685</v>
          </cell>
          <cell r="E53">
            <v>0.13927488526638987</v>
          </cell>
          <cell r="F53">
            <v>0.13409989776564368</v>
          </cell>
          <cell r="G53">
            <v>0.13152733873858943</v>
          </cell>
          <cell r="H53">
            <v>0.1279149113466623</v>
          </cell>
          <cell r="I53">
            <v>0.12426737998829866</v>
          </cell>
          <cell r="J53">
            <v>0.12263101772892511</v>
          </cell>
          <cell r="K53">
            <v>0.12463897283095041</v>
          </cell>
          <cell r="R53">
            <v>0.5760493870616179</v>
          </cell>
          <cell r="S53">
            <v>0.25205479452054796</v>
          </cell>
        </row>
        <row r="54">
          <cell r="B54" t="str">
            <v>2M</v>
          </cell>
          <cell r="C54">
            <v>0.12561178261320319</v>
          </cell>
          <cell r="D54">
            <v>0.13809747162081579</v>
          </cell>
          <cell r="E54">
            <v>0.14198358166381184</v>
          </cell>
          <cell r="F54">
            <v>0.13675979670067331</v>
          </cell>
          <cell r="G54">
            <v>0.13412817755280601</v>
          </cell>
          <cell r="H54">
            <v>0.13044881113727957</v>
          </cell>
          <cell r="I54">
            <v>0.12678136019697142</v>
          </cell>
          <cell r="J54">
            <v>0.12513874936740654</v>
          </cell>
          <cell r="K54">
            <v>0.12721971783924937</v>
          </cell>
          <cell r="R54">
            <v>0.56721003144968396</v>
          </cell>
          <cell r="S54">
            <v>0.25205479452054796</v>
          </cell>
        </row>
        <row r="55">
          <cell r="B55" t="str">
            <v>3M</v>
          </cell>
          <cell r="C55">
            <v>0.13680982066845046</v>
          </cell>
          <cell r="D55">
            <v>0.15528074127529978</v>
          </cell>
          <cell r="E55">
            <v>0.15291194806271496</v>
          </cell>
          <cell r="F55">
            <v>0.14797733286952813</v>
          </cell>
          <cell r="G55">
            <v>0.14510928801335654</v>
          </cell>
          <cell r="H55">
            <v>0.13840934072382388</v>
          </cell>
          <cell r="I55">
            <v>0.13329006882731032</v>
          </cell>
          <cell r="J55">
            <v>0.1315897261963126</v>
          </cell>
          <cell r="K55">
            <v>0.13381345502028441</v>
          </cell>
          <cell r="R55">
            <v>0.55876461752340367</v>
          </cell>
          <cell r="S55">
            <v>0.24383561643835616</v>
          </cell>
        </row>
        <row r="56">
          <cell r="B56" t="str">
            <v>6M</v>
          </cell>
          <cell r="C56">
            <v>0.15611128474311903</v>
          </cell>
          <cell r="D56">
            <v>0.15675541916451002</v>
          </cell>
          <cell r="E56">
            <v>0.15725128320640444</v>
          </cell>
          <cell r="F56">
            <v>0.15131895296016867</v>
          </cell>
          <cell r="G56">
            <v>0.14860121097346313</v>
          </cell>
          <cell r="H56">
            <v>0.1439004295594068</v>
          </cell>
          <cell r="I56">
            <v>0.13771758787848676</v>
          </cell>
          <cell r="J56">
            <v>0.13660007680836186</v>
          </cell>
          <cell r="K56">
            <v>0.1391456229286592</v>
          </cell>
          <cell r="R56">
            <v>0.55016172373047445</v>
          </cell>
          <cell r="S56">
            <v>0.25205479452054796</v>
          </cell>
        </row>
        <row r="57">
          <cell r="B57" t="str">
            <v>1Y</v>
          </cell>
          <cell r="C57">
            <v>0.17106777360609479</v>
          </cell>
          <cell r="D57">
            <v>0.17472896944137026</v>
          </cell>
          <cell r="E57">
            <v>0.17176342853443785</v>
          </cell>
          <cell r="F57">
            <v>0.16215310663660273</v>
          </cell>
          <cell r="G57">
            <v>0.15680974346481899</v>
          </cell>
          <cell r="H57">
            <v>0.15008023293228981</v>
          </cell>
          <cell r="I57">
            <v>0.14427723256732897</v>
          </cell>
          <cell r="J57">
            <v>0.14387820187268593</v>
          </cell>
          <cell r="K57">
            <v>0.146916446183389</v>
          </cell>
          <cell r="R57">
            <v>0.54166836224730897</v>
          </cell>
          <cell r="S57">
            <v>0.25205479452054796</v>
          </cell>
        </row>
        <row r="58">
          <cell r="B58" t="str">
            <v>2Y</v>
          </cell>
          <cell r="C58">
            <v>0.18104917633060011</v>
          </cell>
          <cell r="D58">
            <v>0.17752384023596787</v>
          </cell>
          <cell r="E58">
            <v>0.16921662757762621</v>
          </cell>
          <cell r="F58">
            <v>0.15983644949458556</v>
          </cell>
          <cell r="G58">
            <v>0.15510000304108507</v>
          </cell>
          <cell r="H58">
            <v>0.14979975788810845</v>
          </cell>
          <cell r="I58">
            <v>0.14191404446905156</v>
          </cell>
          <cell r="J58">
            <v>0.14310755149935531</v>
          </cell>
          <cell r="K58">
            <v>0.14681664837197442</v>
          </cell>
          <cell r="R58">
            <v>0.53310247592986759</v>
          </cell>
          <cell r="S58">
            <v>0.25753424657534246</v>
          </cell>
        </row>
        <row r="59">
          <cell r="B59" t="str">
            <v>3Y</v>
          </cell>
          <cell r="C59">
            <v>0.16842934769785572</v>
          </cell>
          <cell r="D59">
            <v>0.16136635826352017</v>
          </cell>
          <cell r="E59">
            <v>0.15613309829989647</v>
          </cell>
          <cell r="F59">
            <v>0.14959955053329715</v>
          </cell>
          <cell r="G59">
            <v>0.14649085727452191</v>
          </cell>
          <cell r="H59">
            <v>0.14337963769671003</v>
          </cell>
          <cell r="I59">
            <v>0.1389838375663924</v>
          </cell>
          <cell r="J59">
            <v>0.14140422673915129</v>
          </cell>
          <cell r="K59">
            <v>0.14575441735057845</v>
          </cell>
          <cell r="R59">
            <v>0.52527455226036612</v>
          </cell>
          <cell r="S59">
            <v>0.23835616438356164</v>
          </cell>
        </row>
        <row r="60">
          <cell r="B60" t="str">
            <v>5Y</v>
          </cell>
          <cell r="C60">
            <v>0.14367228879311206</v>
          </cell>
          <cell r="D60">
            <v>0.14257644948739129</v>
          </cell>
          <cell r="E60">
            <v>0.14081776993010686</v>
          </cell>
          <cell r="F60">
            <v>0.13827912198174433</v>
          </cell>
          <cell r="G60">
            <v>0.13621716809757647</v>
          </cell>
          <cell r="H60">
            <v>0.13561023400663305</v>
          </cell>
          <cell r="I60">
            <v>0.13567800909342348</v>
          </cell>
          <cell r="J60">
            <v>0.14052159638458009</v>
          </cell>
          <cell r="K60">
            <v>0.14615850288778151</v>
          </cell>
          <cell r="S60">
            <v>0.25205479452054796</v>
          </cell>
        </row>
        <row r="61">
          <cell r="B61" t="str">
            <v>7Y</v>
          </cell>
          <cell r="C61">
            <v>0.14273740922922817</v>
          </cell>
          <cell r="D61">
            <v>0.14054065175898159</v>
          </cell>
          <cell r="E61">
            <v>0.13895697655413394</v>
          </cell>
          <cell r="F61">
            <v>0.13632384701628372</v>
          </cell>
          <cell r="G61">
            <v>0.13592492473260895</v>
          </cell>
          <cell r="H61">
            <v>0.13604003403624429</v>
          </cell>
          <cell r="I61">
            <v>0.13810342014633245</v>
          </cell>
          <cell r="J61">
            <v>0.14412318326871243</v>
          </cell>
          <cell r="K61">
            <v>0.15050024645010757</v>
          </cell>
          <cell r="S61">
            <v>0.25753424657534246</v>
          </cell>
        </row>
        <row r="62">
          <cell r="B62" t="str">
            <v>10Y</v>
          </cell>
          <cell r="C62">
            <v>0.13835248982395812</v>
          </cell>
          <cell r="D62">
            <v>0.13636591763814204</v>
          </cell>
          <cell r="E62">
            <v>0.13622821086663278</v>
          </cell>
          <cell r="F62">
            <v>0.1352358781395844</v>
          </cell>
          <cell r="G62">
            <v>0.13546846990484648</v>
          </cell>
          <cell r="H62">
            <v>0.13975450396310621</v>
          </cell>
          <cell r="I62">
            <v>0.14417757151489113</v>
          </cell>
          <cell r="J62">
            <v>0.15261276536396337</v>
          </cell>
          <cell r="K62">
            <v>0.16025410286791678</v>
          </cell>
          <cell r="S62">
            <v>0.24931506849315069</v>
          </cell>
        </row>
        <row r="63">
          <cell r="S63">
            <v>0.24109589041095891</v>
          </cell>
        </row>
        <row r="64">
          <cell r="S64">
            <v>0.25753424657534246</v>
          </cell>
        </row>
        <row r="65">
          <cell r="S65">
            <v>0.24931506849315069</v>
          </cell>
        </row>
        <row r="66">
          <cell r="C66" t="str">
            <v>1Y</v>
          </cell>
          <cell r="D66" t="str">
            <v>2Y</v>
          </cell>
          <cell r="E66" t="str">
            <v>3Y</v>
          </cell>
          <cell r="F66" t="str">
            <v>4Y</v>
          </cell>
          <cell r="G66" t="str">
            <v>5Y</v>
          </cell>
          <cell r="H66" t="str">
            <v>7Y</v>
          </cell>
          <cell r="I66" t="str">
            <v>10Y</v>
          </cell>
          <cell r="J66" t="str">
            <v>15Y</v>
          </cell>
          <cell r="K66" t="str">
            <v>20Y</v>
          </cell>
          <cell r="S66">
            <v>0.24931506849315069</v>
          </cell>
        </row>
        <row r="67">
          <cell r="B67" t="str">
            <v>1M</v>
          </cell>
          <cell r="C67">
            <v>3.9997903665618191</v>
          </cell>
          <cell r="D67">
            <v>4.4997136673316911</v>
          </cell>
          <cell r="E67">
            <v>4.6996834628675606</v>
          </cell>
          <cell r="F67">
            <v>4.6997065474698072</v>
          </cell>
          <cell r="G67">
            <v>4.6997176979980111</v>
          </cell>
          <cell r="H67">
            <v>4.6997329912383865</v>
          </cell>
          <cell r="I67">
            <v>4.6497506819099108</v>
          </cell>
          <cell r="J67">
            <v>4.6497572044509949</v>
          </cell>
          <cell r="K67">
            <v>4.6497491886969753</v>
          </cell>
          <cell r="S67">
            <v>0.24931506849315069</v>
          </cell>
        </row>
        <row r="68">
          <cell r="B68" t="str">
            <v>2M</v>
          </cell>
          <cell r="C68">
            <v>4.0995508004671262</v>
          </cell>
          <cell r="D68">
            <v>4.5993908629284901</v>
          </cell>
          <cell r="E68">
            <v>4.7993281067425633</v>
          </cell>
          <cell r="F68">
            <v>4.7993766314707837</v>
          </cell>
          <cell r="G68">
            <v>4.7994003884879808</v>
          </cell>
          <cell r="H68">
            <v>4.7994328305787137</v>
          </cell>
          <cell r="I68">
            <v>4.749469850564167</v>
          </cell>
          <cell r="J68">
            <v>4.749483497731072</v>
          </cell>
          <cell r="K68">
            <v>4.7494661785216605</v>
          </cell>
          <cell r="S68">
            <v>0.24931506849315069</v>
          </cell>
        </row>
        <row r="69">
          <cell r="B69" t="str">
            <v>3M</v>
          </cell>
          <cell r="C69">
            <v>4.499122797974656</v>
          </cell>
          <cell r="D69">
            <v>5.1986942226363091</v>
          </cell>
          <cell r="E69">
            <v>5.1987337491243135</v>
          </cell>
          <cell r="F69">
            <v>5.1988141401871948</v>
          </cell>
          <cell r="G69">
            <v>5.1988596535749219</v>
          </cell>
          <cell r="H69">
            <v>5.0989824593952893</v>
          </cell>
          <cell r="I69">
            <v>4.9990748289729057</v>
          </cell>
          <cell r="J69">
            <v>4.9990982788847376</v>
          </cell>
          <cell r="K69">
            <v>4.9990675502461679</v>
          </cell>
          <cell r="S69">
            <v>0.25205479452054796</v>
          </cell>
        </row>
        <row r="70">
          <cell r="B70" t="str">
            <v>6M</v>
          </cell>
          <cell r="C70">
            <v>5.1973610432223349</v>
          </cell>
          <cell r="D70">
            <v>5.2972880623891303</v>
          </cell>
          <cell r="E70">
            <v>5.3972193931670223</v>
          </cell>
          <cell r="F70">
            <v>5.3974251451803541</v>
          </cell>
          <cell r="G70">
            <v>5.3975167672651425</v>
          </cell>
          <cell r="H70">
            <v>5.347692890941814</v>
          </cell>
          <cell r="I70">
            <v>5.1979460659455228</v>
          </cell>
          <cell r="J70">
            <v>5.1979792524376096</v>
          </cell>
          <cell r="K70">
            <v>5.1979032649231325</v>
          </cell>
        </row>
        <row r="71">
          <cell r="B71" t="str">
            <v>1Y</v>
          </cell>
          <cell r="C71">
            <v>5.7929355767029413</v>
          </cell>
          <cell r="D71">
            <v>5.9923761772555961</v>
          </cell>
          <cell r="E71">
            <v>5.9926324840682961</v>
          </cell>
          <cell r="F71">
            <v>5.8935425177380321</v>
          </cell>
          <cell r="G71">
            <v>5.7940630623687737</v>
          </cell>
          <cell r="H71">
            <v>5.6447019328410315</v>
          </cell>
          <cell r="I71">
            <v>5.4952334064250659</v>
          </cell>
          <cell r="J71">
            <v>5.4952597156783103</v>
          </cell>
          <cell r="K71">
            <v>5.4950575664941361</v>
          </cell>
        </row>
        <row r="72">
          <cell r="B72" t="str">
            <v>2Y</v>
          </cell>
          <cell r="C72">
            <v>6.2828333518242054</v>
          </cell>
          <cell r="D72">
            <v>6.2834938083330325</v>
          </cell>
          <cell r="E72">
            <v>6.1353564002191741</v>
          </cell>
          <cell r="F72">
            <v>6.0072080951784752</v>
          </cell>
          <cell r="G72">
            <v>5.8881937700211457</v>
          </cell>
          <cell r="H72">
            <v>5.7392655878502596</v>
          </cell>
          <cell r="I72">
            <v>5.4907832777418237</v>
          </cell>
          <cell r="J72">
            <v>5.4906278381958638</v>
          </cell>
          <cell r="K72">
            <v>5.490136517187767</v>
          </cell>
        </row>
        <row r="73">
          <cell r="B73" t="str">
            <v>3Y</v>
          </cell>
          <cell r="C73">
            <v>6.0784379201293071</v>
          </cell>
          <cell r="D73">
            <v>5.9805277502481218</v>
          </cell>
          <cell r="E73">
            <v>5.8820707592871244</v>
          </cell>
          <cell r="F73">
            <v>5.7838152518461552</v>
          </cell>
          <cell r="G73">
            <v>5.6847468978687408</v>
          </cell>
          <cell r="H73">
            <v>5.5856428159639639</v>
          </cell>
          <cell r="I73">
            <v>5.4368691770046178</v>
          </cell>
          <cell r="J73">
            <v>5.4364088872008391</v>
          </cell>
          <cell r="K73">
            <v>5.4355618105649954</v>
          </cell>
        </row>
        <row r="74">
          <cell r="B74" t="str">
            <v>5Y</v>
          </cell>
          <cell r="C74">
            <v>5.5959252299446884</v>
          </cell>
          <cell r="D74">
            <v>5.556458448205432</v>
          </cell>
          <cell r="E74">
            <v>5.4773627635950008</v>
          </cell>
          <cell r="F74">
            <v>5.4582481024406437</v>
          </cell>
          <cell r="G74">
            <v>5.3791979175982032</v>
          </cell>
          <cell r="H74">
            <v>5.3694204221782833</v>
          </cell>
          <cell r="I74">
            <v>5.3494763556036302</v>
          </cell>
          <cell r="J74">
            <v>5.3479903570068323</v>
          </cell>
          <cell r="K74">
            <v>5.3461963406112902</v>
          </cell>
        </row>
        <row r="75">
          <cell r="B75" t="str">
            <v>7Y</v>
          </cell>
          <cell r="C75">
            <v>5.5171952776842961</v>
          </cell>
          <cell r="D75">
            <v>5.418765186601644</v>
          </cell>
          <cell r="E75">
            <v>5.3697417875035507</v>
          </cell>
          <cell r="F75">
            <v>5.3708721374647501</v>
          </cell>
          <cell r="G75">
            <v>5.3710415376185408</v>
          </cell>
          <cell r="H75">
            <v>5.3511001414719681</v>
          </cell>
          <cell r="I75">
            <v>5.320387278174092</v>
          </cell>
          <cell r="J75">
            <v>5.317763783647198</v>
          </cell>
          <cell r="K75">
            <v>5.3148652136565788</v>
          </cell>
        </row>
        <row r="76">
          <cell r="B76" t="str">
            <v>10Y</v>
          </cell>
          <cell r="C76">
            <v>5.4068432827112076</v>
          </cell>
          <cell r="D76">
            <v>5.3584499172987599</v>
          </cell>
          <cell r="E76">
            <v>5.3089171626176554</v>
          </cell>
          <cell r="F76">
            <v>5.3095094319530736</v>
          </cell>
          <cell r="G76">
            <v>5.3093709884304143</v>
          </cell>
          <cell r="H76">
            <v>5.3067784717160782</v>
          </cell>
          <cell r="I76">
            <v>5.3040209193814318</v>
          </cell>
          <cell r="J76">
            <v>5.2985315783104463</v>
          </cell>
          <cell r="K76">
            <v>5.2932990700613596</v>
          </cell>
        </row>
      </sheetData>
      <sheetData sheetId="8">
        <row r="6">
          <cell r="C6">
            <v>7</v>
          </cell>
          <cell r="F6">
            <v>4.2</v>
          </cell>
          <cell r="J6">
            <v>4.4000000000000004</v>
          </cell>
          <cell r="L6">
            <v>4.3499999999999996</v>
          </cell>
        </row>
        <row r="7">
          <cell r="C7">
            <v>8</v>
          </cell>
          <cell r="F7">
            <v>4.3</v>
          </cell>
          <cell r="J7">
            <v>4.5</v>
          </cell>
          <cell r="L7">
            <v>4.45</v>
          </cell>
        </row>
        <row r="8">
          <cell r="J8">
            <v>4.8</v>
          </cell>
          <cell r="L8">
            <v>4.7</v>
          </cell>
        </row>
        <row r="9">
          <cell r="D9" t="str">
            <v>6 MONTH</v>
          </cell>
          <cell r="E9">
            <v>4.9000000000000004</v>
          </cell>
          <cell r="J9">
            <v>5.05</v>
          </cell>
          <cell r="L9">
            <v>4.9000000000000004</v>
          </cell>
        </row>
        <row r="10">
          <cell r="D10" t="str">
            <v>1 YEAR</v>
          </cell>
          <cell r="E10">
            <v>5.5</v>
          </cell>
          <cell r="J10">
            <v>5.35</v>
          </cell>
          <cell r="L10">
            <v>5.2</v>
          </cell>
        </row>
        <row r="11">
          <cell r="D11" t="str">
            <v>2 YEAR</v>
          </cell>
          <cell r="E11">
            <v>6</v>
          </cell>
          <cell r="J11">
            <v>5.45</v>
          </cell>
          <cell r="L11">
            <v>5.2</v>
          </cell>
        </row>
        <row r="12">
          <cell r="D12" t="str">
            <v>3 YEAR</v>
          </cell>
          <cell r="E12">
            <v>5.8</v>
          </cell>
          <cell r="J12">
            <v>5.3</v>
          </cell>
          <cell r="L12">
            <v>5.15</v>
          </cell>
        </row>
        <row r="13">
          <cell r="G13">
            <v>5.2</v>
          </cell>
          <cell r="H13">
            <v>5.18</v>
          </cell>
          <cell r="J13">
            <v>5.09</v>
          </cell>
          <cell r="L13">
            <v>5.07</v>
          </cell>
        </row>
        <row r="14">
          <cell r="D14" t="str">
            <v>7 YEAR</v>
          </cell>
          <cell r="E14">
            <v>5.25</v>
          </cell>
          <cell r="G14">
            <v>5.0999999999999996</v>
          </cell>
          <cell r="H14">
            <v>5.0999999999999996</v>
          </cell>
          <cell r="J14">
            <v>5.08</v>
          </cell>
          <cell r="L14">
            <v>5.05</v>
          </cell>
        </row>
        <row r="15">
          <cell r="D15" t="str">
            <v>10 YEAR</v>
          </cell>
          <cell r="E15">
            <v>5.15</v>
          </cell>
          <cell r="G15">
            <v>5.05</v>
          </cell>
          <cell r="H15">
            <v>5.05</v>
          </cell>
          <cell r="J15">
            <v>5.05</v>
          </cell>
          <cell r="L15">
            <v>5.05</v>
          </cell>
        </row>
        <row r="16">
          <cell r="E16">
            <v>5</v>
          </cell>
          <cell r="G16">
            <v>26</v>
          </cell>
          <cell r="H16">
            <v>38</v>
          </cell>
          <cell r="J16">
            <v>59</v>
          </cell>
        </row>
        <row r="17">
          <cell r="E17">
            <v>5</v>
          </cell>
          <cell r="G17">
            <v>5</v>
          </cell>
          <cell r="H17">
            <v>5</v>
          </cell>
          <cell r="J17">
            <v>5</v>
          </cell>
        </row>
      </sheetData>
      <sheetData sheetId="9">
        <row r="6">
          <cell r="J6" t="str">
            <v>BaseDate</v>
          </cell>
        </row>
        <row r="7">
          <cell r="J7" t="str">
            <v>MarketName</v>
          </cell>
        </row>
        <row r="8">
          <cell r="J8" t="str">
            <v>Instrument</v>
          </cell>
        </row>
        <row r="9">
          <cell r="D9" t="str">
            <v>16d</v>
          </cell>
          <cell r="E9">
            <v>3.2</v>
          </cell>
          <cell r="F9" t="str">
            <v>ETO</v>
          </cell>
          <cell r="J9" t="str">
            <v>Source</v>
          </cell>
        </row>
        <row r="10">
          <cell r="D10" t="str">
            <v>107d</v>
          </cell>
          <cell r="E10">
            <v>4.4000000000000004</v>
          </cell>
          <cell r="F10" t="str">
            <v>ETO</v>
          </cell>
          <cell r="J10" t="str">
            <v>CurveName</v>
          </cell>
        </row>
        <row r="11">
          <cell r="D11" t="str">
            <v>198d</v>
          </cell>
          <cell r="E11">
            <v>5.5</v>
          </cell>
          <cell r="F11" t="str">
            <v>ETO</v>
          </cell>
          <cell r="J11" t="str">
            <v>Identifier</v>
          </cell>
        </row>
        <row r="12">
          <cell r="D12" t="str">
            <v>289d</v>
          </cell>
          <cell r="E12">
            <v>5.8100000000000005</v>
          </cell>
          <cell r="F12" t="str">
            <v>ETO</v>
          </cell>
          <cell r="J12" t="str">
            <v>Algorithm</v>
          </cell>
        </row>
        <row r="13">
          <cell r="B13" t="str">
            <v>1Y</v>
          </cell>
          <cell r="G13">
            <v>5.1223130775749061E-2</v>
          </cell>
          <cell r="H13">
            <v>0.17316764325877135</v>
          </cell>
          <cell r="J13" t="str">
            <v>Currency</v>
          </cell>
        </row>
        <row r="14">
          <cell r="B14" t="str">
            <v>2Y</v>
          </cell>
          <cell r="D14" t="str">
            <v>2Y</v>
          </cell>
          <cell r="E14">
            <v>5.94</v>
          </cell>
          <cell r="F14" t="str">
            <v>Cap/Floor</v>
          </cell>
          <cell r="G14">
            <v>5.2377716930358718E-2</v>
          </cell>
          <cell r="H14">
            <v>0.17327477058135859</v>
          </cell>
          <cell r="J14" t="str">
            <v>QuoteUnits</v>
          </cell>
          <cell r="N14" t="str">
            <v>Date</v>
          </cell>
          <cell r="P14" t="str">
            <v>Yf</v>
          </cell>
        </row>
        <row r="15">
          <cell r="B15" t="str">
            <v>3Y</v>
          </cell>
          <cell r="D15" t="str">
            <v>3Y</v>
          </cell>
          <cell r="E15">
            <v>6.25</v>
          </cell>
          <cell r="F15" t="str">
            <v>Cap/Floor</v>
          </cell>
          <cell r="G15">
            <v>5.3208333958642932E-2</v>
          </cell>
          <cell r="H15">
            <v>0.17978179751774589</v>
          </cell>
          <cell r="J15" t="str">
            <v>InformationSource</v>
          </cell>
          <cell r="N15">
            <v>40682</v>
          </cell>
          <cell r="S15">
            <v>0.17316764325877099</v>
          </cell>
        </row>
        <row r="16">
          <cell r="B16" t="str">
            <v>4Y</v>
          </cell>
          <cell r="D16" t="str">
            <v>4Y</v>
          </cell>
          <cell r="E16">
            <v>6.2</v>
          </cell>
          <cell r="F16" t="str">
            <v>Cap/Floor</v>
          </cell>
          <cell r="G16">
            <v>5.4139852902020738E-2</v>
          </cell>
          <cell r="H16">
            <v>0.175228274034543</v>
          </cell>
          <cell r="J16" t="str">
            <v>MeasureType</v>
          </cell>
          <cell r="N16">
            <v>40774</v>
          </cell>
          <cell r="P16">
            <v>0.25205479452054796</v>
          </cell>
          <cell r="S16">
            <v>0.17316764325877099</v>
          </cell>
        </row>
        <row r="17">
          <cell r="B17" t="str">
            <v>5Y</v>
          </cell>
          <cell r="D17" t="str">
            <v>5Y</v>
          </cell>
          <cell r="E17">
            <v>6.15</v>
          </cell>
          <cell r="F17" t="str">
            <v>Cap/Floor</v>
          </cell>
          <cell r="G17">
            <v>5.5257658890528645E-2</v>
          </cell>
          <cell r="H17">
            <v>0.17025288852064369</v>
          </cell>
          <cell r="J17" t="str">
            <v>StrikeQuoteUnits</v>
          </cell>
          <cell r="N17">
            <v>40868</v>
          </cell>
          <cell r="P17">
            <v>0.25753424657534246</v>
          </cell>
          <cell r="S17">
            <v>0.17316764325877099</v>
          </cell>
        </row>
        <row r="18">
          <cell r="B18" t="str">
            <v>7Y</v>
          </cell>
          <cell r="D18" t="str">
            <v>7Y</v>
          </cell>
          <cell r="E18">
            <v>5.98</v>
          </cell>
          <cell r="F18" t="str">
            <v>Cap/Floor</v>
          </cell>
          <cell r="G18">
            <v>5.6884673745553033E-2</v>
          </cell>
          <cell r="H18">
            <v>0.16065807951655972</v>
          </cell>
          <cell r="J18" t="str">
            <v>QuotationSide</v>
          </cell>
          <cell r="N18">
            <v>40959</v>
          </cell>
          <cell r="P18">
            <v>0.24931506849315069</v>
          </cell>
          <cell r="S18">
            <v>0.17316764325877099</v>
          </cell>
        </row>
        <row r="19">
          <cell r="B19" t="str">
            <v>10Y</v>
          </cell>
          <cell r="D19" t="str">
            <v>10Y</v>
          </cell>
          <cell r="E19">
            <v>5.78</v>
          </cell>
          <cell r="F19" t="str">
            <v>Cap/Floor</v>
          </cell>
          <cell r="G19">
            <v>5.7977807992524527E-2</v>
          </cell>
          <cell r="H19">
            <v>0.15217468506238382</v>
          </cell>
          <cell r="J19" t="str">
            <v>Timing</v>
          </cell>
          <cell r="N19">
            <v>41050</v>
          </cell>
          <cell r="P19">
            <v>0.24931506849315069</v>
          </cell>
          <cell r="S19">
            <v>0.17278039781159699</v>
          </cell>
        </row>
        <row r="20">
          <cell r="B20" t="str">
            <v>15Y</v>
          </cell>
          <cell r="D20" t="str">
            <v>15Y</v>
          </cell>
          <cell r="E20">
            <v>5.59</v>
          </cell>
          <cell r="F20" t="str">
            <v>Cap/Floor</v>
          </cell>
          <cell r="G20">
            <v>5.889718470321504E-2</v>
          </cell>
          <cell r="H20">
            <v>0.14469856814206214</v>
          </cell>
          <cell r="J20" t="str">
            <v>ValuationDate</v>
          </cell>
          <cell r="N20">
            <v>41141</v>
          </cell>
          <cell r="P20">
            <v>0.24931506849315069</v>
          </cell>
          <cell r="S20">
            <v>0.172188341194975</v>
          </cell>
        </row>
        <row r="21">
          <cell r="B21" t="str">
            <v>20Y</v>
          </cell>
          <cell r="D21" t="str">
            <v>20Y</v>
          </cell>
          <cell r="E21">
            <v>5.59</v>
          </cell>
          <cell r="F21" t="str">
            <v>Cap/Floor</v>
          </cell>
          <cell r="G21">
            <v>5.804334906313946E-2</v>
          </cell>
          <cell r="H21">
            <v>0.14682712889091215</v>
          </cell>
          <cell r="J21" t="str">
            <v>BusinessCenter</v>
          </cell>
          <cell r="N21">
            <v>41232</v>
          </cell>
          <cell r="P21">
            <v>0.24931506849315069</v>
          </cell>
          <cell r="S21">
            <v>0.172729851014647</v>
          </cell>
        </row>
        <row r="22">
          <cell r="B22" t="str">
            <v>25Y</v>
          </cell>
          <cell r="D22" t="str">
            <v>25Y</v>
          </cell>
          <cell r="E22">
            <v>5.59</v>
          </cell>
          <cell r="F22" t="str">
            <v>Cap/Floor</v>
          </cell>
          <cell r="G22">
            <v>5.6716805393500505E-2</v>
          </cell>
          <cell r="H22">
            <v>0.15026125387397796</v>
          </cell>
          <cell r="N22">
            <v>41324</v>
          </cell>
          <cell r="P22">
            <v>0.25205479452054796</v>
          </cell>
          <cell r="S22">
            <v>0.175325653541031</v>
          </cell>
        </row>
        <row r="23">
          <cell r="B23" t="str">
            <v>30Y</v>
          </cell>
          <cell r="D23" t="str">
            <v>30Y</v>
          </cell>
          <cell r="E23">
            <v>5.59</v>
          </cell>
          <cell r="F23" t="str">
            <v>Cap/Floor</v>
          </cell>
          <cell r="G23">
            <v>5.53577125176423E-2</v>
          </cell>
          <cell r="H23">
            <v>0.15395033332415503</v>
          </cell>
          <cell r="N23">
            <v>41414</v>
          </cell>
          <cell r="P23">
            <v>0.24657534246575341</v>
          </cell>
          <cell r="S23">
            <v>0.18184769563011699</v>
          </cell>
        </row>
        <row r="24">
          <cell r="N24">
            <v>41505</v>
          </cell>
          <cell r="P24">
            <v>0.24931506849315069</v>
          </cell>
          <cell r="S24">
            <v>0.18883833050526799</v>
          </cell>
        </row>
        <row r="25">
          <cell r="N25">
            <v>41597</v>
          </cell>
          <cell r="P25">
            <v>0.25205479452054796</v>
          </cell>
          <cell r="S25">
            <v>0.191334943155472</v>
          </cell>
        </row>
        <row r="26">
          <cell r="J26" t="str">
            <v>Settings</v>
          </cell>
          <cell r="N26">
            <v>41689</v>
          </cell>
          <cell r="P26">
            <v>0.25205479452054796</v>
          </cell>
          <cell r="S26">
            <v>0.18677440060014899</v>
          </cell>
        </row>
        <row r="27">
          <cell r="J27" t="str">
            <v>Engine</v>
          </cell>
          <cell r="N27">
            <v>41778</v>
          </cell>
          <cell r="P27">
            <v>0.24383561643835616</v>
          </cell>
          <cell r="S27">
            <v>0.17650270507531701</v>
          </cell>
        </row>
        <row r="28">
          <cell r="N28">
            <v>41870</v>
          </cell>
          <cell r="P28">
            <v>0.25205479452054796</v>
          </cell>
          <cell r="S28">
            <v>0.16755639545187301</v>
          </cell>
        </row>
        <row r="29">
          <cell r="N29">
            <v>41962</v>
          </cell>
          <cell r="P29">
            <v>0.25205479452054796</v>
          </cell>
          <cell r="S29">
            <v>0.16174625642608201</v>
          </cell>
        </row>
        <row r="30">
          <cell r="J30" t="str">
            <v>Settings</v>
          </cell>
          <cell r="N30">
            <v>42054</v>
          </cell>
          <cell r="P30">
            <v>0.25205479452054796</v>
          </cell>
          <cell r="S30">
            <v>0.160699988082947</v>
          </cell>
        </row>
        <row r="31">
          <cell r="N31">
            <v>42143</v>
          </cell>
          <cell r="P31">
            <v>0.24383561643835616</v>
          </cell>
          <cell r="S31">
            <v>0.16066846224897499</v>
          </cell>
        </row>
        <row r="32">
          <cell r="N32">
            <v>42235</v>
          </cell>
          <cell r="P32">
            <v>0.25205479452054796</v>
          </cell>
          <cell r="S32">
            <v>0.15810947536785599</v>
          </cell>
        </row>
        <row r="33">
          <cell r="N33">
            <v>42327</v>
          </cell>
          <cell r="P33">
            <v>0.25205479452054796</v>
          </cell>
          <cell r="S33">
            <v>0.15583483714889201</v>
          </cell>
        </row>
        <row r="34">
          <cell r="N34">
            <v>42419</v>
          </cell>
          <cell r="S34">
            <v>0.15396237211399</v>
          </cell>
        </row>
        <row r="35">
          <cell r="N35">
            <v>42509</v>
          </cell>
          <cell r="S35">
            <v>0.15178844352096299</v>
          </cell>
        </row>
        <row r="36">
          <cell r="N36">
            <v>42601</v>
          </cell>
          <cell r="S36">
            <v>0.14908284492420301</v>
          </cell>
        </row>
        <row r="37">
          <cell r="N37">
            <v>42695</v>
          </cell>
          <cell r="S37">
            <v>0.14668452448774599</v>
          </cell>
        </row>
        <row r="38">
          <cell r="N38">
            <v>42786</v>
          </cell>
          <cell r="S38">
            <v>0.14469138647368501</v>
          </cell>
        </row>
        <row r="39">
          <cell r="N39">
            <v>42874</v>
          </cell>
          <cell r="O39">
            <v>0.71358526930688293</v>
          </cell>
          <cell r="R39">
            <v>5.6202841827044075E-2</v>
          </cell>
          <cell r="S39">
            <v>0.14297379478050401</v>
          </cell>
        </row>
        <row r="40">
          <cell r="N40">
            <v>42968</v>
          </cell>
          <cell r="O40">
            <v>0.70248406095119265</v>
          </cell>
          <cell r="R40">
            <v>5.6379789551612387E-2</v>
          </cell>
          <cell r="S40">
            <v>0.141769059645483</v>
          </cell>
        </row>
        <row r="41">
          <cell r="N41">
            <v>43059</v>
          </cell>
          <cell r="O41">
            <v>0.69183592012355444</v>
          </cell>
          <cell r="R41">
            <v>5.6549320791506819E-2</v>
          </cell>
          <cell r="S41">
            <v>0.141126897637217</v>
          </cell>
        </row>
        <row r="42">
          <cell r="N42">
            <v>43150</v>
          </cell>
          <cell r="O42">
            <v>0.68128546514730726</v>
          </cell>
          <cell r="R42">
            <v>5.6717609999212493E-2</v>
          </cell>
          <cell r="S42">
            <v>0.141110433432412</v>
          </cell>
        </row>
        <row r="43">
          <cell r="N43">
            <v>43241</v>
          </cell>
          <cell r="O43">
            <v>0.67083316895703871</v>
          </cell>
          <cell r="R43">
            <v>5.6884673745553033E-2</v>
          </cell>
          <cell r="S43">
            <v>0.14083356589229901</v>
          </cell>
        </row>
        <row r="44">
          <cell r="N44">
            <v>43332</v>
          </cell>
          <cell r="O44">
            <v>0.66076830208129966</v>
          </cell>
          <cell r="R44">
            <v>5.7001283688926548E-2</v>
          </cell>
          <cell r="S44">
            <v>0.14023916621612501</v>
          </cell>
        </row>
        <row r="45">
          <cell r="N45">
            <v>43423</v>
          </cell>
          <cell r="O45">
            <v>0.65081310273287707</v>
          </cell>
          <cell r="R45">
            <v>5.7116859066522779E-2</v>
          </cell>
          <cell r="S45">
            <v>0.13969437770937801</v>
          </cell>
        </row>
        <row r="46">
          <cell r="N46">
            <v>43515</v>
          </cell>
          <cell r="O46">
            <v>0.64085958422141331</v>
          </cell>
          <cell r="R46">
            <v>5.7232809318432644E-2</v>
          </cell>
          <cell r="S46">
            <v>0.13920451835276701</v>
          </cell>
        </row>
        <row r="47">
          <cell r="N47">
            <v>43605</v>
          </cell>
          <cell r="O47">
            <v>0.63123011114006256</v>
          </cell>
          <cell r="R47">
            <v>5.7345033511429624E-2</v>
          </cell>
          <cell r="S47">
            <v>0.13855499408657301</v>
          </cell>
        </row>
        <row r="48">
          <cell r="N48">
            <v>43696</v>
          </cell>
          <cell r="O48">
            <v>0.62179416057184578</v>
          </cell>
          <cell r="R48">
            <v>5.7427994464740333E-2</v>
          </cell>
          <cell r="S48">
            <v>0.13810315167576001</v>
          </cell>
        </row>
        <row r="49">
          <cell r="N49">
            <v>43788</v>
          </cell>
          <cell r="O49">
            <v>0.61236999803546632</v>
          </cell>
          <cell r="R49">
            <v>5.7511123069704344E-2</v>
          </cell>
          <cell r="S49">
            <v>0.137663263492738</v>
          </cell>
        </row>
        <row r="50">
          <cell r="N50">
            <v>43880</v>
          </cell>
          <cell r="O50">
            <v>0.60306104749639422</v>
          </cell>
          <cell r="R50">
            <v>5.7593419033167635E-2</v>
          </cell>
          <cell r="S50">
            <v>0.137232533233139</v>
          </cell>
        </row>
        <row r="51">
          <cell r="N51">
            <v>43970</v>
          </cell>
          <cell r="O51">
            <v>0.59406507921451379</v>
          </cell>
          <cell r="R51">
            <v>5.7672946580539529E-2</v>
          </cell>
          <cell r="S51">
            <v>0.136761126439369</v>
          </cell>
        </row>
        <row r="52">
          <cell r="N52">
            <v>44062</v>
          </cell>
          <cell r="O52">
            <v>0.58500075434617049</v>
          </cell>
          <cell r="R52">
            <v>5.775094461409179E-2</v>
          </cell>
          <cell r="S52">
            <v>0.13628653153874401</v>
          </cell>
        </row>
        <row r="53">
          <cell r="N53">
            <v>44154</v>
          </cell>
          <cell r="O53">
            <v>0.5760493870616179</v>
          </cell>
          <cell r="R53">
            <v>5.7828194401281119E-2</v>
          </cell>
          <cell r="S53">
            <v>0.13577605646659699</v>
          </cell>
        </row>
        <row r="54">
          <cell r="N54">
            <v>44246</v>
          </cell>
          <cell r="O54">
            <v>0.56721003144968396</v>
          </cell>
          <cell r="R54">
            <v>5.7904717341070437E-2</v>
          </cell>
          <cell r="S54">
            <v>0.13523200365338001</v>
          </cell>
        </row>
        <row r="55">
          <cell r="N55">
            <v>44335</v>
          </cell>
          <cell r="O55">
            <v>0.55876461752340367</v>
          </cell>
          <cell r="R55">
            <v>5.7977807992524527E-2</v>
          </cell>
          <cell r="S55">
            <v>0.13452517834764599</v>
          </cell>
        </row>
        <row r="56">
          <cell r="N56">
            <v>44427</v>
          </cell>
          <cell r="O56">
            <v>0.55016172373047445</v>
          </cell>
          <cell r="R56">
            <v>5.8050490350145763E-2</v>
          </cell>
          <cell r="S56">
            <v>0.13378474200333099</v>
          </cell>
        </row>
        <row r="57">
          <cell r="N57">
            <v>44519</v>
          </cell>
          <cell r="O57">
            <v>0.54166836224730897</v>
          </cell>
          <cell r="R57">
            <v>5.8122505415609871E-2</v>
          </cell>
          <cell r="S57">
            <v>0.13310003775468501</v>
          </cell>
        </row>
        <row r="58">
          <cell r="N58">
            <v>44613</v>
          </cell>
          <cell r="O58">
            <v>0.53310247592986759</v>
          </cell>
          <cell r="R58">
            <v>5.819558199152635E-2</v>
          </cell>
          <cell r="S58">
            <v>0.132518650529871</v>
          </cell>
        </row>
        <row r="59">
          <cell r="N59">
            <v>44700</v>
          </cell>
          <cell r="O59">
            <v>0.52527455226036612</v>
          </cell>
          <cell r="R59">
            <v>5.8262081401430084E-2</v>
          </cell>
          <cell r="S59">
            <v>0.13199585767998301</v>
          </cell>
        </row>
        <row r="60">
          <cell r="N60">
            <v>44792</v>
          </cell>
          <cell r="S60">
            <v>0.13154021013151301</v>
          </cell>
        </row>
        <row r="61">
          <cell r="N61">
            <v>44886</v>
          </cell>
          <cell r="S61">
            <v>0.131183382014113</v>
          </cell>
        </row>
        <row r="62">
          <cell r="N62">
            <v>44977</v>
          </cell>
          <cell r="S62">
            <v>0.13092687635293601</v>
          </cell>
        </row>
        <row r="63">
          <cell r="N63">
            <v>45065</v>
          </cell>
          <cell r="S63">
            <v>0.130296352071122</v>
          </cell>
        </row>
        <row r="64">
          <cell r="N64">
            <v>45159</v>
          </cell>
          <cell r="S64">
            <v>0.13023059575190499</v>
          </cell>
        </row>
        <row r="65">
          <cell r="N65">
            <v>45250</v>
          </cell>
          <cell r="S65">
            <v>0.130271368671035</v>
          </cell>
        </row>
        <row r="66">
          <cell r="N66">
            <v>45341</v>
          </cell>
          <cell r="S66">
            <v>0.13042647629141099</v>
          </cell>
        </row>
        <row r="67">
          <cell r="N67">
            <v>45432</v>
          </cell>
          <cell r="S67">
            <v>0.13070196038850301</v>
          </cell>
        </row>
        <row r="68">
          <cell r="N68">
            <v>45523</v>
          </cell>
          <cell r="S68">
            <v>0.131105690019445</v>
          </cell>
        </row>
        <row r="69">
          <cell r="N69">
            <v>45615</v>
          </cell>
          <cell r="S69">
            <v>0.131648185344279</v>
          </cell>
        </row>
        <row r="70">
          <cell r="N70">
            <v>45707</v>
          </cell>
          <cell r="S70">
            <v>0.13232301866008001</v>
          </cell>
        </row>
        <row r="71">
          <cell r="N71">
            <v>45796</v>
          </cell>
          <cell r="S71">
            <v>0.13313825158227899</v>
          </cell>
        </row>
        <row r="72">
          <cell r="N72">
            <v>45888</v>
          </cell>
          <cell r="S72">
            <v>0.13412435940172901</v>
          </cell>
        </row>
        <row r="73">
          <cell r="N73">
            <v>45980</v>
          </cell>
          <cell r="S73">
            <v>0.13527420372619101</v>
          </cell>
        </row>
        <row r="74">
          <cell r="N74">
            <v>46072</v>
          </cell>
          <cell r="S74">
            <v>0.13657282826251901</v>
          </cell>
        </row>
        <row r="75">
          <cell r="N75">
            <v>46161</v>
          </cell>
          <cell r="S75">
            <v>0.137264168373254</v>
          </cell>
        </row>
        <row r="76">
          <cell r="N76">
            <v>46253</v>
          </cell>
          <cell r="S76">
            <v>0.139668186518348</v>
          </cell>
        </row>
        <row r="77">
          <cell r="N77">
            <v>46345</v>
          </cell>
          <cell r="S77">
            <v>0.142034834952215</v>
          </cell>
        </row>
        <row r="78">
          <cell r="N78">
            <v>46437</v>
          </cell>
          <cell r="S78">
            <v>0.144310446375955</v>
          </cell>
        </row>
        <row r="79">
          <cell r="N79">
            <v>46526</v>
          </cell>
          <cell r="S79">
            <v>0.14652180647533999</v>
          </cell>
        </row>
        <row r="80">
          <cell r="N80">
            <v>46618</v>
          </cell>
          <cell r="S80">
            <v>0.14868494316646799</v>
          </cell>
        </row>
        <row r="81">
          <cell r="N81">
            <v>46710</v>
          </cell>
          <cell r="S81">
            <v>0.15076995578055499</v>
          </cell>
        </row>
        <row r="82">
          <cell r="N82">
            <v>46804</v>
          </cell>
          <cell r="S82">
            <v>0.15268780681650099</v>
          </cell>
        </row>
        <row r="83">
          <cell r="N83">
            <v>46892</v>
          </cell>
          <cell r="S83">
            <v>0.154481204455896</v>
          </cell>
        </row>
        <row r="84">
          <cell r="N84">
            <v>46986</v>
          </cell>
          <cell r="S84">
            <v>0.15614323585532</v>
          </cell>
        </row>
        <row r="85">
          <cell r="N85">
            <v>47077</v>
          </cell>
          <cell r="S85">
            <v>0.15761095330139699</v>
          </cell>
        </row>
        <row r="86">
          <cell r="N86">
            <v>47168</v>
          </cell>
          <cell r="S86">
            <v>0.15889210954292399</v>
          </cell>
        </row>
        <row r="87">
          <cell r="N87">
            <v>47259</v>
          </cell>
          <cell r="S87">
            <v>0.15996812018868201</v>
          </cell>
        </row>
        <row r="88">
          <cell r="N88">
            <v>47350</v>
          </cell>
          <cell r="S88">
            <v>0.16082003455195101</v>
          </cell>
        </row>
        <row r="89">
          <cell r="N89">
            <v>47441</v>
          </cell>
          <cell r="S89">
            <v>0.161432115541747</v>
          </cell>
        </row>
        <row r="90">
          <cell r="N90">
            <v>47533</v>
          </cell>
          <cell r="S90">
            <v>0.16177429617963299</v>
          </cell>
        </row>
        <row r="91">
          <cell r="N91">
            <v>47623</v>
          </cell>
          <cell r="S91">
            <v>0.16183669268727599</v>
          </cell>
        </row>
        <row r="92">
          <cell r="N92">
            <v>47714</v>
          </cell>
          <cell r="S92">
            <v>0.16159487778951401</v>
          </cell>
        </row>
        <row r="93">
          <cell r="N93">
            <v>47806</v>
          </cell>
          <cell r="S93">
            <v>0.16102102289992301</v>
          </cell>
        </row>
        <row r="94">
          <cell r="N94">
            <v>47898</v>
          </cell>
          <cell r="S94">
            <v>0.16011124261273399</v>
          </cell>
        </row>
        <row r="95">
          <cell r="N95">
            <v>47987</v>
          </cell>
          <cell r="S95">
            <v>0.16052768067041101</v>
          </cell>
        </row>
        <row r="96">
          <cell r="N96">
            <v>48079</v>
          </cell>
          <cell r="S96">
            <v>0.16153592076801199</v>
          </cell>
        </row>
        <row r="97">
          <cell r="N97">
            <v>48171</v>
          </cell>
          <cell r="S97">
            <v>0.162533778493574</v>
          </cell>
        </row>
        <row r="98">
          <cell r="N98">
            <v>48263</v>
          </cell>
          <cell r="S98">
            <v>0.16350634666667399</v>
          </cell>
        </row>
        <row r="99">
          <cell r="N99">
            <v>48353</v>
          </cell>
          <cell r="S99">
            <v>0.16446736964061501</v>
          </cell>
        </row>
        <row r="100">
          <cell r="N100">
            <v>48445</v>
          </cell>
          <cell r="S100">
            <v>0.165419214669247</v>
          </cell>
        </row>
        <row r="101">
          <cell r="N101">
            <v>48537</v>
          </cell>
          <cell r="S101">
            <v>0.16636220918971001</v>
          </cell>
        </row>
        <row r="102">
          <cell r="N102">
            <v>48631</v>
          </cell>
          <cell r="S102">
            <v>0.16724841238364499</v>
          </cell>
        </row>
        <row r="103">
          <cell r="N103">
            <v>48718</v>
          </cell>
          <cell r="S103">
            <v>0.16811114157759999</v>
          </cell>
        </row>
        <row r="104">
          <cell r="N104">
            <v>48810</v>
          </cell>
          <cell r="S104">
            <v>0.168975445071397</v>
          </cell>
        </row>
        <row r="105">
          <cell r="N105">
            <v>48904</v>
          </cell>
          <cell r="S105">
            <v>0.169797809659546</v>
          </cell>
        </row>
        <row r="106">
          <cell r="N106">
            <v>48995</v>
          </cell>
          <cell r="S106">
            <v>0.17055969358755099</v>
          </cell>
        </row>
        <row r="107">
          <cell r="N107">
            <v>49083</v>
          </cell>
          <cell r="S107">
            <v>0.171306409639672</v>
          </cell>
        </row>
        <row r="108">
          <cell r="N108">
            <v>49177</v>
          </cell>
          <cell r="S108">
            <v>0.172015170124066</v>
          </cell>
        </row>
        <row r="109">
          <cell r="N109">
            <v>49268</v>
          </cell>
          <cell r="S109">
            <v>0.17267167744312301</v>
          </cell>
        </row>
        <row r="110">
          <cell r="N110">
            <v>49359</v>
          </cell>
          <cell r="S110">
            <v>0.17328166848277099</v>
          </cell>
        </row>
        <row r="111">
          <cell r="N111">
            <v>49450</v>
          </cell>
          <cell r="S111">
            <v>0.17384192041961999</v>
          </cell>
        </row>
        <row r="112">
          <cell r="N112">
            <v>49541</v>
          </cell>
          <cell r="S112">
            <v>0.17434914539440799</v>
          </cell>
        </row>
        <row r="113">
          <cell r="N113">
            <v>49632</v>
          </cell>
          <cell r="S113">
            <v>0.174803300703229</v>
          </cell>
        </row>
        <row r="114">
          <cell r="N114">
            <v>49724</v>
          </cell>
          <cell r="S114">
            <v>0.17519202106427101</v>
          </cell>
        </row>
        <row r="115">
          <cell r="N115">
            <v>49814</v>
          </cell>
          <cell r="S115">
            <v>0.17616149807600301</v>
          </cell>
        </row>
        <row r="116">
          <cell r="N116">
            <v>49906</v>
          </cell>
          <cell r="S116">
            <v>0.17699068651373301</v>
          </cell>
        </row>
        <row r="117">
          <cell r="N117">
            <v>49998</v>
          </cell>
          <cell r="S117">
            <v>0.17781777082066799</v>
          </cell>
        </row>
        <row r="118">
          <cell r="N118">
            <v>50090</v>
          </cell>
          <cell r="S118">
            <v>0.178625478823459</v>
          </cell>
        </row>
        <row r="119">
          <cell r="N119">
            <v>50179</v>
          </cell>
          <cell r="S119">
            <v>0.17943599894707599</v>
          </cell>
        </row>
        <row r="120">
          <cell r="N120">
            <v>50271</v>
          </cell>
          <cell r="S120">
            <v>0.18025247671324199</v>
          </cell>
        </row>
        <row r="121">
          <cell r="N121">
            <v>50363</v>
          </cell>
          <cell r="S121">
            <v>0.18106385299192199</v>
          </cell>
        </row>
        <row r="122">
          <cell r="N122">
            <v>50455</v>
          </cell>
          <cell r="S122">
            <v>0.181853022321111</v>
          </cell>
        </row>
        <row r="123">
          <cell r="N123">
            <v>50544</v>
          </cell>
          <cell r="S123">
            <v>0.18264215732929201</v>
          </cell>
        </row>
        <row r="124">
          <cell r="N124">
            <v>50636</v>
          </cell>
          <cell r="S124">
            <v>0.18343361848386899</v>
          </cell>
        </row>
        <row r="125">
          <cell r="N125">
            <v>50728</v>
          </cell>
          <cell r="S125">
            <v>0.18422734950366601</v>
          </cell>
        </row>
        <row r="126">
          <cell r="N126">
            <v>50822</v>
          </cell>
          <cell r="S126">
            <v>0.18498082657446199</v>
          </cell>
        </row>
        <row r="127">
          <cell r="N127">
            <v>50909</v>
          </cell>
          <cell r="S127">
            <v>0.18572945665868701</v>
          </cell>
        </row>
        <row r="128">
          <cell r="N128">
            <v>51001</v>
          </cell>
          <cell r="S128">
            <v>0.18649277957795901</v>
          </cell>
        </row>
        <row r="129">
          <cell r="N129">
            <v>51095</v>
          </cell>
          <cell r="S129">
            <v>0.18723429834337599</v>
          </cell>
        </row>
        <row r="130">
          <cell r="N130">
            <v>51186</v>
          </cell>
          <cell r="S130">
            <v>0.187954316234278</v>
          </cell>
        </row>
        <row r="131">
          <cell r="N131">
            <v>51277</v>
          </cell>
          <cell r="S131">
            <v>0.18866072518410301</v>
          </cell>
        </row>
        <row r="132">
          <cell r="N132">
            <v>51368</v>
          </cell>
          <cell r="S132">
            <v>0.18935255821931399</v>
          </cell>
        </row>
        <row r="133">
          <cell r="N133">
            <v>51459</v>
          </cell>
          <cell r="S133">
            <v>0.19003363141527599</v>
          </cell>
        </row>
        <row r="134">
          <cell r="N134">
            <v>51551</v>
          </cell>
          <cell r="S134">
            <v>0.19069096183925299</v>
          </cell>
        </row>
      </sheetData>
      <sheetData sheetId="10">
        <row r="6">
          <cell r="J6">
            <v>9</v>
          </cell>
        </row>
        <row r="7">
          <cell r="J7">
            <v>10</v>
          </cell>
        </row>
        <row r="8">
          <cell r="J8">
            <v>11</v>
          </cell>
        </row>
        <row r="9">
          <cell r="J9">
            <v>12</v>
          </cell>
        </row>
        <row r="10">
          <cell r="J10">
            <v>13</v>
          </cell>
        </row>
        <row r="11">
          <cell r="J11">
            <v>14</v>
          </cell>
        </row>
        <row r="12">
          <cell r="J12">
            <v>15</v>
          </cell>
        </row>
        <row r="13">
          <cell r="J13">
            <v>16</v>
          </cell>
        </row>
        <row r="14">
          <cell r="B14">
            <v>4.75</v>
          </cell>
          <cell r="J14">
            <v>17</v>
          </cell>
        </row>
        <row r="16">
          <cell r="L16" t="str">
            <v>3M v 6M</v>
          </cell>
        </row>
        <row r="17">
          <cell r="H17" t="str">
            <v>Term</v>
          </cell>
          <cell r="J17" t="str">
            <v>offer</v>
          </cell>
          <cell r="L17" t="str">
            <v xml:space="preserve">bid </v>
          </cell>
          <cell r="N17" t="str">
            <v>mid</v>
          </cell>
        </row>
        <row r="18">
          <cell r="H18" t="str">
            <v xml:space="preserve"> 1Y</v>
          </cell>
          <cell r="J18" t="str">
            <v xml:space="preserve">9.75 </v>
          </cell>
          <cell r="L18" t="str">
            <v xml:space="preserve"> 9.25</v>
          </cell>
          <cell r="N18">
            <v>8.2500000000000004E-2</v>
          </cell>
        </row>
        <row r="19">
          <cell r="H19" t="str">
            <v xml:space="preserve"> 2Y</v>
          </cell>
          <cell r="J19" t="str">
            <v>10.75</v>
          </cell>
          <cell r="L19" t="str">
            <v xml:space="preserve"> 9.00</v>
          </cell>
          <cell r="N19">
            <v>0.08</v>
          </cell>
        </row>
        <row r="20">
          <cell r="H20" t="str">
            <v xml:space="preserve"> 3Y</v>
          </cell>
          <cell r="J20" t="str">
            <v>11.00</v>
          </cell>
          <cell r="L20" t="str">
            <v xml:space="preserve"> 8.75</v>
          </cell>
          <cell r="N20">
            <v>7.7499999999999999E-2</v>
          </cell>
        </row>
        <row r="21">
          <cell r="B21" t="str">
            <v>Bank Bills</v>
          </cell>
          <cell r="H21" t="str">
            <v xml:space="preserve"> 4Y</v>
          </cell>
          <cell r="J21" t="str">
            <v>11.00</v>
          </cell>
          <cell r="L21" t="str">
            <v xml:space="preserve"> 8.75</v>
          </cell>
          <cell r="N21">
            <v>7.7499999999999999E-2</v>
          </cell>
        </row>
        <row r="22">
          <cell r="B22" t="str">
            <v xml:space="preserve">bid </v>
          </cell>
          <cell r="D22" t="str">
            <v>mid</v>
          </cell>
          <cell r="E22" t="str">
            <v>Early</v>
          </cell>
          <cell r="G22" t="str">
            <v>Today</v>
          </cell>
          <cell r="H22" t="str">
            <v xml:space="preserve"> 5Y</v>
          </cell>
          <cell r="J22" t="str">
            <v>10.75</v>
          </cell>
          <cell r="L22" t="str">
            <v xml:space="preserve"> 8.25</v>
          </cell>
          <cell r="N22">
            <v>7.2499999999999995E-2</v>
          </cell>
        </row>
        <row r="23">
          <cell r="B23" t="str">
            <v>4.83</v>
          </cell>
          <cell r="D23">
            <v>4.82</v>
          </cell>
          <cell r="E23">
            <v>4.8049999999999997</v>
          </cell>
          <cell r="G23">
            <v>4.82</v>
          </cell>
          <cell r="H23" t="str">
            <v xml:space="preserve"> 7Y</v>
          </cell>
          <cell r="J23" t="str">
            <v xml:space="preserve">9.75 </v>
          </cell>
          <cell r="L23" t="str">
            <v xml:space="preserve"> 7.75</v>
          </cell>
          <cell r="N23">
            <v>6.7500000000000004E-2</v>
          </cell>
          <cell r="S23">
            <v>11</v>
          </cell>
        </row>
        <row r="24">
          <cell r="J24" t="str">
            <v xml:space="preserve">8.50 </v>
          </cell>
          <cell r="L24" t="str">
            <v xml:space="preserve"> 7.50</v>
          </cell>
          <cell r="N24">
            <v>6.5000000000000002E-2</v>
          </cell>
        </row>
        <row r="25">
          <cell r="L25" t="str">
            <v xml:space="preserve"> 6.75</v>
          </cell>
          <cell r="N25">
            <v>5.2499999999999998E-2</v>
          </cell>
          <cell r="S25">
            <v>10</v>
          </cell>
        </row>
        <row r="26">
          <cell r="L26" t="str">
            <v xml:space="preserve"> 6.00</v>
          </cell>
          <cell r="N26">
            <v>4.4999999999999998E-2</v>
          </cell>
        </row>
        <row r="27">
          <cell r="L27" t="str">
            <v xml:space="preserve"> 5.50</v>
          </cell>
          <cell r="N27">
            <v>0.04</v>
          </cell>
          <cell r="S27">
            <v>10</v>
          </cell>
        </row>
        <row r="28">
          <cell r="L28" t="str">
            <v xml:space="preserve"> 5.25</v>
          </cell>
          <cell r="N28">
            <v>3.7499999999999999E-2</v>
          </cell>
        </row>
        <row r="29">
          <cell r="S29">
            <v>11</v>
          </cell>
        </row>
        <row r="31">
          <cell r="N31" t="str">
            <v>Mid</v>
          </cell>
        </row>
        <row r="32">
          <cell r="N32">
            <v>4.75</v>
          </cell>
          <cell r="P32">
            <v>6.0273972602739728E-2</v>
          </cell>
          <cell r="S32">
            <v>13</v>
          </cell>
        </row>
        <row r="33">
          <cell r="N33">
            <v>4.7699999999999996</v>
          </cell>
          <cell r="P33">
            <v>0.30958904109589042</v>
          </cell>
          <cell r="S33">
            <v>14</v>
          </cell>
        </row>
        <row r="34">
          <cell r="N34">
            <v>4.8</v>
          </cell>
          <cell r="S34">
            <v>14</v>
          </cell>
        </row>
        <row r="35">
          <cell r="N35">
            <v>4.84</v>
          </cell>
          <cell r="S35">
            <v>15</v>
          </cell>
        </row>
        <row r="36">
          <cell r="N36">
            <v>4.87</v>
          </cell>
          <cell r="S36">
            <v>15</v>
          </cell>
        </row>
        <row r="37">
          <cell r="N37">
            <v>4.8949999999999996</v>
          </cell>
        </row>
        <row r="38">
          <cell r="N38">
            <v>4.92</v>
          </cell>
        </row>
        <row r="39">
          <cell r="N39">
            <v>4.99</v>
          </cell>
        </row>
        <row r="40">
          <cell r="N40">
            <v>5.05</v>
          </cell>
        </row>
        <row r="41">
          <cell r="N41">
            <v>5.27</v>
          </cell>
        </row>
        <row r="46">
          <cell r="N46" t="str">
            <v>bid</v>
          </cell>
          <cell r="O46" t="str">
            <v>offer</v>
          </cell>
          <cell r="R46" t="str">
            <v>bid</v>
          </cell>
          <cell r="S46" t="str">
            <v>offer</v>
          </cell>
        </row>
        <row r="47">
          <cell r="N47">
            <v>94.95</v>
          </cell>
          <cell r="O47">
            <v>94.960000000000008</v>
          </cell>
          <cell r="R47" t="str">
            <v>+4.905</v>
          </cell>
          <cell r="S47" t="str">
            <v>+5.005</v>
          </cell>
        </row>
        <row r="48">
          <cell r="N48">
            <v>94.63</v>
          </cell>
          <cell r="O48">
            <v>94.634999999999991</v>
          </cell>
          <cell r="R48" t="str">
            <v>+4.933</v>
          </cell>
          <cell r="S48" t="str">
            <v>+5.033</v>
          </cell>
        </row>
        <row r="49">
          <cell r="R49" t="str">
            <v>+4.963</v>
          </cell>
          <cell r="S49" t="str">
            <v>+5.063</v>
          </cell>
        </row>
        <row r="50">
          <cell r="N50" t="str">
            <v>mid</v>
          </cell>
          <cell r="O50" t="str">
            <v>yield</v>
          </cell>
          <cell r="R50" t="str">
            <v>+4.988</v>
          </cell>
          <cell r="S50" t="str">
            <v>+5.088</v>
          </cell>
        </row>
        <row r="51">
          <cell r="R51" t="str">
            <v>+5.000</v>
          </cell>
          <cell r="S51" t="str">
            <v>+5.100</v>
          </cell>
        </row>
        <row r="52">
          <cell r="B52">
            <v>54</v>
          </cell>
          <cell r="C52">
            <v>54</v>
          </cell>
          <cell r="D52">
            <v>54</v>
          </cell>
          <cell r="E52">
            <v>0</v>
          </cell>
          <cell r="F52">
            <v>54</v>
          </cell>
          <cell r="G52">
            <v>5.9050000000000091</v>
          </cell>
          <cell r="H52">
            <v>56.25</v>
          </cell>
          <cell r="I52">
            <v>5.9325000000000045</v>
          </cell>
          <cell r="J52">
            <v>51.75</v>
          </cell>
          <cell r="K52">
            <v>5.8825000000000092</v>
          </cell>
          <cell r="N52">
            <v>94.955000000000013</v>
          </cell>
          <cell r="O52">
            <v>5.0449999999999875</v>
          </cell>
          <cell r="R52" t="str">
            <v>+5.072</v>
          </cell>
          <cell r="S52" t="str">
            <v>+5.172</v>
          </cell>
        </row>
        <row r="53">
          <cell r="B53">
            <v>59.25</v>
          </cell>
          <cell r="C53">
            <v>59.25</v>
          </cell>
          <cell r="D53">
            <v>59</v>
          </cell>
          <cell r="E53">
            <v>0</v>
          </cell>
          <cell r="F53">
            <v>59.166666666666664</v>
          </cell>
          <cell r="G53">
            <v>5.9566666666666759</v>
          </cell>
          <cell r="H53">
            <v>61.75</v>
          </cell>
          <cell r="I53">
            <v>5.9875000000000043</v>
          </cell>
          <cell r="J53">
            <v>56.75</v>
          </cell>
          <cell r="K53">
            <v>5.932500000000009</v>
          </cell>
          <cell r="N53">
            <v>94.632499999999993</v>
          </cell>
          <cell r="O53">
            <v>5.3675000000000068</v>
          </cell>
          <cell r="R53" t="str">
            <v>#N/A The record could not be found</v>
          </cell>
          <cell r="S53" t="str">
            <v>#N/A The record could not be found</v>
          </cell>
        </row>
        <row r="54">
          <cell r="B54">
            <v>62.25</v>
          </cell>
          <cell r="C54">
            <v>62.25</v>
          </cell>
          <cell r="D54">
            <v>61.725000000000001</v>
          </cell>
          <cell r="E54">
            <v>0</v>
          </cell>
          <cell r="F54">
            <v>62.074999999999996</v>
          </cell>
          <cell r="G54">
            <v>5.9857500000000092</v>
          </cell>
          <cell r="H54">
            <v>64.75</v>
          </cell>
          <cell r="I54">
            <v>6.0175000000000045</v>
          </cell>
          <cell r="J54">
            <v>59.75</v>
          </cell>
          <cell r="K54">
            <v>5.9625000000000092</v>
          </cell>
          <cell r="N54" t="str">
            <v>BID</v>
          </cell>
          <cell r="O54" t="str">
            <v>yield</v>
          </cell>
          <cell r="R54" t="str">
            <v>#N/A The record could not be found</v>
          </cell>
          <cell r="S54" t="str">
            <v>#N/A The record could not be found</v>
          </cell>
        </row>
        <row r="55">
          <cell r="B55">
            <v>52.5</v>
          </cell>
          <cell r="C55">
            <v>52.75</v>
          </cell>
          <cell r="D55">
            <v>52.725000000000001</v>
          </cell>
          <cell r="E55">
            <v>0</v>
          </cell>
          <cell r="F55">
            <v>52.658333333333331</v>
          </cell>
          <cell r="G55">
            <v>5.8915833333333421</v>
          </cell>
          <cell r="H55">
            <v>55.125</v>
          </cell>
          <cell r="I55">
            <v>5.9212500000000041</v>
          </cell>
          <cell r="J55">
            <v>50.125</v>
          </cell>
          <cell r="K55">
            <v>5.8662500000000088</v>
          </cell>
          <cell r="N55">
            <v>94.95</v>
          </cell>
          <cell r="O55">
            <v>5.0499999999999972</v>
          </cell>
          <cell r="R55" t="str">
            <v>+5.109</v>
          </cell>
          <cell r="S55" t="str">
            <v>+5.209</v>
          </cell>
        </row>
        <row r="56">
          <cell r="B56">
            <v>38.5</v>
          </cell>
          <cell r="C56">
            <v>38.875</v>
          </cell>
          <cell r="D56">
            <v>38.725000000000001</v>
          </cell>
          <cell r="E56">
            <v>0</v>
          </cell>
          <cell r="F56">
            <v>38.699999999999996</v>
          </cell>
          <cell r="G56">
            <v>5.7520000000000087</v>
          </cell>
          <cell r="H56">
            <v>41.1875</v>
          </cell>
          <cell r="I56">
            <v>5.7818750000000048</v>
          </cell>
          <cell r="J56">
            <v>36.1875</v>
          </cell>
          <cell r="K56">
            <v>5.7268750000000095</v>
          </cell>
          <cell r="N56">
            <v>94.63</v>
          </cell>
          <cell r="O56">
            <v>5.3700000000000045</v>
          </cell>
        </row>
        <row r="57">
          <cell r="B57">
            <v>24</v>
          </cell>
          <cell r="C57">
            <v>25</v>
          </cell>
          <cell r="D57">
            <v>25</v>
          </cell>
          <cell r="E57">
            <v>0</v>
          </cell>
          <cell r="F57">
            <v>24.666666666666668</v>
          </cell>
          <cell r="G57">
            <v>5.6116666666666761</v>
          </cell>
          <cell r="H57">
            <v>27</v>
          </cell>
          <cell r="I57">
            <v>5.6400000000000041</v>
          </cell>
          <cell r="J57">
            <v>22</v>
          </cell>
          <cell r="K57">
            <v>5.5850000000000088</v>
          </cell>
          <cell r="N57" t="str">
            <v>OFFER</v>
          </cell>
          <cell r="O57" t="str">
            <v>yield</v>
          </cell>
        </row>
        <row r="58">
          <cell r="N58">
            <v>94.960000000000008</v>
          </cell>
          <cell r="O58">
            <v>5.039999999999992</v>
          </cell>
        </row>
        <row r="59">
          <cell r="H59" t="str">
            <v>ur prob looking at a diff co</v>
          </cell>
          <cell r="N59">
            <v>94.634999999999991</v>
          </cell>
          <cell r="O59">
            <v>5.3650000000000091</v>
          </cell>
        </row>
        <row r="60">
          <cell r="B60" t="str">
            <v>icapauswaps01</v>
          </cell>
          <cell r="D60" t="str">
            <v>autta5</v>
          </cell>
          <cell r="F60" t="str">
            <v>bgcaud</v>
          </cell>
        </row>
        <row r="61">
          <cell r="B61" t="str">
            <v>OFFER</v>
          </cell>
          <cell r="C61" t="str">
            <v>BID</v>
          </cell>
          <cell r="D61" t="str">
            <v>OFFER</v>
          </cell>
          <cell r="E61" t="str">
            <v>BID</v>
          </cell>
          <cell r="F61" t="str">
            <v>OFFER</v>
          </cell>
          <cell r="G61" t="str">
            <v>BID</v>
          </cell>
          <cell r="I61" t="str">
            <v>FlatForward</v>
          </cell>
          <cell r="K61" t="e">
            <v>#REF!</v>
          </cell>
          <cell r="N61">
            <v>94.960000000000008</v>
          </cell>
        </row>
        <row r="62">
          <cell r="B62">
            <v>5.15</v>
          </cell>
          <cell r="C62">
            <v>5.0999999999999996</v>
          </cell>
          <cell r="D62">
            <v>5.1429999999999998</v>
          </cell>
          <cell r="E62">
            <v>5.1029999999999998</v>
          </cell>
          <cell r="I62" t="str">
            <v>LinearZero</v>
          </cell>
          <cell r="K62" t="e">
            <v>#REF!</v>
          </cell>
          <cell r="N62">
            <v>94.634999999999991</v>
          </cell>
        </row>
        <row r="64">
          <cell r="N64" t="str">
            <v>ImpliedQuote</v>
          </cell>
        </row>
        <row r="65">
          <cell r="N65" t="str">
            <v>AUD-IRSwap-1Y</v>
          </cell>
        </row>
        <row r="66">
          <cell r="B66">
            <v>62</v>
          </cell>
          <cell r="C66">
            <v>57</v>
          </cell>
          <cell r="D66">
            <v>61.25</v>
          </cell>
          <cell r="E66">
            <v>57.25</v>
          </cell>
          <cell r="F66">
            <v>62.25</v>
          </cell>
          <cell r="G66">
            <v>58.25</v>
          </cell>
          <cell r="H66">
            <v>5.5312499999999947</v>
          </cell>
          <cell r="J66">
            <v>5.547499999999987</v>
          </cell>
          <cell r="K66">
            <v>0</v>
          </cell>
          <cell r="N66" t="str">
            <v>AUD-IRSwap-2Y</v>
          </cell>
        </row>
        <row r="67">
          <cell r="B67">
            <v>39</v>
          </cell>
          <cell r="C67">
            <v>34</v>
          </cell>
          <cell r="D67">
            <v>38.5</v>
          </cell>
          <cell r="E67">
            <v>34.5</v>
          </cell>
          <cell r="F67">
            <v>38.5</v>
          </cell>
          <cell r="G67">
            <v>34.5</v>
          </cell>
          <cell r="H67">
            <v>5.6387499999999946</v>
          </cell>
          <cell r="J67">
            <v>5.6599999999999877</v>
          </cell>
          <cell r="K67">
            <v>0</v>
          </cell>
          <cell r="N67" t="str">
            <v>AUD-IRSwap-3Y</v>
          </cell>
        </row>
        <row r="68">
          <cell r="B68">
            <v>45.5</v>
          </cell>
          <cell r="C68">
            <v>40.5</v>
          </cell>
          <cell r="D68">
            <v>45</v>
          </cell>
          <cell r="E68">
            <v>41</v>
          </cell>
          <cell r="F68">
            <v>45.5</v>
          </cell>
          <cell r="G68">
            <v>41.5</v>
          </cell>
          <cell r="H68">
            <v>5.732500000000007</v>
          </cell>
        </row>
        <row r="69">
          <cell r="B69">
            <v>50.25</v>
          </cell>
          <cell r="C69">
            <v>45.25</v>
          </cell>
          <cell r="D69">
            <v>50</v>
          </cell>
          <cell r="E69">
            <v>46</v>
          </cell>
          <cell r="F69">
            <v>49.5</v>
          </cell>
          <cell r="G69">
            <v>45.5</v>
          </cell>
          <cell r="H69">
            <v>5.7975000000000065</v>
          </cell>
          <cell r="J69">
            <v>5.8275000000000068</v>
          </cell>
          <cell r="K69">
            <v>0</v>
          </cell>
        </row>
        <row r="70">
          <cell r="B70">
            <v>53.5</v>
          </cell>
          <cell r="C70">
            <v>48.5</v>
          </cell>
          <cell r="D70">
            <v>53.25</v>
          </cell>
          <cell r="E70">
            <v>49.25</v>
          </cell>
          <cell r="F70">
            <v>52.75</v>
          </cell>
          <cell r="G70">
            <v>48.7</v>
          </cell>
          <cell r="H70">
            <v>5.8462500000000066</v>
          </cell>
        </row>
        <row r="71">
          <cell r="B71">
            <v>56.5</v>
          </cell>
          <cell r="C71">
            <v>51.5</v>
          </cell>
          <cell r="D71">
            <v>56</v>
          </cell>
          <cell r="E71">
            <v>52</v>
          </cell>
          <cell r="F71">
            <v>56</v>
          </cell>
          <cell r="G71">
            <v>52</v>
          </cell>
          <cell r="H71">
            <v>5.8787500000000064</v>
          </cell>
        </row>
        <row r="72">
          <cell r="B72">
            <v>62.25</v>
          </cell>
          <cell r="C72">
            <v>56.25</v>
          </cell>
          <cell r="D72">
            <v>61.25</v>
          </cell>
          <cell r="E72">
            <v>57.25</v>
          </cell>
          <cell r="F72">
            <v>61</v>
          </cell>
          <cell r="G72">
            <v>57</v>
          </cell>
          <cell r="H72">
            <v>5.9075000000000069</v>
          </cell>
          <cell r="J72">
            <v>5.9375000000000071</v>
          </cell>
          <cell r="K72">
            <v>0</v>
          </cell>
        </row>
        <row r="73">
          <cell r="B73">
            <v>65.25</v>
          </cell>
          <cell r="C73">
            <v>59.25</v>
          </cell>
          <cell r="D73">
            <v>64.25</v>
          </cell>
          <cell r="E73">
            <v>60.25</v>
          </cell>
          <cell r="F73">
            <v>63.7</v>
          </cell>
          <cell r="G73">
            <v>59.75</v>
          </cell>
          <cell r="H73">
            <v>5.9600000000000062</v>
          </cell>
        </row>
        <row r="74">
          <cell r="B74">
            <v>55.5</v>
          </cell>
          <cell r="C74">
            <v>49.5</v>
          </cell>
          <cell r="D74">
            <v>54.75</v>
          </cell>
          <cell r="E74">
            <v>50.75</v>
          </cell>
          <cell r="F74">
            <v>54.7</v>
          </cell>
          <cell r="G74">
            <v>50.75</v>
          </cell>
          <cell r="H74">
            <v>5.9900000000000073</v>
          </cell>
          <cell r="J74">
            <v>6.045000000000007</v>
          </cell>
          <cell r="K74">
            <v>0</v>
          </cell>
        </row>
        <row r="75">
          <cell r="B75">
            <v>41.5</v>
          </cell>
          <cell r="C75">
            <v>35.5</v>
          </cell>
          <cell r="D75">
            <v>40.875</v>
          </cell>
          <cell r="E75">
            <v>36.875</v>
          </cell>
          <cell r="F75">
            <v>40.700000000000003</v>
          </cell>
          <cell r="G75">
            <v>36.75</v>
          </cell>
          <cell r="H75">
            <v>5.893750000000006</v>
          </cell>
          <cell r="J75">
            <v>5.982500000000007</v>
          </cell>
          <cell r="K75">
            <v>0</v>
          </cell>
        </row>
        <row r="76">
          <cell r="B76">
            <v>27</v>
          </cell>
          <cell r="C76">
            <v>21</v>
          </cell>
          <cell r="D76">
            <v>27</v>
          </cell>
          <cell r="E76">
            <v>23</v>
          </cell>
          <cell r="F76">
            <v>27</v>
          </cell>
          <cell r="G76">
            <v>23</v>
          </cell>
          <cell r="H76">
            <v>5.7543750000000067</v>
          </cell>
          <cell r="J76">
            <v>5.8425000000000065</v>
          </cell>
          <cell r="K7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tMain"/>
  <dimension ref="A1:H36"/>
  <sheetViews>
    <sheetView showGridLines="0" showZeros="0" zoomScaleNormal="100" workbookViewId="0">
      <selection activeCell="E21" sqref="E21"/>
    </sheetView>
  </sheetViews>
  <sheetFormatPr defaultRowHeight="12.75"/>
  <cols>
    <col min="1" max="1" width="3.7109375" customWidth="1"/>
    <col min="2" max="2" width="25.5703125" customWidth="1"/>
    <col min="3" max="3" width="7" style="22" customWidth="1"/>
    <col min="4" max="4" width="20" style="22" customWidth="1"/>
    <col min="5" max="5" width="20.7109375" customWidth="1"/>
    <col min="6" max="6" width="22.5703125" customWidth="1"/>
  </cols>
  <sheetData>
    <row r="1" spans="2:8" s="1" customFormat="1" ht="0.95" customHeight="1">
      <c r="C1" s="22"/>
      <c r="D1" s="22"/>
    </row>
    <row r="2" spans="2:8" s="60" customFormat="1" ht="24.95" customHeight="1">
      <c r="B2" s="61" t="s">
        <v>88</v>
      </c>
      <c r="C2" s="62"/>
      <c r="D2" s="62"/>
      <c r="E2" s="61"/>
      <c r="F2" s="61"/>
      <c r="G2" s="61"/>
      <c r="H2" s="61"/>
    </row>
    <row r="4" spans="2:8" s="1" customFormat="1">
      <c r="C4" s="22"/>
      <c r="D4" s="22"/>
    </row>
    <row r="5" spans="2:8" s="1" customFormat="1">
      <c r="B5" s="1" t="s">
        <v>91</v>
      </c>
      <c r="C5" s="1" t="s">
        <v>68</v>
      </c>
      <c r="E5" s="27">
        <v>40610.612083333333</v>
      </c>
    </row>
    <row r="6" spans="2:8" s="1" customFormat="1">
      <c r="C6" s="1" t="s">
        <v>72</v>
      </c>
      <c r="E6" s="27">
        <f ca="1">NOW()</f>
        <v>40681.601016435183</v>
      </c>
    </row>
    <row r="7" spans="2:8" s="1" customFormat="1">
      <c r="C7" s="1" t="s">
        <v>71</v>
      </c>
      <c r="E7" s="23">
        <v>5.703125</v>
      </c>
    </row>
    <row r="8" spans="2:8" s="1" customFormat="1">
      <c r="E8" s="25"/>
    </row>
    <row r="9" spans="2:8" s="1" customFormat="1">
      <c r="E9" s="25"/>
    </row>
    <row r="10" spans="2:8" s="1" customFormat="1">
      <c r="E10" s="25"/>
    </row>
    <row r="11" spans="2:8">
      <c r="B11" s="1" t="s">
        <v>92</v>
      </c>
      <c r="C11" s="22" t="s">
        <v>14</v>
      </c>
      <c r="E11" s="16" t="s">
        <v>103</v>
      </c>
    </row>
    <row r="12" spans="2:8" s="1" customFormat="1">
      <c r="C12" s="22"/>
      <c r="D12" s="22"/>
    </row>
    <row r="13" spans="2:8">
      <c r="C13" s="1" t="s">
        <v>89</v>
      </c>
      <c r="D13" s="1"/>
      <c r="E13" s="15">
        <v>2</v>
      </c>
    </row>
    <row r="14" spans="2:8" s="1" customFormat="1"/>
    <row r="15" spans="2:8" s="1" customFormat="1">
      <c r="C15" s="22" t="s">
        <v>90</v>
      </c>
      <c r="D15" s="22"/>
      <c r="E15" s="15">
        <v>1440</v>
      </c>
    </row>
    <row r="16" spans="2:8" s="1" customFormat="1">
      <c r="C16" s="22"/>
      <c r="D16" s="22"/>
    </row>
    <row r="17" spans="1:6">
      <c r="C17" s="22" t="s">
        <v>15</v>
      </c>
      <c r="E17" s="125" t="s">
        <v>16</v>
      </c>
      <c r="F17" s="126"/>
    </row>
    <row r="18" spans="1:6" s="1" customFormat="1">
      <c r="C18" s="22"/>
      <c r="D18" s="22"/>
    </row>
    <row r="19" spans="1:6" s="1" customFormat="1">
      <c r="C19" s="26" t="s">
        <v>94</v>
      </c>
      <c r="D19" s="123"/>
      <c r="E19" s="124" t="s">
        <v>70</v>
      </c>
    </row>
    <row r="20" spans="1:6" s="1" customFormat="1">
      <c r="C20" s="30" t="s">
        <v>73</v>
      </c>
      <c r="D20" s="1" t="s">
        <v>95</v>
      </c>
      <c r="E20" s="29" t="e">
        <f ca="1">MIN(Trader!C7,Trader!I7,Trader!O7)</f>
        <v>#NAME?</v>
      </c>
    </row>
    <row r="21" spans="1:6" s="1" customFormat="1">
      <c r="C21" s="30" t="s">
        <v>73</v>
      </c>
      <c r="D21" s="1" t="s">
        <v>96</v>
      </c>
      <c r="E21" s="29">
        <f ca="1">MIN(LPM!C7,LPM!G7,LPM!K7,LPM!O7,LPM!S7)</f>
        <v>40681.600893125003</v>
      </c>
    </row>
    <row r="22" spans="1:6">
      <c r="A22" s="1"/>
      <c r="B22" s="1"/>
      <c r="C22" s="30" t="s">
        <v>73</v>
      </c>
      <c r="D22" s="1" t="s">
        <v>97</v>
      </c>
      <c r="E22" s="29">
        <f ca="1">MIN(SuperD!C7,SuperD!J7)</f>
        <v>40681.594371331019</v>
      </c>
    </row>
    <row r="23" spans="1:6" s="1" customFormat="1"/>
    <row r="24" spans="1:6" s="1" customFormat="1"/>
    <row r="25" spans="1:6" s="1" customFormat="1"/>
    <row r="26" spans="1:6" s="1" customFormat="1">
      <c r="C26" s="22"/>
      <c r="D26" s="22"/>
    </row>
    <row r="27" spans="1:6">
      <c r="B27" s="1" t="s">
        <v>93</v>
      </c>
      <c r="C27" s="1" t="s">
        <v>67</v>
      </c>
      <c r="D27" s="1"/>
      <c r="E27" s="25">
        <v>40681</v>
      </c>
    </row>
    <row r="28" spans="1:6" s="1" customFormat="1">
      <c r="E28" s="122"/>
    </row>
    <row r="29" spans="1:6" s="1" customFormat="1"/>
    <row r="30" spans="1:6">
      <c r="B30" s="1"/>
      <c r="E30" s="1"/>
      <c r="F30" s="1"/>
    </row>
    <row r="31" spans="1:6">
      <c r="B31" s="1"/>
      <c r="E31" s="1"/>
      <c r="F31" s="1"/>
    </row>
    <row r="32" spans="1:6">
      <c r="B32" s="1"/>
      <c r="E32" s="1"/>
      <c r="F32" s="1"/>
    </row>
    <row r="33" spans="2:6">
      <c r="B33" s="1"/>
      <c r="E33" s="1"/>
      <c r="F33" s="1"/>
    </row>
    <row r="34" spans="2:6">
      <c r="B34" s="1"/>
      <c r="E34" s="1"/>
      <c r="F34" s="1"/>
    </row>
    <row r="35" spans="2:6" s="1" customFormat="1">
      <c r="C35" s="22"/>
      <c r="D35" s="22"/>
    </row>
    <row r="36" spans="2:6" s="1" customFormat="1">
      <c r="C36" s="22"/>
      <c r="D36" s="22"/>
    </row>
  </sheetData>
  <conditionalFormatting sqref="C20:C22">
    <cfRule type="cellIs" dxfId="0" priority="1" operator="equal">
      <formula>"Off"</formula>
    </cfRule>
  </conditionalFormatting>
  <dataValidations count="1">
    <dataValidation type="list" allowBlank="1" showInputMessage="1" showErrorMessage="1" sqref="C20:C22">
      <formula1>"On,Off"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tTrader"/>
  <dimension ref="B1:S72"/>
  <sheetViews>
    <sheetView showGridLines="0" tabSelected="1" topLeftCell="A4" workbookViewId="0">
      <selection activeCell="O12" sqref="O12:O32"/>
    </sheetView>
  </sheetViews>
  <sheetFormatPr defaultRowHeight="15"/>
  <cols>
    <col min="1" max="1" width="3.7109375" style="32" customWidth="1"/>
    <col min="2" max="2" width="20.7109375" style="32" customWidth="1"/>
    <col min="3" max="3" width="20.7109375" style="33" customWidth="1"/>
    <col min="4" max="4" width="12.7109375" style="34" customWidth="1"/>
    <col min="5" max="5" width="12.7109375" style="35" customWidth="1"/>
    <col min="6" max="6" width="12.7109375" style="36" customWidth="1"/>
    <col min="7" max="7" width="7.7109375" style="32" customWidth="1"/>
    <col min="8" max="8" width="26" style="37" customWidth="1"/>
    <col min="9" max="9" width="20.7109375" style="38" customWidth="1"/>
    <col min="10" max="11" width="12.7109375" style="32" customWidth="1"/>
    <col min="12" max="12" width="12.7109375" style="49" customWidth="1"/>
    <col min="13" max="13" width="7.7109375" style="32" customWidth="1"/>
    <col min="14" max="14" width="26" style="32" customWidth="1"/>
    <col min="15" max="15" width="20.7109375" style="32" customWidth="1"/>
    <col min="16" max="17" width="12.7109375" style="32" customWidth="1"/>
    <col min="18" max="18" width="12.7109375" style="49" customWidth="1"/>
    <col min="19" max="16384" width="9.140625" style="32"/>
  </cols>
  <sheetData>
    <row r="1" spans="2:18" ht="0.95" customHeight="1"/>
    <row r="2" spans="2:18" s="59" customFormat="1" ht="24.95" customHeight="1">
      <c r="B2" s="51" t="s">
        <v>63</v>
      </c>
      <c r="C2" s="52"/>
      <c r="D2" s="53" t="str">
        <f>IF(Publish_TRADER="Off","Publishing is OFF","")</f>
        <v/>
      </c>
      <c r="E2" s="54"/>
      <c r="F2" s="55"/>
      <c r="G2" s="51"/>
      <c r="H2" s="56"/>
      <c r="I2" s="57"/>
      <c r="J2" s="51"/>
      <c r="K2" s="51"/>
      <c r="L2" s="58"/>
      <c r="M2" s="51"/>
      <c r="N2" s="51"/>
      <c r="O2" s="51"/>
      <c r="P2" s="51"/>
      <c r="Q2" s="51"/>
      <c r="R2" s="58"/>
    </row>
    <row r="4" spans="2:18" ht="15" customHeight="1">
      <c r="B4" s="77"/>
      <c r="C4" s="77"/>
      <c r="D4" s="39"/>
      <c r="E4" s="40"/>
      <c r="F4" s="41"/>
      <c r="H4" s="77"/>
      <c r="I4" s="77"/>
    </row>
    <row r="5" spans="2:18" ht="15" customHeight="1">
      <c r="B5" s="92" t="s">
        <v>58</v>
      </c>
      <c r="C5" s="93"/>
      <c r="D5" s="94"/>
      <c r="E5" s="94"/>
      <c r="F5" s="95"/>
      <c r="H5" s="92" t="s">
        <v>61</v>
      </c>
      <c r="I5" s="93"/>
      <c r="J5" s="94"/>
      <c r="K5" s="94"/>
      <c r="L5" s="95"/>
      <c r="N5" s="92" t="s">
        <v>66</v>
      </c>
      <c r="O5" s="93"/>
      <c r="P5" s="94"/>
      <c r="Q5" s="94"/>
      <c r="R5" s="95"/>
    </row>
    <row r="6" spans="2:18" ht="15" customHeight="1">
      <c r="B6" s="77" t="s">
        <v>75</v>
      </c>
      <c r="C6" s="2" t="str">
        <f t="array" aca="1" ref="C6:C7" ca="1">IF(Publish_TRADER="On",_xll.qComRuntimePubZero(ValueDate,B12:B37,D12:D37,C12:C37,F12:F37,E12:E37,"AUD","LIBOR-BBA","3M",C40,,CreationTime+CurveLifetime/1440),"Publishing is OFF")</f>
        <v>Highlander.Market.TestTraderMid.RateCurve.AUD-LIBOR-BBA-3M</v>
      </c>
      <c r="D6" s="4"/>
      <c r="E6" s="4"/>
      <c r="F6" s="8"/>
      <c r="G6" s="32" t="s">
        <v>57</v>
      </c>
      <c r="H6" s="77" t="s">
        <v>75</v>
      </c>
      <c r="I6" s="46" t="e">
        <f t="array" aca="1" ref="I6:I7" ca="1">IF(Publish_TRADER="On",_xll.qComRuntimePubBasis(ValueDate,H12:H32,J12:J32,I12:I32,L12:L32,K12:K32,"AUD","LIBOR-BBA","1M",I40,,C6,CreationTime+CurveLifetime/1440),"Publishing is OFF")</f>
        <v>#VALUE!</v>
      </c>
      <c r="L6" s="8"/>
      <c r="M6" s="32" t="s">
        <v>57</v>
      </c>
      <c r="N6" s="77" t="s">
        <v>75</v>
      </c>
      <c r="O6" s="47" t="e">
        <f t="array" aca="1" ref="O6:O7" ca="1">IF(Publish_TRADER="On",_xll.qComRuntimePubBasis(ValueDate,N12:N32,P12:P32,O12:O32,R12:R32,Q12:Q32,"AUD","LIBOR-BBA","6M",O40,,C6,CreationTime+(CurveLifetime/1440)),"Publishing is OFF")</f>
        <v>#VALUE!</v>
      </c>
      <c r="R6" s="8"/>
    </row>
    <row r="7" spans="2:18" ht="15" customHeight="1">
      <c r="B7" s="77" t="s">
        <v>81</v>
      </c>
      <c r="C7" s="71">
        <f ca="1"/>
        <v>40681.621793622682</v>
      </c>
      <c r="D7" s="4"/>
      <c r="E7" s="4"/>
      <c r="F7" s="8"/>
      <c r="H7" s="77" t="s">
        <v>81</v>
      </c>
      <c r="I7" s="71" t="e">
        <f ca="1"/>
        <v>#VALUE!</v>
      </c>
      <c r="L7" s="8"/>
      <c r="N7" s="77" t="s">
        <v>81</v>
      </c>
      <c r="O7" s="71" t="e">
        <f ca="1"/>
        <v>#VALUE!</v>
      </c>
      <c r="R7" s="8"/>
    </row>
    <row r="8" spans="2:18" ht="15" customHeight="1">
      <c r="B8" s="78"/>
      <c r="C8" s="77"/>
      <c r="D8" s="4"/>
      <c r="E8" s="4"/>
      <c r="F8" s="8"/>
      <c r="H8" s="76"/>
      <c r="I8" s="76"/>
      <c r="L8" s="8"/>
      <c r="N8" s="76"/>
      <c r="O8" s="76"/>
      <c r="R8" s="8"/>
    </row>
    <row r="9" spans="2:18" ht="15" customHeight="1">
      <c r="B9" s="77" t="s">
        <v>100</v>
      </c>
      <c r="C9" s="77"/>
      <c r="D9" s="2" t="s">
        <v>101</v>
      </c>
      <c r="E9" s="2"/>
      <c r="F9" s="2"/>
      <c r="H9" s="76"/>
      <c r="I9" s="76"/>
      <c r="L9" s="8"/>
      <c r="N9" s="76"/>
      <c r="O9" s="76"/>
      <c r="R9" s="8"/>
    </row>
    <row r="10" spans="2:18" ht="15" customHeight="1">
      <c r="B10" s="77" t="s">
        <v>99</v>
      </c>
      <c r="C10" s="77"/>
      <c r="D10" s="2" t="s">
        <v>102</v>
      </c>
      <c r="E10" s="2"/>
      <c r="F10" s="2"/>
      <c r="H10" s="76"/>
      <c r="I10" s="76"/>
      <c r="L10" s="8"/>
      <c r="N10" s="76"/>
      <c r="O10" s="76"/>
      <c r="R10" s="8"/>
    </row>
    <row r="11" spans="2:18" s="44" customFormat="1">
      <c r="B11" s="3" t="s">
        <v>11</v>
      </c>
      <c r="C11" s="4" t="s">
        <v>12</v>
      </c>
      <c r="D11" s="5" t="str">
        <f t="array" aca="1" ref="D11:F38" ca="1">_xll.qObjectGet(C41,"PillarPoints")</f>
        <v>Date</v>
      </c>
      <c r="E11" s="6" t="str">
        <f ca="1"/>
        <v>Offset</v>
      </c>
      <c r="F11" s="7" t="str">
        <f ca="1"/>
        <v>DF</v>
      </c>
      <c r="H11" s="3" t="s">
        <v>11</v>
      </c>
      <c r="I11" s="4" t="s">
        <v>62</v>
      </c>
      <c r="J11" s="5" t="s">
        <v>49</v>
      </c>
      <c r="K11" s="6" t="s">
        <v>54</v>
      </c>
      <c r="L11" s="7" t="s">
        <v>55</v>
      </c>
      <c r="N11" s="3" t="s">
        <v>11</v>
      </c>
      <c r="O11" s="4" t="s">
        <v>65</v>
      </c>
      <c r="P11" s="5" t="s">
        <v>49</v>
      </c>
      <c r="Q11" s="6" t="s">
        <v>54</v>
      </c>
      <c r="R11" s="7" t="s">
        <v>55</v>
      </c>
    </row>
    <row r="12" spans="2:18">
      <c r="B12" s="9" t="str">
        <f t="array" aca="1" ref="B12:B37" ca="1">[1]!AUDcurveNames</f>
        <v>AUD-Deposit-1D</v>
      </c>
      <c r="C12" s="132">
        <f t="array" aca="1" ref="C12:C37" ca="1">[1]!AUDcurveRates</f>
        <v>4.75</v>
      </c>
      <c r="D12" s="131">
        <f ca="1"/>
        <v>40681</v>
      </c>
      <c r="E12" s="11">
        <f ca="1"/>
        <v>0</v>
      </c>
      <c r="F12" s="12">
        <f ca="1"/>
        <v>1</v>
      </c>
      <c r="H12" s="9" t="str">
        <f t="array" aca="1" ref="H12:H32" ca="1">[1]!AUD1v3names</f>
        <v>AUD-SpreadDeposit-1D-1M</v>
      </c>
      <c r="I12" s="132">
        <f t="array" aca="1" ref="I12:I32" ca="1">[1]!AUD1v3rates</f>
        <v>0</v>
      </c>
      <c r="J12" s="10" t="e">
        <f t="array" aca="1" ref="J12:J32" ca="1">ValueDate + _xll.qObjectGet(I41,"Points.Days")</f>
        <v>#VALUE!</v>
      </c>
      <c r="K12" s="11" t="e">
        <f t="array" aca="1" ref="K12:K32" ca="1">_xll.qObjectGet(I41,"Points.DiscountFactors")</f>
        <v>#VALUE!</v>
      </c>
      <c r="L12" s="12" t="e">
        <f ca="1">_xll.qCurveZeroRate($I$41,ValueDate,J12,,"3M")</f>
        <v>#NAME?</v>
      </c>
      <c r="N12" s="9" t="str">
        <f t="array" aca="1" ref="N12:N32" ca="1">[1]!AUD3v6names</f>
        <v>AUD-SpreadDeposit-1D-6M</v>
      </c>
      <c r="O12" s="132">
        <f t="array" aca="1" ref="O12:O32" ca="1">[1]!AUD3v6rates</f>
        <v>1.0956862068297255E-3</v>
      </c>
      <c r="P12" s="10" t="e">
        <f t="array" aca="1" ref="P12:P32" ca="1">ValueDate + _xll.qObjectGet(O41,"Points.Days")</f>
        <v>#VALUE!</v>
      </c>
      <c r="Q12" s="11" t="e">
        <f t="array" aca="1" ref="Q12:Q32" ca="1">_xll.qObjectGet(O41,"Points.DiscountFactors")</f>
        <v>#VALUE!</v>
      </c>
      <c r="R12" s="12" t="e">
        <f ca="1">_xll.qCurveZeroRate($O$41,ValueDate,P12,,"3M")</f>
        <v>#NAME?</v>
      </c>
    </row>
    <row r="13" spans="2:18">
      <c r="B13" s="9" t="str">
        <f ca="1"/>
        <v>AUD-Deposit-1M</v>
      </c>
      <c r="C13" s="132">
        <f ca="1"/>
        <v>4.82</v>
      </c>
      <c r="D13" s="131">
        <f ca="1"/>
        <v>40682</v>
      </c>
      <c r="E13" s="11">
        <f ca="1"/>
        <v>1</v>
      </c>
      <c r="F13" s="12">
        <f ca="1"/>
        <v>0.99986987994713017</v>
      </c>
      <c r="H13" s="9" t="str">
        <f ca="1"/>
        <v>AUD-SpreadDeposit-1M-1M</v>
      </c>
      <c r="I13" s="132">
        <f ca="1"/>
        <v>0</v>
      </c>
      <c r="J13" s="10" t="e">
        <f ca="1"/>
        <v>#VALUE!</v>
      </c>
      <c r="K13" s="11" t="e">
        <f ca="1"/>
        <v>#VALUE!</v>
      </c>
      <c r="L13" s="12" t="e">
        <f ca="1">_xll.qCurveZeroRate($I$41,ValueDate,J13,,"3M")</f>
        <v>#NAME?</v>
      </c>
      <c r="N13" s="9" t="str">
        <f ca="1"/>
        <v>AUD-SpreadDeposit-1M-6M</v>
      </c>
      <c r="O13" s="132">
        <f ca="1"/>
        <v>1.0956862068297255E-3</v>
      </c>
      <c r="P13" s="10" t="e">
        <f ca="1"/>
        <v>#VALUE!</v>
      </c>
      <c r="Q13" s="11" t="e">
        <f ca="1"/>
        <v>#VALUE!</v>
      </c>
      <c r="R13" s="12" t="e">
        <f ca="1">_xll.qCurveZeroRate($O$41,ValueDate,P13,,"3M")</f>
        <v>#NAME?</v>
      </c>
    </row>
    <row r="14" spans="2:18">
      <c r="B14" s="9" t="str">
        <f ca="1"/>
        <v>AUD-Deposit-2M</v>
      </c>
      <c r="C14" s="132">
        <f ca="1"/>
        <v>4.91</v>
      </c>
      <c r="D14" s="131">
        <f ca="1"/>
        <v>40714</v>
      </c>
      <c r="E14" s="11">
        <f ca="1"/>
        <v>33</v>
      </c>
      <c r="F14" s="12">
        <f ca="1"/>
        <v>0.99566245591424762</v>
      </c>
      <c r="H14" s="9" t="str">
        <f ca="1"/>
        <v>AUD-SpreadDeposit-2M-1M</v>
      </c>
      <c r="I14" s="132">
        <f ca="1"/>
        <v>6.0000000000001025E-4</v>
      </c>
      <c r="J14" s="10" t="e">
        <f ca="1"/>
        <v>#VALUE!</v>
      </c>
      <c r="K14" s="11" t="e">
        <f ca="1"/>
        <v>#VALUE!</v>
      </c>
      <c r="L14" s="12" t="e">
        <f ca="1">_xll.qCurveZeroRate($I$41,ValueDate,J14,,"3M")</f>
        <v>#NAME?</v>
      </c>
      <c r="N14" s="9" t="str">
        <f ca="1"/>
        <v>AUD-SpreadDeposit-2M-6M</v>
      </c>
      <c r="O14" s="132">
        <f ca="1"/>
        <v>1.0956862068297255E-3</v>
      </c>
      <c r="P14" s="10" t="e">
        <f ca="1"/>
        <v>#VALUE!</v>
      </c>
      <c r="Q14" s="11" t="e">
        <f ca="1"/>
        <v>#VALUE!</v>
      </c>
      <c r="R14" s="12" t="e">
        <f ca="1">_xll.qCurveZeroRate($O$41,ValueDate,P14,,"3M")</f>
        <v>#NAME?</v>
      </c>
    </row>
    <row r="15" spans="2:18">
      <c r="B15" s="9" t="str">
        <f ca="1"/>
        <v>AUD-Deposit-3M</v>
      </c>
      <c r="C15" s="132">
        <f ca="1"/>
        <v>4.99</v>
      </c>
      <c r="D15" s="131">
        <f ca="1"/>
        <v>40743</v>
      </c>
      <c r="E15" s="11">
        <f ca="1"/>
        <v>62</v>
      </c>
      <c r="F15" s="12">
        <f ca="1"/>
        <v>0.99173197192218743</v>
      </c>
      <c r="H15" s="9" t="str">
        <f ca="1"/>
        <v>AUD-SpreadDeposit-3M-1M</v>
      </c>
      <c r="I15" s="132">
        <f ca="1"/>
        <v>9.9999999999999395E-4</v>
      </c>
      <c r="J15" s="10" t="e">
        <f ca="1"/>
        <v>#VALUE!</v>
      </c>
      <c r="K15" s="11" t="e">
        <f ca="1"/>
        <v>#VALUE!</v>
      </c>
      <c r="L15" s="12" t="e">
        <f ca="1">_xll.qCurveZeroRate($I$41,ValueDate,J15,,"3M")</f>
        <v>#NAME?</v>
      </c>
      <c r="N15" s="9" t="str">
        <f ca="1"/>
        <v>AUD-SpreadDeposit-3M-6M</v>
      </c>
      <c r="O15" s="132">
        <f ca="1"/>
        <v>1.0956862068297255E-3</v>
      </c>
      <c r="P15" s="10" t="e">
        <f ca="1"/>
        <v>#VALUE!</v>
      </c>
      <c r="Q15" s="11" t="e">
        <f ca="1"/>
        <v>#VALUE!</v>
      </c>
      <c r="R15" s="12" t="e">
        <f ca="1">_xll.qCurveZeroRate($O$41,ValueDate,P15,,"3M")</f>
        <v>#NAME?</v>
      </c>
    </row>
    <row r="16" spans="2:18">
      <c r="B16" s="9" t="str">
        <f ca="1"/>
        <v>AUD-IRFuture-IR-M1</v>
      </c>
      <c r="C16" s="132">
        <f ca="1"/>
        <v>5.0349999999999966</v>
      </c>
      <c r="D16" s="131">
        <f ca="1"/>
        <v>40774</v>
      </c>
      <c r="E16" s="11">
        <f ca="1"/>
        <v>93</v>
      </c>
      <c r="F16" s="12">
        <f ca="1"/>
        <v>0.9874501913486553</v>
      </c>
      <c r="H16" s="9" t="str">
        <f ca="1"/>
        <v>AUD-SpreadDeposit-6M-1M</v>
      </c>
      <c r="I16" s="132">
        <f ca="1"/>
        <v>1.0043137931702653E-3</v>
      </c>
      <c r="J16" s="10" t="e">
        <f ca="1"/>
        <v>#VALUE!</v>
      </c>
      <c r="K16" s="11" t="e">
        <f ca="1"/>
        <v>#VALUE!</v>
      </c>
      <c r="L16" s="12" t="e">
        <f ca="1">_xll.qCurveZeroRate($I$41,ValueDate,J16,,"3M")</f>
        <v>#NAME?</v>
      </c>
      <c r="N16" s="9" t="str">
        <f ca="1"/>
        <v>AUD-SpreadDeposit-6M-6M</v>
      </c>
      <c r="O16" s="132">
        <f ca="1"/>
        <v>1.0956862068297255E-3</v>
      </c>
      <c r="P16" s="10" t="e">
        <f ca="1"/>
        <v>#VALUE!</v>
      </c>
      <c r="Q16" s="11" t="e">
        <f ca="1"/>
        <v>#VALUE!</v>
      </c>
      <c r="R16" s="12" t="e">
        <f ca="1">_xll.qCurveZeroRate($O$41,ValueDate,P16,,"3M")</f>
        <v>#NAME?</v>
      </c>
    </row>
    <row r="17" spans="2:18">
      <c r="B17" s="9" t="str">
        <f ca="1"/>
        <v>AUD-IRFuture-IR-U1</v>
      </c>
      <c r="C17" s="132">
        <f ca="1"/>
        <v>5.1150000000000091</v>
      </c>
      <c r="D17" s="131">
        <f ca="1"/>
        <v>40794</v>
      </c>
      <c r="E17" s="11">
        <f ca="1"/>
        <v>113</v>
      </c>
      <c r="F17" s="12">
        <f ca="1"/>
        <v>0.98476045524943867</v>
      </c>
      <c r="H17" s="9" t="str">
        <f ca="1"/>
        <v>AUD-BasisSwap-1Y-1M</v>
      </c>
      <c r="I17" s="132">
        <f ca="1"/>
        <v>1.075E-3</v>
      </c>
      <c r="J17" s="10" t="e">
        <f ca="1"/>
        <v>#VALUE!</v>
      </c>
      <c r="K17" s="11" t="e">
        <f ca="1"/>
        <v>#VALUE!</v>
      </c>
      <c r="L17" s="12" t="e">
        <f ca="1">_xll.qCurveZeroRate($I$41,ValueDate,J17,,"3M")</f>
        <v>#NAME?</v>
      </c>
      <c r="N17" s="9" t="str">
        <f ca="1"/>
        <v>AUD-BasisSwap-1Y-6M</v>
      </c>
      <c r="O17" s="132">
        <f ca="1"/>
        <v>8.25E-4</v>
      </c>
      <c r="P17" s="10" t="e">
        <f ca="1"/>
        <v>#VALUE!</v>
      </c>
      <c r="Q17" s="11" t="e">
        <f ca="1"/>
        <v>#VALUE!</v>
      </c>
      <c r="R17" s="12" t="e">
        <f ca="1">_xll.qCurveZeroRate($O$41,ValueDate,P17,,"3M")</f>
        <v>#NAME?</v>
      </c>
    </row>
    <row r="18" spans="2:18">
      <c r="B18" s="9" t="str">
        <f ca="1"/>
        <v>AUD-IRFuture-IR-Z1</v>
      </c>
      <c r="C18" s="132">
        <f ca="1"/>
        <v>5.1845890961000025</v>
      </c>
      <c r="D18" s="131">
        <f ca="1"/>
        <v>40885</v>
      </c>
      <c r="E18" s="11">
        <f ca="1"/>
        <v>204</v>
      </c>
      <c r="F18" s="12">
        <f ca="1"/>
        <v>0.97236105721836974</v>
      </c>
      <c r="H18" s="9" t="str">
        <f ca="1"/>
        <v>AUD-BasisSwap-2Y-1M</v>
      </c>
      <c r="I18" s="132">
        <f ca="1"/>
        <v>1.1749999999999998E-3</v>
      </c>
      <c r="J18" s="10" t="e">
        <f ca="1"/>
        <v>#VALUE!</v>
      </c>
      <c r="K18" s="11" t="e">
        <f ca="1"/>
        <v>#VALUE!</v>
      </c>
      <c r="L18" s="12" t="e">
        <f ca="1">_xll.qCurveZeroRate($I$41,ValueDate,J18,,"3M")</f>
        <v>#NAME?</v>
      </c>
      <c r="N18" s="9" t="str">
        <f ca="1"/>
        <v>AUD-BasisSwap-2Y-6M</v>
      </c>
      <c r="O18" s="132">
        <f ca="1"/>
        <v>8.0000000000000004E-4</v>
      </c>
      <c r="P18" s="10" t="e">
        <f ca="1"/>
        <v>#VALUE!</v>
      </c>
      <c r="Q18" s="11" t="e">
        <f ca="1"/>
        <v>#VALUE!</v>
      </c>
      <c r="R18" s="12" t="e">
        <f ca="1">_xll.qCurveZeroRate($O$41,ValueDate,P18,,"3M")</f>
        <v>#NAME?</v>
      </c>
    </row>
    <row r="19" spans="2:18">
      <c r="B19" s="9" t="str">
        <f ca="1"/>
        <v>AUD-IRFuture-IR-H2</v>
      </c>
      <c r="C19" s="132">
        <f ca="1"/>
        <v>5.2636372572999868</v>
      </c>
      <c r="D19" s="131">
        <f ca="1"/>
        <v>40976</v>
      </c>
      <c r="E19" s="11">
        <f ca="1"/>
        <v>295</v>
      </c>
      <c r="F19" s="12">
        <f ca="1"/>
        <v>0.95995298506027893</v>
      </c>
      <c r="H19" s="9" t="str">
        <f ca="1"/>
        <v>AUD-BasisSwap-3Y-1M</v>
      </c>
      <c r="I19" s="132">
        <f ca="1"/>
        <v>1.1999999999999999E-3</v>
      </c>
      <c r="J19" s="10" t="e">
        <f ca="1"/>
        <v>#VALUE!</v>
      </c>
      <c r="K19" s="11" t="e">
        <f ca="1"/>
        <v>#VALUE!</v>
      </c>
      <c r="L19" s="12" t="e">
        <f ca="1">_xll.qCurveZeroRate($I$41,ValueDate,J19,,"3M")</f>
        <v>#NAME?</v>
      </c>
      <c r="N19" s="9" t="str">
        <f ca="1"/>
        <v>AUD-BasisSwap-3Y-6M</v>
      </c>
      <c r="O19" s="132">
        <f ca="1"/>
        <v>7.7499999999999997E-4</v>
      </c>
      <c r="P19" s="10" t="e">
        <f ca="1"/>
        <v>#VALUE!</v>
      </c>
      <c r="Q19" s="11" t="e">
        <f ca="1"/>
        <v>#VALUE!</v>
      </c>
      <c r="R19" s="12" t="e">
        <f ca="1">_xll.qCurveZeroRate($O$41,ValueDate,P19,,"3M")</f>
        <v>#NAME?</v>
      </c>
    </row>
    <row r="20" spans="2:18">
      <c r="B20" s="9" t="str">
        <f ca="1"/>
        <v>AUD-IRFuture-IR-M2</v>
      </c>
      <c r="C20" s="132">
        <f ca="1"/>
        <v>5.312133799899998</v>
      </c>
      <c r="D20" s="131">
        <f ca="1"/>
        <v>41067</v>
      </c>
      <c r="E20" s="11">
        <f ca="1"/>
        <v>386</v>
      </c>
      <c r="F20" s="12">
        <f ca="1"/>
        <v>0.94751883276941962</v>
      </c>
      <c r="H20" s="9" t="str">
        <f ca="1"/>
        <v>AUD-BasisSwap-4Y-1M</v>
      </c>
      <c r="I20" s="132">
        <f ca="1"/>
        <v>1.1999999999999999E-3</v>
      </c>
      <c r="J20" s="10" t="e">
        <f ca="1"/>
        <v>#VALUE!</v>
      </c>
      <c r="K20" s="11" t="e">
        <f ca="1"/>
        <v>#VALUE!</v>
      </c>
      <c r="L20" s="12" t="e">
        <f ca="1">_xll.qCurveZeroRate($I$41,ValueDate,J20,,"3M")</f>
        <v>#NAME?</v>
      </c>
      <c r="N20" s="9" t="str">
        <f ca="1"/>
        <v>AUD-BasisSwap-4Y-6M</v>
      </c>
      <c r="O20" s="132">
        <f ca="1"/>
        <v>7.7499999999999997E-4</v>
      </c>
      <c r="P20" s="10" t="e">
        <f ca="1"/>
        <v>#VALUE!</v>
      </c>
      <c r="Q20" s="11" t="e">
        <f ca="1"/>
        <v>#VALUE!</v>
      </c>
      <c r="R20" s="12" t="e">
        <f ca="1">_xll.qCurveZeroRate($O$41,ValueDate,P20,,"3M")</f>
        <v>#NAME?</v>
      </c>
    </row>
    <row r="21" spans="2:18">
      <c r="B21" s="9" t="str">
        <f ca="1"/>
        <v>AUD-IRFuture-IR-U2</v>
      </c>
      <c r="C21" s="132">
        <f ca="1"/>
        <v>5.3550739806000136</v>
      </c>
      <c r="D21" s="131">
        <f ca="1"/>
        <v>41158</v>
      </c>
      <c r="E21" s="11">
        <f ca="1"/>
        <v>477</v>
      </c>
      <c r="F21" s="12">
        <f ca="1"/>
        <v>0.93513395780727115</v>
      </c>
      <c r="H21" s="9" t="str">
        <f ca="1"/>
        <v>AUD-BasisSwap-5Y-1M</v>
      </c>
      <c r="I21" s="132">
        <f ca="1"/>
        <v>1.1749999999999998E-3</v>
      </c>
      <c r="J21" s="10" t="e">
        <f ca="1"/>
        <v>#VALUE!</v>
      </c>
      <c r="K21" s="11" t="e">
        <f ca="1"/>
        <v>#VALUE!</v>
      </c>
      <c r="L21" s="12" t="e">
        <f ca="1">_xll.qCurveZeroRate($I$41,ValueDate,J21,,"3M")</f>
        <v>#NAME?</v>
      </c>
      <c r="N21" s="9" t="str">
        <f ca="1"/>
        <v>AUD-BasisSwap-5Y-6M</v>
      </c>
      <c r="O21" s="132">
        <f ca="1"/>
        <v>7.2499999999999995E-4</v>
      </c>
      <c r="P21" s="10" t="e">
        <f ca="1"/>
        <v>#VALUE!</v>
      </c>
      <c r="Q21" s="11" t="e">
        <f ca="1"/>
        <v>#VALUE!</v>
      </c>
      <c r="R21" s="12" t="e">
        <f ca="1">_xll.qCurveZeroRate($O$41,ValueDate,P21,,"3M")</f>
        <v>#NAME?</v>
      </c>
    </row>
    <row r="22" spans="2:18">
      <c r="B22" s="9" t="str">
        <f ca="1"/>
        <v>AUD-IRFuture-IR-Z2</v>
      </c>
      <c r="C22" s="132">
        <f ca="1"/>
        <v>5.3922488098000061</v>
      </c>
      <c r="D22" s="131">
        <f ca="1"/>
        <v>41256</v>
      </c>
      <c r="E22" s="11">
        <f ca="1"/>
        <v>575</v>
      </c>
      <c r="F22" s="12">
        <f ca="1"/>
        <v>0.9218779252143543</v>
      </c>
      <c r="H22" s="9" t="str">
        <f ca="1"/>
        <v>AUD-BasisSwap-6Y-1M</v>
      </c>
      <c r="I22" s="132">
        <f ca="1"/>
        <v>1.1249999999999999E-3</v>
      </c>
      <c r="J22" s="10" t="e">
        <f ca="1"/>
        <v>#VALUE!</v>
      </c>
      <c r="K22" s="11" t="e">
        <f ca="1"/>
        <v>#VALUE!</v>
      </c>
      <c r="L22" s="12" t="e">
        <f ca="1">_xll.qCurveZeroRate($I$41,ValueDate,J22,,"3M")</f>
        <v>#NAME?</v>
      </c>
      <c r="N22" s="9" t="str">
        <f ca="1"/>
        <v>AUD-BasisSwap-6Y-6M</v>
      </c>
      <c r="O22" s="132">
        <f ca="1"/>
        <v>6.9999999999999999E-4</v>
      </c>
      <c r="P22" s="10" t="e">
        <f ca="1"/>
        <v>#VALUE!</v>
      </c>
      <c r="Q22" s="11" t="e">
        <f ca="1"/>
        <v>#VALUE!</v>
      </c>
      <c r="R22" s="12" t="e">
        <f ca="1">_xll.qCurveZeroRate($O$41,ValueDate,P22,,"3M")</f>
        <v>#NAME?</v>
      </c>
    </row>
    <row r="23" spans="2:18">
      <c r="B23" s="9" t="str">
        <f ca="1"/>
        <v>AUD-IRFuture-IR-H3</v>
      </c>
      <c r="C23" s="132">
        <f ca="1"/>
        <v>5.4190801127000077</v>
      </c>
      <c r="D23" s="131">
        <f ca="1"/>
        <v>41347</v>
      </c>
      <c r="E23" s="11">
        <f ca="1"/>
        <v>666</v>
      </c>
      <c r="F23" s="12">
        <f ca="1"/>
        <v>0.9096486581094263</v>
      </c>
      <c r="H23" s="9" t="str">
        <f ca="1"/>
        <v>AUD-BasisSwap-7Y-1M</v>
      </c>
      <c r="I23" s="132">
        <f ca="1"/>
        <v>1.075E-3</v>
      </c>
      <c r="J23" s="10" t="e">
        <f ca="1"/>
        <v>#VALUE!</v>
      </c>
      <c r="K23" s="11" t="e">
        <f ca="1"/>
        <v>#VALUE!</v>
      </c>
      <c r="L23" s="12" t="e">
        <f ca="1">_xll.qCurveZeroRate($I$41,ValueDate,J23,,"3M")</f>
        <v>#NAME?</v>
      </c>
      <c r="N23" s="9" t="str">
        <f ca="1"/>
        <v>AUD-BasisSwap-7Y-6M</v>
      </c>
      <c r="O23" s="132">
        <f ca="1"/>
        <v>6.7500000000000004E-4</v>
      </c>
      <c r="P23" s="10" t="e">
        <f ca="1"/>
        <v>#VALUE!</v>
      </c>
      <c r="Q23" s="11" t="e">
        <f ca="1"/>
        <v>#VALUE!</v>
      </c>
      <c r="R23" s="12" t="e">
        <f ca="1">_xll.qCurveZeroRate($O$41,ValueDate,P23,,"3M")</f>
        <v>#NAME?</v>
      </c>
    </row>
    <row r="24" spans="2:18">
      <c r="B24" s="9" t="str">
        <f ca="1"/>
        <v>AUD-IRSwap-3Y</v>
      </c>
      <c r="C24" s="132">
        <f ca="1"/>
        <v>5.3208333333333258</v>
      </c>
      <c r="D24" s="131">
        <f ca="1"/>
        <v>41431</v>
      </c>
      <c r="E24" s="11">
        <f ca="1"/>
        <v>750</v>
      </c>
      <c r="F24" s="12">
        <f ca="1"/>
        <v>0.89844847660990657</v>
      </c>
      <c r="H24" s="9" t="str">
        <f ca="1"/>
        <v>AUD-BasisSwap-8Y-1M</v>
      </c>
      <c r="I24" s="132">
        <f ca="1"/>
        <v>1.0333333333333334E-3</v>
      </c>
      <c r="J24" s="10" t="e">
        <f ca="1"/>
        <v>#VALUE!</v>
      </c>
      <c r="K24" s="11" t="e">
        <f ca="1"/>
        <v>#VALUE!</v>
      </c>
      <c r="L24" s="12" t="e">
        <f ca="1">_xll.qCurveZeroRate($I$41,ValueDate,J24,,"3M")</f>
        <v>#NAME?</v>
      </c>
      <c r="N24" s="9" t="str">
        <f ca="1"/>
        <v>AUD-BasisSwap-8Y-6M</v>
      </c>
      <c r="O24" s="132">
        <f ca="1"/>
        <v>6.6666666666666664E-4</v>
      </c>
      <c r="P24" s="10" t="e">
        <f ca="1"/>
        <v>#VALUE!</v>
      </c>
      <c r="Q24" s="11" t="e">
        <f ca="1"/>
        <v>#VALUE!</v>
      </c>
      <c r="R24" s="12" t="e">
        <f ca="1">_xll.qCurveZeroRate($O$41,ValueDate,P24,,"3M")</f>
        <v>#NAME?</v>
      </c>
    </row>
    <row r="25" spans="2:18">
      <c r="B25" s="9" t="str">
        <f ca="1"/>
        <v>AUD-IRSwap-4Y</v>
      </c>
      <c r="C25" s="132">
        <f ca="1"/>
        <v>5.4508333333333256</v>
      </c>
      <c r="D25" s="131">
        <f ca="1"/>
        <v>41778</v>
      </c>
      <c r="E25" s="11">
        <f ca="1"/>
        <v>1097</v>
      </c>
      <c r="F25" s="12">
        <f ca="1"/>
        <v>0.85293404871412026</v>
      </c>
      <c r="H25" s="9" t="str">
        <f ca="1"/>
        <v>AUD-BasisSwap-9Y-1M</v>
      </c>
      <c r="I25" s="132">
        <f ca="1"/>
        <v>9.9166666666666674E-4</v>
      </c>
      <c r="J25" s="10" t="e">
        <f ca="1"/>
        <v>#VALUE!</v>
      </c>
      <c r="K25" s="11" t="e">
        <f ca="1"/>
        <v>#VALUE!</v>
      </c>
      <c r="L25" s="12" t="e">
        <f ca="1">_xll.qCurveZeroRate($I$41,ValueDate,J25,,"3M")</f>
        <v>#NAME?</v>
      </c>
      <c r="N25" s="9" t="str">
        <f ca="1"/>
        <v>AUD-BasisSwap-9Y-6M</v>
      </c>
      <c r="O25" s="132">
        <f ca="1"/>
        <v>6.5833333333333336E-4</v>
      </c>
      <c r="P25" s="10" t="e">
        <f ca="1"/>
        <v>#VALUE!</v>
      </c>
      <c r="Q25" s="11" t="e">
        <f ca="1"/>
        <v>#VALUE!</v>
      </c>
      <c r="R25" s="12" t="e">
        <f ca="1">_xll.qCurveZeroRate($O$41,ValueDate,P25,,"3M")</f>
        <v>#NAME?</v>
      </c>
    </row>
    <row r="26" spans="2:18">
      <c r="B26" s="9" t="str">
        <f ca="1"/>
        <v>AUD-IRSwap-5Y</v>
      </c>
      <c r="C26" s="132">
        <f ca="1"/>
        <v>5.5641666666666589</v>
      </c>
      <c r="D26" s="131">
        <f ca="1"/>
        <v>42143</v>
      </c>
      <c r="E26" s="11">
        <f ca="1"/>
        <v>1462</v>
      </c>
      <c r="F26" s="12">
        <f ca="1"/>
        <v>0.80578389073991663</v>
      </c>
      <c r="H26" s="9" t="str">
        <f ca="1"/>
        <v>AUD-BasisSwap-10Y-1M</v>
      </c>
      <c r="I26" s="132">
        <f ca="1"/>
        <v>9.5E-4</v>
      </c>
      <c r="J26" s="10" t="e">
        <f ca="1"/>
        <v>#VALUE!</v>
      </c>
      <c r="K26" s="11" t="e">
        <f ca="1"/>
        <v>#VALUE!</v>
      </c>
      <c r="L26" s="12" t="e">
        <f ca="1">_xll.qCurveZeroRate($I$41,ValueDate,J26,,"3M")</f>
        <v>#NAME?</v>
      </c>
      <c r="N26" s="9" t="str">
        <f ca="1"/>
        <v>AUD-BasisSwap-10Y-6M</v>
      </c>
      <c r="O26" s="132">
        <f ca="1"/>
        <v>6.4999999999999997E-4</v>
      </c>
      <c r="P26" s="10" t="e">
        <f ca="1"/>
        <v>#VALUE!</v>
      </c>
      <c r="Q26" s="11" t="e">
        <f ca="1"/>
        <v>#VALUE!</v>
      </c>
      <c r="R26" s="12" t="e">
        <f ca="1">_xll.qCurveZeroRate($O$41,ValueDate,P26,,"3M")</f>
        <v>#NAME?</v>
      </c>
    </row>
    <row r="27" spans="2:18">
      <c r="B27" s="9" t="str">
        <f ca="1"/>
        <v>AUD-IRSwap-6Y</v>
      </c>
      <c r="C27" s="132">
        <f ca="1"/>
        <v>5.660000000000009</v>
      </c>
      <c r="D27" s="131">
        <f ca="1"/>
        <v>42509</v>
      </c>
      <c r="E27" s="11">
        <f ca="1"/>
        <v>1828</v>
      </c>
      <c r="F27" s="12">
        <f ca="1"/>
        <v>0.75876142942867331</v>
      </c>
      <c r="H27" s="9" t="str">
        <f ca="1"/>
        <v>AUD-BasisSwap-12Y-1M</v>
      </c>
      <c r="I27" s="132">
        <f ca="1"/>
        <v>8.3584377042498484E-4</v>
      </c>
      <c r="J27" s="10" t="e">
        <f ca="1"/>
        <v>#VALUE!</v>
      </c>
      <c r="K27" s="11" t="e">
        <f ca="1"/>
        <v>#VALUE!</v>
      </c>
      <c r="L27" s="12" t="e">
        <f ca="1">_xll.qCurveZeroRate($I$41,ValueDate,J27,,"3M")</f>
        <v>#NAME?</v>
      </c>
      <c r="N27" s="9" t="str">
        <f ca="1"/>
        <v>AUD-BasisSwap-12Y-6M</v>
      </c>
      <c r="O27" s="132">
        <f ca="1"/>
        <v>6.0000000000000006E-4</v>
      </c>
      <c r="P27" s="10" t="e">
        <f ca="1"/>
        <v>#VALUE!</v>
      </c>
      <c r="Q27" s="11" t="e">
        <f ca="1"/>
        <v>#VALUE!</v>
      </c>
      <c r="R27" s="12" t="e">
        <f ca="1">_xll.qCurveZeroRate($O$41,ValueDate,P27,,"3M")</f>
        <v>#NAME?</v>
      </c>
    </row>
    <row r="28" spans="2:18">
      <c r="B28" s="9" t="str">
        <f ca="1"/>
        <v>AUD-IRSwap-7Y</v>
      </c>
      <c r="C28" s="132">
        <f ca="1"/>
        <v>5.7291666666666758</v>
      </c>
      <c r="D28" s="131">
        <f ca="1"/>
        <v>42874</v>
      </c>
      <c r="E28" s="11">
        <f ca="1"/>
        <v>2193</v>
      </c>
      <c r="F28" s="12">
        <f ca="1"/>
        <v>0.71358528097116158</v>
      </c>
      <c r="H28" s="9" t="str">
        <f ca="1"/>
        <v>AUD-BasisSwap-15Y-1M</v>
      </c>
      <c r="I28" s="132">
        <f ca="1"/>
        <v>7.2378279390941181E-4</v>
      </c>
      <c r="J28" s="10" t="e">
        <f ca="1"/>
        <v>#VALUE!</v>
      </c>
      <c r="K28" s="11" t="e">
        <f ca="1"/>
        <v>#VALUE!</v>
      </c>
      <c r="L28" s="12" t="e">
        <f ca="1">_xll.qCurveZeroRate($I$41,ValueDate,J28,,"3M")</f>
        <v>#NAME?</v>
      </c>
      <c r="N28" s="9" t="str">
        <f ca="1"/>
        <v>AUD-BasisSwap-15Y-6M</v>
      </c>
      <c r="O28" s="132">
        <f ca="1"/>
        <v>5.2499999999999997E-4</v>
      </c>
      <c r="P28" s="10" t="e">
        <f ca="1"/>
        <v>#VALUE!</v>
      </c>
      <c r="Q28" s="11" t="e">
        <f ca="1"/>
        <v>#VALUE!</v>
      </c>
      <c r="R28" s="12" t="e">
        <f ca="1">_xll.qCurveZeroRate($O$41,ValueDate,P28,,"3M")</f>
        <v>#NAME?</v>
      </c>
    </row>
    <row r="29" spans="2:18">
      <c r="B29" s="9" t="str">
        <f ca="1"/>
        <v>AUD-IRSwap-8Y</v>
      </c>
      <c r="C29" s="132">
        <f ca="1"/>
        <v>5.7758333333333418</v>
      </c>
      <c r="D29" s="131">
        <f ca="1"/>
        <v>43241</v>
      </c>
      <c r="E29" s="11">
        <f ca="1"/>
        <v>2560</v>
      </c>
      <c r="F29" s="12">
        <f ca="1"/>
        <v>0.67083318235977385</v>
      </c>
      <c r="H29" s="9" t="str">
        <f ca="1"/>
        <v>AUD-BasisSwap-20Y-1M</v>
      </c>
      <c r="I29" s="132">
        <f ca="1"/>
        <v>6.1406525782605609E-4</v>
      </c>
      <c r="J29" s="10" t="e">
        <f ca="1"/>
        <v>#VALUE!</v>
      </c>
      <c r="K29" s="11" t="e">
        <f ca="1"/>
        <v>#VALUE!</v>
      </c>
      <c r="L29" s="12" t="e">
        <f ca="1">_xll.qCurveZeroRate($I$41,ValueDate,J29,,"3M")</f>
        <v>#NAME?</v>
      </c>
      <c r="N29" s="9" t="str">
        <f ca="1"/>
        <v>AUD-BasisSwap-20Y-6M</v>
      </c>
      <c r="O29" s="132">
        <f ca="1"/>
        <v>4.4999999999999999E-4</v>
      </c>
      <c r="P29" s="10" t="e">
        <f ca="1"/>
        <v>#VALUE!</v>
      </c>
      <c r="Q29" s="11" t="e">
        <f ca="1"/>
        <v>#VALUE!</v>
      </c>
      <c r="R29" s="12" t="e">
        <f ca="1">_xll.qCurveZeroRate($O$41,ValueDate,P29,,"3M")</f>
        <v>#NAME?</v>
      </c>
    </row>
    <row r="30" spans="2:18">
      <c r="B30" s="9" t="str">
        <f ca="1"/>
        <v>AUD-IRSwap-9Y</v>
      </c>
      <c r="C30" s="132">
        <f ca="1"/>
        <v>5.8090833333333425</v>
      </c>
      <c r="D30" s="131">
        <f ca="1"/>
        <v>43605</v>
      </c>
      <c r="E30" s="11">
        <f ca="1"/>
        <v>2924</v>
      </c>
      <c r="F30" s="12">
        <f ca="1"/>
        <v>0.63123012500363807</v>
      </c>
      <c r="H30" s="9" t="str">
        <f ca="1"/>
        <v>AUD-BasisSwap-25Y-1M</v>
      </c>
      <c r="I30" s="132">
        <f ca="1"/>
        <v>5.4898809605978321E-4</v>
      </c>
      <c r="J30" s="10" t="e">
        <f ca="1"/>
        <v>#VALUE!</v>
      </c>
      <c r="K30" s="11" t="e">
        <f ca="1"/>
        <v>#VALUE!</v>
      </c>
      <c r="L30" s="12" t="e">
        <f ca="1">_xll.qCurveZeroRate($I$41,ValueDate,J30,,"3M")</f>
        <v>#NAME?</v>
      </c>
      <c r="N30" s="9" t="str">
        <f ca="1"/>
        <v>AUD-BasisSwap-25Y-6M</v>
      </c>
      <c r="O30" s="132">
        <f ca="1"/>
        <v>4.0000000000000002E-4</v>
      </c>
      <c r="P30" s="10" t="e">
        <f ca="1"/>
        <v>#VALUE!</v>
      </c>
      <c r="Q30" s="11" t="e">
        <f ca="1"/>
        <v>#VALUE!</v>
      </c>
      <c r="R30" s="12" t="e">
        <f ca="1">_xll.qCurveZeroRate($O$41,ValueDate,P30,,"3M")</f>
        <v>#NAME?</v>
      </c>
    </row>
    <row r="31" spans="2:18">
      <c r="B31" s="9" t="str">
        <f ca="1"/>
        <v>AUD-IRSwap-10Y</v>
      </c>
      <c r="C31" s="132">
        <f ca="1"/>
        <v>5.8400000000000087</v>
      </c>
      <c r="D31" s="131">
        <f ca="1"/>
        <v>43970</v>
      </c>
      <c r="E31" s="11">
        <f ca="1"/>
        <v>3289</v>
      </c>
      <c r="F31" s="12">
        <f ca="1"/>
        <v>0.59406509297510657</v>
      </c>
      <c r="H31" s="9" t="str">
        <f ca="1"/>
        <v>AUD-BasisSwap-30Y-1M</v>
      </c>
      <c r="I31" s="132">
        <f ca="1"/>
        <v>5.0563232834306714E-4</v>
      </c>
      <c r="J31" s="10" t="e">
        <f ca="1"/>
        <v>#VALUE!</v>
      </c>
      <c r="K31" s="11" t="e">
        <f ca="1"/>
        <v>#VALUE!</v>
      </c>
      <c r="L31" s="12" t="e">
        <f ca="1">_xll.qCurveZeroRate($I$41,ValueDate,J31,,"3M")</f>
        <v>#NAME?</v>
      </c>
      <c r="N31" s="9" t="str">
        <f ca="1"/>
        <v>AUD-BasisSwap-30Y-6M</v>
      </c>
      <c r="O31" s="132">
        <f ca="1"/>
        <v>3.7500000000000001E-4</v>
      </c>
      <c r="P31" s="10" t="e">
        <f ca="1"/>
        <v>#VALUE!</v>
      </c>
      <c r="Q31" s="11" t="e">
        <f ca="1"/>
        <v>#VALUE!</v>
      </c>
      <c r="R31" s="12" t="e">
        <f ca="1">_xll.qCurveZeroRate($O$41,ValueDate,P31,,"3M")</f>
        <v>#NAME?</v>
      </c>
    </row>
    <row r="32" spans="2:18">
      <c r="B32" s="9" t="str">
        <f ca="1"/>
        <v>AUD-IRSwap-12Y</v>
      </c>
      <c r="C32" s="132">
        <f ca="1"/>
        <v>5.8966666666666754</v>
      </c>
      <c r="D32" s="131">
        <f ca="1"/>
        <v>44335</v>
      </c>
      <c r="E32" s="11">
        <f ca="1"/>
        <v>3654</v>
      </c>
      <c r="F32" s="12">
        <f ca="1"/>
        <v>0.55876463116664821</v>
      </c>
      <c r="H32" s="9" t="str">
        <f ca="1"/>
        <v>AUD-BasisSwap-40Y-1M</v>
      </c>
      <c r="I32" s="132">
        <f ca="1"/>
        <v>4.5189299500261591E-4</v>
      </c>
      <c r="J32" s="10" t="e">
        <f ca="1"/>
        <v>#VALUE!</v>
      </c>
      <c r="K32" s="11" t="e">
        <f ca="1"/>
        <v>#VALUE!</v>
      </c>
      <c r="L32" s="12" t="e">
        <f ca="1">_xll.qCurveZeroRate($I$41,ValueDate,J32,,"3M")</f>
        <v>#NAME?</v>
      </c>
      <c r="N32" s="9" t="str">
        <f ca="1"/>
        <v>AUD-BasisSwap-40Y-6M</v>
      </c>
      <c r="O32" s="132">
        <f ca="1"/>
        <v>3.0906400087735435E-4</v>
      </c>
      <c r="P32" s="10" t="e">
        <f ca="1"/>
        <v>#VALUE!</v>
      </c>
      <c r="Q32" s="11" t="e">
        <f ca="1"/>
        <v>#VALUE!</v>
      </c>
      <c r="R32" s="12" t="e">
        <f ca="1">_xll.qCurveZeroRate($O$41,ValueDate,P32,,"3M")</f>
        <v>#NAME?</v>
      </c>
    </row>
    <row r="33" spans="2:19">
      <c r="B33" s="9" t="str">
        <f ca="1"/>
        <v>AUD-IRSwap-15Y</v>
      </c>
      <c r="C33" s="132">
        <f ca="1"/>
        <v>5.933250000000009</v>
      </c>
      <c r="D33" s="131">
        <f ca="1"/>
        <v>45065</v>
      </c>
      <c r="E33" s="11">
        <f ca="1"/>
        <v>4384</v>
      </c>
      <c r="F33" s="12">
        <f ca="1"/>
        <v>0.4934630282681427</v>
      </c>
      <c r="H33" s="9"/>
      <c r="I33" s="14"/>
      <c r="J33" s="10"/>
      <c r="K33" s="11"/>
      <c r="L33" s="12"/>
      <c r="N33" s="9"/>
      <c r="O33" s="14"/>
      <c r="P33" s="10"/>
      <c r="Q33" s="11"/>
      <c r="R33" s="12"/>
    </row>
    <row r="34" spans="2:19">
      <c r="B34" s="9" t="str">
        <f ca="1"/>
        <v>AUD-IRSwap-20Y</v>
      </c>
      <c r="C34" s="132">
        <f ca="1"/>
        <v>5.8465833333333421</v>
      </c>
      <c r="D34" s="131">
        <f ca="1"/>
        <v>46161</v>
      </c>
      <c r="E34" s="11">
        <f ca="1"/>
        <v>5480</v>
      </c>
      <c r="F34" s="12">
        <f ca="1"/>
        <v>0.41116088603969403</v>
      </c>
      <c r="H34" s="9"/>
      <c r="I34" s="14"/>
      <c r="J34" s="10"/>
      <c r="K34" s="11"/>
      <c r="L34" s="12"/>
      <c r="M34" s="32" t="s">
        <v>57</v>
      </c>
      <c r="N34" s="9"/>
      <c r="O34" s="14"/>
      <c r="P34" s="10"/>
      <c r="Q34" s="11"/>
      <c r="R34" s="12"/>
    </row>
    <row r="35" spans="2:19">
      <c r="B35" s="9" t="str">
        <f ca="1"/>
        <v>AUD-IRSwap-25Y</v>
      </c>
      <c r="C35" s="132">
        <f ca="1"/>
        <v>5.7120000000000086</v>
      </c>
      <c r="D35" s="131">
        <f ca="1"/>
        <v>47987</v>
      </c>
      <c r="E35" s="11">
        <f ca="1"/>
        <v>7306</v>
      </c>
      <c r="F35" s="12">
        <f ca="1"/>
        <v>0.31561726455346151</v>
      </c>
      <c r="H35" s="9"/>
      <c r="I35" s="14"/>
      <c r="J35" s="10"/>
      <c r="K35" s="11"/>
      <c r="L35" s="12"/>
      <c r="M35" s="32" t="s">
        <v>57</v>
      </c>
      <c r="N35" s="9"/>
      <c r="O35" s="14"/>
      <c r="P35" s="10"/>
      <c r="Q35" s="11"/>
      <c r="R35" s="12"/>
    </row>
    <row r="36" spans="2:19">
      <c r="B36" s="9" t="str">
        <f ca="1"/>
        <v>AUD-IRSwap-30Y</v>
      </c>
      <c r="C36" s="132">
        <f ca="1"/>
        <v>5.5741666666666756</v>
      </c>
      <c r="D36" s="131">
        <f ca="1"/>
        <v>49814</v>
      </c>
      <c r="E36" s="11">
        <f ca="1"/>
        <v>9133</v>
      </c>
      <c r="F36" s="12">
        <f ca="1"/>
        <v>0.25168858440993752</v>
      </c>
      <c r="H36" s="9"/>
      <c r="I36" s="14"/>
      <c r="J36" s="10"/>
      <c r="K36" s="11"/>
      <c r="L36" s="12"/>
      <c r="N36" s="9"/>
      <c r="O36" s="14"/>
      <c r="P36" s="10"/>
      <c r="Q36" s="11"/>
      <c r="R36" s="12"/>
    </row>
    <row r="37" spans="2:19">
      <c r="B37" s="9" t="str">
        <f ca="1"/>
        <v>AUD-IRSwap-40Y</v>
      </c>
      <c r="C37" s="132">
        <f ca="1"/>
        <v>5.3816242169248136</v>
      </c>
      <c r="D37" s="131">
        <f ca="1"/>
        <v>51641</v>
      </c>
      <c r="E37" s="11">
        <f ca="1"/>
        <v>10960</v>
      </c>
      <c r="F37" s="12">
        <f ca="1"/>
        <v>0.2067556914054291</v>
      </c>
      <c r="H37" s="9"/>
      <c r="I37" s="14"/>
      <c r="J37" s="10"/>
      <c r="K37" s="11"/>
      <c r="L37" s="12"/>
      <c r="N37" s="9"/>
      <c r="O37" s="14"/>
      <c r="P37" s="10"/>
      <c r="Q37" s="11"/>
      <c r="R37" s="12"/>
    </row>
    <row r="38" spans="2:19">
      <c r="B38" s="44"/>
      <c r="C38" s="45"/>
      <c r="D38" s="39">
        <f ca="1"/>
        <v>55292</v>
      </c>
      <c r="E38" s="40">
        <f ca="1"/>
        <v>14611</v>
      </c>
      <c r="F38" s="41">
        <f ca="1"/>
        <v>0.14262992128405497</v>
      </c>
      <c r="H38" s="42"/>
      <c r="I38" s="43"/>
      <c r="J38" s="44"/>
      <c r="K38" s="44"/>
      <c r="L38" s="50"/>
    </row>
    <row r="39" spans="2:19">
      <c r="B39" s="32" t="s">
        <v>87</v>
      </c>
      <c r="H39" s="32" t="s">
        <v>87</v>
      </c>
      <c r="N39" s="32" t="s">
        <v>87</v>
      </c>
    </row>
    <row r="40" spans="2:19">
      <c r="B40" s="84" t="s">
        <v>64</v>
      </c>
      <c r="C40" s="80" t="str">
        <f ca="1">MarketPrefix&amp;"TraderMid"</f>
        <v>TestTraderMid</v>
      </c>
      <c r="D40" s="85"/>
      <c r="E40" s="86"/>
      <c r="F40" s="87"/>
      <c r="G40" s="32" t="s">
        <v>57</v>
      </c>
      <c r="H40" s="112" t="s">
        <v>64</v>
      </c>
      <c r="I40" s="114" t="str">
        <f>MarketPrefix&amp;"TraderMid"</f>
        <v>TestTraderMid</v>
      </c>
      <c r="J40" s="84"/>
      <c r="K40" s="84"/>
      <c r="L40" s="83"/>
      <c r="N40" s="88" t="s">
        <v>64</v>
      </c>
      <c r="O40" s="114" t="str">
        <f>MarketPrefix&amp;"TraderMid"</f>
        <v>TestTraderMid</v>
      </c>
      <c r="P40" s="88"/>
      <c r="Q40" s="88"/>
      <c r="R40" s="121"/>
      <c r="S40" s="32" t="s">
        <v>57</v>
      </c>
    </row>
    <row r="41" spans="2:19">
      <c r="B41" s="88" t="s">
        <v>59</v>
      </c>
      <c r="C41" s="80" t="str">
        <f ca="1">_xll.qIRcurveZeroBankReval(C40&amp;".3M.AUD","AUD",ValueDate,C12:C15,C16:C23,RIGHT(B16:B23,2),C24:C37)</f>
        <v>TestTraderMid.3M.AUD|[Curve Publisher 1e.xlsm]Trader!$C$41#13</v>
      </c>
      <c r="D41" s="89"/>
      <c r="E41" s="90"/>
      <c r="F41" s="91"/>
      <c r="G41" s="32" t="s">
        <v>57</v>
      </c>
      <c r="H41" s="88" t="s">
        <v>59</v>
      </c>
      <c r="I41" s="120" t="str">
        <f ca="1">_xll.qIRcurveSCBasisReval(Main!E11&amp;"TraderMid"&amp;".1M.AUD","AUD",$C$41,"1v3","Synthetic",I12:I32)</f>
        <v>TestTraderMid.1M.AUD|[Curve Publisher 1e.xlsm]Trader!$I$41#15</v>
      </c>
      <c r="J41" s="88"/>
      <c r="K41" s="88"/>
      <c r="L41" s="121"/>
      <c r="M41" s="32" t="s">
        <v>57</v>
      </c>
      <c r="N41" s="88" t="s">
        <v>59</v>
      </c>
      <c r="O41" s="88" t="str">
        <f ca="1">_xll.qIRcurveSCBasisReval(C40&amp;".6M.AUD","AUD",$C$41,"3v6","Synthetic",O12:O32)</f>
        <v>TestTraderMid.6M.AUD|[Curve Publisher 1e.xlsm]Trader!$O$41#14</v>
      </c>
      <c r="P41" s="88"/>
      <c r="Q41" s="88"/>
      <c r="R41" s="121"/>
      <c r="S41" s="32" t="s">
        <v>57</v>
      </c>
    </row>
    <row r="45" spans="2:19">
      <c r="B45" s="44"/>
      <c r="C45" s="24"/>
      <c r="I45" s="48"/>
    </row>
    <row r="71" ht="22.5" customHeight="1"/>
    <row r="72" ht="22.5" customHeight="1"/>
  </sheetData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7"/>
  <dimension ref="B1:AA62"/>
  <sheetViews>
    <sheetView showGridLines="0" topLeftCell="C1" workbookViewId="0">
      <selection activeCell="F10" sqref="F10"/>
    </sheetView>
  </sheetViews>
  <sheetFormatPr defaultRowHeight="15"/>
  <cols>
    <col min="1" max="1" width="3.7109375" style="17" customWidth="1"/>
    <col min="2" max="4" width="20.7109375" style="17" customWidth="1"/>
    <col min="5" max="5" width="7.7109375" style="17" customWidth="1"/>
    <col min="6" max="6" width="20.7109375" style="17" customWidth="1"/>
    <col min="7" max="8" width="20.7109375" style="18" customWidth="1"/>
    <col min="9" max="9" width="7.7109375" style="17" customWidth="1"/>
    <col min="10" max="12" width="20.7109375" style="17" customWidth="1"/>
    <col min="13" max="13" width="7.7109375" style="17" customWidth="1"/>
    <col min="14" max="16" width="20.7109375" style="17" customWidth="1"/>
    <col min="17" max="17" width="7.7109375" style="17" customWidth="1"/>
    <col min="18" max="19" width="20.7109375" style="17" customWidth="1"/>
    <col min="20" max="16384" width="9.140625" style="17"/>
  </cols>
  <sheetData>
    <row r="1" spans="2:27" ht="0.95" customHeight="1"/>
    <row r="2" spans="2:27" s="60" customFormat="1" ht="24.95" customHeight="1">
      <c r="B2" s="61" t="s">
        <v>69</v>
      </c>
      <c r="C2" s="53" t="str">
        <f>IF(Publish_LPM="Off","Publishing is OFF","")</f>
        <v/>
      </c>
      <c r="D2" s="61"/>
      <c r="E2" s="61"/>
      <c r="F2" s="61"/>
      <c r="G2" s="68"/>
      <c r="H2" s="68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</row>
    <row r="5" spans="2:27">
      <c r="B5" s="99" t="s">
        <v>78</v>
      </c>
      <c r="C5" s="99"/>
      <c r="D5" s="99"/>
      <c r="F5" s="99" t="s">
        <v>79</v>
      </c>
      <c r="G5" s="99"/>
      <c r="H5" s="99"/>
      <c r="J5" s="99" t="s">
        <v>82</v>
      </c>
      <c r="K5" s="99"/>
      <c r="L5" s="99"/>
      <c r="N5" s="99" t="s">
        <v>83</v>
      </c>
      <c r="O5" s="99"/>
      <c r="P5" s="99"/>
      <c r="R5" s="99" t="s">
        <v>84</v>
      </c>
      <c r="S5" s="99"/>
      <c r="T5" s="99"/>
      <c r="U5" s="99"/>
      <c r="V5" s="99"/>
      <c r="W5" s="99"/>
      <c r="X5" s="99"/>
      <c r="Y5" s="99"/>
      <c r="Z5" s="99"/>
      <c r="AA5" s="99"/>
    </row>
    <row r="6" spans="2:27">
      <c r="B6" s="17" t="s">
        <v>80</v>
      </c>
      <c r="C6" s="2" t="str">
        <f t="array" aca="1" ref="C6:C7" ca="1">IF(Publish_LPM="Off","Publishing is OFF",_xll.qComWebPublishCurve(C48&amp;"."&amp;C45&amp;C46&amp;"."&amp;C44&amp;"."&amp;C50&amp;".SydSwapDesk",B43:C51,B38:C40,B10:D34,WebService))</f>
        <v>TestLive.AUDSwap.6M.Official.SydSwapDesk</v>
      </c>
      <c r="D6" s="13"/>
      <c r="F6" s="17" t="s">
        <v>80</v>
      </c>
      <c r="G6" s="2" t="str">
        <f t="array" aca="1" ref="G6:G7" ca="1">IF(Publish_LPM="Off","Publishing is OFF",_xll.qComWebPublishCurve(G48&amp;"."&amp;G43&amp;"."&amp;G45&amp;"-"&amp;G46&amp;"-"&amp;G44,F43:G51,F38:G40,F10:H34,WebService))</f>
        <v>TestLive.RateCurve.AUD-BondFuturesPay-310Y</v>
      </c>
      <c r="H6" s="20"/>
      <c r="J6" s="17" t="s">
        <v>80</v>
      </c>
      <c r="K6" s="2" t="str">
        <f t="array" aca="1" ref="K6:K7" ca="1">IF(Publish_LPM="Off","Publishing is OFF",_xll.qComWebPublishCurve(K48&amp;"."&amp;K43&amp;"."&amp;K45&amp;"-"&amp;K46&amp;"-"&amp;K44,J43:K51,J38:K40,J10:L34,WebService))</f>
        <v>TestLive.RateCurve.AUD-BondFuturesRec-310Y</v>
      </c>
      <c r="N6" s="17" t="s">
        <v>80</v>
      </c>
      <c r="O6" s="28" t="str">
        <f t="array" aca="1" ref="O6:O7" ca="1">IF(Publish_LPM="Off","Publishing is OFF",_xll.qComWebPublishLPMCapsFloors(O47&amp;"."&amp;O43&amp;"."&amp;O45&amp;"-"&amp;O46&amp;"-"&amp;O44,N43:O55,N38:O40,N9:P34,B43:C50,WebService))</f>
        <v>TestLPM.LpmCapFloorCurve.AUD-CapFloor-3M</v>
      </c>
      <c r="R6" s="17" t="s">
        <v>80</v>
      </c>
      <c r="S6" s="21" t="str">
        <f t="array" aca="1" ref="S6:S7" ca="1">IF(Publish_LPM="Off","Publishing is OFF",_xll.qComWebPublishLPMSwaptions(S47&amp;"."&amp;S43&amp;"."&amp;S45&amp;"-"&amp;S46&amp;"-"&amp;S44,R43:S50,R38:S40,R9:AA34,B43:C50,WebService))</f>
        <v>TestLPM.LPMSwaptionCurve.Swaption-SydSPU-AUD</v>
      </c>
    </row>
    <row r="7" spans="2:27">
      <c r="B7" s="17" t="s">
        <v>60</v>
      </c>
      <c r="C7" s="71">
        <f ca="1"/>
        <v>40681.60093508102</v>
      </c>
      <c r="D7" s="13"/>
      <c r="F7" s="17" t="s">
        <v>60</v>
      </c>
      <c r="G7" s="71">
        <f ca="1"/>
        <v>40681.600936168979</v>
      </c>
      <c r="J7" s="17" t="s">
        <v>60</v>
      </c>
      <c r="K7" s="71">
        <f ca="1"/>
        <v>40681.600934895832</v>
      </c>
      <c r="N7" s="17" t="s">
        <v>60</v>
      </c>
      <c r="O7" s="71">
        <f ca="1"/>
        <v>40681.600893125003</v>
      </c>
      <c r="R7" s="17" t="s">
        <v>60</v>
      </c>
      <c r="S7" s="71">
        <f ca="1"/>
        <v>40681.600936342591</v>
      </c>
    </row>
    <row r="8" spans="2:27">
      <c r="B8" s="3"/>
      <c r="C8" s="64"/>
      <c r="D8" s="13"/>
      <c r="F8" s="67"/>
    </row>
    <row r="9" spans="2:27">
      <c r="B9" s="2" t="s">
        <v>11</v>
      </c>
      <c r="C9" s="4" t="s">
        <v>12</v>
      </c>
      <c r="D9" s="4" t="s">
        <v>13</v>
      </c>
      <c r="F9" s="2" t="s">
        <v>11</v>
      </c>
      <c r="G9" s="4" t="s">
        <v>12</v>
      </c>
      <c r="H9" s="4" t="s">
        <v>13</v>
      </c>
      <c r="J9" s="2" t="s">
        <v>11</v>
      </c>
      <c r="K9" s="4" t="s">
        <v>12</v>
      </c>
      <c r="L9" s="4" t="s">
        <v>13</v>
      </c>
      <c r="N9" s="19" t="s">
        <v>43</v>
      </c>
      <c r="O9" s="18" t="s">
        <v>44</v>
      </c>
      <c r="P9" s="18" t="s">
        <v>45</v>
      </c>
      <c r="R9" s="17">
        <f t="array" aca="1" ref="R9:AA19" ca="1">[1]!PPDsurface</f>
        <v>0</v>
      </c>
      <c r="S9" s="103" t="str">
        <f ca="1"/>
        <v>1Y</v>
      </c>
      <c r="T9" s="103" t="str">
        <f ca="1"/>
        <v>2Y</v>
      </c>
      <c r="U9" s="103" t="str">
        <f ca="1"/>
        <v>3Y</v>
      </c>
      <c r="V9" s="103" t="str">
        <f ca="1"/>
        <v>4Y</v>
      </c>
      <c r="W9" s="103" t="str">
        <f ca="1"/>
        <v>5Y</v>
      </c>
      <c r="X9" s="103" t="str">
        <f ca="1"/>
        <v>7Y</v>
      </c>
      <c r="Y9" s="103" t="str">
        <f ca="1"/>
        <v>10Y</v>
      </c>
      <c r="Z9" s="103" t="str">
        <f ca="1"/>
        <v>15Y</v>
      </c>
      <c r="AA9" s="103" t="str">
        <f ca="1"/>
        <v>20Y</v>
      </c>
    </row>
    <row r="10" spans="2:27">
      <c r="B10" s="97" t="str">
        <f t="array" aca="1" ref="B10:B34" ca="1">[1]!Names</f>
        <v>AUD-Deposit-1D</v>
      </c>
      <c r="C10" s="14">
        <f t="array" aca="1" ref="C10:C34" ca="1">ROUND([1]!Rates,8)</f>
        <v>4.7500000000000001E-2</v>
      </c>
      <c r="D10" s="98">
        <v>0</v>
      </c>
      <c r="F10" s="97" t="str">
        <f t="array" aca="1" ref="F10:F11" ca="1">[1]!FuturesNames</f>
        <v>AUD-IRFuture-IR-M1</v>
      </c>
      <c r="G10" s="14">
        <f t="array" aca="1" ref="G10:G11" ca="1">[1]!YTTpay</f>
        <v>5.0499999999999969E-2</v>
      </c>
      <c r="H10" s="98">
        <v>0</v>
      </c>
      <c r="J10" s="97" t="str">
        <f t="array" aca="1" ref="J10:J11" ca="1">[1]!FuturesNames</f>
        <v>AUD-IRFuture-IR-M1</v>
      </c>
      <c r="K10" s="14">
        <f t="array" aca="1" ref="K10:K11" ca="1">[1]!YTTrec</f>
        <v>5.0399999999999917E-2</v>
      </c>
      <c r="L10" s="98">
        <v>0</v>
      </c>
      <c r="N10" s="100" t="str">
        <f t="array" aca="1" ref="N10:N13" ca="1">[1]!Expiries</f>
        <v>16d</v>
      </c>
      <c r="O10" s="101">
        <f t="array" aca="1" ref="O10:O13" ca="1">[1]!PPDs</f>
        <v>3.2</v>
      </c>
      <c r="P10" s="102" t="str">
        <f ca="1">[1]CapFloor!F9</f>
        <v>ETO</v>
      </c>
      <c r="R10" s="31" t="str">
        <f ca="1"/>
        <v>1M</v>
      </c>
      <c r="S10" s="104">
        <f ca="1"/>
        <v>3.9997903665618191</v>
      </c>
      <c r="T10" s="104">
        <f ca="1"/>
        <v>4.4997136673316911</v>
      </c>
      <c r="U10" s="104">
        <f ca="1"/>
        <v>4.6996834628675606</v>
      </c>
      <c r="V10" s="104">
        <f ca="1"/>
        <v>4.6997065474698072</v>
      </c>
      <c r="W10" s="104">
        <f ca="1"/>
        <v>4.6997176979980111</v>
      </c>
      <c r="X10" s="104">
        <f ca="1"/>
        <v>4.6997329912383865</v>
      </c>
      <c r="Y10" s="104">
        <f ca="1"/>
        <v>4.6497506819099108</v>
      </c>
      <c r="Z10" s="104">
        <f ca="1"/>
        <v>4.6497572044509949</v>
      </c>
      <c r="AA10" s="104">
        <f ca="1"/>
        <v>4.6497491886969753</v>
      </c>
    </row>
    <row r="11" spans="2:27">
      <c r="B11" s="97" t="str">
        <f ca="1"/>
        <v>AUD-Deposit-1M</v>
      </c>
      <c r="C11" s="14">
        <f ca="1"/>
        <v>4.82E-2</v>
      </c>
      <c r="D11" s="98">
        <v>0</v>
      </c>
      <c r="F11" s="97" t="str">
        <f ca="1"/>
        <v>AUD-IRFuture-IR-U1</v>
      </c>
      <c r="G11" s="14">
        <f ca="1"/>
        <v>5.3700000000000046E-2</v>
      </c>
      <c r="H11" s="98">
        <v>0</v>
      </c>
      <c r="J11" s="97" t="str">
        <f ca="1"/>
        <v>AUD-IRFuture-IR-U1</v>
      </c>
      <c r="K11" s="14">
        <f ca="1"/>
        <v>5.3650000000000093E-2</v>
      </c>
      <c r="L11" s="98">
        <v>0</v>
      </c>
      <c r="N11" s="100" t="str">
        <f ca="1"/>
        <v>107d</v>
      </c>
      <c r="O11" s="101">
        <f ca="1"/>
        <v>4.4000000000000004</v>
      </c>
      <c r="P11" s="102" t="str">
        <f ca="1">[1]CapFloor!F10</f>
        <v>ETO</v>
      </c>
      <c r="R11" s="31" t="str">
        <f ca="1"/>
        <v>2M</v>
      </c>
      <c r="S11" s="104">
        <f ca="1"/>
        <v>4.0995508004671262</v>
      </c>
      <c r="T11" s="104">
        <f ca="1"/>
        <v>4.5993908629284901</v>
      </c>
      <c r="U11" s="104">
        <f ca="1"/>
        <v>4.7993281067425633</v>
      </c>
      <c r="V11" s="104">
        <f ca="1"/>
        <v>4.7993766314707837</v>
      </c>
      <c r="W11" s="104">
        <f ca="1"/>
        <v>4.7994003884879808</v>
      </c>
      <c r="X11" s="104">
        <f ca="1"/>
        <v>4.7994328305787137</v>
      </c>
      <c r="Y11" s="104">
        <f ca="1"/>
        <v>4.749469850564167</v>
      </c>
      <c r="Z11" s="104">
        <f ca="1"/>
        <v>4.749483497731072</v>
      </c>
      <c r="AA11" s="104">
        <f ca="1"/>
        <v>4.7494661785216605</v>
      </c>
    </row>
    <row r="12" spans="2:27">
      <c r="B12" s="97" t="str">
        <f ca="1"/>
        <v>AUD-Deposit-2M</v>
      </c>
      <c r="C12" s="14">
        <f ca="1"/>
        <v>4.9099999999999998E-2</v>
      </c>
      <c r="D12" s="98">
        <v>0</v>
      </c>
      <c r="F12" s="97"/>
      <c r="G12" s="14"/>
      <c r="H12" s="98"/>
      <c r="J12" s="97"/>
      <c r="K12" s="14"/>
      <c r="L12" s="98"/>
      <c r="N12" s="100" t="str">
        <f ca="1"/>
        <v>198d</v>
      </c>
      <c r="O12" s="101">
        <f ca="1"/>
        <v>5.5</v>
      </c>
      <c r="P12" s="102" t="str">
        <f ca="1">[1]CapFloor!F11</f>
        <v>ETO</v>
      </c>
      <c r="R12" s="31" t="str">
        <f ca="1"/>
        <v>3M</v>
      </c>
      <c r="S12" s="104">
        <f ca="1"/>
        <v>4.499122797974656</v>
      </c>
      <c r="T12" s="104">
        <f ca="1"/>
        <v>5.1986942226363091</v>
      </c>
      <c r="U12" s="104">
        <f ca="1"/>
        <v>5.1987337491243135</v>
      </c>
      <c r="V12" s="104">
        <f ca="1"/>
        <v>5.1988141401871948</v>
      </c>
      <c r="W12" s="104">
        <f ca="1"/>
        <v>5.1988596535749219</v>
      </c>
      <c r="X12" s="104">
        <f ca="1"/>
        <v>5.0989824593952893</v>
      </c>
      <c r="Y12" s="104">
        <f ca="1"/>
        <v>4.9990748289729057</v>
      </c>
      <c r="Z12" s="104">
        <f ca="1"/>
        <v>4.9990982788847376</v>
      </c>
      <c r="AA12" s="104">
        <f ca="1"/>
        <v>4.9990675502461679</v>
      </c>
    </row>
    <row r="13" spans="2:27">
      <c r="B13" s="97" t="str">
        <f ca="1"/>
        <v>AUD-Deposit-88D</v>
      </c>
      <c r="C13" s="14">
        <f ca="1"/>
        <v>4.99E-2</v>
      </c>
      <c r="D13" s="98">
        <v>0</v>
      </c>
      <c r="F13" s="97"/>
      <c r="G13" s="14"/>
      <c r="H13" s="98"/>
      <c r="J13" s="97"/>
      <c r="K13" s="14"/>
      <c r="L13" s="98"/>
      <c r="N13" s="100" t="str">
        <f ca="1"/>
        <v>289d</v>
      </c>
      <c r="O13" s="101">
        <f ca="1"/>
        <v>5.8100000000000005</v>
      </c>
      <c r="P13" s="102" t="str">
        <f ca="1">[1]CapFloor!F12</f>
        <v>ETO</v>
      </c>
      <c r="R13" s="31" t="str">
        <f ca="1"/>
        <v>6M</v>
      </c>
      <c r="S13" s="104">
        <f ca="1"/>
        <v>5.1973610432223349</v>
      </c>
      <c r="T13" s="104">
        <f ca="1"/>
        <v>5.2972880623891303</v>
      </c>
      <c r="U13" s="104">
        <f ca="1"/>
        <v>5.3972193931670223</v>
      </c>
      <c r="V13" s="104">
        <f ca="1"/>
        <v>5.3974251451803541</v>
      </c>
      <c r="W13" s="104">
        <f ca="1"/>
        <v>5.3975167672651425</v>
      </c>
      <c r="X13" s="104">
        <f ca="1"/>
        <v>5.347692890941814</v>
      </c>
      <c r="Y13" s="104">
        <f ca="1"/>
        <v>5.1979460659455228</v>
      </c>
      <c r="Z13" s="104">
        <f ca="1"/>
        <v>5.1979792524376096</v>
      </c>
      <c r="AA13" s="104">
        <f ca="1"/>
        <v>5.1979032649231325</v>
      </c>
    </row>
    <row r="14" spans="2:27">
      <c r="B14" s="97" t="str">
        <f ca="1"/>
        <v>AUD-IRFuture-IR-M1</v>
      </c>
      <c r="C14" s="14">
        <f ca="1"/>
        <v>5.0450000000000002E-2</v>
      </c>
      <c r="D14" s="98">
        <v>0</v>
      </c>
      <c r="F14" s="97"/>
      <c r="G14" s="14"/>
      <c r="H14" s="98"/>
      <c r="J14" s="97"/>
      <c r="K14" s="14"/>
      <c r="L14" s="98"/>
      <c r="N14" s="100" t="str">
        <f t="array" aca="1" ref="N14:N23" ca="1">[1]!Expiries2</f>
        <v>2Y</v>
      </c>
      <c r="O14" s="101">
        <f t="array" aca="1" ref="O14:O23" ca="1">[1]!PPDs2</f>
        <v>5.94</v>
      </c>
      <c r="P14" s="102" t="str">
        <f ca="1">[1]CapFloor!F14</f>
        <v>Cap/Floor</v>
      </c>
      <c r="R14" s="31" t="str">
        <f ca="1"/>
        <v>1Y</v>
      </c>
      <c r="S14" s="104">
        <f ca="1"/>
        <v>5.7929355767029413</v>
      </c>
      <c r="T14" s="104">
        <f ca="1"/>
        <v>5.9923761772555961</v>
      </c>
      <c r="U14" s="104">
        <f ca="1"/>
        <v>5.9926324840682961</v>
      </c>
      <c r="V14" s="104">
        <f ca="1"/>
        <v>5.8935425177380321</v>
      </c>
      <c r="W14" s="104">
        <f ca="1"/>
        <v>5.7940630623687737</v>
      </c>
      <c r="X14" s="104">
        <f ca="1"/>
        <v>5.6447019328410315</v>
      </c>
      <c r="Y14" s="104">
        <f ca="1"/>
        <v>5.4952334064250659</v>
      </c>
      <c r="Z14" s="104">
        <f ca="1"/>
        <v>5.4952597156783103</v>
      </c>
      <c r="AA14" s="104">
        <f ca="1"/>
        <v>5.4950575664941361</v>
      </c>
    </row>
    <row r="15" spans="2:27">
      <c r="B15" s="97" t="str">
        <f ca="1"/>
        <v>AUD-IRFuture-IR-U1</v>
      </c>
      <c r="C15" s="14">
        <f ca="1"/>
        <v>5.1249999999999997E-2</v>
      </c>
      <c r="D15" s="98">
        <v>0</v>
      </c>
      <c r="F15" s="97"/>
      <c r="G15" s="14"/>
      <c r="H15" s="98"/>
      <c r="J15" s="97"/>
      <c r="K15" s="14"/>
      <c r="L15" s="98"/>
      <c r="N15" s="100" t="str">
        <f ca="1"/>
        <v>3Y</v>
      </c>
      <c r="O15" s="101">
        <f ca="1"/>
        <v>6.25</v>
      </c>
      <c r="P15" s="102" t="str">
        <f ca="1">[1]CapFloor!F15</f>
        <v>Cap/Floor</v>
      </c>
      <c r="R15" s="31" t="str">
        <f ca="1"/>
        <v>2Y</v>
      </c>
      <c r="S15" s="104">
        <f ca="1"/>
        <v>6.2828333518242054</v>
      </c>
      <c r="T15" s="104">
        <f ca="1"/>
        <v>6.2834938083330325</v>
      </c>
      <c r="U15" s="104">
        <f ca="1"/>
        <v>6.1353564002191741</v>
      </c>
      <c r="V15" s="104">
        <f ca="1"/>
        <v>6.0072080951784752</v>
      </c>
      <c r="W15" s="104">
        <f ca="1"/>
        <v>5.8881937700211457</v>
      </c>
      <c r="X15" s="104">
        <f ca="1"/>
        <v>5.7392655878502596</v>
      </c>
      <c r="Y15" s="104">
        <f ca="1"/>
        <v>5.4907832777418237</v>
      </c>
      <c r="Z15" s="104">
        <f ca="1"/>
        <v>5.4906278381958638</v>
      </c>
      <c r="AA15" s="104">
        <f ca="1"/>
        <v>5.490136517187767</v>
      </c>
    </row>
    <row r="16" spans="2:27">
      <c r="B16" s="97" t="str">
        <f ca="1"/>
        <v>AUD-IRFuture-IR-Z1</v>
      </c>
      <c r="C16" s="14">
        <f ca="1"/>
        <v>5.1950000000000003E-2</v>
      </c>
      <c r="D16" s="98">
        <v>0</v>
      </c>
      <c r="F16" s="97"/>
      <c r="G16" s="14"/>
      <c r="H16" s="98"/>
      <c r="J16" s="97"/>
      <c r="K16" s="14"/>
      <c r="L16" s="98"/>
      <c r="N16" s="100" t="str">
        <f ca="1"/>
        <v>4Y</v>
      </c>
      <c r="O16" s="101">
        <f ca="1"/>
        <v>6.2</v>
      </c>
      <c r="P16" s="102" t="str">
        <f ca="1">[1]CapFloor!F16</f>
        <v>Cap/Floor</v>
      </c>
      <c r="R16" s="31" t="str">
        <f ca="1"/>
        <v>3Y</v>
      </c>
      <c r="S16" s="104">
        <f ca="1"/>
        <v>6.0784379201293071</v>
      </c>
      <c r="T16" s="104">
        <f ca="1"/>
        <v>5.9805277502481218</v>
      </c>
      <c r="U16" s="104">
        <f ca="1"/>
        <v>5.8820707592871244</v>
      </c>
      <c r="V16" s="104">
        <f ca="1"/>
        <v>5.7838152518461552</v>
      </c>
      <c r="W16" s="104">
        <f ca="1"/>
        <v>5.6847468978687408</v>
      </c>
      <c r="X16" s="104">
        <f ca="1"/>
        <v>5.5856428159639639</v>
      </c>
      <c r="Y16" s="104">
        <f ca="1"/>
        <v>5.4368691770046178</v>
      </c>
      <c r="Z16" s="104">
        <f ca="1"/>
        <v>5.4364088872008391</v>
      </c>
      <c r="AA16" s="104">
        <f ca="1"/>
        <v>5.4355618105649954</v>
      </c>
    </row>
    <row r="17" spans="2:27">
      <c r="B17" s="97" t="str">
        <f ca="1"/>
        <v>AUD-IRFuture-IR-H2</v>
      </c>
      <c r="C17" s="14">
        <f ca="1"/>
        <v>5.2749999999999998E-2</v>
      </c>
      <c r="D17" s="98">
        <v>0</v>
      </c>
      <c r="F17" s="97"/>
      <c r="G17" s="14"/>
      <c r="H17" s="98"/>
      <c r="J17" s="97"/>
      <c r="K17" s="14"/>
      <c r="L17" s="98"/>
      <c r="N17" s="100" t="str">
        <f ca="1"/>
        <v>5Y</v>
      </c>
      <c r="O17" s="101">
        <f ca="1"/>
        <v>6.15</v>
      </c>
      <c r="P17" s="102" t="str">
        <f ca="1">[1]CapFloor!F17</f>
        <v>Cap/Floor</v>
      </c>
      <c r="R17" s="31" t="str">
        <f ca="1"/>
        <v>5Y</v>
      </c>
      <c r="S17" s="104">
        <f ca="1"/>
        <v>5.5959252299446884</v>
      </c>
      <c r="T17" s="104">
        <f ca="1"/>
        <v>5.556458448205432</v>
      </c>
      <c r="U17" s="104">
        <f ca="1"/>
        <v>5.4773627635950008</v>
      </c>
      <c r="V17" s="104">
        <f ca="1"/>
        <v>5.4582481024406437</v>
      </c>
      <c r="W17" s="104">
        <f ca="1"/>
        <v>5.3791979175982032</v>
      </c>
      <c r="X17" s="104">
        <f ca="1"/>
        <v>5.3694204221782833</v>
      </c>
      <c r="Y17" s="104">
        <f ca="1"/>
        <v>5.3494763556036302</v>
      </c>
      <c r="Z17" s="104">
        <f ca="1"/>
        <v>5.3479903570068323</v>
      </c>
      <c r="AA17" s="104">
        <f ca="1"/>
        <v>5.3461963406112902</v>
      </c>
    </row>
    <row r="18" spans="2:27">
      <c r="B18" s="97" t="str">
        <f ca="1"/>
        <v>AUD-IRFuture-IR-M2</v>
      </c>
      <c r="C18" s="14">
        <f ca="1"/>
        <v>5.3249999999999999E-2</v>
      </c>
      <c r="D18" s="98">
        <v>0</v>
      </c>
      <c r="F18" s="97"/>
      <c r="G18" s="14"/>
      <c r="H18" s="98"/>
      <c r="J18" s="97"/>
      <c r="K18" s="14"/>
      <c r="L18" s="98"/>
      <c r="N18" s="100" t="str">
        <f ca="1"/>
        <v>7Y</v>
      </c>
      <c r="O18" s="101">
        <f ca="1"/>
        <v>5.98</v>
      </c>
      <c r="P18" s="102" t="str">
        <f ca="1">[1]CapFloor!F18</f>
        <v>Cap/Floor</v>
      </c>
      <c r="R18" s="31" t="str">
        <f ca="1"/>
        <v>7Y</v>
      </c>
      <c r="S18" s="104">
        <f ca="1"/>
        <v>5.5171952776842961</v>
      </c>
      <c r="T18" s="104">
        <f ca="1"/>
        <v>5.418765186601644</v>
      </c>
      <c r="U18" s="104">
        <f ca="1"/>
        <v>5.3697417875035507</v>
      </c>
      <c r="V18" s="104">
        <f ca="1"/>
        <v>5.3708721374647501</v>
      </c>
      <c r="W18" s="104">
        <f ca="1"/>
        <v>5.3710415376185408</v>
      </c>
      <c r="X18" s="104">
        <f ca="1"/>
        <v>5.3511001414719681</v>
      </c>
      <c r="Y18" s="104">
        <f ca="1"/>
        <v>5.320387278174092</v>
      </c>
      <c r="Z18" s="104">
        <f ca="1"/>
        <v>5.317763783647198</v>
      </c>
      <c r="AA18" s="104">
        <f ca="1"/>
        <v>5.3148652136565788</v>
      </c>
    </row>
    <row r="19" spans="2:27">
      <c r="B19" s="97" t="str">
        <f ca="1"/>
        <v>AUD-IRFuture-IR-U2</v>
      </c>
      <c r="C19" s="14">
        <f ca="1"/>
        <v>5.3749999999999999E-2</v>
      </c>
      <c r="D19" s="98">
        <v>0</v>
      </c>
      <c r="F19" s="97"/>
      <c r="G19" s="14"/>
      <c r="H19" s="98"/>
      <c r="J19" s="97"/>
      <c r="K19" s="14"/>
      <c r="L19" s="98"/>
      <c r="N19" s="100" t="str">
        <f ca="1"/>
        <v>10Y</v>
      </c>
      <c r="O19" s="101">
        <f ca="1"/>
        <v>5.78</v>
      </c>
      <c r="P19" s="102" t="str">
        <f ca="1">[1]CapFloor!F19</f>
        <v>Cap/Floor</v>
      </c>
      <c r="R19" s="31" t="str">
        <f ca="1"/>
        <v>10Y</v>
      </c>
      <c r="S19" s="104">
        <f ca="1"/>
        <v>5.4068432827112076</v>
      </c>
      <c r="T19" s="104">
        <f ca="1"/>
        <v>5.3584499172987599</v>
      </c>
      <c r="U19" s="104">
        <f ca="1"/>
        <v>5.3089171626176554</v>
      </c>
      <c r="V19" s="104">
        <f ca="1"/>
        <v>5.3095094319530736</v>
      </c>
      <c r="W19" s="104">
        <f ca="1"/>
        <v>5.3093709884304143</v>
      </c>
      <c r="X19" s="104">
        <f ca="1"/>
        <v>5.3067784717160782</v>
      </c>
      <c r="Y19" s="104">
        <f ca="1"/>
        <v>5.3040209193814318</v>
      </c>
      <c r="Z19" s="104">
        <f ca="1"/>
        <v>5.2985315783104463</v>
      </c>
      <c r="AA19" s="104">
        <f ca="1"/>
        <v>5.2932990700613596</v>
      </c>
    </row>
    <row r="20" spans="2:27">
      <c r="B20" s="97" t="str">
        <f ca="1"/>
        <v>AUD-IRFuture-IR-Z2</v>
      </c>
      <c r="C20" s="14">
        <f ca="1"/>
        <v>5.4149999999999997E-2</v>
      </c>
      <c r="D20" s="98">
        <v>0</v>
      </c>
      <c r="F20" s="97"/>
      <c r="G20" s="14"/>
      <c r="H20" s="98"/>
      <c r="J20" s="97"/>
      <c r="K20" s="14"/>
      <c r="L20" s="98"/>
      <c r="N20" s="100" t="str">
        <f ca="1"/>
        <v>15Y</v>
      </c>
      <c r="O20" s="101">
        <f ca="1"/>
        <v>5.59</v>
      </c>
      <c r="P20" s="102" t="str">
        <f ca="1">[1]CapFloor!F20</f>
        <v>Cap/Floor</v>
      </c>
      <c r="R20" s="31"/>
      <c r="S20" s="104"/>
      <c r="T20" s="104"/>
      <c r="U20" s="104"/>
      <c r="V20" s="104"/>
      <c r="W20" s="104"/>
      <c r="X20" s="104"/>
      <c r="Y20" s="104"/>
      <c r="Z20" s="104"/>
      <c r="AA20" s="104"/>
    </row>
    <row r="21" spans="2:27">
      <c r="B21" s="97" t="str">
        <f ca="1"/>
        <v>AUD-IRFuture-IR-H3</v>
      </c>
      <c r="C21" s="14">
        <f ca="1"/>
        <v>5.4449999999999998E-2</v>
      </c>
      <c r="D21" s="98">
        <v>0</v>
      </c>
      <c r="F21" s="97"/>
      <c r="G21" s="14"/>
      <c r="H21" s="98"/>
      <c r="J21" s="97"/>
      <c r="K21" s="14"/>
      <c r="L21" s="98"/>
      <c r="N21" s="100" t="str">
        <f ca="1"/>
        <v>20Y</v>
      </c>
      <c r="O21" s="101">
        <f ca="1"/>
        <v>5.59</v>
      </c>
      <c r="P21" s="102" t="str">
        <f ca="1">[1]CapFloor!F21</f>
        <v>Cap/Floor</v>
      </c>
      <c r="R21" s="31"/>
      <c r="S21" s="104"/>
      <c r="T21" s="104"/>
      <c r="U21" s="104"/>
      <c r="V21" s="104"/>
      <c r="W21" s="104"/>
      <c r="X21" s="104"/>
      <c r="Y21" s="104"/>
      <c r="Z21" s="104"/>
      <c r="AA21" s="104"/>
    </row>
    <row r="22" spans="2:27">
      <c r="B22" s="97" t="str">
        <f ca="1"/>
        <v>AUD-IRSwap-3Y</v>
      </c>
      <c r="C22" s="14">
        <f ca="1"/>
        <v>5.3400000000000003E-2</v>
      </c>
      <c r="D22" s="98">
        <v>0</v>
      </c>
      <c r="F22" s="97"/>
      <c r="G22" s="14"/>
      <c r="H22" s="98"/>
      <c r="J22" s="97"/>
      <c r="K22" s="14"/>
      <c r="L22" s="98"/>
      <c r="N22" s="100" t="str">
        <f ca="1"/>
        <v>25Y</v>
      </c>
      <c r="O22" s="101">
        <f ca="1"/>
        <v>5.59</v>
      </c>
      <c r="P22" s="102" t="str">
        <f ca="1">[1]CapFloor!F22</f>
        <v>Cap/Floor</v>
      </c>
      <c r="R22" s="31"/>
      <c r="S22" s="104"/>
      <c r="T22" s="104"/>
      <c r="U22" s="104"/>
      <c r="V22" s="104"/>
      <c r="W22" s="104"/>
      <c r="X22" s="104"/>
      <c r="Y22" s="104"/>
      <c r="Z22" s="104"/>
      <c r="AA22" s="104"/>
    </row>
    <row r="23" spans="2:27">
      <c r="B23" s="97" t="str">
        <f ca="1"/>
        <v>AUD-IRSwap-4Y</v>
      </c>
      <c r="C23" s="14">
        <f ca="1"/>
        <v>5.5474999999999997E-2</v>
      </c>
      <c r="D23" s="98">
        <v>0</v>
      </c>
      <c r="F23" s="97"/>
      <c r="G23" s="14"/>
      <c r="H23" s="98"/>
      <c r="J23" s="97"/>
      <c r="K23" s="14"/>
      <c r="L23" s="98"/>
      <c r="N23" s="100" t="str">
        <f ca="1"/>
        <v>30Y</v>
      </c>
      <c r="O23" s="101">
        <f ca="1"/>
        <v>5.59</v>
      </c>
      <c r="P23" s="102" t="str">
        <f ca="1">[1]CapFloor!F23</f>
        <v>Cap/Floor</v>
      </c>
      <c r="R23" s="31"/>
      <c r="S23" s="104"/>
      <c r="T23" s="104"/>
      <c r="U23" s="104"/>
      <c r="V23" s="104"/>
      <c r="W23" s="104"/>
      <c r="X23" s="104"/>
      <c r="Y23" s="104"/>
      <c r="Z23" s="104"/>
      <c r="AA23" s="104"/>
    </row>
    <row r="24" spans="2:27">
      <c r="B24" s="97" t="str">
        <f ca="1"/>
        <v>AUD-IRSwap-5Y</v>
      </c>
      <c r="C24" s="14">
        <f ca="1"/>
        <v>5.6599999999999998E-2</v>
      </c>
      <c r="D24" s="98">
        <v>0</v>
      </c>
      <c r="F24" s="97"/>
      <c r="G24" s="14"/>
      <c r="H24" s="98"/>
      <c r="J24" s="97"/>
      <c r="K24" s="14"/>
      <c r="L24" s="98"/>
      <c r="N24" s="100"/>
      <c r="O24" s="101"/>
      <c r="P24" s="102"/>
      <c r="R24" s="31"/>
      <c r="S24" s="104"/>
      <c r="T24" s="104"/>
      <c r="U24" s="104"/>
      <c r="V24" s="104"/>
      <c r="W24" s="104"/>
      <c r="X24" s="104"/>
      <c r="Y24" s="104"/>
      <c r="Z24" s="104"/>
      <c r="AA24" s="104"/>
    </row>
    <row r="25" spans="2:27">
      <c r="B25" s="97" t="str">
        <f ca="1"/>
        <v>AUD-IRSwap-7Y</v>
      </c>
      <c r="C25" s="14">
        <f ca="1"/>
        <v>5.8275E-2</v>
      </c>
      <c r="D25" s="98">
        <v>0</v>
      </c>
      <c r="F25" s="97"/>
      <c r="G25" s="14"/>
      <c r="H25" s="98"/>
      <c r="J25" s="97"/>
      <c r="K25" s="14"/>
      <c r="L25" s="98"/>
      <c r="N25" s="100"/>
      <c r="O25" s="101"/>
      <c r="P25" s="102"/>
      <c r="R25" s="31"/>
      <c r="S25" s="104"/>
      <c r="T25" s="104"/>
      <c r="U25" s="104"/>
      <c r="V25" s="104"/>
      <c r="W25" s="104"/>
      <c r="X25" s="104"/>
      <c r="Y25" s="104"/>
      <c r="Z25" s="104"/>
      <c r="AA25" s="104"/>
    </row>
    <row r="26" spans="2:27">
      <c r="B26" s="97" t="str">
        <f ca="1"/>
        <v>AUD-IRSwap-10Y</v>
      </c>
      <c r="C26" s="14">
        <f ca="1"/>
        <v>5.9374999999999997E-2</v>
      </c>
      <c r="D26" s="98">
        <v>0</v>
      </c>
      <c r="F26" s="97"/>
      <c r="G26" s="14"/>
      <c r="H26" s="98"/>
      <c r="J26" s="97"/>
      <c r="K26" s="14"/>
      <c r="L26" s="98"/>
      <c r="N26" s="100"/>
      <c r="O26" s="101"/>
      <c r="P26" s="102"/>
      <c r="R26" s="31"/>
      <c r="S26" s="104"/>
      <c r="T26" s="104"/>
      <c r="U26" s="104"/>
      <c r="V26" s="104"/>
      <c r="W26" s="104"/>
      <c r="X26" s="104"/>
      <c r="Y26" s="104"/>
      <c r="Z26" s="104"/>
      <c r="AA26" s="104"/>
    </row>
    <row r="27" spans="2:27">
      <c r="B27" s="97" t="str">
        <f ca="1"/>
        <v>AUD-IRSwap-15Y</v>
      </c>
      <c r="C27" s="14">
        <f ca="1"/>
        <v>6.0449999999999997E-2</v>
      </c>
      <c r="D27" s="98">
        <v>0</v>
      </c>
      <c r="F27" s="97"/>
      <c r="G27" s="14"/>
      <c r="H27" s="98"/>
      <c r="J27" s="97"/>
      <c r="K27" s="14"/>
      <c r="L27" s="98"/>
      <c r="N27" s="100"/>
      <c r="O27" s="101"/>
      <c r="P27" s="102"/>
      <c r="R27" s="31"/>
      <c r="S27" s="104"/>
      <c r="T27" s="104"/>
      <c r="U27" s="104"/>
      <c r="V27" s="104"/>
      <c r="W27" s="104"/>
      <c r="X27" s="104"/>
      <c r="Y27" s="104"/>
      <c r="Z27" s="104"/>
      <c r="AA27" s="104"/>
    </row>
    <row r="28" spans="2:27">
      <c r="B28" s="97" t="str">
        <f ca="1"/>
        <v>AUD-IRSwap-20Y</v>
      </c>
      <c r="C28" s="14">
        <f ca="1"/>
        <v>5.9825000000000003E-2</v>
      </c>
      <c r="D28" s="98">
        <v>0</v>
      </c>
      <c r="F28" s="97"/>
      <c r="G28" s="14"/>
      <c r="H28" s="98"/>
      <c r="J28" s="97"/>
      <c r="K28" s="14"/>
      <c r="L28" s="98"/>
      <c r="N28" s="100"/>
      <c r="O28" s="101"/>
      <c r="P28" s="102"/>
      <c r="R28" s="31"/>
      <c r="S28" s="104"/>
      <c r="T28" s="104"/>
      <c r="U28" s="104"/>
      <c r="V28" s="104"/>
      <c r="W28" s="104"/>
      <c r="X28" s="104"/>
      <c r="Y28" s="104"/>
      <c r="Z28" s="104"/>
      <c r="AA28" s="104"/>
    </row>
    <row r="29" spans="2:27">
      <c r="B29" s="97" t="str">
        <f ca="1"/>
        <v>AUD-IRSwap-25Y</v>
      </c>
      <c r="C29" s="14">
        <f ca="1"/>
        <v>5.8424999999999998E-2</v>
      </c>
      <c r="D29" s="98">
        <v>0</v>
      </c>
      <c r="F29" s="97"/>
      <c r="G29" s="14"/>
      <c r="H29" s="98"/>
      <c r="J29" s="97"/>
      <c r="K29" s="14"/>
      <c r="L29" s="98"/>
      <c r="N29" s="100"/>
      <c r="O29" s="101"/>
      <c r="P29" s="102"/>
      <c r="R29" s="31"/>
      <c r="S29" s="104"/>
      <c r="T29" s="104"/>
      <c r="U29" s="104"/>
      <c r="V29" s="104"/>
      <c r="W29" s="104"/>
      <c r="X29" s="104"/>
      <c r="Y29" s="104"/>
      <c r="Z29" s="104"/>
      <c r="AA29" s="104"/>
    </row>
    <row r="30" spans="2:27">
      <c r="B30" s="97" t="str">
        <f ca="1"/>
        <v>AUD-IRSwap-26Y</v>
      </c>
      <c r="C30" s="14">
        <f ca="1"/>
        <v>5.8134999999999999E-2</v>
      </c>
      <c r="D30" s="98">
        <v>0</v>
      </c>
      <c r="F30" s="97"/>
      <c r="G30" s="14"/>
      <c r="H30" s="98"/>
      <c r="J30" s="97"/>
      <c r="K30" s="14"/>
      <c r="L30" s="98"/>
      <c r="N30" s="100"/>
      <c r="O30" s="101"/>
      <c r="P30" s="102"/>
      <c r="R30" s="31"/>
      <c r="S30" s="104"/>
      <c r="T30" s="104"/>
      <c r="U30" s="104"/>
      <c r="V30" s="104"/>
      <c r="W30" s="104"/>
      <c r="X30" s="104"/>
      <c r="Y30" s="104"/>
      <c r="Z30" s="104"/>
      <c r="AA30" s="104"/>
    </row>
    <row r="31" spans="2:27">
      <c r="B31" s="97" t="str">
        <f ca="1"/>
        <v>AUD-IRSwap-27Y</v>
      </c>
      <c r="C31" s="14">
        <f ca="1"/>
        <v>5.7845000000000001E-2</v>
      </c>
      <c r="D31" s="98">
        <v>0</v>
      </c>
      <c r="F31" s="97"/>
      <c r="G31" s="14"/>
      <c r="H31" s="98"/>
      <c r="J31" s="97"/>
      <c r="K31" s="14"/>
      <c r="L31" s="98"/>
      <c r="N31" s="100"/>
      <c r="O31" s="101"/>
      <c r="P31" s="102"/>
      <c r="R31" s="31"/>
      <c r="S31" s="104"/>
      <c r="T31" s="104"/>
      <c r="U31" s="104"/>
      <c r="V31" s="104"/>
      <c r="W31" s="104"/>
      <c r="X31" s="104"/>
      <c r="Y31" s="104"/>
      <c r="Z31" s="104"/>
      <c r="AA31" s="104"/>
    </row>
    <row r="32" spans="2:27">
      <c r="B32" s="97" t="str">
        <f ca="1"/>
        <v>AUD-IRSwap-28Y</v>
      </c>
      <c r="C32" s="14">
        <f ca="1"/>
        <v>5.7555000000000002E-2</v>
      </c>
      <c r="D32" s="98">
        <v>0</v>
      </c>
      <c r="F32" s="97"/>
      <c r="G32" s="14"/>
      <c r="H32" s="98"/>
      <c r="J32" s="97"/>
      <c r="K32" s="14"/>
      <c r="L32" s="98"/>
      <c r="N32" s="70"/>
      <c r="O32" s="101"/>
      <c r="P32" s="102"/>
      <c r="R32" s="31"/>
      <c r="S32" s="104"/>
      <c r="T32" s="104"/>
      <c r="U32" s="104"/>
      <c r="V32" s="104"/>
      <c r="W32" s="104"/>
      <c r="X32" s="104"/>
      <c r="Y32" s="104"/>
      <c r="Z32" s="104"/>
      <c r="AA32" s="104"/>
    </row>
    <row r="33" spans="2:27">
      <c r="B33" s="97" t="str">
        <f ca="1"/>
        <v>AUD-IRSwap-29Y</v>
      </c>
      <c r="C33" s="14">
        <f ca="1"/>
        <v>5.7265000000000003E-2</v>
      </c>
      <c r="D33" s="98">
        <v>0</v>
      </c>
      <c r="F33" s="97"/>
      <c r="G33" s="14"/>
      <c r="H33" s="98"/>
      <c r="J33" s="97"/>
      <c r="K33" s="14"/>
      <c r="L33" s="98"/>
      <c r="N33" s="70"/>
      <c r="O33" s="101"/>
      <c r="P33" s="102"/>
      <c r="R33" s="31"/>
      <c r="S33" s="104"/>
      <c r="T33" s="104"/>
      <c r="U33" s="104"/>
      <c r="V33" s="104"/>
      <c r="W33" s="104"/>
      <c r="X33" s="104"/>
      <c r="Y33" s="104"/>
      <c r="Z33" s="104"/>
      <c r="AA33" s="104"/>
    </row>
    <row r="34" spans="2:27">
      <c r="B34" s="97" t="str">
        <f ca="1"/>
        <v>AUD-IRSwap-30Y</v>
      </c>
      <c r="C34" s="14">
        <f ca="1"/>
        <v>5.6974999999999998E-2</v>
      </c>
      <c r="D34" s="98">
        <v>0</v>
      </c>
      <c r="F34" s="97"/>
      <c r="G34" s="14"/>
      <c r="H34" s="98"/>
      <c r="J34" s="97"/>
      <c r="K34" s="14"/>
      <c r="L34" s="98"/>
      <c r="N34" s="70"/>
      <c r="O34" s="101"/>
      <c r="P34" s="102"/>
      <c r="R34" s="31"/>
      <c r="S34" s="104"/>
      <c r="T34" s="104"/>
      <c r="U34" s="104"/>
      <c r="V34" s="104"/>
      <c r="W34" s="104"/>
      <c r="X34" s="104"/>
      <c r="Y34" s="104"/>
      <c r="Z34" s="104"/>
      <c r="AA34" s="104"/>
    </row>
    <row r="37" spans="2:27">
      <c r="B37" s="17" t="s">
        <v>77</v>
      </c>
      <c r="C37" s="2"/>
      <c r="D37" s="65"/>
      <c r="F37" s="17" t="s">
        <v>77</v>
      </c>
      <c r="J37" s="17" t="s">
        <v>77</v>
      </c>
      <c r="N37" s="17" t="s">
        <v>77</v>
      </c>
      <c r="R37" s="17" t="s">
        <v>77</v>
      </c>
    </row>
    <row r="38" spans="2:27">
      <c r="B38" s="80" t="s">
        <v>10</v>
      </c>
      <c r="C38" s="80">
        <f ca="1">CurveLifetime</f>
        <v>1440</v>
      </c>
      <c r="E38" s="17" t="s">
        <v>57</v>
      </c>
      <c r="F38" s="80" t="s">
        <v>10</v>
      </c>
      <c r="G38" s="80">
        <f>CurveLifetime</f>
        <v>1440</v>
      </c>
      <c r="J38" s="80" t="s">
        <v>10</v>
      </c>
      <c r="K38" s="80">
        <f>CurveLifetime</f>
        <v>1440</v>
      </c>
      <c r="N38" s="116" t="s">
        <v>10</v>
      </c>
      <c r="O38" s="116">
        <f>CurveLifetime</f>
        <v>1440</v>
      </c>
      <c r="P38" s="118"/>
      <c r="R38" s="116" t="s">
        <v>10</v>
      </c>
      <c r="S38" s="116">
        <f>CurveLifetime</f>
        <v>1440</v>
      </c>
      <c r="T38" s="118"/>
    </row>
    <row r="39" spans="2:27">
      <c r="B39" s="80" t="s">
        <v>9</v>
      </c>
      <c r="C39" s="80" t="str">
        <f>C48</f>
        <v>TestLive</v>
      </c>
      <c r="E39" s="17" t="s">
        <v>57</v>
      </c>
      <c r="F39" s="80" t="s">
        <v>9</v>
      </c>
      <c r="G39" s="80" t="str">
        <f>G48</f>
        <v>TestLive</v>
      </c>
      <c r="J39" s="80" t="s">
        <v>9</v>
      </c>
      <c r="K39" s="80" t="str">
        <f>K48</f>
        <v>TestLive</v>
      </c>
      <c r="N39" s="116" t="s">
        <v>9</v>
      </c>
      <c r="O39" s="116" t="str">
        <f>MarketPrefix&amp;"LPM"</f>
        <v>TestLPM</v>
      </c>
      <c r="P39" s="118"/>
      <c r="R39" s="116" t="s">
        <v>9</v>
      </c>
      <c r="S39" s="116" t="str">
        <f>MarketPrefix&amp;"LPM"</f>
        <v>TestLPM</v>
      </c>
      <c r="T39" s="118"/>
    </row>
    <row r="40" spans="2:27">
      <c r="B40" s="80" t="s">
        <v>24</v>
      </c>
      <c r="C40" s="80" t="b">
        <v>1</v>
      </c>
      <c r="E40" s="17" t="s">
        <v>57</v>
      </c>
      <c r="F40" s="80" t="s">
        <v>24</v>
      </c>
      <c r="G40" s="80" t="b">
        <v>1</v>
      </c>
      <c r="J40" s="80" t="s">
        <v>24</v>
      </c>
      <c r="K40" s="80" t="b">
        <v>1</v>
      </c>
      <c r="N40" s="116" t="s">
        <v>24</v>
      </c>
      <c r="O40" s="116" t="b">
        <v>1</v>
      </c>
      <c r="P40" s="118"/>
      <c r="R40" s="116" t="s">
        <v>24</v>
      </c>
      <c r="S40" s="116" t="b">
        <v>1</v>
      </c>
      <c r="T40" s="118"/>
    </row>
    <row r="41" spans="2:27">
      <c r="C41" s="2"/>
      <c r="D41" s="2"/>
      <c r="E41" s="17" t="s">
        <v>57</v>
      </c>
    </row>
    <row r="42" spans="2:27">
      <c r="B42" s="17" t="s">
        <v>76</v>
      </c>
      <c r="F42" s="17" t="s">
        <v>76</v>
      </c>
      <c r="J42" s="17" t="s">
        <v>76</v>
      </c>
      <c r="N42" s="17" t="s">
        <v>76</v>
      </c>
      <c r="R42" s="17" t="s">
        <v>76</v>
      </c>
    </row>
    <row r="43" spans="2:27">
      <c r="B43" s="80" t="s">
        <v>0</v>
      </c>
      <c r="C43" s="113" t="s">
        <v>1</v>
      </c>
      <c r="E43" s="17" t="s">
        <v>57</v>
      </c>
      <c r="F43" s="116" t="s">
        <v>0</v>
      </c>
      <c r="G43" s="116" t="s">
        <v>1</v>
      </c>
      <c r="J43" s="116" t="s">
        <v>0</v>
      </c>
      <c r="K43" s="116" t="s">
        <v>1</v>
      </c>
      <c r="N43" s="116" t="s">
        <v>0</v>
      </c>
      <c r="O43" s="116" t="s">
        <v>30</v>
      </c>
      <c r="P43" s="118"/>
      <c r="R43" s="118" t="s">
        <v>0</v>
      </c>
      <c r="S43" s="118" t="s">
        <v>46</v>
      </c>
      <c r="T43" s="118"/>
    </row>
    <row r="44" spans="2:27">
      <c r="B44" s="80" t="s">
        <v>2</v>
      </c>
      <c r="C44" s="114" t="s">
        <v>17</v>
      </c>
      <c r="E44" s="17" t="s">
        <v>57</v>
      </c>
      <c r="F44" s="116" t="s">
        <v>2</v>
      </c>
      <c r="G44" s="116" t="s">
        <v>25</v>
      </c>
      <c r="J44" s="116" t="s">
        <v>2</v>
      </c>
      <c r="K44" s="116" t="s">
        <v>25</v>
      </c>
      <c r="N44" s="116" t="s">
        <v>31</v>
      </c>
      <c r="O44" s="116" t="s">
        <v>3</v>
      </c>
      <c r="P44" s="118"/>
      <c r="R44" s="118" t="s">
        <v>4</v>
      </c>
      <c r="S44" s="118" t="s">
        <v>5</v>
      </c>
      <c r="T44" s="118"/>
    </row>
    <row r="45" spans="2:27">
      <c r="B45" s="80" t="s">
        <v>4</v>
      </c>
      <c r="C45" s="114" t="s">
        <v>5</v>
      </c>
      <c r="E45" s="17" t="s">
        <v>57</v>
      </c>
      <c r="F45" s="116" t="s">
        <v>4</v>
      </c>
      <c r="G45" s="116" t="s">
        <v>5</v>
      </c>
      <c r="J45" s="116" t="s">
        <v>4</v>
      </c>
      <c r="K45" s="116" t="s">
        <v>5</v>
      </c>
      <c r="N45" s="116" t="s">
        <v>4</v>
      </c>
      <c r="O45" s="116" t="s">
        <v>5</v>
      </c>
      <c r="P45" s="118"/>
      <c r="R45" s="118" t="s">
        <v>11</v>
      </c>
      <c r="S45" s="118" t="s">
        <v>47</v>
      </c>
      <c r="T45" s="118"/>
    </row>
    <row r="46" spans="2:27">
      <c r="B46" s="80" t="s">
        <v>6</v>
      </c>
      <c r="C46" s="114" t="s">
        <v>18</v>
      </c>
      <c r="E46" s="17" t="s">
        <v>57</v>
      </c>
      <c r="F46" s="116" t="s">
        <v>6</v>
      </c>
      <c r="G46" s="116" t="s">
        <v>26</v>
      </c>
      <c r="J46" s="116" t="s">
        <v>6</v>
      </c>
      <c r="K46" s="116" t="s">
        <v>28</v>
      </c>
      <c r="N46" s="116" t="s">
        <v>11</v>
      </c>
      <c r="O46" s="116" t="s">
        <v>32</v>
      </c>
      <c r="P46" s="118"/>
      <c r="R46" s="118" t="s">
        <v>34</v>
      </c>
      <c r="S46" s="118" t="s">
        <v>35</v>
      </c>
      <c r="T46" s="118"/>
    </row>
    <row r="47" spans="2:27">
      <c r="B47" s="80" t="s">
        <v>8</v>
      </c>
      <c r="C47" s="114" t="s">
        <v>19</v>
      </c>
      <c r="E47" s="17" t="s">
        <v>57</v>
      </c>
      <c r="F47" s="116" t="s">
        <v>8</v>
      </c>
      <c r="G47" s="116" t="s">
        <v>19</v>
      </c>
      <c r="J47" s="116" t="s">
        <v>8</v>
      </c>
      <c r="K47" s="116" t="s">
        <v>19</v>
      </c>
      <c r="N47" s="116" t="s">
        <v>9</v>
      </c>
      <c r="O47" s="116" t="str">
        <f>MarketPrefix&amp;"LPM"</f>
        <v>TestLPM</v>
      </c>
      <c r="P47" s="118"/>
      <c r="R47" s="118" t="s">
        <v>9</v>
      </c>
      <c r="S47" s="116" t="str">
        <f>MarketPrefix&amp;"LPM"</f>
        <v>TestLPM</v>
      </c>
      <c r="T47" s="118"/>
    </row>
    <row r="48" spans="2:27">
      <c r="B48" s="80" t="s">
        <v>9</v>
      </c>
      <c r="C48" s="115" t="str">
        <f>MarketPrefix&amp;"Live"</f>
        <v>TestLive</v>
      </c>
      <c r="E48" s="17" t="s">
        <v>57</v>
      </c>
      <c r="F48" s="116" t="s">
        <v>9</v>
      </c>
      <c r="G48" s="117" t="str">
        <f>MarketPrefix&amp;"Live"</f>
        <v>TestLive</v>
      </c>
      <c r="J48" s="116" t="s">
        <v>9</v>
      </c>
      <c r="K48" s="116" t="str">
        <f>MarketPrefix&amp;"Live"</f>
        <v>TestLive</v>
      </c>
      <c r="N48" s="116" t="s">
        <v>33</v>
      </c>
      <c r="O48" s="116">
        <v>1</v>
      </c>
      <c r="P48" s="118"/>
      <c r="R48" s="118" t="s">
        <v>20</v>
      </c>
      <c r="S48" s="118" t="s">
        <v>41</v>
      </c>
      <c r="T48" s="118"/>
    </row>
    <row r="49" spans="2:20">
      <c r="B49" s="80" t="s">
        <v>20</v>
      </c>
      <c r="C49" s="80" t="s">
        <v>21</v>
      </c>
      <c r="E49" s="17" t="s">
        <v>57</v>
      </c>
      <c r="F49" s="116" t="s">
        <v>20</v>
      </c>
      <c r="G49" s="116" t="s">
        <v>27</v>
      </c>
      <c r="J49" s="116" t="s">
        <v>20</v>
      </c>
      <c r="K49" s="116" t="s">
        <v>29</v>
      </c>
      <c r="N49" s="116" t="s">
        <v>34</v>
      </c>
      <c r="O49" s="116" t="s">
        <v>35</v>
      </c>
      <c r="P49" s="118"/>
      <c r="R49" s="118" t="s">
        <v>6</v>
      </c>
      <c r="S49" s="118" t="s">
        <v>7</v>
      </c>
      <c r="T49" s="118"/>
    </row>
    <row r="50" spans="2:20">
      <c r="B50" s="80" t="s">
        <v>22</v>
      </c>
      <c r="C50" s="80" t="s">
        <v>23</v>
      </c>
      <c r="E50" s="17" t="s">
        <v>57</v>
      </c>
      <c r="F50" s="116" t="s">
        <v>22</v>
      </c>
      <c r="G50" s="116" t="s">
        <v>23</v>
      </c>
      <c r="J50" s="116" t="s">
        <v>22</v>
      </c>
      <c r="K50" s="116" t="s">
        <v>23</v>
      </c>
      <c r="N50" s="116" t="s">
        <v>36</v>
      </c>
      <c r="O50" s="116" t="str">
        <f>O45&amp;" "&amp;O49&amp;" ATM Bootstrap Settings"</f>
        <v>AUD SydSPU ATM Bootstrap Settings</v>
      </c>
      <c r="P50" s="118"/>
      <c r="R50" s="118" t="s">
        <v>56</v>
      </c>
      <c r="S50" s="111">
        <f ca="1">CreationTime+CurveLifetime/1440</f>
        <v>40682.597052546298</v>
      </c>
      <c r="T50" s="111"/>
    </row>
    <row r="51" spans="2:20">
      <c r="B51" s="80" t="s">
        <v>56</v>
      </c>
      <c r="C51" s="111">
        <f ca="1">CreationTime+CurveLifetime/1440</f>
        <v>40682.597052546298</v>
      </c>
      <c r="E51" s="17" t="s">
        <v>57</v>
      </c>
      <c r="F51" s="116" t="s">
        <v>56</v>
      </c>
      <c r="G51" s="111">
        <f ca="1">CreationTime+CurveLifetime/1440</f>
        <v>40682.597052546298</v>
      </c>
      <c r="J51" s="116" t="s">
        <v>56</v>
      </c>
      <c r="K51" s="111">
        <f ca="1">CreationTime+CurveLifetime/1440</f>
        <v>40682.597052546298</v>
      </c>
      <c r="N51" s="116" t="s">
        <v>37</v>
      </c>
      <c r="O51" s="116" t="s">
        <v>38</v>
      </c>
      <c r="P51" s="118"/>
    </row>
    <row r="52" spans="2:20">
      <c r="C52" s="2"/>
      <c r="D52" s="65"/>
      <c r="E52" s="17" t="s">
        <v>57</v>
      </c>
      <c r="N52" s="116" t="s">
        <v>39</v>
      </c>
      <c r="O52" s="116" t="s">
        <v>40</v>
      </c>
      <c r="P52" s="118"/>
    </row>
    <row r="53" spans="2:20">
      <c r="C53" s="2"/>
      <c r="D53" s="65"/>
      <c r="N53" s="116" t="s">
        <v>20</v>
      </c>
      <c r="O53" s="116" t="s">
        <v>41</v>
      </c>
      <c r="P53" s="118"/>
    </row>
    <row r="54" spans="2:20">
      <c r="C54" s="2"/>
      <c r="D54" s="65"/>
      <c r="N54" s="116" t="s">
        <v>42</v>
      </c>
      <c r="O54" s="119">
        <f ca="1">ValueDate</f>
        <v>40681</v>
      </c>
      <c r="P54" s="118"/>
    </row>
    <row r="55" spans="2:20">
      <c r="C55" s="2"/>
      <c r="D55" s="65"/>
      <c r="N55" s="116" t="s">
        <v>56</v>
      </c>
      <c r="O55" s="111">
        <f ca="1">CreationTime+CurveLifetime/1440</f>
        <v>40682.597052546298</v>
      </c>
      <c r="P55" s="118"/>
    </row>
    <row r="56" spans="2:20">
      <c r="C56" s="2"/>
      <c r="D56" s="65"/>
    </row>
    <row r="57" spans="2:20">
      <c r="E57" s="17" t="s">
        <v>57</v>
      </c>
    </row>
    <row r="58" spans="2:20">
      <c r="E58" s="17" t="s">
        <v>57</v>
      </c>
    </row>
    <row r="59" spans="2:20">
      <c r="E59" s="17" t="s">
        <v>57</v>
      </c>
    </row>
    <row r="60" spans="2:20">
      <c r="E60" s="17" t="s">
        <v>57</v>
      </c>
    </row>
    <row r="61" spans="2:20">
      <c r="E61" s="17" t="s">
        <v>57</v>
      </c>
    </row>
    <row r="62" spans="2:20">
      <c r="E62" s="17" t="s">
        <v>57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SuperD"/>
  <dimension ref="B1:R129"/>
  <sheetViews>
    <sheetView showGridLines="0" workbookViewId="0">
      <selection activeCell="A6" sqref="A6"/>
    </sheetView>
  </sheetViews>
  <sheetFormatPr defaultRowHeight="15"/>
  <cols>
    <col min="1" max="1" width="3.7109375" style="73" customWidth="1"/>
    <col min="2" max="2" width="20.7109375" style="42" customWidth="1"/>
    <col min="3" max="3" width="20.7109375" style="73" customWidth="1"/>
    <col min="4" max="4" width="12.7109375" style="73" customWidth="1"/>
    <col min="5" max="5" width="0.85546875" style="73" customWidth="1"/>
    <col min="6" max="8" width="10.7109375" style="73" customWidth="1"/>
    <col min="9" max="10" width="20.7109375" style="73" customWidth="1"/>
    <col min="11" max="16384" width="9.140625" style="73"/>
  </cols>
  <sheetData>
    <row r="1" spans="2:18" ht="0.95" customHeight="1"/>
    <row r="2" spans="2:18" s="75" customFormat="1" ht="24.95" customHeight="1">
      <c r="B2" s="74" t="s">
        <v>74</v>
      </c>
      <c r="C2" s="74"/>
      <c r="D2" s="53" t="str">
        <f>IF(Publish_SuperD="Off","Publishing is OFF","")</f>
        <v/>
      </c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</row>
    <row r="5" spans="2:18">
      <c r="B5" s="105" t="s">
        <v>85</v>
      </c>
      <c r="C5" s="106"/>
      <c r="D5" s="106"/>
      <c r="E5" s="106"/>
      <c r="F5" s="106"/>
      <c r="G5" s="106"/>
      <c r="I5" s="105" t="s">
        <v>86</v>
      </c>
      <c r="J5" s="106"/>
      <c r="K5" s="106"/>
      <c r="L5" s="106"/>
      <c r="M5" s="106"/>
      <c r="N5" s="106"/>
      <c r="O5" s="106"/>
      <c r="P5" s="106"/>
      <c r="Q5" s="106"/>
      <c r="R5" s="106"/>
    </row>
    <row r="6" spans="2:18">
      <c r="B6" s="69" t="s">
        <v>80</v>
      </c>
      <c r="C6" s="2" t="str">
        <f t="array" aca="1" ref="C6:C7" ca="1">IF(Publish_SuperD="Off","Publishing is OFF",_xll.qComWebPublishCapletATMVols(C32&amp;"."&amp;C28&amp;"."&amp;C30&amp;"-"&amp;C31&amp;"-"&amp;C29,B28:C33,B24:C25,F10:G129,B10:D20,WebService))</f>
        <v>CapFloor.RateVolatilityMatrix.TestLive-LIBOR-BBA-AUD</v>
      </c>
      <c r="I6" s="69" t="s">
        <v>80</v>
      </c>
      <c r="J6" s="42" t="str">
        <f t="array" aca="1" ref="J6:J7" ca="1">IF(Publish_SuperD="Off","Publishing is OFF",_xll.qComWebPublishCurve(J32&amp;"."&amp;J28&amp;"."&amp;J30&amp;"-"&amp;J31&amp;"-"&amp;J29,I28:J33,I24:J25,I9:R20,WebService))</f>
        <v>Swaption.RateATMVolatilityMatrix.TestLive-LIBOR-BBA-AUD</v>
      </c>
    </row>
    <row r="7" spans="2:18">
      <c r="B7" s="69" t="s">
        <v>60</v>
      </c>
      <c r="C7" s="71">
        <f ca="1"/>
        <v>40681.594371331019</v>
      </c>
      <c r="I7" s="69" t="s">
        <v>60</v>
      </c>
      <c r="J7" s="71">
        <f ca="1"/>
        <v>40681.594471157405</v>
      </c>
    </row>
    <row r="8" spans="2:18">
      <c r="B8" s="66"/>
      <c r="C8" s="63"/>
      <c r="D8" s="63"/>
    </row>
    <row r="9" spans="2:18">
      <c r="B9" s="2" t="s">
        <v>11</v>
      </c>
      <c r="C9" s="4" t="s">
        <v>51</v>
      </c>
      <c r="D9" s="72" t="s">
        <v>52</v>
      </c>
      <c r="F9" s="4" t="s">
        <v>49</v>
      </c>
      <c r="G9" s="4" t="s">
        <v>50</v>
      </c>
      <c r="I9" s="45">
        <f t="array" aca="1" ref="I9:R19" ca="1">[1]!BlackVolSurface</f>
        <v>0</v>
      </c>
      <c r="J9" s="82" t="str">
        <f ca="1"/>
        <v>1Y</v>
      </c>
      <c r="K9" s="82" t="str">
        <f ca="1"/>
        <v>2Y</v>
      </c>
      <c r="L9" s="82" t="str">
        <f ca="1"/>
        <v>3Y</v>
      </c>
      <c r="M9" s="82" t="str">
        <f ca="1"/>
        <v>4Y</v>
      </c>
      <c r="N9" s="82" t="str">
        <f ca="1"/>
        <v>5Y</v>
      </c>
      <c r="O9" s="82" t="str">
        <f ca="1"/>
        <v>7Y</v>
      </c>
      <c r="P9" s="82" t="str">
        <f ca="1"/>
        <v>10Y</v>
      </c>
      <c r="Q9" s="82" t="str">
        <f ca="1"/>
        <v>15Y</v>
      </c>
      <c r="R9" s="82" t="str">
        <f ca="1"/>
        <v>20Y</v>
      </c>
    </row>
    <row r="10" spans="2:18">
      <c r="B10" s="109" t="str">
        <f t="array" aca="1" ref="B10:B20" ca="1">$C$29&amp;"-Caplet-"&amp;[1]!Expiries1</f>
        <v>AUD-Caplet-1Y</v>
      </c>
      <c r="C10" s="108">
        <f t="array" aca="1" ref="C10:C20" ca="1">[1]!SwapRates1</f>
        <v>5.1179335349928141E-2</v>
      </c>
      <c r="D10" s="108">
        <f t="array" aca="1" ref="D10:D20" ca="1">[1]!BlackVols1</f>
        <v>0.17331582710334592</v>
      </c>
      <c r="F10" s="10">
        <f t="array" aca="1" ref="F10:F129" ca="1">[1]!QtlyDates</f>
        <v>40682</v>
      </c>
      <c r="G10" s="108">
        <f t="array" aca="1" ref="G10:G129" ca="1">[1]!QtlyCapletVols</f>
        <v>0.173315827103346</v>
      </c>
      <c r="I10" s="96" t="str">
        <f ca="1"/>
        <v>1M</v>
      </c>
      <c r="J10" s="107">
        <f ca="1"/>
        <v>0.12297375236550129</v>
      </c>
      <c r="K10" s="107">
        <f ca="1"/>
        <v>0.13550494630628482</v>
      </c>
      <c r="L10" s="107">
        <f ca="1"/>
        <v>0.13927490370823312</v>
      </c>
      <c r="M10" s="107">
        <f ca="1"/>
        <v>0.1341021253558656</v>
      </c>
      <c r="N10" s="107">
        <f ca="1"/>
        <v>0.13152909657033598</v>
      </c>
      <c r="O10" s="107">
        <f ca="1"/>
        <v>0.12791615048109817</v>
      </c>
      <c r="P10" s="107">
        <f ca="1"/>
        <v>0.12426827634983839</v>
      </c>
      <c r="Q10" s="107">
        <f ca="1"/>
        <v>0.1226316804902999</v>
      </c>
      <c r="R10" s="107">
        <f ca="1"/>
        <v>0.12463955016797568</v>
      </c>
    </row>
    <row r="11" spans="2:18">
      <c r="B11" s="109" t="str">
        <f ca="1"/>
        <v>AUD-Caplet-2Y</v>
      </c>
      <c r="C11" s="108">
        <f ca="1"/>
        <v>5.2329558943770733E-2</v>
      </c>
      <c r="D11" s="108">
        <f ca="1"/>
        <v>0.1734342323510758</v>
      </c>
      <c r="F11" s="10">
        <f ca="1"/>
        <v>40774</v>
      </c>
      <c r="G11" s="108">
        <f ca="1"/>
        <v>0.173315827103346</v>
      </c>
      <c r="I11" s="96" t="str">
        <f ca="1"/>
        <v>2M</v>
      </c>
      <c r="J11" s="107">
        <f ca="1"/>
        <v>0.12573977943961001</v>
      </c>
      <c r="K11" s="107">
        <f ca="1"/>
        <v>0.13823576525869966</v>
      </c>
      <c r="L11" s="107">
        <f ca="1"/>
        <v>0.14198361348960978</v>
      </c>
      <c r="M11" s="107">
        <f ca="1"/>
        <v>0.13676411198216151</v>
      </c>
      <c r="N11" s="107">
        <f ca="1"/>
        <v>0.1341315638884992</v>
      </c>
      <c r="O11" s="107">
        <f ca="1"/>
        <v>0.13045119733162702</v>
      </c>
      <c r="P11" s="107">
        <f ca="1"/>
        <v>0.12678307949342568</v>
      </c>
      <c r="Q11" s="107">
        <f ca="1"/>
        <v>0.12514001684705725</v>
      </c>
      <c r="R11" s="107">
        <f ca="1"/>
        <v>0.12722082293622144</v>
      </c>
    </row>
    <row r="12" spans="2:18">
      <c r="B12" s="109" t="str">
        <f ca="1"/>
        <v>AUD-Caplet-3Y</v>
      </c>
      <c r="C12" s="108">
        <f ca="1"/>
        <v>5.3208334024623022E-2</v>
      </c>
      <c r="D12" s="108">
        <f ca="1"/>
        <v>0.17978179729481053</v>
      </c>
      <c r="F12" s="10">
        <f ca="1"/>
        <v>40868</v>
      </c>
      <c r="G12" s="108">
        <f ca="1"/>
        <v>0.173315827103346</v>
      </c>
      <c r="I12" s="96" t="str">
        <f ca="1"/>
        <v>3M</v>
      </c>
      <c r="J12" s="107">
        <f ca="1"/>
        <v>0.1369664513738735</v>
      </c>
      <c r="K12" s="107">
        <f ca="1"/>
        <v>0.15540676262571765</v>
      </c>
      <c r="L12" s="107">
        <f ca="1"/>
        <v>0.15291186977083404</v>
      </c>
      <c r="M12" s="107">
        <f ca="1"/>
        <v>0.14798451925475967</v>
      </c>
      <c r="N12" s="107">
        <f ca="1"/>
        <v>0.14511489698592323</v>
      </c>
      <c r="O12" s="107">
        <f ca="1"/>
        <v>0.13841320296184068</v>
      </c>
      <c r="P12" s="107">
        <f ca="1"/>
        <v>0.13329281534636933</v>
      </c>
      <c r="Q12" s="107">
        <f ca="1"/>
        <v>0.13159174558682446</v>
      </c>
      <c r="R12" s="107">
        <f ca="1"/>
        <v>0.13381521543463251</v>
      </c>
    </row>
    <row r="13" spans="2:18">
      <c r="B13" s="109" t="str">
        <f ca="1"/>
        <v>AUD-Caplet-4Y</v>
      </c>
      <c r="C13" s="108">
        <f ca="1"/>
        <v>5.4139874715651459E-2</v>
      </c>
      <c r="D13" s="108">
        <f ca="1"/>
        <v>0.17522820343288606</v>
      </c>
      <c r="F13" s="10">
        <f ca="1"/>
        <v>40959</v>
      </c>
      <c r="G13" s="108">
        <f ca="1"/>
        <v>0.173315827103346</v>
      </c>
      <c r="I13" s="96" t="str">
        <f ca="1"/>
        <v>6M</v>
      </c>
      <c r="J13" s="107">
        <f ca="1"/>
        <v>0.15627100742571368</v>
      </c>
      <c r="K13" s="107">
        <f ca="1"/>
        <v>0.15682025400480076</v>
      </c>
      <c r="L13" s="107">
        <f ca="1"/>
        <v>0.15723170202825795</v>
      </c>
      <c r="M13" s="107">
        <f ca="1"/>
        <v>0.15131891900158401</v>
      </c>
      <c r="N13" s="107">
        <f ca="1"/>
        <v>0.14862715747079899</v>
      </c>
      <c r="O13" s="107">
        <f ca="1"/>
        <v>0.14390041970842823</v>
      </c>
      <c r="P13" s="107">
        <f ca="1"/>
        <v>0.13771756990373088</v>
      </c>
      <c r="Q13" s="107">
        <f ca="1"/>
        <v>0.13660005636330183</v>
      </c>
      <c r="R13" s="107">
        <f ca="1"/>
        <v>0.13914560584104879</v>
      </c>
    </row>
    <row r="14" spans="2:18">
      <c r="B14" s="109" t="str">
        <f ca="1"/>
        <v>AUD-Caplet-5Y</v>
      </c>
      <c r="C14" s="108">
        <f ca="1"/>
        <v>5.5257677302554327E-2</v>
      </c>
      <c r="D14" s="108">
        <f ca="1"/>
        <v>0.17025283179186482</v>
      </c>
      <c r="F14" s="10">
        <f ca="1"/>
        <v>41050</v>
      </c>
      <c r="G14" s="108">
        <f ca="1"/>
        <v>0.17295010394652099</v>
      </c>
      <c r="I14" s="96" t="str">
        <f ca="1"/>
        <v>1Y</v>
      </c>
      <c r="J14" s="107">
        <f ca="1"/>
        <v>0.17123666890698536</v>
      </c>
      <c r="K14" s="107">
        <f ca="1"/>
        <v>0.17465202274413455</v>
      </c>
      <c r="L14" s="107">
        <f ca="1"/>
        <v>0.1717124118641655</v>
      </c>
      <c r="M14" s="107">
        <f ca="1"/>
        <v>0.16211679918747068</v>
      </c>
      <c r="N14" s="107">
        <f ca="1"/>
        <v>0.15683952963491649</v>
      </c>
      <c r="O14" s="107">
        <f ca="1"/>
        <v>0.15006003753645841</v>
      </c>
      <c r="P14" s="107">
        <f ca="1"/>
        <v>0.14426260686773104</v>
      </c>
      <c r="Q14" s="107">
        <f ca="1"/>
        <v>0.14386710646562742</v>
      </c>
      <c r="R14" s="107">
        <f ca="1"/>
        <v>0.14690665759007676</v>
      </c>
    </row>
    <row r="15" spans="2:18">
      <c r="B15" s="109" t="str">
        <f ca="1"/>
        <v>AUD-Caplet-7Y</v>
      </c>
      <c r="C15" s="108">
        <f ca="1"/>
        <v>5.6884687521101103E-2</v>
      </c>
      <c r="D15" s="108">
        <f ca="1"/>
        <v>0.16065804061060465</v>
      </c>
      <c r="F15" s="10">
        <f ca="1"/>
        <v>41141</v>
      </c>
      <c r="G15" s="108">
        <f ca="1"/>
        <v>0.17237986010951201</v>
      </c>
      <c r="I15" s="96" t="str">
        <f ca="1"/>
        <v>2Y</v>
      </c>
      <c r="J15" s="107">
        <f ca="1"/>
        <v>0.18070430638944643</v>
      </c>
      <c r="K15" s="107">
        <f ca="1"/>
        <v>0.17735316137076679</v>
      </c>
      <c r="L15" s="107">
        <f ca="1"/>
        <v>0.16910765984752429</v>
      </c>
      <c r="M15" s="107">
        <f ca="1"/>
        <v>0.1598334082064764</v>
      </c>
      <c r="N15" s="107">
        <f ca="1"/>
        <v>0.15503835994595688</v>
      </c>
      <c r="O15" s="107">
        <f ca="1"/>
        <v>0.14975504755244337</v>
      </c>
      <c r="P15" s="107">
        <f ca="1"/>
        <v>0.14188206546265286</v>
      </c>
      <c r="Q15" s="107">
        <f ca="1"/>
        <v>0.14308274806947813</v>
      </c>
      <c r="R15" s="107">
        <f ca="1"/>
        <v>0.14679460547676526</v>
      </c>
    </row>
    <row r="16" spans="2:18">
      <c r="B16" s="109" t="str">
        <f ca="1"/>
        <v>AUD-Caplet-10Y</v>
      </c>
      <c r="C16" s="108">
        <f ca="1"/>
        <v>5.7977818739292281E-2</v>
      </c>
      <c r="D16" s="108">
        <f ca="1"/>
        <v>0.15217465685528611</v>
      </c>
      <c r="F16" s="10">
        <f ca="1"/>
        <v>41232</v>
      </c>
      <c r="G16" s="108">
        <f ca="1"/>
        <v>0.17291284932492701</v>
      </c>
      <c r="I16" s="96" t="str">
        <f ca="1"/>
        <v>3Y</v>
      </c>
      <c r="J16" s="107">
        <f ca="1"/>
        <v>0.16842856747125937</v>
      </c>
      <c r="K16" s="107">
        <f ca="1"/>
        <v>0.16136569074445187</v>
      </c>
      <c r="L16" s="107">
        <f ca="1"/>
        <v>0.15623123099584774</v>
      </c>
      <c r="M16" s="107">
        <f ca="1"/>
        <v>0.1495992536725278</v>
      </c>
      <c r="N16" s="107">
        <f ca="1"/>
        <v>0.14649055353529142</v>
      </c>
      <c r="O16" s="107">
        <f ca="1"/>
        <v>0.14337934437973271</v>
      </c>
      <c r="P16" s="107">
        <f ca="1"/>
        <v>0.13898354303149149</v>
      </c>
      <c r="Q16" s="107">
        <f ca="1"/>
        <v>0.14140397898734941</v>
      </c>
      <c r="R16" s="107">
        <f ca="1"/>
        <v>0.14575424488153135</v>
      </c>
    </row>
    <row r="17" spans="2:18">
      <c r="B17" s="109" t="str">
        <f ca="1"/>
        <v>AUD-Caplet-15Y</v>
      </c>
      <c r="C17" s="108">
        <f ca="1"/>
        <v>5.8897193047440628E-2</v>
      </c>
      <c r="D17" s="108">
        <f ca="1"/>
        <v>0.14469854764197662</v>
      </c>
      <c r="F17" s="10">
        <f ca="1"/>
        <v>41324</v>
      </c>
      <c r="G17" s="108">
        <f ca="1"/>
        <v>0.17544494201612801</v>
      </c>
      <c r="I17" s="96" t="str">
        <f ca="1"/>
        <v>5Y</v>
      </c>
      <c r="J17" s="107">
        <f ca="1"/>
        <v>0.14395276821488481</v>
      </c>
      <c r="K17" s="107">
        <f ca="1"/>
        <v>0.14257671397135657</v>
      </c>
      <c r="L17" s="107">
        <f ca="1"/>
        <v>0.14081779569510405</v>
      </c>
      <c r="M17" s="107">
        <f ca="1"/>
        <v>0.13827903601810251</v>
      </c>
      <c r="N17" s="107">
        <f ca="1"/>
        <v>0.1362170449974337</v>
      </c>
      <c r="O17" s="107">
        <f ca="1"/>
        <v>0.13561007831927741</v>
      </c>
      <c r="P17" s="107">
        <f ca="1"/>
        <v>0.13567784959207807</v>
      </c>
      <c r="Q17" s="107">
        <f ca="1"/>
        <v>0.14052148358420177</v>
      </c>
      <c r="R17" s="107">
        <f ca="1"/>
        <v>0.14615844653428894</v>
      </c>
    </row>
    <row r="18" spans="2:18">
      <c r="B18" s="109" t="str">
        <f ca="1"/>
        <v>AUD-Caplet-20Y</v>
      </c>
      <c r="C18" s="108">
        <f ca="1"/>
        <v>5.8043356048702123E-2</v>
      </c>
      <c r="D18" s="108">
        <f ca="1"/>
        <v>0.14682711122015396</v>
      </c>
      <c r="F18" s="10">
        <f ca="1"/>
        <v>41414</v>
      </c>
      <c r="G18" s="108">
        <f ca="1"/>
        <v>0.18181655803678001</v>
      </c>
      <c r="I18" s="96" t="str">
        <f ca="1"/>
        <v>7Y</v>
      </c>
      <c r="J18" s="107">
        <f ca="1"/>
        <v>0.14273694721961108</v>
      </c>
      <c r="K18" s="107">
        <f ca="1"/>
        <v>0.14054024924042663</v>
      </c>
      <c r="L18" s="107">
        <f ca="1"/>
        <v>0.13895659797718274</v>
      </c>
      <c r="M18" s="107">
        <f ca="1"/>
        <v>0.13632345050978953</v>
      </c>
      <c r="N18" s="107">
        <f ca="1"/>
        <v>0.1359245979009174</v>
      </c>
      <c r="O18" s="107">
        <f ca="1"/>
        <v>0.13603970905182874</v>
      </c>
      <c r="P18" s="107">
        <f ca="1"/>
        <v>0.13810317446137182</v>
      </c>
      <c r="Q18" s="107">
        <f ca="1"/>
        <v>0.14412311940119424</v>
      </c>
      <c r="R18" s="107">
        <f ca="1"/>
        <v>0.15050032622708343</v>
      </c>
    </row>
    <row r="19" spans="2:18">
      <c r="B19" s="109" t="str">
        <f ca="1"/>
        <v>AUD-Caplet-25Y</v>
      </c>
      <c r="C19" s="108">
        <f ca="1"/>
        <v>5.6716811500584108E-2</v>
      </c>
      <c r="D19" s="108">
        <f ca="1"/>
        <v>0.15026123769433006</v>
      </c>
      <c r="F19" s="10">
        <f ca="1"/>
        <v>41505</v>
      </c>
      <c r="G19" s="108">
        <f ca="1"/>
        <v>0.188640827839164</v>
      </c>
      <c r="I19" s="96" t="str">
        <f ca="1"/>
        <v>10Y</v>
      </c>
      <c r="J19" s="107">
        <f ca="1"/>
        <v>0.13835188495855402</v>
      </c>
      <c r="K19" s="107">
        <f ca="1"/>
        <v>0.13636558823633493</v>
      </c>
      <c r="L19" s="107">
        <f ca="1"/>
        <v>0.1362278135589621</v>
      </c>
      <c r="M19" s="107">
        <f ca="1"/>
        <v>0.13523557694788849</v>
      </c>
      <c r="N19" s="107">
        <f ca="1"/>
        <v>0.13546826903349918</v>
      </c>
      <c r="O19" s="107">
        <f ca="1"/>
        <v>0.1397543216685343</v>
      </c>
      <c r="P19" s="107">
        <f ca="1"/>
        <v>0.14417759315641271</v>
      </c>
      <c r="Q19" s="107">
        <f ca="1"/>
        <v>0.15261296987696596</v>
      </c>
      <c r="R19" s="107">
        <f ca="1"/>
        <v>0.1602544581137125</v>
      </c>
    </row>
    <row r="20" spans="2:18">
      <c r="B20" s="109" t="str">
        <f ca="1"/>
        <v>AUD-Caplet-30Y</v>
      </c>
      <c r="C20" s="108">
        <f ca="1"/>
        <v>5.5357718009831476E-2</v>
      </c>
      <c r="D20" s="108">
        <f ca="1"/>
        <v>0.15395031805032539</v>
      </c>
      <c r="F20" s="10">
        <f ca="1"/>
        <v>41597</v>
      </c>
      <c r="G20" s="108">
        <f ca="1"/>
        <v>0.19104764152624801</v>
      </c>
      <c r="I20" s="81"/>
      <c r="J20" s="81"/>
      <c r="K20" s="81"/>
      <c r="L20" s="81"/>
      <c r="M20" s="81"/>
      <c r="N20" s="81"/>
      <c r="O20" s="81"/>
      <c r="P20" s="81"/>
      <c r="Q20" s="81"/>
      <c r="R20" s="81"/>
    </row>
    <row r="21" spans="2:18">
      <c r="F21" s="10">
        <f ca="1"/>
        <v>41689</v>
      </c>
      <c r="G21" s="108">
        <f ca="1"/>
        <v>0.186528146801377</v>
      </c>
    </row>
    <row r="22" spans="2:18">
      <c r="F22" s="10">
        <f ca="1"/>
        <v>41778</v>
      </c>
      <c r="G22" s="108">
        <f ca="1"/>
        <v>0.17640041900391801</v>
      </c>
    </row>
    <row r="23" spans="2:18">
      <c r="B23" s="42" t="s">
        <v>77</v>
      </c>
      <c r="F23" s="10">
        <f ca="1"/>
        <v>41870</v>
      </c>
      <c r="G23" s="108">
        <f ca="1"/>
        <v>0.167560380404422</v>
      </c>
      <c r="I23" s="42" t="s">
        <v>77</v>
      </c>
    </row>
    <row r="24" spans="2:18">
      <c r="B24" s="80" t="s">
        <v>10</v>
      </c>
      <c r="C24" s="80">
        <f ca="1">CurveLifetime</f>
        <v>1440</v>
      </c>
      <c r="F24" s="10">
        <f ca="1"/>
        <v>41962</v>
      </c>
      <c r="G24" s="108">
        <f ca="1"/>
        <v>0.16180654057678001</v>
      </c>
      <c r="I24" s="80" t="s">
        <v>10</v>
      </c>
      <c r="J24" s="80">
        <f ca="1">CurveLifetime</f>
        <v>1440</v>
      </c>
    </row>
    <row r="25" spans="2:18">
      <c r="B25" s="80" t="s">
        <v>9</v>
      </c>
      <c r="C25" s="80" t="str">
        <f ca="1">C30</f>
        <v>TestLive</v>
      </c>
      <c r="F25" s="10">
        <f ca="1"/>
        <v>42054</v>
      </c>
      <c r="G25" s="108">
        <f ca="1"/>
        <v>0.16074243804923699</v>
      </c>
      <c r="I25" s="80" t="s">
        <v>9</v>
      </c>
      <c r="J25" s="80" t="str">
        <f ca="1">J30</f>
        <v>TestLive</v>
      </c>
    </row>
    <row r="26" spans="2:18">
      <c r="F26" s="10">
        <f ca="1"/>
        <v>42143</v>
      </c>
      <c r="G26" s="108">
        <f ca="1"/>
        <v>0.16067264949409801</v>
      </c>
    </row>
    <row r="27" spans="2:18">
      <c r="B27" s="42" t="s">
        <v>76</v>
      </c>
      <c r="F27" s="10">
        <f ca="1"/>
        <v>42235</v>
      </c>
      <c r="G27" s="108">
        <f ca="1"/>
        <v>0.15811468483715699</v>
      </c>
      <c r="I27" s="42" t="s">
        <v>76</v>
      </c>
    </row>
    <row r="28" spans="2:18">
      <c r="B28" s="110" t="s">
        <v>0</v>
      </c>
      <c r="C28" s="110" t="s">
        <v>48</v>
      </c>
      <c r="F28" s="10">
        <f ca="1"/>
        <v>42327</v>
      </c>
      <c r="G28" s="108">
        <f ca="1"/>
        <v>0.15584070538054001</v>
      </c>
      <c r="I28" s="112" t="s">
        <v>0</v>
      </c>
      <c r="J28" s="112" t="s">
        <v>53</v>
      </c>
      <c r="K28" s="79"/>
      <c r="L28" s="79"/>
    </row>
    <row r="29" spans="2:18">
      <c r="B29" s="110" t="s">
        <v>4</v>
      </c>
      <c r="C29" s="110" t="s">
        <v>5</v>
      </c>
      <c r="F29" s="10">
        <f ca="1"/>
        <v>42419</v>
      </c>
      <c r="G29" s="108">
        <f ca="1"/>
        <v>0.153968510976835</v>
      </c>
      <c r="I29" s="112" t="s">
        <v>4</v>
      </c>
      <c r="J29" s="112" t="s">
        <v>5</v>
      </c>
      <c r="K29" s="79"/>
      <c r="L29" s="79"/>
    </row>
    <row r="30" spans="2:18">
      <c r="B30" s="110" t="s">
        <v>9</v>
      </c>
      <c r="C30" s="80" t="str">
        <f ca="1">Main!E11&amp;"Live"</f>
        <v>TestLive</v>
      </c>
      <c r="F30" s="10">
        <f ca="1"/>
        <v>42509</v>
      </c>
      <c r="G30" s="108">
        <f ca="1"/>
        <v>0.15179562987081899</v>
      </c>
      <c r="I30" s="112" t="s">
        <v>9</v>
      </c>
      <c r="J30" s="80" t="str">
        <f ca="1">Main!E11&amp;"Live"</f>
        <v>TestLive</v>
      </c>
      <c r="K30" s="79"/>
      <c r="L30" s="79"/>
    </row>
    <row r="31" spans="2:18">
      <c r="B31" s="110" t="s">
        <v>6</v>
      </c>
      <c r="C31" s="80" t="s">
        <v>7</v>
      </c>
      <c r="F31" s="10">
        <f ca="1"/>
        <v>42601</v>
      </c>
      <c r="G31" s="108">
        <f ca="1"/>
        <v>0.14908819928182701</v>
      </c>
      <c r="I31" s="112" t="s">
        <v>6</v>
      </c>
      <c r="J31" s="112" t="s">
        <v>7</v>
      </c>
      <c r="K31" s="79"/>
      <c r="L31" s="79"/>
    </row>
    <row r="32" spans="2:18">
      <c r="B32" s="110" t="s">
        <v>11</v>
      </c>
      <c r="C32" s="110" t="s">
        <v>32</v>
      </c>
      <c r="F32" s="10">
        <f ca="1"/>
        <v>42695</v>
      </c>
      <c r="G32" s="108">
        <f ca="1"/>
        <v>0.14668742458924</v>
      </c>
      <c r="I32" s="112" t="s">
        <v>11</v>
      </c>
      <c r="J32" s="112" t="s">
        <v>47</v>
      </c>
      <c r="K32" s="79"/>
      <c r="L32" s="79"/>
    </row>
    <row r="33" spans="2:12">
      <c r="B33" s="80" t="s">
        <v>56</v>
      </c>
      <c r="C33" s="111">
        <f ca="1">CreationTime+CurveLifetime/1440</f>
        <v>40682.584674652775</v>
      </c>
      <c r="F33" s="10">
        <f ca="1"/>
        <v>42786</v>
      </c>
      <c r="G33" s="108">
        <f ca="1"/>
        <v>0.14469148367016199</v>
      </c>
      <c r="I33" s="112" t="s">
        <v>56</v>
      </c>
      <c r="J33" s="111">
        <f ca="1">CreationTime+CurveLifetime/1440</f>
        <v>40682.584674652775</v>
      </c>
      <c r="K33" s="79"/>
      <c r="L33" s="79"/>
    </row>
    <row r="34" spans="2:12">
      <c r="F34" s="10">
        <f ca="1"/>
        <v>42874</v>
      </c>
      <c r="G34" s="108">
        <f ca="1"/>
        <v>0.14298024458401201</v>
      </c>
    </row>
    <row r="35" spans="2:12">
      <c r="F35" s="10">
        <f ca="1"/>
        <v>42968</v>
      </c>
      <c r="G35" s="108">
        <f ca="1"/>
        <v>0.14177797288598701</v>
      </c>
    </row>
    <row r="36" spans="2:12">
      <c r="F36" s="10">
        <f ca="1"/>
        <v>43059</v>
      </c>
      <c r="G36" s="108">
        <f ca="1"/>
        <v>0.141138173382265</v>
      </c>
    </row>
    <row r="37" spans="2:12">
      <c r="F37" s="10">
        <f ca="1"/>
        <v>43150</v>
      </c>
      <c r="G37" s="108">
        <f ca="1"/>
        <v>0.14112411093764701</v>
      </c>
    </row>
    <row r="38" spans="2:12">
      <c r="F38" s="10">
        <f ca="1"/>
        <v>43241</v>
      </c>
      <c r="G38" s="108">
        <f ca="1"/>
        <v>0.14083732315473901</v>
      </c>
    </row>
    <row r="39" spans="2:12">
      <c r="F39" s="10">
        <f ca="1"/>
        <v>43332</v>
      </c>
      <c r="G39" s="108">
        <f ca="1"/>
        <v>0.140242558540738</v>
      </c>
    </row>
    <row r="40" spans="2:12">
      <c r="F40" s="10">
        <f ca="1"/>
        <v>43423</v>
      </c>
      <c r="G40" s="108">
        <f ca="1"/>
        <v>0.139697414239841</v>
      </c>
    </row>
    <row r="41" spans="2:12">
      <c r="F41" s="10">
        <f ca="1"/>
        <v>43515</v>
      </c>
      <c r="G41" s="108">
        <f ca="1"/>
        <v>0.139207213198002</v>
      </c>
    </row>
    <row r="42" spans="2:12">
      <c r="F42" s="10">
        <f ca="1"/>
        <v>43605</v>
      </c>
      <c r="G42" s="108">
        <f ca="1"/>
        <v>0.13855757610071601</v>
      </c>
    </row>
    <row r="43" spans="2:12">
      <c r="F43" s="10">
        <f ca="1"/>
        <v>43696</v>
      </c>
      <c r="G43" s="108">
        <f ca="1"/>
        <v>0.13810546942149299</v>
      </c>
    </row>
    <row r="44" spans="2:12">
      <c r="F44" s="10">
        <f ca="1"/>
        <v>43788</v>
      </c>
      <c r="G44" s="108">
        <f ca="1"/>
        <v>0.137665331662812</v>
      </c>
    </row>
    <row r="45" spans="2:12">
      <c r="F45" s="10">
        <f ca="1"/>
        <v>43880</v>
      </c>
      <c r="G45" s="108">
        <f ca="1"/>
        <v>0.13723437126339499</v>
      </c>
    </row>
    <row r="46" spans="2:12">
      <c r="F46" s="10">
        <f ca="1"/>
        <v>43970</v>
      </c>
      <c r="G46" s="108">
        <f ca="1"/>
        <v>0.13676283282168999</v>
      </c>
    </row>
    <row r="47" spans="2:12">
      <c r="F47" s="10">
        <f ca="1"/>
        <v>44062</v>
      </c>
      <c r="G47" s="108">
        <f ca="1"/>
        <v>0.13628804152844301</v>
      </c>
    </row>
    <row r="48" spans="2:12">
      <c r="F48" s="10">
        <f ca="1"/>
        <v>44154</v>
      </c>
      <c r="G48" s="108">
        <f ca="1"/>
        <v>0.13577738534844999</v>
      </c>
    </row>
    <row r="49" spans="6:7">
      <c r="F49" s="10">
        <f ca="1"/>
        <v>44246</v>
      </c>
      <c r="G49" s="108">
        <f ca="1"/>
        <v>0.13523317113875399</v>
      </c>
    </row>
    <row r="50" spans="6:7">
      <c r="F50" s="10">
        <f ca="1"/>
        <v>44335</v>
      </c>
      <c r="G50" s="108">
        <f ca="1"/>
        <v>0.13452629630819299</v>
      </c>
    </row>
    <row r="51" spans="6:7">
      <c r="F51" s="10">
        <f ca="1"/>
        <v>44427</v>
      </c>
      <c r="G51" s="108">
        <f ca="1"/>
        <v>0.13378572737820801</v>
      </c>
    </row>
    <row r="52" spans="6:7">
      <c r="F52" s="10">
        <f ca="1"/>
        <v>44519</v>
      </c>
      <c r="G52" s="108">
        <f ca="1"/>
        <v>0.133100884432102</v>
      </c>
    </row>
    <row r="53" spans="6:7">
      <c r="F53" s="10">
        <f ca="1"/>
        <v>44613</v>
      </c>
      <c r="G53" s="108">
        <f ca="1"/>
        <v>0.13251936898514</v>
      </c>
    </row>
    <row r="54" spans="6:7">
      <c r="F54" s="10">
        <f ca="1"/>
        <v>44700</v>
      </c>
      <c r="G54" s="108">
        <f ca="1"/>
        <v>0.13199643574664299</v>
      </c>
    </row>
    <row r="55" spans="6:7">
      <c r="F55" s="10">
        <f ca="1"/>
        <v>44792</v>
      </c>
      <c r="G55" s="108">
        <f ca="1"/>
        <v>0.13154064384428901</v>
      </c>
    </row>
    <row r="56" spans="6:7">
      <c r="F56" s="10">
        <f ca="1"/>
        <v>44886</v>
      </c>
      <c r="G56" s="108">
        <f ca="1"/>
        <v>0.131183676833459</v>
      </c>
    </row>
    <row r="57" spans="6:7">
      <c r="F57" s="10">
        <f ca="1"/>
        <v>44977</v>
      </c>
      <c r="G57" s="108">
        <f ca="1"/>
        <v>0.130927036904112</v>
      </c>
    </row>
    <row r="58" spans="6:7">
      <c r="F58" s="10">
        <f ca="1"/>
        <v>45065</v>
      </c>
      <c r="G58" s="108">
        <f ca="1"/>
        <v>0.130297085025258</v>
      </c>
    </row>
    <row r="59" spans="6:7">
      <c r="F59" s="10">
        <f ca="1"/>
        <v>45159</v>
      </c>
      <c r="G59" s="108">
        <f ca="1"/>
        <v>0.130231235850086</v>
      </c>
    </row>
    <row r="60" spans="6:7">
      <c r="F60" s="10">
        <f ca="1"/>
        <v>45250</v>
      </c>
      <c r="G60" s="108">
        <f ca="1"/>
        <v>0.130271913120861</v>
      </c>
    </row>
    <row r="61" spans="6:7">
      <c r="F61" s="10">
        <f ca="1"/>
        <v>45341</v>
      </c>
      <c r="G61" s="108">
        <f ca="1"/>
        <v>0.13042692436425701</v>
      </c>
    </row>
    <row r="62" spans="6:7">
      <c r="F62" s="10">
        <f ca="1"/>
        <v>45432</v>
      </c>
      <c r="G62" s="108">
        <f ca="1"/>
        <v>0.13070231154276599</v>
      </c>
    </row>
    <row r="63" spans="6:7">
      <c r="F63" s="10">
        <f ca="1"/>
        <v>45523</v>
      </c>
      <c r="G63" s="108">
        <f ca="1"/>
        <v>0.13110594211769999</v>
      </c>
    </row>
    <row r="64" spans="6:7">
      <c r="F64" s="10">
        <f ca="1"/>
        <v>45615</v>
      </c>
      <c r="G64" s="108">
        <f ca="1"/>
        <v>0.13164833890161201</v>
      </c>
    </row>
    <row r="65" spans="6:7">
      <c r="F65" s="10">
        <f ca="1"/>
        <v>45707</v>
      </c>
      <c r="G65" s="108">
        <f ca="1"/>
        <v>0.132323079104602</v>
      </c>
    </row>
    <row r="66" spans="6:7">
      <c r="F66" s="10">
        <f ca="1"/>
        <v>45796</v>
      </c>
      <c r="G66" s="108">
        <f ca="1"/>
        <v>0.133138211535581</v>
      </c>
    </row>
    <row r="67" spans="6:7">
      <c r="F67" s="10">
        <f ca="1"/>
        <v>45888</v>
      </c>
      <c r="G67" s="108">
        <f ca="1"/>
        <v>0.134124221395338</v>
      </c>
    </row>
    <row r="68" spans="6:7">
      <c r="F68" s="10">
        <f ca="1"/>
        <v>45980</v>
      </c>
      <c r="G68" s="108">
        <f ca="1"/>
        <v>0.13527396829803801</v>
      </c>
    </row>
    <row r="69" spans="6:7">
      <c r="F69" s="10">
        <f ca="1"/>
        <v>46072</v>
      </c>
      <c r="G69" s="108">
        <f ca="1"/>
        <v>0.13657250155008399</v>
      </c>
    </row>
    <row r="70" spans="6:7">
      <c r="F70" s="10">
        <f ca="1"/>
        <v>46161</v>
      </c>
      <c r="G70" s="108">
        <f ca="1"/>
        <v>0.137265635677222</v>
      </c>
    </row>
    <row r="71" spans="6:7">
      <c r="F71" s="10">
        <f ca="1"/>
        <v>46253</v>
      </c>
      <c r="G71" s="108">
        <f ca="1"/>
        <v>0.13966954153371899</v>
      </c>
    </row>
    <row r="72" spans="6:7">
      <c r="F72" s="10">
        <f ca="1"/>
        <v>46345</v>
      </c>
      <c r="G72" s="108">
        <f ca="1"/>
        <v>0.14203607922259401</v>
      </c>
    </row>
    <row r="73" spans="6:7">
      <c r="F73" s="10">
        <f ca="1"/>
        <v>46437</v>
      </c>
      <c r="G73" s="108">
        <f ca="1"/>
        <v>0.14431158681585901</v>
      </c>
    </row>
    <row r="74" spans="6:7">
      <c r="F74" s="10">
        <f ca="1"/>
        <v>46526</v>
      </c>
      <c r="G74" s="108">
        <f ca="1"/>
        <v>0.14652283938906499</v>
      </c>
    </row>
    <row r="75" spans="6:7">
      <c r="F75" s="10">
        <f ca="1"/>
        <v>46618</v>
      </c>
      <c r="G75" s="108">
        <f ca="1"/>
        <v>0.14868587327133601</v>
      </c>
    </row>
    <row r="76" spans="6:7">
      <c r="F76" s="10">
        <f ca="1"/>
        <v>46710</v>
      </c>
      <c r="G76" s="108">
        <f ca="1"/>
        <v>0.15077078415745199</v>
      </c>
    </row>
    <row r="77" spans="6:7">
      <c r="F77" s="10">
        <f ca="1"/>
        <v>46804</v>
      </c>
      <c r="G77" s="108">
        <f ca="1"/>
        <v>0.15268854806464</v>
      </c>
    </row>
    <row r="78" spans="6:7">
      <c r="F78" s="10">
        <f ca="1"/>
        <v>46892</v>
      </c>
      <c r="G78" s="108">
        <f ca="1"/>
        <v>0.15448185275318499</v>
      </c>
    </row>
    <row r="79" spans="6:7">
      <c r="F79" s="10">
        <f ca="1"/>
        <v>46986</v>
      </c>
      <c r="G79" s="108">
        <f ca="1"/>
        <v>0.15614380480762</v>
      </c>
    </row>
    <row r="80" spans="6:7">
      <c r="F80" s="10">
        <f ca="1"/>
        <v>47077</v>
      </c>
      <c r="G80" s="108">
        <f ca="1"/>
        <v>0.157611448838964</v>
      </c>
    </row>
    <row r="81" spans="6:7">
      <c r="F81" s="10">
        <f ca="1"/>
        <v>47168</v>
      </c>
      <c r="G81" s="108">
        <f ca="1"/>
        <v>0.158892539949025</v>
      </c>
    </row>
    <row r="82" spans="6:7">
      <c r="F82" s="10">
        <f ca="1"/>
        <v>47259</v>
      </c>
      <c r="G82" s="108">
        <f ca="1"/>
        <v>0.15996849469253999</v>
      </c>
    </row>
    <row r="83" spans="6:7">
      <c r="F83" s="10">
        <f ca="1"/>
        <v>47350</v>
      </c>
      <c r="G83" s="108">
        <f ca="1"/>
        <v>0.16082036334027899</v>
      </c>
    </row>
    <row r="84" spans="6:7">
      <c r="F84" s="10">
        <f ca="1"/>
        <v>47441</v>
      </c>
      <c r="G84" s="108">
        <f ca="1"/>
        <v>0.161432408847972</v>
      </c>
    </row>
    <row r="85" spans="6:7">
      <c r="F85" s="10">
        <f ca="1"/>
        <v>47533</v>
      </c>
      <c r="G85" s="108">
        <f ca="1"/>
        <v>0.16177456861096101</v>
      </c>
    </row>
    <row r="86" spans="6:7">
      <c r="F86" s="10">
        <f ca="1"/>
        <v>47623</v>
      </c>
      <c r="G86" s="108">
        <f ca="1"/>
        <v>0.161836955050675</v>
      </c>
    </row>
    <row r="87" spans="6:7">
      <c r="F87" s="10">
        <f ca="1"/>
        <v>47714</v>
      </c>
      <c r="G87" s="108">
        <f ca="1"/>
        <v>0.161595144128552</v>
      </c>
    </row>
    <row r="88" spans="6:7">
      <c r="F88" s="10">
        <f ca="1"/>
        <v>47806</v>
      </c>
      <c r="G88" s="108">
        <f ca="1"/>
        <v>0.161021309164011</v>
      </c>
    </row>
    <row r="89" spans="6:7">
      <c r="F89" s="10">
        <f ca="1"/>
        <v>47898</v>
      </c>
      <c r="G89" s="108">
        <f ca="1"/>
        <v>0.16011156610765601</v>
      </c>
    </row>
    <row r="90" spans="6:7">
      <c r="F90" s="10">
        <f ca="1"/>
        <v>47987</v>
      </c>
      <c r="G90" s="108">
        <f ca="1"/>
        <v>0.160528564550112</v>
      </c>
    </row>
    <row r="91" spans="6:7">
      <c r="F91" s="10">
        <f ca="1"/>
        <v>48079</v>
      </c>
      <c r="G91" s="108">
        <f ca="1"/>
        <v>0.16153672213609799</v>
      </c>
    </row>
    <row r="92" spans="6:7">
      <c r="F92" s="10">
        <f ca="1"/>
        <v>48171</v>
      </c>
      <c r="G92" s="108">
        <f ca="1"/>
        <v>0.162534496292984</v>
      </c>
    </row>
    <row r="93" spans="6:7">
      <c r="F93" s="10">
        <f ca="1"/>
        <v>48263</v>
      </c>
      <c r="G93" s="108">
        <f ca="1"/>
        <v>0.16350698202809799</v>
      </c>
    </row>
    <row r="94" spans="6:7">
      <c r="F94" s="10">
        <f ca="1"/>
        <v>48353</v>
      </c>
      <c r="G94" s="108">
        <f ca="1"/>
        <v>0.164467919957306</v>
      </c>
    </row>
    <row r="95" spans="6:7">
      <c r="F95" s="10">
        <f ca="1"/>
        <v>48445</v>
      </c>
      <c r="G95" s="108">
        <f ca="1"/>
        <v>0.165419679788781</v>
      </c>
    </row>
    <row r="96" spans="6:7">
      <c r="F96" s="10">
        <f ca="1"/>
        <v>48537</v>
      </c>
      <c r="G96" s="108">
        <f ca="1"/>
        <v>0.166362587271524</v>
      </c>
    </row>
    <row r="97" spans="6:7">
      <c r="F97" s="10">
        <f ca="1"/>
        <v>48631</v>
      </c>
      <c r="G97" s="108">
        <f ca="1"/>
        <v>0.167248709943118</v>
      </c>
    </row>
    <row r="98" spans="6:7">
      <c r="F98" s="10">
        <f ca="1"/>
        <v>48718</v>
      </c>
      <c r="G98" s="108">
        <f ca="1"/>
        <v>0.16811135471742999</v>
      </c>
    </row>
    <row r="99" spans="6:7">
      <c r="F99" s="10">
        <f ca="1"/>
        <v>48810</v>
      </c>
      <c r="G99" s="108">
        <f ca="1"/>
        <v>0.168975572812187</v>
      </c>
    </row>
    <row r="100" spans="6:7">
      <c r="F100" s="10">
        <f ca="1"/>
        <v>48904</v>
      </c>
      <c r="G100" s="108">
        <f ca="1"/>
        <v>0.16979785548194101</v>
      </c>
    </row>
    <row r="101" spans="6:7">
      <c r="F101" s="10">
        <f ca="1"/>
        <v>48995</v>
      </c>
      <c r="G101" s="108">
        <f ca="1"/>
        <v>0.17055966128212799</v>
      </c>
    </row>
    <row r="102" spans="6:7">
      <c r="F102" s="10">
        <f ca="1"/>
        <v>49083</v>
      </c>
      <c r="G102" s="108">
        <f ca="1"/>
        <v>0.17130629621788199</v>
      </c>
    </row>
    <row r="103" spans="6:7">
      <c r="F103" s="10">
        <f ca="1"/>
        <v>49177</v>
      </c>
      <c r="G103" s="108">
        <f ca="1"/>
        <v>0.17201497931632001</v>
      </c>
    </row>
    <row r="104" spans="6:7">
      <c r="F104" s="10">
        <f ca="1"/>
        <v>49268</v>
      </c>
      <c r="G104" s="108">
        <f ca="1"/>
        <v>0.17267141151694099</v>
      </c>
    </row>
    <row r="105" spans="6:7">
      <c r="F105" s="10">
        <f ca="1"/>
        <v>49359</v>
      </c>
      <c r="G105" s="108">
        <f ca="1"/>
        <v>0.17328132973126001</v>
      </c>
    </row>
    <row r="106" spans="6:7">
      <c r="F106" s="10">
        <f ca="1"/>
        <v>49450</v>
      </c>
      <c r="G106" s="108">
        <f ca="1"/>
        <v>0.17384151137555201</v>
      </c>
    </row>
    <row r="107" spans="6:7">
      <c r="F107" s="10">
        <f ca="1"/>
        <v>49541</v>
      </c>
      <c r="G107" s="108">
        <f ca="1"/>
        <v>0.17434866882363401</v>
      </c>
    </row>
    <row r="108" spans="6:7">
      <c r="F108" s="10">
        <f ca="1"/>
        <v>49632</v>
      </c>
      <c r="G108" s="108">
        <f ca="1"/>
        <v>0.17480275901030001</v>
      </c>
    </row>
    <row r="109" spans="6:7">
      <c r="F109" s="10">
        <f ca="1"/>
        <v>49724</v>
      </c>
      <c r="G109" s="108">
        <f ca="1"/>
        <v>0.175191418541879</v>
      </c>
    </row>
    <row r="110" spans="6:7">
      <c r="F110" s="10">
        <f ca="1"/>
        <v>49814</v>
      </c>
      <c r="G110" s="108">
        <f ca="1"/>
        <v>0.17616070906006601</v>
      </c>
    </row>
    <row r="111" spans="6:7">
      <c r="F111" s="10">
        <f ca="1"/>
        <v>49906</v>
      </c>
      <c r="G111" s="108">
        <f ca="1"/>
        <v>0.176989800655418</v>
      </c>
    </row>
    <row r="112" spans="6:7">
      <c r="F112" s="10">
        <f ca="1"/>
        <v>49998</v>
      </c>
      <c r="G112" s="108">
        <f ca="1"/>
        <v>0.177816788440741</v>
      </c>
    </row>
    <row r="113" spans="6:7">
      <c r="F113" s="10">
        <f ca="1"/>
        <v>50090</v>
      </c>
      <c r="G113" s="108">
        <f ca="1"/>
        <v>0.17862440245293901</v>
      </c>
    </row>
    <row r="114" spans="6:7">
      <c r="F114" s="10">
        <f ca="1"/>
        <v>50179</v>
      </c>
      <c r="G114" s="108">
        <f ca="1"/>
        <v>0.17943482818962</v>
      </c>
    </row>
    <row r="115" spans="6:7">
      <c r="F115" s="10">
        <f ca="1"/>
        <v>50271</v>
      </c>
      <c r="G115" s="108">
        <f ca="1"/>
        <v>0.180251211344685</v>
      </c>
    </row>
    <row r="116" spans="6:7">
      <c r="F116" s="10">
        <f ca="1"/>
        <v>50363</v>
      </c>
      <c r="G116" s="108">
        <f ca="1"/>
        <v>0.18106249398337501</v>
      </c>
    </row>
    <row r="117" spans="6:7">
      <c r="F117" s="10">
        <f ca="1"/>
        <v>50455</v>
      </c>
      <c r="G117" s="108">
        <f ca="1"/>
        <v>0.18185157265501201</v>
      </c>
    </row>
    <row r="118" spans="6:7">
      <c r="F118" s="10">
        <f ca="1"/>
        <v>50544</v>
      </c>
      <c r="G118" s="108">
        <f ca="1"/>
        <v>0.182640617530206</v>
      </c>
    </row>
    <row r="119" spans="6:7">
      <c r="F119" s="10">
        <f ca="1"/>
        <v>50636</v>
      </c>
      <c r="G119" s="108">
        <f ca="1"/>
        <v>0.183431988905007</v>
      </c>
    </row>
    <row r="120" spans="6:7">
      <c r="F120" s="10">
        <f ca="1"/>
        <v>50728</v>
      </c>
      <c r="G120" s="108">
        <f ca="1"/>
        <v>0.18422563065776401</v>
      </c>
    </row>
    <row r="121" spans="6:7">
      <c r="F121" s="10">
        <f ca="1"/>
        <v>50822</v>
      </c>
      <c r="G121" s="108">
        <f ca="1"/>
        <v>0.184979023359574</v>
      </c>
    </row>
    <row r="122" spans="6:7">
      <c r="F122" s="10">
        <f ca="1"/>
        <v>50909</v>
      </c>
      <c r="G122" s="108">
        <f ca="1"/>
        <v>0.18572757087125399</v>
      </c>
    </row>
    <row r="123" spans="6:7">
      <c r="F123" s="10">
        <f ca="1"/>
        <v>51001</v>
      </c>
      <c r="G123" s="108">
        <f ca="1"/>
        <v>0.18649081045065999</v>
      </c>
    </row>
    <row r="124" spans="6:7">
      <c r="F124" s="10">
        <f ca="1"/>
        <v>51095</v>
      </c>
      <c r="G124" s="108">
        <f ca="1"/>
        <v>0.18723224893472201</v>
      </c>
    </row>
    <row r="125" spans="6:7">
      <c r="F125" s="10">
        <f ca="1"/>
        <v>51186</v>
      </c>
      <c r="G125" s="108">
        <f ca="1"/>
        <v>0.18795219004994099</v>
      </c>
    </row>
    <row r="126" spans="6:7">
      <c r="F126" s="10">
        <f ca="1"/>
        <v>51277</v>
      </c>
      <c r="G126" s="108">
        <f ca="1"/>
        <v>0.18865852476284001</v>
      </c>
    </row>
    <row r="127" spans="6:7">
      <c r="F127" s="10">
        <f ca="1"/>
        <v>51368</v>
      </c>
      <c r="G127" s="108">
        <f ca="1"/>
        <v>0.18935028624741601</v>
      </c>
    </row>
    <row r="128" spans="6:7">
      <c r="F128" s="10">
        <f ca="1"/>
        <v>51459</v>
      </c>
      <c r="G128" s="108">
        <f ca="1"/>
        <v>0.190031290336169</v>
      </c>
    </row>
    <row r="129" spans="6:7">
      <c r="F129" s="10">
        <f ca="1"/>
        <v>51551</v>
      </c>
      <c r="G129" s="108">
        <f ca="1"/>
        <v>0.19068855506971799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ErrorLogs"/>
  <dimension ref="B1:J23"/>
  <sheetViews>
    <sheetView showGridLines="0" workbookViewId="0">
      <selection activeCell="B4" sqref="B4:D23"/>
    </sheetView>
  </sheetViews>
  <sheetFormatPr defaultRowHeight="12.75"/>
  <cols>
    <col min="1" max="1" width="3.7109375" customWidth="1"/>
    <col min="2" max="2" width="59.7109375" style="22" customWidth="1"/>
    <col min="3" max="3" width="18.140625" style="130" bestFit="1" customWidth="1"/>
    <col min="4" max="4" width="71.140625" style="22" customWidth="1"/>
    <col min="5" max="10" width="34.28515625" customWidth="1"/>
  </cols>
  <sheetData>
    <row r="1" spans="2:10" s="1" customFormat="1" ht="0.95" customHeight="1">
      <c r="B1" s="22"/>
      <c r="C1" s="130"/>
      <c r="D1" s="22"/>
    </row>
    <row r="2" spans="2:10" s="1" customFormat="1" ht="24.95" customHeight="1">
      <c r="B2" s="74" t="s">
        <v>98</v>
      </c>
      <c r="C2" s="74"/>
      <c r="D2" s="53" t="str">
        <f>IF(Publish_SuperD="Off","Publishing is OFF","")</f>
        <v/>
      </c>
      <c r="E2" s="74"/>
      <c r="F2" s="74"/>
      <c r="G2" s="74"/>
      <c r="H2" s="74"/>
      <c r="I2" s="74"/>
      <c r="J2" s="74"/>
    </row>
    <row r="4" spans="2:10">
      <c r="B4" s="129" t="str">
        <f t="array" aca="1" ref="B4:D23" ca="1">_xll.qArrayPad(_xll.qLogRead(),"",50)</f>
        <v>Server was unable to process request. ---&gt; Asset type 'AUD' is not supported</v>
      </c>
      <c r="C4" s="128">
        <f ca="1"/>
        <v>40681.595415011572</v>
      </c>
      <c r="D4" s="129" t="str">
        <f ca="1"/>
        <v>System.Web.Services.Protocols.SoapException: Server was unable to process request. ---&gt; Asset type 'AUD' is not supported_x000D_
   at System.Web.Services.Protocols.SoapHttpClientProtocol.ReadResponse(SoapClientMessage message, WebResponse response, Stream responseStream, Boolean asyncCall)_x000D_
   at System.Web.Services.Protocols.SoapHttpClientProtocol.Invoke(String methodName, Object[] parameters)_x000D_
   at National.QR.Communication.PricingStructures.PricingStructures.PublishCurve(Object[][] structurePropertiesRange, Object[][] publishPropertiesRange, Object[][] valuesRange) in C:\ccviews\QR\Q\Test\Source\Communication\Communication\Web References\PricingStructures\Reference.cs:line 99_x000D_
   at National.QR.Communication.WebServiceClient.WebServiceConnection.PublishCurve(Object[][] curveProperties, Object[][] publishProperties, Object[][] curveData, String publisherContext) in C:\ccviews\QR\Q\Test\Source\Communication\Communication\WebServiceClient\WebServiceConnection.cs:line 38_x000D_
   at National.QR.Cxl.WebServiceClient.WebService.ComWebPublishCurve(String curveName, Object[,] curveProperties, Object[,] publishProperties, Object[,] curveData, String webService, Int32 throttleSeconds)_x000D_
   at Wrapped_f3_ComWebPublishCurve(String , Object[,] , Object[,] , Object[,] , String , Int32 )</v>
      </c>
      <c r="E4" s="127"/>
      <c r="F4" s="127"/>
      <c r="G4" s="127"/>
      <c r="H4" s="127"/>
      <c r="I4" s="127"/>
      <c r="J4" s="127"/>
    </row>
    <row r="5" spans="2:10">
      <c r="B5" s="129" t="str">
        <f ca="1"/>
        <v>Server was unable to process request. ---&gt; Asset type 'AUD' is not supported</v>
      </c>
      <c r="C5" s="128">
        <f ca="1"/>
        <v>40681.595183159719</v>
      </c>
      <c r="D5" s="129" t="str">
        <f ca="1"/>
        <v>System.Web.Services.Protocols.SoapException: Server was unable to process request. ---&gt; Asset type 'AUD' is not supported_x000D_
   at System.Web.Services.Protocols.SoapHttpClientProtocol.ReadResponse(SoapClientMessage message, WebResponse response, Stream responseStream, Boolean asyncCall)_x000D_
   at System.Web.Services.Protocols.SoapHttpClientProtocol.Invoke(String methodName, Object[] parameters)_x000D_
   at National.QR.Communication.PricingStructures.PricingStructures.PublishCurve(Object[][] structurePropertiesRange, Object[][] publishPropertiesRange, Object[][] valuesRange) in C:\ccviews\QR\Q\Test\Source\Communication\Communication\Web References\PricingStructures\Reference.cs:line 99_x000D_
   at National.QR.Communication.WebServiceClient.WebServiceConnection.PublishCurve(Object[][] curveProperties, Object[][] publishProperties, Object[][] curveData, String publisherContext) in C:\ccviews\QR\Q\Test\Source\Communication\Communication\WebServiceClient\WebServiceConnection.cs:line 38_x000D_
   at National.QR.Cxl.WebServiceClient.WebService.ComWebPublishCurve(String curveName, Object[,] curveProperties, Object[,] publishProperties, Object[,] curveData, String webService, Int32 throttleSeconds)_x000D_
   at Wrapped_f3_ComWebPublishCurve(String , Object[,] , Object[,] , Object[,] , String , Int32 )</v>
      </c>
      <c r="E5" s="127"/>
      <c r="F5" s="127"/>
      <c r="G5" s="127"/>
      <c r="H5" s="127"/>
      <c r="I5" s="127"/>
      <c r="J5" s="127"/>
    </row>
    <row r="6" spans="2:10">
      <c r="B6" s="129" t="str">
        <f ca="1"/>
        <v>Server was unable to process request. ---&gt; Asset type 'AUD' is not supported</v>
      </c>
      <c r="C6" s="128">
        <f ca="1"/>
        <v>40681.594881319441</v>
      </c>
      <c r="D6" s="129" t="str">
        <f ca="1"/>
        <v>System.Web.Services.Protocols.SoapException: Server was unable to process request. ---&gt; Asset type 'AUD' is not supported_x000D_
   at System.Web.Services.Protocols.SoapHttpClientProtocol.ReadResponse(SoapClientMessage message, WebResponse response, Stream responseStream, Boolean asyncCall)_x000D_
   at System.Web.Services.Protocols.SoapHttpClientProtocol.Invoke(String methodName, Object[] parameters)_x000D_
   at National.QR.Communication.PricingStructures.PricingStructures.PublishCurve(Object[][] structurePropertiesRange, Object[][] publishPropertiesRange, Object[][] valuesRange) in C:\ccviews\QR\Q\Test\Source\Communication\Communication\Web References\PricingStructures\Reference.cs:line 99_x000D_
   at National.QR.Communication.WebServiceClient.WebServiceConnection.PublishCurve(Object[][] curveProperties, Object[][] publishProperties, Object[][] curveData, String publisherContext) in C:\ccviews\QR\Q\Test\Source\Communication\Communication\WebServiceClient\WebServiceConnection.cs:line 38_x000D_
   at National.QR.Cxl.WebServiceClient.WebService.ComWebPublishCurve(String curveName, Object[,] curveProperties, Object[,] publishProperties, Object[,] curveData, String webService, Int32 throttleSeconds)_x000D_
   at Wrapped_f3_ComWebPublishCurve(String , Object[,] , Object[,] , Object[,] , String , Int32 )</v>
      </c>
      <c r="E6" s="127"/>
      <c r="F6" s="127"/>
      <c r="G6" s="127"/>
      <c r="H6" s="127"/>
      <c r="I6" s="127"/>
      <c r="J6" s="127"/>
    </row>
    <row r="7" spans="2:10">
      <c r="B7" s="129" t="str">
        <f ca="1"/>
        <v>Server was unable to process request. ---&gt; Asset type 'AUD' is not supported</v>
      </c>
      <c r="C7" s="128">
        <f ca="1"/>
        <v>40681.594781493055</v>
      </c>
      <c r="D7" s="129" t="str">
        <f ca="1"/>
        <v>System.Web.Services.Protocols.SoapException: Server was unable to process request. ---&gt; Asset type 'AUD' is not supported_x000D_
   at System.Web.Services.Protocols.SoapHttpClientProtocol.ReadResponse(SoapClientMessage message, WebResponse response, Stream responseStream, Boolean asyncCall)_x000D_
   at System.Web.Services.Protocols.SoapHttpClientProtocol.Invoke(String methodName, Object[] parameters)_x000D_
   at National.QR.Communication.PricingStructures.PricingStructures.PublishCurve(Object[][] structurePropertiesRange, Object[][] publishPropertiesRange, Object[][] valuesRange) in C:\ccviews\QR\Q\Test\Source\Communication\Communication\Web References\PricingStructures\Reference.cs:line 99_x000D_
   at National.QR.Communication.WebServiceClient.WebServiceConnection.PublishCurve(Object[][] curveProperties, Object[][] publishProperties, Object[][] curveData, String publisherContext) in C:\ccviews\QR\Q\Test\Source\Communication\Communication\WebServiceClient\WebServiceConnection.cs:line 38_x000D_
   at National.QR.Cxl.WebServiceClient.WebService.ComWebPublishCurve(String curveName, Object[,] curveProperties, Object[,] publishProperties, Object[,] curveData, String webService, Int32 throttleSeconds)_x000D_
   at Wrapped_f3_ComWebPublishCurve(String , Object[,] , Object[,] , Object[,] , String , Int32 )</v>
      </c>
      <c r="E7" s="127"/>
      <c r="F7" s="127"/>
      <c r="G7" s="127"/>
      <c r="H7" s="127"/>
      <c r="I7" s="127"/>
      <c r="J7" s="127"/>
    </row>
    <row r="8" spans="2:10">
      <c r="B8" s="129" t="str">
        <f ca="1"/>
        <v>The operation has timed out</v>
      </c>
      <c r="C8" s="128">
        <f ca="1"/>
        <v>40681.594715127314</v>
      </c>
      <c r="D8" s="129" t="str">
        <f ca="1"/>
        <v>System.Net.WebException: The operation has timed out_x000D_
   at System.Web.Services.Protocols.WebClientProtocol.GetWebResponse(WebRequest request)_x000D_
   at System.Web.Services.Protocols.HttpWebClientProtocol.GetWebResponse(WebRequest request)_x000D_
   at System.Web.Services.Protocols.SoapHttpClientProtocol.Invoke(String methodName, Object[] parameters)_x000D_
   at National.QR.Communication.PricingStructures.PricingStructures.PublishLpmCapFloorVolMatrix(Object[][] structurePropertiesRange, Object[][] publishPropertiesRange, Object[][] valuesRange, Object[][] rateCurveFiltersRange) in C:\ccviews\QR\Q\Test\Source\Communication\Communication\Web References\PricingStructures\Reference.cs:line 202_x000D_
   at National.QR.Communication.WebServiceClient.WebServiceConnection.PublishLpmCapFloors(Object[][] volProperties, Object[][] publishProperties, Object[][] volData, Object[][] extendedData, String publsherContext) in C:\ccviews\QR\Q\Test\Source\Communication\Communication\WebServiceClient\WebServiceConnection.cs:line 104_x000D_
   at National.QR.Cxl.WebServiceClient.WebService.ComWebPublishLpmCapsFloors(String curveName, Object[,] curveProperties, Object[,] publishProperties, Object[,] curveData, Object[,] extendedData, String webService, Int32 throttleSeconds)_x000D_
   at Wrapped_f6_ComWebPublishLpmCapsFloors(String , Object[,] , Object[,] , Object[,] , Object[,] , String , Int32 )</v>
      </c>
      <c r="E8" s="127"/>
      <c r="F8" s="127"/>
      <c r="G8" s="127"/>
      <c r="H8" s="127"/>
      <c r="I8" s="127"/>
      <c r="J8" s="127"/>
    </row>
    <row r="9" spans="2:10">
      <c r="B9" s="129" t="str">
        <f ca="1"/>
        <v/>
      </c>
      <c r="C9" s="128" t="str">
        <f ca="1"/>
        <v/>
      </c>
      <c r="D9" s="129" t="str">
        <f ca="1"/>
        <v/>
      </c>
      <c r="E9" s="127"/>
      <c r="F9" s="127"/>
      <c r="G9" s="127"/>
      <c r="H9" s="127"/>
      <c r="I9" s="127"/>
      <c r="J9" s="127"/>
    </row>
    <row r="10" spans="2:10">
      <c r="B10" s="129" t="str">
        <f ca="1"/>
        <v/>
      </c>
      <c r="C10" s="128" t="str">
        <f ca="1"/>
        <v/>
      </c>
      <c r="D10" s="129" t="str">
        <f ca="1"/>
        <v/>
      </c>
      <c r="E10" s="127"/>
      <c r="F10" s="127"/>
      <c r="G10" s="127"/>
      <c r="H10" s="127"/>
      <c r="I10" s="127"/>
      <c r="J10" s="127"/>
    </row>
    <row r="11" spans="2:10">
      <c r="B11" s="129" t="str">
        <f ca="1"/>
        <v/>
      </c>
      <c r="C11" s="128" t="str">
        <f ca="1"/>
        <v/>
      </c>
      <c r="D11" s="129" t="str">
        <f ca="1"/>
        <v/>
      </c>
      <c r="E11" s="127"/>
      <c r="F11" s="127"/>
      <c r="G11" s="127"/>
      <c r="H11" s="127"/>
      <c r="I11" s="127"/>
      <c r="J11" s="127"/>
    </row>
    <row r="12" spans="2:10">
      <c r="B12" s="129" t="str">
        <f ca="1"/>
        <v/>
      </c>
      <c r="C12" s="128" t="str">
        <f ca="1"/>
        <v/>
      </c>
      <c r="D12" s="129" t="str">
        <f ca="1"/>
        <v/>
      </c>
      <c r="E12" s="127"/>
      <c r="F12" s="127"/>
      <c r="G12" s="127"/>
      <c r="H12" s="127"/>
      <c r="I12" s="127"/>
      <c r="J12" s="127"/>
    </row>
    <row r="13" spans="2:10">
      <c r="B13" s="129" t="str">
        <f ca="1"/>
        <v/>
      </c>
      <c r="C13" s="128" t="str">
        <f ca="1"/>
        <v/>
      </c>
      <c r="D13" s="129" t="str">
        <f ca="1"/>
        <v/>
      </c>
      <c r="E13" s="127"/>
      <c r="F13" s="127"/>
      <c r="G13" s="127"/>
      <c r="H13" s="127"/>
      <c r="I13" s="127"/>
      <c r="J13" s="127"/>
    </row>
    <row r="14" spans="2:10">
      <c r="B14" s="129" t="str">
        <f ca="1"/>
        <v/>
      </c>
      <c r="C14" s="128" t="str">
        <f ca="1"/>
        <v/>
      </c>
      <c r="D14" s="129" t="str">
        <f ca="1"/>
        <v/>
      </c>
      <c r="E14" s="127"/>
      <c r="F14" s="127"/>
      <c r="G14" s="127"/>
      <c r="H14" s="127"/>
      <c r="I14" s="127"/>
      <c r="J14" s="127"/>
    </row>
    <row r="15" spans="2:10">
      <c r="B15" s="129" t="str">
        <f ca="1"/>
        <v/>
      </c>
      <c r="C15" s="128" t="str">
        <f ca="1"/>
        <v/>
      </c>
      <c r="D15" s="129" t="str">
        <f ca="1"/>
        <v/>
      </c>
      <c r="E15" s="127"/>
      <c r="F15" s="127"/>
      <c r="G15" s="127"/>
      <c r="H15" s="127"/>
      <c r="I15" s="127"/>
      <c r="J15" s="127"/>
    </row>
    <row r="16" spans="2:10">
      <c r="B16" s="129" t="str">
        <f ca="1"/>
        <v/>
      </c>
      <c r="C16" s="128" t="str">
        <f ca="1"/>
        <v/>
      </c>
      <c r="D16" s="129" t="str">
        <f ca="1"/>
        <v/>
      </c>
      <c r="E16" s="127"/>
      <c r="F16" s="127"/>
      <c r="G16" s="127"/>
      <c r="H16" s="127"/>
      <c r="I16" s="127"/>
      <c r="J16" s="127"/>
    </row>
    <row r="17" spans="2:10">
      <c r="B17" s="129" t="str">
        <f ca="1"/>
        <v/>
      </c>
      <c r="C17" s="128" t="str">
        <f ca="1"/>
        <v/>
      </c>
      <c r="D17" s="129" t="str">
        <f ca="1"/>
        <v/>
      </c>
      <c r="E17" s="127"/>
      <c r="F17" s="127"/>
      <c r="G17" s="127"/>
      <c r="H17" s="127"/>
      <c r="I17" s="127"/>
      <c r="J17" s="127"/>
    </row>
    <row r="18" spans="2:10">
      <c r="B18" s="129" t="str">
        <f ca="1"/>
        <v/>
      </c>
      <c r="C18" s="128" t="str">
        <f ca="1"/>
        <v/>
      </c>
      <c r="D18" s="129" t="str">
        <f ca="1"/>
        <v/>
      </c>
      <c r="E18" s="127"/>
      <c r="F18" s="127"/>
      <c r="G18" s="127"/>
      <c r="H18" s="127"/>
      <c r="I18" s="127"/>
      <c r="J18" s="127"/>
    </row>
    <row r="19" spans="2:10">
      <c r="B19" s="129" t="str">
        <f ca="1"/>
        <v/>
      </c>
      <c r="C19" s="128" t="str">
        <f ca="1"/>
        <v/>
      </c>
      <c r="D19" s="129" t="str">
        <f ca="1"/>
        <v/>
      </c>
      <c r="E19" s="127"/>
      <c r="F19" s="127"/>
      <c r="G19" s="127"/>
      <c r="H19" s="127"/>
      <c r="I19" s="127"/>
      <c r="J19" s="127"/>
    </row>
    <row r="20" spans="2:10">
      <c r="B20" s="129" t="str">
        <f ca="1"/>
        <v/>
      </c>
      <c r="C20" s="128" t="str">
        <f ca="1"/>
        <v/>
      </c>
      <c r="D20" s="129" t="str">
        <f ca="1"/>
        <v/>
      </c>
      <c r="E20" s="127"/>
      <c r="F20" s="127"/>
      <c r="G20" s="127"/>
      <c r="H20" s="127"/>
      <c r="I20" s="127"/>
      <c r="J20" s="127"/>
    </row>
    <row r="21" spans="2:10">
      <c r="B21" s="129" t="str">
        <f ca="1"/>
        <v/>
      </c>
      <c r="C21" s="128" t="str">
        <f ca="1"/>
        <v/>
      </c>
      <c r="D21" s="129" t="str">
        <f ca="1"/>
        <v/>
      </c>
      <c r="E21" s="127"/>
      <c r="F21" s="127"/>
      <c r="G21" s="127"/>
      <c r="H21" s="127"/>
      <c r="I21" s="127"/>
      <c r="J21" s="127"/>
    </row>
    <row r="22" spans="2:10">
      <c r="B22" s="129" t="str">
        <f ca="1"/>
        <v/>
      </c>
      <c r="C22" s="128" t="str">
        <f ca="1"/>
        <v/>
      </c>
      <c r="D22" s="129" t="str">
        <f ca="1"/>
        <v/>
      </c>
      <c r="E22" s="127"/>
      <c r="F22" s="127"/>
      <c r="G22" s="127"/>
      <c r="H22" s="127"/>
      <c r="I22" s="127"/>
      <c r="J22" s="127"/>
    </row>
    <row r="23" spans="2:10">
      <c r="B23" s="129" t="str">
        <f ca="1"/>
        <v/>
      </c>
      <c r="C23" s="128" t="str">
        <f ca="1"/>
        <v/>
      </c>
      <c r="D23" s="129" t="str">
        <f ca="1"/>
        <v/>
      </c>
      <c r="E23" s="127"/>
      <c r="F23" s="127"/>
      <c r="G23" s="127"/>
      <c r="H23" s="127"/>
      <c r="I23" s="127"/>
      <c r="J23" s="127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6" baseType="lpstr">
      <vt:lpstr>Main</vt:lpstr>
      <vt:lpstr>Trader</vt:lpstr>
      <vt:lpstr>LPM</vt:lpstr>
      <vt:lpstr>SuperD</vt:lpstr>
      <vt:lpstr>Errorlogs</vt:lpstr>
      <vt:lpstr>CreationTime</vt:lpstr>
      <vt:lpstr>CurveLifetime</vt:lpstr>
      <vt:lpstr>LastPublished</vt:lpstr>
      <vt:lpstr>MarketPrefix</vt:lpstr>
      <vt:lpstr>Publish_LPM</vt:lpstr>
      <vt:lpstr>Publish_SuperD</vt:lpstr>
      <vt:lpstr>Publish_TRADER</vt:lpstr>
      <vt:lpstr>RerunFrequency</vt:lpstr>
      <vt:lpstr>TimeToPublish</vt:lpstr>
      <vt:lpstr>ValueDate</vt:lpstr>
      <vt:lpstr>WebService</vt:lpstr>
    </vt:vector>
  </TitlesOfParts>
  <Company>nabCapital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awhitake</dc:creator>
  <cp:lastModifiedBy>awhitake</cp:lastModifiedBy>
  <dcterms:created xsi:type="dcterms:W3CDTF">2011-01-19T22:31:53Z</dcterms:created>
  <dcterms:modified xsi:type="dcterms:W3CDTF">2011-05-18T04:56:30Z</dcterms:modified>
</cp:coreProperties>
</file>